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5480" windowHeight="10920"/>
  </bookViews>
  <sheets>
    <sheet name="Site reports" sheetId="4" r:id="rId1"/>
    <sheet name="District totals" sheetId="5" r:id="rId2"/>
    <sheet name="Names" sheetId="10" r:id="rId3"/>
    <sheet name="All sites (summary)" sheetId="9" r:id="rId4"/>
    <sheet name="All sites (detail)" sheetId="7" r:id="rId5"/>
    <sheet name="Statute" sheetId="6" r:id="rId6"/>
  </sheets>
  <definedNames>
    <definedName name="_xlnm._FilterDatabase" localSheetId="3" hidden="1">'All sites (summary)'!$A$14:$A$974</definedName>
    <definedName name="Inputall">'All sites (detail)'!$A$14:$AA$973</definedName>
    <definedName name="_xlnm.Print_Area" localSheetId="4">'All sites (detail)'!$B$14:$AA$973</definedName>
    <definedName name="_xlnm.Print_Area" localSheetId="3">'All sites (summary)'!$A$13:$P$974</definedName>
    <definedName name="_xlnm.Print_Area" localSheetId="1">'District totals'!$A$10:$G$436</definedName>
    <definedName name="_xlnm.Print_Area" localSheetId="0">'Site reports'!$A$1:$F$48</definedName>
    <definedName name="_xlnm.Print_Area" localSheetId="5">Statute!$A$1:$A$27</definedName>
    <definedName name="_xlnm.Print_Titles" localSheetId="4">'All sites (detail)'!$1:$13</definedName>
    <definedName name="_xlnm.Print_Titles" localSheetId="3">'All sites (summary)'!$1:$12</definedName>
    <definedName name="_xlnm.Print_Titles" localSheetId="1">'District totals'!$1:$9</definedName>
    <definedName name="_xlnm.Print_Titles" localSheetId="0">'Site reports'!$8:$10</definedName>
  </definedNames>
  <calcPr calcId="145621"/>
</workbook>
</file>

<file path=xl/calcChain.xml><?xml version="1.0" encoding="utf-8"?>
<calcChain xmlns="http://schemas.openxmlformats.org/spreadsheetml/2006/main">
  <c r="F13" i="5" l="1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12" i="5"/>
  <c r="AA15" i="7" l="1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57" i="7"/>
  <c r="AA558" i="7"/>
  <c r="AA559" i="7"/>
  <c r="AA560" i="7"/>
  <c r="AA561" i="7"/>
  <c r="AA562" i="7"/>
  <c r="AA563" i="7"/>
  <c r="AA564" i="7"/>
  <c r="AA565" i="7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A578" i="7"/>
  <c r="AA579" i="7"/>
  <c r="AA580" i="7"/>
  <c r="AA581" i="7"/>
  <c r="AA582" i="7"/>
  <c r="AA583" i="7"/>
  <c r="AA584" i="7"/>
  <c r="AA585" i="7"/>
  <c r="AA586" i="7"/>
  <c r="AA587" i="7"/>
  <c r="AA588" i="7"/>
  <c r="AA589" i="7"/>
  <c r="AA590" i="7"/>
  <c r="AA591" i="7"/>
  <c r="AA592" i="7"/>
  <c r="AA593" i="7"/>
  <c r="AA594" i="7"/>
  <c r="AA595" i="7"/>
  <c r="AA596" i="7"/>
  <c r="AA597" i="7"/>
  <c r="AA598" i="7"/>
  <c r="AA599" i="7"/>
  <c r="AA600" i="7"/>
  <c r="AA601" i="7"/>
  <c r="AA602" i="7"/>
  <c r="AA603" i="7"/>
  <c r="AA604" i="7"/>
  <c r="AA605" i="7"/>
  <c r="AA606" i="7"/>
  <c r="AA607" i="7"/>
  <c r="AA608" i="7"/>
  <c r="AA609" i="7"/>
  <c r="AA610" i="7"/>
  <c r="AA611" i="7"/>
  <c r="AA612" i="7"/>
  <c r="AA613" i="7"/>
  <c r="AA614" i="7"/>
  <c r="AA615" i="7"/>
  <c r="AA616" i="7"/>
  <c r="AA617" i="7"/>
  <c r="AA618" i="7"/>
  <c r="AA619" i="7"/>
  <c r="AA620" i="7"/>
  <c r="AA621" i="7"/>
  <c r="AA622" i="7"/>
  <c r="AA623" i="7"/>
  <c r="AA624" i="7"/>
  <c r="AA625" i="7"/>
  <c r="AA626" i="7"/>
  <c r="AA627" i="7"/>
  <c r="AA628" i="7"/>
  <c r="AA629" i="7"/>
  <c r="AA630" i="7"/>
  <c r="AA631" i="7"/>
  <c r="AA632" i="7"/>
  <c r="AA633" i="7"/>
  <c r="AA634" i="7"/>
  <c r="AA635" i="7"/>
  <c r="AA636" i="7"/>
  <c r="AA637" i="7"/>
  <c r="AA638" i="7"/>
  <c r="AA639" i="7"/>
  <c r="AA640" i="7"/>
  <c r="AA641" i="7"/>
  <c r="AA642" i="7"/>
  <c r="AA643" i="7"/>
  <c r="AA644" i="7"/>
  <c r="AA645" i="7"/>
  <c r="AA646" i="7"/>
  <c r="AA647" i="7"/>
  <c r="AA648" i="7"/>
  <c r="AA649" i="7"/>
  <c r="AA650" i="7"/>
  <c r="AA651" i="7"/>
  <c r="AA652" i="7"/>
  <c r="AA653" i="7"/>
  <c r="AA654" i="7"/>
  <c r="AA655" i="7"/>
  <c r="AA656" i="7"/>
  <c r="AA657" i="7"/>
  <c r="AA658" i="7"/>
  <c r="AA659" i="7"/>
  <c r="AA660" i="7"/>
  <c r="AA661" i="7"/>
  <c r="AA662" i="7"/>
  <c r="AA663" i="7"/>
  <c r="AA664" i="7"/>
  <c r="AA665" i="7"/>
  <c r="AA666" i="7"/>
  <c r="AA667" i="7"/>
  <c r="AA668" i="7"/>
  <c r="AA669" i="7"/>
  <c r="AA670" i="7"/>
  <c r="AA671" i="7"/>
  <c r="AA672" i="7"/>
  <c r="AA673" i="7"/>
  <c r="AA674" i="7"/>
  <c r="AA675" i="7"/>
  <c r="AA676" i="7"/>
  <c r="AA677" i="7"/>
  <c r="AA678" i="7"/>
  <c r="AA679" i="7"/>
  <c r="AA680" i="7"/>
  <c r="AA681" i="7"/>
  <c r="AA682" i="7"/>
  <c r="AA683" i="7"/>
  <c r="AA684" i="7"/>
  <c r="AA685" i="7"/>
  <c r="AA686" i="7"/>
  <c r="AA687" i="7"/>
  <c r="AA688" i="7"/>
  <c r="AA689" i="7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705" i="7"/>
  <c r="AA706" i="7"/>
  <c r="AA707" i="7"/>
  <c r="AA708" i="7"/>
  <c r="AA709" i="7"/>
  <c r="AA710" i="7"/>
  <c r="AA711" i="7"/>
  <c r="AA712" i="7"/>
  <c r="AA713" i="7"/>
  <c r="AA714" i="7"/>
  <c r="AA715" i="7"/>
  <c r="AA716" i="7"/>
  <c r="AA717" i="7"/>
  <c r="AA718" i="7"/>
  <c r="AA719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35" i="7"/>
  <c r="AA736" i="7"/>
  <c r="AA737" i="7"/>
  <c r="AA738" i="7"/>
  <c r="AA739" i="7"/>
  <c r="AA740" i="7"/>
  <c r="AA741" i="7"/>
  <c r="AA742" i="7"/>
  <c r="AA743" i="7"/>
  <c r="AA744" i="7"/>
  <c r="AA745" i="7"/>
  <c r="AA746" i="7"/>
  <c r="AA747" i="7"/>
  <c r="AA748" i="7"/>
  <c r="AA749" i="7"/>
  <c r="AA750" i="7"/>
  <c r="AA751" i="7"/>
  <c r="AA752" i="7"/>
  <c r="AA753" i="7"/>
  <c r="AA754" i="7"/>
  <c r="AA755" i="7"/>
  <c r="AA756" i="7"/>
  <c r="AA757" i="7"/>
  <c r="AA758" i="7"/>
  <c r="AA759" i="7"/>
  <c r="AA760" i="7"/>
  <c r="AA761" i="7"/>
  <c r="AA762" i="7"/>
  <c r="AA763" i="7"/>
  <c r="AA764" i="7"/>
  <c r="AA765" i="7"/>
  <c r="AA766" i="7"/>
  <c r="AA767" i="7"/>
  <c r="AA768" i="7"/>
  <c r="AA769" i="7"/>
  <c r="AA770" i="7"/>
  <c r="AA771" i="7"/>
  <c r="AA772" i="7"/>
  <c r="AA773" i="7"/>
  <c r="AA774" i="7"/>
  <c r="AA775" i="7"/>
  <c r="AA776" i="7"/>
  <c r="AA777" i="7"/>
  <c r="AA778" i="7"/>
  <c r="AA779" i="7"/>
  <c r="AA780" i="7"/>
  <c r="AA781" i="7"/>
  <c r="AA782" i="7"/>
  <c r="AA783" i="7"/>
  <c r="AA784" i="7"/>
  <c r="AA785" i="7"/>
  <c r="AA786" i="7"/>
  <c r="AA787" i="7"/>
  <c r="AA788" i="7"/>
  <c r="AA789" i="7"/>
  <c r="AA790" i="7"/>
  <c r="AA791" i="7"/>
  <c r="AA792" i="7"/>
  <c r="AA793" i="7"/>
  <c r="AA794" i="7"/>
  <c r="AA795" i="7"/>
  <c r="AA796" i="7"/>
  <c r="AA797" i="7"/>
  <c r="AA798" i="7"/>
  <c r="AA799" i="7"/>
  <c r="AA800" i="7"/>
  <c r="AA801" i="7"/>
  <c r="AA802" i="7"/>
  <c r="AA803" i="7"/>
  <c r="AA804" i="7"/>
  <c r="AA805" i="7"/>
  <c r="AA806" i="7"/>
  <c r="AA807" i="7"/>
  <c r="AA808" i="7"/>
  <c r="AA809" i="7"/>
  <c r="AA810" i="7"/>
  <c r="AA811" i="7"/>
  <c r="AA812" i="7"/>
  <c r="AA813" i="7"/>
  <c r="AA814" i="7"/>
  <c r="AA815" i="7"/>
  <c r="AA816" i="7"/>
  <c r="AA817" i="7"/>
  <c r="AA818" i="7"/>
  <c r="AA819" i="7"/>
  <c r="AA820" i="7"/>
  <c r="AA821" i="7"/>
  <c r="AA822" i="7"/>
  <c r="AA823" i="7"/>
  <c r="AA824" i="7"/>
  <c r="AA825" i="7"/>
  <c r="AA826" i="7"/>
  <c r="AA827" i="7"/>
  <c r="AA828" i="7"/>
  <c r="AA829" i="7"/>
  <c r="AA830" i="7"/>
  <c r="AA831" i="7"/>
  <c r="AA832" i="7"/>
  <c r="AA833" i="7"/>
  <c r="AA834" i="7"/>
  <c r="AA835" i="7"/>
  <c r="AA836" i="7"/>
  <c r="AA837" i="7"/>
  <c r="AA838" i="7"/>
  <c r="AA839" i="7"/>
  <c r="AA840" i="7"/>
  <c r="AA841" i="7"/>
  <c r="AA842" i="7"/>
  <c r="AA843" i="7"/>
  <c r="AA844" i="7"/>
  <c r="AA845" i="7"/>
  <c r="AA846" i="7"/>
  <c r="AA847" i="7"/>
  <c r="AA848" i="7"/>
  <c r="AA849" i="7"/>
  <c r="AA850" i="7"/>
  <c r="AA851" i="7"/>
  <c r="AA852" i="7"/>
  <c r="AA853" i="7"/>
  <c r="AA854" i="7"/>
  <c r="AA855" i="7"/>
  <c r="AA856" i="7"/>
  <c r="AA857" i="7"/>
  <c r="AA858" i="7"/>
  <c r="AA859" i="7"/>
  <c r="AA860" i="7"/>
  <c r="AA861" i="7"/>
  <c r="AA862" i="7"/>
  <c r="AA863" i="7"/>
  <c r="AA864" i="7"/>
  <c r="AA865" i="7"/>
  <c r="AA866" i="7"/>
  <c r="AA867" i="7"/>
  <c r="AA868" i="7"/>
  <c r="AA869" i="7"/>
  <c r="AA870" i="7"/>
  <c r="AA871" i="7"/>
  <c r="AA872" i="7"/>
  <c r="AA873" i="7"/>
  <c r="AA874" i="7"/>
  <c r="AA875" i="7"/>
  <c r="AA876" i="7"/>
  <c r="AA877" i="7"/>
  <c r="AA878" i="7"/>
  <c r="AA879" i="7"/>
  <c r="AA880" i="7"/>
  <c r="AA881" i="7"/>
  <c r="AA882" i="7"/>
  <c r="AA883" i="7"/>
  <c r="AA884" i="7"/>
  <c r="AA885" i="7"/>
  <c r="AA886" i="7"/>
  <c r="AA887" i="7"/>
  <c r="AA888" i="7"/>
  <c r="AA889" i="7"/>
  <c r="AA890" i="7"/>
  <c r="AA891" i="7"/>
  <c r="AA892" i="7"/>
  <c r="AA893" i="7"/>
  <c r="AA894" i="7"/>
  <c r="AA895" i="7"/>
  <c r="AA896" i="7"/>
  <c r="AA897" i="7"/>
  <c r="AA898" i="7"/>
  <c r="AA899" i="7"/>
  <c r="AA900" i="7"/>
  <c r="AA901" i="7"/>
  <c r="AA902" i="7"/>
  <c r="AA903" i="7"/>
  <c r="AA904" i="7"/>
  <c r="AA905" i="7"/>
  <c r="AA906" i="7"/>
  <c r="AA907" i="7"/>
  <c r="AA908" i="7"/>
  <c r="AA909" i="7"/>
  <c r="AA910" i="7"/>
  <c r="AA911" i="7"/>
  <c r="AA912" i="7"/>
  <c r="AA913" i="7"/>
  <c r="AA914" i="7"/>
  <c r="AA915" i="7"/>
  <c r="AA916" i="7"/>
  <c r="AA917" i="7"/>
  <c r="AA918" i="7"/>
  <c r="AA919" i="7"/>
  <c r="AA920" i="7"/>
  <c r="AA921" i="7"/>
  <c r="AA922" i="7"/>
  <c r="AA923" i="7"/>
  <c r="AA924" i="7"/>
  <c r="AA925" i="7"/>
  <c r="AA926" i="7"/>
  <c r="AA927" i="7"/>
  <c r="AA928" i="7"/>
  <c r="AA929" i="7"/>
  <c r="AA930" i="7"/>
  <c r="AA931" i="7"/>
  <c r="AA932" i="7"/>
  <c r="AA933" i="7"/>
  <c r="AA934" i="7"/>
  <c r="AA935" i="7"/>
  <c r="AA936" i="7"/>
  <c r="AA937" i="7"/>
  <c r="AA938" i="7"/>
  <c r="AA939" i="7"/>
  <c r="AA940" i="7"/>
  <c r="AA941" i="7"/>
  <c r="AA942" i="7"/>
  <c r="AA943" i="7"/>
  <c r="AA944" i="7"/>
  <c r="AA945" i="7"/>
  <c r="AA946" i="7"/>
  <c r="AA947" i="7"/>
  <c r="AA948" i="7"/>
  <c r="AA949" i="7"/>
  <c r="AA950" i="7"/>
  <c r="AA951" i="7"/>
  <c r="AA952" i="7"/>
  <c r="AA953" i="7"/>
  <c r="AA954" i="7"/>
  <c r="AA955" i="7"/>
  <c r="AA956" i="7"/>
  <c r="AA957" i="7"/>
  <c r="AA958" i="7"/>
  <c r="AA959" i="7"/>
  <c r="AA960" i="7"/>
  <c r="AA961" i="7"/>
  <c r="AA962" i="7"/>
  <c r="AA963" i="7"/>
  <c r="AA964" i="7"/>
  <c r="AA965" i="7"/>
  <c r="AA966" i="7"/>
  <c r="AA967" i="7"/>
  <c r="AA968" i="7"/>
  <c r="AA969" i="7"/>
  <c r="AA970" i="7"/>
  <c r="AA977" i="7"/>
  <c r="AA971" i="7"/>
  <c r="AA972" i="7"/>
  <c r="AA973" i="7"/>
  <c r="AA14" i="7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8" i="9"/>
  <c r="P972" i="9"/>
  <c r="P973" i="9"/>
  <c r="P974" i="9"/>
  <c r="AA12" i="7" l="1"/>
  <c r="G10" i="5" l="1"/>
  <c r="AA9" i="7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15" i="9"/>
  <c r="P10" i="9"/>
  <c r="P13" i="9" l="1"/>
  <c r="L13" i="9" l="1"/>
  <c r="K13" i="9"/>
  <c r="O11" i="9" l="1"/>
  <c r="N11" i="9"/>
  <c r="M11" i="9"/>
  <c r="J11" i="9"/>
  <c r="I11" i="9"/>
  <c r="O13" i="9" l="1"/>
  <c r="E10" i="5"/>
  <c r="F10" i="5" l="1"/>
  <c r="D10" i="5"/>
  <c r="T12" i="7"/>
  <c r="U12" i="7"/>
  <c r="G12" i="7" l="1"/>
  <c r="X12" i="7" l="1"/>
  <c r="Y12" i="7"/>
  <c r="K5" i="4"/>
  <c r="F31" i="4" s="1"/>
  <c r="K6" i="4" l="1"/>
  <c r="K7" i="4"/>
  <c r="F28" i="4"/>
  <c r="F18" i="4"/>
  <c r="Z12" i="7"/>
  <c r="F19" i="4" l="1"/>
  <c r="F29" i="4"/>
  <c r="D24" i="4"/>
  <c r="C23" i="4"/>
  <c r="E24" i="4"/>
  <c r="C24" i="4"/>
  <c r="E23" i="4"/>
  <c r="E25" i="4" s="1"/>
  <c r="D23" i="4"/>
  <c r="D25" i="4" s="1"/>
  <c r="E14" i="4"/>
  <c r="C14" i="4"/>
  <c r="E13" i="4"/>
  <c r="E15" i="4" s="1"/>
  <c r="C13" i="4"/>
  <c r="C15" i="4" s="1"/>
  <c r="D14" i="4"/>
  <c r="F14" i="4" s="1"/>
  <c r="D13" i="4"/>
  <c r="B8" i="4"/>
  <c r="B9" i="4"/>
  <c r="A72" i="4"/>
  <c r="F24" i="4" l="1"/>
  <c r="F23" i="4"/>
  <c r="C25" i="4"/>
  <c r="D15" i="4"/>
  <c r="F13" i="4"/>
  <c r="F15" i="4" s="1"/>
  <c r="F17" i="4" s="1"/>
  <c r="A73" i="4"/>
  <c r="F25" i="4" l="1"/>
  <c r="F27" i="4" s="1"/>
  <c r="A74" i="4"/>
  <c r="A14" i="4" l="1"/>
  <c r="B15" i="4" l="1"/>
  <c r="A15" i="4"/>
  <c r="B17" i="4" s="1"/>
  <c r="A17" i="4" l="1"/>
  <c r="A18" i="4" l="1"/>
  <c r="A19" i="4" s="1"/>
  <c r="B19" i="4" l="1"/>
  <c r="A77" i="4"/>
  <c r="A23" i="4"/>
  <c r="A78" i="4"/>
  <c r="A79" i="4" s="1"/>
  <c r="A81" i="4" s="1"/>
  <c r="A82" i="4" s="1"/>
  <c r="A83" i="4" s="1"/>
  <c r="A24" i="4" l="1"/>
  <c r="B25" i="4" s="1"/>
  <c r="A25" i="4" l="1"/>
  <c r="B27" i="4" s="1"/>
  <c r="A27" i="4" l="1"/>
  <c r="A28" i="4" s="1"/>
  <c r="A29" i="4" s="1"/>
  <c r="B31" i="4" s="1"/>
  <c r="A31" i="4" l="1"/>
  <c r="B29" i="4"/>
  <c r="B34" i="4" l="1"/>
  <c r="A33" i="4"/>
  <c r="A34" i="4" s="1"/>
  <c r="E74" i="4"/>
  <c r="C78" i="4"/>
  <c r="C83" i="4"/>
  <c r="D78" i="4"/>
  <c r="D83" i="4"/>
  <c r="E81" i="4"/>
  <c r="E73" i="4"/>
  <c r="C82" i="4"/>
  <c r="D77" i="4"/>
  <c r="D82" i="4"/>
  <c r="E79" i="4"/>
  <c r="E71" i="4"/>
  <c r="C72" i="4"/>
  <c r="D72" i="4"/>
  <c r="E83" i="4"/>
  <c r="C81" i="4"/>
  <c r="D81" i="4"/>
  <c r="E78" i="4"/>
  <c r="C71" i="4"/>
  <c r="C77" i="4"/>
  <c r="C79" i="4"/>
  <c r="D79" i="4"/>
  <c r="E77" i="4"/>
  <c r="E82" i="4"/>
  <c r="C73" i="4"/>
  <c r="D71" i="4"/>
  <c r="E72" i="4"/>
  <c r="C74" i="4"/>
  <c r="D74" i="4"/>
  <c r="D73" i="4"/>
  <c r="F79" i="4" l="1"/>
  <c r="F73" i="4"/>
  <c r="F74" i="4"/>
  <c r="F71" i="4"/>
  <c r="F77" i="4"/>
  <c r="F81" i="4"/>
  <c r="F82" i="4"/>
  <c r="F78" i="4"/>
  <c r="F72" i="4"/>
  <c r="F83" i="4"/>
  <c r="F34" i="4" l="1"/>
</calcChain>
</file>

<file path=xl/sharedStrings.xml><?xml version="1.0" encoding="utf-8"?>
<sst xmlns="http://schemas.openxmlformats.org/spreadsheetml/2006/main" count="10869" uniqueCount="1376">
  <si>
    <t>AITKIN PUBLIC SCHOOL DISTRICT</t>
  </si>
  <si>
    <t>RIPPLESIDE ELEMENTARY</t>
  </si>
  <si>
    <t>MINNEAPOLIS PUBLIC SCHOOL DIST.</t>
  </si>
  <si>
    <t>ARMATAGE ELEMENTARY</t>
  </si>
  <si>
    <t>BANCROFT ELEMENTARY</t>
  </si>
  <si>
    <t>BARTON OPEN ELEMENTARY</t>
  </si>
  <si>
    <t>BETHUNE ELEMENTARY</t>
  </si>
  <si>
    <t>BURROUGHS ELEMENTARY</t>
  </si>
  <si>
    <t>LAKE HARRIET UPPER SCHOOL</t>
  </si>
  <si>
    <t>HALE ELEMENTARY</t>
  </si>
  <si>
    <t>PARK VIEW MONTESSORI ELEMENTARY</t>
  </si>
  <si>
    <t>HIAWATHA ELEMENTARY</t>
  </si>
  <si>
    <t>LK NOKOMIS COMM-KEEWAYDIN CAMPUS</t>
  </si>
  <si>
    <t>KENNY ELEMENTARY</t>
  </si>
  <si>
    <t>KENWOOD ELEMENTARY</t>
  </si>
  <si>
    <t>LONGFELLOW ELEMENTARY</t>
  </si>
  <si>
    <t>LORING ELEMENTARY</t>
  </si>
  <si>
    <t>LYNDALE ELEMENTARY</t>
  </si>
  <si>
    <t>JENNY LIND ELEMENTARY</t>
  </si>
  <si>
    <t>NORTHROP ELEMENTARY</t>
  </si>
  <si>
    <t>PILLSBURY ELEMENTARY</t>
  </si>
  <si>
    <t>PRATT ELEMENTARY</t>
  </si>
  <si>
    <t>SEWARD ELEMENTARY</t>
  </si>
  <si>
    <t>SHERIDAN ELEMENTARY</t>
  </si>
  <si>
    <t>WAITE PARK ELEMENTARY</t>
  </si>
  <si>
    <t>WENONAH EL.</t>
  </si>
  <si>
    <t>WINDOM OPEN ELEMENTARY</t>
  </si>
  <si>
    <t>RAMSEY FINE ARTS ELEMENTARY</t>
  </si>
  <si>
    <t>JEFFERSON ELEMENTARY</t>
  </si>
  <si>
    <t>DOWLING ELEMENTARY</t>
  </si>
  <si>
    <t>ANDERSEN OPEN ELEMENTARY</t>
  </si>
  <si>
    <t>ANDERSEN ELEMENTARY</t>
  </si>
  <si>
    <t>SULLIVAN ELEMENTARY</t>
  </si>
  <si>
    <t>PERFORM. ARTS MAGNET-KENWOOD EL.</t>
  </si>
  <si>
    <t>ANISHINABE ACADEMY ELEMENTARY</t>
  </si>
  <si>
    <t>MARCY OPEN ELEMENTARY</t>
  </si>
  <si>
    <t>BRYN MAWR ELEMENTARY</t>
  </si>
  <si>
    <t>GREEN CENTRAL PARK ELEMENTARY</t>
  </si>
  <si>
    <t>EMERSON ELEMENTARY</t>
  </si>
  <si>
    <t>LUCY LANEY @ CLEVELAND PARK ELEM.</t>
  </si>
  <si>
    <t>HALL ELEMENTARY</t>
  </si>
  <si>
    <t>NELLIE STONE JOHNSON ELEMENTARY</t>
  </si>
  <si>
    <t>WHITTIER PARK ELEMENTARY</t>
  </si>
  <si>
    <t>CITYVIEW PAM MAGNET</t>
  </si>
  <si>
    <t>HMONG INTERNATIONAL ACADEMY</t>
  </si>
  <si>
    <t>HILL CITY PUBLIC SCHOOL DISTRICT</t>
  </si>
  <si>
    <t>HILL CITY ELEMENTARY</t>
  </si>
  <si>
    <t>MCGREGOR PUBLIC SCHOOL DISTRICT</t>
  </si>
  <si>
    <t>MCGREGOR ELEMENTARY</t>
  </si>
  <si>
    <t>SOUTH ST. PAUL PUBLIC SCHOOL DIST.</t>
  </si>
  <si>
    <t>LINCOLN CENTER ELEMENTARY</t>
  </si>
  <si>
    <t>KAPOSIA EDUCATION CENTER ELEMENTARY</t>
  </si>
  <si>
    <t>ANOKA-HENNEPIN PUBLIC SCHOOL DIST.</t>
  </si>
  <si>
    <t>ADAMS ELEMENTARY</t>
  </si>
  <si>
    <t>CHAMPLIN ELEMENTARY</t>
  </si>
  <si>
    <t>CROOKED LAKE ELEMENTARY</t>
  </si>
  <si>
    <t>FRANKLIN ELEMENTARY</t>
  </si>
  <si>
    <t>HAMILTON ELEMENTARY</t>
  </si>
  <si>
    <t>HOOVER ELEMENTARY</t>
  </si>
  <si>
    <t>JOHNSVILLE ELEMENTARY</t>
  </si>
  <si>
    <t>LINCOLN ELEMENTARY</t>
  </si>
  <si>
    <t>L.O. JACOB ELEMENTARY</t>
  </si>
  <si>
    <t>MADISON ELEMENTARY</t>
  </si>
  <si>
    <t>MCKINLEY ELEMENTARY</t>
  </si>
  <si>
    <t>MISSISSIPPI ELEMENTARY</t>
  </si>
  <si>
    <t>MONROE ELEMENTARY</t>
  </si>
  <si>
    <t>MORRIS BYE ELEMENTARY</t>
  </si>
  <si>
    <t>SORTEBERG ELEMENTARY</t>
  </si>
  <si>
    <t>RIVERVIEW SPECIALTY SCHOOL</t>
  </si>
  <si>
    <t>SAND CREEK ELEMENTARY</t>
  </si>
  <si>
    <t>UNIVERSITY ELEMENTARY</t>
  </si>
  <si>
    <t>WASHINGTON ELEMENTARY</t>
  </si>
  <si>
    <t>WILSON ELEMENTARY</t>
  </si>
  <si>
    <t>EVERGREEN PARK ELEMENTARY</t>
  </si>
  <si>
    <t>EISENHOWER ELEMENTARY</t>
  </si>
  <si>
    <t>RAMSEY ELEMENTARY</t>
  </si>
  <si>
    <t>DAYTON ELEMENTARY</t>
  </si>
  <si>
    <t>OXBOW CREEK ELEMENTARY</t>
  </si>
  <si>
    <t>ANDOVER ELEMENTARY</t>
  </si>
  <si>
    <t>RUM RIVER ELEMENTARY</t>
  </si>
  <si>
    <t>CENTENNIAL PUBLIC SCHOOL DISTRICT</t>
  </si>
  <si>
    <t>CENTENNIAL ELEMENTARY</t>
  </si>
  <si>
    <t>CENTERVILLE ELEMENTARY</t>
  </si>
  <si>
    <t>GOLDEN LAKE ELEMENTARY</t>
  </si>
  <si>
    <t>RICE LAKE ELEMENTARY</t>
  </si>
  <si>
    <t>BLUE HERON ELEMENTARY</t>
  </si>
  <si>
    <t>COLUMBIA HEIGHTS PUBLIC SCHOOL DIST</t>
  </si>
  <si>
    <t>HIGHLAND ELEMENTARY</t>
  </si>
  <si>
    <t>NORTH PARK ELEMENTARY</t>
  </si>
  <si>
    <t>VALLEY VIEW ELEMENTARY</t>
  </si>
  <si>
    <t>FRIDLEY PUBLIC SCHOOL DISTRICT</t>
  </si>
  <si>
    <t>HAYES ELEMENTARY</t>
  </si>
  <si>
    <t>STEVENSON ELEMENTARY</t>
  </si>
  <si>
    <t>ST. FRANCIS PUBLIC SCHOOL DISTRICT</t>
  </si>
  <si>
    <t>ST. FRANCIS ELEMENTARY</t>
  </si>
  <si>
    <t>CEDAR CREEK COMMUNITY SCHOOL</t>
  </si>
  <si>
    <t>EAST BETHEL COMMUNITY SCHOOL</t>
  </si>
  <si>
    <t>SPRING LAKE PARK PUBLIC SCHOOLS</t>
  </si>
  <si>
    <t>NORTHPOINT ELEMENTARY</t>
  </si>
  <si>
    <t>WESTWOOD INTERMEDIATE SCHOOL</t>
  </si>
  <si>
    <t>WOODCREST ELEMENTARY</t>
  </si>
  <si>
    <t>PARK TERRACE EL.</t>
  </si>
  <si>
    <t>DETROIT LAKES PUBLIC SCHOOL DIST.</t>
  </si>
  <si>
    <t>ROSSMAN ELEMENTARY</t>
  </si>
  <si>
    <t>ROOSEVELT ELEMENTARY</t>
  </si>
  <si>
    <t>FRAZEE-VERGAS PUBLIC SCHOOL DIST.</t>
  </si>
  <si>
    <t>FRAZEE ELEMENTARY</t>
  </si>
  <si>
    <t>BEMIDJI PUBLIC SCHOOL DISTRICT</t>
  </si>
  <si>
    <t>NORTHERN ELEMENTARY</t>
  </si>
  <si>
    <t>J.W. SMITH ELEMENTARY</t>
  </si>
  <si>
    <t>CENTRAL ELEMENTARY</t>
  </si>
  <si>
    <t>SOLWAY ELEMENTARY</t>
  </si>
  <si>
    <t>HORACE MAY ELEMENTARY</t>
  </si>
  <si>
    <t>BLACKDUCK PUBLIC SCHOOL DISTRICT</t>
  </si>
  <si>
    <t>BLACKDUCK ELEMENTARY</t>
  </si>
  <si>
    <t>KELLIHER PUBLIC SCHOOL DISTRICT</t>
  </si>
  <si>
    <t>KELLIHER ELEMENTARY</t>
  </si>
  <si>
    <t>RED LAKE PUBLIC SCHOOL DISTRICT</t>
  </si>
  <si>
    <t>RED LAKE ELEMENTARY</t>
  </si>
  <si>
    <t>PONEMAH ELEMENTARY</t>
  </si>
  <si>
    <t>SAUK RAPIDS PUBLIC SCHOOL DISTRICT</t>
  </si>
  <si>
    <t>MISSISSIPPI HEIGHTS ELEMENTARY</t>
  </si>
  <si>
    <t>RICE ELEMENTARY</t>
  </si>
  <si>
    <t>PLEASANT VIEW ELEMENTARY</t>
  </si>
  <si>
    <t>FOLEY PUBLIC SCHOOL DISTRICT</t>
  </si>
  <si>
    <t>FOLEY ELEMENTARY</t>
  </si>
  <si>
    <t>FOLEY INTERMEDIATE ELEMENTARY</t>
  </si>
  <si>
    <t>KNOLL ELEMENTARY</t>
  </si>
  <si>
    <t>ST. CLAIR PUBLIC SCHOOL DISTRICT</t>
  </si>
  <si>
    <t>ST. CLAIR ELEMENTARY</t>
  </si>
  <si>
    <t>MANKATO PUBLIC SCHOOL DISTRICT</t>
  </si>
  <si>
    <t>KENNEDY ELEMENTARY</t>
  </si>
  <si>
    <t>BRIDGES COMMUNITY ELEMENTARY</t>
  </si>
  <si>
    <t>EAGLE LAKE ELEMENTARY</t>
  </si>
  <si>
    <t>SLEEPY EYE PUBLIC SCHOOL DISTRICT</t>
  </si>
  <si>
    <t>SLEEPY EYE ELEMENTARY</t>
  </si>
  <si>
    <t>SPRINGFIELD PUBLIC SCHOOL DISTRICT</t>
  </si>
  <si>
    <t>SPRINGFIELD ELEMENTARY</t>
  </si>
  <si>
    <t>NEW ULM PUBLIC SCHOOL DISTRICT</t>
  </si>
  <si>
    <t>BARNUM PUBLIC SCHOOL DISTRICT</t>
  </si>
  <si>
    <t>BARNUM ELEMENTARY</t>
  </si>
  <si>
    <t>CARLTON PUBLIC SCHOOL DISTRICT</t>
  </si>
  <si>
    <t>SOUTH TERRACE ELEMENTARY</t>
  </si>
  <si>
    <t>CLOQUET PUBLIC SCHOOL DISTRICT</t>
  </si>
  <si>
    <t>CHURCHILL ELEMENTARY</t>
  </si>
  <si>
    <t>CROMWELL-WRIGHT PUBLIC SCHOOLS</t>
  </si>
  <si>
    <t>CROMWELL-WRIGHT ELEMENTARY</t>
  </si>
  <si>
    <t>MOOSE LAKE PUBLIC SCHOOL DISTRICT</t>
  </si>
  <si>
    <t>MOOSE LAKE ELEMENTARY</t>
  </si>
  <si>
    <t>ESKO PUBLIC SCHOOL DISTRICT</t>
  </si>
  <si>
    <t>WINTERQUIST ELEMENTARY</t>
  </si>
  <si>
    <t>WRENSHALL PUBLIC SCHOOL DISTRICT</t>
  </si>
  <si>
    <t>WRENSHALL ELEMENTARY</t>
  </si>
  <si>
    <t>NORWOOD PUBLIC SCHOOL DISTRICT</t>
  </si>
  <si>
    <t>WACONIA PUBLIC SCHOOL DISTRICT</t>
  </si>
  <si>
    <t>SOUTHVIEW ELEMENTARY</t>
  </si>
  <si>
    <t>BAYVIEW ELEMENTARY</t>
  </si>
  <si>
    <t>WATERTOWN-MAYER PUBLIC SCHOOL DIST.</t>
  </si>
  <si>
    <t>WATERTOWN-MAYER ELEMENTARY</t>
  </si>
  <si>
    <t>CHASKA PUBLIC SCHOOL DISTRICT</t>
  </si>
  <si>
    <t>CHASKA ELEMENTARY</t>
  </si>
  <si>
    <t>CHANHASSEN ELEMENTARY</t>
  </si>
  <si>
    <t>EAST UNION ELEMENTARY</t>
  </si>
  <si>
    <t>BLUFF CREEK ELEMENTARY</t>
  </si>
  <si>
    <t>CLOVER RIDGE ELEMENTARY</t>
  </si>
  <si>
    <t>VICTORIA ELEMENTARY</t>
  </si>
  <si>
    <t>JONATHAN ELEMENTARY</t>
  </si>
  <si>
    <t>WALKER-HACKENSACK-AKELEY SCHL. DIST</t>
  </si>
  <si>
    <t>W.H.A. ELEMENTARY</t>
  </si>
  <si>
    <t>CASS LAKE-BENA PUBLIC SCHOOLS</t>
  </si>
  <si>
    <t>CASS LAKE-BENA ELEMENTARY</t>
  </si>
  <si>
    <t>PILLAGER PUBLIC SCHOOL DISTRICT</t>
  </si>
  <si>
    <t>PILLAGER ELEMENTARY</t>
  </si>
  <si>
    <t>NORTHLAND COMMUNITY SCHOOLS</t>
  </si>
  <si>
    <t>REMER ELEMENTARY</t>
  </si>
  <si>
    <t>LONGVILLE ELEMENTARY</t>
  </si>
  <si>
    <t>MONTEVIDEO PUBLIC SCHOOL DISTRICT</t>
  </si>
  <si>
    <t>SANFORD ELEMENTARY</t>
  </si>
  <si>
    <t>NORTH BRANCH PUBLIC SCHOOLS</t>
  </si>
  <si>
    <t>SUNRISE RIVER ELEMENTARY</t>
  </si>
  <si>
    <t>RUSH CITY PUBLIC SCHOOL DISTRICT</t>
  </si>
  <si>
    <t>C.E. JACOBSON ELEMENTARY</t>
  </si>
  <si>
    <t>BARNESVILLE PUBLIC SCHOOL DIST.</t>
  </si>
  <si>
    <t>BARNESVILLE ELEMENTARY</t>
  </si>
  <si>
    <t>HAWLEY PUBLIC SCHOOL DISTRICT</t>
  </si>
  <si>
    <t>HAWLEY ELEMENTARY</t>
  </si>
  <si>
    <t>MOORHEAD PUBLIC SCHOOL DISTRICT</t>
  </si>
  <si>
    <t>R. ASP ELEMENTARY</t>
  </si>
  <si>
    <t>ELLEN HOPKINS ELEMENTARY</t>
  </si>
  <si>
    <t>S.G.REINERTSEN ELEMENTARY</t>
  </si>
  <si>
    <t>BAGLEY PUBLIC SCHOOL DISTRICT</t>
  </si>
  <si>
    <t>BAGLEY ELEMENTARY</t>
  </si>
  <si>
    <t>COOK COUNTY PUBLIC SCHOOLS</t>
  </si>
  <si>
    <t>SAWTOOTH MOUNTAIN ELEMENTARY</t>
  </si>
  <si>
    <t>MOUNTAIN LAKE PUBLIC SCHOOLS</t>
  </si>
  <si>
    <t>MOUNTAIN LAKE ELEMENTARY</t>
  </si>
  <si>
    <t>WINDOM PUBLIC SCHOOL DISTRICT</t>
  </si>
  <si>
    <t>WINFAIR ELEMENTARY</t>
  </si>
  <si>
    <t>WINDOM MIDDLE</t>
  </si>
  <si>
    <t>BRAINERD PUBLIC SCHOOL DISTRICT</t>
  </si>
  <si>
    <t>BAXTER ELEMENTARY</t>
  </si>
  <si>
    <t>GARFIELD ELEMENTARY</t>
  </si>
  <si>
    <t>HARRISON ELEMENTARY</t>
  </si>
  <si>
    <t>LOWELL ELEMENTARY</t>
  </si>
  <si>
    <t>RIVERSIDE ELEMENTARY</t>
  </si>
  <si>
    <t>NISSWA ELEMENTARY</t>
  </si>
  <si>
    <t>CROSBY-IRONTON PUBLIC SCHOOL DIST.</t>
  </si>
  <si>
    <t>CUYUNA RANGE ELEMENTARY</t>
  </si>
  <si>
    <t>PEQUOT LAKES PUBLIC SCHOOLS</t>
  </si>
  <si>
    <t>EAGLE VIEW ELEMENTARY</t>
  </si>
  <si>
    <t>BURNSVILLE PUBLIC SCHOOL DISTRICT</t>
  </si>
  <si>
    <t>GIDEON POND ELEMENTARY</t>
  </si>
  <si>
    <t>EDWARD NEILL ELEMENTARY</t>
  </si>
  <si>
    <t>M.W. SAVAGE ELEMENTARY</t>
  </si>
  <si>
    <t>SIOUX TRAIL ELEMENTARY</t>
  </si>
  <si>
    <t>VISTA VIEW ELEMENTARY</t>
  </si>
  <si>
    <t>WILLIAM BYRNE ELEMENTARY</t>
  </si>
  <si>
    <t>RAHN ELEMENTARY</t>
  </si>
  <si>
    <t>SKY OAKS ELEMENTARY</t>
  </si>
  <si>
    <t>HIDDEN VALLEY ELEMENTARY</t>
  </si>
  <si>
    <t>HARRIET BISHOP ELEMENTARY</t>
  </si>
  <si>
    <t>FARMINGTON PUBLIC SCHOOL DISTRICT</t>
  </si>
  <si>
    <t>FARMINGTON ELEMENTARY</t>
  </si>
  <si>
    <t>NORTH TRAIL ELEMENTARY</t>
  </si>
  <si>
    <t>MEADOWVIEW ELEMENTARY</t>
  </si>
  <si>
    <t>RIVERVIEW ELEMENTARY</t>
  </si>
  <si>
    <t>AKIN ROAD ELEMENTARY</t>
  </si>
  <si>
    <t>LAKEVILLE PUBLIC SCHOOL DISTRICT</t>
  </si>
  <si>
    <t>HUDDLESTON ELEMENTARY</t>
  </si>
  <si>
    <t>ORCHARD LAKE ELEMENTARY</t>
  </si>
  <si>
    <t>CRYSTAL LAKE ELEMENTARY</t>
  </si>
  <si>
    <t>LAKE MARION ELEMENTARY</t>
  </si>
  <si>
    <t>CHERRY VIEW ELEMENTARY</t>
  </si>
  <si>
    <t>LAKEVIEW ELEMENTARY</t>
  </si>
  <si>
    <t>EASTVIEW ELEMENTARY</t>
  </si>
  <si>
    <t>OAK HILLS ELEMENTARY</t>
  </si>
  <si>
    <t>RANDOLPH PUBLIC SCHOOL DISTRICT</t>
  </si>
  <si>
    <t>RANDOLPH ELEMENTARY</t>
  </si>
  <si>
    <t>ROSEMOUNT-APPLE VALLEY-EAGAN</t>
  </si>
  <si>
    <t>ROSEMOUNT ELEMENTARY</t>
  </si>
  <si>
    <t>NORTHVIEW ELEMENTARY</t>
  </si>
  <si>
    <t>WESTVIEW ELEMENTARY</t>
  </si>
  <si>
    <t>PARKVIEW ELEMENTARY</t>
  </si>
  <si>
    <t>DIAMOND PATH ELEMENTARY</t>
  </si>
  <si>
    <t>GREENLEAF ELEMENTARY</t>
  </si>
  <si>
    <t>CEDAR PARK ELEMENTARY</t>
  </si>
  <si>
    <t>THOMAS LAKE ELEMENTARY</t>
  </si>
  <si>
    <t>ECHO PARK ELEMENTARY</t>
  </si>
  <si>
    <t>DEERWOOD ELEMENTARY</t>
  </si>
  <si>
    <t>WOODLAND ELEMENTARY</t>
  </si>
  <si>
    <t>PINEWOOD ELEMENTARY</t>
  </si>
  <si>
    <t>SHANNON PARK ELEMENTARY</t>
  </si>
  <si>
    <t>OAK RIDGE ELEMENTARY</t>
  </si>
  <si>
    <t>GLACIER HILLS ELEMENTARY</t>
  </si>
  <si>
    <t>RED PINE ELEMENTARY</t>
  </si>
  <si>
    <t>WEST ST. PAUL-MENDOTA HTS.-EAGAN</t>
  </si>
  <si>
    <t>MORELAND ELEMENTARY</t>
  </si>
  <si>
    <t>MENDOTA ELEMENTARY</t>
  </si>
  <si>
    <t>GARLOUGH ELEMENTARY</t>
  </si>
  <si>
    <t>SOMERSET ELEMENTARY</t>
  </si>
  <si>
    <t>PILOT KNOB ELEMENTARY</t>
  </si>
  <si>
    <t>INVER GROVE HEIGHTS SCHOOLS</t>
  </si>
  <si>
    <t>ATHENEUM ELEMENTARY</t>
  </si>
  <si>
    <t>HILLTOP ELEMENTARY</t>
  </si>
  <si>
    <t>PINE BEND ELEMENTARY</t>
  </si>
  <si>
    <t>SALEM HILLS ELEMENTARY</t>
  </si>
  <si>
    <t>HASTINGS PUBLIC SCHOOL DISTRICT</t>
  </si>
  <si>
    <t>PINECREST ELEMENTARY</t>
  </si>
  <si>
    <t>CHRISTA MCAULIFFE ELEMENTARY</t>
  </si>
  <si>
    <t>HAYFIELD PUBLIC SCHOOL DISTRICT</t>
  </si>
  <si>
    <t>BROWNSDALE ELEMENTARY</t>
  </si>
  <si>
    <t>HAYFIELD ELEMENTARY</t>
  </si>
  <si>
    <t>KASSON-MANTORVILLE SCHOOL DIST.</t>
  </si>
  <si>
    <t>KASSON-MANTORVILLE ELEMENTARY</t>
  </si>
  <si>
    <t>ALEXANDRIA PUBLIC SCHOOL DISTRICT</t>
  </si>
  <si>
    <t>CARLOS ELEMENTARY</t>
  </si>
  <si>
    <t>MILTONA ELEMENTARY</t>
  </si>
  <si>
    <t>VOYAGER ELEMENTARY</t>
  </si>
  <si>
    <t>BRANDON PUBLIC SCHOOL DISTRICT</t>
  </si>
  <si>
    <t>BRANDON ELEMENTARY</t>
  </si>
  <si>
    <t>OSAKIS PUBLIC SCHOOL DISTRICT</t>
  </si>
  <si>
    <t>OSAKIS ELEMENTARY</t>
  </si>
  <si>
    <t>CHATFIELD PUBLIC SCHOOLS</t>
  </si>
  <si>
    <t>CHOSEN VALLEY ELEMENTARY</t>
  </si>
  <si>
    <t>LANESBORO PUBLIC SCHOOL DISTRICT</t>
  </si>
  <si>
    <t>LANESBORO ELEMENTARY</t>
  </si>
  <si>
    <t>MABEL-CANTON PUBLIC SCHOOL DIST.</t>
  </si>
  <si>
    <t>MABEL-CANTON ELEMENTARY</t>
  </si>
  <si>
    <t>RUSHFORD-PETERSON PUBLIC SCHLS.</t>
  </si>
  <si>
    <t>RUSHFORD-PETERSON ELEMENTARY</t>
  </si>
  <si>
    <t>ALBERT LEA PUBLIC SCHOOL DISTRICT</t>
  </si>
  <si>
    <t>HALVERSON ELEMENTARY</t>
  </si>
  <si>
    <t>HAWTHORNE ELEMENTARY</t>
  </si>
  <si>
    <t>SIBLEY ELEMENTARY</t>
  </si>
  <si>
    <t>ALDEN-CONGER PUBLIC SCHOOL DISTRICT</t>
  </si>
  <si>
    <t>ALDEN-CONGER ELEMENTARY</t>
  </si>
  <si>
    <t>CANNON FALLS PUBLIC SCHOOL DISTRICT</t>
  </si>
  <si>
    <t>CANNON FALLS ELEMENTARY</t>
  </si>
  <si>
    <t>GOODHUE PUBLIC SCHOOL DISTRICT</t>
  </si>
  <si>
    <t>GOODHUE ELEMENTARY</t>
  </si>
  <si>
    <t>PINE ISLAND PUBLIC SCHOOL DIST.</t>
  </si>
  <si>
    <t>PINE ISLAND ELEMENTARY</t>
  </si>
  <si>
    <t>RED WING PUBLIC SCHOOL DISTRICT</t>
  </si>
  <si>
    <t>BURNSIDE ELEMENTARY.</t>
  </si>
  <si>
    <t>ASHBY PUBLIC SCHOOL DISTRICT</t>
  </si>
  <si>
    <t>ASHBY ELEMENTARY</t>
  </si>
  <si>
    <t>HOPKINS PUBLIC SCHOOL DISTRICT</t>
  </si>
  <si>
    <t>ALICE SMITH ELEMENTARY</t>
  </si>
  <si>
    <t>GLEN LAKE ELEMENTARY</t>
  </si>
  <si>
    <t>L.H. TANGLEN ELEMENTARY</t>
  </si>
  <si>
    <t>GATEWOOD ELEMENTARY</t>
  </si>
  <si>
    <t>MEADOWBROOK ELEMENTARY</t>
  </si>
  <si>
    <t>BLOOMINGTON PUBLIC SCHOOL DISTRICT</t>
  </si>
  <si>
    <t>WASHBURN ELEMENTARY</t>
  </si>
  <si>
    <t>HILLCREST ELEMENTARY</t>
  </si>
  <si>
    <t>INDIAN MOUNDS ELEMENTARY</t>
  </si>
  <si>
    <t>OLSON ELEMENTARY</t>
  </si>
  <si>
    <t>OAK GROVE ELEMENTARY</t>
  </si>
  <si>
    <t>NORMANDALE HILLS ELEMENTARY</t>
  </si>
  <si>
    <t>POPLAR BRIDGE ELEMENTARY</t>
  </si>
  <si>
    <t>RIDGEVIEW ELEMENTARY</t>
  </si>
  <si>
    <t>WESTWOOD ELEMENTARY</t>
  </si>
  <si>
    <t>EDEN PRAIRIE PUBLIC SCHOOL DISTRICT</t>
  </si>
  <si>
    <t>PRAIRIE VIEW ELEMENTARY</t>
  </si>
  <si>
    <t>FOREST HILLS ELEMENTARY</t>
  </si>
  <si>
    <t>EDEN LAKE ELEMENTARY</t>
  </si>
  <si>
    <t>EAGLE HEIGHTS SPANISH IMMERSION</t>
  </si>
  <si>
    <t>CEDAR RIDGE ELEMENTARY</t>
  </si>
  <si>
    <t>EDINA PUBLIC SCHOOL DISTRICT</t>
  </si>
  <si>
    <t>CONCORD ELEMENTARY</t>
  </si>
  <si>
    <t>CORNELIA ELEMENTARY</t>
  </si>
  <si>
    <t>COUNTRYSIDE ELEMENTARY</t>
  </si>
  <si>
    <t>HIGHLANDS ELEMENTARY</t>
  </si>
  <si>
    <t>CREEK VALLEY ELEMENTARY</t>
  </si>
  <si>
    <t>NORMANDALE ELEMENTARY</t>
  </si>
  <si>
    <t>MINNETONKA PUBLIC SCHOOL DISTRICT</t>
  </si>
  <si>
    <t>CLEAR SPRINGS ELEMENTARY</t>
  </si>
  <si>
    <t>DEEPHAVEN ELEMENTARY</t>
  </si>
  <si>
    <t>EXCELSIOR ELEMENTARY</t>
  </si>
  <si>
    <t>GROVELAND ELEMENTARY</t>
  </si>
  <si>
    <t>MINNEWASHTA ELEMENTARY</t>
  </si>
  <si>
    <t>SCENIC HEIGHTS ELEMENTARY</t>
  </si>
  <si>
    <t>WESTONKA PUBLIC SCHOOL DISTRICT</t>
  </si>
  <si>
    <t>SHIRLEY HILLS PRIMARY SCHOOL</t>
  </si>
  <si>
    <t>HILLTOP PRIMARY SCHOOL</t>
  </si>
  <si>
    <t>ORONO PUBLIC SCHOOL DISTRICT</t>
  </si>
  <si>
    <t>ORONO INTERMEDIATE ELEMENTARY</t>
  </si>
  <si>
    <t>OSSEO PUBLIC SCHOOL DISTRICT</t>
  </si>
  <si>
    <t>EDINBROOK ELEMENTARY</t>
  </si>
  <si>
    <t>RUSH CREEK ELEMENTARY</t>
  </si>
  <si>
    <t>BASSWOOD ELEMENTARY</t>
  </si>
  <si>
    <t>BIRCH GROVE SCHOOL FOR THE ARTS</t>
  </si>
  <si>
    <t>CREST VIEW ELEMENTARY</t>
  </si>
  <si>
    <t>EDGEWOOD SCIENCE, MATH &amp; TECHNOLOGY</t>
  </si>
  <si>
    <t>FAIR OAKS ELEMENTARY</t>
  </si>
  <si>
    <t>GARDEN CITY ELEMENTARY</t>
  </si>
  <si>
    <t>PALMER LAKE ELEMENTARY</t>
  </si>
  <si>
    <t>PARK BROOK ELEMENTARY</t>
  </si>
  <si>
    <t>ZANEWOOD COMMUNITY SCHOOL</t>
  </si>
  <si>
    <t>CEDAR ISLAND ELEMENTARY</t>
  </si>
  <si>
    <t>ELM CREEK ELEMENTARY</t>
  </si>
  <si>
    <t>FERNBROOK ELEMENTARY</t>
  </si>
  <si>
    <t>OAK VIEW ELEMENTARY</t>
  </si>
  <si>
    <t>RICHFIELD PUBLIC SCHOOL DISTRICT</t>
  </si>
  <si>
    <t>RICHFIELD INTERMEDIATE ELEMENTARY</t>
  </si>
  <si>
    <t>ROBBINSDALE PUBLIC SCHOOL DISTRICT</t>
  </si>
  <si>
    <t>FOREST ELEMENTARY</t>
  </si>
  <si>
    <t>MEADOW LAKE ELEMENTARY</t>
  </si>
  <si>
    <t>NEILL ELEMENTARY</t>
  </si>
  <si>
    <t>ROBBINSDALE SPANISH IMMERSION EL.</t>
  </si>
  <si>
    <t>NOBLE ELEMENTARY</t>
  </si>
  <si>
    <t>NORTHPORT ELEMENTARY</t>
  </si>
  <si>
    <t>SONNESYN ELEMENTARY</t>
  </si>
  <si>
    <t>ZACHARY LANE ELEMENTARY</t>
  </si>
  <si>
    <t>ST. ANTHONY-NEW BRIGHTON SCHOOLS</t>
  </si>
  <si>
    <t>WILSHIRE PARK ELEMENTARY</t>
  </si>
  <si>
    <t>ST. LOUIS PARK PUBLIC SCHOOL DIST.</t>
  </si>
  <si>
    <t>AQUILA ELEMENTARY</t>
  </si>
  <si>
    <t>CEDAR MANOR ELEMENTARY</t>
  </si>
  <si>
    <t>PETER HOBART ELEMENTARY</t>
  </si>
  <si>
    <t>SUSAN LINDGREN ELEMENTARY</t>
  </si>
  <si>
    <t>PARK SPANISH IMMERSION ELEMENTARY</t>
  </si>
  <si>
    <t>WAYZATA PUBLIC SCHOOL DISTRICT</t>
  </si>
  <si>
    <t>BIRCHVIEW ELEMENTARY</t>
  </si>
  <si>
    <t>GREENWOOD ELEMENTARY</t>
  </si>
  <si>
    <t>OAKWOOD ELEMENTARY</t>
  </si>
  <si>
    <t>SUNSET HILL ELEMENTARY</t>
  </si>
  <si>
    <t>PLYMOUTH CREEK ELEMENTARY</t>
  </si>
  <si>
    <t>GLEASON LAKE ELEMENTARY</t>
  </si>
  <si>
    <t>KIMBERLY LANE ELEMENTARY</t>
  </si>
  <si>
    <t>BROOKLYN CENTER SCHOOL DISTRICT</t>
  </si>
  <si>
    <t>EARLE BROWN ELEMENTARY</t>
  </si>
  <si>
    <t>HOUSTON PUBLIC SCHOOL DISTRICT</t>
  </si>
  <si>
    <t>HOUSTON ELEMENTARY</t>
  </si>
  <si>
    <t>MINNESOTA VIRTUAL ACADEMY</t>
  </si>
  <si>
    <t>SPRING GROVE SCHOOL DISTRICT</t>
  </si>
  <si>
    <t>SPRING GROVE ELEMENTARY</t>
  </si>
  <si>
    <t>CALEDONIA PUBLIC SCHOOL DISTRICT</t>
  </si>
  <si>
    <t>CALEDONIA ELEMENTARY</t>
  </si>
  <si>
    <t>LACRESCENT-HOKAH SCHOOL DISTRICT</t>
  </si>
  <si>
    <t>LACRESCENT-HOKAH ELEMENTARY</t>
  </si>
  <si>
    <t>LAPORTE PUBLIC SCHOOL DISTRICT</t>
  </si>
  <si>
    <t>LAPORTE ELEMENTARY</t>
  </si>
  <si>
    <t>NEVIS PUBLIC SCHOOL DISTRICT</t>
  </si>
  <si>
    <t>NEVIS ELEMENTARY</t>
  </si>
  <si>
    <t>PARK RAPIDS PUBLIC SCHOOL DISTRICT</t>
  </si>
  <si>
    <t>PARK RAPIDS AREA CENTURY ELEMENTARY</t>
  </si>
  <si>
    <t>BRAHAM PUBLIC SCHOOL DISTRICT</t>
  </si>
  <si>
    <t>BRAHAM ELEMENTARY</t>
  </si>
  <si>
    <t>GREENWAY PUBLIC SCHOOL DISTRICT</t>
  </si>
  <si>
    <t>VANDYKE ELEMENTARY</t>
  </si>
  <si>
    <t>CONNOR-JASPER MIDDLE</t>
  </si>
  <si>
    <t>DEER RIVER PUBLIC SCHOOL DISTRICT</t>
  </si>
  <si>
    <t>NORTH ELEMENTARY</t>
  </si>
  <si>
    <t>KING ELEMENTARY</t>
  </si>
  <si>
    <t>GRAND RAPIDS PUBLIC SCHOOL DISTRICT</t>
  </si>
  <si>
    <t>COHASSET ELEMENTARY</t>
  </si>
  <si>
    <t>BIGFORK ELEMENTARY</t>
  </si>
  <si>
    <t>FOREST LAKE ELEMENTARY</t>
  </si>
  <si>
    <t>MURPHY ELEMENTARY</t>
  </si>
  <si>
    <t>SOUTHWEST ELEMENTARY</t>
  </si>
  <si>
    <t>NASHWAUK-KEEWATIN SCHOOL DISTRICT</t>
  </si>
  <si>
    <t>KEEWATIN ELEMENTARY</t>
  </si>
  <si>
    <t>HERON LAKE-OKABENA SCHOOL DISTRICT</t>
  </si>
  <si>
    <t>HERON LAKE-OKABENA ELEMENTARY</t>
  </si>
  <si>
    <t>MORA PUBLIC SCHOOL DISTRICT</t>
  </si>
  <si>
    <t>TRAILVIEW ELEMENTARY</t>
  </si>
  <si>
    <t>OGILVIE PUBLIC SCHOOL DISTRICT</t>
  </si>
  <si>
    <t>OGILVIE ELEMENTARY</t>
  </si>
  <si>
    <t>NEW LONDON-SPICER SCHOOL DISTRICT</t>
  </si>
  <si>
    <t>PRAIRIE WOODS ELEMENTARY</t>
  </si>
  <si>
    <t>WILLMAR PUBLIC SCHOOL DISTRICT</t>
  </si>
  <si>
    <t>LANCASTER PUBLIC SCHOOL DISTRICT</t>
  </si>
  <si>
    <t>LANCASTER ELEMENTARY</t>
  </si>
  <si>
    <t>INTERNATIONAL FALLS SCHOOL DISTRICT</t>
  </si>
  <si>
    <t>FALLS ELEMENTARY</t>
  </si>
  <si>
    <t>LITTLEFORK-BIG FALLS SCHOOL DIST.</t>
  </si>
  <si>
    <t>LITTLEFORK-BIG FALLS ELEMENTARY</t>
  </si>
  <si>
    <t>DAWSON-BOYD PUBLIC SCHOOL DISTRICT</t>
  </si>
  <si>
    <t>STEVENS ELEMENTARY</t>
  </si>
  <si>
    <t>LAKE SUPERIOR PUBLIC SCHOOL DIST.</t>
  </si>
  <si>
    <t>WILLIAM KELLEY ELEMENTARY</t>
  </si>
  <si>
    <t>MINNEHAHA ELEMENTARY</t>
  </si>
  <si>
    <t>LAKE OF THE WOODS SCHOOL DISTRICT</t>
  </si>
  <si>
    <t>LAKE OF THE WOODS ELEMENTARY</t>
  </si>
  <si>
    <t>CLEVELAND PUBLIC SCHOOL DISTRICT</t>
  </si>
  <si>
    <t>CLEVELAND ELEMENTARY</t>
  </si>
  <si>
    <t>LECENTER PUBLIC SCHOOL DISTRICT</t>
  </si>
  <si>
    <t>LECENTER ELEMENTARY</t>
  </si>
  <si>
    <t>MONTGOMERY-LONSDALE SCHOOL DISTRICT</t>
  </si>
  <si>
    <t>MONTGOMERY-LONSDALE ELEMENTARY</t>
  </si>
  <si>
    <t>MONTGOMERY-LONSDALE ELEMENTARY EAST</t>
  </si>
  <si>
    <t>HENDRICKS PUBLIC SCHOOL DISTRICT</t>
  </si>
  <si>
    <t>LAKE BENTON PUBLIC SCHOOL DISTRICT</t>
  </si>
  <si>
    <t>LAKE BENTON ELEMENTARY</t>
  </si>
  <si>
    <t>MARSHALL PUBLIC SCHOOL DISTRICT</t>
  </si>
  <si>
    <t>WEST SIDE ELEMENTARY</t>
  </si>
  <si>
    <t>MINNEOTA PUBLIC SCHOOL DISTRICT</t>
  </si>
  <si>
    <t>MINNEOTA ELEMENTARY</t>
  </si>
  <si>
    <t>TRACY ELEMENTARY</t>
  </si>
  <si>
    <t>HUTCHINSON PUBLIC SCHOOL DISTRICT</t>
  </si>
  <si>
    <t>HUTCHINSON PARK ELEMENTARY</t>
  </si>
  <si>
    <t>LESTER PRAIRIE PUBLIC SCHOOL DIST.</t>
  </si>
  <si>
    <t>LESTER PRAIRIE ELEMENTARY</t>
  </si>
  <si>
    <t>MAHNOMEN PUBLIC SCHOOL DISTRICT</t>
  </si>
  <si>
    <t>MAHNOMEN ELEMENTARY</t>
  </si>
  <si>
    <t>WAUBUN PUBLIC SCHOOL DISTRICT</t>
  </si>
  <si>
    <t>OGEMA ELEMENTARY</t>
  </si>
  <si>
    <t>MARSHALL COUNTY CENTRAL SCHOOLS</t>
  </si>
  <si>
    <t>NEWFOLDEN ELEMENTARY</t>
  </si>
  <si>
    <t>VIKING ELEMENTARY</t>
  </si>
  <si>
    <t>TRUMAN PUBLIC SCHOOL DISTRICT</t>
  </si>
  <si>
    <t>TRUMAN ELEMENTARY</t>
  </si>
  <si>
    <t>EDEN VALLEY-WATKINS SCHOOL DISTRICT</t>
  </si>
  <si>
    <t>EDEN VALLEY ELEMENTARY</t>
  </si>
  <si>
    <t>LITCHFIELD PUBLIC SCHOOL DISTRICT</t>
  </si>
  <si>
    <t>LAKE RIPLEY ELEMENTARY</t>
  </si>
  <si>
    <t>WAGNER ELEMENTARY</t>
  </si>
  <si>
    <t>DASSEL-COKATO PUBLIC SCHOOL DIST.</t>
  </si>
  <si>
    <t>COKATO ELEMENTARY</t>
  </si>
  <si>
    <t>DASSEL ELEMENTARY</t>
  </si>
  <si>
    <t>ISLE PUBLIC SCHOOL DISTRICT</t>
  </si>
  <si>
    <t>ISLE ELEMENTARY</t>
  </si>
  <si>
    <t>PRINCETON PUBLIC SCHOOL DISTRICT</t>
  </si>
  <si>
    <t>ONAMIA PUBLIC SCHOOL DISTRICT</t>
  </si>
  <si>
    <t>ONAMIA ELEMENTARY</t>
  </si>
  <si>
    <t>LITTLE FALLS PUBLIC SCHOOL DISTRICT</t>
  </si>
  <si>
    <t>LINDBERGH ELEMENTARY</t>
  </si>
  <si>
    <t>KNIGHT ELEMENTARY</t>
  </si>
  <si>
    <t>PIERZ PUBLIC SCHOOL DISTRICT</t>
  </si>
  <si>
    <t>PIONEER ELEMENTARY</t>
  </si>
  <si>
    <t>ROYALTON PUBLIC SCHOOL DISTRICT</t>
  </si>
  <si>
    <t>ROYALTON ELEMENTARY</t>
  </si>
  <si>
    <t>SWANVILLE PUBLIC SCHOOL DISTRICT</t>
  </si>
  <si>
    <t>SWANVILLE ELEMENTARY</t>
  </si>
  <si>
    <t>UPSALA PUBLIC SCHOOL DISTRICT</t>
  </si>
  <si>
    <t>UPSALA ELEMENTARY</t>
  </si>
  <si>
    <t>AUSTIN PUBLIC SCHOOL DISTRICT</t>
  </si>
  <si>
    <t>BANFIELD ELEMENTARY</t>
  </si>
  <si>
    <t>NEVELN ELEMENTARY</t>
  </si>
  <si>
    <t>SOUTHGATE ELEMENTARY</t>
  </si>
  <si>
    <t>SUMNER ELEMENTARY</t>
  </si>
  <si>
    <t>GRAND MEADOW PUBLIC SCHOOL DISTRICT</t>
  </si>
  <si>
    <t>GRAND MEADOW ELEMENTARY</t>
  </si>
  <si>
    <t>LYLE PUBLIC SCHOOL DISTRICT</t>
  </si>
  <si>
    <t>LYLE ELEMENTARY</t>
  </si>
  <si>
    <t>LEROY PUBLIC SCHOOL DISTRICT</t>
  </si>
  <si>
    <t>LEROY ELEMENTARY</t>
  </si>
  <si>
    <t>SOUTHLAND PUBLIC SCHOOL DISTRICT</t>
  </si>
  <si>
    <t>SOUTHLAND ELEMENTARY</t>
  </si>
  <si>
    <t>FULDA PUBLIC SCHOOL DISTRICT</t>
  </si>
  <si>
    <t>FULDA ELEMENTARY</t>
  </si>
  <si>
    <t>NICOLLET PUBLIC SCHOOL DISTRICT</t>
  </si>
  <si>
    <t>NICOLLET ELEMENTARY</t>
  </si>
  <si>
    <t>ST. PETER PUBLIC SCHOOL DISTRICT</t>
  </si>
  <si>
    <t>NORTH INTERMEDIATE ELEMENTARY</t>
  </si>
  <si>
    <t>ADRIAN PUBLIC SCHOOL DISTRICT</t>
  </si>
  <si>
    <t>ADRIAN ELEMENTARY</t>
  </si>
  <si>
    <t>BREWSTER PUBLIC SCHOOL DISTRICT</t>
  </si>
  <si>
    <t>BREWSTER ELEMENTARY</t>
  </si>
  <si>
    <t>WORTHINGTON PUBLIC SCHOOL DISTRICT</t>
  </si>
  <si>
    <t>PRAIRIE ELEMENTARY</t>
  </si>
  <si>
    <t>BYRON PUBLIC SCHOOL DISTRICT</t>
  </si>
  <si>
    <t>BYRON ELEMENTARY</t>
  </si>
  <si>
    <t>DOVER-EYOTA PUBLIC SCHOOL DISTRICT</t>
  </si>
  <si>
    <t>DOVER-EYOTA ELEMENTARY</t>
  </si>
  <si>
    <t>STEWARTVILLE PUBLIC SCHOOL DISTRICT</t>
  </si>
  <si>
    <t>BONNER ELEMENTARY</t>
  </si>
  <si>
    <t>ROCHESTER PUBLIC SCHOOL DISTRICT</t>
  </si>
  <si>
    <t>BAMBER VALLEY ELEMENTARY</t>
  </si>
  <si>
    <t>BISHOP ELEMENTARY</t>
  </si>
  <si>
    <t>ELTON HILLS ELEMENTARY</t>
  </si>
  <si>
    <t>FOLWELL ELEMENTARY</t>
  </si>
  <si>
    <t>MONTESSORI AT FRANKLIN</t>
  </si>
  <si>
    <t>GAGE ELEMENTARY</t>
  </si>
  <si>
    <t>GEORGE W. GIBBS ELEMENTARY</t>
  </si>
  <si>
    <t>LINCOLN K-8 CHOICE ELEMENTARY</t>
  </si>
  <si>
    <t>LONGFELLOW CHOICE ELEMENTARY</t>
  </si>
  <si>
    <t>RIVERSIDE CENTRAL ELEMENTARY</t>
  </si>
  <si>
    <t>SUNSET TERRACE ELEMENTARY</t>
  </si>
  <si>
    <t>BATTLE LAKE PUBLIC SCHOOL DISTRICT</t>
  </si>
  <si>
    <t>BATTLE LAKE ELEMENTARY</t>
  </si>
  <si>
    <t>FERGUS FALLS PUBLIC SCHOOL DISTRICT</t>
  </si>
  <si>
    <t>HENNING PUBLIC SCHOOL DISTRICT</t>
  </si>
  <si>
    <t>HENNING ELEMENTARY</t>
  </si>
  <si>
    <t>PARKERS PRAIRIE PUBLIC SCHOOL DIST.</t>
  </si>
  <si>
    <t>PARKERS PRAIRIE ELEMENTARY</t>
  </si>
  <si>
    <t>PELICAN RAPIDS PUBLIC SCHOOL DIST.</t>
  </si>
  <si>
    <t>PELICAN RAPIDS ELEMENTARY</t>
  </si>
  <si>
    <t>PERHAM PUBLIC SCHOOL DISTRICT</t>
  </si>
  <si>
    <t>HEART OF THE LAKE ELEMENTARY</t>
  </si>
  <si>
    <t>UNDERWOOD PUBLIC SCHOOL DISTRICT</t>
  </si>
  <si>
    <t>UNDERWOOD ELEMENTARY</t>
  </si>
  <si>
    <t>NEW YORK MILLS PUBLIC SCHOOL DIST.</t>
  </si>
  <si>
    <t>NEW YORK MILLS ELEMENTARY</t>
  </si>
  <si>
    <t>THIEF RIVER FALLS SCHOOL DISTRICT</t>
  </si>
  <si>
    <t>CHALLENGER ELEMENTARY</t>
  </si>
  <si>
    <t>WILLOW RIVER PUBLIC SCHOOL DISTRICT</t>
  </si>
  <si>
    <t>WILLOW RIVER ELEMENTARY</t>
  </si>
  <si>
    <t>PINE CITY PUBLIC SCHOOL DISTRICT</t>
  </si>
  <si>
    <t>PINE CITY ELEMENTARY</t>
  </si>
  <si>
    <t>EDGERTON PUBLIC SCHOOL DISTRICT</t>
  </si>
  <si>
    <t>EDGERTON ELEMENTARY</t>
  </si>
  <si>
    <t>CROOKSTON PUBLIC SCHOOL DISTRICT</t>
  </si>
  <si>
    <t>EAST GRAND FORKS PUBLIC SCHOOL DIST</t>
  </si>
  <si>
    <t>SOUTH POINT ELEMENTARY</t>
  </si>
  <si>
    <t>FERTILE-BELTRAMI SCHOOL DISTRICT</t>
  </si>
  <si>
    <t>FERTILE-BELTRAMI ELEMENTARY</t>
  </si>
  <si>
    <t>FISHER PUBLIC SCHOOL DISTRICT</t>
  </si>
  <si>
    <t>FISHER ELEMENTARY</t>
  </si>
  <si>
    <t>FOSSTON PUBLIC SCHOOL DISTRICT</t>
  </si>
  <si>
    <t>MAGELSSEN ELEMENTARY</t>
  </si>
  <si>
    <t>MOUNDS VIEW PUBLIC SCHOOL DISTRICT</t>
  </si>
  <si>
    <t>BEL AIR ELEMENTARY</t>
  </si>
  <si>
    <t>ISLAND LAKE ELEMENTARY</t>
  </si>
  <si>
    <t>PINEWOOD EL.</t>
  </si>
  <si>
    <t>SUNNYSIDE ELEMENTARY</t>
  </si>
  <si>
    <t>TURTLE LAKE EL.</t>
  </si>
  <si>
    <t>VALENTINE HILLS EL.</t>
  </si>
  <si>
    <t>NORTH ST PAUL-MAPLEWOOD SCHOOL DIST</t>
  </si>
  <si>
    <t>CARVER ELEMENTARY</t>
  </si>
  <si>
    <t>CASTLE ELEMENTARY</t>
  </si>
  <si>
    <t>COWERN ELEMENTARY</t>
  </si>
  <si>
    <t>EAGLE POINT ELEMENTARY</t>
  </si>
  <si>
    <t>OAKDALE ELEMENTARY</t>
  </si>
  <si>
    <t>RICHARDSON ELEMENTARY</t>
  </si>
  <si>
    <t>WEAVER ELEMENTARY</t>
  </si>
  <si>
    <t>WEBSTER ELEMENTARY</t>
  </si>
  <si>
    <t>SKYVIEW COMMUNITY ELEMENTARY</t>
  </si>
  <si>
    <t>ROSEVILLE PUBLIC SCHOOL DISTRICT</t>
  </si>
  <si>
    <t>PARKVIEW CENTER SCHOOL</t>
  </si>
  <si>
    <t>BRIMHALL ELEMENTARY</t>
  </si>
  <si>
    <t>CENTRAL PARK ELEMENTARY</t>
  </si>
  <si>
    <t>FALCON HEIGHTS ELEMENTARY</t>
  </si>
  <si>
    <t>LITTLE CANADA ELEMENTARY</t>
  </si>
  <si>
    <t>WILLIAMS ELEMENTARY</t>
  </si>
  <si>
    <t>WHITE BEAR LAKE SCHOOL DISTRICT</t>
  </si>
  <si>
    <t>ONEKA ELEMENTARY SCHOOL</t>
  </si>
  <si>
    <t>BIRCH LAKE ELEMENTARY</t>
  </si>
  <si>
    <t>OTTER LAKE ELEMENTARY</t>
  </si>
  <si>
    <t>LAKEAIRES ELEMENTARY</t>
  </si>
  <si>
    <t>VADNAIS HEIGHTS ELEMENTARY</t>
  </si>
  <si>
    <t>WILLOW LANE ELEMENTARY</t>
  </si>
  <si>
    <t>ST. PAUL PUBLIC SCHOOL DISTRICT</t>
  </si>
  <si>
    <t>ST. PAUL OPEN SCHOOL</t>
  </si>
  <si>
    <t>BENJ. E. MAYS MAGNET/RONDO</t>
  </si>
  <si>
    <t>ADAMS MAGNET ELEMENTARY</t>
  </si>
  <si>
    <t>AMES ELEMENTARY</t>
  </si>
  <si>
    <t>JOHN A.JOHNSON ACHIEVEMENT PLUS EL.</t>
  </si>
  <si>
    <t>BATTLE CREEK MAGNET ELEMENTARY</t>
  </si>
  <si>
    <t>CHELSEA HEIGHTS ELEMENTARY</t>
  </si>
  <si>
    <t>CHEROKEE HEIGHTS MAGNET ELEMENTARY</t>
  </si>
  <si>
    <t>COMO PARK ELEMENTARY</t>
  </si>
  <si>
    <t>DAYTONS BLUFF ELEMENTARY</t>
  </si>
  <si>
    <t>EXPO/HARRIET BISHOP CENTER</t>
  </si>
  <si>
    <t>MUSEUM MAGNET/RONDO</t>
  </si>
  <si>
    <t>BRUCE F VENTO ELEMENTARY</t>
  </si>
  <si>
    <t>EASTERN HEIGHTS ELEMENTARY</t>
  </si>
  <si>
    <t>FARNSWORTH AEROSPACE ELEMENTARY</t>
  </si>
  <si>
    <t>FOUR SEASONS ELEMENTARY</t>
  </si>
  <si>
    <t>FRANKLIN MAGNET ELEMENTARY</t>
  </si>
  <si>
    <t>L'ETOILE DU NORD FRENCH IMMERSION</t>
  </si>
  <si>
    <t>FROST LAKE MAGNET ELEMENTARY</t>
  </si>
  <si>
    <t>CROSSROADS MONTESSORI</t>
  </si>
  <si>
    <t>CROSSROADS SCIENCE PROGRAM</t>
  </si>
  <si>
    <t>GALTIER MAGNET ELEMENTARY</t>
  </si>
  <si>
    <t>GROVELAND PARK ELEMENTARY</t>
  </si>
  <si>
    <t>HANCOCK/HAMLINE MAGNET ELEMENTARY</t>
  </si>
  <si>
    <t>HAYDEN HEIGHTS ELEMENTARY</t>
  </si>
  <si>
    <t>HIGHLAND PARK ELEMENTARY</t>
  </si>
  <si>
    <t>HILL MONTESSORI</t>
  </si>
  <si>
    <t>CAPITOL HILL MAGNET/RONDO</t>
  </si>
  <si>
    <t>HIGHWOOD HILLS ELEMENTARY</t>
  </si>
  <si>
    <t>HOMECROFT ELEMENTARY</t>
  </si>
  <si>
    <t>JACKSON MAGNET ELEMENTARY</t>
  </si>
  <si>
    <t>LINWOOD A+ MAGNET ELEMENTARY</t>
  </si>
  <si>
    <t>LONGFELLOW MAGNET ELEMENTARY</t>
  </si>
  <si>
    <t>MANN ELEMENTARY</t>
  </si>
  <si>
    <t>MAXFIELD MAGNET ELEMENTARY</t>
  </si>
  <si>
    <t>MISSISSIPPI MAGNET ELEMENTARY</t>
  </si>
  <si>
    <t>MONROE COMMUNITY</t>
  </si>
  <si>
    <t>WORLD CULTURES MAGNET/MNDS PRK.</t>
  </si>
  <si>
    <t>NOKOMIS MONTESSORI/MAGNET</t>
  </si>
  <si>
    <t>NORTH END ELEMENTARY</t>
  </si>
  <si>
    <t>PHALEN LAKE ELEMENTARY</t>
  </si>
  <si>
    <t>PROSPERITY HEIGHTS ELEMENTARY</t>
  </si>
  <si>
    <t>RANDOLPH HEIGHTS ELEMENTARY</t>
  </si>
  <si>
    <t>RIVERVIEW MAGNET ELEMENTARY</t>
  </si>
  <si>
    <t>PAUL &amp; SHEILA WELLSTONE ELEMENTARY</t>
  </si>
  <si>
    <t>ROOSEVELT MAGNET ELEMENTARY</t>
  </si>
  <si>
    <t>ST. ANTHONY PARK ELEMENTARY</t>
  </si>
  <si>
    <t>WEBSTER MAGNET ELEMENTARY</t>
  </si>
  <si>
    <t>AMERICAN INDIAN/MOUNDS PARK</t>
  </si>
  <si>
    <t>PLUMMER PUBLIC SCHOOL DISTRICT</t>
  </si>
  <si>
    <t>RED LAKE COUNTY CENTRAL ELEMENTARY</t>
  </si>
  <si>
    <t>RED LAKE FALLS PUBLIC SCHOOL DIST.</t>
  </si>
  <si>
    <t>J.A. HUGHES ELEMENTARY</t>
  </si>
  <si>
    <t>WABASSO PUBLIC SCHOOL DISTRICT</t>
  </si>
  <si>
    <t>WABASSO ELEMENTARY</t>
  </si>
  <si>
    <t>FARIBAULT PUBLIC SCHOOL DISTRICT</t>
  </si>
  <si>
    <t>NORTHFIELD PUBLIC SCHOOL DISTRICT</t>
  </si>
  <si>
    <t>GREENVALE PARK ELEMENTARY</t>
  </si>
  <si>
    <t>BRIDGEWATER ELEMENTARY</t>
  </si>
  <si>
    <t>HILLS-BEAVER CREEK SCHOOL DISTRICT</t>
  </si>
  <si>
    <t>HILLS-BEAVER CREEK ELEMENTARY</t>
  </si>
  <si>
    <t>BADGER PUBLIC SCHOOL DISTRICT</t>
  </si>
  <si>
    <t>BADGER ELEMENTARY</t>
  </si>
  <si>
    <t>ROSEAU PUBLIC SCHOOL DISTRICT</t>
  </si>
  <si>
    <t>ROSEAU ELEMENTARY</t>
  </si>
  <si>
    <t>WARROAD PUBLIC SCHOOL DISTRICT</t>
  </si>
  <si>
    <t>WARROAD UPPER ELEMENTARY (3-6)</t>
  </si>
  <si>
    <t>CHISHOLM PUBLIC SCHOOL DISTRICT</t>
  </si>
  <si>
    <t>VAUGHAN ELEMENTARY</t>
  </si>
  <si>
    <t>CHISHOLM ELEMENTARY</t>
  </si>
  <si>
    <t>ELY PUBLIC SCHOOL DISTRICT</t>
  </si>
  <si>
    <t>FLOODWOOD PUBLIC SCHOOL DISTRICT</t>
  </si>
  <si>
    <t>FLOODWOOD ELEMENTARY</t>
  </si>
  <si>
    <t>HERMANTOWN PUBLIC SCHOOL DISTRICT</t>
  </si>
  <si>
    <t>HERMANTOWN ELEMENTARY</t>
  </si>
  <si>
    <t>HERMANTOWN MIDDLE</t>
  </si>
  <si>
    <t>HIBBING PUBLIC SCHOOL DISTRICT</t>
  </si>
  <si>
    <t>PROCTOR PUBLIC SCHOOL DISTRICT</t>
  </si>
  <si>
    <t>BAY VIEW ELEMENTARY</t>
  </si>
  <si>
    <t>PIKE LAKE ELEMENTARY</t>
  </si>
  <si>
    <t>VIRGINIA PUBLIC SCHOOL DISTRICT</t>
  </si>
  <si>
    <t>DULUTH PUBLIC SCHOOL DISTRICT</t>
  </si>
  <si>
    <t>CONGDON PARK ELEMENTARY</t>
  </si>
  <si>
    <t>GRANT MAGNET ELEMENTARY</t>
  </si>
  <si>
    <t>LAKEWOOD ELEMENTARY</t>
  </si>
  <si>
    <t>LESTER PARK ELEMENTARY</t>
  </si>
  <si>
    <t>LINCOLN PARK ELEMENTARY</t>
  </si>
  <si>
    <t>LOWELL MUSIC MAGNET ELEMENTARY</t>
  </si>
  <si>
    <t>LAURA MACARTHUR ELEMENTARY</t>
  </si>
  <si>
    <t>NETTLETON MAGNET ELEMENTARY</t>
  </si>
  <si>
    <t>STOWE ELEMENTARY</t>
  </si>
  <si>
    <t>MOUNTAIN IRON-BUHL SCHOOL DISTRICT</t>
  </si>
  <si>
    <t>MERRITT ELEMENTARY</t>
  </si>
  <si>
    <t>BELLE PLAINE PUBLIC SCHOOL DISTRICT</t>
  </si>
  <si>
    <t>OAK CREST ELEMENTARY</t>
  </si>
  <si>
    <t>JORDAN PUBLIC SCHOOL DISTRICT</t>
  </si>
  <si>
    <t>JORDAN ELEMENTARY</t>
  </si>
  <si>
    <t>PRIOR LAKE-SAVAGE AREA SCHOOLS</t>
  </si>
  <si>
    <t>WESTWOOD EL.</t>
  </si>
  <si>
    <t>FIVE HAWKS EL.</t>
  </si>
  <si>
    <t>GRAINWOOD EL.</t>
  </si>
  <si>
    <t>GLENDALE EL.</t>
  </si>
  <si>
    <t>JEFFERS POND ELEMENTARY</t>
  </si>
  <si>
    <t>REDTAIL RIDGE ELEMENTARY SCHOOL</t>
  </si>
  <si>
    <t>SHAKOPEE PUBLIC SCHOOL DISTRICT</t>
  </si>
  <si>
    <t>SWEENEY ELEMENTARY</t>
  </si>
  <si>
    <t>SUN PATH ELEMENTARY</t>
  </si>
  <si>
    <t>PEARSON ELEMENTARY</t>
  </si>
  <si>
    <t>RED OAK ELEMENTARY</t>
  </si>
  <si>
    <t>EAGLE CREEK ELEMENTARY</t>
  </si>
  <si>
    <t>NEW PRAGUE AREA SCHOOLS</t>
  </si>
  <si>
    <t>RAVEN STREAM ELEMENTARY</t>
  </si>
  <si>
    <t>EAGLE VIEW</t>
  </si>
  <si>
    <t>FALCON RIDGE</t>
  </si>
  <si>
    <t>BECKER PUBLIC SCHOOL DISTRICT</t>
  </si>
  <si>
    <t>BECKER INTERMEDIATE ELEMENTARY</t>
  </si>
  <si>
    <t>BIG LAKE PUBLIC SCHOOL DISTRICT</t>
  </si>
  <si>
    <t>INDEPENDENCE ELEMENTARY</t>
  </si>
  <si>
    <t>LIBERTY ELEMENTARY</t>
  </si>
  <si>
    <t>ELK RIVER PUBLIC SCHOOL DISTRICT</t>
  </si>
  <si>
    <t>ROGERS ELEMENTARY</t>
  </si>
  <si>
    <t>PARKER ELEMENTARY</t>
  </si>
  <si>
    <t>HASSAN ELEMENTARY</t>
  </si>
  <si>
    <t>TWIN LAKES ELEMENTARY</t>
  </si>
  <si>
    <t>MEADOWVALE ELEMENTARY</t>
  </si>
  <si>
    <t>OTSEGO ELEMENTARY</t>
  </si>
  <si>
    <t>HOLDINGFORD PUBLIC SCHOOL DISTRICT</t>
  </si>
  <si>
    <t>HOLDINGFORD ELEMENTARY</t>
  </si>
  <si>
    <t>KIMBALL PUBLIC SCHOOL DISTRICT</t>
  </si>
  <si>
    <t>KIMBALL ELEMENTARY</t>
  </si>
  <si>
    <t>MELROSE PUBLIC SCHOOL DISTRICT</t>
  </si>
  <si>
    <t>MELROSE ELEMENTARY</t>
  </si>
  <si>
    <t>PAYNESVILLE PUBLIC SCHOOL DISTRICT</t>
  </si>
  <si>
    <t>PAYNESVILLE ELEMENTARY</t>
  </si>
  <si>
    <t>ST. CLOUD PUBLIC SCHOOL DISTRICT</t>
  </si>
  <si>
    <t>CLEARVIEW ELEMENTARY</t>
  </si>
  <si>
    <t>DISCOVERY COMMUNITY ELEMENTARY</t>
  </si>
  <si>
    <t>TALAHI COMMUNITY ELEMENTARY</t>
  </si>
  <si>
    <t>OAK HILL COMMUNITY ELEMENTARY</t>
  </si>
  <si>
    <t>SAUK CENTRE PUBLIC SCHOOL DISTRICT</t>
  </si>
  <si>
    <t>SAUK CENTRE ELEMENTARY</t>
  </si>
  <si>
    <t>ALBANY PUBLIC SCHOOL DISTRICT</t>
  </si>
  <si>
    <t>ALBANY ELEMENTARY</t>
  </si>
  <si>
    <t>AVON ELEMENTARY</t>
  </si>
  <si>
    <t>SARTELL-ST. STEPHEN SCHOOL DISTRICT</t>
  </si>
  <si>
    <t>PINE MEADOW ELEMENTARY</t>
  </si>
  <si>
    <t>ROCORI PUBLIC SCHOOL DISTRICT</t>
  </si>
  <si>
    <t>RICHMOND ELEMENTARY</t>
  </si>
  <si>
    <t>ROCKVILLE ELEMENTARY</t>
  </si>
  <si>
    <t>COLD SPRING ELEMENTARY</t>
  </si>
  <si>
    <t>BLOOMING PRAIRIE PUBLIC SCHOOL DIST</t>
  </si>
  <si>
    <t>BLOOMING PRAIRIE ELEMENTARY</t>
  </si>
  <si>
    <t>OWATONNA PUBLIC SCHOOL DISTRICT</t>
  </si>
  <si>
    <t>MEDFORD PUBLIC SCHOOL DISTRICT</t>
  </si>
  <si>
    <t>MEDFORD ELEMENTARY</t>
  </si>
  <si>
    <t>HANCOCK PUBLIC SCHOOL DISTRICT</t>
  </si>
  <si>
    <t>HANCOCK ELEMENTARY</t>
  </si>
  <si>
    <t>MORRIS PUBLIC SCHOOL DISTRICT</t>
  </si>
  <si>
    <t>MORRIS AREA ELEMENTARY</t>
  </si>
  <si>
    <t>KERKHOVEN-MURDOCK-SUNBURG</t>
  </si>
  <si>
    <t>MURDOCK ELEMENTARY</t>
  </si>
  <si>
    <t>BENSON PUBLIC SCHOOL DISTRICT</t>
  </si>
  <si>
    <t>NORTHSIDE ELEMENTARY</t>
  </si>
  <si>
    <t>BERTHA-HEWITT PUBLIC SCHOOL DIST.</t>
  </si>
  <si>
    <t>BERTHA ELEMENTARY</t>
  </si>
  <si>
    <t>BROWERVILLE PUBLIC SCHOOL DISTRICT</t>
  </si>
  <si>
    <t>BROWERVILLE ELEMENTARY</t>
  </si>
  <si>
    <t>WHEATON AREA PUBLIC SCHOOL DISTRICT</t>
  </si>
  <si>
    <t>WABASHA-KELLOGG PUBLIC SCHOOL DIST.</t>
  </si>
  <si>
    <t>WABASHA-KELLOGG ELEMENTARY</t>
  </si>
  <si>
    <t>LAKE CITY PUBLIC SCHOOL DISTRICT</t>
  </si>
  <si>
    <t>BLUFF VIEW ELEMENTARY</t>
  </si>
  <si>
    <t>VERNDALE PUBLIC SCHOOL DISTRICT</t>
  </si>
  <si>
    <t>VERNDALE ELEMENTARY</t>
  </si>
  <si>
    <t>SEBEKA PUBLIC SCHOOL DISTRICT</t>
  </si>
  <si>
    <t>SEBEKA ELEMENTARY</t>
  </si>
  <si>
    <t>MENAHGA PUBLIC SCHOOL DISTRICT</t>
  </si>
  <si>
    <t>MENAHGA ELEMENTARY</t>
  </si>
  <si>
    <t>WASECA PUBLIC SCHOOL DISTRICT</t>
  </si>
  <si>
    <t>HARTLEY ELEMENTARY</t>
  </si>
  <si>
    <t>WASECA INTERMEDIATE ELEMENTARY</t>
  </si>
  <si>
    <t>FOREST LAKE PUBLIC SCHOOL DISTRICT</t>
  </si>
  <si>
    <t>COLUMBUS ELEMENTARY</t>
  </si>
  <si>
    <t>FOREST VIEW EL.</t>
  </si>
  <si>
    <t>LINO LAKES EL.</t>
  </si>
  <si>
    <t>LINWOOD EL.</t>
  </si>
  <si>
    <t>SCANDIA EL.</t>
  </si>
  <si>
    <t>WYOMING EL.</t>
  </si>
  <si>
    <t>CENTRAL MONTESSORI ELEMENTARY</t>
  </si>
  <si>
    <t>MAHTOMEDI PUBLIC SCHOOL DISTRICT</t>
  </si>
  <si>
    <t>O.H. ANDERSON ELEMENTARY</t>
  </si>
  <si>
    <t>SOUTH WASHINGTON COUNTY SCHOOL DIST</t>
  </si>
  <si>
    <t>ARMSTRONG ELEMENTARY</t>
  </si>
  <si>
    <t>NUEVAS FRONTERAS</t>
  </si>
  <si>
    <t>CRESTVIEW ELEMENTARY</t>
  </si>
  <si>
    <t>GREY CLOUD ELEMENTARY</t>
  </si>
  <si>
    <t>HILLSIDE ELEMENTARY</t>
  </si>
  <si>
    <t>COTTAGE GROVE ELEMENTARY</t>
  </si>
  <si>
    <t>NEWPORT ELEMENTARY</t>
  </si>
  <si>
    <t>PINE HILL ELEMENTARY</t>
  </si>
  <si>
    <t>LIBERTY RIDGE ELEMENTARY</t>
  </si>
  <si>
    <t>PULLMAN ELEMENTARY</t>
  </si>
  <si>
    <t>RED ROCK ELEMENTARY</t>
  </si>
  <si>
    <t>ROYAL OAKS ELEMENTARY</t>
  </si>
  <si>
    <t>GORDON BAILEY ELEMENTARY</t>
  </si>
  <si>
    <t>WOODBURY ELEMENTARY</t>
  </si>
  <si>
    <t>MIDDLETON ELEMENTARY</t>
  </si>
  <si>
    <t>STILLWATER PUBLIC SCHOOL DISTRICT</t>
  </si>
  <si>
    <t>AFTON-LAKELAND ELEMENTARY</t>
  </si>
  <si>
    <t>LAKE ELMO ELEMENTARY</t>
  </si>
  <si>
    <t>LILY LAKE ELEMENTARY</t>
  </si>
  <si>
    <t>MARINE ELEMENTARY</t>
  </si>
  <si>
    <t>OAK PARK ELEMENTARY</t>
  </si>
  <si>
    <t>WITHROW ELEMENTARY</t>
  </si>
  <si>
    <t>STONEBRIDGE ELEMENTARY</t>
  </si>
  <si>
    <t>RUTHERFORD ELEMENTARY</t>
  </si>
  <si>
    <t>BUTTERFIELD PUBLIC SCHOOL DISTRICT</t>
  </si>
  <si>
    <t>BUTTERFIELD ELEMENTARY</t>
  </si>
  <si>
    <t>MADELIA PUBLIC SCHOOL DISTRICT</t>
  </si>
  <si>
    <t>MADELIA ELEMENTARY</t>
  </si>
  <si>
    <t>ST. JAMES PUBLIC SCHOOL DISTRICT</t>
  </si>
  <si>
    <t>ST. JAMES NORTHSIDE ELEMENTARY</t>
  </si>
  <si>
    <t>ST. JAMES ARMSTRONG ELEMENTARY</t>
  </si>
  <si>
    <t>BRECKENRIDGE PUBLIC SCHOOL DISTRICT</t>
  </si>
  <si>
    <t>BRECKENRIDGE ELEMENTARY</t>
  </si>
  <si>
    <t>ROTHSAY PUBLIC SCHOOL DISTRICT</t>
  </si>
  <si>
    <t>ROTHSAY ELEMENTARY</t>
  </si>
  <si>
    <t>CAMPBELL-TINTAH PUBLIC SCHOOL DIST.</t>
  </si>
  <si>
    <t>LEWISTON-ALTURA PUBLIC SCHOOL DIST.</t>
  </si>
  <si>
    <t>LEWISTON-ALTURA ELEMENTARY</t>
  </si>
  <si>
    <t>ST. CHARLES PUBLIC SCHOOL DISTRICT</t>
  </si>
  <si>
    <t>ST. CHARLES ELEMENTARY</t>
  </si>
  <si>
    <t>WINONA AREA PUBLIC SCHOOL DISTRICT</t>
  </si>
  <si>
    <t>GOODVIEW ELEMENTARY</t>
  </si>
  <si>
    <t>ANNANDALE PUBLIC SCHOOL DISTRICT</t>
  </si>
  <si>
    <t>BENDIX ELEMENTARY</t>
  </si>
  <si>
    <t>BUFFALO PUBLIC SCHOOL DISTRICT</t>
  </si>
  <si>
    <t>PARKSIDE ELEMENTARY</t>
  </si>
  <si>
    <t>HANOVER ELEMENTARY</t>
  </si>
  <si>
    <t>MONTROSE ELEMENTARY</t>
  </si>
  <si>
    <t>TATANKA ELEMENTARY</t>
  </si>
  <si>
    <t>NORTHWINDS ELEMENTARY</t>
  </si>
  <si>
    <t>DISCOVERY ELEMENTARY</t>
  </si>
  <si>
    <t>DELANO PUBLIC SCHOOL DISTRICT</t>
  </si>
  <si>
    <t>DELANO ELEMENTARY</t>
  </si>
  <si>
    <t>MAPLE LAKE PUBLIC SCHOOL DISTRICT</t>
  </si>
  <si>
    <t>MAPLE LAKE ELEMENTARY</t>
  </si>
  <si>
    <t>MONTICELLO PUBLIC SCHOOL DISTRICT</t>
  </si>
  <si>
    <t>LITTLE MOUNTAIN ELEMENTARY</t>
  </si>
  <si>
    <t>ROCKFORD PUBLIC SCHOOL DISTRICT</t>
  </si>
  <si>
    <t>ROCKFORD ELEMENTARY</t>
  </si>
  <si>
    <t>ST. MICHAEL-ALBERTVILLE SCHOOL DIST</t>
  </si>
  <si>
    <t>ST. MICHAEL ELEMENTARY</t>
  </si>
  <si>
    <t>BIG WOODS ELEMENTARY</t>
  </si>
  <si>
    <t>FIELDSTONE ELEMENTARY SCHOOL</t>
  </si>
  <si>
    <t>CANBY PUBLIC SCHOOL DISTRICT</t>
  </si>
  <si>
    <t>CANBY ELEMENTARY</t>
  </si>
  <si>
    <t>CAMBRIDGE-ISANTI PUBLIC SCHOOL DIST</t>
  </si>
  <si>
    <t>SCHOOL FOR ALL SEASONS</t>
  </si>
  <si>
    <t>CAMBRIDGE INTERMEDIATE SCHOOL</t>
  </si>
  <si>
    <t>ISANTI INTERMEDIATE SCHOOL</t>
  </si>
  <si>
    <t>MILACA PUBLIC SCHOOL DISTRICT</t>
  </si>
  <si>
    <t>MILACA ELEMENTARY</t>
  </si>
  <si>
    <t>ULEN-HITTERDAL PUBLIC SCHOOL DIST</t>
  </si>
  <si>
    <t>ULEN-HITTERDAL ELEMENTARY</t>
  </si>
  <si>
    <t>LAKE CRYSTAL-WELLCOME MEMORIAL</t>
  </si>
  <si>
    <t>LK CRYSTAL WELCOME MEMORIAL EL.</t>
  </si>
  <si>
    <t>TRITON SCHOOL DISTRICT</t>
  </si>
  <si>
    <t>TRITON ELEMENTARY</t>
  </si>
  <si>
    <t>UNITED SOUTH CENTRAL SCHOOL DIST.</t>
  </si>
  <si>
    <t>UNITED SOUTH CENTRAL ELEMENTARY</t>
  </si>
  <si>
    <t>MAPLE RIVER SCHOOL DISTRICT</t>
  </si>
  <si>
    <t>MAPLE RIVER EAST ELEMENTARY</t>
  </si>
  <si>
    <t>MAPLE RIVER WEST ELEMENTARY</t>
  </si>
  <si>
    <t>KINGSLAND PUBLIC SCHOOL DISTRICT</t>
  </si>
  <si>
    <t>KINGSLAND ELEMENTARY</t>
  </si>
  <si>
    <t>KINGSLAND MIDDLE</t>
  </si>
  <si>
    <t>ST. LOUIS COUNTY SCHOOL DISTRICT</t>
  </si>
  <si>
    <t>BABBITT ELEMENTARY</t>
  </si>
  <si>
    <t>ALBROOK ELEMENTARY</t>
  </si>
  <si>
    <t>TOWER-SOUDAN ELEMENTARY</t>
  </si>
  <si>
    <t>CHERRY ELEMENTARY</t>
  </si>
  <si>
    <t>COOK ELEMENTARY</t>
  </si>
  <si>
    <t>WATERVILLE-ELYSIAN-MORRISTOWN</t>
  </si>
  <si>
    <t>WATERVILLE ELEMENTARY</t>
  </si>
  <si>
    <t>CHISAGO LAKES SCHOOL DSTRICT</t>
  </si>
  <si>
    <t>CHISAGO LAKES ELEMENTARY</t>
  </si>
  <si>
    <t>LAKESIDE ELEMENTARY</t>
  </si>
  <si>
    <t>TAYLORS FALLS ELEMENTARY</t>
  </si>
  <si>
    <t>MINNEWASKA SCHOOL DISTRICT</t>
  </si>
  <si>
    <t>MINNEWASKA AREA ELEMENTARY</t>
  </si>
  <si>
    <t>EVELETH-GILBERT SCHOOL DISTRICT</t>
  </si>
  <si>
    <t>NELLE SHEAN ELEMENTARY</t>
  </si>
  <si>
    <t>WADENA-DEER CREEK SCHOOL DISTRICT</t>
  </si>
  <si>
    <t>WADENA-DEER CREEK ELEMENTARY</t>
  </si>
  <si>
    <t>BUFFALO LAKE-HECTOR SCHOOL DISTRICT</t>
  </si>
  <si>
    <t>BUFFALO LAKE-HECTOR ELEMENTARY</t>
  </si>
  <si>
    <t>DILWORTH-GLYNDON-FELTON</t>
  </si>
  <si>
    <t>DILWORTH ELEMENTARY</t>
  </si>
  <si>
    <t>GLYNDON-FELTON ELEMENTARY</t>
  </si>
  <si>
    <t>HINCKLEY-FINLAYSON SCHOOL DISTRICT</t>
  </si>
  <si>
    <t>HINCKLEY ELEMENTARY</t>
  </si>
  <si>
    <t>FINLAYSON ELEMENTARY</t>
  </si>
  <si>
    <t>LAKEVIEW SCHOOL DISTRICT</t>
  </si>
  <si>
    <t>N.R.H.E.G. SCHOOL DISTRICT</t>
  </si>
  <si>
    <t>NRHEG ELEMENTARY/MIDDLE</t>
  </si>
  <si>
    <t>MURRAY COUNTY CENTRAL SCHOOL DIST.</t>
  </si>
  <si>
    <t>MURRAY CO. CENTRAL ELEMENTARY</t>
  </si>
  <si>
    <t>STAPLES-MOTLEY SCHOOL DISTRICT</t>
  </si>
  <si>
    <t>MOTLEY ELEMENTARY</t>
  </si>
  <si>
    <t>STAPLES ELEMENTARY</t>
  </si>
  <si>
    <t>KITTSON CENTRAL SCHOOL DISTRICT</t>
  </si>
  <si>
    <t>KITTSON CENTRAL ELEMENTARY</t>
  </si>
  <si>
    <t>KENYON-WANAMINGO SCHOOL DISTRICT</t>
  </si>
  <si>
    <t>KENYON-WANAMINGO ELEMENTARY</t>
  </si>
  <si>
    <t>PINE RIVER-BACKUS SCHOOL DISTRICT</t>
  </si>
  <si>
    <t>PINE RIVER-BACKUS ELEMENTARY</t>
  </si>
  <si>
    <t>WARREN-ALVARADO-OSLO SCHOOL DIST.</t>
  </si>
  <si>
    <t>WARREN ELEMENTARY</t>
  </si>
  <si>
    <t>M.A.C.C.R.A.Y. SCHOOL DISTRICT</t>
  </si>
  <si>
    <t>M.A.C.C.R.A.Y. WEST ELEMENTARY</t>
  </si>
  <si>
    <t>M.A.C.C.R.A.Y. EAST ELEMENTARY</t>
  </si>
  <si>
    <t>LUVERNE PUBLIC SCHOOL DISTRICT</t>
  </si>
  <si>
    <t>LUVERNE ELEMENTARY</t>
  </si>
  <si>
    <t>YELLOW MEDICINE EAST</t>
  </si>
  <si>
    <t>BERT RANEY ELEMENTARY</t>
  </si>
  <si>
    <t>FILLMORE CENTRAL</t>
  </si>
  <si>
    <t>FILLMORE CENTRAL ELEMENTARY</t>
  </si>
  <si>
    <t>NORMAN COUNTY EAST SCHOOL DISTRICT</t>
  </si>
  <si>
    <t>NORMAN COUNTY EAST ELEMENTARY</t>
  </si>
  <si>
    <t>SIBLEY EAST SCHOOL DISTRICT</t>
  </si>
  <si>
    <t>SIBLEY EAST-ARLINGTON ELEMENTARY</t>
  </si>
  <si>
    <t>SIBLEY EAST-GAYLORD ELEMENTARY</t>
  </si>
  <si>
    <t>CLEARBROOK-GONVICK SCHOOL DISTRICT</t>
  </si>
  <si>
    <t>CLEARBROOK-GONVICK ELEMENTARY</t>
  </si>
  <si>
    <t>WEST CENTRAL AREA</t>
  </si>
  <si>
    <t>WEST CENTRAL AREA N. EL.</t>
  </si>
  <si>
    <t>WEST CENTRAL AREA S. EL.</t>
  </si>
  <si>
    <t>TRI-COUNTY SCHOOL DISTRICT</t>
  </si>
  <si>
    <t>KARLSTAD ELEMENTARY</t>
  </si>
  <si>
    <t>BELGRADE-BROOTEN-ELROSA SCHOOL DIST</t>
  </si>
  <si>
    <t>BELGRADE-BROOTEN-ELROSA ELEMENTARY</t>
  </si>
  <si>
    <t>G.F.W.</t>
  </si>
  <si>
    <t>G.F.W. EL.</t>
  </si>
  <si>
    <t>A.C.G.C.</t>
  </si>
  <si>
    <t>A.C.G.C. NORTH ELEMENTARY</t>
  </si>
  <si>
    <t>A.C.G.C. SOUTH ELEMENTARY</t>
  </si>
  <si>
    <t>LESUEUR-HENDERSON SCHOOL DISTRICT</t>
  </si>
  <si>
    <t>PARK ELEMENTARY</t>
  </si>
  <si>
    <t>MARTIN COUNTY WEST SCHOOL DISTRICT</t>
  </si>
  <si>
    <t>SHERBURN ELEMENTARY</t>
  </si>
  <si>
    <t>NORMAN COUNTY WEST SCHOOL DISTRICT</t>
  </si>
  <si>
    <t>NORMAN COUNTY WEST ELEMENTARY</t>
  </si>
  <si>
    <t>BIRD ISLAND-OLIVIA-LAKE LILLIAN</t>
  </si>
  <si>
    <t>BOLD-BIRD ISLAND ELEMENTARY</t>
  </si>
  <si>
    <t>EAST CENTRAL SCHOOL DISTRICT</t>
  </si>
  <si>
    <t>EAST CENTRAL ELEMENTARY</t>
  </si>
  <si>
    <t>WIN-E-MAC SCHOOL DISTRICT</t>
  </si>
  <si>
    <t>WIN-E-MAC ELEMENTARY</t>
  </si>
  <si>
    <t>GREENBUSH-MIDDLE RIVER SCHOOL DIST.</t>
  </si>
  <si>
    <t>GREENBUSH ELEMENTARY</t>
  </si>
  <si>
    <t>MIDDLE RIVER ELEMENTARY</t>
  </si>
  <si>
    <t>HOWARD LAKE-WAVERLY-WINSTED</t>
  </si>
  <si>
    <t>WINSTED ELEMENTARY</t>
  </si>
  <si>
    <t>HUMPHREY ELEMENTARY</t>
  </si>
  <si>
    <t>PIPESTONE AREA SCHOOL DISTRICT</t>
  </si>
  <si>
    <t>HILL ELEMENTARY</t>
  </si>
  <si>
    <t>MESABI EAST SCHOOL DISTRICT</t>
  </si>
  <si>
    <t>MESABI EAST ELEMENTARY</t>
  </si>
  <si>
    <t>FAIRMONT AREA SCHOOL DISTRICT</t>
  </si>
  <si>
    <t>FIVE LAKES ELELMENTARY</t>
  </si>
  <si>
    <t>LONG PRAIRIE-GREY EAGLE SCHOOL DIST</t>
  </si>
  <si>
    <t>LONG PRAIRIE ELEMENTARY</t>
  </si>
  <si>
    <t>CEDAR MOUNTAIN SCHOOL DISTRICT</t>
  </si>
  <si>
    <t>CEDAR MOUNTAIN ELEMENTARY</t>
  </si>
  <si>
    <t>EAGLE VALLEY PUBLIC SCHOOL DISTRICT</t>
  </si>
  <si>
    <t>EAGLE VALLEY ELEMENTARY</t>
  </si>
  <si>
    <t>ZUMBROTA-MAZEPPA SCHOOL DISTRICT</t>
  </si>
  <si>
    <t>ZUMBROTA-MAZEPPA ELEMENTARY</t>
  </si>
  <si>
    <t>JANESVILLE-WALDORF-PEMBERTON</t>
  </si>
  <si>
    <t>JANESVILLE-WALDORF-PEMBERTON INT.</t>
  </si>
  <si>
    <t>JANESVILLE-WALDORF-PEMBERTON EL.EM.</t>
  </si>
  <si>
    <t>LAC QUI PARLE VALLEY SCHOOL DIST.</t>
  </si>
  <si>
    <t>MADISON-MARIETTA-NASSAU ELEMENTARY</t>
  </si>
  <si>
    <t>APPLETON ELEMENTARY</t>
  </si>
  <si>
    <t>ADA-BORUP PUBLIC SCHOOL DISTRICT</t>
  </si>
  <si>
    <t>ADA ELEMENTARY</t>
  </si>
  <si>
    <t>STEPHEN-ARGYLE CENTRAL SCHOOLS</t>
  </si>
  <si>
    <t>ARGYLE ELEMENTARY</t>
  </si>
  <si>
    <t>GLENCOE-SILVER LAKE SCHOOL DISTRICT</t>
  </si>
  <si>
    <t>BLUE EARTH AREA PUBLIC SCHOOL</t>
  </si>
  <si>
    <t>BLUE EARTH ELEMENTARY</t>
  </si>
  <si>
    <t>WINNEBAGO ELEMENTARY</t>
  </si>
  <si>
    <t>RED ROCK CENTRAL SCHOOL DISTRICT</t>
  </si>
  <si>
    <t>RED ROCK CENTRAL ELEMENTARY</t>
  </si>
  <si>
    <t>GLENVILLE-EMMONS SCHOOL DISTRICT</t>
  </si>
  <si>
    <t>GLENVILLE EMMONS ELEMENTARY</t>
  </si>
  <si>
    <t>CLINTON-GRACEVILLE-BEARDSLEY</t>
  </si>
  <si>
    <t>CLINTON-GRACEVILLE-BEARDSLEY EL.</t>
  </si>
  <si>
    <t>LAKE PARK AUDUBON SCHOOL DISTRICT</t>
  </si>
  <si>
    <t>LAKE PARK AUDUBON ELEMENTARY</t>
  </si>
  <si>
    <t>RENVILLE COUNTY WEST SCHOOL DIST.</t>
  </si>
  <si>
    <t>RENVILLE COUNTY WEST ELEMENTARY</t>
  </si>
  <si>
    <t>JACKSON COUNTY CENTRAL SCHOOL DIST.</t>
  </si>
  <si>
    <t>PLEASANTVIEW ELEMENTARY</t>
  </si>
  <si>
    <t>REDWOOD AREA SCHOOL DISTRICT</t>
  </si>
  <si>
    <t>REEDE GRAY ELEMENTARY</t>
  </si>
  <si>
    <t>WESTBROOK-WALNUT GROVE SCHOOLS</t>
  </si>
  <si>
    <t>WALNUT GROVE ELEMENTARY</t>
  </si>
  <si>
    <t>PLAINVIEW-ELGIN-MILLVILLE</t>
  </si>
  <si>
    <t>PLAINVIEW-ELGIN-MILLVILLE PK-3</t>
  </si>
  <si>
    <t>PLAINVIEW-ELGIN-MILLVILLE 4-6</t>
  </si>
  <si>
    <t>RTR PUBLIC SCHOOLS</t>
  </si>
  <si>
    <t>RTR ELEMENTARY SCHOOL</t>
  </si>
  <si>
    <t>ORTONVILLE PUBLIC SCHOOLS</t>
  </si>
  <si>
    <t>TRACY AREA PUBLIC SCHOOL DISTRICT</t>
  </si>
  <si>
    <t>BLUFFVIEW MONTESSORI</t>
  </si>
  <si>
    <t>CEDAR RIVERSIDE COMMUNITY SCHOOL</t>
  </si>
  <si>
    <t>PACT CHARTER SCHOOL</t>
  </si>
  <si>
    <t>NEW VISIONS CHARTER SCHOOL</t>
  </si>
  <si>
    <t>COMMUNITY OF PEACE ACADEMY</t>
  </si>
  <si>
    <t>WORLD LEARNER CHARTER SCHOOL</t>
  </si>
  <si>
    <t>MINNESOTA TRANSITIONS CHARTER SCH</t>
  </si>
  <si>
    <t>LEADERSHIP ACADEMY</t>
  </si>
  <si>
    <t>MTCS CONNECTIONS ACADEMY</t>
  </si>
  <si>
    <t>ACHIEVE LANGUAGE ACADEMY</t>
  </si>
  <si>
    <t>DULUTH PUBLIC SCHOOLS ACADEMY</t>
  </si>
  <si>
    <t>KENWOOD PRIMARY EL. ACADEMY</t>
  </si>
  <si>
    <t>RALEIGH PRIMARY/EL ACADEMY</t>
  </si>
  <si>
    <t>HIGHER GROUND ACADEMY</t>
  </si>
  <si>
    <t>NEW SPIRIT SCHOOLS</t>
  </si>
  <si>
    <t>NEW SPIRIT PRIMARY SCHOOL</t>
  </si>
  <si>
    <t>ODYSSEY CHARTER SCHOOL</t>
  </si>
  <si>
    <t>HARVEST PREP SCHOOL/SEED ACADEMY</t>
  </si>
  <si>
    <t>CONCORDIA CREATIVE LEARNING ACADEMY</t>
  </si>
  <si>
    <t>SOJOURNER TRUTH ACADEMY</t>
  </si>
  <si>
    <t>NERSTRAND CHARTER SCHOOL</t>
  </si>
  <si>
    <t>SCHOOLCRAFT LEARNING COMMUNITY CHTR</t>
  </si>
  <si>
    <t>AURORA CHARTER SCHOOL</t>
  </si>
  <si>
    <t>EXCELL ACADEMY CHARTER</t>
  </si>
  <si>
    <t>HOPE COMMUNITY ACADEMY</t>
  </si>
  <si>
    <t>ACADEMIA CESAR CHAVEZ CHARTER SCH.</t>
  </si>
  <si>
    <t>TWIN CITIES INTERNATIONAL ELEM SCH.</t>
  </si>
  <si>
    <t>FRIENDSHIP ACDMY OF FINE ARTS CHTR.</t>
  </si>
  <si>
    <t>RIDGEWAY COMMUNITY SCHOOL</t>
  </si>
  <si>
    <t>NORTH SHORE COMMUNITY SCHOOL</t>
  </si>
  <si>
    <t>WOODSON INSTITUTE FOR EXCELLENCE CH</t>
  </si>
  <si>
    <t>URBAN ACADEMY CHARTER SCHOOL</t>
  </si>
  <si>
    <t>PRAIRIE CREEK COMMUNITY SCHOOL</t>
  </si>
  <si>
    <t>PARTNERSHIP ACADEMY, INC.</t>
  </si>
  <si>
    <t>NOVA CLASSICAL ACADEMY</t>
  </si>
  <si>
    <t>TAREK IBN ZIYAD ACADEMY</t>
  </si>
  <si>
    <t>TAREK IBN ZIYAD ACADEMY BLAINE</t>
  </si>
  <si>
    <t>HMONG COLLEGE PREP ACADEMY</t>
  </si>
  <si>
    <t>HMONG COLLEGE PREP MIDDLE ACADEMY</t>
  </si>
  <si>
    <t>LAKES INTERNATIONAL LANGUAGE ADMY</t>
  </si>
  <si>
    <t>KALEIDOSCOPE CHARTER SCHOOL</t>
  </si>
  <si>
    <t>ST. CROIX PREPARATORY ACADEMY</t>
  </si>
  <si>
    <t>BEACON ACADEMY</t>
  </si>
  <si>
    <t>PRAIRIE SEEDS ACADEMY</t>
  </si>
  <si>
    <t>TEAM ACADEMY</t>
  </si>
  <si>
    <t>ADAM ABDULLE ACADEMY</t>
  </si>
  <si>
    <t>SWAN RIVER MONTESSORI CHARTER SCH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</si>
  <si>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</si>
  <si>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</si>
  <si>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</si>
  <si>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</si>
  <si>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</si>
  <si>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NEW MILLENIUM ACADEMY CHARTER SCH</t>
  </si>
  <si>
    <t>TWIN CITIES GERMAN IMMERSION CHRTR</t>
  </si>
  <si>
    <t>DUGSI ACADEMY</t>
  </si>
  <si>
    <t>SEVEN HILLS CLASSICAL ACADEMY</t>
  </si>
  <si>
    <t>NEW DISCOVERIES MONTESSORI ACADEMY</t>
  </si>
  <si>
    <t>SOUTHSIDE FAMILY CHARTER SCHOOL</t>
  </si>
  <si>
    <t>LEARNING FOR LEADERSHIP CHARTER</t>
  </si>
  <si>
    <t>INTERNATIONAL SPANISH LANGUAGE ACAD</t>
  </si>
  <si>
    <t>STONEBRIDGE COMMUNITY SCHOOL</t>
  </si>
  <si>
    <t>HIAWATHA LEADERSHIP ACADEMY</t>
  </si>
  <si>
    <t>NOBLE ACADEMY</t>
  </si>
  <si>
    <t>EMILY O. GOODRIDGE-GREY ACCELERATED</t>
  </si>
  <si>
    <t>COMMUNITY SCHOOL OF EXCELLENCE</t>
  </si>
  <si>
    <t>ASPEN ACADEMY</t>
  </si>
  <si>
    <t>DAVINCI ACADEMY</t>
  </si>
  <si>
    <t>GLOBAL ACADEMY</t>
  </si>
  <si>
    <t>COLOGNE ACADEMY</t>
  </si>
  <si>
    <t>BEST ACADEMY</t>
  </si>
  <si>
    <t>COLLEGE PREPARATORY ELEMENTARY</t>
  </si>
  <si>
    <t>CANNON RIVER STEM SCHOOL</t>
  </si>
  <si>
    <t>Growth</t>
  </si>
  <si>
    <t>Enroll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</si>
  <si>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</si>
  <si>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</si>
  <si>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</si>
  <si>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</si>
  <si>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</si>
  <si>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</si>
  <si>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</si>
  <si>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</si>
  <si>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</si>
  <si>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</si>
  <si>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</si>
  <si>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</si>
  <si>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</si>
  <si>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</si>
  <si>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</si>
  <si>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</si>
  <si>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</si>
  <si>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</si>
  <si>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</si>
  <si>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MCA</t>
  </si>
  <si>
    <t>Grade 3</t>
  </si>
  <si>
    <t>LITERACY INCENTIVE AID</t>
  </si>
  <si>
    <t>Minnesota Department of Education</t>
  </si>
  <si>
    <t>for each building.</t>
  </si>
  <si>
    <t>District and charter names and numbers can be found in the Names tab.</t>
  </si>
  <si>
    <t>Please direct questions to Bob Porter at either 651-582-8851 or bob.porter@state.mn.us.</t>
  </si>
  <si>
    <t>= District or charter number</t>
  </si>
  <si>
    <t>For Minneapolis, enter district = 1.2.</t>
  </si>
  <si>
    <t>= School number</t>
  </si>
  <si>
    <t>Total</t>
  </si>
  <si>
    <t>MCA Proficiency Counts</t>
  </si>
  <si>
    <t>Does Not Meet Standards</t>
  </si>
  <si>
    <t>Partially Meets Standards</t>
  </si>
  <si>
    <t>Meets Standards</t>
  </si>
  <si>
    <t>Exceeds Standards</t>
  </si>
  <si>
    <t>n/a</t>
  </si>
  <si>
    <t>Growth Model Results</t>
  </si>
  <si>
    <t>Low proficiency, high growth</t>
  </si>
  <si>
    <t>Low proficiency, medium growth</t>
  </si>
  <si>
    <t>Low proficiency, low growth</t>
  </si>
  <si>
    <t>High proficiency, high growth</t>
  </si>
  <si>
    <t>High proficiency, medium growth</t>
  </si>
  <si>
    <t>High proficiency, low growth</t>
  </si>
  <si>
    <t>TOTAL</t>
  </si>
  <si>
    <t>Proficiency</t>
  </si>
  <si>
    <t>Combined</t>
  </si>
  <si>
    <t>Almost every charter school has school number = 10.</t>
  </si>
  <si>
    <t>LiteracyIncentiveAid</t>
  </si>
  <si>
    <t>In fiscal year 2013 and later, a district's literacy incentive aid equals</t>
  </si>
  <si>
    <t>the sum of the proficiency aid under subdivision 2, and the growth</t>
  </si>
  <si>
    <t>aid under subdivision 3.</t>
  </si>
  <si>
    <t>FY 2010</t>
  </si>
  <si>
    <t>FY 2011</t>
  </si>
  <si>
    <t>FY 2012</t>
  </si>
  <si>
    <t>Filtered?</t>
  </si>
  <si>
    <t>Proficient</t>
  </si>
  <si>
    <t>High/Med</t>
  </si>
  <si>
    <t xml:space="preserve">AITKIN PUBLIC SCHOOL DISTRICT      </t>
  </si>
  <si>
    <t xml:space="preserve">PALISADE ELEMENTARY                </t>
  </si>
  <si>
    <t xml:space="preserve">MINNEAPOLIS PUBLIC SCHOOL DIST.    </t>
  </si>
  <si>
    <t xml:space="preserve">CROSSTOWN EDUCATIONAL CENTER       </t>
  </si>
  <si>
    <t xml:space="preserve">SPAN                               </t>
  </si>
  <si>
    <t xml:space="preserve">MPS D/HH                           </t>
  </si>
  <si>
    <t xml:space="preserve">URBAN LEAGUE ACADEMY ELEMENTARY    </t>
  </si>
  <si>
    <t xml:space="preserve">TATANKA ACADEMY                    </t>
  </si>
  <si>
    <t xml:space="preserve">RIVER BEND EDUCATIONAL CENTER      </t>
  </si>
  <si>
    <t xml:space="preserve">MPS METRO SJ                       </t>
  </si>
  <si>
    <t xml:space="preserve">ANOKA-HENNEPIN PUBLIC SCHOOL DIST. </t>
  </si>
  <si>
    <t xml:space="preserve">ALEXANDRIA HOUSE WOMENS SHELTER    </t>
  </si>
  <si>
    <t xml:space="preserve">BELL CENTER                        </t>
  </si>
  <si>
    <t xml:space="preserve">PINE POINT PUBLIC SCHOOL DISTRICT  </t>
  </si>
  <si>
    <t xml:space="preserve">PINE POINT ELEMENTARY              </t>
  </si>
  <si>
    <t xml:space="preserve">MANKATO PUBLIC SCHOOL DISTRICT     </t>
  </si>
  <si>
    <t xml:space="preserve">CTSS AT ST. JOHN'S                 </t>
  </si>
  <si>
    <t xml:space="preserve">COMFREY PUBLIC SCHOOL DISTRICT     </t>
  </si>
  <si>
    <t xml:space="preserve">COMFREY ELEMENTARY                 </t>
  </si>
  <si>
    <t xml:space="preserve">CLOQUET PUBLIC SCHOOL DISTRICT     </t>
  </si>
  <si>
    <t xml:space="preserve">CAAEP ELEMENTARY                   </t>
  </si>
  <si>
    <t xml:space="preserve">NORTH BRANCH PUBLIC SCHOOLS        </t>
  </si>
  <si>
    <t xml:space="preserve">DISTANCE LEARNING PROGRAM          </t>
  </si>
  <si>
    <t xml:space="preserve">HAWLEY PUBLIC SCHOOL DISTRICT      </t>
  </si>
  <si>
    <t xml:space="preserve">SPRING PRAIRIE ELEMENTARY          </t>
  </si>
  <si>
    <t xml:space="preserve">BRAINERD PUBLIC SCHOOL DISTRICT    </t>
  </si>
  <si>
    <t xml:space="preserve">LINCOLN EDUCATION CENTER           </t>
  </si>
  <si>
    <t xml:space="preserve">BURNSVILLE PUBLIC SCHOOL DISTRICT  </t>
  </si>
  <si>
    <t xml:space="preserve">VALE EDUCATIONAL CENTER            </t>
  </si>
  <si>
    <t xml:space="preserve">ROSEMOUNT-APPLE VALLEY-EAGAN       </t>
  </si>
  <si>
    <t xml:space="preserve">DAKOTA RIDGE SCHOOL                </t>
  </si>
  <si>
    <t xml:space="preserve">EVANSVILLE PUBLIC SCHOOL DISTRICT  </t>
  </si>
  <si>
    <t xml:space="preserve">EVANSVILLE ELEMENTARY              </t>
  </si>
  <si>
    <t xml:space="preserve">HERMAN-NORCROSS SCHOOL DISTRICT    </t>
  </si>
  <si>
    <t xml:space="preserve">HERMAN ELEMENTARY                  </t>
  </si>
  <si>
    <t xml:space="preserve">HOUSTON PUBLIC SCHOOL DISTRICT     </t>
  </si>
  <si>
    <t xml:space="preserve">MN CENTER FOR ONLINE LEARNING      </t>
  </si>
  <si>
    <t xml:space="preserve">SOUTH KOOCHICHING SCHOOL DISTRICT  </t>
  </si>
  <si>
    <t xml:space="preserve">NORTHOME ELEMENTARY                </t>
  </si>
  <si>
    <t xml:space="preserve">INDUS ELEMENTARY                   </t>
  </si>
  <si>
    <t xml:space="preserve">LYND PUBLIC SCHOOL DISTRICT        </t>
  </si>
  <si>
    <t xml:space="preserve">LYND ELEMENTARY                    </t>
  </si>
  <si>
    <t xml:space="preserve">HUTCHINSON PUBLIC SCHOOL DISTRICT  </t>
  </si>
  <si>
    <t xml:space="preserve">CORNERSTONE                        </t>
  </si>
  <si>
    <t xml:space="preserve">GRYGLA PUBLIC SCHOOL DISTRICT      </t>
  </si>
  <si>
    <t xml:space="preserve">GRYGLA ELEMENTARY                  </t>
  </si>
  <si>
    <t xml:space="preserve">AUSTIN PUBLIC SCHOOL DISTRICT      </t>
  </si>
  <si>
    <t xml:space="preserve">NEW DOMINION ACADEMY               </t>
  </si>
  <si>
    <t xml:space="preserve">ELLSWORTH PUBLIC SCHOOL DISTRICT   </t>
  </si>
  <si>
    <t xml:space="preserve">ELLSWORTH ELEMENTARY               </t>
  </si>
  <si>
    <t xml:space="preserve">GOODRIDGE PUBLIC SCHOOL DISTRICT   </t>
  </si>
  <si>
    <t xml:space="preserve">GOODRIDGE ELEMENTARY               </t>
  </si>
  <si>
    <t xml:space="preserve">CLIMAX PUBLIC SCHOOL DISTRICT      </t>
  </si>
  <si>
    <t xml:space="preserve">CLIMAX ELEMENTARY                  </t>
  </si>
  <si>
    <t xml:space="preserve">CYRUS PUBLIC SCHOOL DISTRICT       </t>
  </si>
  <si>
    <t xml:space="preserve">CYRUS TECHNOLOGY ELEMENTARY        </t>
  </si>
  <si>
    <t xml:space="preserve">MOUNDS VIEW PUBLIC SCHOOL DISTRICT </t>
  </si>
  <si>
    <t xml:space="preserve">MOUNDS VIEW BRIDGES PROGRAM        </t>
  </si>
  <si>
    <t xml:space="preserve">LIFESPAN OF MN YOUTH TRANSITION    </t>
  </si>
  <si>
    <t xml:space="preserve">TEEP                               </t>
  </si>
  <si>
    <t xml:space="preserve">ST. PAUL PUBLIC SCHOOL DISTRICT    </t>
  </si>
  <si>
    <t xml:space="preserve">BATTLE CREEK LEARNING CENTER       </t>
  </si>
  <si>
    <t xml:space="preserve">OBAMA LEARNING CENTER              </t>
  </si>
  <si>
    <t xml:space="preserve">HIGHWOOD HILLS LEARNING CENTER     </t>
  </si>
  <si>
    <t xml:space="preserve">RONDO LEARNING CENTER              </t>
  </si>
  <si>
    <t xml:space="preserve">HANCOCK LEARNING CENTER            </t>
  </si>
  <si>
    <t xml:space="preserve">FROST LAKE LEARNING CENTER         </t>
  </si>
  <si>
    <t xml:space="preserve">COMO SPECIAL/HARTZELL              </t>
  </si>
  <si>
    <t xml:space="preserve">RIVEREAST PROGRAM                  </t>
  </si>
  <si>
    <t xml:space="preserve">BRUCE F VENTO LEARNING CENTER      </t>
  </si>
  <si>
    <t xml:space="preserve">WABASSO PUBLIC SCHOOL DISTRICT     </t>
  </si>
  <si>
    <t xml:space="preserve">VESTA ELEMENTARY                   </t>
  </si>
  <si>
    <t xml:space="preserve">WARROAD PUBLIC SCHOOL DISTRICT     </t>
  </si>
  <si>
    <t xml:space="preserve">ANGLE INLET ELEMENTARY             </t>
  </si>
  <si>
    <t xml:space="preserve">NETT LAKE PUBLIC SCHOOL DISTRICT   </t>
  </si>
  <si>
    <t xml:space="preserve">NETT LAKE ELEMENTARY               </t>
  </si>
  <si>
    <t xml:space="preserve">DULUTH PUBLIC SCHOOL DISTRICT      </t>
  </si>
  <si>
    <t xml:space="preserve">MERRITT CREEK ACADEMY              </t>
  </si>
  <si>
    <t xml:space="preserve">CHESTER CREEK ACADEMY              </t>
  </si>
  <si>
    <t xml:space="preserve">LAKESIDE ACADEMY                   </t>
  </si>
  <si>
    <t xml:space="preserve">ELK RIVER PUBLIC SCHOOL DISTRICT   </t>
  </si>
  <si>
    <t xml:space="preserve">ELK RIVER DISTRICT LEVEL 5 PROGRAM </t>
  </si>
  <si>
    <t xml:space="preserve">ST. CLOUD PUBLIC SCHOOL DISTRICT   </t>
  </si>
  <si>
    <t xml:space="preserve">RIVERWOODS SCHOOL                  </t>
  </si>
  <si>
    <t xml:space="preserve">CHOKIO-ALBERTA PUBLIC SCHOOL DIST. </t>
  </si>
  <si>
    <t xml:space="preserve">CHOKIO-ALBERTA ELEMENTARY          </t>
  </si>
  <si>
    <t xml:space="preserve">BENSON PUBLIC SCHOOL DISTRICT      </t>
  </si>
  <si>
    <t xml:space="preserve">BENSON DAY TREATMENT               </t>
  </si>
  <si>
    <t xml:space="preserve">BROWNS VALLEY PUBLIC SCHOOL DIST.  </t>
  </si>
  <si>
    <t xml:space="preserve">BROWNS VALLEY ELEMENTARY           </t>
  </si>
  <si>
    <t xml:space="preserve">CAMPBELL-TINTAH ELEMENTARY         </t>
  </si>
  <si>
    <t xml:space="preserve">WINONA AREA PUBLIC SCHOOL DISTRICT </t>
  </si>
  <si>
    <t xml:space="preserve">ROLLINGSTONE COMMUNITY ELEMENTARY  </t>
  </si>
  <si>
    <t xml:space="preserve">ST. LOUIS COUNTY SCHOOL DISTRICT   </t>
  </si>
  <si>
    <t xml:space="preserve">COTTON ELEMENTARY                  </t>
  </si>
  <si>
    <t xml:space="preserve">ORR ELEMENTARY                     </t>
  </si>
  <si>
    <t xml:space="preserve">MINNEWASKA SCHOOL DISTRICT         </t>
  </si>
  <si>
    <t xml:space="preserve">MINNEWASKA DAY TREATMENT PROGRAM   </t>
  </si>
  <si>
    <t xml:space="preserve">KITTSON CENTRAL SCHOOL DISTRICT    </t>
  </si>
  <si>
    <t xml:space="preserve">KITTSON CENTRAL-ST. VINCENT ELEM.  </t>
  </si>
  <si>
    <t xml:space="preserve">LESUEUR-HENDERSON SCHOOL DISTRICT  </t>
  </si>
  <si>
    <t xml:space="preserve">HILLTOP ELEMENTARY                 </t>
  </si>
  <si>
    <t xml:space="preserve">GRANADA HUNTLEY-EAST CHAIN         </t>
  </si>
  <si>
    <t xml:space="preserve">GRANADA HUNTLEY EAST CHAIN ELEM.   </t>
  </si>
  <si>
    <t xml:space="preserve">PIPESTONE AREA SCHOOL DISTRICT     </t>
  </si>
  <si>
    <t xml:space="preserve">HEARTLAND ELEMENTARY               </t>
  </si>
  <si>
    <t xml:space="preserve">CLINTON-GRACEVILLE-BEARDSLEY       </t>
  </si>
  <si>
    <t xml:space="preserve">BIG STONE COLONY ELEMENTARY        </t>
  </si>
  <si>
    <t xml:space="preserve">LISMORE COLONY ELEMENTARY          </t>
  </si>
  <si>
    <t xml:space="preserve">NEW HEIGHTS SCHOOL, INC.           </t>
  </si>
  <si>
    <t xml:space="preserve">METRO DEAF SCH-MN NORTH STAR ACAD  </t>
  </si>
  <si>
    <t xml:space="preserve">EMILY CHARTER SCHOOL               </t>
  </si>
  <si>
    <t xml:space="preserve">MINNESOTA TRANSITIONS CHARTER SCH  </t>
  </si>
  <si>
    <t xml:space="preserve">MINNESOTA TRANSITIONS CHARTER ELEM </t>
  </si>
  <si>
    <t xml:space="preserve">CYBER VILLAGE ACADEMY              </t>
  </si>
  <si>
    <t xml:space="preserve">E.C.H.O. CHARTER SCHOOL            </t>
  </si>
  <si>
    <t xml:space="preserve">LAFAYETTE PUBLIC CHARTER SCHOOL    </t>
  </si>
  <si>
    <t xml:space="preserve">STARLAND EL.                       </t>
  </si>
  <si>
    <t xml:space="preserve">LACRESCENT MONTESSORI ACADEMY      </t>
  </si>
  <si>
    <t xml:space="preserve">CROSSLAKE COMMUNITY CHARTER SCHOOL </t>
  </si>
  <si>
    <t xml:space="preserve">RIVERWAY LEARNING COMMUNITY CHTR   </t>
  </si>
  <si>
    <t xml:space="preserve">NEW CITY SCHOOL                    </t>
  </si>
  <si>
    <t xml:space="preserve">GREAT EXPECTATIONS                 </t>
  </si>
  <si>
    <t xml:space="preserve">FRASER ACADEMY                     </t>
  </si>
  <si>
    <t xml:space="preserve">DAKOTA AREA COMMUNITY CHARTER SCH  </t>
  </si>
  <si>
    <t xml:space="preserve">WORTHINGTON AREA LANGUAGE ACADEMY  </t>
  </si>
  <si>
    <t xml:space="preserve">MILROY AREA CHARTER SCHOOL         </t>
  </si>
  <si>
    <t xml:space="preserve">GREEN ISLE COMMUNITY SCHOOL        </t>
  </si>
  <si>
    <t xml:space="preserve">BIRCH GROVE COMMUNITY SCHOOL       </t>
  </si>
  <si>
    <t xml:space="preserve">NAYTAHWAUSH COMMUNITY SCHOOL       </t>
  </si>
  <si>
    <t xml:space="preserve">GLACIAL HILLS ELEMENTARY           </t>
  </si>
  <si>
    <t xml:space="preserve">CLARKFIELD CHARTER SCHOOL          </t>
  </si>
  <si>
    <t xml:space="preserve">PINE GROVE LEADERSHIP ACADEMY      </t>
  </si>
  <si>
    <t xml:space="preserve">MINISINAAKWAANG LEADERSHIP ACADEMY </t>
  </si>
  <si>
    <t xml:space="preserve">MICHAEL FROME ACADEMY              </t>
  </si>
  <si>
    <t xml:space="preserve">BRIGHT WATER ELEMENTARY            </t>
  </si>
  <si>
    <t xml:space="preserve">OSHKI OGIMAAG CHARTER SCHOOL       </t>
  </si>
  <si>
    <t xml:space="preserve">ACADEMY OF NORTH MINNEAPOLIS       </t>
  </si>
  <si>
    <t>Oct 11</t>
  </si>
  <si>
    <t>Grade 4</t>
  </si>
  <si>
    <t>Portion</t>
  </si>
  <si>
    <t>Revenue</t>
  </si>
  <si>
    <t xml:space="preserve">IVANHOE PUBLIC SCHOOL DISTRICT     </t>
  </si>
  <si>
    <t xml:space="preserve">LINCOLN HI ELEMENTARY - IVANHOE    </t>
  </si>
  <si>
    <t xml:space="preserve">BENJAMIN E MAYS MAGNET             </t>
  </si>
  <si>
    <t xml:space="preserve">HAZEL PARK PREPARATORY ACADEMY     </t>
  </si>
  <si>
    <t xml:space="preserve">SAINT PAUL MUSIC ACADEMY           </t>
  </si>
  <si>
    <t xml:space="preserve">SHAKOPEE PUBLIC SCHOOL DISTRICT    </t>
  </si>
  <si>
    <t xml:space="preserve">JACKSON ELEMENTARY                 </t>
  </si>
  <si>
    <t xml:space="preserve">SOUTH RIDGE ELEMENTARY             </t>
  </si>
  <si>
    <t xml:space="preserve">NORTH WOODS ELEMENTARY             </t>
  </si>
  <si>
    <t xml:space="preserve">DISCOVERY WOODS MONTESSORI SCHOOL  </t>
  </si>
  <si>
    <t xml:space="preserve">PARNASSUS PREPARATORY CHARTER SCH  </t>
  </si>
  <si>
    <t xml:space="preserve">MINNESOTA SCHOOL OF SCIENCE        </t>
  </si>
  <si>
    <t>Notes:</t>
  </si>
  <si>
    <t>Grade 3 enrollment as of October 2011</t>
  </si>
  <si>
    <t>Grade 4 enrollment as of October 2011</t>
  </si>
  <si>
    <t>ESTIMATED DISTRICT AND CHARTER SCHOOL GROSS REVENUE TOTALS</t>
  </si>
  <si>
    <t>FOR FY 2013 LITERACY INCENTIVE AID</t>
  </si>
  <si>
    <t>Allowance</t>
  </si>
  <si>
    <t>3 Year</t>
  </si>
  <si>
    <t>FY 2013 LITERACY INCENTIVE REVENUE BY SITE</t>
  </si>
  <si>
    <t>Total grade 3 reading scores</t>
  </si>
  <si>
    <t>Total scores in the proficient range</t>
  </si>
  <si>
    <t>Total grade 4 reading growth results</t>
  </si>
  <si>
    <t>Total with high or medium growth</t>
  </si>
  <si>
    <t>Literacy incentive aid goes into effect in FY 2013, based on legislation passed in 2011 and amended in 2012.</t>
  </si>
  <si>
    <t>Lookup:</t>
  </si>
  <si>
    <t>Listed site?</t>
  </si>
  <si>
    <t>Any filters?</t>
  </si>
  <si>
    <t>Inputs for Site Reports</t>
  </si>
  <si>
    <t>Enter the appropriate district and school numbers in the yellow cells.</t>
  </si>
  <si>
    <t>Aid is based on grade reading 3 proficiency and grade 4 reading growth, based on the prior 3 years'</t>
  </si>
  <si>
    <t>administrations of the Minnesota Comprehensive Assessment (MCA).  The calculation is done separately</t>
  </si>
  <si>
    <t>filtered because at least one total is between 1 and 9.</t>
  </si>
  <si>
    <t>Districts and Schools by Listed by Number</t>
  </si>
  <si>
    <t>Districts and Schools Listed Alphabetically</t>
  </si>
  <si>
    <t>Filtered</t>
  </si>
  <si>
    <t>If you are responsible for a filtered site and you want the detail, contact Bob Porter at bob.porter@state.mn.us or at 651-582-8851.</t>
  </si>
  <si>
    <t>If anything is filtered here, then everything is filtered.</t>
  </si>
  <si>
    <t>Subdivision 1. Literacy incentive aid.</t>
  </si>
  <si>
    <t>Subd. 2. Proficiency aid.</t>
  </si>
  <si>
    <t>averaged across the previous three test administrations, times $530.</t>
  </si>
  <si>
    <t>Subd. 3. Growth aid.</t>
  </si>
  <si>
    <t>124D.98 Literacy incentive aid, as amended in 2012:</t>
  </si>
  <si>
    <t>In fiscal year 2013 and later, the proficiency aid for each school is equal</t>
  </si>
  <si>
    <t>to the product of the school's proficiency allowance times the number of</t>
  </si>
  <si>
    <t>third grade pupils at the school on October 1 of the previous fiscal year.</t>
  </si>
  <si>
    <t>A school's proficiency allowance is equal to the percentage of students</t>
  </si>
  <si>
    <t>in each building that meet or exceed proficiency on the third grade</t>
  </si>
  <si>
    <t>reading Minnesota Comprehensive Assessment, averaged across the</t>
  </si>
  <si>
    <t>previous three test administrations, times $530.</t>
  </si>
  <si>
    <t>In fiscal year 2013 and later, the growth aid for each school is equal to the</t>
  </si>
  <si>
    <t>product of the school's growth allowance times the number of fourth</t>
  </si>
  <si>
    <t>grade pupils enrolled at the school on October 1 of the previous fiscal</t>
  </si>
  <si>
    <t>year. A school's growth allowance is equal to the percentage of students</t>
  </si>
  <si>
    <t>at that school making medium or high growth, under section 120B.299,</t>
  </si>
  <si>
    <t>on the fourth grade reading Minnesota Comprehensive Assessment,</t>
  </si>
  <si>
    <t>To see the results for a particular district, click on the</t>
  </si>
  <si>
    <t>district number.</t>
  </si>
  <si>
    <t>A site's results are filtered if there are fewer than 10 scores in any year for either</t>
  </si>
  <si>
    <t>proficiency or growth. If any of a site's results are filtered, then everything in</t>
  </si>
  <si>
    <t>columns A, B, C, D, G, and H is filtered. If you are responsible for a filtered site and you</t>
  </si>
  <si>
    <t>want the detail, contact Bob Porter at bob.porter@state.mn.us or at 651-582-8851.</t>
  </si>
  <si>
    <t>Test counts are shown as "Filtered" if any of a site's total test counts, as shown in lines 1 and 7, have been</t>
  </si>
  <si>
    <t>Gross</t>
  </si>
  <si>
    <t>down arrow in cell A14 then indicate the appropriate</t>
  </si>
  <si>
    <t>Prorated</t>
  </si>
  <si>
    <t>T</t>
  </si>
  <si>
    <t>For FY 2013 only, the state total aid entitlement is capped at $48,585,000.</t>
  </si>
  <si>
    <t>For FY 2013 only, the state total aid entitlement is capped at $48,585,000, requiring a</t>
  </si>
  <si>
    <t>WARROAD ELEMENTARY</t>
  </si>
  <si>
    <t>proration factor that is currently estimated to be about 95.6%.</t>
  </si>
  <si>
    <t xml:space="preserve">MONTEVIDEO PUBLIC SCHOOL DISTRICT  </t>
  </si>
  <si>
    <t xml:space="preserve">MONTEVIDEO MIDDLE                  </t>
  </si>
  <si>
    <t xml:space="preserve">OAK POINT INTERMEDIATE ELEMENTARY. </t>
  </si>
  <si>
    <t xml:space="preserve">PINE CITY PUBLIC SCHOOL DISTRICT   </t>
  </si>
  <si>
    <t xml:space="preserve">VISION                             </t>
  </si>
  <si>
    <t xml:space="preserve">BRIDGE VIEW SPECIAL EDUCATION      </t>
  </si>
  <si>
    <t xml:space="preserve">PIEDMONT ELEMENTARY                </t>
  </si>
  <si>
    <t xml:space="preserve">MAPLE RIVER SCHOOL DISTRICT        </t>
  </si>
  <si>
    <t xml:space="preserve">RAMP-APOLLO PROGRAM                </t>
  </si>
  <si>
    <t>Results are filtered if there are fewer that 10 results in columns A, C, E, G, I, or K.</t>
  </si>
  <si>
    <t>Proration rate (approximate)</t>
  </si>
  <si>
    <t>Closed: No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</si>
</sst>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%"/>
    <numFmt numFmtId="166" formatCode="#,##0.00000000"/>
    <numFmt numFmtId="167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quotePrefix="1" applyNumberFormat="1" applyFont="1"/>
    <xf numFmtId="14" fontId="0" fillId="0" borderId="0" xfId="0" applyNumberFormat="1"/>
    <xf numFmtId="0" fontId="0" fillId="0" borderId="0" xfId="0" quotePrefix="1"/>
    <xf numFmtId="0" fontId="0" fillId="2" borderId="1" xfId="0" applyFill="1" applyBorder="1"/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ill="1" applyBorder="1"/>
    <xf numFmtId="4" fontId="0" fillId="0" borderId="0" xfId="0" applyNumberFormat="1" applyFill="1" applyBorder="1" applyAlignment="1">
      <alignment horizontal="right"/>
    </xf>
    <xf numFmtId="0" fontId="0" fillId="0" borderId="0" xfId="0" applyFill="1"/>
    <xf numFmtId="0" fontId="0" fillId="0" borderId="0" xfId="0" quotePrefix="1" applyFill="1"/>
    <xf numFmtId="0" fontId="0" fillId="0" borderId="0" xfId="0" quotePrefix="1" applyFill="1" applyAlignment="1">
      <alignment horizontal="right"/>
    </xf>
    <xf numFmtId="0" fontId="0" fillId="0" borderId="0" xfId="0" quotePrefix="1" applyFill="1" applyBorder="1" applyAlignment="1">
      <alignment horizontal="right"/>
    </xf>
    <xf numFmtId="0" fontId="0" fillId="0" borderId="0" xfId="0" quotePrefix="1" applyFill="1" applyBorder="1"/>
    <xf numFmtId="0" fontId="0" fillId="0" borderId="0" xfId="0" applyFill="1" applyBorder="1" applyAlignment="1">
      <alignment horizontal="right"/>
    </xf>
    <xf numFmtId="0" fontId="0" fillId="0" borderId="0" xfId="0" quotePrefix="1" applyNumberFormat="1" applyFill="1" applyBorder="1"/>
    <xf numFmtId="10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left" indent="2"/>
    </xf>
    <xf numFmtId="4" fontId="0" fillId="0" borderId="0" xfId="0" applyNumberFormat="1" applyFill="1" applyBorder="1"/>
    <xf numFmtId="165" fontId="0" fillId="0" borderId="0" xfId="0" applyNumberFormat="1"/>
    <xf numFmtId="0" fontId="0" fillId="0" borderId="0" xfId="0" quotePrefix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 applyFill="1" applyBorder="1" applyAlignment="1">
      <alignment horizontal="right"/>
    </xf>
    <xf numFmtId="3" fontId="0" fillId="0" borderId="0" xfId="0" applyNumberFormat="1" applyAlignment="1">
      <alignment horizontal="right"/>
    </xf>
    <xf numFmtId="166" fontId="0" fillId="0" borderId="0" xfId="0" applyNumberFormat="1" applyFill="1" applyBorder="1"/>
    <xf numFmtId="167" fontId="0" fillId="0" borderId="0" xfId="0" applyNumberFormat="1" applyAlignment="1">
      <alignment horizontal="right"/>
    </xf>
    <xf numFmtId="0" fontId="3" fillId="0" borderId="0" xfId="0" applyFont="1"/>
    <xf numFmtId="167" fontId="0" fillId="0" borderId="0" xfId="0" applyNumberFormat="1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quotePrefix="1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9"/>
  <sheetViews>
    <sheetView tabSelected="1" zoomScaleNormal="100" workbookViewId="0">
      <pane ySplit="10" topLeftCell="A11" activePane="bottomLeft" state="frozen"/>
      <selection pane="bottomLeft" activeCell="A4" sqref="A4"/>
    </sheetView>
  </sheetViews>
  <sheetFormatPr defaultRowHeight="15" x14ac:dyDescent="0.25"/>
  <cols>
    <col min="1" max="1" width="6.7109375" customWidth="1"/>
    <col min="2" max="2" width="42.7109375" customWidth="1"/>
    <col min="3" max="6" width="16.7109375" customWidth="1"/>
    <col min="7" max="7" width="2.7109375" customWidth="1"/>
    <col min="10" max="10" width="12.7109375" customWidth="1"/>
  </cols>
  <sheetData>
    <row r="1" spans="1:26" x14ac:dyDescent="0.25">
      <c r="A1" t="s">
        <v>1115</v>
      </c>
      <c r="C1" s="35"/>
      <c r="D1" s="10"/>
      <c r="F1" s="1" t="s">
        <v>1141</v>
      </c>
    </row>
    <row r="2" spans="1:26" x14ac:dyDescent="0.25">
      <c r="A2" t="s">
        <v>1116</v>
      </c>
      <c r="C2" s="35"/>
      <c r="D2" s="10"/>
      <c r="F2" s="9">
        <v>41227</v>
      </c>
    </row>
    <row r="3" spans="1:26" x14ac:dyDescent="0.25">
      <c r="D3" s="10"/>
      <c r="F3" s="9"/>
    </row>
    <row r="4" spans="1:26" x14ac:dyDescent="0.25">
      <c r="A4" s="11">
        <v>1</v>
      </c>
      <c r="B4" s="10" t="s">
        <v>1120</v>
      </c>
      <c r="C4" t="s">
        <v>1322</v>
      </c>
      <c r="D4" s="10"/>
      <c r="F4" s="9"/>
    </row>
    <row r="5" spans="1:26" x14ac:dyDescent="0.25">
      <c r="A5" s="11">
        <v>3</v>
      </c>
      <c r="B5" s="10" t="s">
        <v>1122</v>
      </c>
      <c r="C5" t="s">
        <v>1118</v>
      </c>
      <c r="D5" s="10"/>
      <c r="F5" s="9"/>
      <c r="J5" s="17" t="s">
        <v>1318</v>
      </c>
      <c r="K5" s="17">
        <f>10000*A4+A5</f>
        <v>10003</v>
      </c>
    </row>
    <row r="6" spans="1:26" x14ac:dyDescent="0.25">
      <c r="C6" t="s">
        <v>1121</v>
      </c>
      <c r="D6" s="10"/>
      <c r="F6" s="9"/>
      <c r="J6" t="s">
        <v>1319</v>
      </c>
      <c r="K6">
        <f>COUNTIF('All sites (detail)'!A14:A973,'Site reports'!K5)</f>
        <v>1</v>
      </c>
    </row>
    <row r="7" spans="1:26" x14ac:dyDescent="0.25">
      <c r="C7" t="s">
        <v>1140</v>
      </c>
      <c r="D7" s="10"/>
      <c r="F7" s="9"/>
      <c r="J7" t="s">
        <v>1320</v>
      </c>
      <c r="K7">
        <f>SUMIF('All sites (detail)'!$A$14:$A$973,'Site reports'!K5,'All sites (detail)'!$G$14:$G$973)</f>
        <v>1</v>
      </c>
    </row>
    <row r="8" spans="1:26" x14ac:dyDescent="0.25">
      <c r="A8" s="17"/>
      <c r="B8" s="17" t="str">
        <f>IF(K6=1,VLOOKUP(10000*$A$4+$A$5,Inputall,4,FALSE),"NOT A LISTED SITE")</f>
        <v xml:space="preserve">AITKIN PUBLIC SCHOOL DISTRICT      </v>
      </c>
      <c r="C8" s="17"/>
      <c r="D8" s="18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17"/>
      <c r="B9" s="17" t="str">
        <f>IF(K6=1,VLOOKUP(10000*$A$4+$A$5,Inputall,6,FALSE),"NOT A LISTED SITE")</f>
        <v xml:space="preserve">PALISADE ELEMENTARY                </v>
      </c>
      <c r="C9" s="19" t="s">
        <v>1145</v>
      </c>
      <c r="D9" s="19" t="s">
        <v>1146</v>
      </c>
      <c r="E9" s="19" t="s">
        <v>1147</v>
      </c>
      <c r="F9" s="19" t="s">
        <v>1123</v>
      </c>
      <c r="G9" s="17"/>
      <c r="H9" s="17"/>
      <c r="I9" s="17"/>
      <c r="L9" s="18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15"/>
      <c r="B10" s="15"/>
      <c r="C10" s="20"/>
      <c r="D10" s="20"/>
      <c r="E10" s="20"/>
      <c r="F10" s="20"/>
      <c r="G10" s="15"/>
      <c r="H10" s="15"/>
      <c r="I10" s="15"/>
      <c r="J10" s="15"/>
      <c r="K10" s="15"/>
      <c r="L10" s="21"/>
      <c r="M10" s="15"/>
      <c r="N10" s="15"/>
      <c r="O10" s="15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15"/>
      <c r="B11" s="15" t="s">
        <v>1124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15">
        <v>1</v>
      </c>
      <c r="B13" s="15" t="s">
        <v>1313</v>
      </c>
      <c r="C13" s="22" t="str">
        <f>IF(K7=1,"Filtered",SUMIF('All sites (detail)'!$A$14:$A$973,'Site reports'!$K$5,'All sites (detail)'!H$14:H$973))</f>
        <v>Filtered</v>
      </c>
      <c r="D13" s="22" t="str">
        <f>IF(K7=1,"Filtered",SUMIF('All sites (detail)'!$A$14:$A$973,'Site reports'!$K$5,'All sites (detail)'!J$14:J$973))</f>
        <v>Filtered</v>
      </c>
      <c r="E13" s="22" t="str">
        <f>IF(K7=1,"Filtered",SUMIF('All sites (detail)'!$A$14:$A$973,'Site reports'!$K$5,'All sites (detail)'!L$14:L$973))</f>
        <v>Filtered</v>
      </c>
      <c r="F13" s="22" t="str">
        <f>IF(K7=1,"Filtered",C13+D13+E13)</f>
        <v>Filtered</v>
      </c>
      <c r="G13" s="15"/>
      <c r="H13" s="15"/>
      <c r="I13" s="15"/>
      <c r="J13" s="15"/>
      <c r="W13" s="17"/>
      <c r="X13" s="17"/>
      <c r="Y13" s="17"/>
      <c r="Z13" s="17"/>
    </row>
    <row r="14" spans="1:26" x14ac:dyDescent="0.25">
      <c r="A14" s="15">
        <f>A13+1</f>
        <v>2</v>
      </c>
      <c r="B14" s="15" t="s">
        <v>1314</v>
      </c>
      <c r="C14" s="22" t="str">
        <f>IF(K7=1,"Filtered",SUMIF('All sites (detail)'!$A$14:$A$973,'Site reports'!$K$5,'All sites (detail)'!I$14:I$973))</f>
        <v>Filtered</v>
      </c>
      <c r="D14" s="22" t="str">
        <f>IF(K7=1,"Filtered",SUMIF('All sites (detail)'!$A$14:$A$973,'Site reports'!$K$5,'All sites (detail)'!K$14:K$973))</f>
        <v>Filtered</v>
      </c>
      <c r="E14" s="22" t="str">
        <f>IF(K7=1,"Filtered",SUMIF('All sites (detail)'!$A$14:$A$973,'Site reports'!$K$5,'All sites (detail)'!M$14:M$973))</f>
        <v>Filtered</v>
      </c>
      <c r="F14" s="22" t="str">
        <f>IF(K7=1,"Filtered",C14+D14+E14)</f>
        <v>Filtered</v>
      </c>
      <c r="G14" s="15"/>
      <c r="H14" s="15"/>
      <c r="I14" s="15"/>
      <c r="J14" s="15"/>
      <c r="N14" s="15"/>
      <c r="O14" s="15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15">
        <f>A14+1</f>
        <v>3</v>
      </c>
      <c r="B15" s="15" t="str">
        <f>+"Proficiency portion = ("&amp;FIXED(A14,0)&amp;")/("&amp;FIXED(A13,0)&amp;") ="</f>
        <v>Proficiency portion = (2)/(1) =</v>
      </c>
      <c r="C15" s="31" t="str">
        <f>IF(K7=1,"Filtered",IF(C13=0,0,C14/C13))</f>
        <v>Filtered</v>
      </c>
      <c r="D15" s="31" t="str">
        <f>IF(K7=1,"Filtered",IF(D13=0,0,D14/D13))</f>
        <v>Filtered</v>
      </c>
      <c r="E15" s="31" t="str">
        <f>IF(K7=1,"Filtered",IF(E13=0,0,E14/E13))</f>
        <v>Filtered</v>
      </c>
      <c r="F15" s="31" t="str">
        <f>IF(K7=1,"Filtered",IF(F13=0,0,F14/F13))</f>
        <v>Filtered</v>
      </c>
      <c r="G15" s="15"/>
      <c r="H15" s="15"/>
      <c r="I15" s="15"/>
      <c r="J15" s="15"/>
      <c r="K15" s="15"/>
      <c r="L15" s="15"/>
      <c r="M15" s="15"/>
      <c r="N15" s="15"/>
      <c r="O15" s="15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15"/>
      <c r="B16" s="15"/>
      <c r="C16" s="22"/>
      <c r="D16" s="22"/>
      <c r="E16" s="22"/>
      <c r="F16" s="22"/>
      <c r="G16" s="15"/>
      <c r="H16" s="15"/>
      <c r="I16" s="15"/>
      <c r="J16" s="15"/>
      <c r="K16" s="15"/>
      <c r="L16" s="15"/>
      <c r="M16" s="15"/>
      <c r="N16" s="15"/>
      <c r="O16" s="15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15">
        <f>A15+1</f>
        <v>4</v>
      </c>
      <c r="B17" s="15" t="str">
        <f>+"Proficiency allowance = $530 x ("&amp;FIXED(A15,0)&amp;") ="</f>
        <v>Proficiency allowance = $530 x (3) =</v>
      </c>
      <c r="C17" s="22" t="s">
        <v>1129</v>
      </c>
      <c r="D17" s="22" t="s">
        <v>1129</v>
      </c>
      <c r="E17" s="22" t="s">
        <v>1129</v>
      </c>
      <c r="F17" s="16" t="str">
        <f>IF(F18=0,0,IF(K7=1,"n/a",ROUND(530*F15,2)))</f>
        <v>n/a</v>
      </c>
      <c r="G17" s="15"/>
      <c r="H17" s="15"/>
      <c r="I17" s="15"/>
      <c r="J17" s="15"/>
      <c r="K17" s="15"/>
      <c r="L17" s="15"/>
      <c r="M17" s="15"/>
      <c r="N17" s="15"/>
      <c r="O17" s="15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15">
        <f>A17+1</f>
        <v>5</v>
      </c>
      <c r="B18" s="15" t="s">
        <v>1306</v>
      </c>
      <c r="C18" s="22" t="s">
        <v>1129</v>
      </c>
      <c r="D18" s="22" t="s">
        <v>1129</v>
      </c>
      <c r="E18" s="22" t="s">
        <v>1129</v>
      </c>
      <c r="F18" s="22">
        <f>SUMIF('All sites (detail)'!$A$14:$A$973,'Site reports'!$K$5,'All sites (detail)'!T$14:T$973)</f>
        <v>7</v>
      </c>
      <c r="G18" s="15"/>
      <c r="H18" s="15"/>
      <c r="I18" s="15"/>
      <c r="J18" s="15"/>
      <c r="K18" s="15"/>
      <c r="L18" s="15"/>
      <c r="M18" s="15"/>
      <c r="N18" s="15"/>
      <c r="O18" s="15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15">
        <f>A18+1</f>
        <v>6</v>
      </c>
      <c r="B19" s="15" t="str">
        <f>+"Proficiency aid = ("&amp;FIXED(A17,0)&amp;") x ("&amp;FIXED(A18,0)&amp;") ="</f>
        <v>Proficiency aid = (4) x (5) =</v>
      </c>
      <c r="C19" s="22" t="s">
        <v>1129</v>
      </c>
      <c r="D19" s="22" t="s">
        <v>1129</v>
      </c>
      <c r="E19" s="22" t="s">
        <v>1129</v>
      </c>
      <c r="F19" s="16" t="str">
        <f>IF(K7=1,"n/a",SUMIF('All sites (detail)'!$A$14:$A$973,'Site reports'!$K$5,'All sites (detail)'!X$14:X$973))</f>
        <v>n/a</v>
      </c>
      <c r="G19" s="15"/>
      <c r="H19" s="15"/>
      <c r="I19" s="15"/>
      <c r="J19" s="15"/>
      <c r="K19" s="15"/>
      <c r="L19" s="15"/>
      <c r="M19" s="15"/>
      <c r="N19" s="15"/>
      <c r="O19" s="15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5"/>
      <c r="B20" s="15"/>
      <c r="C20" s="22"/>
      <c r="D20" s="22"/>
      <c r="E20" s="22"/>
      <c r="F20" s="22"/>
      <c r="G20" s="15"/>
      <c r="H20" s="15"/>
      <c r="I20" s="15"/>
      <c r="J20" s="15"/>
      <c r="K20" s="15"/>
      <c r="L20" s="15"/>
      <c r="M20" s="15"/>
      <c r="N20" s="15"/>
      <c r="O20" s="15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25">
      <c r="A21" s="15"/>
      <c r="B21" s="15" t="s">
        <v>1130</v>
      </c>
      <c r="C21" s="22"/>
      <c r="D21" s="22"/>
      <c r="E21" s="22"/>
      <c r="F21" s="22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25">
      <c r="A22" s="15"/>
      <c r="B22" s="15"/>
      <c r="C22" s="22"/>
      <c r="D22" s="22"/>
      <c r="E22" s="22"/>
      <c r="F22" s="22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25">
      <c r="A23" s="15">
        <f>A19+1</f>
        <v>7</v>
      </c>
      <c r="B23" s="15" t="s">
        <v>1315</v>
      </c>
      <c r="C23" s="22" t="str">
        <f>IF(K7=1,"Filtered",SUMIF('All sites (detail)'!$A$14:$A$973,'Site reports'!$K$5,'All sites (detail)'!N$14:N$973))</f>
        <v>Filtered</v>
      </c>
      <c r="D23" s="22" t="str">
        <f>IF(K7=1,"Filtered",SUMIF('All sites (detail)'!$A$14:$A$973,'Site reports'!$K$5,'All sites (detail)'!P$14:P$973))</f>
        <v>Filtered</v>
      </c>
      <c r="E23" s="22" t="str">
        <f>IF(K7=1,"Filtered",SUMIF('All sites (detail)'!$A$14:$A$973,'Site reports'!$K$5,'All sites (detail)'!R$14:R$973))</f>
        <v>Filtered</v>
      </c>
      <c r="F23" s="22" t="str">
        <f>IF(K7=1,"Filtered",C23+D23+E23)</f>
        <v>Filtered</v>
      </c>
      <c r="G23" s="15"/>
      <c r="H23" s="15"/>
      <c r="I23" s="15"/>
      <c r="J23" s="15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25">
      <c r="A24" s="15">
        <f>A23+1</f>
        <v>8</v>
      </c>
      <c r="B24" s="15" t="s">
        <v>1316</v>
      </c>
      <c r="C24" s="22" t="str">
        <f>IF(K7=1,"Filtered",SUMIF('All sites (detail)'!$A$14:$A$973,'Site reports'!$K$5,'All sites (detail)'!O$14:O$973))</f>
        <v>Filtered</v>
      </c>
      <c r="D24" s="22" t="str">
        <f>IF(K7=1,"Filtered",SUMIF('All sites (detail)'!$A$14:$A$973,'Site reports'!$K$5,'All sites (detail)'!Q$14:Q$973))</f>
        <v>Filtered</v>
      </c>
      <c r="E24" s="22" t="str">
        <f>IF(K7=1,"Filtered",SUMIF('All sites (detail)'!$A$14:$A$973,'Site reports'!$K$5,'All sites (detail)'!S$14:S$973))</f>
        <v>Filtered</v>
      </c>
      <c r="F24" s="22" t="str">
        <f>IF(K7=1,"Filtered",C24+D24+E24)</f>
        <v>Filtered</v>
      </c>
      <c r="G24" s="15"/>
      <c r="H24" s="15"/>
      <c r="I24" s="15"/>
      <c r="J24" s="15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25">
      <c r="A25" s="15">
        <f>A24+1</f>
        <v>9</v>
      </c>
      <c r="B25" s="15" t="str">
        <f>+"High/Medium Growth portion = ("&amp;FIXED(A24,0)&amp;")/("&amp;FIXED(A23,0)&amp;") ="</f>
        <v>High/Medium Growth portion = (8)/(7) =</v>
      </c>
      <c r="C25" s="31" t="str">
        <f>IF(K7=1,"Filtered",IF(C23=0,0,C24/C23))</f>
        <v>Filtered</v>
      </c>
      <c r="D25" s="31" t="str">
        <f>IF(K7=1,"Filtered",IF(D23=0,0,D24/D23))</f>
        <v>Filtered</v>
      </c>
      <c r="E25" s="31" t="str">
        <f>IF(K7=1,"Filtered",IF(E23=0,0,E24/E23))</f>
        <v>Filtered</v>
      </c>
      <c r="F25" s="31" t="str">
        <f>IF(K7=1,"Filtered",IF(F23=0,0,F24/F23))</f>
        <v>Filtered</v>
      </c>
      <c r="G25" s="15"/>
      <c r="H25" s="15"/>
      <c r="I25" s="15"/>
      <c r="J25" s="15"/>
      <c r="K25" s="15"/>
      <c r="L25" s="15"/>
      <c r="M25" s="15"/>
      <c r="N25" s="15"/>
      <c r="O25" s="15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25">
      <c r="C26" s="1"/>
      <c r="D26" s="1"/>
      <c r="E26" s="1"/>
      <c r="F26" s="1"/>
      <c r="G26" s="15"/>
      <c r="H26" s="15"/>
      <c r="I26" s="15"/>
      <c r="J26" s="15"/>
      <c r="K26" s="15"/>
      <c r="L26" s="15"/>
      <c r="M26" s="15"/>
      <c r="N26" s="15"/>
      <c r="O26" s="15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25">
      <c r="A27" s="15">
        <f>A25+1</f>
        <v>10</v>
      </c>
      <c r="B27" s="15" t="str">
        <f>+"Growth allowance = $530 x ("&amp;FIXED(A25,0)&amp;") ="</f>
        <v>Growth allowance = $530 x (9) =</v>
      </c>
      <c r="C27" s="22" t="s">
        <v>1129</v>
      </c>
      <c r="D27" s="22" t="s">
        <v>1129</v>
      </c>
      <c r="E27" s="22" t="s">
        <v>1129</v>
      </c>
      <c r="F27" s="16" t="str">
        <f>IF(F28=0,0,IF(K7=1,"n/a",ROUND(530*F25,2)))</f>
        <v>n/a</v>
      </c>
      <c r="G27" s="15"/>
      <c r="H27" s="15"/>
      <c r="M27" s="17"/>
      <c r="N27" s="17"/>
      <c r="O27" s="17"/>
      <c r="P27" s="22"/>
      <c r="Q27" s="22"/>
      <c r="R27" s="22"/>
      <c r="S27" s="22"/>
      <c r="T27" s="22"/>
      <c r="U27" s="17"/>
      <c r="V27" s="22"/>
      <c r="W27" s="22"/>
      <c r="X27" s="22"/>
      <c r="Y27" s="22"/>
      <c r="Z27" s="22"/>
    </row>
    <row r="28" spans="1:26" x14ac:dyDescent="0.25">
      <c r="A28" s="15">
        <f>A27+1</f>
        <v>11</v>
      </c>
      <c r="B28" s="15" t="s">
        <v>1307</v>
      </c>
      <c r="C28" s="22" t="s">
        <v>1129</v>
      </c>
      <c r="D28" s="22" t="s">
        <v>1129</v>
      </c>
      <c r="E28" s="22" t="s">
        <v>1129</v>
      </c>
      <c r="F28" s="22">
        <f>SUMIF('All sites (detail)'!$A$14:$A$973,'Site reports'!$K$5,'All sites (detail)'!U$14:U$973)</f>
        <v>5</v>
      </c>
      <c r="G28" s="15"/>
      <c r="H28" s="15"/>
      <c r="M28" s="15"/>
      <c r="N28" s="15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25">
      <c r="A29" s="15">
        <f>A28+1</f>
        <v>12</v>
      </c>
      <c r="B29" s="15" t="str">
        <f>+"Growth aid = ("&amp;FIXED(A27,0)&amp;") x ("&amp;FIXED(A28,0)&amp;") ="</f>
        <v>Growth aid = (10) x (11) =</v>
      </c>
      <c r="C29" s="22" t="s">
        <v>1129</v>
      </c>
      <c r="D29" s="22" t="s">
        <v>1129</v>
      </c>
      <c r="E29" s="22" t="s">
        <v>1129</v>
      </c>
      <c r="F29" s="16" t="str">
        <f>IF(K7=1,"n/a",SUMIF('All sites (detail)'!$A$14:$A$973,'Site reports'!$K$5,'All sites (detail)'!Y$14:Y$973))</f>
        <v>n/a</v>
      </c>
      <c r="G29" s="15"/>
      <c r="H29" s="15"/>
      <c r="M29" s="15"/>
      <c r="N29" s="15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25">
      <c r="A30" s="15"/>
      <c r="B30" s="15"/>
      <c r="C30" s="22"/>
      <c r="D30" s="22"/>
      <c r="E30" s="22"/>
      <c r="F30" s="16"/>
      <c r="G30" s="15"/>
      <c r="H30" s="15"/>
      <c r="M30" s="15"/>
      <c r="N30" s="15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25">
      <c r="A31" s="15">
        <f>A29+1</f>
        <v>13</v>
      </c>
      <c r="B31" s="15" t="str">
        <f>+"Gross literacy incentive aid = ("&amp;FIXED(A19,0)&amp;")+("&amp;FIXED(A29,0)&amp;") ="</f>
        <v>Gross literacy incentive aid = (6)+(12) =</v>
      </c>
      <c r="C31" s="22" t="s">
        <v>1129</v>
      </c>
      <c r="D31" s="22" t="s">
        <v>1129</v>
      </c>
      <c r="E31" s="22" t="s">
        <v>1129</v>
      </c>
      <c r="F31" s="16">
        <f>SUMIF('All sites (detail)'!$A$14:$A$973,'Site reports'!$K$5,'All sites (detail)'!Z$14:Z$973)</f>
        <v>4975.3999999999996</v>
      </c>
      <c r="G31" s="15"/>
      <c r="H31" s="15"/>
      <c r="M31" s="15"/>
      <c r="N31" s="15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25">
      <c r="A32" s="15"/>
      <c r="B32" s="15"/>
      <c r="C32" s="22"/>
      <c r="D32" s="22"/>
      <c r="E32" s="22"/>
      <c r="F32" s="26"/>
      <c r="G32" s="15"/>
      <c r="H32" s="15"/>
      <c r="M32" s="15"/>
      <c r="N32" s="15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25">
      <c r="A33" s="15">
        <f>A31+1</f>
        <v>14</v>
      </c>
      <c r="B33" s="15" t="s">
        <v>1374</v>
      </c>
      <c r="C33" s="22" t="s">
        <v>1129</v>
      </c>
      <c r="D33" s="22" t="s">
        <v>1129</v>
      </c>
      <c r="E33" s="22" t="s">
        <v>1129</v>
      </c>
      <c r="F33" s="33">
        <v>0.95577976076391657</v>
      </c>
      <c r="G33" s="15"/>
      <c r="H33" s="15"/>
      <c r="M33" s="15"/>
      <c r="N33" s="15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25">
      <c r="A34" s="15">
        <f>A33+1</f>
        <v>15</v>
      </c>
      <c r="B34" s="15" t="str">
        <f>+"Prorated literacy incentive aid = ("&amp;FIXED(A31,0)&amp;") x ("&amp;FIXED(A33,0)&amp;") ="</f>
        <v>Prorated literacy incentive aid = (13) x (14) =</v>
      </c>
      <c r="C34" s="22" t="s">
        <v>1129</v>
      </c>
      <c r="D34" s="22" t="s">
        <v>1129</v>
      </c>
      <c r="E34" s="22" t="s">
        <v>1129</v>
      </c>
      <c r="F34" s="26">
        <f>ROUND(F31*F33,2)</f>
        <v>4755.3900000000003</v>
      </c>
      <c r="G34" s="15"/>
      <c r="H34" s="15"/>
      <c r="M34" s="15"/>
      <c r="N34" s="15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25">
      <c r="A35" s="15"/>
      <c r="B35" s="15"/>
      <c r="C35" s="22"/>
      <c r="D35" s="22"/>
      <c r="E35" s="22"/>
      <c r="F35" s="26"/>
      <c r="G35" s="15"/>
      <c r="H35" s="15"/>
      <c r="M35" s="15"/>
      <c r="N35" s="15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25">
      <c r="A36" s="15" t="s">
        <v>1305</v>
      </c>
      <c r="B36" s="15"/>
      <c r="C36" s="15"/>
      <c r="D36" s="15"/>
      <c r="E36" s="15"/>
      <c r="F36" s="15"/>
      <c r="G36" s="15"/>
      <c r="H36" s="15"/>
      <c r="M36" s="15"/>
      <c r="N36" s="15"/>
      <c r="O36" s="15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25">
      <c r="A37" s="15"/>
      <c r="B37" s="15"/>
      <c r="C37" s="15"/>
      <c r="D37" s="15"/>
      <c r="E37" s="15"/>
      <c r="F37" s="15"/>
      <c r="G37" s="15"/>
      <c r="H37" s="15"/>
      <c r="M37" s="15"/>
      <c r="N37" s="15"/>
      <c r="O37" s="15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25">
      <c r="A38" t="s">
        <v>1317</v>
      </c>
      <c r="D38" s="10"/>
      <c r="F38" s="9"/>
      <c r="G38" s="15"/>
      <c r="H38" s="15"/>
      <c r="M38" s="15"/>
      <c r="N38" s="15"/>
      <c r="O38" s="15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25">
      <c r="A39" t="s">
        <v>1360</v>
      </c>
      <c r="D39" s="10"/>
      <c r="F39" s="9"/>
      <c r="G39" s="15"/>
      <c r="H39" s="15"/>
      <c r="M39" s="15"/>
      <c r="N39" s="15"/>
      <c r="O39" s="15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25">
      <c r="D40" s="10"/>
      <c r="F40" s="9"/>
      <c r="G40" s="15"/>
      <c r="H40" s="15"/>
      <c r="M40" s="15"/>
      <c r="N40" s="15"/>
      <c r="O40" s="15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25">
      <c r="A41" t="s">
        <v>1323</v>
      </c>
      <c r="D41" s="10"/>
      <c r="F41" s="9"/>
      <c r="G41" s="15"/>
      <c r="H41" s="15"/>
      <c r="M41" s="15"/>
      <c r="N41" s="15"/>
      <c r="O41" s="15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25">
      <c r="A42" t="s">
        <v>1324</v>
      </c>
      <c r="D42" s="10"/>
      <c r="F42" s="9"/>
      <c r="G42" s="15"/>
      <c r="H42" s="15"/>
      <c r="M42" s="15"/>
      <c r="N42" s="15"/>
      <c r="O42" s="15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25">
      <c r="A43" t="s">
        <v>1117</v>
      </c>
      <c r="D43" s="10"/>
      <c r="F43" s="9"/>
      <c r="G43" s="15"/>
      <c r="H43" s="15"/>
      <c r="M43" s="15"/>
      <c r="N43" s="15"/>
      <c r="O43" s="15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25">
      <c r="D44" s="10"/>
      <c r="F44" s="9"/>
      <c r="G44" s="15"/>
      <c r="H44" s="15"/>
      <c r="M44" s="15"/>
      <c r="N44" s="15"/>
      <c r="O44" s="15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25">
      <c r="A45" t="s">
        <v>1355</v>
      </c>
      <c r="D45" s="10"/>
      <c r="F45" s="9"/>
      <c r="G45" s="15"/>
      <c r="H45" s="15"/>
      <c r="I45" s="15"/>
      <c r="J45" s="15"/>
      <c r="K45" s="15"/>
      <c r="L45" s="15"/>
      <c r="M45" s="15"/>
      <c r="N45" s="15"/>
      <c r="O45" s="15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25">
      <c r="A46" t="s">
        <v>1325</v>
      </c>
      <c r="D46" s="10"/>
      <c r="F46" s="9"/>
      <c r="G46" s="15"/>
      <c r="H46" s="15"/>
      <c r="I46" s="15"/>
      <c r="J46" s="15"/>
      <c r="K46" s="15"/>
      <c r="L46" s="15"/>
      <c r="M46" s="15"/>
      <c r="N46" s="15"/>
      <c r="O46" s="15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25">
      <c r="D47" s="10"/>
      <c r="F47" s="9"/>
      <c r="G47" s="15"/>
      <c r="H47" s="15"/>
      <c r="I47" s="15"/>
      <c r="J47" s="15"/>
      <c r="K47" s="15"/>
      <c r="L47" s="15"/>
      <c r="M47" s="15"/>
      <c r="N47" s="15"/>
      <c r="O47" s="15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25">
      <c r="A48" t="s">
        <v>1119</v>
      </c>
      <c r="D48" s="10"/>
      <c r="F48" s="9"/>
      <c r="G48" s="15"/>
      <c r="H48" s="15"/>
      <c r="I48" s="15"/>
      <c r="J48" s="15"/>
      <c r="K48" s="15"/>
      <c r="L48" s="15"/>
      <c r="M48" s="15"/>
      <c r="N48" s="15"/>
      <c r="O48" s="15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25">
      <c r="G49" s="15"/>
      <c r="H49" s="15"/>
      <c r="I49" s="15"/>
      <c r="J49" s="15"/>
      <c r="K49" s="15"/>
      <c r="L49" s="15"/>
      <c r="M49" s="15"/>
      <c r="N49" s="15"/>
      <c r="O49" s="15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25">
      <c r="G50" s="15"/>
      <c r="H50" s="15"/>
      <c r="I50" s="15"/>
      <c r="J50" s="15"/>
      <c r="K50" s="15"/>
      <c r="L50" s="15"/>
      <c r="M50" s="15"/>
      <c r="N50" s="15"/>
      <c r="O50" s="15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25">
      <c r="G51" s="15"/>
      <c r="H51" s="15"/>
      <c r="I51" s="15"/>
      <c r="J51" s="15"/>
      <c r="K51" s="15"/>
      <c r="L51" s="15"/>
      <c r="M51" s="15"/>
      <c r="N51" s="15"/>
      <c r="O51" s="15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25">
      <c r="G52" s="15"/>
      <c r="H52" s="15"/>
      <c r="I52" s="15"/>
      <c r="J52" s="15"/>
      <c r="K52" s="15"/>
      <c r="L52" s="15"/>
      <c r="M52" s="15"/>
      <c r="N52" s="15"/>
      <c r="O52" s="15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25">
      <c r="G53" s="15"/>
      <c r="H53" s="15"/>
      <c r="I53" s="15"/>
      <c r="J53" s="15"/>
      <c r="K53" s="15"/>
      <c r="L53" s="15"/>
      <c r="M53" s="15"/>
      <c r="N53" s="15"/>
      <c r="O53" s="15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25">
      <c r="G54" s="15"/>
      <c r="H54" s="15"/>
      <c r="I54" s="15"/>
      <c r="J54" s="15"/>
      <c r="K54" s="15"/>
      <c r="L54" s="15"/>
      <c r="M54" s="15"/>
      <c r="N54" s="15"/>
      <c r="O54" s="15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25">
      <c r="G55" s="15"/>
      <c r="H55" s="15"/>
      <c r="I55" s="15"/>
      <c r="J55" s="15"/>
      <c r="K55" s="15"/>
      <c r="L55" s="15"/>
      <c r="M55" s="15"/>
      <c r="N55" s="15"/>
      <c r="O55" s="15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25">
      <c r="G56" s="15"/>
      <c r="H56" s="15"/>
      <c r="I56" s="15"/>
      <c r="J56" s="15"/>
      <c r="K56" s="15"/>
      <c r="L56" s="15"/>
      <c r="M56" s="15"/>
      <c r="N56" s="15"/>
      <c r="O56" s="15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25">
      <c r="G57" s="15"/>
      <c r="H57" s="15"/>
      <c r="I57" s="15"/>
      <c r="J57" s="15"/>
      <c r="K57" s="15"/>
      <c r="L57" s="15"/>
      <c r="M57" s="15"/>
      <c r="N57" s="15"/>
      <c r="O57" s="15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25">
      <c r="G58" s="15"/>
      <c r="H58" s="15"/>
      <c r="I58" s="15"/>
      <c r="J58" s="15"/>
      <c r="K58" s="15"/>
      <c r="L58" s="15"/>
      <c r="M58" s="15"/>
      <c r="N58" s="15"/>
      <c r="O58" s="15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5">
      <c r="G59" s="15"/>
      <c r="H59" s="15"/>
      <c r="I59" s="15"/>
      <c r="J59" s="15"/>
      <c r="K59" s="15"/>
      <c r="L59" s="15"/>
      <c r="M59" s="15"/>
      <c r="N59" s="15"/>
      <c r="O59" s="15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25">
      <c r="G60" s="15"/>
      <c r="H60" s="15"/>
      <c r="I60" s="15"/>
      <c r="J60" s="15"/>
      <c r="K60" s="15"/>
      <c r="L60" s="15"/>
      <c r="M60" s="15"/>
      <c r="N60" s="15"/>
      <c r="O60" s="15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25">
      <c r="G61" s="15"/>
      <c r="H61" s="15"/>
      <c r="I61" s="15"/>
      <c r="J61" s="15"/>
      <c r="K61" s="15"/>
      <c r="L61" s="15"/>
      <c r="M61" s="15"/>
      <c r="N61" s="15"/>
      <c r="O61" s="15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25">
      <c r="A62" s="15"/>
      <c r="B62" s="15"/>
      <c r="C62" s="22"/>
      <c r="D62" s="22"/>
      <c r="E62" s="22"/>
      <c r="F62" s="16"/>
      <c r="G62" s="15"/>
      <c r="H62" s="15"/>
      <c r="I62" s="15"/>
      <c r="J62" s="15"/>
      <c r="K62" s="15"/>
      <c r="L62" s="15"/>
      <c r="M62" s="15"/>
      <c r="N62" s="15"/>
      <c r="O62" s="15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5">
      <c r="A63" s="15"/>
      <c r="B63" s="15"/>
      <c r="C63" s="22"/>
      <c r="D63" s="22"/>
      <c r="E63" s="22"/>
      <c r="F63" s="16"/>
      <c r="G63" s="15"/>
      <c r="H63" s="15"/>
      <c r="I63" s="15"/>
      <c r="J63" s="15"/>
      <c r="K63" s="15"/>
      <c r="L63" s="15"/>
      <c r="M63" s="15"/>
      <c r="N63" s="15"/>
      <c r="O63" s="15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25">
      <c r="A64" s="15"/>
      <c r="B64" s="15"/>
      <c r="C64" s="22"/>
      <c r="D64" s="22"/>
      <c r="E64" s="22"/>
      <c r="F64" s="16"/>
      <c r="G64" s="15"/>
      <c r="H64" s="15"/>
      <c r="I64" s="15"/>
      <c r="J64" s="15"/>
      <c r="K64" s="15"/>
      <c r="L64" s="15"/>
      <c r="M64" s="15"/>
      <c r="N64" s="15"/>
      <c r="O64" s="15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25">
      <c r="A69" s="15"/>
      <c r="B69" s="15"/>
      <c r="C69" s="22"/>
      <c r="D69" s="22"/>
      <c r="E69" s="22"/>
      <c r="F69" s="22"/>
      <c r="G69" s="15"/>
      <c r="H69" s="15"/>
      <c r="I69" s="15"/>
      <c r="J69" s="15"/>
      <c r="K69" s="15"/>
      <c r="L69" s="15"/>
      <c r="M69" s="15"/>
      <c r="N69" s="15"/>
      <c r="O69" s="15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25">
      <c r="A70" s="15"/>
      <c r="B70" s="15"/>
      <c r="C70" s="22"/>
      <c r="D70" s="22"/>
      <c r="E70" s="22"/>
      <c r="F70" s="22"/>
      <c r="G70" s="15"/>
      <c r="H70" s="15"/>
      <c r="I70" s="15"/>
      <c r="J70" s="15"/>
      <c r="K70" s="15"/>
      <c r="L70" s="15"/>
      <c r="M70" s="15"/>
      <c r="N70" s="15"/>
      <c r="O70" s="15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25">
      <c r="A71" s="15">
        <v>1</v>
      </c>
      <c r="B71" s="23" t="s">
        <v>1125</v>
      </c>
      <c r="C71" s="22" t="e">
        <f>SUMIF(#REF!,'Site reports'!$K$5,#REF!)</f>
        <v>#REF!</v>
      </c>
      <c r="D71" s="22" t="e">
        <f>SUMIF(#REF!,'Site reports'!$K$5,#REF!)</f>
        <v>#REF!</v>
      </c>
      <c r="E71" s="22" t="e">
        <f>SUMIF(#REF!,'Site reports'!$K$5,#REF!)</f>
        <v>#REF!</v>
      </c>
      <c r="F71" s="22" t="e">
        <f>SUM(C71:E71)</f>
        <v>#REF!</v>
      </c>
      <c r="G71" s="15"/>
      <c r="H71" s="15"/>
      <c r="I71" s="15"/>
      <c r="J71" s="15"/>
      <c r="K71" s="15"/>
      <c r="L71" s="15"/>
      <c r="M71" s="15"/>
      <c r="N71" s="15"/>
      <c r="O71" s="15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5">
      <c r="A72" s="15">
        <f>A71+1</f>
        <v>2</v>
      </c>
      <c r="B72" s="23" t="s">
        <v>1126</v>
      </c>
      <c r="C72" s="22" t="e">
        <f>SUMIF(#REF!,'Site reports'!$K$5,#REF!)</f>
        <v>#REF!</v>
      </c>
      <c r="D72" s="22" t="e">
        <f>SUMIF(#REF!,'Site reports'!$K$5,#REF!)</f>
        <v>#REF!</v>
      </c>
      <c r="E72" s="22" t="e">
        <f>SUMIF(#REF!,'Site reports'!$K$5,#REF!)</f>
        <v>#REF!</v>
      </c>
      <c r="F72" s="22" t="e">
        <f t="shared" ref="F72:F74" si="0">SUM(C72:E72)</f>
        <v>#REF!</v>
      </c>
      <c r="G72" s="15"/>
      <c r="H72" s="15"/>
      <c r="I72" s="15"/>
      <c r="J72" s="15"/>
      <c r="K72" s="15"/>
      <c r="L72" s="15"/>
      <c r="M72" s="15"/>
      <c r="N72" s="15"/>
      <c r="O72" s="15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25">
      <c r="A73" s="15">
        <f>A72+1</f>
        <v>3</v>
      </c>
      <c r="B73" s="23" t="s">
        <v>1127</v>
      </c>
      <c r="C73" s="22" t="e">
        <f>SUMIF(#REF!,'Site reports'!$K$5,#REF!)</f>
        <v>#REF!</v>
      </c>
      <c r="D73" s="22" t="e">
        <f>SUMIF(#REF!,'Site reports'!$K$5,#REF!)</f>
        <v>#REF!</v>
      </c>
      <c r="E73" s="22" t="e">
        <f>SUMIF(#REF!,'Site reports'!$K$5,#REF!)</f>
        <v>#REF!</v>
      </c>
      <c r="F73" s="22" t="e">
        <f t="shared" si="0"/>
        <v>#REF!</v>
      </c>
      <c r="G73" s="15"/>
      <c r="H73" s="15"/>
      <c r="I73" s="15"/>
      <c r="J73" s="15"/>
      <c r="K73" s="15"/>
      <c r="L73" s="15"/>
      <c r="M73" s="15"/>
      <c r="N73" s="15"/>
      <c r="O73" s="15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25">
      <c r="A74" s="15">
        <f>A73+1</f>
        <v>4</v>
      </c>
      <c r="B74" s="23" t="s">
        <v>1128</v>
      </c>
      <c r="C74" s="22" t="e">
        <f>SUMIF(#REF!,'Site reports'!$K$5,#REF!)</f>
        <v>#REF!</v>
      </c>
      <c r="D74" s="22" t="e">
        <f>SUMIF(#REF!,'Site reports'!$K$5,#REF!)</f>
        <v>#REF!</v>
      </c>
      <c r="E74" s="22" t="e">
        <f>SUMIF(#REF!,'Site reports'!$K$5,#REF!)</f>
        <v>#REF!</v>
      </c>
      <c r="F74" s="22" t="e">
        <f t="shared" si="0"/>
        <v>#REF!</v>
      </c>
      <c r="G74" s="15"/>
      <c r="H74" s="15"/>
      <c r="I74" s="15"/>
      <c r="J74" s="15"/>
      <c r="K74" s="15"/>
      <c r="L74" s="15"/>
      <c r="M74" s="15"/>
      <c r="N74" s="15"/>
      <c r="O74" s="15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25">
      <c r="A75" s="15"/>
      <c r="B75" s="15"/>
      <c r="C75" s="22"/>
      <c r="D75" s="22"/>
      <c r="E75" s="22"/>
      <c r="F75" s="22"/>
      <c r="G75" s="15"/>
      <c r="H75" s="15"/>
      <c r="I75" s="15"/>
      <c r="J75" s="15"/>
      <c r="K75" s="15"/>
      <c r="L75" s="15"/>
      <c r="M75" s="15"/>
      <c r="N75" s="15"/>
      <c r="O75" s="15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25">
      <c r="A76" s="15"/>
      <c r="B76" s="15"/>
      <c r="C76" s="22"/>
      <c r="D76" s="22"/>
      <c r="E76" s="22"/>
      <c r="F76" s="22"/>
      <c r="G76" s="15"/>
      <c r="H76" s="15"/>
      <c r="I76" s="15"/>
      <c r="J76" s="15"/>
      <c r="K76" s="15"/>
      <c r="L76" s="15"/>
      <c r="M76" s="15"/>
      <c r="N76" s="15"/>
      <c r="O76" s="15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25">
      <c r="A77" s="15">
        <f>A19+1</f>
        <v>7</v>
      </c>
      <c r="B77" s="15" t="s">
        <v>1131</v>
      </c>
      <c r="C77" s="22" t="e">
        <f>SUMIF(#REF!,'Site reports'!$K$5,#REF!)</f>
        <v>#REF!</v>
      </c>
      <c r="D77" s="22" t="e">
        <f>SUMIF(#REF!,'Site reports'!$K$5,#REF!)</f>
        <v>#REF!</v>
      </c>
      <c r="E77" s="22" t="e">
        <f>SUMIF(#REF!,'Site reports'!$K$5,#REF!)</f>
        <v>#REF!</v>
      </c>
      <c r="F77" s="17" t="e">
        <f>SUM(C77:E77)</f>
        <v>#REF!</v>
      </c>
      <c r="G77" s="15"/>
      <c r="H77" s="15"/>
      <c r="I77" s="15"/>
      <c r="J77" s="15"/>
      <c r="K77" s="15"/>
      <c r="L77" s="15"/>
      <c r="M77" s="15"/>
      <c r="N77" s="15"/>
      <c r="O77" s="15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25">
      <c r="A78" s="15">
        <f>A77+1</f>
        <v>8</v>
      </c>
      <c r="B78" s="15" t="s">
        <v>1132</v>
      </c>
      <c r="C78" s="22" t="e">
        <f>SUMIF(#REF!,'Site reports'!$K$5,#REF!)</f>
        <v>#REF!</v>
      </c>
      <c r="D78" s="22" t="e">
        <f>SUMIF(#REF!,'Site reports'!$K$5,#REF!)</f>
        <v>#REF!</v>
      </c>
      <c r="E78" s="22" t="e">
        <f>SUMIF(#REF!,'Site reports'!$K$5,#REF!)</f>
        <v>#REF!</v>
      </c>
      <c r="F78" s="17" t="e">
        <f>SUM(C78:E78)</f>
        <v>#REF!</v>
      </c>
      <c r="G78" s="15"/>
      <c r="H78" s="15"/>
      <c r="I78" s="15"/>
      <c r="J78" s="15"/>
      <c r="K78" s="15"/>
      <c r="L78" s="15"/>
      <c r="M78" s="15"/>
      <c r="N78" s="15"/>
      <c r="O78" s="15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25">
      <c r="A79" s="15">
        <f>A78+1</f>
        <v>9</v>
      </c>
      <c r="B79" s="15" t="s">
        <v>1133</v>
      </c>
      <c r="C79" s="22" t="e">
        <f>SUMIF(#REF!,'Site reports'!$K$5,#REF!)</f>
        <v>#REF!</v>
      </c>
      <c r="D79" s="22" t="e">
        <f>SUMIF(#REF!,'Site reports'!$K$5,#REF!)</f>
        <v>#REF!</v>
      </c>
      <c r="E79" s="22" t="e">
        <f>SUMIF(#REF!,'Site reports'!$K$5,#REF!)</f>
        <v>#REF!</v>
      </c>
      <c r="F79" s="17" t="e">
        <f>SUM(C79:E79)</f>
        <v>#REF!</v>
      </c>
      <c r="G79" s="15"/>
      <c r="H79" s="15"/>
      <c r="I79" s="15"/>
      <c r="J79" s="15"/>
      <c r="K79" s="15"/>
      <c r="L79" s="15"/>
      <c r="M79" s="15"/>
      <c r="N79" s="15"/>
      <c r="O79" s="15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25">
      <c r="A80" s="15"/>
      <c r="B80" s="15"/>
      <c r="C80" s="15"/>
      <c r="D80" s="15"/>
      <c r="E80" s="15"/>
      <c r="F80" s="17"/>
      <c r="G80" s="15"/>
      <c r="H80" s="15"/>
      <c r="I80" s="15"/>
      <c r="J80" s="15"/>
      <c r="K80" s="15"/>
      <c r="L80" s="15"/>
      <c r="M80" s="15"/>
      <c r="N80" s="15"/>
      <c r="O80" s="15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25">
      <c r="A81" s="15">
        <f>A79+1</f>
        <v>10</v>
      </c>
      <c r="B81" s="15" t="s">
        <v>1134</v>
      </c>
      <c r="C81" s="22" t="e">
        <f>SUMIF(#REF!,'Site reports'!$K$5,#REF!)</f>
        <v>#REF!</v>
      </c>
      <c r="D81" s="22" t="e">
        <f>SUMIF(#REF!,'Site reports'!$K$5,#REF!)</f>
        <v>#REF!</v>
      </c>
      <c r="E81" s="22" t="e">
        <f>SUMIF(#REF!,'Site reports'!$K$5,#REF!)</f>
        <v>#REF!</v>
      </c>
      <c r="F81" s="17" t="e">
        <f>SUM(C81:E81)</f>
        <v>#REF!</v>
      </c>
      <c r="G81" s="15"/>
      <c r="H81" s="15"/>
      <c r="I81" s="15"/>
      <c r="J81" s="15"/>
      <c r="K81" s="15"/>
      <c r="L81" s="15"/>
      <c r="M81" s="15"/>
      <c r="N81" s="15"/>
      <c r="O81" s="15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25">
      <c r="A82" s="15">
        <f>A81+1</f>
        <v>11</v>
      </c>
      <c r="B82" s="15" t="s">
        <v>1135</v>
      </c>
      <c r="C82" s="22" t="e">
        <f>SUMIF(#REF!,'Site reports'!$K$5,#REF!)</f>
        <v>#REF!</v>
      </c>
      <c r="D82" s="22" t="e">
        <f>SUMIF(#REF!,'Site reports'!$K$5,#REF!)</f>
        <v>#REF!</v>
      </c>
      <c r="E82" s="22" t="e">
        <f>SUMIF(#REF!,'Site reports'!$K$5,#REF!)</f>
        <v>#REF!</v>
      </c>
      <c r="F82" s="17" t="e">
        <f>SUM(C82:E82)</f>
        <v>#REF!</v>
      </c>
      <c r="G82" s="15"/>
      <c r="H82" s="15"/>
      <c r="I82" s="15"/>
      <c r="J82" s="15"/>
      <c r="K82" s="15"/>
      <c r="L82" s="15"/>
      <c r="M82" s="15"/>
      <c r="N82" s="15"/>
      <c r="O82" s="15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25">
      <c r="A83" s="15">
        <f>A82+1</f>
        <v>12</v>
      </c>
      <c r="B83" s="15" t="s">
        <v>1136</v>
      </c>
      <c r="C83" s="22" t="e">
        <f>SUMIF(#REF!,'Site reports'!$K$5,#REF!)</f>
        <v>#REF!</v>
      </c>
      <c r="D83" s="22" t="e">
        <f>SUMIF(#REF!,'Site reports'!$K$5,#REF!)</f>
        <v>#REF!</v>
      </c>
      <c r="E83" s="22" t="e">
        <f>SUMIF(#REF!,'Site reports'!$K$5,#REF!)</f>
        <v>#REF!</v>
      </c>
      <c r="F83" s="17" t="e">
        <f>SUM(C83:E83)</f>
        <v>#REF!</v>
      </c>
      <c r="G83" s="15"/>
      <c r="H83" s="15"/>
      <c r="I83" s="15"/>
      <c r="J83" s="15"/>
      <c r="K83" s="15"/>
      <c r="L83" s="15"/>
      <c r="M83" s="15"/>
      <c r="N83" s="15"/>
      <c r="O83" s="15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25">
      <c r="A84" s="15"/>
      <c r="B84" s="15"/>
      <c r="C84" s="22"/>
      <c r="D84" s="22"/>
      <c r="E84" s="22"/>
      <c r="F84" s="22"/>
      <c r="G84" s="15"/>
      <c r="H84" s="15"/>
      <c r="I84" s="15"/>
      <c r="J84" s="15"/>
      <c r="K84" s="15"/>
      <c r="L84" s="15"/>
      <c r="M84" s="15"/>
      <c r="N84" s="15"/>
      <c r="O84" s="15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25">
      <c r="A85" s="15"/>
      <c r="B85" s="15"/>
      <c r="C85" s="22"/>
      <c r="D85" s="22"/>
      <c r="E85" s="22"/>
      <c r="F85" s="16"/>
      <c r="G85" s="15"/>
      <c r="H85" s="15"/>
      <c r="I85" s="15"/>
      <c r="J85" s="15"/>
      <c r="K85" s="15"/>
      <c r="L85" s="15"/>
      <c r="M85" s="15"/>
      <c r="N85" s="15"/>
      <c r="O85" s="15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25">
      <c r="A86" s="15"/>
      <c r="B86" s="15"/>
      <c r="C86" s="22"/>
      <c r="D86" s="22"/>
      <c r="E86" s="22"/>
      <c r="F86" s="16"/>
      <c r="G86" s="15"/>
      <c r="H86" s="15"/>
      <c r="I86" s="15"/>
      <c r="J86" s="15"/>
      <c r="K86" s="15"/>
      <c r="L86" s="15"/>
      <c r="M86" s="15"/>
      <c r="N86" s="15"/>
      <c r="O86" s="15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25">
      <c r="A87" s="15"/>
      <c r="B87" s="15"/>
      <c r="C87" s="22"/>
      <c r="D87" s="22"/>
      <c r="E87" s="22"/>
      <c r="F87" s="16"/>
      <c r="G87" s="15"/>
      <c r="H87" s="15"/>
      <c r="I87" s="15"/>
      <c r="J87" s="15"/>
      <c r="K87" s="15"/>
      <c r="L87" s="15"/>
      <c r="M87" s="15"/>
      <c r="N87" s="15"/>
      <c r="O87" s="15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25">
      <c r="A92" s="15"/>
      <c r="B92" s="15"/>
      <c r="C92" s="15"/>
      <c r="D92" s="22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25">
      <c r="A93" s="15"/>
      <c r="B93" s="15"/>
      <c r="C93" s="15"/>
      <c r="D93" s="22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25">
      <c r="A94" s="15"/>
      <c r="B94" s="15"/>
      <c r="C94" s="15"/>
      <c r="D94" s="24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25">
      <c r="A95" s="15"/>
      <c r="B95" s="15"/>
      <c r="C95" s="15"/>
      <c r="D95" s="2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25">
      <c r="A96" s="15"/>
      <c r="B96" s="15"/>
      <c r="C96" s="15"/>
      <c r="D96" s="16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25">
      <c r="A97" s="15"/>
      <c r="B97" s="15"/>
      <c r="C97" s="15"/>
      <c r="D97" s="22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25">
      <c r="A98" s="15"/>
      <c r="B98" s="15"/>
      <c r="C98" s="15"/>
      <c r="D98" s="22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25">
      <c r="A99" s="15"/>
      <c r="B99" s="15"/>
      <c r="C99" s="15"/>
      <c r="D99" s="22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25">
      <c r="A100" s="15"/>
      <c r="B100" s="15"/>
      <c r="C100" s="15"/>
      <c r="D100" s="22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25">
      <c r="A101" s="15"/>
      <c r="B101" s="15"/>
      <c r="C101" s="15"/>
      <c r="D101" s="22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25">
      <c r="A102" s="15"/>
      <c r="B102" s="15"/>
      <c r="C102" s="15"/>
      <c r="D102" s="2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25">
      <c r="A103" s="15"/>
      <c r="B103" s="15"/>
      <c r="C103" s="15"/>
      <c r="D103" s="22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25">
      <c r="A104" s="15"/>
      <c r="B104" s="15"/>
      <c r="C104" s="15"/>
      <c r="D104" s="16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25">
      <c r="A105" s="15"/>
      <c r="B105" s="15"/>
      <c r="C105" s="15"/>
      <c r="D105" s="22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25">
      <c r="A106" s="15"/>
      <c r="B106" s="15"/>
      <c r="C106" s="15"/>
      <c r="D106" s="22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25">
      <c r="A107" s="15"/>
      <c r="B107" s="15"/>
      <c r="C107" s="15"/>
      <c r="D107" s="22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25">
      <c r="A108" s="15"/>
      <c r="B108" s="15"/>
      <c r="C108" s="15"/>
      <c r="D108" s="16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25">
      <c r="A109" s="15"/>
      <c r="B109" s="15"/>
      <c r="C109" s="15"/>
      <c r="D109" s="16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25">
      <c r="A110" s="15"/>
      <c r="B110" s="15"/>
      <c r="C110" s="15"/>
      <c r="D110" s="16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25">
      <c r="A115" s="2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25">
      <c r="A116" s="2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25">
      <c r="A117" s="2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25">
      <c r="A118" s="2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25">
      <c r="A119" s="2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25">
      <c r="A120" s="2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25">
      <c r="A121" s="2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25">
      <c r="A122" s="2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25">
      <c r="A123" s="2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25">
      <c r="A124" s="2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25">
      <c r="A125" s="2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25">
      <c r="A126" s="2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</sheetData>
  <pageMargins left="1.75" right="0.7" top="0.5" bottom="0.25" header="0.3" footer="0.3"/>
  <pageSetup scale="75" orientation="landscape" r:id="rId1"/>
  <rowBreaks count="1" manualBreakCount="1">
    <brk id="65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6"/>
  <sheetViews>
    <sheetView workbookViewId="0">
      <pane ySplit="9" topLeftCell="A10" activePane="bottomLeft" state="frozen"/>
      <selection pane="bottomLeft" activeCell="A10" sqref="A10"/>
    </sheetView>
  </sheetViews>
  <sheetFormatPr defaultRowHeight="15" x14ac:dyDescent="0.25"/>
  <cols>
    <col min="2" max="2" width="4.7109375" customWidth="1"/>
    <col min="3" max="7" width="16.7109375" customWidth="1"/>
  </cols>
  <sheetData>
    <row r="1" spans="1:7" x14ac:dyDescent="0.25">
      <c r="A1" t="s">
        <v>1308</v>
      </c>
      <c r="G1" s="1" t="s">
        <v>1141</v>
      </c>
    </row>
    <row r="2" spans="1:7" x14ac:dyDescent="0.25">
      <c r="A2" t="s">
        <v>1309</v>
      </c>
      <c r="G2" s="9">
        <v>41227</v>
      </c>
    </row>
    <row r="4" spans="1:7" x14ac:dyDescent="0.25">
      <c r="A4" t="s">
        <v>1361</v>
      </c>
    </row>
    <row r="5" spans="1:7" x14ac:dyDescent="0.25">
      <c r="A5" t="s">
        <v>1363</v>
      </c>
    </row>
    <row r="7" spans="1:7" x14ac:dyDescent="0.25">
      <c r="D7" s="32" t="s">
        <v>1356</v>
      </c>
      <c r="E7" s="32" t="s">
        <v>1356</v>
      </c>
      <c r="F7" s="32" t="s">
        <v>1356</v>
      </c>
      <c r="G7" s="32" t="s">
        <v>1358</v>
      </c>
    </row>
    <row r="8" spans="1:7" x14ac:dyDescent="0.25">
      <c r="D8" s="1" t="s">
        <v>1138</v>
      </c>
      <c r="E8" s="1" t="s">
        <v>1092</v>
      </c>
      <c r="F8" s="1" t="s">
        <v>1139</v>
      </c>
      <c r="G8" s="1" t="s">
        <v>1139</v>
      </c>
    </row>
    <row r="9" spans="1:7" x14ac:dyDescent="0.25">
      <c r="D9" s="3"/>
      <c r="E9" s="3"/>
      <c r="F9" s="3"/>
      <c r="G9" s="3"/>
    </row>
    <row r="10" spans="1:7" x14ac:dyDescent="0.25">
      <c r="C10" t="s">
        <v>1137</v>
      </c>
      <c r="D10" s="3">
        <f>SUM(D12:D436)</f>
        <v>25776436.020000022</v>
      </c>
      <c r="E10" s="3">
        <f>SUM(E12:E436)</f>
        <v>25056404.300000023</v>
      </c>
      <c r="F10" s="3">
        <f>SUM(F12:F436)</f>
        <v>50832840.320000067</v>
      </c>
      <c r="G10" s="3">
        <f>SUM(G12:G436)</f>
        <v>48584999.959999979</v>
      </c>
    </row>
    <row r="11" spans="1:7" x14ac:dyDescent="0.25">
      <c r="D11" s="3"/>
      <c r="E11" s="3"/>
      <c r="F11" s="3"/>
    </row>
    <row r="12" spans="1:7" x14ac:dyDescent="0.25">
      <c r="A12" s="3">
        <v>1</v>
      </c>
      <c r="B12" s="3">
        <v>1</v>
      </c>
      <c r="C12" t="s">
        <v>0</v>
      </c>
      <c r="D12" s="3">
        <v>44506.34</v>
      </c>
      <c r="E12" s="3">
        <v>27820.58</v>
      </c>
      <c r="F12" s="3">
        <f>D12+E12</f>
        <v>72326.92</v>
      </c>
      <c r="G12" s="3">
        <v>69128.61</v>
      </c>
    </row>
    <row r="13" spans="1:7" x14ac:dyDescent="0.25">
      <c r="A13" s="3">
        <v>1.2</v>
      </c>
      <c r="B13" s="3">
        <v>3</v>
      </c>
      <c r="C13" t="s">
        <v>2</v>
      </c>
      <c r="D13" s="3">
        <v>845442.70000000019</v>
      </c>
      <c r="E13" s="3">
        <v>1060531.8299999998</v>
      </c>
      <c r="F13" s="3">
        <f t="shared" ref="F13:F76" si="0">D13+E13</f>
        <v>1905974.53</v>
      </c>
      <c r="G13" s="3">
        <v>1821691.88</v>
      </c>
    </row>
    <row r="14" spans="1:7" x14ac:dyDescent="0.25">
      <c r="A14" s="3">
        <v>2</v>
      </c>
      <c r="B14" s="3">
        <v>1</v>
      </c>
      <c r="C14" t="s">
        <v>45</v>
      </c>
      <c r="D14" s="3">
        <v>5840.85</v>
      </c>
      <c r="E14" s="3">
        <v>8000</v>
      </c>
      <c r="F14" s="3">
        <f t="shared" si="0"/>
        <v>13840.85</v>
      </c>
      <c r="G14" s="3">
        <v>13228.8</v>
      </c>
    </row>
    <row r="15" spans="1:7" x14ac:dyDescent="0.25">
      <c r="A15" s="3">
        <v>4</v>
      </c>
      <c r="B15" s="3">
        <v>1</v>
      </c>
      <c r="C15" t="s">
        <v>47</v>
      </c>
      <c r="D15" s="3">
        <v>12854.16</v>
      </c>
      <c r="E15" s="3">
        <v>14707.5</v>
      </c>
      <c r="F15" s="3">
        <f t="shared" si="0"/>
        <v>27561.66</v>
      </c>
      <c r="G15" s="3">
        <v>26342.880000000001</v>
      </c>
    </row>
    <row r="16" spans="1:7" x14ac:dyDescent="0.25">
      <c r="A16" s="3">
        <v>6</v>
      </c>
      <c r="B16" s="3">
        <v>3</v>
      </c>
      <c r="C16" t="s">
        <v>49</v>
      </c>
      <c r="D16" s="3">
        <v>101601.70000000001</v>
      </c>
      <c r="E16" s="3">
        <v>100482.67</v>
      </c>
      <c r="F16" s="3">
        <f t="shared" si="0"/>
        <v>202084.37</v>
      </c>
      <c r="G16" s="3">
        <v>193148.15</v>
      </c>
    </row>
    <row r="17" spans="1:7" x14ac:dyDescent="0.25">
      <c r="A17" s="3">
        <v>11</v>
      </c>
      <c r="B17" s="3">
        <v>1</v>
      </c>
      <c r="C17" t="s">
        <v>52</v>
      </c>
      <c r="D17" s="3">
        <v>1142008.3399999999</v>
      </c>
      <c r="E17" s="3">
        <v>1141962.7900000003</v>
      </c>
      <c r="F17" s="3">
        <f t="shared" si="0"/>
        <v>2283971.13</v>
      </c>
      <c r="G17" s="3">
        <v>2182973.38</v>
      </c>
    </row>
    <row r="18" spans="1:7" x14ac:dyDescent="0.25">
      <c r="A18" s="3">
        <v>12</v>
      </c>
      <c r="B18" s="3">
        <v>1</v>
      </c>
      <c r="C18" t="s">
        <v>80</v>
      </c>
      <c r="D18" s="3">
        <v>217231.62000000002</v>
      </c>
      <c r="E18" s="3">
        <v>202646</v>
      </c>
      <c r="F18" s="3">
        <f t="shared" si="0"/>
        <v>419877.62</v>
      </c>
      <c r="G18" s="3">
        <v>401310.53</v>
      </c>
    </row>
    <row r="19" spans="1:7" x14ac:dyDescent="0.25">
      <c r="A19" s="3">
        <v>13</v>
      </c>
      <c r="B19" s="3">
        <v>1</v>
      </c>
      <c r="C19" t="s">
        <v>86</v>
      </c>
      <c r="D19" s="3">
        <v>84253.2</v>
      </c>
      <c r="E19" s="3">
        <v>77298.95</v>
      </c>
      <c r="F19" s="3">
        <f t="shared" si="0"/>
        <v>161552.15</v>
      </c>
      <c r="G19" s="3">
        <v>154408.28</v>
      </c>
    </row>
    <row r="20" spans="1:7" x14ac:dyDescent="0.25">
      <c r="A20" s="3">
        <v>14</v>
      </c>
      <c r="B20" s="3">
        <v>1</v>
      </c>
      <c r="C20" t="s">
        <v>90</v>
      </c>
      <c r="D20" s="3">
        <v>75163.56</v>
      </c>
      <c r="E20" s="3">
        <v>87093.959999999992</v>
      </c>
      <c r="F20" s="3">
        <f t="shared" si="0"/>
        <v>162257.51999999999</v>
      </c>
      <c r="G20" s="3">
        <v>155082.45000000001</v>
      </c>
    </row>
    <row r="21" spans="1:7" x14ac:dyDescent="0.25">
      <c r="A21" s="3">
        <v>15</v>
      </c>
      <c r="B21" s="3">
        <v>1</v>
      </c>
      <c r="C21" t="s">
        <v>93</v>
      </c>
      <c r="D21" s="3">
        <v>165388.68</v>
      </c>
      <c r="E21" s="3">
        <v>155083.46</v>
      </c>
      <c r="F21" s="3">
        <f t="shared" si="0"/>
        <v>320472.14</v>
      </c>
      <c r="G21" s="3">
        <v>306300.78999999998</v>
      </c>
    </row>
    <row r="22" spans="1:7" x14ac:dyDescent="0.25">
      <c r="A22" s="3">
        <v>16</v>
      </c>
      <c r="B22" s="3">
        <v>1</v>
      </c>
      <c r="C22" t="s">
        <v>97</v>
      </c>
      <c r="D22" s="3">
        <v>165114.36000000002</v>
      </c>
      <c r="E22" s="3">
        <v>154826.5</v>
      </c>
      <c r="F22" s="3">
        <f t="shared" si="0"/>
        <v>319940.86</v>
      </c>
      <c r="G22" s="3">
        <v>305793</v>
      </c>
    </row>
    <row r="23" spans="1:7" x14ac:dyDescent="0.25">
      <c r="A23" s="3">
        <v>22</v>
      </c>
      <c r="B23" s="3">
        <v>1</v>
      </c>
      <c r="C23" t="s">
        <v>102</v>
      </c>
      <c r="D23" s="3">
        <v>97308.26999999999</v>
      </c>
      <c r="E23" s="3">
        <v>79426.720000000001</v>
      </c>
      <c r="F23" s="3">
        <f t="shared" si="0"/>
        <v>176734.99</v>
      </c>
      <c r="G23" s="3">
        <v>168919.73</v>
      </c>
    </row>
    <row r="24" spans="1:7" x14ac:dyDescent="0.25">
      <c r="A24" s="3">
        <v>23</v>
      </c>
      <c r="B24" s="3">
        <v>1</v>
      </c>
      <c r="C24" t="s">
        <v>105</v>
      </c>
      <c r="D24" s="3">
        <v>34208.25</v>
      </c>
      <c r="E24" s="3">
        <v>30178.2</v>
      </c>
      <c r="F24" s="3">
        <f t="shared" si="0"/>
        <v>64386.45</v>
      </c>
      <c r="G24" s="3">
        <v>61539.27</v>
      </c>
    </row>
    <row r="25" spans="1:7" x14ac:dyDescent="0.25">
      <c r="A25" s="3">
        <v>25</v>
      </c>
      <c r="B25" s="3">
        <v>1</v>
      </c>
      <c r="C25" t="s">
        <v>1164</v>
      </c>
      <c r="D25" s="3">
        <v>2498.58</v>
      </c>
      <c r="E25" s="3">
        <v>1630.75</v>
      </c>
      <c r="F25" s="3">
        <f t="shared" si="0"/>
        <v>4129.33</v>
      </c>
      <c r="G25" s="3">
        <v>3946.73</v>
      </c>
    </row>
    <row r="26" spans="1:7" x14ac:dyDescent="0.25">
      <c r="A26" s="3">
        <v>31</v>
      </c>
      <c r="B26" s="3">
        <v>1</v>
      </c>
      <c r="C26" t="s">
        <v>107</v>
      </c>
      <c r="D26" s="3">
        <v>165101.32</v>
      </c>
      <c r="E26" s="3">
        <v>150231.32</v>
      </c>
      <c r="F26" s="3">
        <f t="shared" si="0"/>
        <v>315332.64</v>
      </c>
      <c r="G26" s="3">
        <v>301388.56</v>
      </c>
    </row>
    <row r="27" spans="1:7" x14ac:dyDescent="0.25">
      <c r="A27" s="3">
        <v>32</v>
      </c>
      <c r="B27" s="3">
        <v>1</v>
      </c>
      <c r="C27" t="s">
        <v>113</v>
      </c>
      <c r="D27" s="3">
        <v>20646.78</v>
      </c>
      <c r="E27" s="3">
        <v>16914.48</v>
      </c>
      <c r="F27" s="3">
        <f t="shared" si="0"/>
        <v>37561.259999999995</v>
      </c>
      <c r="G27" s="3">
        <v>35900.29</v>
      </c>
    </row>
    <row r="28" spans="1:7" x14ac:dyDescent="0.25">
      <c r="A28" s="3">
        <v>36</v>
      </c>
      <c r="B28" s="3">
        <v>1</v>
      </c>
      <c r="C28" t="s">
        <v>115</v>
      </c>
      <c r="D28" s="3">
        <v>6161.22</v>
      </c>
      <c r="E28" s="3">
        <v>6552.65</v>
      </c>
      <c r="F28" s="3">
        <f t="shared" si="0"/>
        <v>12713.869999999999</v>
      </c>
      <c r="G28" s="3">
        <v>12151.66</v>
      </c>
    </row>
    <row r="29" spans="1:7" x14ac:dyDescent="0.25">
      <c r="A29" s="3">
        <v>38</v>
      </c>
      <c r="B29" s="3">
        <v>1</v>
      </c>
      <c r="C29" t="s">
        <v>117</v>
      </c>
      <c r="D29" s="3">
        <v>35518.020000000004</v>
      </c>
      <c r="E29" s="3">
        <v>32011.870000000003</v>
      </c>
      <c r="F29" s="3">
        <f t="shared" si="0"/>
        <v>67529.890000000014</v>
      </c>
      <c r="G29" s="3">
        <v>64543.7</v>
      </c>
    </row>
    <row r="30" spans="1:7" x14ac:dyDescent="0.25">
      <c r="A30" s="3">
        <v>47</v>
      </c>
      <c r="B30" s="3">
        <v>1</v>
      </c>
      <c r="C30" t="s">
        <v>120</v>
      </c>
      <c r="D30" s="3">
        <v>129076.54000000001</v>
      </c>
      <c r="E30" s="3">
        <v>108780.57</v>
      </c>
      <c r="F30" s="3">
        <f t="shared" si="0"/>
        <v>237857.11000000002</v>
      </c>
      <c r="G30" s="3">
        <v>227339.01</v>
      </c>
    </row>
    <row r="31" spans="1:7" x14ac:dyDescent="0.25">
      <c r="A31" s="3">
        <v>51</v>
      </c>
      <c r="B31" s="3">
        <v>1</v>
      </c>
      <c r="C31" t="s">
        <v>124</v>
      </c>
      <c r="D31" s="3">
        <v>71272.22</v>
      </c>
      <c r="E31" s="3">
        <v>47732.18</v>
      </c>
      <c r="F31" s="3">
        <f t="shared" si="0"/>
        <v>119004.4</v>
      </c>
      <c r="G31" s="3">
        <v>113742</v>
      </c>
    </row>
    <row r="32" spans="1:7" x14ac:dyDescent="0.25">
      <c r="A32" s="3">
        <v>75</v>
      </c>
      <c r="B32" s="3">
        <v>1</v>
      </c>
      <c r="C32" t="s">
        <v>128</v>
      </c>
      <c r="D32" s="3">
        <v>20198.64</v>
      </c>
      <c r="E32" s="3">
        <v>12856.64</v>
      </c>
      <c r="F32" s="3">
        <f t="shared" si="0"/>
        <v>33055.279999999999</v>
      </c>
      <c r="G32" s="3">
        <v>31593.57</v>
      </c>
    </row>
    <row r="33" spans="1:7" x14ac:dyDescent="0.25">
      <c r="A33" s="3">
        <v>77</v>
      </c>
      <c r="B33" s="3">
        <v>1</v>
      </c>
      <c r="C33" t="s">
        <v>130</v>
      </c>
      <c r="D33" s="3">
        <v>259160.06</v>
      </c>
      <c r="E33" s="3">
        <v>252761.90000000002</v>
      </c>
      <c r="F33" s="3">
        <f t="shared" si="0"/>
        <v>511921.96</v>
      </c>
      <c r="G33" s="3">
        <v>489284.65</v>
      </c>
    </row>
    <row r="34" spans="1:7" x14ac:dyDescent="0.25">
      <c r="A34" s="3">
        <v>81</v>
      </c>
      <c r="B34" s="3">
        <v>1</v>
      </c>
      <c r="C34" t="s">
        <v>1168</v>
      </c>
      <c r="D34" s="3">
        <v>5366.25</v>
      </c>
      <c r="E34" s="3">
        <v>4946.7</v>
      </c>
      <c r="F34" s="3">
        <f t="shared" si="0"/>
        <v>10312.950000000001</v>
      </c>
      <c r="G34" s="3">
        <v>9856.91</v>
      </c>
    </row>
    <row r="35" spans="1:7" x14ac:dyDescent="0.25">
      <c r="A35" s="3">
        <v>84</v>
      </c>
      <c r="B35" s="3">
        <v>1</v>
      </c>
      <c r="C35" t="s">
        <v>134</v>
      </c>
      <c r="D35" s="3">
        <v>18894.2</v>
      </c>
      <c r="E35" s="3">
        <v>24349.439999999999</v>
      </c>
      <c r="F35" s="3">
        <f t="shared" si="0"/>
        <v>43243.64</v>
      </c>
      <c r="G35" s="3">
        <v>41331.4</v>
      </c>
    </row>
    <row r="36" spans="1:7" x14ac:dyDescent="0.25">
      <c r="A36" s="3">
        <v>85</v>
      </c>
      <c r="B36" s="3">
        <v>1</v>
      </c>
      <c r="C36" t="s">
        <v>136</v>
      </c>
      <c r="D36" s="3">
        <v>21130.2</v>
      </c>
      <c r="E36" s="3">
        <v>18144</v>
      </c>
      <c r="F36" s="3">
        <f t="shared" si="0"/>
        <v>39274.199999999997</v>
      </c>
      <c r="G36" s="3">
        <v>37537.49</v>
      </c>
    </row>
    <row r="37" spans="1:7" x14ac:dyDescent="0.25">
      <c r="A37" s="3">
        <v>88</v>
      </c>
      <c r="B37" s="3">
        <v>1</v>
      </c>
      <c r="C37" t="s">
        <v>138</v>
      </c>
      <c r="D37" s="3">
        <v>60737.82</v>
      </c>
      <c r="E37" s="3">
        <v>56547.26</v>
      </c>
      <c r="F37" s="3">
        <f t="shared" si="0"/>
        <v>117285.08</v>
      </c>
      <c r="G37" s="3">
        <v>112098.71</v>
      </c>
    </row>
    <row r="38" spans="1:7" x14ac:dyDescent="0.25">
      <c r="A38" s="3">
        <v>91</v>
      </c>
      <c r="B38" s="3">
        <v>1</v>
      </c>
      <c r="C38" t="s">
        <v>139</v>
      </c>
      <c r="D38" s="3">
        <v>28620.240000000002</v>
      </c>
      <c r="E38" s="3">
        <v>23577.72</v>
      </c>
      <c r="F38" s="3">
        <f t="shared" si="0"/>
        <v>52197.960000000006</v>
      </c>
      <c r="G38" s="3">
        <v>49889.75</v>
      </c>
    </row>
    <row r="39" spans="1:7" x14ac:dyDescent="0.25">
      <c r="A39" s="3">
        <v>93</v>
      </c>
      <c r="B39" s="3">
        <v>1</v>
      </c>
      <c r="C39" t="s">
        <v>141</v>
      </c>
      <c r="D39" s="3">
        <v>18280.669999999998</v>
      </c>
      <c r="E39" s="3">
        <v>19371.84</v>
      </c>
      <c r="F39" s="3">
        <f t="shared" si="0"/>
        <v>37652.509999999995</v>
      </c>
      <c r="G39" s="3">
        <v>35987.51</v>
      </c>
    </row>
    <row r="40" spans="1:7" x14ac:dyDescent="0.25">
      <c r="A40" s="3">
        <v>94</v>
      </c>
      <c r="B40" s="3">
        <v>1</v>
      </c>
      <c r="C40" t="s">
        <v>143</v>
      </c>
      <c r="D40" s="3">
        <v>85757.17</v>
      </c>
      <c r="E40" s="3">
        <v>70674.37</v>
      </c>
      <c r="F40" s="3">
        <f t="shared" si="0"/>
        <v>156431.53999999998</v>
      </c>
      <c r="G40" s="3">
        <v>149514.1</v>
      </c>
    </row>
    <row r="41" spans="1:7" x14ac:dyDescent="0.25">
      <c r="A41" s="3">
        <v>95</v>
      </c>
      <c r="B41" s="3">
        <v>1</v>
      </c>
      <c r="C41" t="s">
        <v>145</v>
      </c>
      <c r="D41" s="3">
        <v>6849.3</v>
      </c>
      <c r="E41" s="3">
        <v>8883.82</v>
      </c>
      <c r="F41" s="3">
        <f t="shared" si="0"/>
        <v>15733.119999999999</v>
      </c>
      <c r="G41" s="3">
        <v>15037.4</v>
      </c>
    </row>
    <row r="42" spans="1:7" x14ac:dyDescent="0.25">
      <c r="A42" s="3">
        <v>97</v>
      </c>
      <c r="B42" s="3">
        <v>1</v>
      </c>
      <c r="C42" t="s">
        <v>147</v>
      </c>
      <c r="D42" s="3">
        <v>14254.5</v>
      </c>
      <c r="E42" s="3">
        <v>17876.64</v>
      </c>
      <c r="F42" s="3">
        <f t="shared" si="0"/>
        <v>32131.14</v>
      </c>
      <c r="G42" s="3">
        <v>30710.29</v>
      </c>
    </row>
    <row r="43" spans="1:7" x14ac:dyDescent="0.25">
      <c r="A43" s="3">
        <v>99</v>
      </c>
      <c r="B43" s="3">
        <v>1</v>
      </c>
      <c r="C43" t="s">
        <v>149</v>
      </c>
      <c r="D43" s="3">
        <v>43960.36</v>
      </c>
      <c r="E43" s="3">
        <v>34778.6</v>
      </c>
      <c r="F43" s="3">
        <f t="shared" si="0"/>
        <v>78738.959999999992</v>
      </c>
      <c r="G43" s="3">
        <v>75257.100000000006</v>
      </c>
    </row>
    <row r="44" spans="1:7" x14ac:dyDescent="0.25">
      <c r="A44" s="3">
        <v>100</v>
      </c>
      <c r="B44" s="3">
        <v>1</v>
      </c>
      <c r="C44" t="s">
        <v>151</v>
      </c>
      <c r="D44" s="3">
        <v>10021.700000000001</v>
      </c>
      <c r="E44" s="3">
        <v>8871.66</v>
      </c>
      <c r="F44" s="3">
        <f t="shared" si="0"/>
        <v>18893.36</v>
      </c>
      <c r="G44" s="3">
        <v>18057.89</v>
      </c>
    </row>
    <row r="45" spans="1:7" x14ac:dyDescent="0.25">
      <c r="A45" s="3">
        <v>108</v>
      </c>
      <c r="B45" s="3">
        <v>1</v>
      </c>
      <c r="C45" t="s">
        <v>153</v>
      </c>
      <c r="D45" s="3">
        <v>29061.01</v>
      </c>
      <c r="E45" s="3">
        <v>33148.800000000003</v>
      </c>
      <c r="F45" s="3">
        <f t="shared" si="0"/>
        <v>62209.81</v>
      </c>
      <c r="G45" s="3">
        <v>59458.879999999997</v>
      </c>
    </row>
    <row r="46" spans="1:7" x14ac:dyDescent="0.25">
      <c r="A46" s="3">
        <v>110</v>
      </c>
      <c r="B46" s="3">
        <v>1</v>
      </c>
      <c r="C46" t="s">
        <v>154</v>
      </c>
      <c r="D46" s="3">
        <v>127384.68</v>
      </c>
      <c r="E46" s="3">
        <v>120747.81</v>
      </c>
      <c r="F46" s="3">
        <f t="shared" si="0"/>
        <v>248132.49</v>
      </c>
      <c r="G46" s="3">
        <v>237160.01</v>
      </c>
    </row>
    <row r="47" spans="1:7" x14ac:dyDescent="0.25">
      <c r="A47" s="3">
        <v>111</v>
      </c>
      <c r="B47" s="3">
        <v>1</v>
      </c>
      <c r="C47" t="s">
        <v>157</v>
      </c>
      <c r="D47" s="3">
        <v>48160.52</v>
      </c>
      <c r="E47" s="3">
        <v>61402.77</v>
      </c>
      <c r="F47" s="3">
        <f t="shared" si="0"/>
        <v>109563.29</v>
      </c>
      <c r="G47" s="3">
        <v>104718.38</v>
      </c>
    </row>
    <row r="48" spans="1:7" x14ac:dyDescent="0.25">
      <c r="A48" s="3">
        <v>112</v>
      </c>
      <c r="B48" s="3">
        <v>1</v>
      </c>
      <c r="C48" t="s">
        <v>159</v>
      </c>
      <c r="D48" s="3">
        <v>299399.83999999997</v>
      </c>
      <c r="E48" s="3">
        <v>277880.69</v>
      </c>
      <c r="F48" s="3">
        <f t="shared" si="0"/>
        <v>577280.53</v>
      </c>
      <c r="G48" s="3">
        <v>551753.05000000005</v>
      </c>
    </row>
    <row r="49" spans="1:7" x14ac:dyDescent="0.25">
      <c r="A49" s="3">
        <v>113</v>
      </c>
      <c r="B49" s="3">
        <v>1</v>
      </c>
      <c r="C49" t="s">
        <v>167</v>
      </c>
      <c r="D49" s="3">
        <v>25117.84</v>
      </c>
      <c r="E49" s="3">
        <v>24841.03</v>
      </c>
      <c r="F49" s="3">
        <f t="shared" si="0"/>
        <v>49958.869999999995</v>
      </c>
      <c r="G49" s="3">
        <v>47749.68</v>
      </c>
    </row>
    <row r="50" spans="1:7" x14ac:dyDescent="0.25">
      <c r="A50" s="3">
        <v>115</v>
      </c>
      <c r="B50" s="3">
        <v>1</v>
      </c>
      <c r="C50" t="s">
        <v>169</v>
      </c>
      <c r="D50" s="3">
        <v>30005.759999999998</v>
      </c>
      <c r="E50" s="3">
        <v>35364.699999999997</v>
      </c>
      <c r="F50" s="3">
        <f t="shared" si="0"/>
        <v>65370.459999999992</v>
      </c>
      <c r="G50" s="3">
        <v>62479.76</v>
      </c>
    </row>
    <row r="51" spans="1:7" x14ac:dyDescent="0.25">
      <c r="A51" s="3">
        <v>116</v>
      </c>
      <c r="B51" s="3">
        <v>1</v>
      </c>
      <c r="C51" t="s">
        <v>171</v>
      </c>
      <c r="D51" s="3">
        <v>25757.25</v>
      </c>
      <c r="E51" s="3">
        <v>29618.76</v>
      </c>
      <c r="F51" s="3">
        <f t="shared" si="0"/>
        <v>55376.009999999995</v>
      </c>
      <c r="G51" s="3">
        <v>52927.27</v>
      </c>
    </row>
    <row r="52" spans="1:7" x14ac:dyDescent="0.25">
      <c r="A52" s="3">
        <v>118</v>
      </c>
      <c r="B52" s="3">
        <v>1</v>
      </c>
      <c r="C52" t="s">
        <v>173</v>
      </c>
      <c r="D52" s="3">
        <v>9686.82</v>
      </c>
      <c r="E52" s="3">
        <v>8749.26</v>
      </c>
      <c r="F52" s="3">
        <f t="shared" si="0"/>
        <v>18436.080000000002</v>
      </c>
      <c r="G52" s="3">
        <v>17620.830000000002</v>
      </c>
    </row>
    <row r="53" spans="1:7" x14ac:dyDescent="0.25">
      <c r="A53" s="3">
        <v>129</v>
      </c>
      <c r="B53" s="3">
        <v>1</v>
      </c>
      <c r="C53" t="s">
        <v>176</v>
      </c>
      <c r="D53" s="3">
        <v>32926.93</v>
      </c>
      <c r="E53" s="3">
        <v>38703.21</v>
      </c>
      <c r="F53" s="3">
        <f t="shared" si="0"/>
        <v>71630.14</v>
      </c>
      <c r="G53" s="3">
        <v>68462.64</v>
      </c>
    </row>
    <row r="54" spans="1:7" x14ac:dyDescent="0.25">
      <c r="A54" s="3">
        <v>138</v>
      </c>
      <c r="B54" s="3">
        <v>1</v>
      </c>
      <c r="C54" t="s">
        <v>178</v>
      </c>
      <c r="D54" s="3">
        <v>111471.65</v>
      </c>
      <c r="E54" s="3">
        <v>101904.3</v>
      </c>
      <c r="F54" s="3">
        <f t="shared" si="0"/>
        <v>213375.95</v>
      </c>
      <c r="G54" s="3">
        <v>203940.41</v>
      </c>
    </row>
    <row r="55" spans="1:7" x14ac:dyDescent="0.25">
      <c r="A55" s="3">
        <v>139</v>
      </c>
      <c r="B55" s="3">
        <v>1</v>
      </c>
      <c r="C55" t="s">
        <v>180</v>
      </c>
      <c r="D55" s="3">
        <v>32849.279999999999</v>
      </c>
      <c r="E55" s="3">
        <v>18550.099999999999</v>
      </c>
      <c r="F55" s="3">
        <f t="shared" si="0"/>
        <v>51399.38</v>
      </c>
      <c r="G55" s="3">
        <v>49126.49</v>
      </c>
    </row>
    <row r="56" spans="1:7" x14ac:dyDescent="0.25">
      <c r="A56" s="3">
        <v>146</v>
      </c>
      <c r="B56" s="3">
        <v>1</v>
      </c>
      <c r="C56" t="s">
        <v>182</v>
      </c>
      <c r="D56" s="3">
        <v>32848.15</v>
      </c>
      <c r="E56" s="3">
        <v>24943.48</v>
      </c>
      <c r="F56" s="3">
        <f t="shared" si="0"/>
        <v>57791.630000000005</v>
      </c>
      <c r="G56" s="3">
        <v>55236.07</v>
      </c>
    </row>
    <row r="57" spans="1:7" x14ac:dyDescent="0.25">
      <c r="A57" s="3">
        <v>150</v>
      </c>
      <c r="B57" s="3">
        <v>1</v>
      </c>
      <c r="C57" t="s">
        <v>184</v>
      </c>
      <c r="D57" s="3">
        <v>32053.440000000002</v>
      </c>
      <c r="E57" s="3">
        <v>23849.84</v>
      </c>
      <c r="F57" s="3">
        <f t="shared" si="0"/>
        <v>55903.28</v>
      </c>
      <c r="G57" s="3">
        <v>53431.22</v>
      </c>
    </row>
    <row r="58" spans="1:7" x14ac:dyDescent="0.25">
      <c r="A58" s="3">
        <v>152</v>
      </c>
      <c r="B58" s="3">
        <v>1</v>
      </c>
      <c r="C58" t="s">
        <v>186</v>
      </c>
      <c r="D58" s="3">
        <v>165040.66</v>
      </c>
      <c r="E58" s="3">
        <v>172247.59</v>
      </c>
      <c r="F58" s="3">
        <f t="shared" si="0"/>
        <v>337288.25</v>
      </c>
      <c r="G58" s="3">
        <v>322373.28000000003</v>
      </c>
    </row>
    <row r="59" spans="1:7" x14ac:dyDescent="0.25">
      <c r="A59" s="3">
        <v>162</v>
      </c>
      <c r="B59" s="3">
        <v>1</v>
      </c>
      <c r="C59" t="s">
        <v>190</v>
      </c>
      <c r="D59" s="3">
        <v>24489.5</v>
      </c>
      <c r="E59" s="3">
        <v>23262.36</v>
      </c>
      <c r="F59" s="3">
        <f t="shared" si="0"/>
        <v>47751.86</v>
      </c>
      <c r="G59" s="3">
        <v>45640.26</v>
      </c>
    </row>
    <row r="60" spans="1:7" x14ac:dyDescent="0.25">
      <c r="A60" s="3">
        <v>166</v>
      </c>
      <c r="B60" s="3">
        <v>1</v>
      </c>
      <c r="C60" t="s">
        <v>192</v>
      </c>
      <c r="D60" s="3">
        <v>9216.7900000000009</v>
      </c>
      <c r="E60" s="3">
        <v>10600.08</v>
      </c>
      <c r="F60" s="3">
        <f t="shared" si="0"/>
        <v>19816.870000000003</v>
      </c>
      <c r="G60" s="3">
        <v>18940.560000000001</v>
      </c>
    </row>
    <row r="61" spans="1:7" x14ac:dyDescent="0.25">
      <c r="A61" s="3">
        <v>173</v>
      </c>
      <c r="B61" s="3">
        <v>1</v>
      </c>
      <c r="C61" t="s">
        <v>194</v>
      </c>
      <c r="D61" s="3">
        <v>11970.99</v>
      </c>
      <c r="E61" s="3">
        <v>18887.2</v>
      </c>
      <c r="F61" s="3">
        <f t="shared" si="0"/>
        <v>30858.190000000002</v>
      </c>
      <c r="G61" s="3">
        <v>29493.63</v>
      </c>
    </row>
    <row r="62" spans="1:7" x14ac:dyDescent="0.25">
      <c r="A62" s="3">
        <v>177</v>
      </c>
      <c r="B62" s="3">
        <v>1</v>
      </c>
      <c r="C62" t="s">
        <v>196</v>
      </c>
      <c r="D62" s="3">
        <v>31909.68</v>
      </c>
      <c r="E62" s="3">
        <v>33409.53</v>
      </c>
      <c r="F62" s="3">
        <f t="shared" si="0"/>
        <v>65319.21</v>
      </c>
      <c r="G62" s="3">
        <v>62430.78</v>
      </c>
    </row>
    <row r="63" spans="1:7" x14ac:dyDescent="0.25">
      <c r="A63" s="3">
        <v>181</v>
      </c>
      <c r="B63" s="3">
        <v>1</v>
      </c>
      <c r="C63" t="s">
        <v>199</v>
      </c>
      <c r="D63" s="3">
        <v>208452.94</v>
      </c>
      <c r="E63" s="3">
        <v>209581.34999999998</v>
      </c>
      <c r="F63" s="3">
        <f t="shared" si="0"/>
        <v>418034.29</v>
      </c>
      <c r="G63" s="3">
        <v>399548.71</v>
      </c>
    </row>
    <row r="64" spans="1:7" x14ac:dyDescent="0.25">
      <c r="A64" s="3">
        <v>182</v>
      </c>
      <c r="B64" s="3">
        <v>1</v>
      </c>
      <c r="C64" t="s">
        <v>206</v>
      </c>
      <c r="D64" s="3">
        <v>31349.37</v>
      </c>
      <c r="E64" s="3">
        <v>35375.120000000003</v>
      </c>
      <c r="F64" s="3">
        <f t="shared" si="0"/>
        <v>66724.490000000005</v>
      </c>
      <c r="G64" s="3">
        <v>63773.919999999998</v>
      </c>
    </row>
    <row r="65" spans="1:7" x14ac:dyDescent="0.25">
      <c r="A65" s="3">
        <v>186</v>
      </c>
      <c r="B65" s="3">
        <v>1</v>
      </c>
      <c r="C65" t="s">
        <v>208</v>
      </c>
      <c r="D65" s="3">
        <v>54279.6</v>
      </c>
      <c r="E65" s="3">
        <v>48208.09</v>
      </c>
      <c r="F65" s="3">
        <f t="shared" si="0"/>
        <v>102487.69</v>
      </c>
      <c r="G65" s="3">
        <v>97955.66</v>
      </c>
    </row>
    <row r="66" spans="1:7" x14ac:dyDescent="0.25">
      <c r="A66" s="3">
        <v>191</v>
      </c>
      <c r="B66" s="3">
        <v>1</v>
      </c>
      <c r="C66" t="s">
        <v>210</v>
      </c>
      <c r="D66" s="3">
        <v>282412.31999999995</v>
      </c>
      <c r="E66" s="3">
        <v>302163.77999999997</v>
      </c>
      <c r="F66" s="3">
        <f t="shared" si="0"/>
        <v>584576.09999999986</v>
      </c>
      <c r="G66" s="3">
        <v>558726.01</v>
      </c>
    </row>
    <row r="67" spans="1:7" x14ac:dyDescent="0.25">
      <c r="A67" s="3">
        <v>192</v>
      </c>
      <c r="B67" s="3">
        <v>1</v>
      </c>
      <c r="C67" t="s">
        <v>221</v>
      </c>
      <c r="D67" s="3">
        <v>258193.94999999998</v>
      </c>
      <c r="E67" s="3">
        <v>221492.62</v>
      </c>
      <c r="F67" s="3">
        <f t="shared" si="0"/>
        <v>479686.56999999995</v>
      </c>
      <c r="G67" s="3">
        <v>458474.72</v>
      </c>
    </row>
    <row r="68" spans="1:7" x14ac:dyDescent="0.25">
      <c r="A68" s="3">
        <v>194</v>
      </c>
      <c r="B68" s="3">
        <v>1</v>
      </c>
      <c r="C68" t="s">
        <v>227</v>
      </c>
      <c r="D68" s="3">
        <v>379478.16</v>
      </c>
      <c r="E68" s="3">
        <v>334091.86</v>
      </c>
      <c r="F68" s="3">
        <f t="shared" si="0"/>
        <v>713570.02</v>
      </c>
      <c r="G68" s="3">
        <v>682015.78</v>
      </c>
    </row>
    <row r="69" spans="1:7" x14ac:dyDescent="0.25">
      <c r="A69" s="3">
        <v>195</v>
      </c>
      <c r="B69" s="3">
        <v>1</v>
      </c>
      <c r="C69" t="s">
        <v>236</v>
      </c>
      <c r="D69" s="3">
        <v>27795.599999999999</v>
      </c>
      <c r="E69" s="3">
        <v>11125.48</v>
      </c>
      <c r="F69" s="3">
        <f t="shared" si="0"/>
        <v>38921.08</v>
      </c>
      <c r="G69" s="3">
        <v>37199.980000000003</v>
      </c>
    </row>
    <row r="70" spans="1:7" x14ac:dyDescent="0.25">
      <c r="A70" s="3">
        <v>196</v>
      </c>
      <c r="B70" s="3">
        <v>1</v>
      </c>
      <c r="C70" t="s">
        <v>1180</v>
      </c>
      <c r="D70" s="3">
        <v>924950.44</v>
      </c>
      <c r="E70" s="3">
        <v>816164.33000000007</v>
      </c>
      <c r="F70" s="3">
        <f t="shared" si="0"/>
        <v>1741114.77</v>
      </c>
      <c r="G70" s="3">
        <v>1664122.26</v>
      </c>
    </row>
    <row r="71" spans="1:7" x14ac:dyDescent="0.25">
      <c r="A71" s="3">
        <v>197</v>
      </c>
      <c r="B71" s="3">
        <v>1</v>
      </c>
      <c r="C71" t="s">
        <v>255</v>
      </c>
      <c r="D71" s="3">
        <v>136339.13</v>
      </c>
      <c r="E71" s="3">
        <v>141185.1</v>
      </c>
      <c r="F71" s="3">
        <f t="shared" si="0"/>
        <v>277524.23</v>
      </c>
      <c r="G71" s="3">
        <v>265252.03999999998</v>
      </c>
    </row>
    <row r="72" spans="1:7" x14ac:dyDescent="0.25">
      <c r="A72" s="3">
        <v>199</v>
      </c>
      <c r="B72" s="3">
        <v>1</v>
      </c>
      <c r="C72" t="s">
        <v>261</v>
      </c>
      <c r="D72" s="3">
        <v>119545.40000000001</v>
      </c>
      <c r="E72" s="3">
        <v>128321.61</v>
      </c>
      <c r="F72" s="3">
        <f t="shared" si="0"/>
        <v>247867.01</v>
      </c>
      <c r="G72" s="3">
        <v>236906.27</v>
      </c>
    </row>
    <row r="73" spans="1:7" x14ac:dyDescent="0.25">
      <c r="A73" s="3">
        <v>200</v>
      </c>
      <c r="B73" s="3">
        <v>1</v>
      </c>
      <c r="C73" t="s">
        <v>266</v>
      </c>
      <c r="D73" s="3">
        <v>143564.51999999999</v>
      </c>
      <c r="E73" s="3">
        <v>130483.51999999999</v>
      </c>
      <c r="F73" s="3">
        <f t="shared" si="0"/>
        <v>274048.03999999998</v>
      </c>
      <c r="G73" s="3">
        <v>261929.57</v>
      </c>
    </row>
    <row r="74" spans="1:7" x14ac:dyDescent="0.25">
      <c r="A74" s="3">
        <v>203</v>
      </c>
      <c r="B74" s="3">
        <v>1</v>
      </c>
      <c r="C74" t="s">
        <v>269</v>
      </c>
      <c r="D74" s="3">
        <v>21150.48</v>
      </c>
      <c r="E74" s="3">
        <v>27024</v>
      </c>
      <c r="F74" s="3">
        <f t="shared" si="0"/>
        <v>48174.479999999996</v>
      </c>
      <c r="G74" s="3">
        <v>46044.19</v>
      </c>
    </row>
    <row r="75" spans="1:7" x14ac:dyDescent="0.25">
      <c r="A75" s="3">
        <v>204</v>
      </c>
      <c r="B75" s="3">
        <v>1</v>
      </c>
      <c r="C75" t="s">
        <v>272</v>
      </c>
      <c r="D75" s="3">
        <v>72623.320000000007</v>
      </c>
      <c r="E75" s="3">
        <v>82116.08</v>
      </c>
      <c r="F75" s="3">
        <f t="shared" si="0"/>
        <v>154739.40000000002</v>
      </c>
      <c r="G75" s="3">
        <v>147896.79</v>
      </c>
    </row>
    <row r="76" spans="1:7" x14ac:dyDescent="0.25">
      <c r="A76" s="3">
        <v>206</v>
      </c>
      <c r="B76" s="3">
        <v>1</v>
      </c>
      <c r="C76" t="s">
        <v>274</v>
      </c>
      <c r="D76" s="3">
        <v>131803.22</v>
      </c>
      <c r="E76" s="3">
        <v>116136.68000000001</v>
      </c>
      <c r="F76" s="3">
        <f t="shared" si="0"/>
        <v>247939.90000000002</v>
      </c>
      <c r="G76" s="3">
        <v>236975.94</v>
      </c>
    </row>
    <row r="77" spans="1:7" x14ac:dyDescent="0.25">
      <c r="A77" s="3">
        <v>207</v>
      </c>
      <c r="B77" s="3">
        <v>1</v>
      </c>
      <c r="C77" t="s">
        <v>278</v>
      </c>
      <c r="D77" s="3">
        <v>13448.75</v>
      </c>
      <c r="E77" s="3">
        <v>6840</v>
      </c>
      <c r="F77" s="3">
        <f t="shared" ref="F77:F140" si="1">D77+E77</f>
        <v>20288.75</v>
      </c>
      <c r="G77" s="3">
        <v>19391.580000000002</v>
      </c>
    </row>
    <row r="78" spans="1:7" x14ac:dyDescent="0.25">
      <c r="A78" s="3">
        <v>208</v>
      </c>
      <c r="B78" s="3">
        <v>1</v>
      </c>
      <c r="C78" t="s">
        <v>1182</v>
      </c>
      <c r="D78" s="3">
        <v>1956.92</v>
      </c>
      <c r="E78" s="3">
        <v>4736.93</v>
      </c>
      <c r="F78" s="3">
        <f t="shared" si="1"/>
        <v>6693.85</v>
      </c>
      <c r="G78" s="3">
        <v>6397.85</v>
      </c>
    </row>
    <row r="79" spans="1:7" x14ac:dyDescent="0.25">
      <c r="A79" s="3">
        <v>213</v>
      </c>
      <c r="B79" s="3">
        <v>1</v>
      </c>
      <c r="C79" t="s">
        <v>280</v>
      </c>
      <c r="D79" s="3">
        <v>27348</v>
      </c>
      <c r="E79" s="3">
        <v>19573.29</v>
      </c>
      <c r="F79" s="3">
        <f t="shared" si="1"/>
        <v>46921.29</v>
      </c>
      <c r="G79" s="3">
        <v>44846.42</v>
      </c>
    </row>
    <row r="80" spans="1:7" x14ac:dyDescent="0.25">
      <c r="A80" s="3">
        <v>227</v>
      </c>
      <c r="B80" s="3">
        <v>1</v>
      </c>
      <c r="C80" t="s">
        <v>282</v>
      </c>
      <c r="D80" s="3">
        <v>24835.64</v>
      </c>
      <c r="E80" s="3">
        <v>31834.799999999999</v>
      </c>
      <c r="F80" s="3">
        <f t="shared" si="1"/>
        <v>56670.44</v>
      </c>
      <c r="G80" s="3">
        <v>54164.46</v>
      </c>
    </row>
    <row r="81" spans="1:7" x14ac:dyDescent="0.25">
      <c r="A81" s="3">
        <v>229</v>
      </c>
      <c r="B81" s="3">
        <v>1</v>
      </c>
      <c r="C81" t="s">
        <v>284</v>
      </c>
      <c r="D81" s="3">
        <v>15247.65</v>
      </c>
      <c r="E81" s="3">
        <v>8833.4</v>
      </c>
      <c r="F81" s="3">
        <f t="shared" si="1"/>
        <v>24081.05</v>
      </c>
      <c r="G81" s="3">
        <v>23016.18</v>
      </c>
    </row>
    <row r="82" spans="1:7" x14ac:dyDescent="0.25">
      <c r="A82" s="3">
        <v>238</v>
      </c>
      <c r="B82" s="3">
        <v>1</v>
      </c>
      <c r="C82" t="s">
        <v>286</v>
      </c>
      <c r="D82" s="3">
        <v>9618.2099999999991</v>
      </c>
      <c r="E82" s="3">
        <v>8160.12</v>
      </c>
      <c r="F82" s="3">
        <f t="shared" si="1"/>
        <v>17778.329999999998</v>
      </c>
      <c r="G82" s="3">
        <v>16992.169999999998</v>
      </c>
    </row>
    <row r="83" spans="1:7" x14ac:dyDescent="0.25">
      <c r="A83" s="3">
        <v>239</v>
      </c>
      <c r="B83" s="3">
        <v>1</v>
      </c>
      <c r="C83" t="s">
        <v>288</v>
      </c>
      <c r="D83" s="3">
        <v>19632.060000000001</v>
      </c>
      <c r="E83" s="3">
        <v>22097.279999999999</v>
      </c>
      <c r="F83" s="3">
        <f t="shared" si="1"/>
        <v>41729.339999999997</v>
      </c>
      <c r="G83" s="3">
        <v>39884.06</v>
      </c>
    </row>
    <row r="84" spans="1:7" x14ac:dyDescent="0.25">
      <c r="A84" s="3">
        <v>241</v>
      </c>
      <c r="B84" s="3">
        <v>1</v>
      </c>
      <c r="C84" t="s">
        <v>290</v>
      </c>
      <c r="D84" s="3">
        <v>88762.75</v>
      </c>
      <c r="E84" s="3">
        <v>101784.42000000001</v>
      </c>
      <c r="F84" s="3">
        <f t="shared" si="1"/>
        <v>190547.17</v>
      </c>
      <c r="G84" s="3">
        <v>182121.13</v>
      </c>
    </row>
    <row r="85" spans="1:7" x14ac:dyDescent="0.25">
      <c r="A85" s="3">
        <v>242</v>
      </c>
      <c r="B85" s="3">
        <v>1</v>
      </c>
      <c r="C85" t="s">
        <v>294</v>
      </c>
      <c r="D85" s="3">
        <v>23641.200000000001</v>
      </c>
      <c r="E85" s="3">
        <v>16151.9</v>
      </c>
      <c r="F85" s="3">
        <f t="shared" si="1"/>
        <v>39793.1</v>
      </c>
      <c r="G85" s="3">
        <v>38033.440000000002</v>
      </c>
    </row>
    <row r="86" spans="1:7" x14ac:dyDescent="0.25">
      <c r="A86" s="3">
        <v>252</v>
      </c>
      <c r="B86" s="3">
        <v>1</v>
      </c>
      <c r="C86" t="s">
        <v>296</v>
      </c>
      <c r="D86" s="3">
        <v>40047.839999999997</v>
      </c>
      <c r="E86" s="3">
        <v>38014.58</v>
      </c>
      <c r="F86" s="3">
        <f t="shared" si="1"/>
        <v>78062.42</v>
      </c>
      <c r="G86" s="3">
        <v>74610.48</v>
      </c>
    </row>
    <row r="87" spans="1:7" x14ac:dyDescent="0.25">
      <c r="A87" s="3">
        <v>253</v>
      </c>
      <c r="B87" s="3">
        <v>1</v>
      </c>
      <c r="C87" t="s">
        <v>298</v>
      </c>
      <c r="D87" s="3">
        <v>25799.91</v>
      </c>
      <c r="E87" s="3">
        <v>13930.04</v>
      </c>
      <c r="F87" s="3">
        <f t="shared" si="1"/>
        <v>39729.949999999997</v>
      </c>
      <c r="G87" s="3">
        <v>37973.08</v>
      </c>
    </row>
    <row r="88" spans="1:7" x14ac:dyDescent="0.25">
      <c r="A88" s="3">
        <v>255</v>
      </c>
      <c r="B88" s="3">
        <v>1</v>
      </c>
      <c r="C88" t="s">
        <v>300</v>
      </c>
      <c r="D88" s="3">
        <v>44874.2</v>
      </c>
      <c r="E88" s="3">
        <v>31069.200000000001</v>
      </c>
      <c r="F88" s="3">
        <f t="shared" si="1"/>
        <v>75943.399999999994</v>
      </c>
      <c r="G88" s="3">
        <v>72585.16</v>
      </c>
    </row>
    <row r="89" spans="1:7" x14ac:dyDescent="0.25">
      <c r="A89" s="3">
        <v>256</v>
      </c>
      <c r="B89" s="3">
        <v>1</v>
      </c>
      <c r="C89" t="s">
        <v>302</v>
      </c>
      <c r="D89" s="3">
        <v>79343.520000000004</v>
      </c>
      <c r="E89" s="3">
        <v>90900.78</v>
      </c>
      <c r="F89" s="3">
        <f t="shared" si="1"/>
        <v>170244.3</v>
      </c>
      <c r="G89" s="3">
        <v>162716.06</v>
      </c>
    </row>
    <row r="90" spans="1:7" x14ac:dyDescent="0.25">
      <c r="A90" s="3">
        <v>261</v>
      </c>
      <c r="B90" s="3">
        <v>1</v>
      </c>
      <c r="C90" t="s">
        <v>304</v>
      </c>
      <c r="D90" s="3">
        <v>9830.66</v>
      </c>
      <c r="E90" s="3">
        <v>7325.28</v>
      </c>
      <c r="F90" s="3">
        <f t="shared" si="1"/>
        <v>17155.939999999999</v>
      </c>
      <c r="G90" s="3">
        <v>16397.3</v>
      </c>
    </row>
    <row r="91" spans="1:7" x14ac:dyDescent="0.25">
      <c r="A91" s="3">
        <v>264</v>
      </c>
      <c r="B91" s="3">
        <v>1</v>
      </c>
      <c r="C91" t="s">
        <v>1184</v>
      </c>
      <c r="D91" s="3">
        <v>1943.32</v>
      </c>
      <c r="E91" s="3">
        <v>2473.29</v>
      </c>
      <c r="F91" s="3">
        <f t="shared" si="1"/>
        <v>4416.6099999999997</v>
      </c>
      <c r="G91" s="3">
        <v>4221.3100000000004</v>
      </c>
    </row>
    <row r="92" spans="1:7" x14ac:dyDescent="0.25">
      <c r="A92" s="3">
        <v>270</v>
      </c>
      <c r="B92" s="3">
        <v>1</v>
      </c>
      <c r="C92" t="s">
        <v>306</v>
      </c>
      <c r="D92" s="3">
        <v>208000.35</v>
      </c>
      <c r="E92" s="3">
        <v>203626.12</v>
      </c>
      <c r="F92" s="3">
        <f t="shared" si="1"/>
        <v>411626.47</v>
      </c>
      <c r="G92" s="3">
        <v>393424.25</v>
      </c>
    </row>
    <row r="93" spans="1:7" x14ac:dyDescent="0.25">
      <c r="A93" s="3">
        <v>271</v>
      </c>
      <c r="B93" s="3">
        <v>1</v>
      </c>
      <c r="C93" t="s">
        <v>312</v>
      </c>
      <c r="D93" s="3">
        <v>307522.56</v>
      </c>
      <c r="E93" s="3">
        <v>313335.52</v>
      </c>
      <c r="F93" s="3">
        <f t="shared" si="1"/>
        <v>620858.08000000007</v>
      </c>
      <c r="G93" s="3">
        <v>593403.59</v>
      </c>
    </row>
    <row r="94" spans="1:7" x14ac:dyDescent="0.25">
      <c r="A94" s="3">
        <v>272</v>
      </c>
      <c r="B94" s="3">
        <v>1</v>
      </c>
      <c r="C94" t="s">
        <v>322</v>
      </c>
      <c r="D94" s="3">
        <v>304146.99</v>
      </c>
      <c r="E94" s="3">
        <v>307929.11</v>
      </c>
      <c r="F94" s="3">
        <f t="shared" si="1"/>
        <v>612076.1</v>
      </c>
      <c r="G94" s="3">
        <v>585009.94999999995</v>
      </c>
    </row>
    <row r="95" spans="1:7" x14ac:dyDescent="0.25">
      <c r="A95" s="3">
        <v>273</v>
      </c>
      <c r="B95" s="3">
        <v>1</v>
      </c>
      <c r="C95" t="s">
        <v>328</v>
      </c>
      <c r="D95" s="3">
        <v>307505.81999999995</v>
      </c>
      <c r="E95" s="3">
        <v>282885.06</v>
      </c>
      <c r="F95" s="3">
        <f t="shared" si="1"/>
        <v>590390.87999999989</v>
      </c>
      <c r="G95" s="3">
        <v>564283.65</v>
      </c>
    </row>
    <row r="96" spans="1:7" x14ac:dyDescent="0.25">
      <c r="A96" s="3">
        <v>276</v>
      </c>
      <c r="B96" s="3">
        <v>1</v>
      </c>
      <c r="C96" t="s">
        <v>335</v>
      </c>
      <c r="D96" s="3">
        <v>352977.39</v>
      </c>
      <c r="E96" s="3">
        <v>307348.42</v>
      </c>
      <c r="F96" s="3">
        <f t="shared" si="1"/>
        <v>660325.81000000006</v>
      </c>
      <c r="G96" s="3">
        <v>631126.04</v>
      </c>
    </row>
    <row r="97" spans="1:7" x14ac:dyDescent="0.25">
      <c r="A97" s="3">
        <v>277</v>
      </c>
      <c r="B97" s="3">
        <v>1</v>
      </c>
      <c r="C97" t="s">
        <v>342</v>
      </c>
      <c r="D97" s="3">
        <v>92063.81</v>
      </c>
      <c r="E97" s="3">
        <v>70655.009999999995</v>
      </c>
      <c r="F97" s="3">
        <f t="shared" si="1"/>
        <v>162718.82</v>
      </c>
      <c r="G97" s="3">
        <v>155523.35</v>
      </c>
    </row>
    <row r="98" spans="1:7" x14ac:dyDescent="0.25">
      <c r="A98" s="3">
        <v>278</v>
      </c>
      <c r="B98" s="3">
        <v>1</v>
      </c>
      <c r="C98" t="s">
        <v>345</v>
      </c>
      <c r="D98" s="3">
        <v>89894.399999999994</v>
      </c>
      <c r="E98" s="3">
        <v>88822.8</v>
      </c>
      <c r="F98" s="3">
        <f t="shared" si="1"/>
        <v>178717.2</v>
      </c>
      <c r="G98" s="3">
        <v>170814.28</v>
      </c>
    </row>
    <row r="99" spans="1:7" x14ac:dyDescent="0.25">
      <c r="A99" s="3">
        <v>279</v>
      </c>
      <c r="B99" s="3">
        <v>1</v>
      </c>
      <c r="C99" t="s">
        <v>347</v>
      </c>
      <c r="D99" s="3">
        <v>603564.44999999995</v>
      </c>
      <c r="E99" s="3">
        <v>660428.5199999999</v>
      </c>
      <c r="F99" s="3">
        <f t="shared" si="1"/>
        <v>1263992.9699999997</v>
      </c>
      <c r="G99" s="3">
        <v>1208098.8999999999</v>
      </c>
    </row>
    <row r="100" spans="1:7" x14ac:dyDescent="0.25">
      <c r="A100" s="3">
        <v>280</v>
      </c>
      <c r="B100" s="3">
        <v>1</v>
      </c>
      <c r="C100" t="s">
        <v>363</v>
      </c>
      <c r="D100" s="3">
        <v>99678.68</v>
      </c>
      <c r="E100" s="3">
        <v>129489.15</v>
      </c>
      <c r="F100" s="3">
        <f t="shared" si="1"/>
        <v>229167.83</v>
      </c>
      <c r="G100" s="3">
        <v>219033.97</v>
      </c>
    </row>
    <row r="101" spans="1:7" x14ac:dyDescent="0.25">
      <c r="A101" s="3">
        <v>281</v>
      </c>
      <c r="B101" s="3">
        <v>1</v>
      </c>
      <c r="C101" t="s">
        <v>365</v>
      </c>
      <c r="D101" s="3">
        <v>339524.03</v>
      </c>
      <c r="E101" s="3">
        <v>351416.64</v>
      </c>
      <c r="F101" s="3">
        <f t="shared" si="1"/>
        <v>690940.67</v>
      </c>
      <c r="G101" s="3">
        <v>660387.11</v>
      </c>
    </row>
    <row r="102" spans="1:7" x14ac:dyDescent="0.25">
      <c r="A102" s="3">
        <v>282</v>
      </c>
      <c r="B102" s="3">
        <v>1</v>
      </c>
      <c r="C102" t="s">
        <v>374</v>
      </c>
      <c r="D102" s="3">
        <v>53194.400000000001</v>
      </c>
      <c r="E102" s="3">
        <v>53658.879999999997</v>
      </c>
      <c r="F102" s="3">
        <f t="shared" si="1"/>
        <v>106853.28</v>
      </c>
      <c r="G102" s="3">
        <v>102128.2</v>
      </c>
    </row>
    <row r="103" spans="1:7" x14ac:dyDescent="0.25">
      <c r="A103" s="3">
        <v>283</v>
      </c>
      <c r="B103" s="3">
        <v>1</v>
      </c>
      <c r="C103" t="s">
        <v>376</v>
      </c>
      <c r="D103" s="3">
        <v>153295.38</v>
      </c>
      <c r="E103" s="3">
        <v>144533.22999999998</v>
      </c>
      <c r="F103" s="3">
        <f t="shared" si="1"/>
        <v>297828.61</v>
      </c>
      <c r="G103" s="3">
        <v>284658.56</v>
      </c>
    </row>
    <row r="104" spans="1:7" x14ac:dyDescent="0.25">
      <c r="A104" s="3">
        <v>284</v>
      </c>
      <c r="B104" s="3">
        <v>1</v>
      </c>
      <c r="C104" t="s">
        <v>382</v>
      </c>
      <c r="D104" s="3">
        <v>368820.25</v>
      </c>
      <c r="E104" s="3">
        <v>343812.88000000006</v>
      </c>
      <c r="F104" s="3">
        <f t="shared" si="1"/>
        <v>712633.13000000012</v>
      </c>
      <c r="G104" s="3">
        <v>681120.32</v>
      </c>
    </row>
    <row r="105" spans="1:7" x14ac:dyDescent="0.25">
      <c r="A105" s="3">
        <v>286</v>
      </c>
      <c r="B105" s="3">
        <v>1</v>
      </c>
      <c r="C105" t="s">
        <v>390</v>
      </c>
      <c r="D105" s="3">
        <v>57781.1</v>
      </c>
      <c r="E105" s="3">
        <v>62794.68</v>
      </c>
      <c r="F105" s="3">
        <f t="shared" si="1"/>
        <v>120575.78</v>
      </c>
      <c r="G105" s="3">
        <v>115243.89</v>
      </c>
    </row>
    <row r="106" spans="1:7" x14ac:dyDescent="0.25">
      <c r="A106" s="3">
        <v>294</v>
      </c>
      <c r="B106" s="3">
        <v>1</v>
      </c>
      <c r="C106" t="s">
        <v>1186</v>
      </c>
      <c r="D106" s="3">
        <v>66428.5</v>
      </c>
      <c r="E106" s="3">
        <v>56678.42</v>
      </c>
      <c r="F106" s="3">
        <f t="shared" si="1"/>
        <v>123106.92</v>
      </c>
      <c r="G106" s="3">
        <v>117663.1</v>
      </c>
    </row>
    <row r="107" spans="1:7" x14ac:dyDescent="0.25">
      <c r="A107" s="3">
        <v>297</v>
      </c>
      <c r="B107" s="3">
        <v>1</v>
      </c>
      <c r="C107" t="s">
        <v>395</v>
      </c>
      <c r="D107" s="3">
        <v>9614.69</v>
      </c>
      <c r="E107" s="3">
        <v>10246.56</v>
      </c>
      <c r="F107" s="3">
        <f t="shared" si="1"/>
        <v>19861.25</v>
      </c>
      <c r="G107" s="3">
        <v>18982.98</v>
      </c>
    </row>
    <row r="108" spans="1:7" x14ac:dyDescent="0.25">
      <c r="A108" s="3">
        <v>299</v>
      </c>
      <c r="B108" s="3">
        <v>1</v>
      </c>
      <c r="C108" t="s">
        <v>397</v>
      </c>
      <c r="D108" s="3">
        <v>21442.5</v>
      </c>
      <c r="E108" s="3">
        <v>15034.21</v>
      </c>
      <c r="F108" s="3">
        <f t="shared" si="1"/>
        <v>36476.71</v>
      </c>
      <c r="G108" s="3">
        <v>34863.699999999997</v>
      </c>
    </row>
    <row r="109" spans="1:7" x14ac:dyDescent="0.25">
      <c r="A109" s="3">
        <v>300</v>
      </c>
      <c r="B109" s="3">
        <v>1</v>
      </c>
      <c r="C109" t="s">
        <v>399</v>
      </c>
      <c r="D109" s="3">
        <v>32027.040000000001</v>
      </c>
      <c r="E109" s="3">
        <v>25400</v>
      </c>
      <c r="F109" s="3">
        <f t="shared" si="1"/>
        <v>57427.040000000001</v>
      </c>
      <c r="G109" s="3">
        <v>54887.6</v>
      </c>
    </row>
    <row r="110" spans="1:7" x14ac:dyDescent="0.25">
      <c r="A110" s="3">
        <v>306</v>
      </c>
      <c r="B110" s="3">
        <v>1</v>
      </c>
      <c r="C110" t="s">
        <v>401</v>
      </c>
      <c r="D110" s="3">
        <v>7465.67</v>
      </c>
      <c r="E110" s="3">
        <v>7583.04</v>
      </c>
      <c r="F110" s="3">
        <f t="shared" si="1"/>
        <v>15048.71</v>
      </c>
      <c r="G110" s="3">
        <v>14383.25</v>
      </c>
    </row>
    <row r="111" spans="1:7" x14ac:dyDescent="0.25">
      <c r="A111" s="3">
        <v>308</v>
      </c>
      <c r="B111" s="3">
        <v>1</v>
      </c>
      <c r="C111" t="s">
        <v>403</v>
      </c>
      <c r="D111" s="3">
        <v>13325.7</v>
      </c>
      <c r="E111" s="3">
        <v>17666.8</v>
      </c>
      <c r="F111" s="3">
        <f t="shared" si="1"/>
        <v>30992.5</v>
      </c>
      <c r="G111" s="3">
        <v>29622</v>
      </c>
    </row>
    <row r="112" spans="1:7" x14ac:dyDescent="0.25">
      <c r="A112" s="3">
        <v>309</v>
      </c>
      <c r="B112" s="3">
        <v>1</v>
      </c>
      <c r="C112" t="s">
        <v>405</v>
      </c>
      <c r="D112" s="3">
        <v>44995.55</v>
      </c>
      <c r="E112" s="3">
        <v>43353.36</v>
      </c>
      <c r="F112" s="3">
        <f t="shared" si="1"/>
        <v>88348.91</v>
      </c>
      <c r="G112" s="3">
        <v>84442.1</v>
      </c>
    </row>
    <row r="113" spans="1:7" x14ac:dyDescent="0.25">
      <c r="A113" s="3">
        <v>314</v>
      </c>
      <c r="B113" s="3">
        <v>1</v>
      </c>
      <c r="C113" t="s">
        <v>407</v>
      </c>
      <c r="D113" s="3">
        <v>34691.040000000001</v>
      </c>
      <c r="E113" s="3">
        <v>29168.58</v>
      </c>
      <c r="F113" s="3">
        <f t="shared" si="1"/>
        <v>63859.62</v>
      </c>
      <c r="G113" s="3">
        <v>61035.73</v>
      </c>
    </row>
    <row r="114" spans="1:7" x14ac:dyDescent="0.25">
      <c r="A114" s="3">
        <v>316</v>
      </c>
      <c r="B114" s="3">
        <v>1</v>
      </c>
      <c r="C114" t="s">
        <v>409</v>
      </c>
      <c r="D114" s="3">
        <v>29831.200000000001</v>
      </c>
      <c r="E114" s="3">
        <v>32334.42</v>
      </c>
      <c r="F114" s="3">
        <f t="shared" si="1"/>
        <v>62165.619999999995</v>
      </c>
      <c r="G114" s="3">
        <v>59416.639999999999</v>
      </c>
    </row>
    <row r="115" spans="1:7" x14ac:dyDescent="0.25">
      <c r="A115" s="3">
        <v>317</v>
      </c>
      <c r="B115" s="3">
        <v>1</v>
      </c>
      <c r="C115" t="s">
        <v>412</v>
      </c>
      <c r="D115" s="3">
        <v>22817.759999999998</v>
      </c>
      <c r="E115" s="3">
        <v>19960.259999999998</v>
      </c>
      <c r="F115" s="3">
        <f t="shared" si="1"/>
        <v>42778.02</v>
      </c>
      <c r="G115" s="3">
        <v>40886.370000000003</v>
      </c>
    </row>
    <row r="116" spans="1:7" x14ac:dyDescent="0.25">
      <c r="A116" s="3">
        <v>318</v>
      </c>
      <c r="B116" s="3">
        <v>1</v>
      </c>
      <c r="C116" t="s">
        <v>415</v>
      </c>
      <c r="D116" s="3">
        <v>112002.43</v>
      </c>
      <c r="E116" s="3">
        <v>106980.6</v>
      </c>
      <c r="F116" s="3">
        <f t="shared" si="1"/>
        <v>218983.03</v>
      </c>
      <c r="G116" s="3">
        <v>209299.55</v>
      </c>
    </row>
    <row r="117" spans="1:7" x14ac:dyDescent="0.25">
      <c r="A117" s="3">
        <v>319</v>
      </c>
      <c r="B117" s="3">
        <v>1</v>
      </c>
      <c r="C117" t="s">
        <v>421</v>
      </c>
      <c r="D117" s="3">
        <v>20440.16</v>
      </c>
      <c r="E117" s="3">
        <v>15327.44</v>
      </c>
      <c r="F117" s="3">
        <f t="shared" si="1"/>
        <v>35767.599999999999</v>
      </c>
      <c r="G117" s="3">
        <v>34185.949999999997</v>
      </c>
    </row>
    <row r="118" spans="1:7" x14ac:dyDescent="0.25">
      <c r="A118" s="3">
        <v>330</v>
      </c>
      <c r="B118" s="3">
        <v>1</v>
      </c>
      <c r="C118" t="s">
        <v>423</v>
      </c>
      <c r="D118" s="3">
        <v>7208</v>
      </c>
      <c r="E118" s="3">
        <v>8532.93</v>
      </c>
      <c r="F118" s="3">
        <f t="shared" si="1"/>
        <v>15740.93</v>
      </c>
      <c r="G118" s="3">
        <v>15044.86</v>
      </c>
    </row>
    <row r="119" spans="1:7" x14ac:dyDescent="0.25">
      <c r="A119" s="3">
        <v>332</v>
      </c>
      <c r="B119" s="3">
        <v>1</v>
      </c>
      <c r="C119" t="s">
        <v>425</v>
      </c>
      <c r="D119" s="3">
        <v>57942.61</v>
      </c>
      <c r="E119" s="3">
        <v>47776.42</v>
      </c>
      <c r="F119" s="3">
        <f t="shared" si="1"/>
        <v>105719.03</v>
      </c>
      <c r="G119" s="3">
        <v>101044.11</v>
      </c>
    </row>
    <row r="120" spans="1:7" x14ac:dyDescent="0.25">
      <c r="A120" s="3">
        <v>333</v>
      </c>
      <c r="B120" s="3">
        <v>1</v>
      </c>
      <c r="C120" t="s">
        <v>427</v>
      </c>
      <c r="D120" s="3">
        <v>19553.28</v>
      </c>
      <c r="E120" s="3">
        <v>14803.6</v>
      </c>
      <c r="F120" s="3">
        <f t="shared" si="1"/>
        <v>34356.879999999997</v>
      </c>
      <c r="G120" s="3">
        <v>32837.61</v>
      </c>
    </row>
    <row r="121" spans="1:7" x14ac:dyDescent="0.25">
      <c r="A121" s="3">
        <v>345</v>
      </c>
      <c r="B121" s="3">
        <v>1</v>
      </c>
      <c r="C121" t="s">
        <v>429</v>
      </c>
      <c r="D121" s="3">
        <v>45586.2</v>
      </c>
      <c r="E121" s="3">
        <v>45461.11</v>
      </c>
      <c r="F121" s="3">
        <f t="shared" si="1"/>
        <v>91047.31</v>
      </c>
      <c r="G121" s="3">
        <v>87021.18</v>
      </c>
    </row>
    <row r="122" spans="1:7" x14ac:dyDescent="0.25">
      <c r="A122" s="3">
        <v>347</v>
      </c>
      <c r="B122" s="3">
        <v>1</v>
      </c>
      <c r="C122" t="s">
        <v>431</v>
      </c>
      <c r="D122" s="3">
        <v>106559.46</v>
      </c>
      <c r="E122" s="3">
        <v>115926.8</v>
      </c>
      <c r="F122" s="3">
        <f t="shared" si="1"/>
        <v>222486.26</v>
      </c>
      <c r="G122" s="3">
        <v>212647.86</v>
      </c>
    </row>
    <row r="123" spans="1:7" x14ac:dyDescent="0.25">
      <c r="A123" s="3">
        <v>356</v>
      </c>
      <c r="B123" s="3">
        <v>1</v>
      </c>
      <c r="C123" t="s">
        <v>432</v>
      </c>
      <c r="D123" s="3">
        <v>2862</v>
      </c>
      <c r="E123" s="3">
        <v>5020.29</v>
      </c>
      <c r="F123" s="3">
        <f t="shared" si="1"/>
        <v>7882.29</v>
      </c>
      <c r="G123" s="3">
        <v>7533.73</v>
      </c>
    </row>
    <row r="124" spans="1:7" x14ac:dyDescent="0.25">
      <c r="A124" s="3">
        <v>361</v>
      </c>
      <c r="B124" s="3">
        <v>1</v>
      </c>
      <c r="C124" t="s">
        <v>434</v>
      </c>
      <c r="D124" s="3">
        <v>34176.910000000003</v>
      </c>
      <c r="E124" s="3">
        <v>44455.95</v>
      </c>
      <c r="F124" s="3">
        <f t="shared" si="1"/>
        <v>78632.86</v>
      </c>
      <c r="G124" s="3">
        <v>75155.7</v>
      </c>
    </row>
    <row r="125" spans="1:7" x14ac:dyDescent="0.25">
      <c r="A125" s="3">
        <v>362</v>
      </c>
      <c r="B125" s="3">
        <v>1</v>
      </c>
      <c r="C125" t="s">
        <v>436</v>
      </c>
      <c r="D125" s="3">
        <v>8621.76</v>
      </c>
      <c r="E125" s="3">
        <v>6834.72</v>
      </c>
      <c r="F125" s="3">
        <f t="shared" si="1"/>
        <v>15456.48</v>
      </c>
      <c r="G125" s="3">
        <v>14772.99</v>
      </c>
    </row>
    <row r="126" spans="1:7" x14ac:dyDescent="0.25">
      <c r="A126" s="3">
        <v>363</v>
      </c>
      <c r="B126" s="3">
        <v>1</v>
      </c>
      <c r="C126" t="s">
        <v>1188</v>
      </c>
      <c r="D126" s="3">
        <v>11538.24</v>
      </c>
      <c r="E126" s="3">
        <v>10179.9</v>
      </c>
      <c r="F126" s="3">
        <f t="shared" si="1"/>
        <v>21718.14</v>
      </c>
      <c r="G126" s="3">
        <v>20757.759999999998</v>
      </c>
    </row>
    <row r="127" spans="1:7" x14ac:dyDescent="0.25">
      <c r="A127" s="3">
        <v>378</v>
      </c>
      <c r="B127" s="3">
        <v>1</v>
      </c>
      <c r="C127" t="s">
        <v>438</v>
      </c>
      <c r="D127" s="3">
        <v>17192.259999999998</v>
      </c>
      <c r="E127" s="3">
        <v>15857.16</v>
      </c>
      <c r="F127" s="3">
        <f t="shared" si="1"/>
        <v>33049.42</v>
      </c>
      <c r="G127" s="3">
        <v>31587.97</v>
      </c>
    </row>
    <row r="128" spans="1:7" x14ac:dyDescent="0.25">
      <c r="A128" s="3">
        <v>381</v>
      </c>
      <c r="B128" s="3">
        <v>1</v>
      </c>
      <c r="C128" t="s">
        <v>440</v>
      </c>
      <c r="D128" s="3">
        <v>38337.61</v>
      </c>
      <c r="E128" s="3">
        <v>33152.009999999995</v>
      </c>
      <c r="F128" s="3">
        <f t="shared" si="1"/>
        <v>71489.62</v>
      </c>
      <c r="G128" s="3">
        <v>68328.33</v>
      </c>
    </row>
    <row r="129" spans="1:7" x14ac:dyDescent="0.25">
      <c r="A129" s="3">
        <v>390</v>
      </c>
      <c r="B129" s="3">
        <v>1</v>
      </c>
      <c r="C129" t="s">
        <v>443</v>
      </c>
      <c r="D129" s="3">
        <v>12200.28</v>
      </c>
      <c r="E129" s="3">
        <v>17324.8</v>
      </c>
      <c r="F129" s="3">
        <f t="shared" si="1"/>
        <v>29525.08</v>
      </c>
      <c r="G129" s="3">
        <v>28219.47</v>
      </c>
    </row>
    <row r="130" spans="1:7" x14ac:dyDescent="0.25">
      <c r="A130" s="3">
        <v>391</v>
      </c>
      <c r="B130" s="3">
        <v>1</v>
      </c>
      <c r="C130" t="s">
        <v>445</v>
      </c>
      <c r="D130" s="3">
        <v>12388.86</v>
      </c>
      <c r="E130" s="3">
        <v>17140.400000000001</v>
      </c>
      <c r="F130" s="3">
        <f t="shared" si="1"/>
        <v>29529.260000000002</v>
      </c>
      <c r="G130" s="3">
        <v>28223.47</v>
      </c>
    </row>
    <row r="131" spans="1:7" x14ac:dyDescent="0.25">
      <c r="A131" s="3">
        <v>392</v>
      </c>
      <c r="B131" s="3">
        <v>1</v>
      </c>
      <c r="C131" t="s">
        <v>447</v>
      </c>
      <c r="D131" s="3">
        <v>19941.25</v>
      </c>
      <c r="E131" s="3">
        <v>20360.7</v>
      </c>
      <c r="F131" s="3">
        <f t="shared" si="1"/>
        <v>40301.949999999997</v>
      </c>
      <c r="G131" s="3">
        <v>38519.79</v>
      </c>
    </row>
    <row r="132" spans="1:7" x14ac:dyDescent="0.25">
      <c r="A132" s="3">
        <v>394</v>
      </c>
      <c r="B132" s="3">
        <v>1</v>
      </c>
      <c r="C132" t="s">
        <v>449</v>
      </c>
      <c r="D132" s="3">
        <v>37893.56</v>
      </c>
      <c r="E132" s="3">
        <v>48203.199999999997</v>
      </c>
      <c r="F132" s="3">
        <f t="shared" si="1"/>
        <v>86096.76</v>
      </c>
      <c r="G132" s="3">
        <v>82289.539999999994</v>
      </c>
    </row>
    <row r="133" spans="1:7" x14ac:dyDescent="0.25">
      <c r="A133" s="3">
        <v>402</v>
      </c>
      <c r="B133" s="3">
        <v>1</v>
      </c>
      <c r="C133" t="s">
        <v>452</v>
      </c>
      <c r="D133" s="3">
        <v>3067.89</v>
      </c>
      <c r="E133" s="3">
        <v>3840</v>
      </c>
      <c r="F133" s="3">
        <f t="shared" si="1"/>
        <v>6907.8899999999994</v>
      </c>
      <c r="G133" s="3">
        <v>6602.42</v>
      </c>
    </row>
    <row r="134" spans="1:7" x14ac:dyDescent="0.25">
      <c r="A134" s="3">
        <v>403</v>
      </c>
      <c r="B134" s="3">
        <v>1</v>
      </c>
      <c r="C134" t="s">
        <v>1293</v>
      </c>
      <c r="D134" s="3">
        <v>7419.99</v>
      </c>
      <c r="E134" s="3">
        <v>6360</v>
      </c>
      <c r="F134" s="3">
        <f t="shared" si="1"/>
        <v>13779.99</v>
      </c>
      <c r="G134" s="3">
        <v>13170.64</v>
      </c>
    </row>
    <row r="135" spans="1:7" x14ac:dyDescent="0.25">
      <c r="A135" s="3">
        <v>404</v>
      </c>
      <c r="B135" s="3">
        <v>1</v>
      </c>
      <c r="C135" t="s">
        <v>453</v>
      </c>
      <c r="D135" s="3">
        <v>6452.18</v>
      </c>
      <c r="E135" s="3">
        <v>6536.6</v>
      </c>
      <c r="F135" s="3">
        <f t="shared" si="1"/>
        <v>12988.78</v>
      </c>
      <c r="G135" s="3">
        <v>12414.41</v>
      </c>
    </row>
    <row r="136" spans="1:7" x14ac:dyDescent="0.25">
      <c r="A136" s="3">
        <v>413</v>
      </c>
      <c r="B136" s="3">
        <v>1</v>
      </c>
      <c r="C136" t="s">
        <v>455</v>
      </c>
      <c r="D136" s="3">
        <v>55735.26</v>
      </c>
      <c r="E136" s="3">
        <v>61501.53</v>
      </c>
      <c r="F136" s="3">
        <f t="shared" si="1"/>
        <v>117236.79000000001</v>
      </c>
      <c r="G136" s="3">
        <v>112052.55</v>
      </c>
    </row>
    <row r="137" spans="1:7" x14ac:dyDescent="0.25">
      <c r="A137" s="3">
        <v>414</v>
      </c>
      <c r="B137" s="3">
        <v>1</v>
      </c>
      <c r="C137" t="s">
        <v>457</v>
      </c>
      <c r="D137" s="3">
        <v>12434.04</v>
      </c>
      <c r="E137" s="3">
        <v>12405.6</v>
      </c>
      <c r="F137" s="3">
        <f t="shared" si="1"/>
        <v>24839.64</v>
      </c>
      <c r="G137" s="3">
        <v>23741.23</v>
      </c>
    </row>
    <row r="138" spans="1:7" x14ac:dyDescent="0.25">
      <c r="A138" s="3">
        <v>415</v>
      </c>
      <c r="B138" s="3">
        <v>1</v>
      </c>
      <c r="C138" t="s">
        <v>1191</v>
      </c>
      <c r="D138" s="3">
        <v>5381.52</v>
      </c>
      <c r="E138" s="3">
        <v>5476.68</v>
      </c>
      <c r="F138" s="3">
        <f t="shared" si="1"/>
        <v>10858.2</v>
      </c>
      <c r="G138" s="3">
        <v>10378.049999999999</v>
      </c>
    </row>
    <row r="139" spans="1:7" x14ac:dyDescent="0.25">
      <c r="A139" s="3">
        <v>423</v>
      </c>
      <c r="B139" s="3">
        <v>1</v>
      </c>
      <c r="C139" t="s">
        <v>460</v>
      </c>
      <c r="D139" s="3">
        <v>98976.57</v>
      </c>
      <c r="E139" s="3">
        <v>94744.53</v>
      </c>
      <c r="F139" s="3">
        <f t="shared" si="1"/>
        <v>193721.1</v>
      </c>
      <c r="G139" s="3">
        <v>185154.71</v>
      </c>
    </row>
    <row r="140" spans="1:7" x14ac:dyDescent="0.25">
      <c r="A140" s="3">
        <v>424</v>
      </c>
      <c r="B140" s="3">
        <v>1</v>
      </c>
      <c r="C140" t="s">
        <v>462</v>
      </c>
      <c r="D140" s="3">
        <v>14059.68</v>
      </c>
      <c r="E140" s="3">
        <v>12458.07</v>
      </c>
      <c r="F140" s="3">
        <f t="shared" si="1"/>
        <v>26517.75</v>
      </c>
      <c r="G140" s="3">
        <v>25345.13</v>
      </c>
    </row>
    <row r="141" spans="1:7" x14ac:dyDescent="0.25">
      <c r="A141" s="3">
        <v>432</v>
      </c>
      <c r="B141" s="3">
        <v>1</v>
      </c>
      <c r="C141" t="s">
        <v>464</v>
      </c>
      <c r="D141" s="3">
        <v>13758.45</v>
      </c>
      <c r="E141" s="3">
        <v>12790</v>
      </c>
      <c r="F141" s="3">
        <f t="shared" ref="F141:F204" si="2">D141+E141</f>
        <v>26548.45</v>
      </c>
      <c r="G141" s="3">
        <v>25374.47</v>
      </c>
    </row>
    <row r="142" spans="1:7" x14ac:dyDescent="0.25">
      <c r="A142" s="3">
        <v>435</v>
      </c>
      <c r="B142" s="3">
        <v>1</v>
      </c>
      <c r="C142" t="s">
        <v>466</v>
      </c>
      <c r="D142" s="3">
        <v>16548.419999999998</v>
      </c>
      <c r="E142" s="3">
        <v>19928</v>
      </c>
      <c r="F142" s="3">
        <f t="shared" si="2"/>
        <v>36476.42</v>
      </c>
      <c r="G142" s="3">
        <v>34863.42</v>
      </c>
    </row>
    <row r="143" spans="1:7" x14ac:dyDescent="0.25">
      <c r="A143" s="3">
        <v>441</v>
      </c>
      <c r="B143" s="3">
        <v>1</v>
      </c>
      <c r="C143" t="s">
        <v>468</v>
      </c>
      <c r="D143" s="3">
        <v>15917.78</v>
      </c>
      <c r="E143" s="3">
        <v>12746.5</v>
      </c>
      <c r="F143" s="3">
        <f t="shared" si="2"/>
        <v>28664.28</v>
      </c>
      <c r="G143" s="3">
        <v>27396.74</v>
      </c>
    </row>
    <row r="144" spans="1:7" x14ac:dyDescent="0.25">
      <c r="A144" s="3">
        <v>447</v>
      </c>
      <c r="B144" s="3">
        <v>1</v>
      </c>
      <c r="C144" t="s">
        <v>1195</v>
      </c>
      <c r="D144" s="3">
        <v>6638.94</v>
      </c>
      <c r="E144" s="3">
        <v>3385.17</v>
      </c>
      <c r="F144" s="3">
        <f t="shared" si="2"/>
        <v>10024.11</v>
      </c>
      <c r="G144" s="3">
        <v>9580.84</v>
      </c>
    </row>
    <row r="145" spans="1:7" x14ac:dyDescent="0.25">
      <c r="A145" s="3">
        <v>458</v>
      </c>
      <c r="B145" s="3">
        <v>1</v>
      </c>
      <c r="C145" t="s">
        <v>471</v>
      </c>
      <c r="D145" s="3">
        <v>8280</v>
      </c>
      <c r="E145" s="3">
        <v>6930.73</v>
      </c>
      <c r="F145" s="3">
        <f t="shared" si="2"/>
        <v>15210.73</v>
      </c>
      <c r="G145" s="3">
        <v>14538.11</v>
      </c>
    </row>
    <row r="146" spans="1:7" x14ac:dyDescent="0.25">
      <c r="A146" s="3">
        <v>463</v>
      </c>
      <c r="B146" s="3">
        <v>1</v>
      </c>
      <c r="C146" t="s">
        <v>473</v>
      </c>
      <c r="D146" s="3">
        <v>30063.48</v>
      </c>
      <c r="E146" s="3">
        <v>28523.3</v>
      </c>
      <c r="F146" s="3">
        <f t="shared" si="2"/>
        <v>58586.78</v>
      </c>
      <c r="G146" s="3">
        <v>55996.06</v>
      </c>
    </row>
    <row r="147" spans="1:7" x14ac:dyDescent="0.25">
      <c r="A147" s="3">
        <v>465</v>
      </c>
      <c r="B147" s="3">
        <v>1</v>
      </c>
      <c r="C147" t="s">
        <v>475</v>
      </c>
      <c r="D147" s="3">
        <v>54088.84</v>
      </c>
      <c r="E147" s="3">
        <v>50484.82</v>
      </c>
      <c r="F147" s="3">
        <f t="shared" si="2"/>
        <v>104573.66</v>
      </c>
      <c r="G147" s="3">
        <v>99949.39</v>
      </c>
    </row>
    <row r="148" spans="1:7" x14ac:dyDescent="0.25">
      <c r="A148" s="3">
        <v>466</v>
      </c>
      <c r="B148" s="3">
        <v>1</v>
      </c>
      <c r="C148" t="s">
        <v>478</v>
      </c>
      <c r="D148" s="3">
        <v>88216.26999999999</v>
      </c>
      <c r="E148" s="3">
        <v>63287.34</v>
      </c>
      <c r="F148" s="3">
        <f t="shared" si="2"/>
        <v>151503.60999999999</v>
      </c>
      <c r="G148" s="3">
        <v>144804.07999999999</v>
      </c>
    </row>
    <row r="149" spans="1:7" x14ac:dyDescent="0.25">
      <c r="A149" s="3">
        <v>473</v>
      </c>
      <c r="B149" s="3">
        <v>1</v>
      </c>
      <c r="C149" t="s">
        <v>481</v>
      </c>
      <c r="D149" s="3">
        <v>15379.56</v>
      </c>
      <c r="E149" s="3">
        <v>12546.63</v>
      </c>
      <c r="F149" s="3">
        <f t="shared" si="2"/>
        <v>27926.19</v>
      </c>
      <c r="G149" s="3">
        <v>26691.29</v>
      </c>
    </row>
    <row r="150" spans="1:7" x14ac:dyDescent="0.25">
      <c r="A150" s="3">
        <v>477</v>
      </c>
      <c r="B150" s="3">
        <v>1</v>
      </c>
      <c r="C150" t="s">
        <v>483</v>
      </c>
      <c r="D150" s="3">
        <v>108920.3</v>
      </c>
      <c r="E150" s="3">
        <v>110251.12</v>
      </c>
      <c r="F150" s="3">
        <f t="shared" si="2"/>
        <v>219171.41999999998</v>
      </c>
      <c r="G150" s="3">
        <v>209479.61</v>
      </c>
    </row>
    <row r="151" spans="1:7" x14ac:dyDescent="0.25">
      <c r="A151" s="3">
        <v>480</v>
      </c>
      <c r="B151" s="3">
        <v>1</v>
      </c>
      <c r="C151" t="s">
        <v>484</v>
      </c>
      <c r="D151" s="3">
        <v>15978.72</v>
      </c>
      <c r="E151" s="3">
        <v>15477.88</v>
      </c>
      <c r="F151" s="3">
        <f t="shared" si="2"/>
        <v>31456.6</v>
      </c>
      <c r="G151" s="3">
        <v>30065.58</v>
      </c>
    </row>
    <row r="152" spans="1:7" x14ac:dyDescent="0.25">
      <c r="A152">
        <v>482</v>
      </c>
      <c r="B152">
        <v>1</v>
      </c>
      <c r="C152" t="s">
        <v>486</v>
      </c>
      <c r="D152" s="3">
        <v>65933.36</v>
      </c>
      <c r="E152" s="3">
        <v>67270.87999999999</v>
      </c>
      <c r="F152" s="3">
        <f t="shared" si="2"/>
        <v>133204.24</v>
      </c>
      <c r="G152" s="3">
        <v>127313.92</v>
      </c>
    </row>
    <row r="153" spans="1:7" x14ac:dyDescent="0.25">
      <c r="A153">
        <v>484</v>
      </c>
      <c r="B153">
        <v>1</v>
      </c>
      <c r="C153" t="s">
        <v>489</v>
      </c>
      <c r="D153" s="3">
        <v>32123.24</v>
      </c>
      <c r="E153" s="3">
        <v>27756.74</v>
      </c>
      <c r="F153" s="3">
        <f t="shared" si="2"/>
        <v>59879.98</v>
      </c>
      <c r="G153" s="3">
        <v>57232.07</v>
      </c>
    </row>
    <row r="154" spans="1:7" x14ac:dyDescent="0.25">
      <c r="A154">
        <v>485</v>
      </c>
      <c r="B154">
        <v>1</v>
      </c>
      <c r="C154" t="s">
        <v>491</v>
      </c>
      <c r="D154" s="3">
        <v>34032.410000000003</v>
      </c>
      <c r="E154" s="3">
        <v>23764.32</v>
      </c>
      <c r="F154" s="3">
        <f t="shared" si="2"/>
        <v>57796.73</v>
      </c>
      <c r="G154" s="3">
        <v>55240.94</v>
      </c>
    </row>
    <row r="155" spans="1:7" x14ac:dyDescent="0.25">
      <c r="A155">
        <v>486</v>
      </c>
      <c r="B155">
        <v>1</v>
      </c>
      <c r="C155" t="s">
        <v>493</v>
      </c>
      <c r="D155" s="3">
        <v>9350.66</v>
      </c>
      <c r="E155" s="3">
        <v>4452</v>
      </c>
      <c r="F155" s="3">
        <f t="shared" si="2"/>
        <v>13802.66</v>
      </c>
      <c r="G155" s="3">
        <v>13192.3</v>
      </c>
    </row>
    <row r="156" spans="1:7" x14ac:dyDescent="0.25">
      <c r="A156">
        <v>487</v>
      </c>
      <c r="B156">
        <v>1</v>
      </c>
      <c r="C156" t="s">
        <v>495</v>
      </c>
      <c r="D156" s="3">
        <v>10628.21</v>
      </c>
      <c r="E156" s="3">
        <v>11821.54</v>
      </c>
      <c r="F156" s="3">
        <f t="shared" si="2"/>
        <v>22449.75</v>
      </c>
      <c r="G156" s="3">
        <v>21457.02</v>
      </c>
    </row>
    <row r="157" spans="1:7" x14ac:dyDescent="0.25">
      <c r="A157">
        <v>492</v>
      </c>
      <c r="B157">
        <v>1</v>
      </c>
      <c r="C157" t="s">
        <v>497</v>
      </c>
      <c r="D157" s="3">
        <v>126082.12</v>
      </c>
      <c r="E157" s="3">
        <v>146565.56</v>
      </c>
      <c r="F157" s="3">
        <f t="shared" si="2"/>
        <v>272647.67999999999</v>
      </c>
      <c r="G157" s="3">
        <v>260591.13</v>
      </c>
    </row>
    <row r="158" spans="1:7" x14ac:dyDescent="0.25">
      <c r="A158">
        <v>495</v>
      </c>
      <c r="B158">
        <v>1</v>
      </c>
      <c r="C158" t="s">
        <v>502</v>
      </c>
      <c r="D158" s="3">
        <v>14217.78</v>
      </c>
      <c r="E158" s="3">
        <v>13082.65</v>
      </c>
      <c r="F158" s="3">
        <f t="shared" si="2"/>
        <v>27300.43</v>
      </c>
      <c r="G158" s="3">
        <v>26093.200000000001</v>
      </c>
    </row>
    <row r="159" spans="1:7" x14ac:dyDescent="0.25">
      <c r="A159">
        <v>497</v>
      </c>
      <c r="B159">
        <v>1</v>
      </c>
      <c r="C159" t="s">
        <v>504</v>
      </c>
      <c r="D159" s="3">
        <v>6475.68</v>
      </c>
      <c r="E159" s="3">
        <v>6649.05</v>
      </c>
      <c r="F159" s="3">
        <f t="shared" si="2"/>
        <v>13124.73</v>
      </c>
      <c r="G159" s="3">
        <v>12544.35</v>
      </c>
    </row>
    <row r="160" spans="1:7" x14ac:dyDescent="0.25">
      <c r="A160">
        <v>499</v>
      </c>
      <c r="B160">
        <v>1</v>
      </c>
      <c r="C160" t="s">
        <v>506</v>
      </c>
      <c r="D160" s="3">
        <v>10448.64</v>
      </c>
      <c r="E160" s="3">
        <v>7801.6</v>
      </c>
      <c r="F160" s="3">
        <f t="shared" si="2"/>
        <v>18250.239999999998</v>
      </c>
      <c r="G160" s="3">
        <v>17443.21</v>
      </c>
    </row>
    <row r="161" spans="1:7" x14ac:dyDescent="0.25">
      <c r="A161">
        <v>500</v>
      </c>
      <c r="B161">
        <v>1</v>
      </c>
      <c r="C161" t="s">
        <v>508</v>
      </c>
      <c r="D161" s="3">
        <v>12866.37</v>
      </c>
      <c r="E161" s="3">
        <v>12345.9</v>
      </c>
      <c r="F161" s="3">
        <f t="shared" si="2"/>
        <v>25212.27</v>
      </c>
      <c r="G161" s="3">
        <v>24097.38</v>
      </c>
    </row>
    <row r="162" spans="1:7" x14ac:dyDescent="0.25">
      <c r="A162">
        <v>505</v>
      </c>
      <c r="B162">
        <v>1</v>
      </c>
      <c r="C162" t="s">
        <v>510</v>
      </c>
      <c r="D162" s="3">
        <v>7420</v>
      </c>
      <c r="E162" s="3">
        <v>8853.39</v>
      </c>
      <c r="F162" s="3">
        <f t="shared" si="2"/>
        <v>16273.39</v>
      </c>
      <c r="G162" s="3">
        <v>15553.78</v>
      </c>
    </row>
    <row r="163" spans="1:7" x14ac:dyDescent="0.25">
      <c r="A163">
        <v>507</v>
      </c>
      <c r="B163">
        <v>1</v>
      </c>
      <c r="C163" t="s">
        <v>512</v>
      </c>
      <c r="D163" s="3">
        <v>15199.8</v>
      </c>
      <c r="E163" s="3">
        <v>10217.98</v>
      </c>
      <c r="F163" s="3">
        <f t="shared" si="2"/>
        <v>25417.78</v>
      </c>
      <c r="G163" s="3">
        <v>24293.8</v>
      </c>
    </row>
    <row r="164" spans="1:7" x14ac:dyDescent="0.25">
      <c r="A164">
        <v>508</v>
      </c>
      <c r="B164">
        <v>1</v>
      </c>
      <c r="C164" t="s">
        <v>514</v>
      </c>
      <c r="D164" s="3">
        <v>69571.039999999994</v>
      </c>
      <c r="E164" s="3">
        <v>67268.990000000005</v>
      </c>
      <c r="F164" s="3">
        <f t="shared" si="2"/>
        <v>136840.03</v>
      </c>
      <c r="G164" s="3">
        <v>130788.93</v>
      </c>
    </row>
    <row r="165" spans="1:7" x14ac:dyDescent="0.25">
      <c r="A165">
        <v>511</v>
      </c>
      <c r="B165">
        <v>1</v>
      </c>
      <c r="C165" t="s">
        <v>516</v>
      </c>
      <c r="D165" s="3">
        <v>16013.2</v>
      </c>
      <c r="E165" s="3">
        <v>18285</v>
      </c>
      <c r="F165" s="3">
        <f t="shared" si="2"/>
        <v>34298.199999999997</v>
      </c>
      <c r="G165" s="3">
        <v>32781.53</v>
      </c>
    </row>
    <row r="166" spans="1:7" x14ac:dyDescent="0.25">
      <c r="A166">
        <v>513</v>
      </c>
      <c r="B166">
        <v>1</v>
      </c>
      <c r="C166" t="s">
        <v>518</v>
      </c>
      <c r="D166" s="3">
        <v>8278.08</v>
      </c>
      <c r="E166" s="3">
        <v>11326.5</v>
      </c>
      <c r="F166" s="3">
        <f t="shared" si="2"/>
        <v>19604.580000000002</v>
      </c>
      <c r="G166" s="3">
        <v>18737.66</v>
      </c>
    </row>
    <row r="167" spans="1:7" x14ac:dyDescent="0.25">
      <c r="A167">
        <v>514</v>
      </c>
      <c r="B167">
        <v>1</v>
      </c>
      <c r="C167" t="s">
        <v>1199</v>
      </c>
      <c r="D167" s="3">
        <v>4858.37</v>
      </c>
      <c r="E167" s="3">
        <v>5237.6000000000004</v>
      </c>
      <c r="F167" s="3">
        <f t="shared" si="2"/>
        <v>10095.970000000001</v>
      </c>
      <c r="G167" s="3">
        <v>9649.52</v>
      </c>
    </row>
    <row r="168" spans="1:7" x14ac:dyDescent="0.25">
      <c r="A168">
        <v>518</v>
      </c>
      <c r="B168">
        <v>1</v>
      </c>
      <c r="C168" t="s">
        <v>520</v>
      </c>
      <c r="D168" s="3">
        <v>67886.2</v>
      </c>
      <c r="E168" s="3">
        <v>83208.09</v>
      </c>
      <c r="F168" s="3">
        <f t="shared" si="2"/>
        <v>151094.28999999998</v>
      </c>
      <c r="G168" s="3">
        <v>144412.85999999999</v>
      </c>
    </row>
    <row r="169" spans="1:7" x14ac:dyDescent="0.25">
      <c r="A169">
        <v>531</v>
      </c>
      <c r="B169">
        <v>1</v>
      </c>
      <c r="C169" t="s">
        <v>522</v>
      </c>
      <c r="D169" s="3">
        <v>71597.820000000007</v>
      </c>
      <c r="E169" s="3">
        <v>46856.25</v>
      </c>
      <c r="F169" s="3">
        <f t="shared" si="2"/>
        <v>118454.07</v>
      </c>
      <c r="G169" s="3">
        <v>113216</v>
      </c>
    </row>
    <row r="170" spans="1:7" x14ac:dyDescent="0.25">
      <c r="A170">
        <v>533</v>
      </c>
      <c r="B170">
        <v>1</v>
      </c>
      <c r="C170" t="s">
        <v>524</v>
      </c>
      <c r="D170" s="3">
        <v>40947.42</v>
      </c>
      <c r="E170" s="3">
        <v>33347.410000000003</v>
      </c>
      <c r="F170" s="3">
        <f t="shared" si="2"/>
        <v>74294.83</v>
      </c>
      <c r="G170" s="3">
        <v>71009.490000000005</v>
      </c>
    </row>
    <row r="171" spans="1:7" x14ac:dyDescent="0.25">
      <c r="A171">
        <v>534</v>
      </c>
      <c r="B171">
        <v>1</v>
      </c>
      <c r="C171" t="s">
        <v>526</v>
      </c>
      <c r="D171" s="3">
        <v>72896.160000000003</v>
      </c>
      <c r="E171" s="3">
        <v>53926.38</v>
      </c>
      <c r="F171" s="3">
        <f t="shared" si="2"/>
        <v>126822.54000000001</v>
      </c>
      <c r="G171" s="3">
        <v>121214.42</v>
      </c>
    </row>
    <row r="172" spans="1:7" x14ac:dyDescent="0.25">
      <c r="A172">
        <v>535</v>
      </c>
      <c r="B172">
        <v>1</v>
      </c>
      <c r="C172" t="s">
        <v>528</v>
      </c>
      <c r="D172" s="3">
        <v>563129.46</v>
      </c>
      <c r="E172" s="3">
        <v>509902.98000000004</v>
      </c>
      <c r="F172" s="3">
        <f t="shared" si="2"/>
        <v>1073032.44</v>
      </c>
      <c r="G172" s="3">
        <v>1025582.69</v>
      </c>
    </row>
    <row r="173" spans="1:7" x14ac:dyDescent="0.25">
      <c r="A173">
        <v>542</v>
      </c>
      <c r="B173">
        <v>1</v>
      </c>
      <c r="C173" t="s">
        <v>540</v>
      </c>
      <c r="D173" s="3">
        <v>15452.25</v>
      </c>
      <c r="E173" s="3">
        <v>10978.53</v>
      </c>
      <c r="F173" s="3">
        <f t="shared" si="2"/>
        <v>26430.78</v>
      </c>
      <c r="G173" s="3">
        <v>25262</v>
      </c>
    </row>
    <row r="174" spans="1:7" x14ac:dyDescent="0.25">
      <c r="A174">
        <v>544</v>
      </c>
      <c r="B174">
        <v>1</v>
      </c>
      <c r="C174" t="s">
        <v>542</v>
      </c>
      <c r="D174" s="3">
        <v>58632.98</v>
      </c>
      <c r="E174" s="3">
        <v>62310.15</v>
      </c>
      <c r="F174" s="3">
        <f t="shared" si="2"/>
        <v>120943.13</v>
      </c>
      <c r="G174" s="3">
        <v>115595</v>
      </c>
    </row>
    <row r="175" spans="1:7" x14ac:dyDescent="0.25">
      <c r="A175">
        <v>545</v>
      </c>
      <c r="B175">
        <v>1</v>
      </c>
      <c r="C175" t="s">
        <v>543</v>
      </c>
      <c r="D175" s="3">
        <v>13866.35</v>
      </c>
      <c r="E175" s="3">
        <v>13815.22</v>
      </c>
      <c r="F175" s="3">
        <f t="shared" si="2"/>
        <v>27681.57</v>
      </c>
      <c r="G175" s="3">
        <v>26457.48</v>
      </c>
    </row>
    <row r="176" spans="1:7" x14ac:dyDescent="0.25">
      <c r="A176">
        <v>547</v>
      </c>
      <c r="B176">
        <v>1</v>
      </c>
      <c r="C176" t="s">
        <v>545</v>
      </c>
      <c r="D176" s="3">
        <v>14869.78</v>
      </c>
      <c r="E176" s="3">
        <v>16408.39</v>
      </c>
      <c r="F176" s="3">
        <f t="shared" si="2"/>
        <v>31278.17</v>
      </c>
      <c r="G176" s="3">
        <v>29895.040000000001</v>
      </c>
    </row>
    <row r="177" spans="1:7" x14ac:dyDescent="0.25">
      <c r="A177">
        <v>548</v>
      </c>
      <c r="B177">
        <v>1</v>
      </c>
      <c r="C177" t="s">
        <v>547</v>
      </c>
      <c r="D177" s="3">
        <v>22288.22</v>
      </c>
      <c r="E177" s="3">
        <v>27454.14</v>
      </c>
      <c r="F177" s="3">
        <f t="shared" si="2"/>
        <v>49742.36</v>
      </c>
      <c r="G177" s="3">
        <v>47542.74</v>
      </c>
    </row>
    <row r="178" spans="1:7" x14ac:dyDescent="0.25">
      <c r="A178">
        <v>549</v>
      </c>
      <c r="B178">
        <v>1</v>
      </c>
      <c r="C178" t="s">
        <v>549</v>
      </c>
      <c r="D178" s="3">
        <v>35539.5</v>
      </c>
      <c r="E178" s="3">
        <v>37427.279999999999</v>
      </c>
      <c r="F178" s="3">
        <f t="shared" si="2"/>
        <v>72966.78</v>
      </c>
      <c r="G178" s="3">
        <v>69740.17</v>
      </c>
    </row>
    <row r="179" spans="1:7" x14ac:dyDescent="0.25">
      <c r="A179">
        <v>550</v>
      </c>
      <c r="B179">
        <v>1</v>
      </c>
      <c r="C179" t="s">
        <v>551</v>
      </c>
      <c r="D179" s="3">
        <v>21392.639999999999</v>
      </c>
      <c r="E179" s="3">
        <v>16171.59</v>
      </c>
      <c r="F179" s="3">
        <f t="shared" si="2"/>
        <v>37564.229999999996</v>
      </c>
      <c r="G179" s="3">
        <v>35903.129999999997</v>
      </c>
    </row>
    <row r="180" spans="1:7" x14ac:dyDescent="0.25">
      <c r="A180">
        <v>553</v>
      </c>
      <c r="B180">
        <v>1</v>
      </c>
      <c r="C180" t="s">
        <v>553</v>
      </c>
      <c r="D180" s="3">
        <v>23063.599999999999</v>
      </c>
      <c r="E180" s="3">
        <v>16253.54</v>
      </c>
      <c r="F180" s="3">
        <f t="shared" si="2"/>
        <v>39317.14</v>
      </c>
      <c r="G180" s="3">
        <v>37578.53</v>
      </c>
    </row>
    <row r="181" spans="1:7" x14ac:dyDescent="0.25">
      <c r="A181">
        <v>561</v>
      </c>
      <c r="B181">
        <v>1</v>
      </c>
      <c r="C181" t="s">
        <v>1201</v>
      </c>
      <c r="D181" s="3">
        <v>8570.14</v>
      </c>
      <c r="E181" s="3">
        <v>6592.6</v>
      </c>
      <c r="F181" s="3">
        <f t="shared" si="2"/>
        <v>15162.74</v>
      </c>
      <c r="G181" s="3">
        <v>14492.24</v>
      </c>
    </row>
    <row r="182" spans="1:7" x14ac:dyDescent="0.25">
      <c r="A182">
        <v>564</v>
      </c>
      <c r="B182">
        <v>1</v>
      </c>
      <c r="C182" t="s">
        <v>555</v>
      </c>
      <c r="D182" s="3">
        <v>57741.96</v>
      </c>
      <c r="E182" s="3">
        <v>41691.599999999999</v>
      </c>
      <c r="F182" s="3">
        <f t="shared" si="2"/>
        <v>99433.56</v>
      </c>
      <c r="G182" s="3">
        <v>95036.58</v>
      </c>
    </row>
    <row r="183" spans="1:7" x14ac:dyDescent="0.25">
      <c r="A183">
        <v>577</v>
      </c>
      <c r="B183">
        <v>1</v>
      </c>
      <c r="C183" t="s">
        <v>557</v>
      </c>
      <c r="D183" s="3">
        <v>13875.4</v>
      </c>
      <c r="E183" s="3">
        <v>8880.56</v>
      </c>
      <c r="F183" s="3">
        <f t="shared" si="2"/>
        <v>22755.96</v>
      </c>
      <c r="G183" s="3">
        <v>21749.69</v>
      </c>
    </row>
    <row r="184" spans="1:7" x14ac:dyDescent="0.25">
      <c r="A184">
        <v>578</v>
      </c>
      <c r="B184">
        <v>1</v>
      </c>
      <c r="C184" t="s">
        <v>559</v>
      </c>
      <c r="D184" s="3">
        <v>57623.01</v>
      </c>
      <c r="E184" s="3">
        <v>42031.199999999997</v>
      </c>
      <c r="F184" s="3">
        <f t="shared" si="2"/>
        <v>99654.209999999992</v>
      </c>
      <c r="G184" s="3">
        <v>95247.48</v>
      </c>
    </row>
    <row r="185" spans="1:7" x14ac:dyDescent="0.25">
      <c r="A185">
        <v>581</v>
      </c>
      <c r="B185">
        <v>1</v>
      </c>
      <c r="C185" t="s">
        <v>561</v>
      </c>
      <c r="D185" s="3">
        <v>10489.18</v>
      </c>
      <c r="E185" s="3">
        <v>7224.84</v>
      </c>
      <c r="F185" s="3">
        <f t="shared" si="2"/>
        <v>17714.02</v>
      </c>
      <c r="G185" s="3">
        <v>16930.7</v>
      </c>
    </row>
    <row r="186" spans="1:7" x14ac:dyDescent="0.25">
      <c r="A186">
        <v>592</v>
      </c>
      <c r="B186">
        <v>1</v>
      </c>
      <c r="C186" t="s">
        <v>1203</v>
      </c>
      <c r="D186" s="3">
        <v>3785.7</v>
      </c>
      <c r="E186" s="3">
        <v>5219.76</v>
      </c>
      <c r="F186" s="3">
        <f t="shared" si="2"/>
        <v>9005.4599999999991</v>
      </c>
      <c r="G186" s="3">
        <v>8607.24</v>
      </c>
    </row>
    <row r="187" spans="1:7" x14ac:dyDescent="0.25">
      <c r="A187">
        <v>593</v>
      </c>
      <c r="B187">
        <v>1</v>
      </c>
      <c r="C187" t="s">
        <v>563</v>
      </c>
      <c r="D187" s="3">
        <v>37229.4</v>
      </c>
      <c r="E187" s="3">
        <v>35487.360000000001</v>
      </c>
      <c r="F187" s="3">
        <f t="shared" si="2"/>
        <v>72716.760000000009</v>
      </c>
      <c r="G187" s="3">
        <v>69501.210000000006</v>
      </c>
    </row>
    <row r="188" spans="1:7" x14ac:dyDescent="0.25">
      <c r="A188">
        <v>595</v>
      </c>
      <c r="B188">
        <v>1</v>
      </c>
      <c r="C188" t="s">
        <v>564</v>
      </c>
      <c r="D188" s="3">
        <v>56030.239999999998</v>
      </c>
      <c r="E188" s="3">
        <v>43304.1</v>
      </c>
      <c r="F188" s="3">
        <f t="shared" si="2"/>
        <v>99334.34</v>
      </c>
      <c r="G188" s="3">
        <v>94941.75</v>
      </c>
    </row>
    <row r="189" spans="1:7" x14ac:dyDescent="0.25">
      <c r="A189">
        <v>599</v>
      </c>
      <c r="B189">
        <v>1</v>
      </c>
      <c r="C189" t="s">
        <v>566</v>
      </c>
      <c r="D189" s="3">
        <v>10335</v>
      </c>
      <c r="E189" s="3">
        <v>17506.32</v>
      </c>
      <c r="F189" s="3">
        <f t="shared" si="2"/>
        <v>27841.32</v>
      </c>
      <c r="G189" s="3">
        <v>26610.17</v>
      </c>
    </row>
    <row r="190" spans="1:7" x14ac:dyDescent="0.25">
      <c r="A190">
        <v>600</v>
      </c>
      <c r="B190">
        <v>1</v>
      </c>
      <c r="C190" t="s">
        <v>568</v>
      </c>
      <c r="D190" s="3">
        <v>6976.5</v>
      </c>
      <c r="E190" s="3">
        <v>7302.2</v>
      </c>
      <c r="F190" s="3">
        <f t="shared" si="2"/>
        <v>14278.7</v>
      </c>
      <c r="G190" s="3">
        <v>13647.29</v>
      </c>
    </row>
    <row r="191" spans="1:7" x14ac:dyDescent="0.25">
      <c r="A191">
        <v>601</v>
      </c>
      <c r="B191">
        <v>1</v>
      </c>
      <c r="C191" t="s">
        <v>570</v>
      </c>
      <c r="D191" s="3">
        <v>21876</v>
      </c>
      <c r="E191" s="3">
        <v>21946.61</v>
      </c>
      <c r="F191" s="3">
        <f t="shared" si="2"/>
        <v>43822.61</v>
      </c>
      <c r="G191" s="3">
        <v>41884.76</v>
      </c>
    </row>
    <row r="192" spans="1:7" x14ac:dyDescent="0.25">
      <c r="A192">
        <v>611</v>
      </c>
      <c r="B192">
        <v>1</v>
      </c>
      <c r="C192" t="s">
        <v>1205</v>
      </c>
      <c r="D192" s="3">
        <v>1968.56</v>
      </c>
      <c r="E192" s="3">
        <v>1287.1500000000001</v>
      </c>
      <c r="F192" s="3">
        <f t="shared" si="2"/>
        <v>3255.71</v>
      </c>
      <c r="G192" s="3">
        <v>3111.74</v>
      </c>
    </row>
    <row r="193" spans="1:7" x14ac:dyDescent="0.25">
      <c r="A193">
        <v>621</v>
      </c>
      <c r="B193">
        <v>1</v>
      </c>
      <c r="C193" t="s">
        <v>572</v>
      </c>
      <c r="D193" s="3">
        <v>317055.03999999998</v>
      </c>
      <c r="E193" s="3">
        <v>311334.69</v>
      </c>
      <c r="F193" s="3">
        <f t="shared" si="2"/>
        <v>628389.73</v>
      </c>
      <c r="G193" s="3">
        <v>600602.18999999994</v>
      </c>
    </row>
    <row r="194" spans="1:7" x14ac:dyDescent="0.25">
      <c r="A194">
        <v>622</v>
      </c>
      <c r="B194">
        <v>1</v>
      </c>
      <c r="C194" t="s">
        <v>579</v>
      </c>
      <c r="D194" s="3">
        <v>282471.02999999997</v>
      </c>
      <c r="E194" s="3">
        <v>291656.17000000004</v>
      </c>
      <c r="F194" s="3">
        <f t="shared" si="2"/>
        <v>574127.19999999995</v>
      </c>
      <c r="G194" s="3">
        <v>548739.16</v>
      </c>
    </row>
    <row r="195" spans="1:7" x14ac:dyDescent="0.25">
      <c r="A195">
        <v>623</v>
      </c>
      <c r="B195">
        <v>1</v>
      </c>
      <c r="C195" t="s">
        <v>589</v>
      </c>
      <c r="D195" s="3">
        <v>207735.06999999998</v>
      </c>
      <c r="E195" s="3">
        <v>201688.16</v>
      </c>
      <c r="F195" s="3">
        <f t="shared" si="2"/>
        <v>409423.23</v>
      </c>
      <c r="G195" s="3">
        <v>391318.44</v>
      </c>
    </row>
    <row r="196" spans="1:7" x14ac:dyDescent="0.25">
      <c r="A196">
        <v>624</v>
      </c>
      <c r="B196">
        <v>1</v>
      </c>
      <c r="C196" t="s">
        <v>596</v>
      </c>
      <c r="D196" s="3">
        <v>288454.14</v>
      </c>
      <c r="E196" s="3">
        <v>266976.06</v>
      </c>
      <c r="F196" s="3">
        <f t="shared" si="2"/>
        <v>555430.19999999995</v>
      </c>
      <c r="G196" s="3">
        <v>530868.93999999994</v>
      </c>
    </row>
    <row r="197" spans="1:7" x14ac:dyDescent="0.25">
      <c r="A197">
        <v>625</v>
      </c>
      <c r="B197">
        <v>1</v>
      </c>
      <c r="C197" t="s">
        <v>1211</v>
      </c>
      <c r="D197" s="3">
        <v>923787.00000000012</v>
      </c>
      <c r="E197" s="3">
        <v>1113906.23</v>
      </c>
      <c r="F197" s="3">
        <f t="shared" si="2"/>
        <v>2037693.23</v>
      </c>
      <c r="G197" s="3">
        <v>1947585.95</v>
      </c>
    </row>
    <row r="198" spans="1:7" x14ac:dyDescent="0.25">
      <c r="A198">
        <v>628</v>
      </c>
      <c r="B198">
        <v>1</v>
      </c>
      <c r="C198" t="s">
        <v>653</v>
      </c>
      <c r="D198" s="3">
        <v>10376.5</v>
      </c>
      <c r="E198" s="3">
        <v>13888.68</v>
      </c>
      <c r="F198" s="3">
        <f t="shared" si="2"/>
        <v>24265.18</v>
      </c>
      <c r="G198" s="3">
        <v>23192.17</v>
      </c>
    </row>
    <row r="199" spans="1:7" x14ac:dyDescent="0.25">
      <c r="A199">
        <v>630</v>
      </c>
      <c r="B199">
        <v>1</v>
      </c>
      <c r="C199" t="s">
        <v>655</v>
      </c>
      <c r="D199" s="3">
        <v>14821.46</v>
      </c>
      <c r="E199" s="3">
        <v>7746.25</v>
      </c>
      <c r="F199" s="3">
        <f t="shared" si="2"/>
        <v>22567.71</v>
      </c>
      <c r="G199" s="3">
        <v>21569.759999999998</v>
      </c>
    </row>
    <row r="200" spans="1:7" x14ac:dyDescent="0.25">
      <c r="A200">
        <v>640</v>
      </c>
      <c r="B200">
        <v>1</v>
      </c>
      <c r="C200" t="s">
        <v>657</v>
      </c>
      <c r="D200" s="3">
        <v>12781.2</v>
      </c>
      <c r="E200" s="3">
        <v>11148.94</v>
      </c>
      <c r="F200" s="3">
        <f t="shared" si="2"/>
        <v>23930.14</v>
      </c>
      <c r="G200" s="3">
        <v>22871.94</v>
      </c>
    </row>
    <row r="201" spans="1:7" x14ac:dyDescent="0.25">
      <c r="A201">
        <v>656</v>
      </c>
      <c r="B201">
        <v>1</v>
      </c>
      <c r="C201" t="s">
        <v>659</v>
      </c>
      <c r="D201" s="3">
        <v>100141.95000000001</v>
      </c>
      <c r="E201" s="3">
        <v>118504.20999999999</v>
      </c>
      <c r="F201" s="3">
        <f t="shared" si="2"/>
        <v>218646.16</v>
      </c>
      <c r="G201" s="3">
        <v>208977.57</v>
      </c>
    </row>
    <row r="202" spans="1:7" x14ac:dyDescent="0.25">
      <c r="A202">
        <v>659</v>
      </c>
      <c r="B202">
        <v>1</v>
      </c>
      <c r="C202" t="s">
        <v>660</v>
      </c>
      <c r="D202" s="3">
        <v>115614.83</v>
      </c>
      <c r="E202" s="3">
        <v>118122.45999999999</v>
      </c>
      <c r="F202" s="3">
        <f t="shared" si="2"/>
        <v>233737.28999999998</v>
      </c>
      <c r="G202" s="3">
        <v>223401.37</v>
      </c>
    </row>
    <row r="203" spans="1:7" x14ac:dyDescent="0.25">
      <c r="A203">
        <v>671</v>
      </c>
      <c r="B203">
        <v>1</v>
      </c>
      <c r="C203" t="s">
        <v>663</v>
      </c>
      <c r="D203" s="3">
        <v>15403.28</v>
      </c>
      <c r="E203" s="3">
        <v>9217.5</v>
      </c>
      <c r="F203" s="3">
        <f t="shared" si="2"/>
        <v>24620.78</v>
      </c>
      <c r="G203" s="3">
        <v>23532.04</v>
      </c>
    </row>
    <row r="204" spans="1:7" x14ac:dyDescent="0.25">
      <c r="A204">
        <v>676</v>
      </c>
      <c r="B204">
        <v>1</v>
      </c>
      <c r="C204" t="s">
        <v>665</v>
      </c>
      <c r="D204" s="3">
        <v>11563.68</v>
      </c>
      <c r="E204" s="3">
        <v>5950.49</v>
      </c>
      <c r="F204" s="3">
        <f t="shared" si="2"/>
        <v>17514.169999999998</v>
      </c>
      <c r="G204" s="3">
        <v>16739.689999999999</v>
      </c>
    </row>
    <row r="205" spans="1:7" x14ac:dyDescent="0.25">
      <c r="A205">
        <v>682</v>
      </c>
      <c r="B205">
        <v>1</v>
      </c>
      <c r="C205" t="s">
        <v>667</v>
      </c>
      <c r="D205" s="3">
        <v>42201.25</v>
      </c>
      <c r="E205" s="3">
        <v>33083.699999999997</v>
      </c>
      <c r="F205" s="3">
        <f t="shared" ref="F205:F268" si="3">D205+E205</f>
        <v>75284.95</v>
      </c>
      <c r="G205" s="3">
        <v>71955.83</v>
      </c>
    </row>
    <row r="206" spans="1:7" x14ac:dyDescent="0.25">
      <c r="A206">
        <v>690</v>
      </c>
      <c r="B206">
        <v>1</v>
      </c>
      <c r="C206" t="s">
        <v>667</v>
      </c>
      <c r="D206" s="3">
        <v>40301.94</v>
      </c>
      <c r="E206" s="3">
        <v>34980.33</v>
      </c>
      <c r="F206" s="3">
        <f t="shared" si="3"/>
        <v>75282.27</v>
      </c>
      <c r="G206" s="3">
        <v>71953.27</v>
      </c>
    </row>
    <row r="207" spans="1:7" x14ac:dyDescent="0.25">
      <c r="A207">
        <v>695</v>
      </c>
      <c r="B207">
        <v>1</v>
      </c>
      <c r="C207" t="s">
        <v>671</v>
      </c>
      <c r="D207" s="3">
        <v>24504.6</v>
      </c>
      <c r="E207" s="3">
        <v>23935.52</v>
      </c>
      <c r="F207" s="3">
        <f t="shared" si="3"/>
        <v>48440.119999999995</v>
      </c>
      <c r="G207" s="3">
        <v>46298.09</v>
      </c>
    </row>
    <row r="208" spans="1:7" x14ac:dyDescent="0.25">
      <c r="A208">
        <v>696</v>
      </c>
      <c r="B208">
        <v>1</v>
      </c>
      <c r="C208" t="s">
        <v>674</v>
      </c>
      <c r="D208" s="3">
        <v>16469.599999999999</v>
      </c>
      <c r="E208" s="3">
        <v>16253.18</v>
      </c>
      <c r="F208" s="3">
        <f t="shared" si="3"/>
        <v>32722.78</v>
      </c>
      <c r="G208" s="3">
        <v>31275.77</v>
      </c>
    </row>
    <row r="209" spans="1:7" x14ac:dyDescent="0.25">
      <c r="A209">
        <v>698</v>
      </c>
      <c r="B209">
        <v>1</v>
      </c>
      <c r="C209" t="s">
        <v>675</v>
      </c>
      <c r="D209" s="3">
        <v>7618.75</v>
      </c>
      <c r="E209" s="3">
        <v>7039.38</v>
      </c>
      <c r="F209" s="3">
        <f t="shared" si="3"/>
        <v>14658.130000000001</v>
      </c>
      <c r="G209" s="3">
        <v>14009.94</v>
      </c>
    </row>
    <row r="210" spans="1:7" x14ac:dyDescent="0.25">
      <c r="A210">
        <v>700</v>
      </c>
      <c r="B210">
        <v>1</v>
      </c>
      <c r="C210" t="s">
        <v>677</v>
      </c>
      <c r="D210" s="3">
        <v>68763.5</v>
      </c>
      <c r="E210" s="3">
        <v>59454.27</v>
      </c>
      <c r="F210" s="3">
        <f t="shared" si="3"/>
        <v>128217.76999999999</v>
      </c>
      <c r="G210" s="3">
        <v>122547.95</v>
      </c>
    </row>
    <row r="211" spans="1:7" x14ac:dyDescent="0.25">
      <c r="A211">
        <v>701</v>
      </c>
      <c r="B211">
        <v>1</v>
      </c>
      <c r="C211" t="s">
        <v>680</v>
      </c>
      <c r="D211" s="3">
        <v>75051.92</v>
      </c>
      <c r="E211" s="3">
        <v>56006.61</v>
      </c>
      <c r="F211" s="3">
        <f t="shared" si="3"/>
        <v>131058.53</v>
      </c>
      <c r="G211" s="3">
        <v>125263.09</v>
      </c>
    </row>
    <row r="212" spans="1:7" x14ac:dyDescent="0.25">
      <c r="A212">
        <v>704</v>
      </c>
      <c r="B212">
        <v>1</v>
      </c>
      <c r="C212" t="s">
        <v>681</v>
      </c>
      <c r="D212" s="3">
        <v>63141.2</v>
      </c>
      <c r="E212" s="3">
        <v>45288.6</v>
      </c>
      <c r="F212" s="3">
        <f t="shared" si="3"/>
        <v>108429.79999999999</v>
      </c>
      <c r="G212" s="3">
        <v>103635.01</v>
      </c>
    </row>
    <row r="213" spans="1:7" x14ac:dyDescent="0.25">
      <c r="A213">
        <v>706</v>
      </c>
      <c r="B213">
        <v>1</v>
      </c>
      <c r="C213" t="s">
        <v>684</v>
      </c>
      <c r="D213" s="3">
        <v>55905</v>
      </c>
      <c r="E213" s="3">
        <v>36902.32</v>
      </c>
      <c r="F213" s="3">
        <f t="shared" si="3"/>
        <v>92807.32</v>
      </c>
      <c r="G213" s="3">
        <v>88703.360000000001</v>
      </c>
    </row>
    <row r="214" spans="1:7" x14ac:dyDescent="0.25">
      <c r="A214">
        <v>707</v>
      </c>
      <c r="B214">
        <v>1</v>
      </c>
      <c r="C214" t="s">
        <v>1225</v>
      </c>
      <c r="D214" s="3">
        <v>4997.1899999999996</v>
      </c>
      <c r="E214" s="3">
        <v>2677.92</v>
      </c>
      <c r="F214" s="3">
        <f t="shared" si="3"/>
        <v>7675.11</v>
      </c>
      <c r="G214" s="3">
        <v>7335.71</v>
      </c>
    </row>
    <row r="215" spans="1:7" x14ac:dyDescent="0.25">
      <c r="A215">
        <v>709</v>
      </c>
      <c r="B215">
        <v>1</v>
      </c>
      <c r="C215" t="s">
        <v>1227</v>
      </c>
      <c r="D215" s="3">
        <v>269681.97000000009</v>
      </c>
      <c r="E215" s="3">
        <v>242871.25999999998</v>
      </c>
      <c r="F215" s="3">
        <f t="shared" si="3"/>
        <v>512553.2300000001</v>
      </c>
      <c r="G215" s="3">
        <v>489888</v>
      </c>
    </row>
    <row r="216" spans="1:7" x14ac:dyDescent="0.25">
      <c r="A216">
        <v>712</v>
      </c>
      <c r="B216">
        <v>1</v>
      </c>
      <c r="C216" t="s">
        <v>695</v>
      </c>
      <c r="D216" s="3">
        <v>14497</v>
      </c>
      <c r="E216" s="3">
        <v>18460.8</v>
      </c>
      <c r="F216" s="3">
        <f t="shared" si="3"/>
        <v>32957.800000000003</v>
      </c>
      <c r="G216" s="3">
        <v>31500.400000000001</v>
      </c>
    </row>
    <row r="217" spans="1:7" x14ac:dyDescent="0.25">
      <c r="A217">
        <v>716</v>
      </c>
      <c r="B217">
        <v>1</v>
      </c>
      <c r="C217" t="s">
        <v>697</v>
      </c>
      <c r="D217" s="3">
        <v>54040.68</v>
      </c>
      <c r="E217" s="3">
        <v>47635.15</v>
      </c>
      <c r="F217" s="3">
        <f t="shared" si="3"/>
        <v>101675.83</v>
      </c>
      <c r="G217" s="3">
        <v>97179.7</v>
      </c>
    </row>
    <row r="218" spans="1:7" x14ac:dyDescent="0.25">
      <c r="A218">
        <v>717</v>
      </c>
      <c r="B218">
        <v>1</v>
      </c>
      <c r="C218" t="s">
        <v>699</v>
      </c>
      <c r="D218" s="3">
        <v>58086.6</v>
      </c>
      <c r="E218" s="3">
        <v>47970.720000000001</v>
      </c>
      <c r="F218" s="3">
        <f t="shared" si="3"/>
        <v>106057.32</v>
      </c>
      <c r="G218" s="3">
        <v>101367.44</v>
      </c>
    </row>
    <row r="219" spans="1:7" x14ac:dyDescent="0.25">
      <c r="A219">
        <v>719</v>
      </c>
      <c r="B219">
        <v>1</v>
      </c>
      <c r="C219" t="s">
        <v>701</v>
      </c>
      <c r="D219" s="3">
        <v>255190.01</v>
      </c>
      <c r="E219" s="3">
        <v>234594.65999999997</v>
      </c>
      <c r="F219" s="3">
        <f t="shared" si="3"/>
        <v>489784.67</v>
      </c>
      <c r="G219" s="3">
        <v>468126.27</v>
      </c>
    </row>
    <row r="220" spans="1:7" x14ac:dyDescent="0.25">
      <c r="A220">
        <v>720</v>
      </c>
      <c r="B220">
        <v>1</v>
      </c>
      <c r="C220" t="s">
        <v>708</v>
      </c>
      <c r="D220" s="3">
        <v>265952.78000000003</v>
      </c>
      <c r="E220" s="3">
        <v>257016.3</v>
      </c>
      <c r="F220" s="3">
        <f t="shared" si="3"/>
        <v>522969.08</v>
      </c>
      <c r="G220" s="3">
        <v>499843.26</v>
      </c>
    </row>
    <row r="221" spans="1:7" x14ac:dyDescent="0.25">
      <c r="A221">
        <v>721</v>
      </c>
      <c r="B221">
        <v>1</v>
      </c>
      <c r="C221" t="s">
        <v>714</v>
      </c>
      <c r="D221" s="3">
        <v>133908.28</v>
      </c>
      <c r="E221" s="3">
        <v>116977.74</v>
      </c>
      <c r="F221" s="3">
        <f t="shared" si="3"/>
        <v>250886.02000000002</v>
      </c>
      <c r="G221" s="3">
        <v>239791.78</v>
      </c>
    </row>
    <row r="222" spans="1:7" x14ac:dyDescent="0.25">
      <c r="A222">
        <v>726</v>
      </c>
      <c r="B222">
        <v>1</v>
      </c>
      <c r="C222" t="s">
        <v>718</v>
      </c>
      <c r="D222" s="3">
        <v>100961.02</v>
      </c>
      <c r="E222" s="3">
        <v>93166.97</v>
      </c>
      <c r="F222" s="3">
        <f t="shared" si="3"/>
        <v>194127.99</v>
      </c>
      <c r="G222" s="3">
        <v>185543.6</v>
      </c>
    </row>
    <row r="223" spans="1:7" x14ac:dyDescent="0.25">
      <c r="A223">
        <v>727</v>
      </c>
      <c r="B223">
        <v>1</v>
      </c>
      <c r="C223" t="s">
        <v>720</v>
      </c>
      <c r="D223" s="3">
        <v>112259.76000000001</v>
      </c>
      <c r="E223" s="3">
        <v>105554.48000000001</v>
      </c>
      <c r="F223" s="3">
        <f t="shared" si="3"/>
        <v>217814.24000000002</v>
      </c>
      <c r="G223" s="3">
        <v>208182.44</v>
      </c>
    </row>
    <row r="224" spans="1:7" x14ac:dyDescent="0.25">
      <c r="A224">
        <v>728</v>
      </c>
      <c r="B224">
        <v>1</v>
      </c>
      <c r="C224" t="s">
        <v>723</v>
      </c>
      <c r="D224" s="3">
        <v>447077.20999999996</v>
      </c>
      <c r="E224" s="3">
        <v>403440.74999999994</v>
      </c>
      <c r="F224" s="3">
        <f t="shared" si="3"/>
        <v>850517.96</v>
      </c>
      <c r="G224" s="3">
        <v>812907.85</v>
      </c>
    </row>
    <row r="225" spans="1:7" x14ac:dyDescent="0.25">
      <c r="A225">
        <v>738</v>
      </c>
      <c r="B225">
        <v>1</v>
      </c>
      <c r="C225" t="s">
        <v>730</v>
      </c>
      <c r="D225" s="3">
        <v>41881.620000000003</v>
      </c>
      <c r="E225" s="3">
        <v>29975.99</v>
      </c>
      <c r="F225" s="3">
        <f t="shared" si="3"/>
        <v>71857.61</v>
      </c>
      <c r="G225" s="3">
        <v>68680.05</v>
      </c>
    </row>
    <row r="226" spans="1:7" x14ac:dyDescent="0.25">
      <c r="A226">
        <v>739</v>
      </c>
      <c r="B226">
        <v>1</v>
      </c>
      <c r="C226" t="s">
        <v>732</v>
      </c>
      <c r="D226" s="3">
        <v>19898.22</v>
      </c>
      <c r="E226" s="3">
        <v>16130.4</v>
      </c>
      <c r="F226" s="3">
        <f t="shared" si="3"/>
        <v>36028.620000000003</v>
      </c>
      <c r="G226" s="3">
        <v>34435.43</v>
      </c>
    </row>
    <row r="227" spans="1:7" x14ac:dyDescent="0.25">
      <c r="A227">
        <v>740</v>
      </c>
      <c r="B227">
        <v>1</v>
      </c>
      <c r="C227" t="s">
        <v>734</v>
      </c>
      <c r="D227" s="3">
        <v>29608.560000000001</v>
      </c>
      <c r="E227" s="3">
        <v>37554.44</v>
      </c>
      <c r="F227" s="3">
        <f t="shared" si="3"/>
        <v>67163</v>
      </c>
      <c r="G227" s="3">
        <v>64193.04</v>
      </c>
    </row>
    <row r="228" spans="1:7" x14ac:dyDescent="0.25">
      <c r="A228">
        <v>741</v>
      </c>
      <c r="B228">
        <v>1</v>
      </c>
      <c r="C228" t="s">
        <v>736</v>
      </c>
      <c r="D228" s="3">
        <v>30910.54</v>
      </c>
      <c r="E228" s="3">
        <v>29712.34</v>
      </c>
      <c r="F228" s="3">
        <f t="shared" si="3"/>
        <v>60622.880000000005</v>
      </c>
      <c r="G228" s="3">
        <v>57942.12</v>
      </c>
    </row>
    <row r="229" spans="1:7" x14ac:dyDescent="0.25">
      <c r="A229">
        <v>742</v>
      </c>
      <c r="B229">
        <v>1</v>
      </c>
      <c r="C229" t="s">
        <v>738</v>
      </c>
      <c r="D229" s="3">
        <v>267412.30000000005</v>
      </c>
      <c r="E229" s="3">
        <v>266977.48</v>
      </c>
      <c r="F229" s="3">
        <f t="shared" si="3"/>
        <v>534389.78</v>
      </c>
      <c r="G229" s="3">
        <v>510758.94</v>
      </c>
    </row>
    <row r="230" spans="1:7" x14ac:dyDescent="0.25">
      <c r="A230">
        <v>743</v>
      </c>
      <c r="B230">
        <v>1</v>
      </c>
      <c r="C230" t="s">
        <v>743</v>
      </c>
      <c r="D230" s="3">
        <v>26658.22</v>
      </c>
      <c r="E230" s="3">
        <v>26520.78</v>
      </c>
      <c r="F230" s="3">
        <f t="shared" si="3"/>
        <v>53179</v>
      </c>
      <c r="G230" s="3">
        <v>50827.41</v>
      </c>
    </row>
    <row r="231" spans="1:7" x14ac:dyDescent="0.25">
      <c r="A231">
        <v>745</v>
      </c>
      <c r="B231">
        <v>1</v>
      </c>
      <c r="C231" t="s">
        <v>745</v>
      </c>
      <c r="D231" s="3">
        <v>52436.54</v>
      </c>
      <c r="E231" s="3">
        <v>50892.18</v>
      </c>
      <c r="F231" s="3">
        <f t="shared" si="3"/>
        <v>103328.72</v>
      </c>
      <c r="G231" s="3">
        <v>98759.5</v>
      </c>
    </row>
    <row r="232" spans="1:7" x14ac:dyDescent="0.25">
      <c r="A232">
        <v>748</v>
      </c>
      <c r="B232">
        <v>1</v>
      </c>
      <c r="C232" t="s">
        <v>748</v>
      </c>
      <c r="D232" s="3">
        <v>132888.79999999999</v>
      </c>
      <c r="E232" s="3">
        <v>109240.43</v>
      </c>
      <c r="F232" s="3">
        <f t="shared" si="3"/>
        <v>242129.22999999998</v>
      </c>
      <c r="G232" s="3">
        <v>231422.22</v>
      </c>
    </row>
    <row r="233" spans="1:7" x14ac:dyDescent="0.25">
      <c r="A233">
        <v>750</v>
      </c>
      <c r="B233">
        <v>1</v>
      </c>
      <c r="C233" t="s">
        <v>750</v>
      </c>
      <c r="D233" s="3">
        <v>53539.42</v>
      </c>
      <c r="E233" s="3">
        <v>49116.69</v>
      </c>
      <c r="F233" s="3">
        <f t="shared" si="3"/>
        <v>102656.11</v>
      </c>
      <c r="G233" s="3">
        <v>98116.63</v>
      </c>
    </row>
    <row r="234" spans="1:7" x14ac:dyDescent="0.25">
      <c r="A234">
        <v>756</v>
      </c>
      <c r="B234">
        <v>1</v>
      </c>
      <c r="C234" t="s">
        <v>754</v>
      </c>
      <c r="D234" s="3">
        <v>22716.65</v>
      </c>
      <c r="E234" s="3">
        <v>20034.14</v>
      </c>
      <c r="F234" s="3">
        <f t="shared" si="3"/>
        <v>42750.79</v>
      </c>
      <c r="G234" s="3">
        <v>40860.339999999997</v>
      </c>
    </row>
    <row r="235" spans="1:7" x14ac:dyDescent="0.25">
      <c r="A235">
        <v>761</v>
      </c>
      <c r="B235">
        <v>1</v>
      </c>
      <c r="C235" t="s">
        <v>756</v>
      </c>
      <c r="D235" s="3">
        <v>142762.52000000002</v>
      </c>
      <c r="E235" s="3">
        <v>123774.6</v>
      </c>
      <c r="F235" s="3">
        <f t="shared" si="3"/>
        <v>266537.12</v>
      </c>
      <c r="G235" s="3">
        <v>254750.78</v>
      </c>
    </row>
    <row r="236" spans="1:7" x14ac:dyDescent="0.25">
      <c r="A236">
        <v>763</v>
      </c>
      <c r="B236">
        <v>1</v>
      </c>
      <c r="C236" t="s">
        <v>757</v>
      </c>
      <c r="D236" s="3">
        <v>28222.5</v>
      </c>
      <c r="E236" s="3">
        <v>31525.200000000001</v>
      </c>
      <c r="F236" s="3">
        <f t="shared" si="3"/>
        <v>59747.7</v>
      </c>
      <c r="G236" s="3">
        <v>57105.64</v>
      </c>
    </row>
    <row r="237" spans="1:7" x14ac:dyDescent="0.25">
      <c r="A237">
        <v>768</v>
      </c>
      <c r="B237">
        <v>1</v>
      </c>
      <c r="C237" t="s">
        <v>759</v>
      </c>
      <c r="D237" s="3">
        <v>10902.96</v>
      </c>
      <c r="E237" s="3">
        <v>8644.4599999999991</v>
      </c>
      <c r="F237" s="3">
        <f t="shared" si="3"/>
        <v>19547.419999999998</v>
      </c>
      <c r="G237" s="3">
        <v>18683.03</v>
      </c>
    </row>
    <row r="238" spans="1:7" x14ac:dyDescent="0.25">
      <c r="A238">
        <v>769</v>
      </c>
      <c r="B238">
        <v>1</v>
      </c>
      <c r="C238" t="s">
        <v>761</v>
      </c>
      <c r="D238" s="3">
        <v>31936.2</v>
      </c>
      <c r="E238" s="3">
        <v>29934</v>
      </c>
      <c r="F238" s="3">
        <f t="shared" si="3"/>
        <v>61870.2</v>
      </c>
      <c r="G238" s="3">
        <v>59134.28</v>
      </c>
    </row>
    <row r="239" spans="1:7" x14ac:dyDescent="0.25">
      <c r="A239">
        <v>771</v>
      </c>
      <c r="B239">
        <v>1</v>
      </c>
      <c r="C239" t="s">
        <v>1235</v>
      </c>
      <c r="D239" s="3">
        <v>3485.79</v>
      </c>
      <c r="E239" s="3">
        <v>4081</v>
      </c>
      <c r="F239" s="3">
        <f t="shared" si="3"/>
        <v>7566.79</v>
      </c>
      <c r="G239" s="3">
        <v>7232.18</v>
      </c>
    </row>
    <row r="240" spans="1:7" x14ac:dyDescent="0.25">
      <c r="A240">
        <v>775</v>
      </c>
      <c r="B240">
        <v>1</v>
      </c>
      <c r="C240" t="s">
        <v>763</v>
      </c>
      <c r="D240" s="3">
        <v>20009.7</v>
      </c>
      <c r="E240" s="3">
        <v>15651.65</v>
      </c>
      <c r="F240" s="3">
        <f t="shared" si="3"/>
        <v>35661.35</v>
      </c>
      <c r="G240" s="3">
        <v>34084.400000000001</v>
      </c>
    </row>
    <row r="241" spans="1:7" x14ac:dyDescent="0.25">
      <c r="A241">
        <v>777</v>
      </c>
      <c r="B241">
        <v>1</v>
      </c>
      <c r="C241" t="s">
        <v>765</v>
      </c>
      <c r="D241" s="3">
        <v>36774.5</v>
      </c>
      <c r="E241" s="3">
        <v>24625.8</v>
      </c>
      <c r="F241" s="3">
        <f t="shared" si="3"/>
        <v>61400.3</v>
      </c>
      <c r="G241" s="3">
        <v>58685.16</v>
      </c>
    </row>
    <row r="242" spans="1:7" x14ac:dyDescent="0.25">
      <c r="A242">
        <v>786</v>
      </c>
      <c r="B242">
        <v>1</v>
      </c>
      <c r="C242" t="s">
        <v>767</v>
      </c>
      <c r="D242" s="3">
        <v>11613.78</v>
      </c>
      <c r="E242" s="3">
        <v>8479.92</v>
      </c>
      <c r="F242" s="3">
        <f t="shared" si="3"/>
        <v>20093.7</v>
      </c>
      <c r="G242" s="3">
        <v>19205.150000000001</v>
      </c>
    </row>
    <row r="243" spans="1:7" x14ac:dyDescent="0.25">
      <c r="A243">
        <v>787</v>
      </c>
      <c r="B243">
        <v>1</v>
      </c>
      <c r="C243" t="s">
        <v>769</v>
      </c>
      <c r="D243" s="3">
        <v>11123.58</v>
      </c>
      <c r="E243" s="3">
        <v>11080.61</v>
      </c>
      <c r="F243" s="3">
        <f t="shared" si="3"/>
        <v>22204.190000000002</v>
      </c>
      <c r="G243" s="3">
        <v>21222.32</v>
      </c>
    </row>
    <row r="244" spans="1:7" x14ac:dyDescent="0.25">
      <c r="A244">
        <v>801</v>
      </c>
      <c r="B244">
        <v>1</v>
      </c>
      <c r="C244" t="s">
        <v>1239</v>
      </c>
      <c r="D244" s="3">
        <v>6057.12</v>
      </c>
      <c r="E244" s="3">
        <v>5010.96</v>
      </c>
      <c r="F244" s="3">
        <f t="shared" si="3"/>
        <v>11068.08</v>
      </c>
      <c r="G244" s="3">
        <v>10578.65</v>
      </c>
    </row>
    <row r="245" spans="1:7" x14ac:dyDescent="0.25">
      <c r="A245">
        <v>803</v>
      </c>
      <c r="B245">
        <v>1</v>
      </c>
      <c r="C245" t="s">
        <v>771</v>
      </c>
      <c r="D245" s="3">
        <v>13200.22</v>
      </c>
      <c r="E245" s="3">
        <v>10407.36</v>
      </c>
      <c r="F245" s="3">
        <f t="shared" si="3"/>
        <v>23607.58</v>
      </c>
      <c r="G245" s="3">
        <v>22563.65</v>
      </c>
    </row>
    <row r="246" spans="1:7" x14ac:dyDescent="0.25">
      <c r="A246">
        <v>811</v>
      </c>
      <c r="B246">
        <v>1</v>
      </c>
      <c r="C246" t="s">
        <v>772</v>
      </c>
      <c r="D246" s="3">
        <v>16167.34</v>
      </c>
      <c r="E246" s="3">
        <v>19552.5</v>
      </c>
      <c r="F246" s="3">
        <f t="shared" si="3"/>
        <v>35719.839999999997</v>
      </c>
      <c r="G246" s="3">
        <v>34140.300000000003</v>
      </c>
    </row>
    <row r="247" spans="1:7" x14ac:dyDescent="0.25">
      <c r="A247">
        <v>813</v>
      </c>
      <c r="B247">
        <v>1</v>
      </c>
      <c r="C247" t="s">
        <v>774</v>
      </c>
      <c r="D247" s="3">
        <v>39771.599999999999</v>
      </c>
      <c r="E247" s="3">
        <v>35418.480000000003</v>
      </c>
      <c r="F247" s="3">
        <f t="shared" si="3"/>
        <v>75190.080000000002</v>
      </c>
      <c r="G247" s="3">
        <v>71865.16</v>
      </c>
    </row>
    <row r="248" spans="1:7" x14ac:dyDescent="0.25">
      <c r="A248">
        <v>818</v>
      </c>
      <c r="B248">
        <v>1</v>
      </c>
      <c r="C248" t="s">
        <v>776</v>
      </c>
      <c r="D248" s="3">
        <v>14917.98</v>
      </c>
      <c r="E248" s="3">
        <v>14298.9</v>
      </c>
      <c r="F248" s="3">
        <f t="shared" si="3"/>
        <v>29216.879999999997</v>
      </c>
      <c r="G248" s="3">
        <v>27924.9</v>
      </c>
    </row>
    <row r="249" spans="1:7" x14ac:dyDescent="0.25">
      <c r="A249">
        <v>820</v>
      </c>
      <c r="B249">
        <v>1</v>
      </c>
      <c r="C249" t="s">
        <v>778</v>
      </c>
      <c r="D249" s="3">
        <v>15883.14</v>
      </c>
      <c r="E249" s="3">
        <v>15309.66</v>
      </c>
      <c r="F249" s="3">
        <f t="shared" si="3"/>
        <v>31192.799999999999</v>
      </c>
      <c r="G249" s="3">
        <v>29813.45</v>
      </c>
    </row>
    <row r="250" spans="1:7" x14ac:dyDescent="0.25">
      <c r="A250">
        <v>821</v>
      </c>
      <c r="B250">
        <v>1</v>
      </c>
      <c r="C250" t="s">
        <v>780</v>
      </c>
      <c r="D250" s="3">
        <v>34450.26</v>
      </c>
      <c r="E250" s="3">
        <v>24447.599999999999</v>
      </c>
      <c r="F250" s="3">
        <f t="shared" si="3"/>
        <v>58897.86</v>
      </c>
      <c r="G250" s="3">
        <v>56293.38</v>
      </c>
    </row>
    <row r="251" spans="1:7" x14ac:dyDescent="0.25">
      <c r="A251">
        <v>829</v>
      </c>
      <c r="B251">
        <v>1</v>
      </c>
      <c r="C251" t="s">
        <v>782</v>
      </c>
      <c r="D251" s="3">
        <v>55963.6</v>
      </c>
      <c r="E251" s="3">
        <v>49338.9</v>
      </c>
      <c r="F251" s="3">
        <f t="shared" si="3"/>
        <v>105302.5</v>
      </c>
      <c r="G251" s="3">
        <v>100646</v>
      </c>
    </row>
    <row r="252" spans="1:7" x14ac:dyDescent="0.25">
      <c r="A252">
        <v>831</v>
      </c>
      <c r="B252">
        <v>1</v>
      </c>
      <c r="C252" t="s">
        <v>785</v>
      </c>
      <c r="D252" s="3">
        <v>228357.35000000003</v>
      </c>
      <c r="E252" s="3">
        <v>199314.65999999995</v>
      </c>
      <c r="F252" s="3">
        <f t="shared" si="3"/>
        <v>427672.01</v>
      </c>
      <c r="G252" s="3">
        <v>408760.25</v>
      </c>
    </row>
    <row r="253" spans="1:7" x14ac:dyDescent="0.25">
      <c r="A253">
        <v>832</v>
      </c>
      <c r="B253">
        <v>1</v>
      </c>
      <c r="C253" t="s">
        <v>793</v>
      </c>
      <c r="D253" s="3">
        <v>100798.84</v>
      </c>
      <c r="E253" s="3">
        <v>101242</v>
      </c>
      <c r="F253" s="3">
        <f t="shared" si="3"/>
        <v>202040.84</v>
      </c>
      <c r="G253" s="3">
        <v>193106.55</v>
      </c>
    </row>
    <row r="254" spans="1:7" x14ac:dyDescent="0.25">
      <c r="A254">
        <v>833</v>
      </c>
      <c r="B254">
        <v>1</v>
      </c>
      <c r="C254" t="s">
        <v>795</v>
      </c>
      <c r="D254" s="3">
        <v>587061.33999999985</v>
      </c>
      <c r="E254" s="3">
        <v>539630.65</v>
      </c>
      <c r="F254" s="3">
        <f t="shared" si="3"/>
        <v>1126691.9899999998</v>
      </c>
      <c r="G254" s="3">
        <v>1076869.3999999999</v>
      </c>
    </row>
    <row r="255" spans="1:7" x14ac:dyDescent="0.25">
      <c r="A255">
        <v>834</v>
      </c>
      <c r="B255">
        <v>1</v>
      </c>
      <c r="C255" t="s">
        <v>811</v>
      </c>
      <c r="D255" s="3">
        <v>272705.16000000003</v>
      </c>
      <c r="E255" s="3">
        <v>239347.37000000002</v>
      </c>
      <c r="F255" s="3">
        <f t="shared" si="3"/>
        <v>512052.53</v>
      </c>
      <c r="G255" s="3">
        <v>489409.44</v>
      </c>
    </row>
    <row r="256" spans="1:7" x14ac:dyDescent="0.25">
      <c r="A256">
        <v>836</v>
      </c>
      <c r="B256">
        <v>1</v>
      </c>
      <c r="C256" t="s">
        <v>820</v>
      </c>
      <c r="D256" s="3">
        <v>3465.4</v>
      </c>
      <c r="E256" s="3">
        <v>9321.67</v>
      </c>
      <c r="F256" s="3">
        <f t="shared" si="3"/>
        <v>12787.07</v>
      </c>
      <c r="G256" s="3">
        <v>12221.62</v>
      </c>
    </row>
    <row r="257" spans="1:7" x14ac:dyDescent="0.25">
      <c r="A257">
        <v>837</v>
      </c>
      <c r="B257">
        <v>1</v>
      </c>
      <c r="C257" t="s">
        <v>822</v>
      </c>
      <c r="D257" s="3">
        <v>18732.560000000001</v>
      </c>
      <c r="E257" s="3">
        <v>11775.96</v>
      </c>
      <c r="F257" s="3">
        <f t="shared" si="3"/>
        <v>30508.52</v>
      </c>
      <c r="G257" s="3">
        <v>29159.43</v>
      </c>
    </row>
    <row r="258" spans="1:7" x14ac:dyDescent="0.25">
      <c r="A258">
        <v>840</v>
      </c>
      <c r="B258">
        <v>1</v>
      </c>
      <c r="C258" t="s">
        <v>824</v>
      </c>
      <c r="D258" s="3">
        <v>25819.200000000001</v>
      </c>
      <c r="E258" s="3">
        <v>29228.43</v>
      </c>
      <c r="F258" s="3">
        <f t="shared" si="3"/>
        <v>55047.630000000005</v>
      </c>
      <c r="G258" s="3">
        <v>52613.41</v>
      </c>
    </row>
    <row r="259" spans="1:7" x14ac:dyDescent="0.25">
      <c r="A259">
        <v>846</v>
      </c>
      <c r="B259">
        <v>1</v>
      </c>
      <c r="C259" t="s">
        <v>827</v>
      </c>
      <c r="D259" s="3">
        <v>18826.689999999999</v>
      </c>
      <c r="E259" s="3">
        <v>15874.56</v>
      </c>
      <c r="F259" s="3">
        <f t="shared" si="3"/>
        <v>34701.25</v>
      </c>
      <c r="G259" s="3">
        <v>33166.75</v>
      </c>
    </row>
    <row r="260" spans="1:7" x14ac:dyDescent="0.25">
      <c r="A260">
        <v>850</v>
      </c>
      <c r="B260">
        <v>1</v>
      </c>
      <c r="C260" t="s">
        <v>829</v>
      </c>
      <c r="D260" s="3">
        <v>6411.68</v>
      </c>
      <c r="E260" s="3">
        <v>4416.72</v>
      </c>
      <c r="F260" s="3">
        <f t="shared" si="3"/>
        <v>10828.400000000001</v>
      </c>
      <c r="G260" s="3">
        <v>10349.57</v>
      </c>
    </row>
    <row r="261" spans="1:7" x14ac:dyDescent="0.25">
      <c r="A261">
        <v>852</v>
      </c>
      <c r="B261">
        <v>1</v>
      </c>
      <c r="C261" t="s">
        <v>831</v>
      </c>
      <c r="D261" s="3">
        <v>3179.97</v>
      </c>
      <c r="E261" s="3">
        <v>3012.66</v>
      </c>
      <c r="F261" s="3">
        <f t="shared" si="3"/>
        <v>6192.6299999999992</v>
      </c>
      <c r="G261" s="3">
        <v>5918.79</v>
      </c>
    </row>
    <row r="262" spans="1:7" x14ac:dyDescent="0.25">
      <c r="A262">
        <v>857</v>
      </c>
      <c r="B262">
        <v>1</v>
      </c>
      <c r="C262" t="s">
        <v>832</v>
      </c>
      <c r="D262" s="3">
        <v>22270.48</v>
      </c>
      <c r="E262" s="3">
        <v>23085.15</v>
      </c>
      <c r="F262" s="3">
        <f t="shared" si="3"/>
        <v>45355.630000000005</v>
      </c>
      <c r="G262" s="3">
        <v>43349.99</v>
      </c>
    </row>
    <row r="263" spans="1:7" x14ac:dyDescent="0.25">
      <c r="A263">
        <v>858</v>
      </c>
      <c r="B263">
        <v>1</v>
      </c>
      <c r="C263" t="s">
        <v>834</v>
      </c>
      <c r="D263" s="3">
        <v>33251.4</v>
      </c>
      <c r="E263" s="3">
        <v>27203.200000000001</v>
      </c>
      <c r="F263" s="3">
        <f t="shared" si="3"/>
        <v>60454.600000000006</v>
      </c>
      <c r="G263" s="3">
        <v>57781.279999999999</v>
      </c>
    </row>
    <row r="264" spans="1:7" x14ac:dyDescent="0.25">
      <c r="A264">
        <v>861</v>
      </c>
      <c r="B264">
        <v>1</v>
      </c>
      <c r="C264" t="s">
        <v>836</v>
      </c>
      <c r="D264" s="3">
        <v>70769.929999999993</v>
      </c>
      <c r="E264" s="3">
        <v>84693.88</v>
      </c>
      <c r="F264" s="3">
        <f t="shared" si="3"/>
        <v>155463.81</v>
      </c>
      <c r="G264" s="3">
        <v>148589.16</v>
      </c>
    </row>
    <row r="265" spans="1:7" x14ac:dyDescent="0.25">
      <c r="A265">
        <v>876</v>
      </c>
      <c r="B265">
        <v>1</v>
      </c>
      <c r="C265" t="s">
        <v>838</v>
      </c>
      <c r="D265" s="3">
        <v>52526.31</v>
      </c>
      <c r="E265" s="3">
        <v>53483.05</v>
      </c>
      <c r="F265" s="3">
        <f t="shared" si="3"/>
        <v>106009.36</v>
      </c>
      <c r="G265" s="3">
        <v>101321.60000000001</v>
      </c>
    </row>
    <row r="266" spans="1:7" x14ac:dyDescent="0.25">
      <c r="A266">
        <v>877</v>
      </c>
      <c r="B266">
        <v>1</v>
      </c>
      <c r="C266" t="s">
        <v>840</v>
      </c>
      <c r="D266" s="3">
        <v>205423.28</v>
      </c>
      <c r="E266" s="3">
        <v>187421.75</v>
      </c>
      <c r="F266" s="3">
        <f t="shared" si="3"/>
        <v>392845.03</v>
      </c>
      <c r="G266" s="3">
        <v>375473.33</v>
      </c>
    </row>
    <row r="267" spans="1:7" x14ac:dyDescent="0.25">
      <c r="A267">
        <v>879</v>
      </c>
      <c r="B267">
        <v>1</v>
      </c>
      <c r="C267" t="s">
        <v>847</v>
      </c>
      <c r="D267" s="3">
        <v>74562.289999999994</v>
      </c>
      <c r="E267" s="3">
        <v>76593.06</v>
      </c>
      <c r="F267" s="3">
        <f t="shared" si="3"/>
        <v>151155.34999999998</v>
      </c>
      <c r="G267" s="3">
        <v>144471.22</v>
      </c>
    </row>
    <row r="268" spans="1:7" x14ac:dyDescent="0.25">
      <c r="A268">
        <v>881</v>
      </c>
      <c r="B268">
        <v>1</v>
      </c>
      <c r="C268" t="s">
        <v>849</v>
      </c>
      <c r="D268" s="3">
        <v>24279.82</v>
      </c>
      <c r="E268" s="3">
        <v>28005.53</v>
      </c>
      <c r="F268" s="3">
        <f t="shared" si="3"/>
        <v>52285.35</v>
      </c>
      <c r="G268" s="3">
        <v>49973.279999999999</v>
      </c>
    </row>
    <row r="269" spans="1:7" x14ac:dyDescent="0.25">
      <c r="A269">
        <v>882</v>
      </c>
      <c r="B269">
        <v>1</v>
      </c>
      <c r="C269" t="s">
        <v>851</v>
      </c>
      <c r="D269" s="3">
        <v>134545.79999999999</v>
      </c>
      <c r="E269" s="3">
        <v>120638.55</v>
      </c>
      <c r="F269" s="3">
        <f t="shared" ref="F269:F332" si="4">D269+E269</f>
        <v>255184.34999999998</v>
      </c>
      <c r="G269" s="3">
        <v>243900.04</v>
      </c>
    </row>
    <row r="270" spans="1:7" x14ac:dyDescent="0.25">
      <c r="A270">
        <v>883</v>
      </c>
      <c r="B270">
        <v>1</v>
      </c>
      <c r="C270" t="s">
        <v>853</v>
      </c>
      <c r="D270" s="3">
        <v>51467.5</v>
      </c>
      <c r="E270" s="3">
        <v>60544.41</v>
      </c>
      <c r="F270" s="3">
        <f t="shared" si="4"/>
        <v>112011.91</v>
      </c>
      <c r="G270" s="3">
        <v>107058.72</v>
      </c>
    </row>
    <row r="271" spans="1:7" x14ac:dyDescent="0.25">
      <c r="A271">
        <v>885</v>
      </c>
      <c r="B271">
        <v>1</v>
      </c>
      <c r="C271" t="s">
        <v>855</v>
      </c>
      <c r="D271" s="3">
        <v>209791.41999999998</v>
      </c>
      <c r="E271" s="3">
        <v>191520.26</v>
      </c>
      <c r="F271" s="3">
        <f t="shared" si="4"/>
        <v>401311.68</v>
      </c>
      <c r="G271" s="3">
        <v>383565.58</v>
      </c>
    </row>
    <row r="272" spans="1:7" x14ac:dyDescent="0.25">
      <c r="A272">
        <v>891</v>
      </c>
      <c r="B272">
        <v>1</v>
      </c>
      <c r="C272" t="s">
        <v>859</v>
      </c>
      <c r="D272" s="3">
        <v>11261.12</v>
      </c>
      <c r="E272" s="3">
        <v>13506.6</v>
      </c>
      <c r="F272" s="3">
        <f t="shared" si="4"/>
        <v>24767.72</v>
      </c>
      <c r="G272" s="3">
        <v>23672.49</v>
      </c>
    </row>
    <row r="273" spans="1:7" x14ac:dyDescent="0.25">
      <c r="A273">
        <v>911</v>
      </c>
      <c r="B273">
        <v>1</v>
      </c>
      <c r="C273" t="s">
        <v>861</v>
      </c>
      <c r="D273" s="3">
        <v>173050.76</v>
      </c>
      <c r="E273" s="3">
        <v>146516.04</v>
      </c>
      <c r="F273" s="3">
        <f t="shared" si="4"/>
        <v>319566.80000000005</v>
      </c>
      <c r="G273" s="3">
        <v>305435.48</v>
      </c>
    </row>
    <row r="274" spans="1:7" x14ac:dyDescent="0.25">
      <c r="A274">
        <v>912</v>
      </c>
      <c r="B274">
        <v>1</v>
      </c>
      <c r="C274" t="s">
        <v>865</v>
      </c>
      <c r="D274" s="3">
        <v>56037.87</v>
      </c>
      <c r="E274" s="3">
        <v>52999.5</v>
      </c>
      <c r="F274" s="3">
        <f t="shared" si="4"/>
        <v>109037.37</v>
      </c>
      <c r="G274" s="3">
        <v>104215.71</v>
      </c>
    </row>
    <row r="275" spans="1:7" x14ac:dyDescent="0.25">
      <c r="A275">
        <v>914</v>
      </c>
      <c r="B275">
        <v>1</v>
      </c>
      <c r="C275" t="s">
        <v>867</v>
      </c>
      <c r="D275" s="3">
        <v>11811.54</v>
      </c>
      <c r="E275" s="3">
        <v>12336.25</v>
      </c>
      <c r="F275" s="3">
        <f t="shared" si="4"/>
        <v>24147.79</v>
      </c>
      <c r="G275" s="3">
        <v>23079.97</v>
      </c>
    </row>
    <row r="276" spans="1:7" x14ac:dyDescent="0.25">
      <c r="A276">
        <v>2071</v>
      </c>
      <c r="B276">
        <v>1</v>
      </c>
      <c r="C276" t="s">
        <v>869</v>
      </c>
      <c r="D276" s="3">
        <v>24935.35</v>
      </c>
      <c r="E276" s="3">
        <v>22969.88</v>
      </c>
      <c r="F276" s="3">
        <f t="shared" si="4"/>
        <v>47905.229999999996</v>
      </c>
      <c r="G276" s="3">
        <v>45786.85</v>
      </c>
    </row>
    <row r="277" spans="1:7" x14ac:dyDescent="0.25">
      <c r="A277">
        <v>2125</v>
      </c>
      <c r="B277">
        <v>1</v>
      </c>
      <c r="C277" t="s">
        <v>871</v>
      </c>
      <c r="D277" s="3">
        <v>40452</v>
      </c>
      <c r="E277" s="3">
        <v>41219.519999999997</v>
      </c>
      <c r="F277" s="3">
        <f t="shared" si="4"/>
        <v>81671.51999999999</v>
      </c>
      <c r="G277" s="3">
        <v>78059.990000000005</v>
      </c>
    </row>
    <row r="278" spans="1:7" x14ac:dyDescent="0.25">
      <c r="A278">
        <v>2134</v>
      </c>
      <c r="B278">
        <v>1</v>
      </c>
      <c r="C278" t="s">
        <v>873</v>
      </c>
      <c r="D278" s="3">
        <v>24695.439999999999</v>
      </c>
      <c r="E278" s="3">
        <v>18317.14</v>
      </c>
      <c r="F278" s="3">
        <f t="shared" si="4"/>
        <v>43012.58</v>
      </c>
      <c r="G278" s="3">
        <v>41110.550000000003</v>
      </c>
    </row>
    <row r="279" spans="1:7" x14ac:dyDescent="0.25">
      <c r="A279">
        <v>2135</v>
      </c>
      <c r="B279">
        <v>1</v>
      </c>
      <c r="C279" t="s">
        <v>875</v>
      </c>
      <c r="D279" s="3">
        <v>30284.68</v>
      </c>
      <c r="E279" s="3">
        <v>37025.839999999997</v>
      </c>
      <c r="F279" s="3">
        <f t="shared" si="4"/>
        <v>67310.51999999999</v>
      </c>
      <c r="G279" s="3">
        <v>64334.03</v>
      </c>
    </row>
    <row r="280" spans="1:7" x14ac:dyDescent="0.25">
      <c r="A280">
        <v>2137</v>
      </c>
      <c r="B280">
        <v>1</v>
      </c>
      <c r="C280" t="s">
        <v>878</v>
      </c>
      <c r="D280" s="3">
        <v>18228.84</v>
      </c>
      <c r="E280" s="3">
        <v>16715.29</v>
      </c>
      <c r="F280" s="3">
        <f t="shared" si="4"/>
        <v>34944.130000000005</v>
      </c>
      <c r="G280" s="3">
        <v>33398.89</v>
      </c>
    </row>
    <row r="281" spans="1:7" x14ac:dyDescent="0.25">
      <c r="A281">
        <v>2142</v>
      </c>
      <c r="B281">
        <v>1</v>
      </c>
      <c r="C281" t="s">
        <v>881</v>
      </c>
      <c r="D281" s="3">
        <v>58243.680000000008</v>
      </c>
      <c r="E281" s="3">
        <v>49442.41</v>
      </c>
      <c r="F281" s="3">
        <f t="shared" si="4"/>
        <v>107686.09000000001</v>
      </c>
      <c r="G281" s="3">
        <v>102924.19</v>
      </c>
    </row>
    <row r="282" spans="1:7" x14ac:dyDescent="0.25">
      <c r="A282">
        <v>2143</v>
      </c>
      <c r="B282">
        <v>1</v>
      </c>
      <c r="C282" t="s">
        <v>887</v>
      </c>
      <c r="D282" s="3">
        <v>26517.54</v>
      </c>
      <c r="E282" s="3">
        <v>19803.68</v>
      </c>
      <c r="F282" s="3">
        <f t="shared" si="4"/>
        <v>46321.22</v>
      </c>
      <c r="G282" s="3">
        <v>44272.88</v>
      </c>
    </row>
    <row r="283" spans="1:7" x14ac:dyDescent="0.25">
      <c r="A283">
        <v>2144</v>
      </c>
      <c r="B283">
        <v>1</v>
      </c>
      <c r="C283" t="s">
        <v>889</v>
      </c>
      <c r="D283" s="3">
        <v>113263.7</v>
      </c>
      <c r="E283" s="3">
        <v>93794.05</v>
      </c>
      <c r="F283" s="3">
        <f t="shared" si="4"/>
        <v>207057.75</v>
      </c>
      <c r="G283" s="3">
        <v>197901.61</v>
      </c>
    </row>
    <row r="284" spans="1:7" x14ac:dyDescent="0.25">
      <c r="A284">
        <v>2149</v>
      </c>
      <c r="B284">
        <v>1</v>
      </c>
      <c r="C284" t="s">
        <v>893</v>
      </c>
      <c r="D284" s="3">
        <v>43907.57</v>
      </c>
      <c r="E284" s="3">
        <v>32849.769999999997</v>
      </c>
      <c r="F284" s="3">
        <f t="shared" si="4"/>
        <v>76757.34</v>
      </c>
      <c r="G284" s="3">
        <v>73363.11</v>
      </c>
    </row>
    <row r="285" spans="1:7" x14ac:dyDescent="0.25">
      <c r="A285">
        <v>2154</v>
      </c>
      <c r="B285">
        <v>1</v>
      </c>
      <c r="C285" t="s">
        <v>895</v>
      </c>
      <c r="D285" s="3">
        <v>43723.45</v>
      </c>
      <c r="E285" s="3">
        <v>36000.519999999997</v>
      </c>
      <c r="F285" s="3">
        <f t="shared" si="4"/>
        <v>79723.97</v>
      </c>
      <c r="G285" s="3">
        <v>76198.559999999998</v>
      </c>
    </row>
    <row r="286" spans="1:7" x14ac:dyDescent="0.25">
      <c r="A286">
        <v>2155</v>
      </c>
      <c r="B286">
        <v>1</v>
      </c>
      <c r="C286" t="s">
        <v>897</v>
      </c>
      <c r="D286" s="3">
        <v>33583.1</v>
      </c>
      <c r="E286" s="3">
        <v>23849.91</v>
      </c>
      <c r="F286" s="3">
        <f t="shared" si="4"/>
        <v>57433.009999999995</v>
      </c>
      <c r="G286" s="3">
        <v>54893.31</v>
      </c>
    </row>
    <row r="287" spans="1:7" x14ac:dyDescent="0.25">
      <c r="A287">
        <v>2159</v>
      </c>
      <c r="B287">
        <v>1</v>
      </c>
      <c r="C287" t="s">
        <v>899</v>
      </c>
      <c r="D287" s="3">
        <v>22741.02</v>
      </c>
      <c r="E287" s="3">
        <v>18340.939999999999</v>
      </c>
      <c r="F287" s="3">
        <f t="shared" si="4"/>
        <v>41081.96</v>
      </c>
      <c r="G287" s="3">
        <v>39265.31</v>
      </c>
    </row>
    <row r="288" spans="1:7" x14ac:dyDescent="0.25">
      <c r="A288">
        <v>2164</v>
      </c>
      <c r="B288">
        <v>1</v>
      </c>
      <c r="C288" t="s">
        <v>901</v>
      </c>
      <c r="D288" s="3">
        <v>57085.86</v>
      </c>
      <c r="E288" s="3">
        <v>45522.06</v>
      </c>
      <c r="F288" s="3">
        <f t="shared" si="4"/>
        <v>102607.92</v>
      </c>
      <c r="G288" s="3">
        <v>98070.57</v>
      </c>
    </row>
    <row r="289" spans="1:7" x14ac:dyDescent="0.25">
      <c r="A289">
        <v>2165</v>
      </c>
      <c r="B289">
        <v>1</v>
      </c>
      <c r="C289" t="s">
        <v>904</v>
      </c>
      <c r="D289" s="3">
        <v>29146.15</v>
      </c>
      <c r="E289" s="3">
        <v>28241.05</v>
      </c>
      <c r="F289" s="3">
        <f t="shared" si="4"/>
        <v>57387.199999999997</v>
      </c>
      <c r="G289" s="3">
        <v>54849.52</v>
      </c>
    </row>
    <row r="290" spans="1:7" x14ac:dyDescent="0.25">
      <c r="A290">
        <v>2167</v>
      </c>
      <c r="B290">
        <v>1</v>
      </c>
      <c r="C290" t="s">
        <v>907</v>
      </c>
      <c r="D290" s="3">
        <v>17004.78</v>
      </c>
      <c r="E290" s="3">
        <v>21389.5</v>
      </c>
      <c r="F290" s="3">
        <f t="shared" si="4"/>
        <v>38394.28</v>
      </c>
      <c r="G290" s="3">
        <v>36696.480000000003</v>
      </c>
    </row>
    <row r="291" spans="1:7" x14ac:dyDescent="0.25">
      <c r="A291">
        <v>2168</v>
      </c>
      <c r="B291">
        <v>1</v>
      </c>
      <c r="C291" t="s">
        <v>908</v>
      </c>
      <c r="D291" s="3">
        <v>31632.37</v>
      </c>
      <c r="E291" s="3">
        <v>25313.4</v>
      </c>
      <c r="F291" s="3">
        <f t="shared" si="4"/>
        <v>56945.770000000004</v>
      </c>
      <c r="G291" s="3">
        <v>54427.61</v>
      </c>
    </row>
    <row r="292" spans="1:7" x14ac:dyDescent="0.25">
      <c r="A292">
        <v>2169</v>
      </c>
      <c r="B292">
        <v>1</v>
      </c>
      <c r="C292" t="s">
        <v>910</v>
      </c>
      <c r="D292" s="3">
        <v>26787.54</v>
      </c>
      <c r="E292" s="3">
        <v>24416.26</v>
      </c>
      <c r="F292" s="3">
        <f t="shared" si="4"/>
        <v>51203.8</v>
      </c>
      <c r="G292" s="3">
        <v>48939.56</v>
      </c>
    </row>
    <row r="293" spans="1:7" x14ac:dyDescent="0.25">
      <c r="A293">
        <v>2170</v>
      </c>
      <c r="B293">
        <v>1</v>
      </c>
      <c r="C293" t="s">
        <v>912</v>
      </c>
      <c r="D293" s="3">
        <v>35969.58</v>
      </c>
      <c r="E293" s="3">
        <v>36055.46</v>
      </c>
      <c r="F293" s="3">
        <f t="shared" si="4"/>
        <v>72025.040000000008</v>
      </c>
      <c r="G293" s="3">
        <v>68840.08</v>
      </c>
    </row>
    <row r="294" spans="1:7" x14ac:dyDescent="0.25">
      <c r="A294">
        <v>2171</v>
      </c>
      <c r="B294">
        <v>1</v>
      </c>
      <c r="C294" t="s">
        <v>915</v>
      </c>
      <c r="D294" s="3">
        <v>6602.96</v>
      </c>
      <c r="E294" s="3">
        <v>9068.85</v>
      </c>
      <c r="F294" s="3">
        <f t="shared" si="4"/>
        <v>15671.810000000001</v>
      </c>
      <c r="G294" s="3">
        <v>14978.8</v>
      </c>
    </row>
    <row r="295" spans="1:7" x14ac:dyDescent="0.25">
      <c r="A295">
        <v>2172</v>
      </c>
      <c r="B295">
        <v>1</v>
      </c>
      <c r="C295" t="s">
        <v>917</v>
      </c>
      <c r="D295" s="3">
        <v>21206.22</v>
      </c>
      <c r="E295" s="3">
        <v>27682.39</v>
      </c>
      <c r="F295" s="3">
        <f t="shared" si="4"/>
        <v>48888.61</v>
      </c>
      <c r="G295" s="3">
        <v>46726.74</v>
      </c>
    </row>
    <row r="296" spans="1:7" x14ac:dyDescent="0.25">
      <c r="A296">
        <v>2174</v>
      </c>
      <c r="B296">
        <v>1</v>
      </c>
      <c r="C296" t="s">
        <v>919</v>
      </c>
      <c r="D296" s="3">
        <v>29798.28</v>
      </c>
      <c r="E296" s="3">
        <v>20208.099999999999</v>
      </c>
      <c r="F296" s="3">
        <f t="shared" si="4"/>
        <v>50006.38</v>
      </c>
      <c r="G296" s="3">
        <v>47795.09</v>
      </c>
    </row>
    <row r="297" spans="1:7" x14ac:dyDescent="0.25">
      <c r="A297">
        <v>2176</v>
      </c>
      <c r="B297">
        <v>1</v>
      </c>
      <c r="C297" t="s">
        <v>921</v>
      </c>
      <c r="D297" s="3">
        <v>13326.59</v>
      </c>
      <c r="E297" s="3">
        <v>14169.21</v>
      </c>
      <c r="F297" s="3">
        <f t="shared" si="4"/>
        <v>27495.8</v>
      </c>
      <c r="G297" s="3">
        <v>26279.93</v>
      </c>
    </row>
    <row r="298" spans="1:7" x14ac:dyDescent="0.25">
      <c r="A298">
        <v>2180</v>
      </c>
      <c r="B298">
        <v>1</v>
      </c>
      <c r="C298" t="s">
        <v>923</v>
      </c>
      <c r="D298" s="3">
        <v>20192.760000000002</v>
      </c>
      <c r="E298" s="3">
        <v>18654.489999999998</v>
      </c>
      <c r="F298" s="3">
        <f t="shared" si="4"/>
        <v>38847.25</v>
      </c>
      <c r="G298" s="3">
        <v>37129.42</v>
      </c>
    </row>
    <row r="299" spans="1:7" x14ac:dyDescent="0.25">
      <c r="A299">
        <v>2184</v>
      </c>
      <c r="B299">
        <v>1</v>
      </c>
      <c r="C299" t="s">
        <v>926</v>
      </c>
      <c r="D299" s="3">
        <v>38821.26</v>
      </c>
      <c r="E299" s="3">
        <v>37486.559999999998</v>
      </c>
      <c r="F299" s="3">
        <f t="shared" si="4"/>
        <v>76307.820000000007</v>
      </c>
      <c r="G299" s="3">
        <v>72933.47</v>
      </c>
    </row>
    <row r="300" spans="1:7" x14ac:dyDescent="0.25">
      <c r="A300">
        <v>2190</v>
      </c>
      <c r="B300">
        <v>1</v>
      </c>
      <c r="C300" t="s">
        <v>928</v>
      </c>
      <c r="D300" s="3">
        <v>16907</v>
      </c>
      <c r="E300" s="3">
        <v>19878.32</v>
      </c>
      <c r="F300" s="3">
        <f t="shared" si="4"/>
        <v>36785.32</v>
      </c>
      <c r="G300" s="3">
        <v>35158.660000000003</v>
      </c>
    </row>
    <row r="301" spans="1:7" x14ac:dyDescent="0.25">
      <c r="A301">
        <v>2198</v>
      </c>
      <c r="B301">
        <v>1</v>
      </c>
      <c r="C301" t="s">
        <v>930</v>
      </c>
      <c r="D301" s="3">
        <v>22053.919999999998</v>
      </c>
      <c r="E301" s="3">
        <v>18094.560000000001</v>
      </c>
      <c r="F301" s="3">
        <f t="shared" si="4"/>
        <v>40148.479999999996</v>
      </c>
      <c r="G301" s="3">
        <v>38373.1</v>
      </c>
    </row>
    <row r="302" spans="1:7" x14ac:dyDescent="0.25">
      <c r="A302">
        <v>2215</v>
      </c>
      <c r="B302">
        <v>1</v>
      </c>
      <c r="C302" t="s">
        <v>932</v>
      </c>
      <c r="D302" s="3">
        <v>6457.86</v>
      </c>
      <c r="E302" s="3">
        <v>12776.67</v>
      </c>
      <c r="F302" s="3">
        <f t="shared" si="4"/>
        <v>19234.53</v>
      </c>
      <c r="G302" s="3">
        <v>18383.97</v>
      </c>
    </row>
    <row r="303" spans="1:7" x14ac:dyDescent="0.25">
      <c r="A303">
        <v>2310</v>
      </c>
      <c r="B303">
        <v>1</v>
      </c>
      <c r="C303" t="s">
        <v>934</v>
      </c>
      <c r="D303" s="3">
        <v>46886.7</v>
      </c>
      <c r="E303" s="3">
        <v>41156.589999999997</v>
      </c>
      <c r="F303" s="3">
        <f t="shared" si="4"/>
        <v>88043.29</v>
      </c>
      <c r="G303" s="3">
        <v>84149.99</v>
      </c>
    </row>
    <row r="304" spans="1:7" x14ac:dyDescent="0.25">
      <c r="A304">
        <v>2311</v>
      </c>
      <c r="B304">
        <v>1</v>
      </c>
      <c r="C304" t="s">
        <v>937</v>
      </c>
      <c r="D304" s="3">
        <v>11856.57</v>
      </c>
      <c r="E304" s="3">
        <v>11827.62</v>
      </c>
      <c r="F304" s="3">
        <f t="shared" si="4"/>
        <v>23684.190000000002</v>
      </c>
      <c r="G304" s="3">
        <v>22636.87</v>
      </c>
    </row>
    <row r="305" spans="1:7" x14ac:dyDescent="0.25">
      <c r="A305">
        <v>2342</v>
      </c>
      <c r="B305">
        <v>1</v>
      </c>
      <c r="C305" t="s">
        <v>939</v>
      </c>
      <c r="D305" s="3">
        <v>29879.74</v>
      </c>
      <c r="E305" s="3">
        <v>23287.440000000002</v>
      </c>
      <c r="F305" s="3">
        <f t="shared" si="4"/>
        <v>53167.180000000008</v>
      </c>
      <c r="G305" s="3">
        <v>50816.11</v>
      </c>
    </row>
    <row r="306" spans="1:7" x14ac:dyDescent="0.25">
      <c r="A306">
        <v>2358</v>
      </c>
      <c r="B306">
        <v>1</v>
      </c>
      <c r="C306" t="s">
        <v>942</v>
      </c>
      <c r="D306" s="3">
        <v>5598.19</v>
      </c>
      <c r="E306" s="3">
        <v>8579.34</v>
      </c>
      <c r="F306" s="3">
        <f t="shared" si="4"/>
        <v>14177.529999999999</v>
      </c>
      <c r="G306" s="3">
        <v>13550.6</v>
      </c>
    </row>
    <row r="307" spans="1:7" x14ac:dyDescent="0.25">
      <c r="A307">
        <v>2364</v>
      </c>
      <c r="B307">
        <v>1</v>
      </c>
      <c r="C307" t="s">
        <v>944</v>
      </c>
      <c r="D307" s="3">
        <v>22946.21</v>
      </c>
      <c r="E307" s="3">
        <v>24066.639999999999</v>
      </c>
      <c r="F307" s="3">
        <f t="shared" si="4"/>
        <v>47012.85</v>
      </c>
      <c r="G307" s="3">
        <v>44933.93</v>
      </c>
    </row>
    <row r="308" spans="1:7" x14ac:dyDescent="0.25">
      <c r="A308">
        <v>2365</v>
      </c>
      <c r="B308">
        <v>1</v>
      </c>
      <c r="C308" t="s">
        <v>946</v>
      </c>
      <c r="D308" s="3">
        <v>23729.22</v>
      </c>
      <c r="E308" s="3">
        <v>22759.360000000001</v>
      </c>
      <c r="F308" s="3">
        <f t="shared" si="4"/>
        <v>46488.58</v>
      </c>
      <c r="G308" s="3">
        <v>44432.84</v>
      </c>
    </row>
    <row r="309" spans="1:7" x14ac:dyDescent="0.25">
      <c r="A309">
        <v>2396</v>
      </c>
      <c r="B309">
        <v>1</v>
      </c>
      <c r="C309" t="s">
        <v>948</v>
      </c>
      <c r="D309" s="3">
        <v>20081.370000000003</v>
      </c>
      <c r="E309" s="3">
        <v>26201.18</v>
      </c>
      <c r="F309" s="3">
        <f t="shared" si="4"/>
        <v>46282.55</v>
      </c>
      <c r="G309" s="3">
        <v>44235.92</v>
      </c>
    </row>
    <row r="310" spans="1:7" x14ac:dyDescent="0.25">
      <c r="A310">
        <v>2397</v>
      </c>
      <c r="B310">
        <v>1</v>
      </c>
      <c r="C310" t="s">
        <v>951</v>
      </c>
      <c r="D310" s="3">
        <v>28058.25</v>
      </c>
      <c r="E310" s="3">
        <v>32954.92</v>
      </c>
      <c r="F310" s="3">
        <f t="shared" si="4"/>
        <v>61013.17</v>
      </c>
      <c r="G310" s="3">
        <v>58315.15</v>
      </c>
    </row>
    <row r="311" spans="1:7" x14ac:dyDescent="0.25">
      <c r="A311">
        <v>2448</v>
      </c>
      <c r="B311">
        <v>1</v>
      </c>
      <c r="C311" t="s">
        <v>953</v>
      </c>
      <c r="D311" s="3">
        <v>17511.060000000001</v>
      </c>
      <c r="E311" s="3">
        <v>22657.5</v>
      </c>
      <c r="F311" s="3">
        <f t="shared" si="4"/>
        <v>40168.559999999998</v>
      </c>
      <c r="G311" s="3">
        <v>38392.300000000003</v>
      </c>
    </row>
    <row r="312" spans="1:7" x14ac:dyDescent="0.25">
      <c r="A312">
        <v>2527</v>
      </c>
      <c r="B312">
        <v>1</v>
      </c>
      <c r="C312" t="s">
        <v>955</v>
      </c>
      <c r="D312" s="3">
        <v>8910.2000000000007</v>
      </c>
      <c r="E312" s="3">
        <v>13937.22</v>
      </c>
      <c r="F312" s="3">
        <f t="shared" si="4"/>
        <v>22847.42</v>
      </c>
      <c r="G312" s="3">
        <v>21837.1</v>
      </c>
    </row>
    <row r="313" spans="1:7" x14ac:dyDescent="0.25">
      <c r="A313">
        <v>2534</v>
      </c>
      <c r="B313">
        <v>1</v>
      </c>
      <c r="C313" t="s">
        <v>957</v>
      </c>
      <c r="D313" s="3">
        <v>19415.23</v>
      </c>
      <c r="E313" s="3">
        <v>23302.76</v>
      </c>
      <c r="F313" s="3">
        <f t="shared" si="4"/>
        <v>42717.99</v>
      </c>
      <c r="G313" s="3">
        <v>40828.99</v>
      </c>
    </row>
    <row r="314" spans="1:7" x14ac:dyDescent="0.25">
      <c r="A314">
        <v>2536</v>
      </c>
      <c r="B314">
        <v>1</v>
      </c>
      <c r="C314" t="s">
        <v>1253</v>
      </c>
      <c r="D314" s="3">
        <v>6890</v>
      </c>
      <c r="E314" s="3">
        <v>3180.02</v>
      </c>
      <c r="F314" s="3">
        <f t="shared" si="4"/>
        <v>10070.02</v>
      </c>
      <c r="G314" s="3">
        <v>9624.7199999999993</v>
      </c>
    </row>
    <row r="315" spans="1:7" x14ac:dyDescent="0.25">
      <c r="A315">
        <v>2580</v>
      </c>
      <c r="B315">
        <v>1</v>
      </c>
      <c r="C315" t="s">
        <v>959</v>
      </c>
      <c r="D315" s="3">
        <v>23380.080000000002</v>
      </c>
      <c r="E315" s="3">
        <v>22977</v>
      </c>
      <c r="F315" s="3">
        <f t="shared" si="4"/>
        <v>46357.08</v>
      </c>
      <c r="G315" s="3">
        <v>44307.16</v>
      </c>
    </row>
    <row r="316" spans="1:7" x14ac:dyDescent="0.25">
      <c r="A316">
        <v>2609</v>
      </c>
      <c r="B316">
        <v>1</v>
      </c>
      <c r="C316" t="s">
        <v>961</v>
      </c>
      <c r="D316" s="3">
        <v>15407.91</v>
      </c>
      <c r="E316" s="3">
        <v>15177.4</v>
      </c>
      <c r="F316" s="3">
        <f t="shared" si="4"/>
        <v>30585.309999999998</v>
      </c>
      <c r="G316" s="3">
        <v>29232.82</v>
      </c>
    </row>
    <row r="317" spans="1:7" x14ac:dyDescent="0.25">
      <c r="A317">
        <v>2683</v>
      </c>
      <c r="B317">
        <v>1</v>
      </c>
      <c r="C317" t="s">
        <v>963</v>
      </c>
      <c r="D317" s="3">
        <v>12184.9</v>
      </c>
      <c r="E317" s="3">
        <v>14796.67</v>
      </c>
      <c r="F317" s="3">
        <f t="shared" si="4"/>
        <v>26981.57</v>
      </c>
      <c r="G317" s="3">
        <v>25788.44</v>
      </c>
    </row>
    <row r="318" spans="1:7" x14ac:dyDescent="0.25">
      <c r="A318">
        <v>2687</v>
      </c>
      <c r="B318">
        <v>1</v>
      </c>
      <c r="C318" t="s">
        <v>966</v>
      </c>
      <c r="D318" s="3">
        <v>38797.020000000004</v>
      </c>
      <c r="E318" s="3">
        <v>33342.050000000003</v>
      </c>
      <c r="F318" s="3">
        <f t="shared" si="4"/>
        <v>72139.070000000007</v>
      </c>
      <c r="G318" s="3">
        <v>68949.06</v>
      </c>
    </row>
    <row r="319" spans="1:7" x14ac:dyDescent="0.25">
      <c r="A319">
        <v>2689</v>
      </c>
      <c r="B319">
        <v>1</v>
      </c>
      <c r="C319" t="s">
        <v>969</v>
      </c>
      <c r="D319" s="3">
        <v>40519.620000000003</v>
      </c>
      <c r="E319" s="3">
        <v>28615.8</v>
      </c>
      <c r="F319" s="3">
        <f t="shared" si="4"/>
        <v>69135.42</v>
      </c>
      <c r="G319" s="3">
        <v>66078.240000000005</v>
      </c>
    </row>
    <row r="320" spans="1:7" x14ac:dyDescent="0.25">
      <c r="A320">
        <v>2711</v>
      </c>
      <c r="B320">
        <v>1</v>
      </c>
      <c r="C320" t="s">
        <v>971</v>
      </c>
      <c r="D320" s="3">
        <v>30669.3</v>
      </c>
      <c r="E320" s="3">
        <v>28865.759999999998</v>
      </c>
      <c r="F320" s="3">
        <f t="shared" si="4"/>
        <v>59535.06</v>
      </c>
      <c r="G320" s="3">
        <v>56902.41</v>
      </c>
    </row>
    <row r="321" spans="1:7" x14ac:dyDescent="0.25">
      <c r="A321">
        <v>2752</v>
      </c>
      <c r="B321">
        <v>1</v>
      </c>
      <c r="C321" t="s">
        <v>973</v>
      </c>
      <c r="D321" s="3">
        <v>39977.279999999999</v>
      </c>
      <c r="E321" s="3">
        <v>51631.8</v>
      </c>
      <c r="F321" s="3">
        <f t="shared" si="4"/>
        <v>91609.08</v>
      </c>
      <c r="G321" s="3">
        <v>87558.1</v>
      </c>
    </row>
    <row r="322" spans="1:7" x14ac:dyDescent="0.25">
      <c r="A322">
        <v>2753</v>
      </c>
      <c r="B322">
        <v>1</v>
      </c>
      <c r="C322" t="s">
        <v>975</v>
      </c>
      <c r="D322" s="3">
        <v>22209.200000000001</v>
      </c>
      <c r="E322" s="3">
        <v>26721.4</v>
      </c>
      <c r="F322" s="3">
        <f t="shared" si="4"/>
        <v>48930.600000000006</v>
      </c>
      <c r="G322" s="3">
        <v>46766.879999999997</v>
      </c>
    </row>
    <row r="323" spans="1:7" x14ac:dyDescent="0.25">
      <c r="A323">
        <v>2754</v>
      </c>
      <c r="B323">
        <v>1</v>
      </c>
      <c r="C323" t="s">
        <v>977</v>
      </c>
      <c r="D323" s="3">
        <v>16605</v>
      </c>
      <c r="E323" s="3">
        <v>10841</v>
      </c>
      <c r="F323" s="3">
        <f t="shared" si="4"/>
        <v>27446</v>
      </c>
      <c r="G323" s="3">
        <v>26232.33</v>
      </c>
    </row>
    <row r="324" spans="1:7" x14ac:dyDescent="0.25">
      <c r="A324">
        <v>2759</v>
      </c>
      <c r="B324">
        <v>1</v>
      </c>
      <c r="C324" t="s">
        <v>979</v>
      </c>
      <c r="D324" s="3">
        <v>11064.84</v>
      </c>
      <c r="E324" s="3">
        <v>8499.33</v>
      </c>
      <c r="F324" s="3">
        <f t="shared" si="4"/>
        <v>19564.169999999998</v>
      </c>
      <c r="G324" s="3">
        <v>18699.04</v>
      </c>
    </row>
    <row r="325" spans="1:7" x14ac:dyDescent="0.25">
      <c r="A325">
        <v>2805</v>
      </c>
      <c r="B325">
        <v>1</v>
      </c>
      <c r="C325" t="s">
        <v>981</v>
      </c>
      <c r="D325" s="3">
        <v>41132.35</v>
      </c>
      <c r="E325" s="3">
        <v>27463.360000000001</v>
      </c>
      <c r="F325" s="3">
        <f t="shared" si="4"/>
        <v>68595.709999999992</v>
      </c>
      <c r="G325" s="3">
        <v>65562.39</v>
      </c>
    </row>
    <row r="326" spans="1:7" x14ac:dyDescent="0.25">
      <c r="A326">
        <v>2835</v>
      </c>
      <c r="B326">
        <v>1</v>
      </c>
      <c r="C326" t="s">
        <v>983</v>
      </c>
      <c r="D326" s="3">
        <v>17563.14</v>
      </c>
      <c r="E326" s="3">
        <v>18035.939999999999</v>
      </c>
      <c r="F326" s="3">
        <f t="shared" si="4"/>
        <v>35599.08</v>
      </c>
      <c r="G326" s="3">
        <v>34024.879999999997</v>
      </c>
    </row>
    <row r="327" spans="1:7" x14ac:dyDescent="0.25">
      <c r="A327">
        <v>2853</v>
      </c>
      <c r="B327">
        <v>1</v>
      </c>
      <c r="C327" t="s">
        <v>986</v>
      </c>
      <c r="D327" s="3">
        <v>26426.23</v>
      </c>
      <c r="E327" s="3">
        <v>27399.040000000001</v>
      </c>
      <c r="F327" s="3">
        <f t="shared" si="4"/>
        <v>53825.270000000004</v>
      </c>
      <c r="G327" s="3">
        <v>51445.1</v>
      </c>
    </row>
    <row r="328" spans="1:7" x14ac:dyDescent="0.25">
      <c r="A328">
        <v>2854</v>
      </c>
      <c r="B328">
        <v>1</v>
      </c>
      <c r="C328" t="s">
        <v>989</v>
      </c>
      <c r="D328" s="3">
        <v>13578.62</v>
      </c>
      <c r="E328" s="3">
        <v>21499.73</v>
      </c>
      <c r="F328" s="3">
        <f t="shared" si="4"/>
        <v>35078.35</v>
      </c>
      <c r="G328" s="3">
        <v>33527.18</v>
      </c>
    </row>
    <row r="329" spans="1:7" x14ac:dyDescent="0.25">
      <c r="A329">
        <v>2856</v>
      </c>
      <c r="B329">
        <v>1</v>
      </c>
      <c r="C329" t="s">
        <v>991</v>
      </c>
      <c r="D329" s="3">
        <v>10564.25</v>
      </c>
      <c r="E329" s="3">
        <v>8360.6</v>
      </c>
      <c r="F329" s="3">
        <f t="shared" si="4"/>
        <v>18924.849999999999</v>
      </c>
      <c r="G329" s="3">
        <v>18087.990000000002</v>
      </c>
    </row>
    <row r="330" spans="1:7" x14ac:dyDescent="0.25">
      <c r="A330">
        <v>2859</v>
      </c>
      <c r="B330">
        <v>1</v>
      </c>
      <c r="C330" t="s">
        <v>993</v>
      </c>
      <c r="D330" s="3">
        <v>49497.47</v>
      </c>
      <c r="E330" s="3">
        <v>44096.13</v>
      </c>
      <c r="F330" s="3">
        <f t="shared" si="4"/>
        <v>93593.600000000006</v>
      </c>
      <c r="G330" s="3">
        <v>89454.87</v>
      </c>
    </row>
    <row r="331" spans="1:7" x14ac:dyDescent="0.25">
      <c r="A331">
        <v>2860</v>
      </c>
      <c r="B331">
        <v>1</v>
      </c>
      <c r="C331" t="s">
        <v>994</v>
      </c>
      <c r="D331" s="3">
        <v>33754.050000000003</v>
      </c>
      <c r="E331" s="3">
        <v>36677.93</v>
      </c>
      <c r="F331" s="3">
        <f t="shared" si="4"/>
        <v>70431.98000000001</v>
      </c>
      <c r="G331" s="3">
        <v>67317.460000000006</v>
      </c>
    </row>
    <row r="332" spans="1:7" x14ac:dyDescent="0.25">
      <c r="A332">
        <v>2884</v>
      </c>
      <c r="B332">
        <v>1</v>
      </c>
      <c r="C332" t="s">
        <v>997</v>
      </c>
      <c r="D332" s="3">
        <v>11850.8</v>
      </c>
      <c r="E332" s="3">
        <v>15338.35</v>
      </c>
      <c r="F332" s="3">
        <f t="shared" si="4"/>
        <v>27189.15</v>
      </c>
      <c r="G332" s="3">
        <v>25986.84</v>
      </c>
    </row>
    <row r="333" spans="1:7" x14ac:dyDescent="0.25">
      <c r="A333">
        <v>2886</v>
      </c>
      <c r="B333">
        <v>1</v>
      </c>
      <c r="C333" t="s">
        <v>999</v>
      </c>
      <c r="D333" s="3">
        <v>10288.299999999999</v>
      </c>
      <c r="E333" s="3">
        <v>4946.62</v>
      </c>
      <c r="F333" s="3">
        <f t="shared" ref="F333:F396" si="5">D333+E333</f>
        <v>15234.919999999998</v>
      </c>
      <c r="G333" s="3">
        <v>14561.23</v>
      </c>
    </row>
    <row r="334" spans="1:7" x14ac:dyDescent="0.25">
      <c r="A334">
        <v>2888</v>
      </c>
      <c r="B334">
        <v>1</v>
      </c>
      <c r="C334" t="s">
        <v>1001</v>
      </c>
      <c r="D334" s="3">
        <v>14926.79</v>
      </c>
      <c r="E334" s="3">
        <v>8822.9599999999991</v>
      </c>
      <c r="F334" s="3">
        <f t="shared" si="5"/>
        <v>23749.75</v>
      </c>
      <c r="G334" s="3">
        <v>22699.53</v>
      </c>
    </row>
    <row r="335" spans="1:7" x14ac:dyDescent="0.25">
      <c r="A335">
        <v>2889</v>
      </c>
      <c r="B335">
        <v>1</v>
      </c>
      <c r="C335" t="s">
        <v>1003</v>
      </c>
      <c r="D335" s="3">
        <v>24120.959999999999</v>
      </c>
      <c r="E335" s="3">
        <v>10450.49</v>
      </c>
      <c r="F335" s="3">
        <f t="shared" si="5"/>
        <v>34571.449999999997</v>
      </c>
      <c r="G335" s="3">
        <v>33042.69</v>
      </c>
    </row>
    <row r="336" spans="1:7" x14ac:dyDescent="0.25">
      <c r="A336">
        <v>2890</v>
      </c>
      <c r="B336">
        <v>1</v>
      </c>
      <c r="C336" t="s">
        <v>1005</v>
      </c>
      <c r="D336" s="3">
        <v>14323.81</v>
      </c>
      <c r="E336" s="3">
        <v>13225.6</v>
      </c>
      <c r="F336" s="3">
        <f t="shared" si="5"/>
        <v>27549.41</v>
      </c>
      <c r="G336" s="3">
        <v>26331.17</v>
      </c>
    </row>
    <row r="337" spans="1:7" x14ac:dyDescent="0.25">
      <c r="A337">
        <v>2895</v>
      </c>
      <c r="B337">
        <v>1</v>
      </c>
      <c r="C337" t="s">
        <v>1007</v>
      </c>
      <c r="D337" s="3">
        <v>39756.43</v>
      </c>
      <c r="E337" s="3">
        <v>33203.740000000005</v>
      </c>
      <c r="F337" s="3">
        <f t="shared" si="5"/>
        <v>72960.170000000013</v>
      </c>
      <c r="G337" s="3">
        <v>69733.850000000006</v>
      </c>
    </row>
    <row r="338" spans="1:7" x14ac:dyDescent="0.25">
      <c r="A338">
        <v>2897</v>
      </c>
      <c r="B338">
        <v>1</v>
      </c>
      <c r="C338" t="s">
        <v>1009</v>
      </c>
      <c r="D338" s="3">
        <v>37185.120000000003</v>
      </c>
      <c r="E338" s="3">
        <v>36035.72</v>
      </c>
      <c r="F338" s="3">
        <f t="shared" si="5"/>
        <v>73220.84</v>
      </c>
      <c r="G338" s="3">
        <v>69983</v>
      </c>
    </row>
    <row r="339" spans="1:7" x14ac:dyDescent="0.25">
      <c r="A339">
        <v>2898</v>
      </c>
      <c r="B339">
        <v>1</v>
      </c>
      <c r="C339" t="s">
        <v>1011</v>
      </c>
      <c r="D339" s="3">
        <v>14734.98</v>
      </c>
      <c r="E339" s="3">
        <v>14421.82</v>
      </c>
      <c r="F339" s="3">
        <f t="shared" si="5"/>
        <v>29156.799999999999</v>
      </c>
      <c r="G339" s="3">
        <v>27867.48</v>
      </c>
    </row>
    <row r="340" spans="1:7" x14ac:dyDescent="0.25">
      <c r="A340">
        <v>2899</v>
      </c>
      <c r="B340">
        <v>1</v>
      </c>
      <c r="C340" t="s">
        <v>1013</v>
      </c>
      <c r="D340" s="3">
        <v>55894.86</v>
      </c>
      <c r="E340" s="3">
        <v>36853.21</v>
      </c>
      <c r="F340" s="3">
        <f t="shared" si="5"/>
        <v>92748.07</v>
      </c>
      <c r="G340" s="3">
        <v>88646.73</v>
      </c>
    </row>
    <row r="341" spans="1:7" x14ac:dyDescent="0.25">
      <c r="A341">
        <v>2902</v>
      </c>
      <c r="B341">
        <v>1</v>
      </c>
      <c r="C341" t="s">
        <v>1016</v>
      </c>
      <c r="D341" s="3">
        <v>19495.91</v>
      </c>
      <c r="E341" s="3">
        <v>16533.82</v>
      </c>
      <c r="F341" s="3">
        <f t="shared" si="5"/>
        <v>36029.729999999996</v>
      </c>
      <c r="G341" s="3">
        <v>34436.49</v>
      </c>
    </row>
    <row r="342" spans="1:7" x14ac:dyDescent="0.25">
      <c r="A342">
        <v>2903</v>
      </c>
      <c r="B342">
        <v>1</v>
      </c>
      <c r="C342" t="s">
        <v>1018</v>
      </c>
      <c r="D342" s="3">
        <v>11086.75</v>
      </c>
      <c r="E342" s="3">
        <v>12207.02</v>
      </c>
      <c r="F342" s="3">
        <f t="shared" si="5"/>
        <v>23293.77</v>
      </c>
      <c r="G342" s="3">
        <v>22263.71</v>
      </c>
    </row>
    <row r="343" spans="1:7" x14ac:dyDescent="0.25">
      <c r="A343">
        <v>2904</v>
      </c>
      <c r="B343">
        <v>1</v>
      </c>
      <c r="C343" t="s">
        <v>1019</v>
      </c>
      <c r="D343" s="3">
        <v>21173.759999999998</v>
      </c>
      <c r="E343" s="3">
        <v>20099.52</v>
      </c>
      <c r="F343" s="3">
        <f t="shared" si="5"/>
        <v>41273.279999999999</v>
      </c>
      <c r="G343" s="3">
        <v>39448.17</v>
      </c>
    </row>
    <row r="344" spans="1:7" x14ac:dyDescent="0.25">
      <c r="A344">
        <v>4001</v>
      </c>
      <c r="B344">
        <v>7</v>
      </c>
      <c r="C344" t="s">
        <v>1020</v>
      </c>
      <c r="D344" s="3">
        <v>11872.08</v>
      </c>
      <c r="E344" s="3">
        <v>9952.2800000000007</v>
      </c>
      <c r="F344" s="3">
        <f t="shared" si="5"/>
        <v>21824.36</v>
      </c>
      <c r="G344" s="3">
        <v>20859.28</v>
      </c>
    </row>
    <row r="345" spans="1:7" x14ac:dyDescent="0.25">
      <c r="A345">
        <v>4003</v>
      </c>
      <c r="B345">
        <v>7</v>
      </c>
      <c r="C345" t="s">
        <v>1260</v>
      </c>
      <c r="D345" s="3">
        <v>2672.12</v>
      </c>
      <c r="E345" s="3">
        <v>2385</v>
      </c>
      <c r="F345" s="3">
        <f t="shared" si="5"/>
        <v>5057.12</v>
      </c>
      <c r="G345" s="3">
        <v>4833.49</v>
      </c>
    </row>
    <row r="346" spans="1:7" x14ac:dyDescent="0.25">
      <c r="A346">
        <v>4004</v>
      </c>
      <c r="B346">
        <v>7</v>
      </c>
      <c r="C346" t="s">
        <v>1021</v>
      </c>
      <c r="D346" s="3">
        <v>5119.38</v>
      </c>
      <c r="E346" s="3">
        <v>5511.96</v>
      </c>
      <c r="F346" s="3">
        <f t="shared" si="5"/>
        <v>10631.34</v>
      </c>
      <c r="G346" s="3">
        <v>10161.219999999999</v>
      </c>
    </row>
    <row r="347" spans="1:7" x14ac:dyDescent="0.25">
      <c r="A347">
        <v>4005</v>
      </c>
      <c r="B347">
        <v>7</v>
      </c>
      <c r="C347" t="s">
        <v>1261</v>
      </c>
      <c r="D347" s="3">
        <v>1060</v>
      </c>
      <c r="E347" s="3">
        <v>2650</v>
      </c>
      <c r="F347" s="3">
        <f t="shared" si="5"/>
        <v>3710</v>
      </c>
      <c r="G347" s="3">
        <v>3545.94</v>
      </c>
    </row>
    <row r="348" spans="1:7" x14ac:dyDescent="0.25">
      <c r="A348">
        <v>4008</v>
      </c>
      <c r="B348">
        <v>7</v>
      </c>
      <c r="C348" t="s">
        <v>1022</v>
      </c>
      <c r="D348" s="3">
        <v>20904</v>
      </c>
      <c r="E348" s="3">
        <v>20264.919999999998</v>
      </c>
      <c r="F348" s="3">
        <f t="shared" si="5"/>
        <v>41168.92</v>
      </c>
      <c r="G348" s="3">
        <v>39348.42</v>
      </c>
    </row>
    <row r="349" spans="1:7" x14ac:dyDescent="0.25">
      <c r="A349">
        <v>4011</v>
      </c>
      <c r="B349">
        <v>7</v>
      </c>
      <c r="C349" t="s">
        <v>1023</v>
      </c>
      <c r="D349" s="3">
        <v>7076.16</v>
      </c>
      <c r="E349" s="3">
        <v>11362.52</v>
      </c>
      <c r="F349" s="3">
        <f t="shared" si="5"/>
        <v>18438.68</v>
      </c>
      <c r="G349" s="3">
        <v>17623.32</v>
      </c>
    </row>
    <row r="350" spans="1:7" x14ac:dyDescent="0.25">
      <c r="A350">
        <v>4012</v>
      </c>
      <c r="B350">
        <v>7</v>
      </c>
      <c r="C350" t="s">
        <v>1262</v>
      </c>
      <c r="D350" s="3">
        <v>0</v>
      </c>
      <c r="E350" s="3">
        <v>0</v>
      </c>
      <c r="F350" s="3">
        <f t="shared" si="5"/>
        <v>0</v>
      </c>
      <c r="G350" s="3">
        <v>0</v>
      </c>
    </row>
    <row r="351" spans="1:7" x14ac:dyDescent="0.25">
      <c r="A351">
        <v>4015</v>
      </c>
      <c r="B351">
        <v>7</v>
      </c>
      <c r="C351" t="s">
        <v>1024</v>
      </c>
      <c r="D351" s="3">
        <v>13123.76</v>
      </c>
      <c r="E351" s="3">
        <v>21324.48</v>
      </c>
      <c r="F351" s="3">
        <f t="shared" si="5"/>
        <v>34448.239999999998</v>
      </c>
      <c r="G351" s="3">
        <v>32924.93</v>
      </c>
    </row>
    <row r="352" spans="1:7" x14ac:dyDescent="0.25">
      <c r="A352">
        <v>4016</v>
      </c>
      <c r="B352">
        <v>7</v>
      </c>
      <c r="C352" t="s">
        <v>1025</v>
      </c>
      <c r="D352" s="3">
        <v>11692.35</v>
      </c>
      <c r="E352" s="3">
        <v>11587.52</v>
      </c>
      <c r="F352" s="3">
        <f t="shared" si="5"/>
        <v>23279.870000000003</v>
      </c>
      <c r="G352" s="3">
        <v>22250.43</v>
      </c>
    </row>
    <row r="353" spans="1:7" x14ac:dyDescent="0.25">
      <c r="A353">
        <v>4017</v>
      </c>
      <c r="B353">
        <v>7</v>
      </c>
      <c r="C353" t="s">
        <v>1263</v>
      </c>
      <c r="D353" s="3">
        <v>37126.61</v>
      </c>
      <c r="E353" s="3">
        <v>43539.8</v>
      </c>
      <c r="F353" s="3">
        <f t="shared" si="5"/>
        <v>80666.41</v>
      </c>
      <c r="G353" s="3">
        <v>77099.320000000007</v>
      </c>
    </row>
    <row r="354" spans="1:7" x14ac:dyDescent="0.25">
      <c r="A354">
        <v>4018</v>
      </c>
      <c r="B354">
        <v>7</v>
      </c>
      <c r="C354" t="s">
        <v>1029</v>
      </c>
      <c r="D354" s="3">
        <v>13273.27</v>
      </c>
      <c r="E354" s="3">
        <v>20924.400000000001</v>
      </c>
      <c r="F354" s="3">
        <f t="shared" si="5"/>
        <v>34197.67</v>
      </c>
      <c r="G354" s="3">
        <v>32685.439999999999</v>
      </c>
    </row>
    <row r="355" spans="1:7" x14ac:dyDescent="0.25">
      <c r="A355">
        <v>4020</v>
      </c>
      <c r="B355">
        <v>7</v>
      </c>
      <c r="C355" t="s">
        <v>1030</v>
      </c>
      <c r="D355" s="3">
        <v>55096.58</v>
      </c>
      <c r="E355" s="3">
        <v>63682.22</v>
      </c>
      <c r="F355" s="3">
        <f t="shared" si="5"/>
        <v>118778.8</v>
      </c>
      <c r="G355" s="3">
        <v>113526.37</v>
      </c>
    </row>
    <row r="356" spans="1:7" x14ac:dyDescent="0.25">
      <c r="A356">
        <v>4025</v>
      </c>
      <c r="B356">
        <v>7</v>
      </c>
      <c r="C356" t="s">
        <v>1265</v>
      </c>
      <c r="D356" s="3">
        <v>1734.56</v>
      </c>
      <c r="E356" s="3">
        <v>3747.81</v>
      </c>
      <c r="F356" s="3">
        <f t="shared" si="5"/>
        <v>5482.37</v>
      </c>
      <c r="G356" s="3">
        <v>5239.9399999999996</v>
      </c>
    </row>
    <row r="357" spans="1:7" x14ac:dyDescent="0.25">
      <c r="A357">
        <v>4026</v>
      </c>
      <c r="B357">
        <v>7</v>
      </c>
      <c r="C357" t="s">
        <v>1266</v>
      </c>
      <c r="D357" s="3">
        <v>5606.16</v>
      </c>
      <c r="E357" s="3">
        <v>5371.65</v>
      </c>
      <c r="F357" s="3">
        <f t="shared" si="5"/>
        <v>10977.81</v>
      </c>
      <c r="G357" s="3">
        <v>10492.37</v>
      </c>
    </row>
    <row r="358" spans="1:7" x14ac:dyDescent="0.25">
      <c r="A358">
        <v>4027</v>
      </c>
      <c r="B358">
        <v>7</v>
      </c>
      <c r="C358" t="s">
        <v>1033</v>
      </c>
      <c r="D358" s="3">
        <v>21703.5</v>
      </c>
      <c r="E358" s="3">
        <v>26146.42</v>
      </c>
      <c r="F358" s="3">
        <f t="shared" si="5"/>
        <v>47849.919999999998</v>
      </c>
      <c r="G358" s="3">
        <v>45733.99</v>
      </c>
    </row>
    <row r="359" spans="1:7" x14ac:dyDescent="0.25">
      <c r="A359">
        <v>4029</v>
      </c>
      <c r="B359">
        <v>7</v>
      </c>
      <c r="C359" t="s">
        <v>1034</v>
      </c>
      <c r="D359" s="3">
        <v>8422.56</v>
      </c>
      <c r="E359" s="3">
        <v>13490.75</v>
      </c>
      <c r="F359" s="3">
        <f t="shared" si="5"/>
        <v>21913.309999999998</v>
      </c>
      <c r="G359" s="3">
        <v>20944.3</v>
      </c>
    </row>
    <row r="360" spans="1:7" x14ac:dyDescent="0.25">
      <c r="A360">
        <v>4030</v>
      </c>
      <c r="B360">
        <v>7</v>
      </c>
      <c r="C360" t="s">
        <v>1036</v>
      </c>
      <c r="D360" s="3">
        <v>7049</v>
      </c>
      <c r="E360" s="3">
        <v>10934.84</v>
      </c>
      <c r="F360" s="3">
        <f t="shared" si="5"/>
        <v>17983.84</v>
      </c>
      <c r="G360" s="3">
        <v>17188.59</v>
      </c>
    </row>
    <row r="361" spans="1:7" x14ac:dyDescent="0.25">
      <c r="A361">
        <v>4032</v>
      </c>
      <c r="B361">
        <v>7</v>
      </c>
      <c r="C361" t="s">
        <v>1037</v>
      </c>
      <c r="D361" s="3">
        <v>22557.33</v>
      </c>
      <c r="E361" s="3">
        <v>17451.02</v>
      </c>
      <c r="F361" s="3">
        <f t="shared" si="5"/>
        <v>40008.350000000006</v>
      </c>
      <c r="G361" s="3">
        <v>38239.17</v>
      </c>
    </row>
    <row r="362" spans="1:7" x14ac:dyDescent="0.25">
      <c r="A362">
        <v>4035</v>
      </c>
      <c r="B362">
        <v>7</v>
      </c>
      <c r="C362" t="s">
        <v>1038</v>
      </c>
      <c r="D362" s="3">
        <v>16303.68</v>
      </c>
      <c r="E362" s="3">
        <v>13426.54</v>
      </c>
      <c r="F362" s="3">
        <f t="shared" si="5"/>
        <v>29730.22</v>
      </c>
      <c r="G362" s="3">
        <v>28415.54</v>
      </c>
    </row>
    <row r="363" spans="1:7" x14ac:dyDescent="0.25">
      <c r="A363">
        <v>4038</v>
      </c>
      <c r="B363">
        <v>7</v>
      </c>
      <c r="C363" t="s">
        <v>1039</v>
      </c>
      <c r="D363" s="3">
        <v>8545.6</v>
      </c>
      <c r="E363" s="3">
        <v>20026.560000000001</v>
      </c>
      <c r="F363" s="3">
        <f t="shared" si="5"/>
        <v>28572.160000000003</v>
      </c>
      <c r="G363" s="3">
        <v>27308.69</v>
      </c>
    </row>
    <row r="364" spans="1:7" x14ac:dyDescent="0.25">
      <c r="A364">
        <v>4050</v>
      </c>
      <c r="B364">
        <v>7</v>
      </c>
      <c r="C364" t="s">
        <v>1267</v>
      </c>
      <c r="D364" s="3">
        <v>3754.17</v>
      </c>
      <c r="E364" s="3">
        <v>3782.26</v>
      </c>
      <c r="F364" s="3">
        <f t="shared" si="5"/>
        <v>7536.43</v>
      </c>
      <c r="G364" s="3">
        <v>7203.17</v>
      </c>
    </row>
    <row r="365" spans="1:7" x14ac:dyDescent="0.25">
      <c r="A365">
        <v>4054</v>
      </c>
      <c r="B365">
        <v>7</v>
      </c>
      <c r="C365" t="s">
        <v>1269</v>
      </c>
      <c r="D365" s="3">
        <v>2677.92</v>
      </c>
      <c r="E365" s="3">
        <v>2400.58</v>
      </c>
      <c r="F365" s="3">
        <f t="shared" si="5"/>
        <v>5078.5</v>
      </c>
      <c r="G365" s="3">
        <v>4853.93</v>
      </c>
    </row>
    <row r="366" spans="1:7" x14ac:dyDescent="0.25">
      <c r="A366">
        <v>4055</v>
      </c>
      <c r="B366">
        <v>7</v>
      </c>
      <c r="C366" t="s">
        <v>1040</v>
      </c>
      <c r="D366" s="3">
        <v>13317.92</v>
      </c>
      <c r="E366" s="3">
        <v>11326.12</v>
      </c>
      <c r="F366" s="3">
        <f t="shared" si="5"/>
        <v>24644.04</v>
      </c>
      <c r="G366" s="3">
        <v>23554.27</v>
      </c>
    </row>
    <row r="367" spans="1:7" x14ac:dyDescent="0.25">
      <c r="A367">
        <v>4058</v>
      </c>
      <c r="B367">
        <v>7</v>
      </c>
      <c r="C367" t="s">
        <v>1041</v>
      </c>
      <c r="D367" s="3">
        <v>11839.21</v>
      </c>
      <c r="E367" s="3">
        <v>8450.61</v>
      </c>
      <c r="F367" s="3">
        <f t="shared" si="5"/>
        <v>20289.82</v>
      </c>
      <c r="G367" s="3">
        <v>19392.599999999999</v>
      </c>
    </row>
    <row r="368" spans="1:7" x14ac:dyDescent="0.25">
      <c r="A368">
        <v>4059</v>
      </c>
      <c r="B368">
        <v>7</v>
      </c>
      <c r="C368" t="s">
        <v>1270</v>
      </c>
      <c r="D368" s="3">
        <v>7208</v>
      </c>
      <c r="E368" s="3">
        <v>8561.49</v>
      </c>
      <c r="F368" s="3">
        <f t="shared" si="5"/>
        <v>15769.49</v>
      </c>
      <c r="G368" s="3">
        <v>15072.16</v>
      </c>
    </row>
    <row r="369" spans="1:7" x14ac:dyDescent="0.25">
      <c r="A369">
        <v>4064</v>
      </c>
      <c r="B369">
        <v>7</v>
      </c>
      <c r="C369" t="s">
        <v>1271</v>
      </c>
      <c r="D369" s="3">
        <v>1236.6500000000001</v>
      </c>
      <c r="E369" s="3">
        <v>1943.35</v>
      </c>
      <c r="F369" s="3">
        <f t="shared" si="5"/>
        <v>3180</v>
      </c>
      <c r="G369" s="3">
        <v>3039.38</v>
      </c>
    </row>
    <row r="370" spans="1:7" x14ac:dyDescent="0.25">
      <c r="A370">
        <v>4067</v>
      </c>
      <c r="B370">
        <v>7</v>
      </c>
      <c r="C370" t="s">
        <v>1042</v>
      </c>
      <c r="D370" s="3">
        <v>5990.25</v>
      </c>
      <c r="E370" s="3">
        <v>14787</v>
      </c>
      <c r="F370" s="3">
        <f t="shared" si="5"/>
        <v>20777.25</v>
      </c>
      <c r="G370" s="3">
        <v>19858.48</v>
      </c>
    </row>
    <row r="371" spans="1:7" x14ac:dyDescent="0.25">
      <c r="A371">
        <v>4068</v>
      </c>
      <c r="B371">
        <v>7</v>
      </c>
      <c r="C371" t="s">
        <v>1043</v>
      </c>
      <c r="D371" s="3">
        <v>13308.05</v>
      </c>
      <c r="E371" s="3">
        <v>16713.900000000001</v>
      </c>
      <c r="F371" s="3">
        <f t="shared" si="5"/>
        <v>30021.95</v>
      </c>
      <c r="G371" s="3">
        <v>28694.37</v>
      </c>
    </row>
    <row r="372" spans="1:7" x14ac:dyDescent="0.25">
      <c r="A372">
        <v>4070</v>
      </c>
      <c r="B372">
        <v>7</v>
      </c>
      <c r="C372" t="s">
        <v>1044</v>
      </c>
      <c r="D372" s="3">
        <v>8545.68</v>
      </c>
      <c r="E372" s="3">
        <v>22231.56</v>
      </c>
      <c r="F372" s="3">
        <f t="shared" si="5"/>
        <v>30777.24</v>
      </c>
      <c r="G372" s="3">
        <v>29416.26</v>
      </c>
    </row>
    <row r="373" spans="1:7" x14ac:dyDescent="0.25">
      <c r="A373">
        <v>4073</v>
      </c>
      <c r="B373">
        <v>7</v>
      </c>
      <c r="C373" t="s">
        <v>1045</v>
      </c>
      <c r="D373" s="3">
        <v>12839.98</v>
      </c>
      <c r="E373" s="3">
        <v>23113</v>
      </c>
      <c r="F373" s="3">
        <f t="shared" si="5"/>
        <v>35952.979999999996</v>
      </c>
      <c r="G373" s="3">
        <v>34363.129999999997</v>
      </c>
    </row>
    <row r="374" spans="1:7" x14ac:dyDescent="0.25">
      <c r="A374">
        <v>4077</v>
      </c>
      <c r="B374">
        <v>7</v>
      </c>
      <c r="C374" t="s">
        <v>1046</v>
      </c>
      <c r="D374" s="3">
        <v>39361.300000000003</v>
      </c>
      <c r="E374" s="3">
        <v>49092.480000000003</v>
      </c>
      <c r="F374" s="3">
        <f t="shared" si="5"/>
        <v>88453.78</v>
      </c>
      <c r="G374" s="3">
        <v>84542.33</v>
      </c>
    </row>
    <row r="375" spans="1:7" x14ac:dyDescent="0.25">
      <c r="A375">
        <v>4079</v>
      </c>
      <c r="B375">
        <v>7</v>
      </c>
      <c r="C375" t="s">
        <v>1047</v>
      </c>
      <c r="D375" s="3">
        <v>4612.4399999999996</v>
      </c>
      <c r="E375" s="3">
        <v>4164.2700000000004</v>
      </c>
      <c r="F375" s="3">
        <f t="shared" si="5"/>
        <v>8776.7099999999991</v>
      </c>
      <c r="G375" s="3">
        <v>8388.6</v>
      </c>
    </row>
    <row r="376" spans="1:7" x14ac:dyDescent="0.25">
      <c r="A376">
        <v>4083</v>
      </c>
      <c r="B376">
        <v>7</v>
      </c>
      <c r="C376" t="s">
        <v>1048</v>
      </c>
      <c r="D376" s="3">
        <v>5750.5</v>
      </c>
      <c r="E376" s="3">
        <v>5467.42</v>
      </c>
      <c r="F376" s="3">
        <f t="shared" si="5"/>
        <v>11217.92</v>
      </c>
      <c r="G376" s="3">
        <v>10721.86</v>
      </c>
    </row>
    <row r="377" spans="1:7" x14ac:dyDescent="0.25">
      <c r="A377">
        <v>4084</v>
      </c>
      <c r="B377">
        <v>7</v>
      </c>
      <c r="C377" t="s">
        <v>1049</v>
      </c>
      <c r="D377" s="3">
        <v>17705.849999999999</v>
      </c>
      <c r="E377" s="3">
        <v>20073.599999999999</v>
      </c>
      <c r="F377" s="3">
        <f t="shared" si="5"/>
        <v>37779.449999999997</v>
      </c>
      <c r="G377" s="3">
        <v>36108.83</v>
      </c>
    </row>
    <row r="378" spans="1:7" x14ac:dyDescent="0.25">
      <c r="A378">
        <v>4086</v>
      </c>
      <c r="B378">
        <v>7</v>
      </c>
      <c r="C378" t="s">
        <v>1050</v>
      </c>
      <c r="D378" s="3">
        <v>3884.7</v>
      </c>
      <c r="E378" s="3">
        <v>8323.75</v>
      </c>
      <c r="F378" s="3">
        <f t="shared" si="5"/>
        <v>12208.45</v>
      </c>
      <c r="G378" s="3">
        <v>11668.59</v>
      </c>
    </row>
    <row r="379" spans="1:7" x14ac:dyDescent="0.25">
      <c r="A379">
        <v>4088</v>
      </c>
      <c r="B379">
        <v>7</v>
      </c>
      <c r="C379" t="s">
        <v>1051</v>
      </c>
      <c r="D379" s="3">
        <v>5432.5</v>
      </c>
      <c r="E379" s="3">
        <v>15001.14</v>
      </c>
      <c r="F379" s="3">
        <f t="shared" si="5"/>
        <v>20433.64</v>
      </c>
      <c r="G379" s="3">
        <v>19530.060000000001</v>
      </c>
    </row>
    <row r="380" spans="1:7" x14ac:dyDescent="0.25">
      <c r="A380">
        <v>4089</v>
      </c>
      <c r="B380">
        <v>7</v>
      </c>
      <c r="C380" t="s">
        <v>1272</v>
      </c>
      <c r="D380" s="3">
        <v>5249.53</v>
      </c>
      <c r="E380" s="3">
        <v>5088</v>
      </c>
      <c r="F380" s="3">
        <f t="shared" si="5"/>
        <v>10337.529999999999</v>
      </c>
      <c r="G380" s="3">
        <v>9880.4</v>
      </c>
    </row>
    <row r="381" spans="1:7" x14ac:dyDescent="0.25">
      <c r="A381">
        <v>4090</v>
      </c>
      <c r="B381">
        <v>7</v>
      </c>
      <c r="C381" t="s">
        <v>1052</v>
      </c>
      <c r="D381" s="3">
        <v>12637.62</v>
      </c>
      <c r="E381" s="3">
        <v>12638.39</v>
      </c>
      <c r="F381" s="3">
        <f t="shared" si="5"/>
        <v>25276.010000000002</v>
      </c>
      <c r="G381" s="3">
        <v>24158.3</v>
      </c>
    </row>
    <row r="382" spans="1:7" x14ac:dyDescent="0.25">
      <c r="A382">
        <v>4097</v>
      </c>
      <c r="B382">
        <v>7</v>
      </c>
      <c r="C382" t="s">
        <v>1053</v>
      </c>
      <c r="D382" s="3">
        <v>8332.43</v>
      </c>
      <c r="E382" s="3">
        <v>15545.4</v>
      </c>
      <c r="F382" s="3">
        <f t="shared" si="5"/>
        <v>23877.83</v>
      </c>
      <c r="G382" s="3">
        <v>22821.95</v>
      </c>
    </row>
    <row r="383" spans="1:7" x14ac:dyDescent="0.25">
      <c r="A383">
        <v>4098</v>
      </c>
      <c r="B383">
        <v>7</v>
      </c>
      <c r="C383" t="s">
        <v>1054</v>
      </c>
      <c r="D383" s="3">
        <v>37259.040000000001</v>
      </c>
      <c r="E383" s="3">
        <v>32055.279999999999</v>
      </c>
      <c r="F383" s="3">
        <f t="shared" si="5"/>
        <v>69314.320000000007</v>
      </c>
      <c r="G383" s="3">
        <v>66249.22</v>
      </c>
    </row>
    <row r="384" spans="1:7" x14ac:dyDescent="0.25">
      <c r="A384">
        <v>4099</v>
      </c>
      <c r="B384">
        <v>7</v>
      </c>
      <c r="C384" t="s">
        <v>1055</v>
      </c>
      <c r="D384" s="3">
        <v>0</v>
      </c>
      <c r="E384" s="3">
        <v>0</v>
      </c>
      <c r="F384" s="3">
        <f t="shared" si="5"/>
        <v>0</v>
      </c>
      <c r="G384" s="3">
        <v>0</v>
      </c>
    </row>
    <row r="385" spans="1:7" x14ac:dyDescent="0.25">
      <c r="A385">
        <v>4100</v>
      </c>
      <c r="B385">
        <v>7</v>
      </c>
      <c r="C385" t="s">
        <v>1273</v>
      </c>
      <c r="D385" s="3">
        <v>4318.5</v>
      </c>
      <c r="E385" s="3">
        <v>5413.54</v>
      </c>
      <c r="F385" s="3">
        <f t="shared" si="5"/>
        <v>9732.0400000000009</v>
      </c>
      <c r="G385" s="3">
        <v>9301.69</v>
      </c>
    </row>
    <row r="386" spans="1:7" x14ac:dyDescent="0.25">
      <c r="A386">
        <v>4103</v>
      </c>
      <c r="B386">
        <v>7</v>
      </c>
      <c r="C386" t="s">
        <v>1057</v>
      </c>
      <c r="D386" s="3">
        <v>2494.1999999999998</v>
      </c>
      <c r="E386" s="3">
        <v>12710.25</v>
      </c>
      <c r="F386" s="3">
        <f t="shared" si="5"/>
        <v>15204.45</v>
      </c>
      <c r="G386" s="3">
        <v>14532.11</v>
      </c>
    </row>
    <row r="387" spans="1:7" x14ac:dyDescent="0.25">
      <c r="A387">
        <v>4113</v>
      </c>
      <c r="B387">
        <v>7</v>
      </c>
      <c r="C387" t="s">
        <v>1274</v>
      </c>
      <c r="D387" s="3">
        <v>2623.5</v>
      </c>
      <c r="E387" s="3">
        <v>5076.8900000000003</v>
      </c>
      <c r="F387" s="3">
        <f t="shared" si="5"/>
        <v>7700.39</v>
      </c>
      <c r="G387" s="3">
        <v>7359.88</v>
      </c>
    </row>
    <row r="388" spans="1:7" x14ac:dyDescent="0.25">
      <c r="A388">
        <v>4116</v>
      </c>
      <c r="B388">
        <v>7</v>
      </c>
      <c r="C388" t="s">
        <v>1059</v>
      </c>
      <c r="D388" s="3">
        <v>38361.949999999997</v>
      </c>
      <c r="E388" s="3">
        <v>44430.26</v>
      </c>
      <c r="F388" s="3">
        <f t="shared" si="5"/>
        <v>82792.209999999992</v>
      </c>
      <c r="G388" s="3">
        <v>79131.12</v>
      </c>
    </row>
    <row r="389" spans="1:7" x14ac:dyDescent="0.25">
      <c r="A389">
        <v>4118</v>
      </c>
      <c r="B389">
        <v>7</v>
      </c>
      <c r="C389" t="s">
        <v>1060</v>
      </c>
      <c r="D389" s="3">
        <v>22613.279999999999</v>
      </c>
      <c r="E389" s="3">
        <v>19364.64</v>
      </c>
      <c r="F389" s="3">
        <f t="shared" si="5"/>
        <v>41977.919999999998</v>
      </c>
      <c r="G389" s="3">
        <v>40121.65</v>
      </c>
    </row>
    <row r="390" spans="1:7" x14ac:dyDescent="0.25">
      <c r="A390">
        <v>4120</v>
      </c>
      <c r="B390">
        <v>7</v>
      </c>
      <c r="C390" t="s">
        <v>1061</v>
      </c>
      <c r="D390" s="3">
        <v>43607.88</v>
      </c>
      <c r="E390" s="3">
        <v>41217.120000000003</v>
      </c>
      <c r="F390" s="3">
        <f t="shared" si="5"/>
        <v>84825</v>
      </c>
      <c r="G390" s="3">
        <v>81074.02</v>
      </c>
    </row>
    <row r="391" spans="1:7" x14ac:dyDescent="0.25">
      <c r="A391">
        <v>4122</v>
      </c>
      <c r="B391">
        <v>7</v>
      </c>
      <c r="C391" t="s">
        <v>1061</v>
      </c>
      <c r="D391" s="3">
        <v>33329.82</v>
      </c>
      <c r="E391" s="3">
        <v>31392.85</v>
      </c>
      <c r="F391" s="3">
        <f t="shared" si="5"/>
        <v>64722.67</v>
      </c>
      <c r="G391" s="3">
        <v>61860.62</v>
      </c>
    </row>
    <row r="392" spans="1:7" x14ac:dyDescent="0.25">
      <c r="A392">
        <v>4123</v>
      </c>
      <c r="B392">
        <v>7</v>
      </c>
      <c r="C392" t="s">
        <v>1275</v>
      </c>
      <c r="D392" s="3">
        <v>5035.03</v>
      </c>
      <c r="E392" s="3">
        <v>3273.55</v>
      </c>
      <c r="F392" s="3">
        <f t="shared" si="5"/>
        <v>8308.58</v>
      </c>
      <c r="G392" s="3">
        <v>7941.17</v>
      </c>
    </row>
    <row r="393" spans="1:7" x14ac:dyDescent="0.25">
      <c r="A393">
        <v>4124</v>
      </c>
      <c r="B393">
        <v>7</v>
      </c>
      <c r="C393" t="s">
        <v>1062</v>
      </c>
      <c r="D393" s="3">
        <v>22752.48</v>
      </c>
      <c r="E393" s="3">
        <v>21614.400000000001</v>
      </c>
      <c r="F393" s="3">
        <f t="shared" si="5"/>
        <v>44366.880000000005</v>
      </c>
      <c r="G393" s="3">
        <v>42404.97</v>
      </c>
    </row>
    <row r="394" spans="1:7" x14ac:dyDescent="0.25">
      <c r="A394">
        <v>4125</v>
      </c>
      <c r="B394">
        <v>7</v>
      </c>
      <c r="C394" t="s">
        <v>1276</v>
      </c>
      <c r="D394" s="3">
        <v>0</v>
      </c>
      <c r="E394" s="3">
        <v>0</v>
      </c>
      <c r="F394" s="3">
        <f t="shared" si="5"/>
        <v>0</v>
      </c>
      <c r="G394" s="3">
        <v>0</v>
      </c>
    </row>
    <row r="395" spans="1:7" x14ac:dyDescent="0.25">
      <c r="A395">
        <v>4126</v>
      </c>
      <c r="B395">
        <v>7</v>
      </c>
      <c r="C395" t="s">
        <v>1063</v>
      </c>
      <c r="D395" s="3">
        <v>7869.68</v>
      </c>
      <c r="E395" s="3">
        <v>22775.48</v>
      </c>
      <c r="F395" s="3">
        <f t="shared" si="5"/>
        <v>30645.16</v>
      </c>
      <c r="G395" s="3">
        <v>29290.02</v>
      </c>
    </row>
    <row r="396" spans="1:7" x14ac:dyDescent="0.25">
      <c r="A396">
        <v>4127</v>
      </c>
      <c r="B396">
        <v>7</v>
      </c>
      <c r="C396" t="s">
        <v>1064</v>
      </c>
      <c r="D396" s="3">
        <v>10820.75</v>
      </c>
      <c r="E396" s="3">
        <v>6382.14</v>
      </c>
      <c r="F396" s="3">
        <f t="shared" si="5"/>
        <v>17202.89</v>
      </c>
      <c r="G396" s="3">
        <v>16442.169999999998</v>
      </c>
    </row>
    <row r="397" spans="1:7" x14ac:dyDescent="0.25">
      <c r="A397">
        <v>4135</v>
      </c>
      <c r="B397">
        <v>7</v>
      </c>
      <c r="C397" t="s">
        <v>1065</v>
      </c>
      <c r="D397" s="3">
        <v>11085.12</v>
      </c>
      <c r="E397" s="3">
        <v>5905.64</v>
      </c>
      <c r="F397" s="3">
        <f t="shared" ref="F397:F436" si="6">D397+E397</f>
        <v>16990.760000000002</v>
      </c>
      <c r="G397" s="3">
        <v>16239.42</v>
      </c>
    </row>
    <row r="398" spans="1:7" x14ac:dyDescent="0.25">
      <c r="A398">
        <v>4137</v>
      </c>
      <c r="B398">
        <v>7</v>
      </c>
      <c r="C398" t="s">
        <v>1066</v>
      </c>
      <c r="D398" s="3">
        <v>12496.14</v>
      </c>
      <c r="E398" s="3">
        <v>10407.36</v>
      </c>
      <c r="F398" s="3">
        <f t="shared" si="6"/>
        <v>22903.5</v>
      </c>
      <c r="G398" s="3">
        <v>21890.7</v>
      </c>
    </row>
    <row r="399" spans="1:7" x14ac:dyDescent="0.25">
      <c r="A399">
        <v>4138</v>
      </c>
      <c r="B399">
        <v>7</v>
      </c>
      <c r="C399" t="s">
        <v>1277</v>
      </c>
      <c r="D399" s="3">
        <v>3485.79</v>
      </c>
      <c r="E399" s="3">
        <v>3454.8</v>
      </c>
      <c r="F399" s="3">
        <f t="shared" si="6"/>
        <v>6940.59</v>
      </c>
      <c r="G399" s="3">
        <v>6633.68</v>
      </c>
    </row>
    <row r="400" spans="1:7" x14ac:dyDescent="0.25">
      <c r="A400">
        <v>4139</v>
      </c>
      <c r="B400">
        <v>7</v>
      </c>
      <c r="C400" t="s">
        <v>1067</v>
      </c>
      <c r="D400" s="3">
        <v>6958.38</v>
      </c>
      <c r="E400" s="3">
        <v>8380.74</v>
      </c>
      <c r="F400" s="3">
        <f t="shared" si="6"/>
        <v>15339.119999999999</v>
      </c>
      <c r="G400" s="3">
        <v>14660.82</v>
      </c>
    </row>
    <row r="401" spans="1:7" x14ac:dyDescent="0.25">
      <c r="A401">
        <v>4140</v>
      </c>
      <c r="B401">
        <v>7</v>
      </c>
      <c r="C401" t="s">
        <v>1068</v>
      </c>
      <c r="D401" s="3">
        <v>29982.57</v>
      </c>
      <c r="E401" s="3">
        <v>19204.5</v>
      </c>
      <c r="F401" s="3">
        <f t="shared" si="6"/>
        <v>49187.07</v>
      </c>
      <c r="G401" s="3">
        <v>47012.01</v>
      </c>
    </row>
    <row r="402" spans="1:7" x14ac:dyDescent="0.25">
      <c r="A402">
        <v>4141</v>
      </c>
      <c r="B402">
        <v>7</v>
      </c>
      <c r="C402" t="s">
        <v>1069</v>
      </c>
      <c r="D402" s="3">
        <v>19256.599999999999</v>
      </c>
      <c r="E402" s="3">
        <v>17244.919999999998</v>
      </c>
      <c r="F402" s="3">
        <f t="shared" si="6"/>
        <v>36501.519999999997</v>
      </c>
      <c r="G402" s="3">
        <v>34887.410000000003</v>
      </c>
    </row>
    <row r="403" spans="1:7" x14ac:dyDescent="0.25">
      <c r="A403">
        <v>4142</v>
      </c>
      <c r="B403">
        <v>7</v>
      </c>
      <c r="C403" t="s">
        <v>1070</v>
      </c>
      <c r="D403" s="3">
        <v>17844.96</v>
      </c>
      <c r="E403" s="3">
        <v>16774.12</v>
      </c>
      <c r="F403" s="3">
        <f t="shared" si="6"/>
        <v>34619.08</v>
      </c>
      <c r="G403" s="3">
        <v>33088.22</v>
      </c>
    </row>
    <row r="404" spans="1:7" x14ac:dyDescent="0.25">
      <c r="A404">
        <v>4143</v>
      </c>
      <c r="B404">
        <v>7</v>
      </c>
      <c r="C404" t="s">
        <v>1071</v>
      </c>
      <c r="D404" s="3">
        <v>12280.38</v>
      </c>
      <c r="E404" s="3">
        <v>19682.96</v>
      </c>
      <c r="F404" s="3">
        <f t="shared" si="6"/>
        <v>31963.339999999997</v>
      </c>
      <c r="G404" s="3">
        <v>30549.91</v>
      </c>
    </row>
    <row r="405" spans="1:7" x14ac:dyDescent="0.25">
      <c r="A405">
        <v>4144</v>
      </c>
      <c r="B405">
        <v>7</v>
      </c>
      <c r="C405" t="s">
        <v>1278</v>
      </c>
      <c r="D405" s="3">
        <v>3949.33</v>
      </c>
      <c r="E405" s="3">
        <v>3047.52</v>
      </c>
      <c r="F405" s="3">
        <f t="shared" si="6"/>
        <v>6996.85</v>
      </c>
      <c r="G405" s="3">
        <v>6687.45</v>
      </c>
    </row>
    <row r="406" spans="1:7" x14ac:dyDescent="0.25">
      <c r="A406">
        <v>4145</v>
      </c>
      <c r="B406">
        <v>7</v>
      </c>
      <c r="C406" t="s">
        <v>1279</v>
      </c>
      <c r="D406" s="3">
        <v>2473.35</v>
      </c>
      <c r="E406" s="3">
        <v>1445.45</v>
      </c>
      <c r="F406" s="3">
        <f t="shared" si="6"/>
        <v>3918.8</v>
      </c>
      <c r="G406" s="3">
        <v>3745.51</v>
      </c>
    </row>
    <row r="407" spans="1:7" x14ac:dyDescent="0.25">
      <c r="A407">
        <v>4152</v>
      </c>
      <c r="B407">
        <v>7</v>
      </c>
      <c r="C407" t="s">
        <v>1073</v>
      </c>
      <c r="D407" s="3">
        <v>15216.3</v>
      </c>
      <c r="E407" s="3">
        <v>17370.939999999999</v>
      </c>
      <c r="F407" s="3">
        <f t="shared" si="6"/>
        <v>32587.239999999998</v>
      </c>
      <c r="G407" s="3">
        <v>31146.22</v>
      </c>
    </row>
    <row r="408" spans="1:7" x14ac:dyDescent="0.25">
      <c r="A408">
        <v>4153</v>
      </c>
      <c r="B408">
        <v>7</v>
      </c>
      <c r="C408" t="s">
        <v>1074</v>
      </c>
      <c r="D408" s="3">
        <v>9504.18</v>
      </c>
      <c r="E408" s="3">
        <v>13505.28</v>
      </c>
      <c r="F408" s="3">
        <f t="shared" si="6"/>
        <v>23009.46</v>
      </c>
      <c r="G408" s="3">
        <v>21991.98</v>
      </c>
    </row>
    <row r="409" spans="1:7" x14ac:dyDescent="0.25">
      <c r="A409">
        <v>4155</v>
      </c>
      <c r="B409">
        <v>7</v>
      </c>
      <c r="C409" t="s">
        <v>1280</v>
      </c>
      <c r="D409" s="3">
        <v>4309.1400000000003</v>
      </c>
      <c r="E409" s="3">
        <v>1943.37</v>
      </c>
      <c r="F409" s="3">
        <f t="shared" si="6"/>
        <v>6252.51</v>
      </c>
      <c r="G409" s="3">
        <v>5976.02</v>
      </c>
    </row>
    <row r="410" spans="1:7" x14ac:dyDescent="0.25">
      <c r="A410">
        <v>4159</v>
      </c>
      <c r="B410">
        <v>7</v>
      </c>
      <c r="C410" t="s">
        <v>1075</v>
      </c>
      <c r="D410" s="3">
        <v>33578.160000000003</v>
      </c>
      <c r="E410" s="3">
        <v>28135.8</v>
      </c>
      <c r="F410" s="3">
        <f t="shared" si="6"/>
        <v>61713.960000000006</v>
      </c>
      <c r="G410" s="3">
        <v>58984.95</v>
      </c>
    </row>
    <row r="411" spans="1:7" x14ac:dyDescent="0.25">
      <c r="A411">
        <v>4161</v>
      </c>
      <c r="B411">
        <v>7</v>
      </c>
      <c r="C411" t="s">
        <v>1076</v>
      </c>
      <c r="D411" s="3">
        <v>7632.09</v>
      </c>
      <c r="E411" s="3">
        <v>9216.7199999999993</v>
      </c>
      <c r="F411" s="3">
        <f t="shared" si="6"/>
        <v>16848.809999999998</v>
      </c>
      <c r="G411" s="3">
        <v>16103.75</v>
      </c>
    </row>
    <row r="412" spans="1:7" x14ac:dyDescent="0.25">
      <c r="A412">
        <v>4162</v>
      </c>
      <c r="B412">
        <v>7</v>
      </c>
      <c r="C412" t="s">
        <v>1077</v>
      </c>
      <c r="D412" s="3">
        <v>5327.14</v>
      </c>
      <c r="E412" s="3">
        <v>4325.53</v>
      </c>
      <c r="F412" s="3">
        <f t="shared" si="6"/>
        <v>9652.67</v>
      </c>
      <c r="G412" s="3">
        <v>9225.83</v>
      </c>
    </row>
    <row r="413" spans="1:7" x14ac:dyDescent="0.25">
      <c r="A413">
        <v>4163</v>
      </c>
      <c r="B413">
        <v>7</v>
      </c>
      <c r="C413" t="s">
        <v>1078</v>
      </c>
      <c r="D413" s="3">
        <v>4029.9</v>
      </c>
      <c r="E413" s="3">
        <v>6694.8</v>
      </c>
      <c r="F413" s="3">
        <f t="shared" si="6"/>
        <v>10724.7</v>
      </c>
      <c r="G413" s="3">
        <v>10250.450000000001</v>
      </c>
    </row>
    <row r="414" spans="1:7" x14ac:dyDescent="0.25">
      <c r="A414">
        <v>4167</v>
      </c>
      <c r="B414">
        <v>7</v>
      </c>
      <c r="C414" t="s">
        <v>1079</v>
      </c>
      <c r="D414" s="3">
        <v>17622.5</v>
      </c>
      <c r="E414" s="3">
        <v>11157.84</v>
      </c>
      <c r="F414" s="3">
        <f t="shared" si="6"/>
        <v>28780.34</v>
      </c>
      <c r="G414" s="3">
        <v>27507.67</v>
      </c>
    </row>
    <row r="415" spans="1:7" x14ac:dyDescent="0.25">
      <c r="A415">
        <v>4168</v>
      </c>
      <c r="B415">
        <v>7</v>
      </c>
      <c r="C415" t="s">
        <v>1281</v>
      </c>
      <c r="D415" s="3">
        <v>6957.92</v>
      </c>
      <c r="E415" s="3">
        <v>3809.4</v>
      </c>
      <c r="F415" s="3">
        <f t="shared" si="6"/>
        <v>10767.32</v>
      </c>
      <c r="G415" s="3">
        <v>10291.19</v>
      </c>
    </row>
    <row r="416" spans="1:7" x14ac:dyDescent="0.25">
      <c r="A416">
        <v>4169</v>
      </c>
      <c r="B416">
        <v>7</v>
      </c>
      <c r="C416" t="s">
        <v>1080</v>
      </c>
      <c r="D416" s="3">
        <v>2158.56</v>
      </c>
      <c r="E416" s="3">
        <v>11483.42</v>
      </c>
      <c r="F416" s="3">
        <f t="shared" si="6"/>
        <v>13641.98</v>
      </c>
      <c r="G416" s="3">
        <v>13038.73</v>
      </c>
    </row>
    <row r="417" spans="1:7" x14ac:dyDescent="0.25">
      <c r="A417">
        <v>4170</v>
      </c>
      <c r="B417">
        <v>7</v>
      </c>
      <c r="C417" t="s">
        <v>1081</v>
      </c>
      <c r="D417" s="3">
        <v>24419.74</v>
      </c>
      <c r="E417" s="3">
        <v>29689.919999999998</v>
      </c>
      <c r="F417" s="3">
        <f t="shared" si="6"/>
        <v>54109.66</v>
      </c>
      <c r="G417" s="3">
        <v>51716.92</v>
      </c>
    </row>
    <row r="418" spans="1:7" x14ac:dyDescent="0.25">
      <c r="A418">
        <v>4171</v>
      </c>
      <c r="B418">
        <v>7</v>
      </c>
      <c r="C418" t="s">
        <v>1082</v>
      </c>
      <c r="D418" s="3">
        <v>16717.8</v>
      </c>
      <c r="E418" s="3">
        <v>26423.759999999998</v>
      </c>
      <c r="F418" s="3">
        <f t="shared" si="6"/>
        <v>43141.56</v>
      </c>
      <c r="G418" s="3">
        <v>41233.83</v>
      </c>
    </row>
    <row r="419" spans="1:7" x14ac:dyDescent="0.25">
      <c r="A419">
        <v>4172</v>
      </c>
      <c r="B419">
        <v>7</v>
      </c>
      <c r="C419" t="s">
        <v>1282</v>
      </c>
      <c r="D419" s="3">
        <v>3729.6</v>
      </c>
      <c r="E419" s="3">
        <v>3514.77</v>
      </c>
      <c r="F419" s="3">
        <f t="shared" si="6"/>
        <v>7244.37</v>
      </c>
      <c r="G419" s="3">
        <v>6924.02</v>
      </c>
    </row>
    <row r="420" spans="1:7" x14ac:dyDescent="0.25">
      <c r="A420">
        <v>4174</v>
      </c>
      <c r="B420">
        <v>7</v>
      </c>
      <c r="C420" t="s">
        <v>1283</v>
      </c>
      <c r="D420" s="3">
        <v>0</v>
      </c>
      <c r="E420" s="3">
        <v>0</v>
      </c>
      <c r="F420" s="3">
        <f t="shared" si="6"/>
        <v>0</v>
      </c>
      <c r="G420" s="3">
        <v>0</v>
      </c>
    </row>
    <row r="421" spans="1:7" x14ac:dyDescent="0.25">
      <c r="A421">
        <v>4177</v>
      </c>
      <c r="B421">
        <v>7</v>
      </c>
      <c r="C421" t="s">
        <v>1284</v>
      </c>
      <c r="D421" s="3">
        <v>353.34</v>
      </c>
      <c r="E421" s="3">
        <v>1135.71</v>
      </c>
      <c r="F421" s="3">
        <f t="shared" si="6"/>
        <v>1489.05</v>
      </c>
      <c r="G421" s="3">
        <v>1423.2</v>
      </c>
    </row>
    <row r="422" spans="1:7" x14ac:dyDescent="0.25">
      <c r="A422">
        <v>4180</v>
      </c>
      <c r="B422">
        <v>7</v>
      </c>
      <c r="C422" t="s">
        <v>1083</v>
      </c>
      <c r="D422" s="3">
        <v>7273.45</v>
      </c>
      <c r="E422" s="3">
        <v>15502.5</v>
      </c>
      <c r="F422" s="3">
        <f t="shared" si="6"/>
        <v>22775.95</v>
      </c>
      <c r="G422" s="3">
        <v>21768.79</v>
      </c>
    </row>
    <row r="423" spans="1:7" x14ac:dyDescent="0.25">
      <c r="A423">
        <v>4181</v>
      </c>
      <c r="B423">
        <v>7</v>
      </c>
      <c r="C423" t="s">
        <v>1084</v>
      </c>
      <c r="D423" s="3">
        <v>13892.32</v>
      </c>
      <c r="E423" s="3">
        <v>44763.8</v>
      </c>
      <c r="F423" s="3">
        <f t="shared" si="6"/>
        <v>58656.12</v>
      </c>
      <c r="G423" s="3">
        <v>56062.33</v>
      </c>
    </row>
    <row r="424" spans="1:7" x14ac:dyDescent="0.25">
      <c r="A424">
        <v>4184</v>
      </c>
      <c r="B424">
        <v>7</v>
      </c>
      <c r="C424" t="s">
        <v>1085</v>
      </c>
      <c r="D424" s="3">
        <v>22054.560000000001</v>
      </c>
      <c r="E424" s="3">
        <v>17992.060000000001</v>
      </c>
      <c r="F424" s="3">
        <f t="shared" si="6"/>
        <v>40046.620000000003</v>
      </c>
      <c r="G424" s="3">
        <v>38275.75</v>
      </c>
    </row>
    <row r="425" spans="1:7" x14ac:dyDescent="0.25">
      <c r="A425">
        <v>4185</v>
      </c>
      <c r="B425">
        <v>7</v>
      </c>
      <c r="C425" t="s">
        <v>1086</v>
      </c>
      <c r="D425" s="3">
        <v>24955.84</v>
      </c>
      <c r="E425" s="3">
        <v>21950.240000000002</v>
      </c>
      <c r="F425" s="3">
        <f t="shared" si="6"/>
        <v>46906.080000000002</v>
      </c>
      <c r="G425" s="3">
        <v>44831.88</v>
      </c>
    </row>
    <row r="426" spans="1:7" x14ac:dyDescent="0.25">
      <c r="A426">
        <v>4186</v>
      </c>
      <c r="B426">
        <v>7</v>
      </c>
      <c r="C426" t="s">
        <v>1087</v>
      </c>
      <c r="D426" s="3">
        <v>22946.54</v>
      </c>
      <c r="E426" s="3">
        <v>21124.32</v>
      </c>
      <c r="F426" s="3">
        <f t="shared" si="6"/>
        <v>44070.86</v>
      </c>
      <c r="G426" s="3">
        <v>42122.04</v>
      </c>
    </row>
    <row r="427" spans="1:7" x14ac:dyDescent="0.25">
      <c r="A427">
        <v>4187</v>
      </c>
      <c r="B427">
        <v>7</v>
      </c>
      <c r="C427" t="s">
        <v>1285</v>
      </c>
      <c r="D427" s="3">
        <v>3331.44</v>
      </c>
      <c r="E427" s="3">
        <v>5092.62</v>
      </c>
      <c r="F427" s="3">
        <f t="shared" si="6"/>
        <v>8424.06</v>
      </c>
      <c r="G427" s="3">
        <v>8051.55</v>
      </c>
    </row>
    <row r="428" spans="1:7" x14ac:dyDescent="0.25">
      <c r="A428">
        <v>4188</v>
      </c>
      <c r="B428">
        <v>7</v>
      </c>
      <c r="C428" t="s">
        <v>1088</v>
      </c>
      <c r="D428" s="3">
        <v>22430.880000000001</v>
      </c>
      <c r="E428" s="3">
        <v>9044.2900000000009</v>
      </c>
      <c r="F428" s="3">
        <f t="shared" si="6"/>
        <v>31475.170000000002</v>
      </c>
      <c r="G428" s="3">
        <v>30083.33</v>
      </c>
    </row>
    <row r="429" spans="1:7" x14ac:dyDescent="0.25">
      <c r="A429">
        <v>4189</v>
      </c>
      <c r="B429">
        <v>7</v>
      </c>
      <c r="C429" t="s">
        <v>1286</v>
      </c>
      <c r="D429" s="3">
        <v>6042</v>
      </c>
      <c r="E429" s="3">
        <v>5611.8</v>
      </c>
      <c r="F429" s="3">
        <f t="shared" si="6"/>
        <v>11653.8</v>
      </c>
      <c r="G429" s="3">
        <v>11138.47</v>
      </c>
    </row>
    <row r="430" spans="1:7" x14ac:dyDescent="0.25">
      <c r="A430">
        <v>4192</v>
      </c>
      <c r="B430">
        <v>7</v>
      </c>
      <c r="C430" t="s">
        <v>1089</v>
      </c>
      <c r="D430" s="3">
        <v>24029.85</v>
      </c>
      <c r="E430" s="3">
        <v>29947.95</v>
      </c>
      <c r="F430" s="3">
        <f t="shared" si="6"/>
        <v>53977.8</v>
      </c>
      <c r="G430" s="3">
        <v>51590.89</v>
      </c>
    </row>
    <row r="431" spans="1:7" x14ac:dyDescent="0.25">
      <c r="A431">
        <v>4193</v>
      </c>
      <c r="B431">
        <v>7</v>
      </c>
      <c r="C431" t="s">
        <v>1090</v>
      </c>
      <c r="D431" s="3">
        <v>4812.92</v>
      </c>
      <c r="E431" s="3">
        <v>9830.66</v>
      </c>
      <c r="F431" s="3">
        <f t="shared" si="6"/>
        <v>14643.58</v>
      </c>
      <c r="G431" s="3">
        <v>13996.04</v>
      </c>
    </row>
    <row r="432" spans="1:7" x14ac:dyDescent="0.25">
      <c r="A432">
        <v>4194</v>
      </c>
      <c r="B432">
        <v>7</v>
      </c>
      <c r="C432" t="s">
        <v>1091</v>
      </c>
      <c r="D432" s="3">
        <v>9716.6</v>
      </c>
      <c r="E432" s="3">
        <v>8953.1200000000008</v>
      </c>
      <c r="F432" s="3">
        <f t="shared" si="6"/>
        <v>18669.72</v>
      </c>
      <c r="G432" s="3">
        <v>17844.14</v>
      </c>
    </row>
    <row r="433" spans="1:7" x14ac:dyDescent="0.25">
      <c r="A433">
        <v>4195</v>
      </c>
      <c r="B433">
        <v>7</v>
      </c>
      <c r="C433" t="s">
        <v>1287</v>
      </c>
      <c r="D433" s="3">
        <v>908.58</v>
      </c>
      <c r="E433" s="3">
        <v>2312.7199999999998</v>
      </c>
      <c r="F433" s="3">
        <f t="shared" si="6"/>
        <v>3221.2999999999997</v>
      </c>
      <c r="G433" s="3">
        <v>3078.85</v>
      </c>
    </row>
    <row r="434" spans="1:7" x14ac:dyDescent="0.25">
      <c r="A434">
        <v>4198</v>
      </c>
      <c r="B434">
        <v>7</v>
      </c>
      <c r="C434" t="s">
        <v>1302</v>
      </c>
      <c r="D434" s="3">
        <v>7272.82</v>
      </c>
      <c r="E434" s="3">
        <v>819.06</v>
      </c>
      <c r="F434" s="3">
        <f t="shared" si="6"/>
        <v>8091.8799999999992</v>
      </c>
      <c r="G434" s="3">
        <v>7734.06</v>
      </c>
    </row>
    <row r="435" spans="1:7" x14ac:dyDescent="0.25">
      <c r="A435">
        <v>4199</v>
      </c>
      <c r="B435">
        <v>7</v>
      </c>
      <c r="C435" t="s">
        <v>1303</v>
      </c>
      <c r="D435" s="3">
        <v>23944.799999999999</v>
      </c>
      <c r="E435" s="3">
        <v>12442.45</v>
      </c>
      <c r="F435" s="3">
        <f t="shared" si="6"/>
        <v>36387.25</v>
      </c>
      <c r="G435" s="3">
        <v>34778.199999999997</v>
      </c>
    </row>
    <row r="436" spans="1:7" x14ac:dyDescent="0.25">
      <c r="A436">
        <v>4202</v>
      </c>
      <c r="B436">
        <v>7</v>
      </c>
      <c r="C436" t="s">
        <v>1304</v>
      </c>
      <c r="D436" s="3">
        <v>7844</v>
      </c>
      <c r="E436" s="3">
        <v>12366.76</v>
      </c>
      <c r="F436" s="3">
        <f t="shared" si="6"/>
        <v>20210.760000000002</v>
      </c>
      <c r="G436" s="3">
        <v>19317.04</v>
      </c>
    </row>
  </sheetData>
  <printOptions gridLines="1"/>
  <pageMargins left="2" right="0.7" top="0.5" bottom="0.5" header="0.3" footer="0.3"/>
  <pageSetup scale="77" fitToHeight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7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2" max="2" width="4.7109375" customWidth="1"/>
    <col min="3" max="3" width="20.7109375" customWidth="1"/>
    <col min="5" max="5" width="46.140625" customWidth="1"/>
    <col min="8" max="8" width="4.7109375" customWidth="1"/>
    <col min="9" max="9" width="20.7109375" customWidth="1"/>
    <col min="11" max="11" width="46.140625" customWidth="1"/>
  </cols>
  <sheetData>
    <row r="1" spans="1:11" x14ac:dyDescent="0.25">
      <c r="A1" t="s">
        <v>1326</v>
      </c>
      <c r="G1" t="s">
        <v>1327</v>
      </c>
    </row>
    <row r="3" spans="1:11" x14ac:dyDescent="0.25">
      <c r="A3" s="2">
        <v>1</v>
      </c>
      <c r="B3" s="2">
        <v>1</v>
      </c>
      <c r="C3" s="2" t="s">
        <v>0</v>
      </c>
      <c r="D3" s="2">
        <v>2</v>
      </c>
      <c r="E3" s="2" t="s">
        <v>1</v>
      </c>
      <c r="G3">
        <v>2396</v>
      </c>
      <c r="H3" s="2">
        <v>1</v>
      </c>
      <c r="I3" s="2" t="s">
        <v>948</v>
      </c>
      <c r="J3">
        <v>100</v>
      </c>
      <c r="K3" s="2" t="s">
        <v>949</v>
      </c>
    </row>
    <row r="4" spans="1:11" x14ac:dyDescent="0.25">
      <c r="A4">
        <v>1</v>
      </c>
      <c r="B4">
        <v>1</v>
      </c>
      <c r="C4" t="s">
        <v>1151</v>
      </c>
      <c r="D4">
        <v>3</v>
      </c>
      <c r="E4" t="s">
        <v>1152</v>
      </c>
      <c r="G4">
        <v>2396</v>
      </c>
      <c r="H4" s="2">
        <v>1</v>
      </c>
      <c r="I4" s="2" t="s">
        <v>948</v>
      </c>
      <c r="J4">
        <v>200</v>
      </c>
      <c r="K4" s="2" t="s">
        <v>950</v>
      </c>
    </row>
    <row r="5" spans="1:11" x14ac:dyDescent="0.25">
      <c r="A5" s="4">
        <v>1.2</v>
      </c>
      <c r="B5" s="2">
        <v>3</v>
      </c>
      <c r="C5" s="2" t="s">
        <v>2</v>
      </c>
      <c r="D5" s="2">
        <v>103</v>
      </c>
      <c r="E5" s="2" t="s">
        <v>3</v>
      </c>
      <c r="G5">
        <v>4073</v>
      </c>
      <c r="H5" s="2">
        <v>7</v>
      </c>
      <c r="I5" s="2" t="s">
        <v>1045</v>
      </c>
      <c r="J5">
        <v>10</v>
      </c>
      <c r="K5" s="2" t="s">
        <v>1045</v>
      </c>
    </row>
    <row r="6" spans="1:11" x14ac:dyDescent="0.25">
      <c r="A6" s="4">
        <v>1.2</v>
      </c>
      <c r="B6" s="2">
        <v>3</v>
      </c>
      <c r="C6" s="2" t="s">
        <v>2</v>
      </c>
      <c r="D6" s="2">
        <v>105</v>
      </c>
      <c r="E6" s="2" t="s">
        <v>4</v>
      </c>
      <c r="G6">
        <v>4197</v>
      </c>
      <c r="H6">
        <v>7</v>
      </c>
      <c r="I6" t="s">
        <v>1288</v>
      </c>
      <c r="J6">
        <v>10</v>
      </c>
      <c r="K6" t="s">
        <v>1288</v>
      </c>
    </row>
    <row r="7" spans="1:11" x14ac:dyDescent="0.25">
      <c r="A7" s="4">
        <v>1.2</v>
      </c>
      <c r="B7" s="2">
        <v>3</v>
      </c>
      <c r="C7" s="2" t="s">
        <v>2</v>
      </c>
      <c r="D7" s="2">
        <v>106</v>
      </c>
      <c r="E7" s="2" t="s">
        <v>5</v>
      </c>
      <c r="G7">
        <v>4018</v>
      </c>
      <c r="H7" s="2">
        <v>7</v>
      </c>
      <c r="I7" s="2" t="s">
        <v>1029</v>
      </c>
      <c r="J7">
        <v>10</v>
      </c>
      <c r="K7" s="2" t="s">
        <v>1029</v>
      </c>
    </row>
    <row r="8" spans="1:11" x14ac:dyDescent="0.25">
      <c r="A8" s="4">
        <v>1.2</v>
      </c>
      <c r="B8" s="2">
        <v>3</v>
      </c>
      <c r="C8" s="2" t="s">
        <v>2</v>
      </c>
      <c r="D8" s="2">
        <v>107</v>
      </c>
      <c r="E8" s="2" t="s">
        <v>6</v>
      </c>
      <c r="G8">
        <v>2854</v>
      </c>
      <c r="H8" s="2">
        <v>1</v>
      </c>
      <c r="I8" s="2" t="s">
        <v>989</v>
      </c>
      <c r="J8">
        <v>10</v>
      </c>
      <c r="K8" s="2" t="s">
        <v>990</v>
      </c>
    </row>
    <row r="9" spans="1:11" x14ac:dyDescent="0.25">
      <c r="A9" s="4">
        <v>1.2</v>
      </c>
      <c r="B9" s="2">
        <v>3</v>
      </c>
      <c r="C9" s="2" t="s">
        <v>2</v>
      </c>
      <c r="D9" s="2">
        <v>110</v>
      </c>
      <c r="E9" s="2" t="s">
        <v>7</v>
      </c>
      <c r="G9">
        <v>4135</v>
      </c>
      <c r="H9" s="2">
        <v>7</v>
      </c>
      <c r="I9" s="2" t="s">
        <v>1065</v>
      </c>
      <c r="J9">
        <v>10</v>
      </c>
      <c r="K9" s="2" t="s">
        <v>1065</v>
      </c>
    </row>
    <row r="10" spans="1:11" x14ac:dyDescent="0.25">
      <c r="A10" s="4">
        <v>1.2</v>
      </c>
      <c r="B10" s="2">
        <v>3</v>
      </c>
      <c r="C10" s="2" t="s">
        <v>2</v>
      </c>
      <c r="D10" s="2">
        <v>121</v>
      </c>
      <c r="E10" s="2" t="s">
        <v>8</v>
      </c>
      <c r="G10">
        <v>511</v>
      </c>
      <c r="H10" s="2">
        <v>1</v>
      </c>
      <c r="I10" s="2" t="s">
        <v>516</v>
      </c>
      <c r="J10">
        <v>10</v>
      </c>
      <c r="K10" s="2" t="s">
        <v>517</v>
      </c>
    </row>
    <row r="11" spans="1:11" x14ac:dyDescent="0.25">
      <c r="A11" s="4">
        <v>1.2</v>
      </c>
      <c r="B11" s="2">
        <v>3</v>
      </c>
      <c r="C11" s="2" t="s">
        <v>2</v>
      </c>
      <c r="D11">
        <v>123</v>
      </c>
      <c r="E11" s="2" t="s">
        <v>9</v>
      </c>
      <c r="G11" s="2">
        <v>1</v>
      </c>
      <c r="H11" s="2">
        <v>1</v>
      </c>
      <c r="I11" s="2" t="s">
        <v>0</v>
      </c>
      <c r="J11" s="2">
        <v>2</v>
      </c>
      <c r="K11" s="2" t="s">
        <v>1</v>
      </c>
    </row>
    <row r="12" spans="1:11" x14ac:dyDescent="0.25">
      <c r="A12" s="5">
        <v>1.2</v>
      </c>
      <c r="B12" s="5">
        <v>3</v>
      </c>
      <c r="C12" t="s">
        <v>2</v>
      </c>
      <c r="D12" s="5">
        <v>124</v>
      </c>
      <c r="E12" s="6" t="s">
        <v>10</v>
      </c>
      <c r="G12">
        <v>1</v>
      </c>
      <c r="H12">
        <v>1</v>
      </c>
      <c r="I12" t="s">
        <v>1151</v>
      </c>
      <c r="J12">
        <v>3</v>
      </c>
      <c r="K12" t="s">
        <v>1152</v>
      </c>
    </row>
    <row r="13" spans="1:11" x14ac:dyDescent="0.25">
      <c r="A13" s="4">
        <v>1.2</v>
      </c>
      <c r="B13" s="2">
        <v>3</v>
      </c>
      <c r="C13" s="2" t="s">
        <v>2</v>
      </c>
      <c r="D13" s="2">
        <v>130</v>
      </c>
      <c r="E13" s="2" t="s">
        <v>11</v>
      </c>
      <c r="G13">
        <v>745</v>
      </c>
      <c r="H13" s="2">
        <v>1</v>
      </c>
      <c r="I13" s="2" t="s">
        <v>745</v>
      </c>
      <c r="J13">
        <v>10</v>
      </c>
      <c r="K13" s="2" t="s">
        <v>746</v>
      </c>
    </row>
    <row r="14" spans="1:11" x14ac:dyDescent="0.25">
      <c r="A14" s="7">
        <v>1.2</v>
      </c>
      <c r="B14" s="7">
        <v>3</v>
      </c>
      <c r="C14" s="7" t="s">
        <v>2</v>
      </c>
      <c r="D14" s="7">
        <v>134</v>
      </c>
      <c r="E14" s="7" t="s">
        <v>12</v>
      </c>
      <c r="G14">
        <v>745</v>
      </c>
      <c r="H14" s="2">
        <v>1</v>
      </c>
      <c r="I14" s="2" t="s">
        <v>745</v>
      </c>
      <c r="J14">
        <v>30</v>
      </c>
      <c r="K14" s="2" t="s">
        <v>747</v>
      </c>
    </row>
    <row r="15" spans="1:11" x14ac:dyDescent="0.25">
      <c r="A15" s="4">
        <v>1.2</v>
      </c>
      <c r="B15" s="2">
        <v>3</v>
      </c>
      <c r="C15" s="2" t="s">
        <v>2</v>
      </c>
      <c r="D15" s="2">
        <v>135</v>
      </c>
      <c r="E15" s="2" t="s">
        <v>13</v>
      </c>
      <c r="G15" s="2">
        <v>241</v>
      </c>
      <c r="H15" s="2">
        <v>1</v>
      </c>
      <c r="I15" s="2" t="s">
        <v>290</v>
      </c>
      <c r="J15" s="2">
        <v>110</v>
      </c>
      <c r="K15" s="2" t="s">
        <v>291</v>
      </c>
    </row>
    <row r="16" spans="1:11" x14ac:dyDescent="0.25">
      <c r="A16" s="4">
        <v>1.2</v>
      </c>
      <c r="B16" s="2">
        <v>3</v>
      </c>
      <c r="C16" s="2" t="s">
        <v>2</v>
      </c>
      <c r="D16" s="2">
        <v>136</v>
      </c>
      <c r="E16" s="2" t="s">
        <v>14</v>
      </c>
      <c r="G16" s="2">
        <v>241</v>
      </c>
      <c r="H16" s="2">
        <v>1</v>
      </c>
      <c r="I16" s="2" t="s">
        <v>290</v>
      </c>
      <c r="J16" s="2">
        <v>120</v>
      </c>
      <c r="K16" s="2" t="s">
        <v>292</v>
      </c>
    </row>
    <row r="17" spans="1:11" x14ac:dyDescent="0.25">
      <c r="A17" s="5">
        <v>1.2</v>
      </c>
      <c r="B17" s="5">
        <v>3</v>
      </c>
      <c r="C17" t="s">
        <v>2</v>
      </c>
      <c r="D17" s="5">
        <v>139</v>
      </c>
      <c r="E17" s="6" t="s">
        <v>15</v>
      </c>
      <c r="G17" s="2">
        <v>241</v>
      </c>
      <c r="H17" s="2">
        <v>1</v>
      </c>
      <c r="I17" s="2" t="s">
        <v>290</v>
      </c>
      <c r="J17" s="2">
        <v>130</v>
      </c>
      <c r="K17" s="2" t="s">
        <v>233</v>
      </c>
    </row>
    <row r="18" spans="1:11" x14ac:dyDescent="0.25">
      <c r="A18" s="4">
        <v>1.2</v>
      </c>
      <c r="B18" s="2">
        <v>3</v>
      </c>
      <c r="C18" s="2" t="s">
        <v>2</v>
      </c>
      <c r="D18" s="2">
        <v>140</v>
      </c>
      <c r="E18" s="2" t="s">
        <v>16</v>
      </c>
      <c r="G18">
        <v>241</v>
      </c>
      <c r="H18" s="2">
        <v>1</v>
      </c>
      <c r="I18" s="2" t="s">
        <v>290</v>
      </c>
      <c r="J18">
        <v>140</v>
      </c>
      <c r="K18" s="2" t="s">
        <v>293</v>
      </c>
    </row>
    <row r="19" spans="1:11" x14ac:dyDescent="0.25">
      <c r="A19" s="4">
        <v>1.2</v>
      </c>
      <c r="B19" s="2">
        <v>3</v>
      </c>
      <c r="C19" s="2" t="s">
        <v>2</v>
      </c>
      <c r="D19" s="2">
        <v>144</v>
      </c>
      <c r="E19" s="2" t="s">
        <v>17</v>
      </c>
      <c r="G19" s="2">
        <v>242</v>
      </c>
      <c r="H19" s="2">
        <v>1</v>
      </c>
      <c r="I19" s="2" t="s">
        <v>294</v>
      </c>
      <c r="J19" s="2">
        <v>2</v>
      </c>
      <c r="K19" s="2" t="s">
        <v>295</v>
      </c>
    </row>
    <row r="20" spans="1:11" x14ac:dyDescent="0.25">
      <c r="A20" s="4">
        <v>1.2</v>
      </c>
      <c r="B20" s="2">
        <v>3</v>
      </c>
      <c r="C20" s="2" t="s">
        <v>2</v>
      </c>
      <c r="D20" s="2">
        <v>151</v>
      </c>
      <c r="E20" s="2" t="s">
        <v>18</v>
      </c>
      <c r="G20" s="2">
        <v>206</v>
      </c>
      <c r="H20" s="2">
        <v>1</v>
      </c>
      <c r="I20" s="2" t="s">
        <v>274</v>
      </c>
      <c r="J20" s="2">
        <v>110</v>
      </c>
      <c r="K20" s="2" t="s">
        <v>275</v>
      </c>
    </row>
    <row r="21" spans="1:11" x14ac:dyDescent="0.25">
      <c r="A21" s="4">
        <v>1.2</v>
      </c>
      <c r="B21" s="2">
        <v>3</v>
      </c>
      <c r="C21" s="2" t="s">
        <v>2</v>
      </c>
      <c r="D21" s="2">
        <v>152</v>
      </c>
      <c r="E21" s="2" t="s">
        <v>19</v>
      </c>
      <c r="G21" s="2">
        <v>206</v>
      </c>
      <c r="H21" s="2">
        <v>1</v>
      </c>
      <c r="I21" s="2" t="s">
        <v>274</v>
      </c>
      <c r="J21" s="2">
        <v>120</v>
      </c>
      <c r="K21" s="2" t="s">
        <v>201</v>
      </c>
    </row>
    <row r="22" spans="1:11" x14ac:dyDescent="0.25">
      <c r="A22" s="4">
        <v>1.2</v>
      </c>
      <c r="B22" s="2">
        <v>3</v>
      </c>
      <c r="C22" s="2" t="s">
        <v>2</v>
      </c>
      <c r="D22" s="2">
        <v>155</v>
      </c>
      <c r="E22" s="2" t="s">
        <v>20</v>
      </c>
      <c r="G22" s="2">
        <v>206</v>
      </c>
      <c r="H22" s="2">
        <v>1</v>
      </c>
      <c r="I22" s="2" t="s">
        <v>274</v>
      </c>
      <c r="J22" s="2">
        <v>130</v>
      </c>
      <c r="K22" s="2" t="s">
        <v>60</v>
      </c>
    </row>
    <row r="23" spans="1:11" x14ac:dyDescent="0.25">
      <c r="A23" s="4">
        <v>1.2</v>
      </c>
      <c r="B23" s="2">
        <v>3</v>
      </c>
      <c r="C23" s="2" t="s">
        <v>2</v>
      </c>
      <c r="D23" s="2">
        <v>156</v>
      </c>
      <c r="E23" s="2" t="s">
        <v>21</v>
      </c>
      <c r="G23" s="2">
        <v>206</v>
      </c>
      <c r="H23" s="2">
        <v>1</v>
      </c>
      <c r="I23" s="2" t="s">
        <v>274</v>
      </c>
      <c r="J23" s="2">
        <v>140</v>
      </c>
      <c r="K23" s="2" t="s">
        <v>276</v>
      </c>
    </row>
    <row r="24" spans="1:11" x14ac:dyDescent="0.25">
      <c r="A24" s="4">
        <v>1.2</v>
      </c>
      <c r="B24" s="2">
        <v>3</v>
      </c>
      <c r="C24" s="2" t="s">
        <v>2</v>
      </c>
      <c r="D24" s="2">
        <v>160</v>
      </c>
      <c r="E24" s="2" t="s">
        <v>22</v>
      </c>
      <c r="G24" s="2">
        <v>206</v>
      </c>
      <c r="H24" s="2">
        <v>1</v>
      </c>
      <c r="I24" s="2" t="s">
        <v>274</v>
      </c>
      <c r="J24" s="2">
        <v>160</v>
      </c>
      <c r="K24" s="2" t="s">
        <v>277</v>
      </c>
    </row>
    <row r="25" spans="1:11" x14ac:dyDescent="0.25">
      <c r="A25" s="4">
        <v>1.2</v>
      </c>
      <c r="B25" s="2">
        <v>3</v>
      </c>
      <c r="C25" s="2" t="s">
        <v>2</v>
      </c>
      <c r="D25" s="2">
        <v>161</v>
      </c>
      <c r="E25" s="2" t="s">
        <v>23</v>
      </c>
      <c r="G25" s="2">
        <v>206</v>
      </c>
      <c r="H25" s="2">
        <v>1</v>
      </c>
      <c r="I25" s="2" t="s">
        <v>274</v>
      </c>
      <c r="J25" s="2">
        <v>150</v>
      </c>
      <c r="K25" s="2" t="s">
        <v>71</v>
      </c>
    </row>
    <row r="26" spans="1:11" x14ac:dyDescent="0.25">
      <c r="A26" s="4">
        <v>1.2</v>
      </c>
      <c r="B26" s="2">
        <v>3</v>
      </c>
      <c r="C26" s="2" t="s">
        <v>2</v>
      </c>
      <c r="D26">
        <v>165</v>
      </c>
      <c r="E26" s="2" t="s">
        <v>24</v>
      </c>
      <c r="G26">
        <v>876</v>
      </c>
      <c r="H26" s="2">
        <v>1</v>
      </c>
      <c r="I26" s="2" t="s">
        <v>838</v>
      </c>
      <c r="J26">
        <v>1</v>
      </c>
      <c r="K26" s="2" t="s">
        <v>839</v>
      </c>
    </row>
    <row r="27" spans="1:11" x14ac:dyDescent="0.25">
      <c r="A27" s="4">
        <v>1.2</v>
      </c>
      <c r="B27" s="2">
        <v>3</v>
      </c>
      <c r="C27" s="2" t="s">
        <v>2</v>
      </c>
      <c r="D27" s="2">
        <v>167</v>
      </c>
      <c r="E27" s="2" t="s">
        <v>25</v>
      </c>
      <c r="G27" s="2">
        <v>11</v>
      </c>
      <c r="H27" s="2">
        <v>1</v>
      </c>
      <c r="I27" s="2" t="s">
        <v>52</v>
      </c>
      <c r="J27" s="2">
        <v>400</v>
      </c>
      <c r="K27" s="2" t="s">
        <v>53</v>
      </c>
    </row>
    <row r="28" spans="1:11" x14ac:dyDescent="0.25">
      <c r="A28" s="4">
        <v>1.2</v>
      </c>
      <c r="B28" s="2">
        <v>3</v>
      </c>
      <c r="C28" s="2" t="s">
        <v>2</v>
      </c>
      <c r="D28" s="2">
        <v>170</v>
      </c>
      <c r="E28" s="2" t="s">
        <v>26</v>
      </c>
      <c r="G28" s="2">
        <v>11</v>
      </c>
      <c r="H28" s="2">
        <v>1</v>
      </c>
      <c r="I28" s="2" t="s">
        <v>52</v>
      </c>
      <c r="J28" s="2">
        <v>426</v>
      </c>
      <c r="K28" s="2" t="s">
        <v>78</v>
      </c>
    </row>
    <row r="29" spans="1:11" x14ac:dyDescent="0.25">
      <c r="A29" s="4">
        <v>1.2</v>
      </c>
      <c r="B29" s="2">
        <v>3</v>
      </c>
      <c r="C29" s="2" t="s">
        <v>2</v>
      </c>
      <c r="D29" s="2">
        <v>175</v>
      </c>
      <c r="E29" s="2" t="s">
        <v>27</v>
      </c>
      <c r="G29" s="5">
        <v>11</v>
      </c>
      <c r="H29" s="5">
        <v>1</v>
      </c>
      <c r="I29" t="s">
        <v>52</v>
      </c>
      <c r="J29" s="5">
        <v>401</v>
      </c>
      <c r="K29" s="6" t="s">
        <v>54</v>
      </c>
    </row>
    <row r="30" spans="1:11" x14ac:dyDescent="0.25">
      <c r="A30" s="4">
        <v>1.2</v>
      </c>
      <c r="B30" s="2">
        <v>3</v>
      </c>
      <c r="C30" s="2" t="s">
        <v>2</v>
      </c>
      <c r="D30" s="2">
        <v>179</v>
      </c>
      <c r="E30" s="2" t="s">
        <v>28</v>
      </c>
      <c r="G30" s="2">
        <v>11</v>
      </c>
      <c r="H30" s="2">
        <v>1</v>
      </c>
      <c r="I30" s="2" t="s">
        <v>52</v>
      </c>
      <c r="J30" s="2">
        <v>402</v>
      </c>
      <c r="K30" s="2" t="s">
        <v>55</v>
      </c>
    </row>
    <row r="31" spans="1:11" x14ac:dyDescent="0.25">
      <c r="A31" s="4">
        <v>1.2</v>
      </c>
      <c r="B31" s="2">
        <v>3</v>
      </c>
      <c r="C31" s="2" t="s">
        <v>2</v>
      </c>
      <c r="D31" s="2">
        <v>180</v>
      </c>
      <c r="E31" s="2" t="s">
        <v>29</v>
      </c>
      <c r="G31" s="2">
        <v>11</v>
      </c>
      <c r="H31" s="2">
        <v>1</v>
      </c>
      <c r="I31" s="2" t="s">
        <v>52</v>
      </c>
      <c r="J31" s="2">
        <v>424</v>
      </c>
      <c r="K31" s="2" t="s">
        <v>76</v>
      </c>
    </row>
    <row r="32" spans="1:11" x14ac:dyDescent="0.25">
      <c r="A32" s="4">
        <v>1.2</v>
      </c>
      <c r="B32" s="2">
        <v>3</v>
      </c>
      <c r="C32" s="2" t="s">
        <v>2</v>
      </c>
      <c r="D32" s="2">
        <v>190</v>
      </c>
      <c r="E32" s="2" t="s">
        <v>30</v>
      </c>
      <c r="G32" s="2">
        <v>11</v>
      </c>
      <c r="H32" s="2">
        <v>1</v>
      </c>
      <c r="I32" s="2" t="s">
        <v>52</v>
      </c>
      <c r="J32" s="2">
        <v>422</v>
      </c>
      <c r="K32" s="2" t="s">
        <v>74</v>
      </c>
    </row>
    <row r="33" spans="1:11" x14ac:dyDescent="0.25">
      <c r="A33" s="4">
        <v>1.2</v>
      </c>
      <c r="B33" s="2">
        <v>3</v>
      </c>
      <c r="C33" s="2" t="s">
        <v>2</v>
      </c>
      <c r="D33" s="2">
        <v>193</v>
      </c>
      <c r="E33" s="2" t="s">
        <v>32</v>
      </c>
      <c r="G33" s="2">
        <v>11</v>
      </c>
      <c r="H33" s="2">
        <v>1</v>
      </c>
      <c r="I33" s="2" t="s">
        <v>52</v>
      </c>
      <c r="J33" s="2">
        <v>421</v>
      </c>
      <c r="K33" s="2" t="s">
        <v>73</v>
      </c>
    </row>
    <row r="34" spans="1:11" x14ac:dyDescent="0.25">
      <c r="A34" s="5">
        <v>1.2</v>
      </c>
      <c r="B34" s="5">
        <v>3</v>
      </c>
      <c r="C34" t="s">
        <v>2</v>
      </c>
      <c r="D34" s="5">
        <v>210</v>
      </c>
      <c r="E34" s="6" t="s">
        <v>33</v>
      </c>
      <c r="G34" s="2">
        <v>11</v>
      </c>
      <c r="H34" s="2">
        <v>1</v>
      </c>
      <c r="I34" s="2" t="s">
        <v>52</v>
      </c>
      <c r="J34" s="2">
        <v>403</v>
      </c>
      <c r="K34" s="2" t="s">
        <v>56</v>
      </c>
    </row>
    <row r="35" spans="1:11" x14ac:dyDescent="0.25">
      <c r="A35" s="4">
        <v>1.2</v>
      </c>
      <c r="B35" s="2">
        <v>3</v>
      </c>
      <c r="C35" s="2" t="s">
        <v>2</v>
      </c>
      <c r="D35" s="2">
        <v>225</v>
      </c>
      <c r="E35" s="2" t="s">
        <v>34</v>
      </c>
      <c r="G35" s="2">
        <v>11</v>
      </c>
      <c r="H35" s="2">
        <v>1</v>
      </c>
      <c r="I35" s="2" t="s">
        <v>52</v>
      </c>
      <c r="J35" s="2">
        <v>404</v>
      </c>
      <c r="K35" s="2" t="s">
        <v>57</v>
      </c>
    </row>
    <row r="36" spans="1:11" x14ac:dyDescent="0.25">
      <c r="A36" s="4">
        <v>1.2</v>
      </c>
      <c r="B36" s="2">
        <v>3</v>
      </c>
      <c r="C36" s="2" t="s">
        <v>2</v>
      </c>
      <c r="D36" s="2">
        <v>226</v>
      </c>
      <c r="E36" s="2" t="s">
        <v>35</v>
      </c>
      <c r="G36" s="2">
        <v>11</v>
      </c>
      <c r="H36" s="2">
        <v>1</v>
      </c>
      <c r="I36" s="2" t="s">
        <v>52</v>
      </c>
      <c r="J36" s="2">
        <v>405</v>
      </c>
      <c r="K36" s="2" t="s">
        <v>58</v>
      </c>
    </row>
    <row r="37" spans="1:11" x14ac:dyDescent="0.25">
      <c r="A37" s="4">
        <v>1.2</v>
      </c>
      <c r="B37" s="2">
        <v>3</v>
      </c>
      <c r="C37" s="2" t="s">
        <v>2</v>
      </c>
      <c r="D37">
        <v>249</v>
      </c>
      <c r="E37" s="2" t="s">
        <v>36</v>
      </c>
      <c r="G37" s="2">
        <v>11</v>
      </c>
      <c r="H37" s="2">
        <v>1</v>
      </c>
      <c r="I37" s="2" t="s">
        <v>52</v>
      </c>
      <c r="J37" s="2">
        <v>406</v>
      </c>
      <c r="K37" s="2" t="s">
        <v>28</v>
      </c>
    </row>
    <row r="38" spans="1:11" x14ac:dyDescent="0.25">
      <c r="A38" s="4">
        <v>1.2</v>
      </c>
      <c r="B38" s="2">
        <v>3</v>
      </c>
      <c r="C38" s="2" t="s">
        <v>2</v>
      </c>
      <c r="D38" s="2">
        <v>256</v>
      </c>
      <c r="E38" s="2" t="s">
        <v>37</v>
      </c>
      <c r="G38" s="2">
        <v>11</v>
      </c>
      <c r="H38" s="2">
        <v>1</v>
      </c>
      <c r="I38" s="2" t="s">
        <v>52</v>
      </c>
      <c r="J38" s="2">
        <v>407</v>
      </c>
      <c r="K38" s="2" t="s">
        <v>59</v>
      </c>
    </row>
    <row r="39" spans="1:11" x14ac:dyDescent="0.25">
      <c r="A39" s="4">
        <v>1.2</v>
      </c>
      <c r="B39" s="2">
        <v>3</v>
      </c>
      <c r="C39" s="2" t="s">
        <v>2</v>
      </c>
      <c r="D39" s="2">
        <v>260</v>
      </c>
      <c r="E39" s="2" t="s">
        <v>38</v>
      </c>
      <c r="G39" s="5">
        <v>11</v>
      </c>
      <c r="H39" s="5">
        <v>1</v>
      </c>
      <c r="I39" t="s">
        <v>52</v>
      </c>
      <c r="J39" s="5">
        <v>409</v>
      </c>
      <c r="K39" s="6" t="s">
        <v>61</v>
      </c>
    </row>
    <row r="40" spans="1:11" x14ac:dyDescent="0.25">
      <c r="A40" s="4">
        <v>1.2</v>
      </c>
      <c r="B40" s="2">
        <v>3</v>
      </c>
      <c r="C40" s="2" t="s">
        <v>2</v>
      </c>
      <c r="D40" s="2">
        <v>282</v>
      </c>
      <c r="E40" s="2" t="s">
        <v>39</v>
      </c>
      <c r="G40" s="2">
        <v>11</v>
      </c>
      <c r="H40" s="2">
        <v>1</v>
      </c>
      <c r="I40" s="2" t="s">
        <v>52</v>
      </c>
      <c r="J40" s="2">
        <v>408</v>
      </c>
      <c r="K40" s="2" t="s">
        <v>60</v>
      </c>
    </row>
    <row r="41" spans="1:11" x14ac:dyDescent="0.25">
      <c r="A41">
        <v>1.2</v>
      </c>
      <c r="B41">
        <v>3</v>
      </c>
      <c r="C41" t="s">
        <v>1153</v>
      </c>
      <c r="D41">
        <v>283</v>
      </c>
      <c r="E41" t="s">
        <v>1154</v>
      </c>
      <c r="G41" s="2">
        <v>11</v>
      </c>
      <c r="H41" s="2">
        <v>1</v>
      </c>
      <c r="I41" s="2" t="s">
        <v>52</v>
      </c>
      <c r="J41" s="2">
        <v>410</v>
      </c>
      <c r="K41" s="2" t="s">
        <v>62</v>
      </c>
    </row>
    <row r="42" spans="1:11" x14ac:dyDescent="0.25">
      <c r="A42" s="4">
        <v>1.2</v>
      </c>
      <c r="B42" s="2">
        <v>3</v>
      </c>
      <c r="C42" s="2" t="s">
        <v>2</v>
      </c>
      <c r="D42" s="2">
        <v>287</v>
      </c>
      <c r="E42" s="2" t="s">
        <v>40</v>
      </c>
      <c r="G42" s="2">
        <v>11</v>
      </c>
      <c r="H42" s="2">
        <v>1</v>
      </c>
      <c r="I42" s="2" t="s">
        <v>52</v>
      </c>
      <c r="J42" s="2">
        <v>411</v>
      </c>
      <c r="K42" s="2" t="s">
        <v>63</v>
      </c>
    </row>
    <row r="43" spans="1:11" x14ac:dyDescent="0.25">
      <c r="A43" s="4">
        <v>1.2</v>
      </c>
      <c r="B43" s="2">
        <v>3</v>
      </c>
      <c r="C43" s="2" t="s">
        <v>2</v>
      </c>
      <c r="D43" s="2">
        <v>288</v>
      </c>
      <c r="E43" s="2" t="s">
        <v>41</v>
      </c>
      <c r="G43" s="2">
        <v>11</v>
      </c>
      <c r="H43" s="2">
        <v>1</v>
      </c>
      <c r="I43" s="2" t="s">
        <v>52</v>
      </c>
      <c r="J43" s="2">
        <v>412</v>
      </c>
      <c r="K43" s="2" t="s">
        <v>64</v>
      </c>
    </row>
    <row r="44" spans="1:11" x14ac:dyDescent="0.25">
      <c r="A44" s="4">
        <v>1.2</v>
      </c>
      <c r="B44" s="2">
        <v>3</v>
      </c>
      <c r="C44" s="2" t="s">
        <v>2</v>
      </c>
      <c r="D44" s="2">
        <v>289</v>
      </c>
      <c r="E44" s="2" t="s">
        <v>42</v>
      </c>
      <c r="G44" s="2">
        <v>11</v>
      </c>
      <c r="H44" s="2">
        <v>1</v>
      </c>
      <c r="I44" s="2" t="s">
        <v>52</v>
      </c>
      <c r="J44" s="2">
        <v>413</v>
      </c>
      <c r="K44" s="2" t="s">
        <v>65</v>
      </c>
    </row>
    <row r="45" spans="1:11" x14ac:dyDescent="0.25">
      <c r="A45" s="4">
        <v>1.2</v>
      </c>
      <c r="B45" s="2">
        <v>3</v>
      </c>
      <c r="C45" s="2" t="s">
        <v>2</v>
      </c>
      <c r="D45" s="2">
        <v>290</v>
      </c>
      <c r="E45" s="2" t="s">
        <v>43</v>
      </c>
      <c r="G45" s="2">
        <v>11</v>
      </c>
      <c r="H45" s="2">
        <v>1</v>
      </c>
      <c r="I45" s="2" t="s">
        <v>52</v>
      </c>
      <c r="J45" s="2">
        <v>414</v>
      </c>
      <c r="K45" s="2" t="s">
        <v>66</v>
      </c>
    </row>
    <row r="46" spans="1:11" x14ac:dyDescent="0.25">
      <c r="A46" s="4">
        <v>1.2</v>
      </c>
      <c r="B46" s="2">
        <v>3</v>
      </c>
      <c r="C46" s="2" t="s">
        <v>2</v>
      </c>
      <c r="D46" s="2">
        <v>291</v>
      </c>
      <c r="E46" s="2" t="s">
        <v>44</v>
      </c>
      <c r="G46" s="2">
        <v>11</v>
      </c>
      <c r="H46" s="2">
        <v>1</v>
      </c>
      <c r="I46" s="2" t="s">
        <v>52</v>
      </c>
      <c r="J46" s="2">
        <v>425</v>
      </c>
      <c r="K46" s="2" t="s">
        <v>77</v>
      </c>
    </row>
    <row r="47" spans="1:11" x14ac:dyDescent="0.25">
      <c r="A47">
        <v>1.2</v>
      </c>
      <c r="B47">
        <v>3</v>
      </c>
      <c r="C47" t="s">
        <v>1153</v>
      </c>
      <c r="D47">
        <v>311</v>
      </c>
      <c r="E47" t="s">
        <v>1155</v>
      </c>
      <c r="G47" s="2">
        <v>11</v>
      </c>
      <c r="H47" s="2">
        <v>1</v>
      </c>
      <c r="I47" s="2" t="s">
        <v>52</v>
      </c>
      <c r="J47" s="2">
        <v>423</v>
      </c>
      <c r="K47" s="2" t="s">
        <v>75</v>
      </c>
    </row>
    <row r="48" spans="1:11" x14ac:dyDescent="0.25">
      <c r="A48">
        <v>1.2</v>
      </c>
      <c r="B48">
        <v>3</v>
      </c>
      <c r="C48" t="s">
        <v>1153</v>
      </c>
      <c r="D48">
        <v>401</v>
      </c>
      <c r="E48" t="s">
        <v>1156</v>
      </c>
      <c r="G48" s="5">
        <v>11</v>
      </c>
      <c r="H48" s="5">
        <v>1</v>
      </c>
      <c r="I48" t="s">
        <v>52</v>
      </c>
      <c r="J48" s="5">
        <v>416</v>
      </c>
      <c r="K48" s="6" t="s">
        <v>68</v>
      </c>
    </row>
    <row r="49" spans="1:11" x14ac:dyDescent="0.25">
      <c r="A49">
        <v>1.2</v>
      </c>
      <c r="B49">
        <v>3</v>
      </c>
      <c r="C49" t="s">
        <v>1153</v>
      </c>
      <c r="D49">
        <v>405</v>
      </c>
      <c r="E49" t="s">
        <v>1157</v>
      </c>
      <c r="G49" s="2">
        <v>11</v>
      </c>
      <c r="H49" s="2">
        <v>1</v>
      </c>
      <c r="I49" s="2" t="s">
        <v>52</v>
      </c>
      <c r="J49" s="2">
        <v>427</v>
      </c>
      <c r="K49" s="2" t="s">
        <v>79</v>
      </c>
    </row>
    <row r="50" spans="1:11" x14ac:dyDescent="0.25">
      <c r="A50">
        <v>1.2</v>
      </c>
      <c r="B50">
        <v>3</v>
      </c>
      <c r="C50" t="s">
        <v>1153</v>
      </c>
      <c r="D50">
        <v>418</v>
      </c>
      <c r="E50" t="s">
        <v>1158</v>
      </c>
      <c r="G50" s="2">
        <v>11</v>
      </c>
      <c r="H50" s="2">
        <v>1</v>
      </c>
      <c r="I50" s="2" t="s">
        <v>52</v>
      </c>
      <c r="J50" s="2">
        <v>430</v>
      </c>
      <c r="K50" s="2" t="s">
        <v>79</v>
      </c>
    </row>
    <row r="51" spans="1:11" x14ac:dyDescent="0.25">
      <c r="A51">
        <v>1.2</v>
      </c>
      <c r="B51">
        <v>3</v>
      </c>
      <c r="C51" t="s">
        <v>1153</v>
      </c>
      <c r="D51">
        <v>625</v>
      </c>
      <c r="E51" t="s">
        <v>1159</v>
      </c>
      <c r="G51" s="2">
        <v>11</v>
      </c>
      <c r="H51" s="2">
        <v>1</v>
      </c>
      <c r="I51" s="2" t="s">
        <v>52</v>
      </c>
      <c r="J51" s="2">
        <v>417</v>
      </c>
      <c r="K51" s="2" t="s">
        <v>69</v>
      </c>
    </row>
    <row r="52" spans="1:11" x14ac:dyDescent="0.25">
      <c r="A52">
        <v>1.2</v>
      </c>
      <c r="B52">
        <v>3</v>
      </c>
      <c r="C52" t="s">
        <v>1153</v>
      </c>
      <c r="D52">
        <v>689</v>
      </c>
      <c r="E52" t="s">
        <v>1160</v>
      </c>
      <c r="G52" s="5">
        <v>11</v>
      </c>
      <c r="H52" s="5">
        <v>1</v>
      </c>
      <c r="I52" t="s">
        <v>52</v>
      </c>
      <c r="J52" s="5">
        <v>415</v>
      </c>
      <c r="K52" s="6" t="s">
        <v>67</v>
      </c>
    </row>
    <row r="53" spans="1:11" x14ac:dyDescent="0.25">
      <c r="A53" s="2">
        <v>2</v>
      </c>
      <c r="B53" s="2">
        <v>1</v>
      </c>
      <c r="C53" s="2" t="s">
        <v>45</v>
      </c>
      <c r="D53" s="2">
        <v>1</v>
      </c>
      <c r="E53" s="2" t="s">
        <v>46</v>
      </c>
      <c r="G53" s="2">
        <v>11</v>
      </c>
      <c r="H53" s="2">
        <v>1</v>
      </c>
      <c r="I53" s="2" t="s">
        <v>52</v>
      </c>
      <c r="J53" s="2">
        <v>418</v>
      </c>
      <c r="K53" s="2" t="s">
        <v>70</v>
      </c>
    </row>
    <row r="54" spans="1:11" x14ac:dyDescent="0.25">
      <c r="A54" s="2">
        <v>4</v>
      </c>
      <c r="B54" s="2">
        <v>1</v>
      </c>
      <c r="C54" s="2" t="s">
        <v>47</v>
      </c>
      <c r="D54" s="2">
        <v>10</v>
      </c>
      <c r="E54" s="2" t="s">
        <v>48</v>
      </c>
      <c r="G54" s="5">
        <v>11</v>
      </c>
      <c r="H54" s="5">
        <v>1</v>
      </c>
      <c r="I54" t="s">
        <v>52</v>
      </c>
      <c r="J54" s="5">
        <v>419</v>
      </c>
      <c r="K54" s="6" t="s">
        <v>71</v>
      </c>
    </row>
    <row r="55" spans="1:11" x14ac:dyDescent="0.25">
      <c r="A55" s="2">
        <v>6</v>
      </c>
      <c r="B55" s="2">
        <v>3</v>
      </c>
      <c r="C55" s="2" t="s">
        <v>49</v>
      </c>
      <c r="D55" s="2">
        <v>735</v>
      </c>
      <c r="E55" s="2" t="s">
        <v>50</v>
      </c>
      <c r="G55" s="2">
        <v>11</v>
      </c>
      <c r="H55" s="2">
        <v>1</v>
      </c>
      <c r="I55" s="2" t="s">
        <v>52</v>
      </c>
      <c r="J55" s="2">
        <v>420</v>
      </c>
      <c r="K55" s="2" t="s">
        <v>72</v>
      </c>
    </row>
    <row r="56" spans="1:11" x14ac:dyDescent="0.25">
      <c r="A56" s="2">
        <v>6</v>
      </c>
      <c r="B56" s="2">
        <v>3</v>
      </c>
      <c r="C56" s="2" t="s">
        <v>49</v>
      </c>
      <c r="D56" s="2">
        <v>737</v>
      </c>
      <c r="E56" s="2" t="s">
        <v>51</v>
      </c>
      <c r="G56">
        <v>11</v>
      </c>
      <c r="H56">
        <v>1</v>
      </c>
      <c r="I56" t="s">
        <v>1161</v>
      </c>
      <c r="J56">
        <v>440</v>
      </c>
      <c r="K56" t="s">
        <v>1162</v>
      </c>
    </row>
    <row r="57" spans="1:11" x14ac:dyDescent="0.25">
      <c r="A57" s="2">
        <v>11</v>
      </c>
      <c r="B57" s="2">
        <v>1</v>
      </c>
      <c r="C57" s="2" t="s">
        <v>52</v>
      </c>
      <c r="D57" s="2">
        <v>400</v>
      </c>
      <c r="E57" s="2" t="s">
        <v>53</v>
      </c>
      <c r="G57">
        <v>11</v>
      </c>
      <c r="H57">
        <v>1</v>
      </c>
      <c r="I57" t="s">
        <v>1161</v>
      </c>
      <c r="J57">
        <v>467</v>
      </c>
      <c r="K57" t="s">
        <v>1163</v>
      </c>
    </row>
    <row r="58" spans="1:11" x14ac:dyDescent="0.25">
      <c r="A58" s="5">
        <v>11</v>
      </c>
      <c r="B58" s="5">
        <v>1</v>
      </c>
      <c r="C58" t="s">
        <v>52</v>
      </c>
      <c r="D58" s="5">
        <v>401</v>
      </c>
      <c r="E58" s="6" t="s">
        <v>54</v>
      </c>
      <c r="G58" s="2">
        <v>261</v>
      </c>
      <c r="H58" s="2">
        <v>1</v>
      </c>
      <c r="I58" s="2" t="s">
        <v>304</v>
      </c>
      <c r="J58" s="2">
        <v>10</v>
      </c>
      <c r="K58" s="2" t="s">
        <v>305</v>
      </c>
    </row>
    <row r="59" spans="1:11" x14ac:dyDescent="0.25">
      <c r="A59" s="2">
        <v>11</v>
      </c>
      <c r="B59" s="2">
        <v>1</v>
      </c>
      <c r="C59" s="2" t="s">
        <v>52</v>
      </c>
      <c r="D59" s="2">
        <v>402</v>
      </c>
      <c r="E59" s="2" t="s">
        <v>55</v>
      </c>
      <c r="G59">
        <v>4184</v>
      </c>
      <c r="H59" s="2">
        <v>7</v>
      </c>
      <c r="I59" s="2" t="s">
        <v>1085</v>
      </c>
      <c r="J59">
        <v>10</v>
      </c>
      <c r="K59" s="2" t="s">
        <v>1085</v>
      </c>
    </row>
    <row r="60" spans="1:11" x14ac:dyDescent="0.25">
      <c r="A60" s="2">
        <v>11</v>
      </c>
      <c r="B60" s="2">
        <v>1</v>
      </c>
      <c r="C60" s="2" t="s">
        <v>52</v>
      </c>
      <c r="D60" s="2">
        <v>403</v>
      </c>
      <c r="E60" s="2" t="s">
        <v>56</v>
      </c>
      <c r="G60">
        <v>4067</v>
      </c>
      <c r="H60" s="2">
        <v>7</v>
      </c>
      <c r="I60" s="2" t="s">
        <v>1042</v>
      </c>
      <c r="J60">
        <v>10</v>
      </c>
      <c r="K60" s="2" t="s">
        <v>1042</v>
      </c>
    </row>
    <row r="61" spans="1:11" x14ac:dyDescent="0.25">
      <c r="A61" s="2">
        <v>11</v>
      </c>
      <c r="B61" s="2">
        <v>1</v>
      </c>
      <c r="C61" s="2" t="s">
        <v>52</v>
      </c>
      <c r="D61" s="2">
        <v>404</v>
      </c>
      <c r="E61" s="2" t="s">
        <v>57</v>
      </c>
      <c r="G61" s="2">
        <v>492</v>
      </c>
      <c r="H61" s="2">
        <v>1</v>
      </c>
      <c r="I61" s="2" t="s">
        <v>497</v>
      </c>
      <c r="J61" s="2">
        <v>10</v>
      </c>
      <c r="K61" s="2" t="s">
        <v>498</v>
      </c>
    </row>
    <row r="62" spans="1:11" x14ac:dyDescent="0.25">
      <c r="A62" s="2">
        <v>11</v>
      </c>
      <c r="B62" s="2">
        <v>1</v>
      </c>
      <c r="C62" s="2" t="s">
        <v>52</v>
      </c>
      <c r="D62" s="2">
        <v>405</v>
      </c>
      <c r="E62" s="2" t="s">
        <v>58</v>
      </c>
      <c r="G62" s="2">
        <v>492</v>
      </c>
      <c r="H62" s="2">
        <v>1</v>
      </c>
      <c r="I62" s="2" t="s">
        <v>497</v>
      </c>
      <c r="J62" s="2">
        <v>40</v>
      </c>
      <c r="K62" s="2" t="s">
        <v>499</v>
      </c>
    </row>
    <row r="63" spans="1:11" x14ac:dyDescent="0.25">
      <c r="A63" s="2">
        <v>11</v>
      </c>
      <c r="B63" s="2">
        <v>1</v>
      </c>
      <c r="C63" s="2" t="s">
        <v>52</v>
      </c>
      <c r="D63" s="2">
        <v>406</v>
      </c>
      <c r="E63" s="2" t="s">
        <v>28</v>
      </c>
      <c r="G63" s="2">
        <v>492</v>
      </c>
      <c r="H63" s="2">
        <v>1</v>
      </c>
      <c r="I63" s="2" t="s">
        <v>497</v>
      </c>
      <c r="J63" s="2">
        <v>70</v>
      </c>
      <c r="K63" s="2" t="s">
        <v>500</v>
      </c>
    </row>
    <row r="64" spans="1:11" x14ac:dyDescent="0.25">
      <c r="A64" s="2">
        <v>11</v>
      </c>
      <c r="B64" s="2">
        <v>1</v>
      </c>
      <c r="C64" s="2" t="s">
        <v>52</v>
      </c>
      <c r="D64" s="2">
        <v>407</v>
      </c>
      <c r="E64" s="2" t="s">
        <v>59</v>
      </c>
      <c r="G64" s="2">
        <v>492</v>
      </c>
      <c r="H64" s="2">
        <v>1</v>
      </c>
      <c r="I64" s="2" t="s">
        <v>497</v>
      </c>
      <c r="J64" s="2">
        <v>80</v>
      </c>
      <c r="K64" s="2" t="s">
        <v>501</v>
      </c>
    </row>
    <row r="65" spans="1:11" x14ac:dyDescent="0.25">
      <c r="A65" s="2">
        <v>11</v>
      </c>
      <c r="B65" s="2">
        <v>1</v>
      </c>
      <c r="C65" s="2" t="s">
        <v>52</v>
      </c>
      <c r="D65" s="2">
        <v>408</v>
      </c>
      <c r="E65" s="2" t="s">
        <v>60</v>
      </c>
      <c r="G65">
        <v>492</v>
      </c>
      <c r="H65">
        <v>1</v>
      </c>
      <c r="I65" t="s">
        <v>1197</v>
      </c>
      <c r="J65">
        <v>450</v>
      </c>
      <c r="K65" t="s">
        <v>1198</v>
      </c>
    </row>
    <row r="66" spans="1:11" x14ac:dyDescent="0.25">
      <c r="A66" s="5">
        <v>11</v>
      </c>
      <c r="B66" s="5">
        <v>1</v>
      </c>
      <c r="C66" t="s">
        <v>52</v>
      </c>
      <c r="D66" s="5">
        <v>409</v>
      </c>
      <c r="E66" s="6" t="s">
        <v>61</v>
      </c>
      <c r="G66">
        <v>676</v>
      </c>
      <c r="H66" s="2">
        <v>1</v>
      </c>
      <c r="I66" s="2" t="s">
        <v>665</v>
      </c>
      <c r="J66">
        <v>10</v>
      </c>
      <c r="K66" s="2" t="s">
        <v>666</v>
      </c>
    </row>
    <row r="67" spans="1:11" x14ac:dyDescent="0.25">
      <c r="A67" s="2">
        <v>11</v>
      </c>
      <c r="B67" s="2">
        <v>1</v>
      </c>
      <c r="C67" s="2" t="s">
        <v>52</v>
      </c>
      <c r="D67" s="2">
        <v>410</v>
      </c>
      <c r="E67" s="2" t="s">
        <v>62</v>
      </c>
      <c r="G67" s="2">
        <v>162</v>
      </c>
      <c r="H67" s="2">
        <v>1</v>
      </c>
      <c r="I67" s="2" t="s">
        <v>190</v>
      </c>
      <c r="J67" s="2">
        <v>10</v>
      </c>
      <c r="K67" s="2" t="s">
        <v>191</v>
      </c>
    </row>
    <row r="68" spans="1:11" x14ac:dyDescent="0.25">
      <c r="A68" s="2">
        <v>11</v>
      </c>
      <c r="B68" s="2">
        <v>1</v>
      </c>
      <c r="C68" s="2" t="s">
        <v>52</v>
      </c>
      <c r="D68" s="2">
        <v>411</v>
      </c>
      <c r="E68" s="2" t="s">
        <v>63</v>
      </c>
      <c r="G68" s="2">
        <v>146</v>
      </c>
      <c r="H68" s="2">
        <v>1</v>
      </c>
      <c r="I68" s="2" t="s">
        <v>182</v>
      </c>
      <c r="J68" s="2">
        <v>10</v>
      </c>
      <c r="K68" s="2" t="s">
        <v>183</v>
      </c>
    </row>
    <row r="69" spans="1:11" x14ac:dyDescent="0.25">
      <c r="A69" s="2">
        <v>11</v>
      </c>
      <c r="B69" s="2">
        <v>1</v>
      </c>
      <c r="C69" s="2" t="s">
        <v>52</v>
      </c>
      <c r="D69" s="2">
        <v>412</v>
      </c>
      <c r="E69" s="2" t="s">
        <v>64</v>
      </c>
      <c r="G69" s="2">
        <v>91</v>
      </c>
      <c r="H69" s="2">
        <v>1</v>
      </c>
      <c r="I69" s="2" t="s">
        <v>139</v>
      </c>
      <c r="J69" s="2">
        <v>1</v>
      </c>
      <c r="K69" s="2" t="s">
        <v>140</v>
      </c>
    </row>
    <row r="70" spans="1:11" x14ac:dyDescent="0.25">
      <c r="A70" s="2">
        <v>11</v>
      </c>
      <c r="B70" s="2">
        <v>1</v>
      </c>
      <c r="C70" s="2" t="s">
        <v>52</v>
      </c>
      <c r="D70" s="2">
        <v>413</v>
      </c>
      <c r="E70" s="2" t="s">
        <v>65</v>
      </c>
      <c r="G70">
        <v>542</v>
      </c>
      <c r="H70" s="2">
        <v>1</v>
      </c>
      <c r="I70" s="2" t="s">
        <v>540</v>
      </c>
      <c r="J70">
        <v>10</v>
      </c>
      <c r="K70" s="2" t="s">
        <v>541</v>
      </c>
    </row>
    <row r="71" spans="1:11" x14ac:dyDescent="0.25">
      <c r="A71" s="2">
        <v>11</v>
      </c>
      <c r="B71" s="2">
        <v>1</v>
      </c>
      <c r="C71" s="2" t="s">
        <v>52</v>
      </c>
      <c r="D71" s="2">
        <v>414</v>
      </c>
      <c r="E71" s="2" t="s">
        <v>66</v>
      </c>
      <c r="G71">
        <v>4124</v>
      </c>
      <c r="H71" s="2">
        <v>7</v>
      </c>
      <c r="I71" s="2" t="s">
        <v>1062</v>
      </c>
      <c r="J71">
        <v>10</v>
      </c>
      <c r="K71" s="2" t="s">
        <v>1062</v>
      </c>
    </row>
    <row r="72" spans="1:11" x14ac:dyDescent="0.25">
      <c r="A72" s="5">
        <v>11</v>
      </c>
      <c r="B72" s="5">
        <v>1</v>
      </c>
      <c r="C72" t="s">
        <v>52</v>
      </c>
      <c r="D72" s="5">
        <v>415</v>
      </c>
      <c r="E72" s="6" t="s">
        <v>67</v>
      </c>
      <c r="G72">
        <v>726</v>
      </c>
      <c r="H72" s="2">
        <v>1</v>
      </c>
      <c r="I72" s="2" t="s">
        <v>718</v>
      </c>
      <c r="J72">
        <v>10</v>
      </c>
      <c r="K72" s="2" t="s">
        <v>719</v>
      </c>
    </row>
    <row r="73" spans="1:11" x14ac:dyDescent="0.25">
      <c r="A73" s="5">
        <v>11</v>
      </c>
      <c r="B73" s="5">
        <v>1</v>
      </c>
      <c r="C73" t="s">
        <v>52</v>
      </c>
      <c r="D73" s="5">
        <v>416</v>
      </c>
      <c r="E73" s="6" t="s">
        <v>68</v>
      </c>
      <c r="G73">
        <v>2364</v>
      </c>
      <c r="H73" s="2">
        <v>1</v>
      </c>
      <c r="I73" s="2" t="s">
        <v>944</v>
      </c>
      <c r="J73">
        <v>1</v>
      </c>
      <c r="K73" s="2" t="s">
        <v>945</v>
      </c>
    </row>
    <row r="74" spans="1:11" x14ac:dyDescent="0.25">
      <c r="A74" s="2">
        <v>11</v>
      </c>
      <c r="B74" s="2">
        <v>1</v>
      </c>
      <c r="C74" s="2" t="s">
        <v>52</v>
      </c>
      <c r="D74" s="2">
        <v>417</v>
      </c>
      <c r="E74" s="2" t="s">
        <v>69</v>
      </c>
      <c r="G74">
        <v>716</v>
      </c>
      <c r="H74" s="2">
        <v>1</v>
      </c>
      <c r="I74" s="2" t="s">
        <v>697</v>
      </c>
      <c r="J74">
        <v>11</v>
      </c>
      <c r="K74" s="2" t="s">
        <v>698</v>
      </c>
    </row>
    <row r="75" spans="1:11" x14ac:dyDescent="0.25">
      <c r="A75" s="2">
        <v>11</v>
      </c>
      <c r="B75" s="2">
        <v>1</v>
      </c>
      <c r="C75" s="2" t="s">
        <v>52</v>
      </c>
      <c r="D75" s="2">
        <v>418</v>
      </c>
      <c r="E75" s="2" t="s">
        <v>70</v>
      </c>
      <c r="G75" s="2">
        <v>31</v>
      </c>
      <c r="H75" s="2">
        <v>1</v>
      </c>
      <c r="I75" s="2" t="s">
        <v>107</v>
      </c>
      <c r="J75" s="2">
        <v>50</v>
      </c>
      <c r="K75" s="2" t="s">
        <v>110</v>
      </c>
    </row>
    <row r="76" spans="1:11" x14ac:dyDescent="0.25">
      <c r="A76" s="5">
        <v>11</v>
      </c>
      <c r="B76" s="5">
        <v>1</v>
      </c>
      <c r="C76" t="s">
        <v>52</v>
      </c>
      <c r="D76" s="5">
        <v>419</v>
      </c>
      <c r="E76" s="6" t="s">
        <v>71</v>
      </c>
      <c r="G76" s="2">
        <v>31</v>
      </c>
      <c r="H76" s="2">
        <v>1</v>
      </c>
      <c r="I76" s="2" t="s">
        <v>107</v>
      </c>
      <c r="J76" s="2">
        <v>100</v>
      </c>
      <c r="K76" s="2" t="s">
        <v>112</v>
      </c>
    </row>
    <row r="77" spans="1:11" x14ac:dyDescent="0.25">
      <c r="A77" s="2">
        <v>11</v>
      </c>
      <c r="B77" s="2">
        <v>1</v>
      </c>
      <c r="C77" s="2" t="s">
        <v>52</v>
      </c>
      <c r="D77" s="2">
        <v>420</v>
      </c>
      <c r="E77" s="2" t="s">
        <v>72</v>
      </c>
      <c r="G77" s="2">
        <v>31</v>
      </c>
      <c r="H77" s="2">
        <v>1</v>
      </c>
      <c r="I77" s="2" t="s">
        <v>107</v>
      </c>
      <c r="J77" s="2">
        <v>40</v>
      </c>
      <c r="K77" s="2" t="s">
        <v>109</v>
      </c>
    </row>
    <row r="78" spans="1:11" x14ac:dyDescent="0.25">
      <c r="A78" s="2">
        <v>11</v>
      </c>
      <c r="B78" s="2">
        <v>1</v>
      </c>
      <c r="C78" s="2" t="s">
        <v>52</v>
      </c>
      <c r="D78" s="2">
        <v>421</v>
      </c>
      <c r="E78" s="2" t="s">
        <v>73</v>
      </c>
      <c r="G78" s="2">
        <v>31</v>
      </c>
      <c r="H78" s="2">
        <v>1</v>
      </c>
      <c r="I78" s="2" t="s">
        <v>107</v>
      </c>
      <c r="J78" s="2">
        <v>60</v>
      </c>
      <c r="K78" s="2" t="s">
        <v>60</v>
      </c>
    </row>
    <row r="79" spans="1:11" x14ac:dyDescent="0.25">
      <c r="A79" s="2">
        <v>11</v>
      </c>
      <c r="B79" s="2">
        <v>1</v>
      </c>
      <c r="C79" s="2" t="s">
        <v>52</v>
      </c>
      <c r="D79" s="2">
        <v>422</v>
      </c>
      <c r="E79" s="2" t="s">
        <v>74</v>
      </c>
      <c r="G79" s="2">
        <v>31</v>
      </c>
      <c r="H79" s="2">
        <v>1</v>
      </c>
      <c r="I79" s="2" t="s">
        <v>107</v>
      </c>
      <c r="J79" s="2">
        <v>16</v>
      </c>
      <c r="K79" s="2" t="s">
        <v>108</v>
      </c>
    </row>
    <row r="80" spans="1:11" x14ac:dyDescent="0.25">
      <c r="A80" s="2">
        <v>11</v>
      </c>
      <c r="B80" s="2">
        <v>1</v>
      </c>
      <c r="C80" s="2" t="s">
        <v>52</v>
      </c>
      <c r="D80" s="2">
        <v>423</v>
      </c>
      <c r="E80" s="2" t="s">
        <v>75</v>
      </c>
      <c r="G80" s="2">
        <v>31</v>
      </c>
      <c r="H80" s="2">
        <v>1</v>
      </c>
      <c r="I80" s="2" t="s">
        <v>107</v>
      </c>
      <c r="J80" s="2">
        <v>80</v>
      </c>
      <c r="K80" s="2" t="s">
        <v>111</v>
      </c>
    </row>
    <row r="81" spans="1:11" x14ac:dyDescent="0.25">
      <c r="A81" s="2">
        <v>11</v>
      </c>
      <c r="B81" s="2">
        <v>1</v>
      </c>
      <c r="C81" s="2" t="s">
        <v>52</v>
      </c>
      <c r="D81" s="2">
        <v>424</v>
      </c>
      <c r="E81" s="2" t="s">
        <v>76</v>
      </c>
      <c r="G81">
        <v>777</v>
      </c>
      <c r="H81" s="2">
        <v>1</v>
      </c>
      <c r="I81" s="2" t="s">
        <v>765</v>
      </c>
      <c r="J81">
        <v>103</v>
      </c>
      <c r="K81" s="2" t="s">
        <v>766</v>
      </c>
    </row>
    <row r="82" spans="1:11" x14ac:dyDescent="0.25">
      <c r="A82" s="2">
        <v>11</v>
      </c>
      <c r="B82" s="2">
        <v>1</v>
      </c>
      <c r="C82" s="2" t="s">
        <v>52</v>
      </c>
      <c r="D82" s="2">
        <v>425</v>
      </c>
      <c r="E82" s="2" t="s">
        <v>77</v>
      </c>
      <c r="G82">
        <v>777</v>
      </c>
      <c r="H82">
        <v>1</v>
      </c>
      <c r="I82" t="s">
        <v>1237</v>
      </c>
      <c r="J82">
        <v>112</v>
      </c>
      <c r="K82" t="s">
        <v>1238</v>
      </c>
    </row>
    <row r="83" spans="1:11" x14ac:dyDescent="0.25">
      <c r="A83" s="2">
        <v>11</v>
      </c>
      <c r="B83" s="2">
        <v>1</v>
      </c>
      <c r="C83" s="2" t="s">
        <v>52</v>
      </c>
      <c r="D83" s="2">
        <v>426</v>
      </c>
      <c r="E83" s="2" t="s">
        <v>78</v>
      </c>
      <c r="G83">
        <v>786</v>
      </c>
      <c r="H83" s="2">
        <v>1</v>
      </c>
      <c r="I83" s="2" t="s">
        <v>767</v>
      </c>
      <c r="J83">
        <v>10</v>
      </c>
      <c r="K83" s="2" t="s">
        <v>768</v>
      </c>
    </row>
    <row r="84" spans="1:11" x14ac:dyDescent="0.25">
      <c r="A84" s="2">
        <v>11</v>
      </c>
      <c r="B84" s="2">
        <v>1</v>
      </c>
      <c r="C84" s="2" t="s">
        <v>52</v>
      </c>
      <c r="D84" s="2">
        <v>427</v>
      </c>
      <c r="E84" s="2" t="s">
        <v>79</v>
      </c>
      <c r="G84">
        <v>4192</v>
      </c>
      <c r="H84" s="2">
        <v>7</v>
      </c>
      <c r="I84" s="2" t="s">
        <v>1089</v>
      </c>
      <c r="J84">
        <v>10</v>
      </c>
      <c r="K84" s="2" t="s">
        <v>1089</v>
      </c>
    </row>
    <row r="85" spans="1:11" x14ac:dyDescent="0.25">
      <c r="A85" s="2">
        <v>11</v>
      </c>
      <c r="B85" s="2">
        <v>1</v>
      </c>
      <c r="C85" s="2" t="s">
        <v>52</v>
      </c>
      <c r="D85" s="2">
        <v>430</v>
      </c>
      <c r="E85" s="2" t="s">
        <v>79</v>
      </c>
      <c r="G85">
        <v>727</v>
      </c>
      <c r="H85" s="2">
        <v>1</v>
      </c>
      <c r="I85" s="2" t="s">
        <v>720</v>
      </c>
      <c r="J85">
        <v>10</v>
      </c>
      <c r="K85" s="2" t="s">
        <v>721</v>
      </c>
    </row>
    <row r="86" spans="1:11" x14ac:dyDescent="0.25">
      <c r="A86">
        <v>11</v>
      </c>
      <c r="B86">
        <v>1</v>
      </c>
      <c r="C86" t="s">
        <v>1161</v>
      </c>
      <c r="D86">
        <v>440</v>
      </c>
      <c r="E86" t="s">
        <v>1162</v>
      </c>
      <c r="G86">
        <v>727</v>
      </c>
      <c r="H86" s="2">
        <v>1</v>
      </c>
      <c r="I86" s="2" t="s">
        <v>720</v>
      </c>
      <c r="J86">
        <v>40</v>
      </c>
      <c r="K86" s="2" t="s">
        <v>722</v>
      </c>
    </row>
    <row r="87" spans="1:11" x14ac:dyDescent="0.25">
      <c r="A87">
        <v>11</v>
      </c>
      <c r="B87">
        <v>1</v>
      </c>
      <c r="C87" t="s">
        <v>1161</v>
      </c>
      <c r="D87">
        <v>467</v>
      </c>
      <c r="E87" t="s">
        <v>1163</v>
      </c>
      <c r="G87">
        <v>4145</v>
      </c>
      <c r="H87">
        <v>7</v>
      </c>
      <c r="I87" t="s">
        <v>1279</v>
      </c>
      <c r="J87">
        <v>10</v>
      </c>
      <c r="K87" t="s">
        <v>1279</v>
      </c>
    </row>
    <row r="88" spans="1:11" x14ac:dyDescent="0.25">
      <c r="A88" s="2">
        <v>12</v>
      </c>
      <c r="B88" s="2">
        <v>1</v>
      </c>
      <c r="C88" s="2" t="s">
        <v>80</v>
      </c>
      <c r="D88" s="2">
        <v>510</v>
      </c>
      <c r="E88" s="2" t="s">
        <v>81</v>
      </c>
      <c r="G88">
        <v>2534</v>
      </c>
      <c r="H88" s="2">
        <v>1</v>
      </c>
      <c r="I88" s="2" t="s">
        <v>957</v>
      </c>
      <c r="J88">
        <v>15</v>
      </c>
      <c r="K88" s="2" t="s">
        <v>958</v>
      </c>
    </row>
    <row r="89" spans="1:11" x14ac:dyDescent="0.25">
      <c r="A89" s="2">
        <v>12</v>
      </c>
      <c r="B89" s="2">
        <v>1</v>
      </c>
      <c r="C89" s="2" t="s">
        <v>80</v>
      </c>
      <c r="D89" s="2">
        <v>511</v>
      </c>
      <c r="E89" s="2" t="s">
        <v>82</v>
      </c>
      <c r="G89" s="2">
        <v>32</v>
      </c>
      <c r="H89" s="2">
        <v>1</v>
      </c>
      <c r="I89" s="2" t="s">
        <v>113</v>
      </c>
      <c r="J89" s="2">
        <v>10</v>
      </c>
      <c r="K89" s="2" t="s">
        <v>114</v>
      </c>
    </row>
    <row r="90" spans="1:11" x14ac:dyDescent="0.25">
      <c r="A90" s="2">
        <v>12</v>
      </c>
      <c r="B90" s="2">
        <v>1</v>
      </c>
      <c r="C90" s="2" t="s">
        <v>80</v>
      </c>
      <c r="D90" s="2">
        <v>512</v>
      </c>
      <c r="E90" s="2" t="s">
        <v>83</v>
      </c>
      <c r="G90">
        <v>756</v>
      </c>
      <c r="H90" s="2">
        <v>1</v>
      </c>
      <c r="I90" s="2" t="s">
        <v>754</v>
      </c>
      <c r="J90">
        <v>10</v>
      </c>
      <c r="K90" s="2" t="s">
        <v>755</v>
      </c>
    </row>
    <row r="91" spans="1:11" x14ac:dyDescent="0.25">
      <c r="A91" s="2">
        <v>12</v>
      </c>
      <c r="B91" s="2">
        <v>1</v>
      </c>
      <c r="C91" s="2" t="s">
        <v>80</v>
      </c>
      <c r="D91" s="2">
        <v>513</v>
      </c>
      <c r="E91" s="2" t="s">
        <v>84</v>
      </c>
      <c r="G91" s="2">
        <v>271</v>
      </c>
      <c r="H91" s="2">
        <v>1</v>
      </c>
      <c r="I91" s="2" t="s">
        <v>312</v>
      </c>
      <c r="J91" s="2">
        <v>443</v>
      </c>
      <c r="K91" s="2" t="s">
        <v>314</v>
      </c>
    </row>
    <row r="92" spans="1:11" x14ac:dyDescent="0.25">
      <c r="A92" s="2">
        <v>12</v>
      </c>
      <c r="B92" s="2">
        <v>1</v>
      </c>
      <c r="C92" s="2" t="s">
        <v>80</v>
      </c>
      <c r="D92" s="2">
        <v>515</v>
      </c>
      <c r="E92" s="2" t="s">
        <v>85</v>
      </c>
      <c r="G92" s="2">
        <v>271</v>
      </c>
      <c r="H92" s="2">
        <v>1</v>
      </c>
      <c r="I92" s="2" t="s">
        <v>312</v>
      </c>
      <c r="J92" s="2">
        <v>446</v>
      </c>
      <c r="K92" s="2" t="s">
        <v>315</v>
      </c>
    </row>
    <row r="93" spans="1:11" x14ac:dyDescent="0.25">
      <c r="A93" s="2">
        <v>13</v>
      </c>
      <c r="B93" s="2">
        <v>1</v>
      </c>
      <c r="C93" s="2" t="s">
        <v>86</v>
      </c>
      <c r="D93" s="2">
        <v>515</v>
      </c>
      <c r="E93" s="2" t="s">
        <v>87</v>
      </c>
      <c r="G93" s="2">
        <v>271</v>
      </c>
      <c r="H93" s="2">
        <v>1</v>
      </c>
      <c r="I93" s="2" t="s">
        <v>312</v>
      </c>
      <c r="J93" s="2">
        <v>450</v>
      </c>
      <c r="K93" s="2" t="s">
        <v>318</v>
      </c>
    </row>
    <row r="94" spans="1:11" x14ac:dyDescent="0.25">
      <c r="A94" s="2">
        <v>13</v>
      </c>
      <c r="B94" s="2">
        <v>1</v>
      </c>
      <c r="C94" s="2" t="s">
        <v>86</v>
      </c>
      <c r="D94" s="2">
        <v>517</v>
      </c>
      <c r="E94" s="2" t="s">
        <v>88</v>
      </c>
      <c r="G94">
        <v>271</v>
      </c>
      <c r="H94" s="2">
        <v>1</v>
      </c>
      <c r="I94" s="2" t="s">
        <v>312</v>
      </c>
      <c r="J94">
        <v>448</v>
      </c>
      <c r="K94" s="2" t="s">
        <v>317</v>
      </c>
    </row>
    <row r="95" spans="1:11" x14ac:dyDescent="0.25">
      <c r="A95">
        <v>13</v>
      </c>
      <c r="B95" s="2">
        <v>1</v>
      </c>
      <c r="C95" s="2" t="s">
        <v>86</v>
      </c>
      <c r="D95">
        <v>520</v>
      </c>
      <c r="E95" s="2" t="s">
        <v>89</v>
      </c>
      <c r="G95" s="2">
        <v>271</v>
      </c>
      <c r="H95" s="2">
        <v>1</v>
      </c>
      <c r="I95" s="2" t="s">
        <v>312</v>
      </c>
      <c r="J95" s="2">
        <v>447</v>
      </c>
      <c r="K95" s="2" t="s">
        <v>316</v>
      </c>
    </row>
    <row r="96" spans="1:11" x14ac:dyDescent="0.25">
      <c r="A96" s="2">
        <v>14</v>
      </c>
      <c r="B96" s="2">
        <v>1</v>
      </c>
      <c r="C96" s="2" t="s">
        <v>90</v>
      </c>
      <c r="D96" s="2">
        <v>546</v>
      </c>
      <c r="E96" s="2" t="s">
        <v>91</v>
      </c>
      <c r="G96" s="2">
        <v>271</v>
      </c>
      <c r="H96" s="2">
        <v>1</v>
      </c>
      <c r="I96" s="2" t="s">
        <v>312</v>
      </c>
      <c r="J96" s="2">
        <v>454</v>
      </c>
      <c r="K96" s="2" t="s">
        <v>319</v>
      </c>
    </row>
    <row r="97" spans="1:11" x14ac:dyDescent="0.25">
      <c r="A97" s="2">
        <v>14</v>
      </c>
      <c r="B97" s="2">
        <v>1</v>
      </c>
      <c r="C97" s="2" t="s">
        <v>90</v>
      </c>
      <c r="D97" s="2">
        <v>550</v>
      </c>
      <c r="E97" s="2" t="s">
        <v>92</v>
      </c>
      <c r="G97" s="2">
        <v>271</v>
      </c>
      <c r="H97" s="2">
        <v>1</v>
      </c>
      <c r="I97" s="2" t="s">
        <v>312</v>
      </c>
      <c r="J97" s="2">
        <v>455</v>
      </c>
      <c r="K97" s="2" t="s">
        <v>320</v>
      </c>
    </row>
    <row r="98" spans="1:11" x14ac:dyDescent="0.25">
      <c r="A98" s="2">
        <v>15</v>
      </c>
      <c r="B98" s="2">
        <v>1</v>
      </c>
      <c r="C98" s="2" t="s">
        <v>93</v>
      </c>
      <c r="D98" s="2">
        <v>782</v>
      </c>
      <c r="E98" s="2" t="s">
        <v>94</v>
      </c>
      <c r="G98" s="2">
        <v>271</v>
      </c>
      <c r="H98" s="2">
        <v>1</v>
      </c>
      <c r="I98" s="2" t="s">
        <v>312</v>
      </c>
      <c r="J98" s="2">
        <v>459</v>
      </c>
      <c r="K98" s="2" t="s">
        <v>89</v>
      </c>
    </row>
    <row r="99" spans="1:11" x14ac:dyDescent="0.25">
      <c r="A99" s="2">
        <v>15</v>
      </c>
      <c r="B99" s="2">
        <v>1</v>
      </c>
      <c r="C99" s="2" t="s">
        <v>93</v>
      </c>
      <c r="D99" s="2">
        <v>784</v>
      </c>
      <c r="E99" s="2" t="s">
        <v>95</v>
      </c>
      <c r="G99" s="2">
        <v>271</v>
      </c>
      <c r="H99" s="2">
        <v>1</v>
      </c>
      <c r="I99" s="2" t="s">
        <v>312</v>
      </c>
      <c r="J99" s="2">
        <v>432</v>
      </c>
      <c r="K99" s="2" t="s">
        <v>313</v>
      </c>
    </row>
    <row r="100" spans="1:11" x14ac:dyDescent="0.25">
      <c r="A100">
        <v>15</v>
      </c>
      <c r="B100" s="2">
        <v>1</v>
      </c>
      <c r="C100" s="2" t="s">
        <v>93</v>
      </c>
      <c r="D100">
        <v>848</v>
      </c>
      <c r="E100" s="2" t="s">
        <v>96</v>
      </c>
      <c r="G100" s="2">
        <v>271</v>
      </c>
      <c r="H100" s="2">
        <v>1</v>
      </c>
      <c r="I100" s="2" t="s">
        <v>312</v>
      </c>
      <c r="J100" s="2">
        <v>461</v>
      </c>
      <c r="K100" s="2" t="s">
        <v>321</v>
      </c>
    </row>
    <row r="101" spans="1:11" x14ac:dyDescent="0.25">
      <c r="A101" s="2">
        <v>16</v>
      </c>
      <c r="B101" s="2">
        <v>1</v>
      </c>
      <c r="C101" s="2" t="s">
        <v>97</v>
      </c>
      <c r="D101" s="2">
        <v>772</v>
      </c>
      <c r="E101" s="2" t="s">
        <v>98</v>
      </c>
      <c r="G101">
        <v>2860</v>
      </c>
      <c r="H101" s="2">
        <v>1</v>
      </c>
      <c r="I101" s="2" t="s">
        <v>994</v>
      </c>
      <c r="J101">
        <v>10</v>
      </c>
      <c r="K101" s="2" t="s">
        <v>995</v>
      </c>
    </row>
    <row r="102" spans="1:11" x14ac:dyDescent="0.25">
      <c r="A102" s="7">
        <v>16</v>
      </c>
      <c r="B102" s="7">
        <v>1</v>
      </c>
      <c r="C102" s="7" t="s">
        <v>97</v>
      </c>
      <c r="D102" s="7">
        <v>773</v>
      </c>
      <c r="E102" s="7" t="s">
        <v>99</v>
      </c>
      <c r="G102">
        <v>2860</v>
      </c>
      <c r="H102" s="2">
        <v>1</v>
      </c>
      <c r="I102" s="2" t="s">
        <v>994</v>
      </c>
      <c r="J102">
        <v>40</v>
      </c>
      <c r="K102" s="2" t="s">
        <v>996</v>
      </c>
    </row>
    <row r="103" spans="1:11" x14ac:dyDescent="0.25">
      <c r="A103" s="2">
        <v>16</v>
      </c>
      <c r="B103" s="2">
        <v>1</v>
      </c>
      <c r="C103" s="2" t="s">
        <v>97</v>
      </c>
      <c r="D103" s="2">
        <v>774</v>
      </c>
      <c r="E103" s="2" t="s">
        <v>100</v>
      </c>
      <c r="G103">
        <v>4001</v>
      </c>
      <c r="H103" s="2">
        <v>7</v>
      </c>
      <c r="I103" s="2" t="s">
        <v>1020</v>
      </c>
      <c r="J103">
        <v>10</v>
      </c>
      <c r="K103" s="2" t="s">
        <v>1020</v>
      </c>
    </row>
    <row r="104" spans="1:11" x14ac:dyDescent="0.25">
      <c r="A104" s="2">
        <v>16</v>
      </c>
      <c r="B104" s="2">
        <v>1</v>
      </c>
      <c r="C104" s="2" t="s">
        <v>97</v>
      </c>
      <c r="D104" s="2">
        <v>775</v>
      </c>
      <c r="E104" s="2" t="s">
        <v>101</v>
      </c>
      <c r="G104" s="2">
        <v>314</v>
      </c>
      <c r="H104" s="2">
        <v>1</v>
      </c>
      <c r="I104" s="2" t="s">
        <v>407</v>
      </c>
      <c r="J104" s="2">
        <v>2</v>
      </c>
      <c r="K104" s="2" t="s">
        <v>408</v>
      </c>
    </row>
    <row r="105" spans="1:11" x14ac:dyDescent="0.25">
      <c r="A105" s="2">
        <v>22</v>
      </c>
      <c r="B105" s="2">
        <v>1</v>
      </c>
      <c r="C105" s="2" t="s">
        <v>102</v>
      </c>
      <c r="D105" s="2">
        <v>10</v>
      </c>
      <c r="E105" s="2" t="s">
        <v>103</v>
      </c>
      <c r="G105" s="2">
        <v>181</v>
      </c>
      <c r="H105" s="2">
        <v>1</v>
      </c>
      <c r="I105" s="2" t="s">
        <v>199</v>
      </c>
      <c r="J105" s="2">
        <v>4</v>
      </c>
      <c r="K105" s="2" t="s">
        <v>200</v>
      </c>
    </row>
    <row r="106" spans="1:11" x14ac:dyDescent="0.25">
      <c r="A106" s="2">
        <v>22</v>
      </c>
      <c r="B106" s="2">
        <v>1</v>
      </c>
      <c r="C106" s="2" t="s">
        <v>102</v>
      </c>
      <c r="D106" s="2">
        <v>60</v>
      </c>
      <c r="E106" s="2" t="s">
        <v>104</v>
      </c>
      <c r="G106" s="2">
        <v>181</v>
      </c>
      <c r="H106" s="2">
        <v>1</v>
      </c>
      <c r="I106" s="2" t="s">
        <v>199</v>
      </c>
      <c r="J106" s="2">
        <v>8</v>
      </c>
      <c r="K106" s="2" t="s">
        <v>201</v>
      </c>
    </row>
    <row r="107" spans="1:11" x14ac:dyDescent="0.25">
      <c r="A107" s="2">
        <v>23</v>
      </c>
      <c r="B107" s="2">
        <v>1</v>
      </c>
      <c r="C107" s="2" t="s">
        <v>105</v>
      </c>
      <c r="D107" s="2">
        <v>10</v>
      </c>
      <c r="E107" s="2" t="s">
        <v>106</v>
      </c>
      <c r="G107" s="2">
        <v>181</v>
      </c>
      <c r="H107" s="2">
        <v>1</v>
      </c>
      <c r="I107" s="2" t="s">
        <v>199</v>
      </c>
      <c r="J107" s="2">
        <v>9</v>
      </c>
      <c r="K107" s="2" t="s">
        <v>202</v>
      </c>
    </row>
    <row r="108" spans="1:11" x14ac:dyDescent="0.25">
      <c r="A108">
        <v>25</v>
      </c>
      <c r="B108">
        <v>1</v>
      </c>
      <c r="C108" t="s">
        <v>1164</v>
      </c>
      <c r="D108">
        <v>70</v>
      </c>
      <c r="E108" t="s">
        <v>1165</v>
      </c>
      <c r="G108" s="2">
        <v>181</v>
      </c>
      <c r="H108" s="2">
        <v>1</v>
      </c>
      <c r="I108" s="2" t="s">
        <v>199</v>
      </c>
      <c r="J108" s="2">
        <v>11</v>
      </c>
      <c r="K108" s="2" t="s">
        <v>203</v>
      </c>
    </row>
    <row r="109" spans="1:11" x14ac:dyDescent="0.25">
      <c r="A109" s="2">
        <v>31</v>
      </c>
      <c r="B109" s="2">
        <v>1</v>
      </c>
      <c r="C109" s="2" t="s">
        <v>107</v>
      </c>
      <c r="D109" s="2">
        <v>16</v>
      </c>
      <c r="E109" s="2" t="s">
        <v>108</v>
      </c>
      <c r="G109" s="2">
        <v>181</v>
      </c>
      <c r="H109" s="2">
        <v>1</v>
      </c>
      <c r="I109" s="2" t="s">
        <v>199</v>
      </c>
      <c r="J109" s="2">
        <v>15</v>
      </c>
      <c r="K109" s="2" t="s">
        <v>205</v>
      </c>
    </row>
    <row r="110" spans="1:11" x14ac:dyDescent="0.25">
      <c r="A110" s="2">
        <v>31</v>
      </c>
      <c r="B110" s="2">
        <v>1</v>
      </c>
      <c r="C110" s="2" t="s">
        <v>107</v>
      </c>
      <c r="D110" s="2">
        <v>40</v>
      </c>
      <c r="E110" s="2" t="s">
        <v>109</v>
      </c>
      <c r="G110" s="2">
        <v>181</v>
      </c>
      <c r="H110" s="2">
        <v>1</v>
      </c>
      <c r="I110" s="2" t="s">
        <v>199</v>
      </c>
      <c r="J110" s="2">
        <v>12</v>
      </c>
      <c r="K110" s="2" t="s">
        <v>204</v>
      </c>
    </row>
    <row r="111" spans="1:11" x14ac:dyDescent="0.25">
      <c r="A111" s="2">
        <v>31</v>
      </c>
      <c r="B111" s="2">
        <v>1</v>
      </c>
      <c r="C111" s="2" t="s">
        <v>107</v>
      </c>
      <c r="D111" s="2">
        <v>50</v>
      </c>
      <c r="E111" s="2" t="s">
        <v>110</v>
      </c>
      <c r="G111">
        <v>181</v>
      </c>
      <c r="H111">
        <v>1</v>
      </c>
      <c r="I111" t="s">
        <v>1176</v>
      </c>
      <c r="J111">
        <v>17</v>
      </c>
      <c r="K111" t="s">
        <v>1177</v>
      </c>
    </row>
    <row r="112" spans="1:11" x14ac:dyDescent="0.25">
      <c r="A112" s="2">
        <v>31</v>
      </c>
      <c r="B112" s="2">
        <v>1</v>
      </c>
      <c r="C112" s="2" t="s">
        <v>107</v>
      </c>
      <c r="D112" s="2">
        <v>60</v>
      </c>
      <c r="E112" s="2" t="s">
        <v>60</v>
      </c>
      <c r="G112">
        <v>207</v>
      </c>
      <c r="H112" s="2">
        <v>1</v>
      </c>
      <c r="I112" s="2" t="s">
        <v>278</v>
      </c>
      <c r="J112">
        <v>1</v>
      </c>
      <c r="K112" s="2" t="s">
        <v>279</v>
      </c>
    </row>
    <row r="113" spans="1:11" x14ac:dyDescent="0.25">
      <c r="A113" s="2">
        <v>31</v>
      </c>
      <c r="B113" s="2">
        <v>1</v>
      </c>
      <c r="C113" s="2" t="s">
        <v>107</v>
      </c>
      <c r="D113" s="2">
        <v>80</v>
      </c>
      <c r="E113" s="2" t="s">
        <v>111</v>
      </c>
      <c r="G113">
        <v>846</v>
      </c>
      <c r="H113" s="2">
        <v>1</v>
      </c>
      <c r="I113" s="2" t="s">
        <v>827</v>
      </c>
      <c r="J113">
        <v>10</v>
      </c>
      <c r="K113" s="2" t="s">
        <v>828</v>
      </c>
    </row>
    <row r="114" spans="1:11" x14ac:dyDescent="0.25">
      <c r="A114" s="2">
        <v>31</v>
      </c>
      <c r="B114" s="2">
        <v>1</v>
      </c>
      <c r="C114" s="2" t="s">
        <v>107</v>
      </c>
      <c r="D114" s="2">
        <v>100</v>
      </c>
      <c r="E114" s="2" t="s">
        <v>112</v>
      </c>
      <c r="G114">
        <v>513</v>
      </c>
      <c r="H114" s="2">
        <v>1</v>
      </c>
      <c r="I114" s="2" t="s">
        <v>518</v>
      </c>
      <c r="J114">
        <v>10</v>
      </c>
      <c r="K114" s="2" t="s">
        <v>519</v>
      </c>
    </row>
    <row r="115" spans="1:11" x14ac:dyDescent="0.25">
      <c r="A115" s="2">
        <v>32</v>
      </c>
      <c r="B115" s="2">
        <v>1</v>
      </c>
      <c r="C115" s="2" t="s">
        <v>113</v>
      </c>
      <c r="D115" s="2">
        <v>10</v>
      </c>
      <c r="E115" s="2" t="s">
        <v>114</v>
      </c>
      <c r="G115">
        <v>4189</v>
      </c>
      <c r="H115">
        <v>7</v>
      </c>
      <c r="I115" t="s">
        <v>1286</v>
      </c>
      <c r="J115">
        <v>10</v>
      </c>
      <c r="K115" t="s">
        <v>1286</v>
      </c>
    </row>
    <row r="116" spans="1:11" x14ac:dyDescent="0.25">
      <c r="A116" s="2">
        <v>36</v>
      </c>
      <c r="B116" s="2">
        <v>1</v>
      </c>
      <c r="C116" s="2" t="s">
        <v>115</v>
      </c>
      <c r="D116" s="2">
        <v>10</v>
      </c>
      <c r="E116" s="2" t="s">
        <v>116</v>
      </c>
      <c r="G116" s="2">
        <v>286</v>
      </c>
      <c r="H116" s="2">
        <v>1</v>
      </c>
      <c r="I116" s="2" t="s">
        <v>390</v>
      </c>
      <c r="J116" s="2">
        <v>480</v>
      </c>
      <c r="K116" s="2" t="s">
        <v>391</v>
      </c>
    </row>
    <row r="117" spans="1:11" x14ac:dyDescent="0.25">
      <c r="A117" s="2">
        <v>38</v>
      </c>
      <c r="B117" s="2">
        <v>1</v>
      </c>
      <c r="C117" s="2" t="s">
        <v>117</v>
      </c>
      <c r="D117" s="2">
        <v>10</v>
      </c>
      <c r="E117" s="2" t="s">
        <v>118</v>
      </c>
      <c r="G117">
        <v>787</v>
      </c>
      <c r="H117" s="2">
        <v>1</v>
      </c>
      <c r="I117" s="2" t="s">
        <v>769</v>
      </c>
      <c r="J117">
        <v>10</v>
      </c>
      <c r="K117" s="2" t="s">
        <v>770</v>
      </c>
    </row>
    <row r="118" spans="1:11" x14ac:dyDescent="0.25">
      <c r="A118" s="2">
        <v>38</v>
      </c>
      <c r="B118" s="2">
        <v>1</v>
      </c>
      <c r="C118" s="2" t="s">
        <v>117</v>
      </c>
      <c r="D118" s="2">
        <v>20</v>
      </c>
      <c r="E118" s="2" t="s">
        <v>119</v>
      </c>
      <c r="G118">
        <v>801</v>
      </c>
      <c r="H118">
        <v>1</v>
      </c>
      <c r="I118" t="s">
        <v>1239</v>
      </c>
      <c r="J118">
        <v>10</v>
      </c>
      <c r="K118" t="s">
        <v>1240</v>
      </c>
    </row>
    <row r="119" spans="1:11" x14ac:dyDescent="0.25">
      <c r="A119" s="2">
        <v>47</v>
      </c>
      <c r="B119" s="2">
        <v>1</v>
      </c>
      <c r="C119" s="2" t="s">
        <v>120</v>
      </c>
      <c r="D119" s="2">
        <v>3</v>
      </c>
      <c r="E119" s="2" t="s">
        <v>121</v>
      </c>
      <c r="G119">
        <v>2159</v>
      </c>
      <c r="H119" s="2">
        <v>1</v>
      </c>
      <c r="I119" s="2" t="s">
        <v>899</v>
      </c>
      <c r="J119">
        <v>10</v>
      </c>
      <c r="K119" s="2" t="s">
        <v>900</v>
      </c>
    </row>
    <row r="120" spans="1:11" x14ac:dyDescent="0.25">
      <c r="A120" s="2">
        <v>47</v>
      </c>
      <c r="B120" s="2">
        <v>1</v>
      </c>
      <c r="C120" s="2" t="s">
        <v>120</v>
      </c>
      <c r="D120" s="2">
        <v>6</v>
      </c>
      <c r="E120" s="2" t="s">
        <v>122</v>
      </c>
      <c r="G120">
        <v>877</v>
      </c>
      <c r="H120" s="2">
        <v>1</v>
      </c>
      <c r="I120" s="2" t="s">
        <v>840</v>
      </c>
      <c r="J120">
        <v>70</v>
      </c>
      <c r="K120" s="2" t="s">
        <v>846</v>
      </c>
    </row>
    <row r="121" spans="1:11" x14ac:dyDescent="0.25">
      <c r="A121" s="2">
        <v>47</v>
      </c>
      <c r="B121" s="2">
        <v>1</v>
      </c>
      <c r="C121" s="2" t="s">
        <v>120</v>
      </c>
      <c r="D121" s="2">
        <v>7</v>
      </c>
      <c r="E121" s="2" t="s">
        <v>123</v>
      </c>
      <c r="G121">
        <v>877</v>
      </c>
      <c r="H121" s="2">
        <v>1</v>
      </c>
      <c r="I121" s="2" t="s">
        <v>840</v>
      </c>
      <c r="J121">
        <v>20</v>
      </c>
      <c r="K121" s="2" t="s">
        <v>842</v>
      </c>
    </row>
    <row r="122" spans="1:11" x14ac:dyDescent="0.25">
      <c r="A122" s="2">
        <v>51</v>
      </c>
      <c r="B122" s="2">
        <v>1</v>
      </c>
      <c r="C122" s="2" t="s">
        <v>124</v>
      </c>
      <c r="D122" s="2">
        <v>10</v>
      </c>
      <c r="E122" s="2" t="s">
        <v>125</v>
      </c>
      <c r="G122">
        <v>877</v>
      </c>
      <c r="H122" s="2">
        <v>1</v>
      </c>
      <c r="I122" s="2" t="s">
        <v>840</v>
      </c>
      <c r="J122">
        <v>50</v>
      </c>
      <c r="K122" s="2" t="s">
        <v>843</v>
      </c>
    </row>
    <row r="123" spans="1:11" x14ac:dyDescent="0.25">
      <c r="A123" s="7">
        <v>51</v>
      </c>
      <c r="B123" s="7">
        <v>1</v>
      </c>
      <c r="C123" s="7" t="s">
        <v>124</v>
      </c>
      <c r="D123" s="7">
        <v>30</v>
      </c>
      <c r="E123" s="7" t="s">
        <v>126</v>
      </c>
      <c r="G123">
        <v>877</v>
      </c>
      <c r="H123" s="2">
        <v>1</v>
      </c>
      <c r="I123" s="2" t="s">
        <v>840</v>
      </c>
      <c r="J123">
        <v>65</v>
      </c>
      <c r="K123" s="2" t="s">
        <v>845</v>
      </c>
    </row>
    <row r="124" spans="1:11" x14ac:dyDescent="0.25">
      <c r="A124" s="2">
        <v>75</v>
      </c>
      <c r="B124" s="2">
        <v>1</v>
      </c>
      <c r="C124" s="2" t="s">
        <v>128</v>
      </c>
      <c r="D124" s="2">
        <v>10</v>
      </c>
      <c r="E124" s="2" t="s">
        <v>129</v>
      </c>
      <c r="G124">
        <v>877</v>
      </c>
      <c r="H124" s="2">
        <v>1</v>
      </c>
      <c r="I124" s="2" t="s">
        <v>840</v>
      </c>
      <c r="J124">
        <v>10</v>
      </c>
      <c r="K124" s="2" t="s">
        <v>841</v>
      </c>
    </row>
    <row r="125" spans="1:11" x14ac:dyDescent="0.25">
      <c r="A125" s="2">
        <v>77</v>
      </c>
      <c r="B125" s="2">
        <v>1</v>
      </c>
      <c r="C125" s="2" t="s">
        <v>130</v>
      </c>
      <c r="D125" s="2">
        <v>10</v>
      </c>
      <c r="E125" s="2" t="s">
        <v>131</v>
      </c>
      <c r="G125">
        <v>877</v>
      </c>
      <c r="H125" s="2">
        <v>1</v>
      </c>
      <c r="I125" s="2" t="s">
        <v>840</v>
      </c>
      <c r="J125">
        <v>60</v>
      </c>
      <c r="K125" s="2" t="s">
        <v>844</v>
      </c>
    </row>
    <row r="126" spans="1:11" x14ac:dyDescent="0.25">
      <c r="A126" s="2">
        <v>77</v>
      </c>
      <c r="B126" s="2">
        <v>1</v>
      </c>
      <c r="C126" s="2" t="s">
        <v>130</v>
      </c>
      <c r="D126" s="2">
        <v>20</v>
      </c>
      <c r="E126" s="2" t="s">
        <v>58</v>
      </c>
      <c r="G126" s="2">
        <v>191</v>
      </c>
      <c r="H126" s="2">
        <v>1</v>
      </c>
      <c r="I126" s="2" t="s">
        <v>210</v>
      </c>
      <c r="J126" s="2">
        <v>483</v>
      </c>
      <c r="K126" s="2" t="s">
        <v>212</v>
      </c>
    </row>
    <row r="127" spans="1:11" x14ac:dyDescent="0.25">
      <c r="A127" s="2">
        <v>77</v>
      </c>
      <c r="B127" s="2">
        <v>1</v>
      </c>
      <c r="C127" s="2" t="s">
        <v>130</v>
      </c>
      <c r="D127" s="2">
        <v>30</v>
      </c>
      <c r="E127" s="2" t="s">
        <v>28</v>
      </c>
      <c r="G127" s="2">
        <v>191</v>
      </c>
      <c r="H127" s="2">
        <v>1</v>
      </c>
      <c r="I127" s="2" t="s">
        <v>210</v>
      </c>
      <c r="J127" s="2">
        <v>482</v>
      </c>
      <c r="K127" s="2" t="s">
        <v>211</v>
      </c>
    </row>
    <row r="128" spans="1:11" x14ac:dyDescent="0.25">
      <c r="A128" s="2">
        <v>77</v>
      </c>
      <c r="B128" s="2">
        <v>1</v>
      </c>
      <c r="C128" s="2" t="s">
        <v>130</v>
      </c>
      <c r="D128" s="2">
        <v>40</v>
      </c>
      <c r="E128" s="2" t="s">
        <v>65</v>
      </c>
      <c r="G128" s="2">
        <v>191</v>
      </c>
      <c r="H128" s="2">
        <v>1</v>
      </c>
      <c r="I128" s="2" t="s">
        <v>210</v>
      </c>
      <c r="J128" s="2">
        <v>491</v>
      </c>
      <c r="K128" s="2" t="s">
        <v>220</v>
      </c>
    </row>
    <row r="129" spans="1:11" x14ac:dyDescent="0.25">
      <c r="A129" s="2">
        <v>77</v>
      </c>
      <c r="B129" s="2">
        <v>1</v>
      </c>
      <c r="C129" s="2" t="s">
        <v>130</v>
      </c>
      <c r="D129" s="2">
        <v>50</v>
      </c>
      <c r="E129" s="2" t="s">
        <v>104</v>
      </c>
      <c r="G129" s="2">
        <v>191</v>
      </c>
      <c r="H129" s="2">
        <v>1</v>
      </c>
      <c r="I129" s="2" t="s">
        <v>210</v>
      </c>
      <c r="J129" s="2">
        <v>490</v>
      </c>
      <c r="K129" s="2" t="s">
        <v>219</v>
      </c>
    </row>
    <row r="130" spans="1:11" x14ac:dyDescent="0.25">
      <c r="A130" s="2">
        <v>77</v>
      </c>
      <c r="B130" s="2">
        <v>1</v>
      </c>
      <c r="C130" s="2" t="s">
        <v>130</v>
      </c>
      <c r="D130" s="2">
        <v>60</v>
      </c>
      <c r="E130" s="2" t="s">
        <v>132</v>
      </c>
      <c r="G130" s="2">
        <v>191</v>
      </c>
      <c r="H130" s="2">
        <v>1</v>
      </c>
      <c r="I130" s="2" t="s">
        <v>210</v>
      </c>
      <c r="J130" s="2">
        <v>484</v>
      </c>
      <c r="K130" s="2" t="s">
        <v>213</v>
      </c>
    </row>
    <row r="131" spans="1:11" x14ac:dyDescent="0.25">
      <c r="A131" s="2">
        <v>77</v>
      </c>
      <c r="B131" s="2">
        <v>1</v>
      </c>
      <c r="C131" s="2" t="s">
        <v>130</v>
      </c>
      <c r="D131" s="2">
        <v>70</v>
      </c>
      <c r="E131" s="2" t="s">
        <v>132</v>
      </c>
      <c r="G131" s="2">
        <v>191</v>
      </c>
      <c r="H131" s="2">
        <v>1</v>
      </c>
      <c r="I131" s="2" t="s">
        <v>210</v>
      </c>
      <c r="J131" s="2">
        <v>488</v>
      </c>
      <c r="K131" s="2" t="s">
        <v>217</v>
      </c>
    </row>
    <row r="132" spans="1:11" x14ac:dyDescent="0.25">
      <c r="A132" s="2">
        <v>77</v>
      </c>
      <c r="B132" s="2">
        <v>1</v>
      </c>
      <c r="C132" s="2" t="s">
        <v>130</v>
      </c>
      <c r="D132" s="2">
        <v>80</v>
      </c>
      <c r="E132" s="2" t="s">
        <v>71</v>
      </c>
      <c r="G132" s="2">
        <v>191</v>
      </c>
      <c r="H132" s="2">
        <v>1</v>
      </c>
      <c r="I132" s="2" t="s">
        <v>210</v>
      </c>
      <c r="J132" s="2">
        <v>485</v>
      </c>
      <c r="K132" s="2" t="s">
        <v>214</v>
      </c>
    </row>
    <row r="133" spans="1:11" x14ac:dyDescent="0.25">
      <c r="A133" s="2">
        <v>77</v>
      </c>
      <c r="B133" s="2">
        <v>1</v>
      </c>
      <c r="C133" s="2" t="s">
        <v>130</v>
      </c>
      <c r="D133" s="2">
        <v>90</v>
      </c>
      <c r="E133" s="2" t="s">
        <v>56</v>
      </c>
      <c r="G133" s="2">
        <v>191</v>
      </c>
      <c r="H133" s="2">
        <v>1</v>
      </c>
      <c r="I133" s="2" t="s">
        <v>210</v>
      </c>
      <c r="J133" s="2">
        <v>489</v>
      </c>
      <c r="K133" s="2" t="s">
        <v>218</v>
      </c>
    </row>
    <row r="134" spans="1:11" x14ac:dyDescent="0.25">
      <c r="A134" s="2">
        <v>77</v>
      </c>
      <c r="B134" s="2">
        <v>1</v>
      </c>
      <c r="C134" s="2" t="s">
        <v>130</v>
      </c>
      <c r="D134" s="2">
        <v>150</v>
      </c>
      <c r="E134" s="2" t="s">
        <v>133</v>
      </c>
      <c r="G134" s="2">
        <v>191</v>
      </c>
      <c r="H134" s="2">
        <v>1</v>
      </c>
      <c r="I134" s="2" t="s">
        <v>210</v>
      </c>
      <c r="J134" s="2">
        <v>486</v>
      </c>
      <c r="K134" s="2" t="s">
        <v>215</v>
      </c>
    </row>
    <row r="135" spans="1:11" x14ac:dyDescent="0.25">
      <c r="A135">
        <v>77</v>
      </c>
      <c r="B135">
        <v>1</v>
      </c>
      <c r="C135" t="s">
        <v>1166</v>
      </c>
      <c r="D135">
        <v>370</v>
      </c>
      <c r="E135" t="s">
        <v>1167</v>
      </c>
      <c r="G135" s="2">
        <v>191</v>
      </c>
      <c r="H135" s="2">
        <v>1</v>
      </c>
      <c r="I135" s="2" t="s">
        <v>210</v>
      </c>
      <c r="J135" s="2">
        <v>487</v>
      </c>
      <c r="K135" s="2" t="s">
        <v>216</v>
      </c>
    </row>
    <row r="136" spans="1:11" x14ac:dyDescent="0.25">
      <c r="A136">
        <v>81</v>
      </c>
      <c r="B136">
        <v>1</v>
      </c>
      <c r="C136" t="s">
        <v>1168</v>
      </c>
      <c r="D136">
        <v>10</v>
      </c>
      <c r="E136" t="s">
        <v>1169</v>
      </c>
      <c r="G136">
        <v>191</v>
      </c>
      <c r="H136">
        <v>1</v>
      </c>
      <c r="I136" t="s">
        <v>1178</v>
      </c>
      <c r="J136">
        <v>509</v>
      </c>
      <c r="K136" t="s">
        <v>1179</v>
      </c>
    </row>
    <row r="137" spans="1:11" x14ac:dyDescent="0.25">
      <c r="A137" s="2">
        <v>84</v>
      </c>
      <c r="B137" s="2">
        <v>1</v>
      </c>
      <c r="C137" s="2" t="s">
        <v>134</v>
      </c>
      <c r="D137" s="2">
        <v>10</v>
      </c>
      <c r="E137" s="2" t="s">
        <v>135</v>
      </c>
      <c r="G137">
        <v>836</v>
      </c>
      <c r="H137" s="2">
        <v>1</v>
      </c>
      <c r="I137" s="2" t="s">
        <v>820</v>
      </c>
      <c r="J137">
        <v>10</v>
      </c>
      <c r="K137" s="2" t="s">
        <v>821</v>
      </c>
    </row>
    <row r="138" spans="1:11" x14ac:dyDescent="0.25">
      <c r="A138" s="2">
        <v>85</v>
      </c>
      <c r="B138" s="2">
        <v>1</v>
      </c>
      <c r="C138" s="2" t="s">
        <v>136</v>
      </c>
      <c r="D138" s="2">
        <v>2</v>
      </c>
      <c r="E138" s="2" t="s">
        <v>137</v>
      </c>
      <c r="G138">
        <v>531</v>
      </c>
      <c r="H138" s="2">
        <v>1</v>
      </c>
      <c r="I138" s="2" t="s">
        <v>522</v>
      </c>
      <c r="J138">
        <v>10</v>
      </c>
      <c r="K138" s="2" t="s">
        <v>523</v>
      </c>
    </row>
    <row r="139" spans="1:11" x14ac:dyDescent="0.25">
      <c r="A139" s="2">
        <v>88</v>
      </c>
      <c r="B139" s="2">
        <v>1</v>
      </c>
      <c r="C139" s="2" t="s">
        <v>138</v>
      </c>
      <c r="D139" s="2">
        <v>20</v>
      </c>
      <c r="E139" s="2" t="s">
        <v>28</v>
      </c>
      <c r="G139" s="2">
        <v>299</v>
      </c>
      <c r="H139" s="2">
        <v>1</v>
      </c>
      <c r="I139" s="2" t="s">
        <v>397</v>
      </c>
      <c r="J139" s="2">
        <v>10</v>
      </c>
      <c r="K139" s="2" t="s">
        <v>398</v>
      </c>
    </row>
    <row r="140" spans="1:11" x14ac:dyDescent="0.25">
      <c r="A140" s="7">
        <v>88</v>
      </c>
      <c r="B140" s="7">
        <v>1</v>
      </c>
      <c r="C140" s="7" t="s">
        <v>138</v>
      </c>
      <c r="D140" s="7">
        <v>30</v>
      </c>
      <c r="E140" s="7" t="s">
        <v>71</v>
      </c>
      <c r="G140">
        <v>911</v>
      </c>
      <c r="H140" s="2">
        <v>1</v>
      </c>
      <c r="I140" s="2" t="s">
        <v>861</v>
      </c>
      <c r="J140">
        <v>201</v>
      </c>
      <c r="K140" s="2" t="s">
        <v>863</v>
      </c>
    </row>
    <row r="141" spans="1:11" x14ac:dyDescent="0.25">
      <c r="A141" s="2">
        <v>91</v>
      </c>
      <c r="B141" s="2">
        <v>1</v>
      </c>
      <c r="C141" s="2" t="s">
        <v>139</v>
      </c>
      <c r="D141" s="2">
        <v>1</v>
      </c>
      <c r="E141" s="2" t="s">
        <v>140</v>
      </c>
      <c r="G141">
        <v>911</v>
      </c>
      <c r="H141" s="2">
        <v>1</v>
      </c>
      <c r="I141" s="2" t="s">
        <v>861</v>
      </c>
      <c r="J141">
        <v>202</v>
      </c>
      <c r="K141" s="2" t="s">
        <v>864</v>
      </c>
    </row>
    <row r="142" spans="1:11" x14ac:dyDescent="0.25">
      <c r="A142" s="2">
        <v>93</v>
      </c>
      <c r="B142" s="2">
        <v>1</v>
      </c>
      <c r="C142" s="2" t="s">
        <v>141</v>
      </c>
      <c r="D142" s="2">
        <v>2</v>
      </c>
      <c r="E142" s="2" t="s">
        <v>142</v>
      </c>
      <c r="G142">
        <v>911</v>
      </c>
      <c r="H142" s="2">
        <v>1</v>
      </c>
      <c r="I142" s="2" t="s">
        <v>861</v>
      </c>
      <c r="J142">
        <v>103</v>
      </c>
      <c r="K142" s="2" t="s">
        <v>862</v>
      </c>
    </row>
    <row r="143" spans="1:11" x14ac:dyDescent="0.25">
      <c r="A143" s="2">
        <v>94</v>
      </c>
      <c r="B143" s="2">
        <v>1</v>
      </c>
      <c r="C143" s="2" t="s">
        <v>143</v>
      </c>
      <c r="D143" s="2">
        <v>101</v>
      </c>
      <c r="E143" s="2" t="s">
        <v>144</v>
      </c>
      <c r="G143">
        <v>852</v>
      </c>
      <c r="H143">
        <v>1</v>
      </c>
      <c r="I143" t="s">
        <v>831</v>
      </c>
      <c r="J143">
        <v>10</v>
      </c>
      <c r="K143" t="s">
        <v>1241</v>
      </c>
    </row>
    <row r="144" spans="1:11" x14ac:dyDescent="0.25">
      <c r="A144" s="2">
        <v>94</v>
      </c>
      <c r="B144" s="2">
        <v>1</v>
      </c>
      <c r="C144" s="2" t="s">
        <v>143</v>
      </c>
      <c r="D144" s="2">
        <v>105</v>
      </c>
      <c r="E144" s="2" t="s">
        <v>71</v>
      </c>
      <c r="G144">
        <v>891</v>
      </c>
      <c r="H144" s="2">
        <v>1</v>
      </c>
      <c r="I144" s="2" t="s">
        <v>859</v>
      </c>
      <c r="J144">
        <v>20</v>
      </c>
      <c r="K144" s="2" t="s">
        <v>860</v>
      </c>
    </row>
    <row r="145" spans="1:11" x14ac:dyDescent="0.25">
      <c r="A145">
        <v>94</v>
      </c>
      <c r="B145">
        <v>1</v>
      </c>
      <c r="C145" t="s">
        <v>1170</v>
      </c>
      <c r="D145">
        <v>109</v>
      </c>
      <c r="E145" t="s">
        <v>1171</v>
      </c>
      <c r="G145" s="2">
        <v>252</v>
      </c>
      <c r="H145" s="2">
        <v>1</v>
      </c>
      <c r="I145" s="2" t="s">
        <v>296</v>
      </c>
      <c r="J145" s="2">
        <v>1</v>
      </c>
      <c r="K145" s="2" t="s">
        <v>297</v>
      </c>
    </row>
    <row r="146" spans="1:11" x14ac:dyDescent="0.25">
      <c r="A146" s="2">
        <v>95</v>
      </c>
      <c r="B146" s="2">
        <v>1</v>
      </c>
      <c r="C146" s="2" t="s">
        <v>145</v>
      </c>
      <c r="D146" s="2">
        <v>10</v>
      </c>
      <c r="E146" s="2" t="s">
        <v>146</v>
      </c>
      <c r="G146">
        <v>4194</v>
      </c>
      <c r="H146" s="2">
        <v>7</v>
      </c>
      <c r="I146" s="2" t="s">
        <v>1091</v>
      </c>
      <c r="J146">
        <v>10</v>
      </c>
      <c r="K146" s="2" t="s">
        <v>1091</v>
      </c>
    </row>
    <row r="147" spans="1:11" x14ac:dyDescent="0.25">
      <c r="A147" s="2">
        <v>97</v>
      </c>
      <c r="B147" s="2">
        <v>1</v>
      </c>
      <c r="C147" s="2" t="s">
        <v>147</v>
      </c>
      <c r="D147" s="2">
        <v>20</v>
      </c>
      <c r="E147" s="2" t="s">
        <v>148</v>
      </c>
      <c r="G147" s="2">
        <v>93</v>
      </c>
      <c r="H147" s="2">
        <v>1</v>
      </c>
      <c r="I147" s="2" t="s">
        <v>141</v>
      </c>
      <c r="J147" s="2">
        <v>2</v>
      </c>
      <c r="K147" s="2" t="s">
        <v>142</v>
      </c>
    </row>
    <row r="148" spans="1:11" x14ac:dyDescent="0.25">
      <c r="A148" s="2">
        <v>99</v>
      </c>
      <c r="B148" s="2">
        <v>1</v>
      </c>
      <c r="C148" s="2" t="s">
        <v>149</v>
      </c>
      <c r="D148" s="2">
        <v>30</v>
      </c>
      <c r="E148" s="2" t="s">
        <v>150</v>
      </c>
      <c r="G148" s="2">
        <v>115</v>
      </c>
      <c r="H148" s="2">
        <v>1</v>
      </c>
      <c r="I148" s="2" t="s">
        <v>169</v>
      </c>
      <c r="J148" s="2">
        <v>10</v>
      </c>
      <c r="K148" s="2" t="s">
        <v>170</v>
      </c>
    </row>
    <row r="149" spans="1:11" x14ac:dyDescent="0.25">
      <c r="A149" s="2">
        <v>100</v>
      </c>
      <c r="B149" s="2">
        <v>1</v>
      </c>
      <c r="C149" s="2" t="s">
        <v>151</v>
      </c>
      <c r="D149" s="2">
        <v>1</v>
      </c>
      <c r="E149" s="2" t="s">
        <v>152</v>
      </c>
      <c r="G149">
        <v>2754</v>
      </c>
      <c r="H149" s="2">
        <v>1</v>
      </c>
      <c r="I149" s="2" t="s">
        <v>977</v>
      </c>
      <c r="J149">
        <v>1</v>
      </c>
      <c r="K149" s="2" t="s">
        <v>978</v>
      </c>
    </row>
    <row r="150" spans="1:11" x14ac:dyDescent="0.25">
      <c r="A150" s="2">
        <v>108</v>
      </c>
      <c r="B150" s="2">
        <v>1</v>
      </c>
      <c r="C150" s="2" t="s">
        <v>153</v>
      </c>
      <c r="D150" s="2">
        <v>40</v>
      </c>
      <c r="E150" s="2" t="s">
        <v>110</v>
      </c>
      <c r="G150">
        <v>4004</v>
      </c>
      <c r="H150" s="2">
        <v>7</v>
      </c>
      <c r="I150" s="2" t="s">
        <v>1021</v>
      </c>
      <c r="J150">
        <v>10</v>
      </c>
      <c r="K150" s="2" t="s">
        <v>1021</v>
      </c>
    </row>
    <row r="151" spans="1:11" x14ac:dyDescent="0.25">
      <c r="A151" s="2">
        <v>110</v>
      </c>
      <c r="B151" s="2">
        <v>1</v>
      </c>
      <c r="C151" s="2" t="s">
        <v>154</v>
      </c>
      <c r="D151" s="2">
        <v>110</v>
      </c>
      <c r="E151" s="2" t="s">
        <v>155</v>
      </c>
      <c r="G151" s="2">
        <v>12</v>
      </c>
      <c r="H151" s="2">
        <v>1</v>
      </c>
      <c r="I151" s="2" t="s">
        <v>80</v>
      </c>
      <c r="J151" s="2">
        <v>515</v>
      </c>
      <c r="K151" s="2" t="s">
        <v>85</v>
      </c>
    </row>
    <row r="152" spans="1:11" x14ac:dyDescent="0.25">
      <c r="A152" s="2">
        <v>110</v>
      </c>
      <c r="B152" s="2">
        <v>1</v>
      </c>
      <c r="C152" s="2" t="s">
        <v>154</v>
      </c>
      <c r="D152" s="2">
        <v>120</v>
      </c>
      <c r="E152" s="2" t="s">
        <v>156</v>
      </c>
      <c r="G152" s="2">
        <v>12</v>
      </c>
      <c r="H152" s="2">
        <v>1</v>
      </c>
      <c r="I152" s="2" t="s">
        <v>80</v>
      </c>
      <c r="J152" s="2">
        <v>510</v>
      </c>
      <c r="K152" s="2" t="s">
        <v>81</v>
      </c>
    </row>
    <row r="153" spans="1:11" x14ac:dyDescent="0.25">
      <c r="A153" s="2">
        <v>111</v>
      </c>
      <c r="B153" s="2">
        <v>1</v>
      </c>
      <c r="C153" s="2" t="s">
        <v>157</v>
      </c>
      <c r="D153" s="2">
        <v>839</v>
      </c>
      <c r="E153" s="2" t="s">
        <v>158</v>
      </c>
      <c r="G153" s="2">
        <v>12</v>
      </c>
      <c r="H153" s="2">
        <v>1</v>
      </c>
      <c r="I153" s="2" t="s">
        <v>80</v>
      </c>
      <c r="J153" s="2">
        <v>511</v>
      </c>
      <c r="K153" s="2" t="s">
        <v>82</v>
      </c>
    </row>
    <row r="154" spans="1:11" x14ac:dyDescent="0.25">
      <c r="A154" s="2">
        <v>112</v>
      </c>
      <c r="B154" s="2">
        <v>1</v>
      </c>
      <c r="C154" s="2" t="s">
        <v>159</v>
      </c>
      <c r="D154" s="2">
        <v>505</v>
      </c>
      <c r="E154" s="2" t="s">
        <v>160</v>
      </c>
      <c r="G154" s="2">
        <v>12</v>
      </c>
      <c r="H154" s="2">
        <v>1</v>
      </c>
      <c r="I154" s="2" t="s">
        <v>80</v>
      </c>
      <c r="J154" s="2">
        <v>512</v>
      </c>
      <c r="K154" s="2" t="s">
        <v>83</v>
      </c>
    </row>
    <row r="155" spans="1:11" x14ac:dyDescent="0.25">
      <c r="A155" s="2">
        <v>112</v>
      </c>
      <c r="B155" s="2">
        <v>1</v>
      </c>
      <c r="C155" s="2" t="s">
        <v>159</v>
      </c>
      <c r="D155" s="2">
        <v>506</v>
      </c>
      <c r="E155" s="2" t="s">
        <v>161</v>
      </c>
      <c r="G155" s="2">
        <v>12</v>
      </c>
      <c r="H155" s="2">
        <v>1</v>
      </c>
      <c r="I155" s="2" t="s">
        <v>80</v>
      </c>
      <c r="J155" s="2">
        <v>513</v>
      </c>
      <c r="K155" s="2" t="s">
        <v>84</v>
      </c>
    </row>
    <row r="156" spans="1:11" x14ac:dyDescent="0.25">
      <c r="A156" s="2">
        <v>112</v>
      </c>
      <c r="B156" s="2">
        <v>1</v>
      </c>
      <c r="C156" s="2" t="s">
        <v>159</v>
      </c>
      <c r="D156" s="2">
        <v>507</v>
      </c>
      <c r="E156" s="2" t="s">
        <v>162</v>
      </c>
      <c r="G156" s="2">
        <v>112</v>
      </c>
      <c r="H156" s="2">
        <v>1</v>
      </c>
      <c r="I156" s="2" t="s">
        <v>159</v>
      </c>
      <c r="J156" s="2">
        <v>510</v>
      </c>
      <c r="K156" s="2" t="s">
        <v>163</v>
      </c>
    </row>
    <row r="157" spans="1:11" x14ac:dyDescent="0.25">
      <c r="A157" s="2">
        <v>112</v>
      </c>
      <c r="B157" s="2">
        <v>1</v>
      </c>
      <c r="C157" s="2" t="s">
        <v>159</v>
      </c>
      <c r="D157" s="2">
        <v>510</v>
      </c>
      <c r="E157" s="2" t="s">
        <v>163</v>
      </c>
      <c r="G157" s="2">
        <v>112</v>
      </c>
      <c r="H157" s="2">
        <v>1</v>
      </c>
      <c r="I157" s="2" t="s">
        <v>159</v>
      </c>
      <c r="J157" s="2">
        <v>506</v>
      </c>
      <c r="K157" s="2" t="s">
        <v>161</v>
      </c>
    </row>
    <row r="158" spans="1:11" x14ac:dyDescent="0.25">
      <c r="A158" s="2">
        <v>112</v>
      </c>
      <c r="B158" s="2">
        <v>1</v>
      </c>
      <c r="C158" s="2" t="s">
        <v>159</v>
      </c>
      <c r="D158" s="2">
        <v>511</v>
      </c>
      <c r="E158" s="2" t="s">
        <v>164</v>
      </c>
      <c r="G158" s="2">
        <v>112</v>
      </c>
      <c r="H158" s="2">
        <v>1</v>
      </c>
      <c r="I158" s="2" t="s">
        <v>159</v>
      </c>
      <c r="J158" s="2">
        <v>505</v>
      </c>
      <c r="K158" s="2" t="s">
        <v>160</v>
      </c>
    </row>
    <row r="159" spans="1:11" x14ac:dyDescent="0.25">
      <c r="A159" s="2">
        <v>112</v>
      </c>
      <c r="B159" s="2">
        <v>1</v>
      </c>
      <c r="C159" s="2" t="s">
        <v>159</v>
      </c>
      <c r="D159" s="2">
        <v>512</v>
      </c>
      <c r="E159" s="2" t="s">
        <v>165</v>
      </c>
      <c r="G159" s="2">
        <v>112</v>
      </c>
      <c r="H159" s="2">
        <v>1</v>
      </c>
      <c r="I159" s="2" t="s">
        <v>159</v>
      </c>
      <c r="J159" s="2">
        <v>511</v>
      </c>
      <c r="K159" s="2" t="s">
        <v>164</v>
      </c>
    </row>
    <row r="160" spans="1:11" x14ac:dyDescent="0.25">
      <c r="A160" s="2">
        <v>112</v>
      </c>
      <c r="B160" s="2">
        <v>1</v>
      </c>
      <c r="C160" s="2" t="s">
        <v>159</v>
      </c>
      <c r="D160" s="2">
        <v>513</v>
      </c>
      <c r="E160" s="2" t="s">
        <v>166</v>
      </c>
      <c r="G160" s="2">
        <v>112</v>
      </c>
      <c r="H160" s="2">
        <v>1</v>
      </c>
      <c r="I160" s="2" t="s">
        <v>159</v>
      </c>
      <c r="J160" s="2">
        <v>507</v>
      </c>
      <c r="K160" s="2" t="s">
        <v>162</v>
      </c>
    </row>
    <row r="161" spans="1:11" x14ac:dyDescent="0.25">
      <c r="A161" s="2">
        <v>113</v>
      </c>
      <c r="B161" s="2">
        <v>1</v>
      </c>
      <c r="C161" s="2" t="s">
        <v>167</v>
      </c>
      <c r="D161" s="2">
        <v>10</v>
      </c>
      <c r="E161" s="2" t="s">
        <v>168</v>
      </c>
      <c r="G161" s="2">
        <v>112</v>
      </c>
      <c r="H161" s="2">
        <v>1</v>
      </c>
      <c r="I161" s="2" t="s">
        <v>159</v>
      </c>
      <c r="J161" s="2">
        <v>513</v>
      </c>
      <c r="K161" s="2" t="s">
        <v>166</v>
      </c>
    </row>
    <row r="162" spans="1:11" x14ac:dyDescent="0.25">
      <c r="A162" s="2">
        <v>115</v>
      </c>
      <c r="B162" s="2">
        <v>1</v>
      </c>
      <c r="C162" s="2" t="s">
        <v>169</v>
      </c>
      <c r="D162" s="2">
        <v>10</v>
      </c>
      <c r="E162" s="2" t="s">
        <v>170</v>
      </c>
      <c r="G162" s="2">
        <v>112</v>
      </c>
      <c r="H162" s="2">
        <v>1</v>
      </c>
      <c r="I162" s="2" t="s">
        <v>159</v>
      </c>
      <c r="J162" s="2">
        <v>512</v>
      </c>
      <c r="K162" s="2" t="s">
        <v>165</v>
      </c>
    </row>
    <row r="163" spans="1:11" x14ac:dyDescent="0.25">
      <c r="A163" s="2">
        <v>116</v>
      </c>
      <c r="B163" s="2">
        <v>1</v>
      </c>
      <c r="C163" s="2" t="s">
        <v>171</v>
      </c>
      <c r="D163" s="2">
        <v>10</v>
      </c>
      <c r="E163" s="2" t="s">
        <v>172</v>
      </c>
      <c r="G163" s="2">
        <v>227</v>
      </c>
      <c r="H163" s="2">
        <v>1</v>
      </c>
      <c r="I163" s="2" t="s">
        <v>282</v>
      </c>
      <c r="J163" s="2">
        <v>2</v>
      </c>
      <c r="K163" s="2" t="s">
        <v>283</v>
      </c>
    </row>
    <row r="164" spans="1:11" x14ac:dyDescent="0.25">
      <c r="A164" s="2">
        <v>118</v>
      </c>
      <c r="B164" s="2">
        <v>1</v>
      </c>
      <c r="C164" s="2" t="s">
        <v>173</v>
      </c>
      <c r="D164" s="2">
        <v>10</v>
      </c>
      <c r="E164" s="2" t="s">
        <v>174</v>
      </c>
      <c r="G164">
        <v>2144</v>
      </c>
      <c r="H164" s="2">
        <v>1</v>
      </c>
      <c r="I164" s="2" t="s">
        <v>889</v>
      </c>
      <c r="J164">
        <v>1</v>
      </c>
      <c r="K164" s="2" t="s">
        <v>890</v>
      </c>
    </row>
    <row r="165" spans="1:11" x14ac:dyDescent="0.25">
      <c r="A165" s="5">
        <v>118</v>
      </c>
      <c r="B165" s="5">
        <v>1</v>
      </c>
      <c r="C165" t="s">
        <v>173</v>
      </c>
      <c r="D165" s="5">
        <v>30</v>
      </c>
      <c r="E165" s="6" t="s">
        <v>175</v>
      </c>
      <c r="G165">
        <v>2144</v>
      </c>
      <c r="H165" s="2">
        <v>1</v>
      </c>
      <c r="I165" s="2" t="s">
        <v>889</v>
      </c>
      <c r="J165">
        <v>2</v>
      </c>
      <c r="K165" s="2" t="s">
        <v>891</v>
      </c>
    </row>
    <row r="166" spans="1:11" x14ac:dyDescent="0.25">
      <c r="A166">
        <v>129</v>
      </c>
      <c r="B166" s="2">
        <v>1</v>
      </c>
      <c r="C166" s="2" t="s">
        <v>176</v>
      </c>
      <c r="D166">
        <v>10</v>
      </c>
      <c r="E166" s="2" t="s">
        <v>75</v>
      </c>
      <c r="G166">
        <v>2144</v>
      </c>
      <c r="H166" s="2">
        <v>1</v>
      </c>
      <c r="I166" s="2" t="s">
        <v>889</v>
      </c>
      <c r="J166">
        <v>6</v>
      </c>
      <c r="K166" s="2" t="s">
        <v>892</v>
      </c>
    </row>
    <row r="167" spans="1:11" x14ac:dyDescent="0.25">
      <c r="A167" s="2">
        <v>129</v>
      </c>
      <c r="B167" s="2">
        <v>1</v>
      </c>
      <c r="C167" s="2" t="s">
        <v>176</v>
      </c>
      <c r="D167" s="2">
        <v>20</v>
      </c>
      <c r="E167" s="2" t="s">
        <v>177</v>
      </c>
      <c r="G167" s="7">
        <v>695</v>
      </c>
      <c r="H167" s="7">
        <v>1</v>
      </c>
      <c r="I167" s="7" t="s">
        <v>671</v>
      </c>
      <c r="J167" s="7">
        <v>301</v>
      </c>
      <c r="K167" s="7" t="s">
        <v>673</v>
      </c>
    </row>
    <row r="168" spans="1:11" x14ac:dyDescent="0.25">
      <c r="A168" s="2">
        <v>138</v>
      </c>
      <c r="B168" s="2">
        <v>1</v>
      </c>
      <c r="C168" s="2" t="s">
        <v>178</v>
      </c>
      <c r="D168" s="2">
        <v>45</v>
      </c>
      <c r="E168" s="2" t="s">
        <v>179</v>
      </c>
      <c r="G168">
        <v>695</v>
      </c>
      <c r="H168" s="2">
        <v>1</v>
      </c>
      <c r="I168" s="2" t="s">
        <v>671</v>
      </c>
      <c r="J168">
        <v>101</v>
      </c>
      <c r="K168" s="2" t="s">
        <v>672</v>
      </c>
    </row>
    <row r="169" spans="1:11" x14ac:dyDescent="0.25">
      <c r="A169">
        <v>138</v>
      </c>
      <c r="B169">
        <v>1</v>
      </c>
      <c r="C169" t="s">
        <v>1172</v>
      </c>
      <c r="D169">
        <v>70</v>
      </c>
      <c r="E169" t="s">
        <v>1173</v>
      </c>
      <c r="G169">
        <v>771</v>
      </c>
      <c r="H169">
        <v>1</v>
      </c>
      <c r="I169" t="s">
        <v>1235</v>
      </c>
      <c r="J169">
        <v>3</v>
      </c>
      <c r="K169" t="s">
        <v>1236</v>
      </c>
    </row>
    <row r="170" spans="1:11" x14ac:dyDescent="0.25">
      <c r="A170" s="2">
        <v>139</v>
      </c>
      <c r="B170" s="2">
        <v>1</v>
      </c>
      <c r="C170" s="2" t="s">
        <v>180</v>
      </c>
      <c r="D170" s="2">
        <v>10</v>
      </c>
      <c r="E170" s="2" t="s">
        <v>181</v>
      </c>
      <c r="G170">
        <v>4172</v>
      </c>
      <c r="H170">
        <v>7</v>
      </c>
      <c r="I170" t="s">
        <v>1282</v>
      </c>
      <c r="J170">
        <v>10</v>
      </c>
      <c r="K170" t="s">
        <v>1282</v>
      </c>
    </row>
    <row r="171" spans="1:11" x14ac:dyDescent="0.25">
      <c r="A171" s="2">
        <v>146</v>
      </c>
      <c r="B171" s="2">
        <v>1</v>
      </c>
      <c r="C171" s="2" t="s">
        <v>182</v>
      </c>
      <c r="D171" s="2">
        <v>10</v>
      </c>
      <c r="E171" s="2" t="s">
        <v>183</v>
      </c>
      <c r="G171">
        <v>2311</v>
      </c>
      <c r="H171" s="2">
        <v>1</v>
      </c>
      <c r="I171" s="2" t="s">
        <v>937</v>
      </c>
      <c r="J171">
        <v>10</v>
      </c>
      <c r="K171" s="2" t="s">
        <v>938</v>
      </c>
    </row>
    <row r="172" spans="1:11" x14ac:dyDescent="0.25">
      <c r="A172" s="2">
        <v>150</v>
      </c>
      <c r="B172" s="2">
        <v>1</v>
      </c>
      <c r="C172" s="2" t="s">
        <v>184</v>
      </c>
      <c r="D172" s="2">
        <v>10</v>
      </c>
      <c r="E172" s="2" t="s">
        <v>185</v>
      </c>
      <c r="G172" s="2">
        <v>391</v>
      </c>
      <c r="H172" s="2">
        <v>1</v>
      </c>
      <c r="I172" s="2" t="s">
        <v>445</v>
      </c>
      <c r="J172" s="2">
        <v>10</v>
      </c>
      <c r="K172" s="2" t="s">
        <v>446</v>
      </c>
    </row>
    <row r="173" spans="1:11" x14ac:dyDescent="0.25">
      <c r="A173">
        <v>150</v>
      </c>
      <c r="B173">
        <v>1</v>
      </c>
      <c r="C173" t="s">
        <v>1174</v>
      </c>
      <c r="D173">
        <v>11</v>
      </c>
      <c r="E173" t="s">
        <v>1175</v>
      </c>
      <c r="G173">
        <v>592</v>
      </c>
      <c r="H173">
        <v>1</v>
      </c>
      <c r="I173" t="s">
        <v>1203</v>
      </c>
      <c r="J173">
        <v>10</v>
      </c>
      <c r="K173" t="s">
        <v>1204</v>
      </c>
    </row>
    <row r="174" spans="1:11" x14ac:dyDescent="0.25">
      <c r="A174" s="2">
        <v>152</v>
      </c>
      <c r="B174" s="2">
        <v>1</v>
      </c>
      <c r="C174" s="2" t="s">
        <v>186</v>
      </c>
      <c r="D174" s="2">
        <v>187</v>
      </c>
      <c r="E174" s="2" t="s">
        <v>187</v>
      </c>
      <c r="G174">
        <v>2888</v>
      </c>
      <c r="H174" s="2">
        <v>1</v>
      </c>
      <c r="I174" s="2" t="s">
        <v>1001</v>
      </c>
      <c r="J174">
        <v>1</v>
      </c>
      <c r="K174" s="2" t="s">
        <v>1002</v>
      </c>
    </row>
    <row r="175" spans="1:11" x14ac:dyDescent="0.25">
      <c r="A175" s="2">
        <v>152</v>
      </c>
      <c r="B175" s="2">
        <v>1</v>
      </c>
      <c r="C175" s="2" t="s">
        <v>186</v>
      </c>
      <c r="D175" s="2">
        <v>188</v>
      </c>
      <c r="E175" s="2" t="s">
        <v>188</v>
      </c>
      <c r="G175">
        <v>2888</v>
      </c>
      <c r="H175">
        <v>1</v>
      </c>
      <c r="I175" t="s">
        <v>1257</v>
      </c>
      <c r="J175">
        <v>4</v>
      </c>
      <c r="K175" t="s">
        <v>1258</v>
      </c>
    </row>
    <row r="176" spans="1:11" x14ac:dyDescent="0.25">
      <c r="A176" s="2">
        <v>152</v>
      </c>
      <c r="B176" s="2">
        <v>1</v>
      </c>
      <c r="C176" s="2" t="s">
        <v>186</v>
      </c>
      <c r="D176" s="2">
        <v>189</v>
      </c>
      <c r="E176" s="2" t="s">
        <v>189</v>
      </c>
      <c r="G176">
        <v>2888</v>
      </c>
      <c r="H176">
        <v>1</v>
      </c>
      <c r="I176" t="s">
        <v>1257</v>
      </c>
      <c r="J176">
        <v>6</v>
      </c>
      <c r="K176" t="s">
        <v>1259</v>
      </c>
    </row>
    <row r="177" spans="1:11" x14ac:dyDescent="0.25">
      <c r="A177" s="2">
        <v>162</v>
      </c>
      <c r="B177" s="2">
        <v>1</v>
      </c>
      <c r="C177" s="2" t="s">
        <v>190</v>
      </c>
      <c r="D177" s="2">
        <v>10</v>
      </c>
      <c r="E177" s="2" t="s">
        <v>191</v>
      </c>
      <c r="G177" s="2">
        <v>94</v>
      </c>
      <c r="H177" s="2">
        <v>1</v>
      </c>
      <c r="I177" s="2" t="s">
        <v>143</v>
      </c>
      <c r="J177" s="2">
        <v>101</v>
      </c>
      <c r="K177" s="2" t="s">
        <v>144</v>
      </c>
    </row>
    <row r="178" spans="1:11" x14ac:dyDescent="0.25">
      <c r="A178" s="2">
        <v>166</v>
      </c>
      <c r="B178" s="2">
        <v>1</v>
      </c>
      <c r="C178" s="2" t="s">
        <v>192</v>
      </c>
      <c r="D178" s="2">
        <v>60</v>
      </c>
      <c r="E178" s="2" t="s">
        <v>193</v>
      </c>
      <c r="G178" s="2">
        <v>94</v>
      </c>
      <c r="H178" s="2">
        <v>1</v>
      </c>
      <c r="I178" s="2" t="s">
        <v>143</v>
      </c>
      <c r="J178" s="2">
        <v>105</v>
      </c>
      <c r="K178" s="2" t="s">
        <v>71</v>
      </c>
    </row>
    <row r="179" spans="1:11" x14ac:dyDescent="0.25">
      <c r="A179" s="2">
        <v>173</v>
      </c>
      <c r="B179" s="2">
        <v>1</v>
      </c>
      <c r="C179" s="2" t="s">
        <v>194</v>
      </c>
      <c r="D179" s="2">
        <v>10</v>
      </c>
      <c r="E179" s="2" t="s">
        <v>195</v>
      </c>
      <c r="G179">
        <v>94</v>
      </c>
      <c r="H179">
        <v>1</v>
      </c>
      <c r="I179" t="s">
        <v>1170</v>
      </c>
      <c r="J179">
        <v>109</v>
      </c>
      <c r="K179" t="s">
        <v>1171</v>
      </c>
    </row>
    <row r="180" spans="1:11" x14ac:dyDescent="0.25">
      <c r="A180" s="2">
        <v>177</v>
      </c>
      <c r="B180" s="2">
        <v>1</v>
      </c>
      <c r="C180" s="2" t="s">
        <v>196</v>
      </c>
      <c r="D180" s="2">
        <v>30</v>
      </c>
      <c r="E180" s="2" t="s">
        <v>197</v>
      </c>
      <c r="G180">
        <v>4193</v>
      </c>
      <c r="H180" s="2">
        <v>7</v>
      </c>
      <c r="I180" s="2" t="s">
        <v>1090</v>
      </c>
      <c r="J180">
        <v>10</v>
      </c>
      <c r="K180" s="2" t="s">
        <v>1090</v>
      </c>
    </row>
    <row r="181" spans="1:11" x14ac:dyDescent="0.25">
      <c r="A181" s="8">
        <v>177</v>
      </c>
      <c r="B181" s="8">
        <v>1</v>
      </c>
      <c r="C181" s="8" t="s">
        <v>196</v>
      </c>
      <c r="D181" s="8">
        <v>60</v>
      </c>
      <c r="E181" s="8" t="s">
        <v>198</v>
      </c>
      <c r="G181">
        <v>4188</v>
      </c>
      <c r="H181" s="2">
        <v>7</v>
      </c>
      <c r="I181" s="2" t="s">
        <v>1088</v>
      </c>
      <c r="J181">
        <v>10</v>
      </c>
      <c r="K181" s="2" t="s">
        <v>1088</v>
      </c>
    </row>
    <row r="182" spans="1:11" x14ac:dyDescent="0.25">
      <c r="A182" s="2">
        <v>181</v>
      </c>
      <c r="B182" s="2">
        <v>1</v>
      </c>
      <c r="C182" s="2" t="s">
        <v>199</v>
      </c>
      <c r="D182" s="2">
        <v>4</v>
      </c>
      <c r="E182" s="2" t="s">
        <v>200</v>
      </c>
      <c r="G182" s="2">
        <v>13</v>
      </c>
      <c r="H182" s="2">
        <v>1</v>
      </c>
      <c r="I182" s="2" t="s">
        <v>86</v>
      </c>
      <c r="J182" s="2">
        <v>515</v>
      </c>
      <c r="K182" s="2" t="s">
        <v>87</v>
      </c>
    </row>
    <row r="183" spans="1:11" x14ac:dyDescent="0.25">
      <c r="A183" s="2">
        <v>181</v>
      </c>
      <c r="B183" s="2">
        <v>1</v>
      </c>
      <c r="C183" s="2" t="s">
        <v>199</v>
      </c>
      <c r="D183" s="2">
        <v>8</v>
      </c>
      <c r="E183" s="2" t="s">
        <v>201</v>
      </c>
      <c r="G183" s="2">
        <v>13</v>
      </c>
      <c r="H183" s="2">
        <v>1</v>
      </c>
      <c r="I183" s="2" t="s">
        <v>86</v>
      </c>
      <c r="J183" s="2">
        <v>517</v>
      </c>
      <c r="K183" s="2" t="s">
        <v>88</v>
      </c>
    </row>
    <row r="184" spans="1:11" x14ac:dyDescent="0.25">
      <c r="A184" s="2">
        <v>181</v>
      </c>
      <c r="B184" s="2">
        <v>1</v>
      </c>
      <c r="C184" s="2" t="s">
        <v>199</v>
      </c>
      <c r="D184" s="2">
        <v>9</v>
      </c>
      <c r="E184" s="2" t="s">
        <v>202</v>
      </c>
      <c r="G184">
        <v>13</v>
      </c>
      <c r="H184" s="2">
        <v>1</v>
      </c>
      <c r="I184" s="2" t="s">
        <v>86</v>
      </c>
      <c r="J184">
        <v>520</v>
      </c>
      <c r="K184" s="2" t="s">
        <v>89</v>
      </c>
    </row>
    <row r="185" spans="1:11" x14ac:dyDescent="0.25">
      <c r="A185" s="2">
        <v>181</v>
      </c>
      <c r="B185" s="2">
        <v>1</v>
      </c>
      <c r="C185" s="2" t="s">
        <v>199</v>
      </c>
      <c r="D185" s="2">
        <v>11</v>
      </c>
      <c r="E185" s="2" t="s">
        <v>203</v>
      </c>
      <c r="G185">
        <v>81</v>
      </c>
      <c r="H185">
        <v>1</v>
      </c>
      <c r="I185" t="s">
        <v>1168</v>
      </c>
      <c r="J185">
        <v>10</v>
      </c>
      <c r="K185" t="s">
        <v>1169</v>
      </c>
    </row>
    <row r="186" spans="1:11" x14ac:dyDescent="0.25">
      <c r="A186" s="2">
        <v>181</v>
      </c>
      <c r="B186" s="2">
        <v>1</v>
      </c>
      <c r="C186" s="2" t="s">
        <v>199</v>
      </c>
      <c r="D186" s="2">
        <v>12</v>
      </c>
      <c r="E186" s="2" t="s">
        <v>204</v>
      </c>
      <c r="G186">
        <v>4015</v>
      </c>
      <c r="H186" s="2">
        <v>7</v>
      </c>
      <c r="I186" s="2" t="s">
        <v>1024</v>
      </c>
      <c r="J186">
        <v>10</v>
      </c>
      <c r="K186" s="2" t="s">
        <v>1024</v>
      </c>
    </row>
    <row r="187" spans="1:11" x14ac:dyDescent="0.25">
      <c r="A187" s="2">
        <v>181</v>
      </c>
      <c r="B187" s="2">
        <v>1</v>
      </c>
      <c r="C187" s="2" t="s">
        <v>199</v>
      </c>
      <c r="D187" s="2">
        <v>15</v>
      </c>
      <c r="E187" s="2" t="s">
        <v>205</v>
      </c>
      <c r="G187">
        <v>4181</v>
      </c>
      <c r="H187" s="2">
        <v>7</v>
      </c>
      <c r="I187" s="2" t="s">
        <v>1084</v>
      </c>
      <c r="J187">
        <v>10</v>
      </c>
      <c r="K187" s="2" t="s">
        <v>1084</v>
      </c>
    </row>
    <row r="188" spans="1:11" x14ac:dyDescent="0.25">
      <c r="A188">
        <v>181</v>
      </c>
      <c r="B188">
        <v>1</v>
      </c>
      <c r="C188" t="s">
        <v>1176</v>
      </c>
      <c r="D188">
        <v>17</v>
      </c>
      <c r="E188" t="s">
        <v>1177</v>
      </c>
      <c r="G188">
        <v>4035</v>
      </c>
      <c r="H188" s="2">
        <v>7</v>
      </c>
      <c r="I188" s="2" t="s">
        <v>1038</v>
      </c>
      <c r="J188">
        <v>10</v>
      </c>
      <c r="K188" s="2" t="s">
        <v>1038</v>
      </c>
    </row>
    <row r="189" spans="1:11" x14ac:dyDescent="0.25">
      <c r="A189" s="2">
        <v>182</v>
      </c>
      <c r="B189" s="2">
        <v>1</v>
      </c>
      <c r="C189" s="2" t="s">
        <v>206</v>
      </c>
      <c r="D189" s="2">
        <v>6</v>
      </c>
      <c r="E189" s="2" t="s">
        <v>207</v>
      </c>
      <c r="G189" s="2">
        <v>166</v>
      </c>
      <c r="H189" s="2">
        <v>1</v>
      </c>
      <c r="I189" s="2" t="s">
        <v>192</v>
      </c>
      <c r="J189" s="2">
        <v>60</v>
      </c>
      <c r="K189" s="2" t="s">
        <v>193</v>
      </c>
    </row>
    <row r="190" spans="1:11" x14ac:dyDescent="0.25">
      <c r="A190" s="2">
        <v>186</v>
      </c>
      <c r="B190" s="2">
        <v>1</v>
      </c>
      <c r="C190" s="2" t="s">
        <v>208</v>
      </c>
      <c r="D190" s="2">
        <v>10</v>
      </c>
      <c r="E190" s="2" t="s">
        <v>209</v>
      </c>
      <c r="G190" s="2">
        <v>95</v>
      </c>
      <c r="H190" s="2">
        <v>1</v>
      </c>
      <c r="I190" s="2" t="s">
        <v>145</v>
      </c>
      <c r="J190" s="2">
        <v>10</v>
      </c>
      <c r="K190" s="2" t="s">
        <v>146</v>
      </c>
    </row>
    <row r="191" spans="1:11" x14ac:dyDescent="0.25">
      <c r="A191" s="2">
        <v>191</v>
      </c>
      <c r="B191" s="2">
        <v>1</v>
      </c>
      <c r="C191" s="2" t="s">
        <v>210</v>
      </c>
      <c r="D191" s="2">
        <v>482</v>
      </c>
      <c r="E191" s="2" t="s">
        <v>211</v>
      </c>
      <c r="G191">
        <v>593</v>
      </c>
      <c r="H191" s="2">
        <v>1</v>
      </c>
      <c r="I191" s="2" t="s">
        <v>563</v>
      </c>
      <c r="J191">
        <v>80</v>
      </c>
      <c r="K191" s="2" t="s">
        <v>87</v>
      </c>
    </row>
    <row r="192" spans="1:11" x14ac:dyDescent="0.25">
      <c r="A192" s="2">
        <v>191</v>
      </c>
      <c r="B192" s="2">
        <v>1</v>
      </c>
      <c r="C192" s="2" t="s">
        <v>210</v>
      </c>
      <c r="D192" s="2">
        <v>483</v>
      </c>
      <c r="E192" s="2" t="s">
        <v>212</v>
      </c>
      <c r="G192" s="2">
        <v>182</v>
      </c>
      <c r="H192" s="2">
        <v>1</v>
      </c>
      <c r="I192" s="2" t="s">
        <v>206</v>
      </c>
      <c r="J192" s="2">
        <v>6</v>
      </c>
      <c r="K192" s="2" t="s">
        <v>207</v>
      </c>
    </row>
    <row r="193" spans="1:11" x14ac:dyDescent="0.25">
      <c r="A193" s="2">
        <v>191</v>
      </c>
      <c r="B193" s="2">
        <v>1</v>
      </c>
      <c r="C193" s="2" t="s">
        <v>210</v>
      </c>
      <c r="D193" s="2">
        <v>484</v>
      </c>
      <c r="E193" s="2" t="s">
        <v>213</v>
      </c>
      <c r="G193">
        <v>4059</v>
      </c>
      <c r="H193">
        <v>7</v>
      </c>
      <c r="I193" t="s">
        <v>1270</v>
      </c>
      <c r="J193">
        <v>10</v>
      </c>
      <c r="K193" t="s">
        <v>1270</v>
      </c>
    </row>
    <row r="194" spans="1:11" x14ac:dyDescent="0.25">
      <c r="A194" s="2">
        <v>191</v>
      </c>
      <c r="B194" s="2">
        <v>1</v>
      </c>
      <c r="C194" s="2" t="s">
        <v>210</v>
      </c>
      <c r="D194" s="2">
        <v>485</v>
      </c>
      <c r="E194" s="2" t="s">
        <v>214</v>
      </c>
      <c r="G194">
        <v>4025</v>
      </c>
      <c r="H194">
        <v>7</v>
      </c>
      <c r="I194" t="s">
        <v>1265</v>
      </c>
      <c r="J194">
        <v>10</v>
      </c>
      <c r="K194" t="s">
        <v>1265</v>
      </c>
    </row>
    <row r="195" spans="1:11" x14ac:dyDescent="0.25">
      <c r="A195" s="2">
        <v>191</v>
      </c>
      <c r="B195" s="2">
        <v>1</v>
      </c>
      <c r="C195" s="2" t="s">
        <v>210</v>
      </c>
      <c r="D195" s="2">
        <v>486</v>
      </c>
      <c r="E195" s="2" t="s">
        <v>215</v>
      </c>
      <c r="G195">
        <v>611</v>
      </c>
      <c r="H195">
        <v>1</v>
      </c>
      <c r="I195" t="s">
        <v>1205</v>
      </c>
      <c r="J195">
        <v>10</v>
      </c>
      <c r="K195" t="s">
        <v>1206</v>
      </c>
    </row>
    <row r="196" spans="1:11" x14ac:dyDescent="0.25">
      <c r="A196" s="2">
        <v>191</v>
      </c>
      <c r="B196" s="2">
        <v>1</v>
      </c>
      <c r="C196" s="2" t="s">
        <v>210</v>
      </c>
      <c r="D196" s="2">
        <v>487</v>
      </c>
      <c r="E196" s="2" t="s">
        <v>216</v>
      </c>
      <c r="G196">
        <v>4123</v>
      </c>
      <c r="H196">
        <v>7</v>
      </c>
      <c r="I196" t="s">
        <v>1275</v>
      </c>
      <c r="J196">
        <v>10</v>
      </c>
      <c r="K196" t="s">
        <v>1275</v>
      </c>
    </row>
    <row r="197" spans="1:11" x14ac:dyDescent="0.25">
      <c r="A197" s="2">
        <v>191</v>
      </c>
      <c r="B197" s="2">
        <v>1</v>
      </c>
      <c r="C197" s="2" t="s">
        <v>210</v>
      </c>
      <c r="D197" s="2">
        <v>488</v>
      </c>
      <c r="E197" s="2" t="s">
        <v>217</v>
      </c>
      <c r="G197" s="2">
        <v>466</v>
      </c>
      <c r="H197" s="2">
        <v>1</v>
      </c>
      <c r="I197" s="2" t="s">
        <v>478</v>
      </c>
      <c r="J197" s="2">
        <v>1</v>
      </c>
      <c r="K197" s="2" t="s">
        <v>479</v>
      </c>
    </row>
    <row r="198" spans="1:11" x14ac:dyDescent="0.25">
      <c r="A198" s="2">
        <v>191</v>
      </c>
      <c r="B198" s="2">
        <v>1</v>
      </c>
      <c r="C198" s="2" t="s">
        <v>210</v>
      </c>
      <c r="D198" s="2">
        <v>489</v>
      </c>
      <c r="E198" s="2" t="s">
        <v>218</v>
      </c>
      <c r="G198" s="2">
        <v>466</v>
      </c>
      <c r="H198" s="2">
        <v>1</v>
      </c>
      <c r="I198" s="2" t="s">
        <v>478</v>
      </c>
      <c r="J198" s="2">
        <v>3</v>
      </c>
      <c r="K198" s="2" t="s">
        <v>480</v>
      </c>
    </row>
    <row r="199" spans="1:11" x14ac:dyDescent="0.25">
      <c r="A199" s="2">
        <v>191</v>
      </c>
      <c r="B199" s="2">
        <v>1</v>
      </c>
      <c r="C199" s="2" t="s">
        <v>210</v>
      </c>
      <c r="D199" s="2">
        <v>490</v>
      </c>
      <c r="E199" s="2" t="s">
        <v>219</v>
      </c>
      <c r="G199">
        <v>4185</v>
      </c>
      <c r="H199" s="2">
        <v>7</v>
      </c>
      <c r="I199" s="2" t="s">
        <v>1086</v>
      </c>
      <c r="J199">
        <v>10</v>
      </c>
      <c r="K199" s="2" t="s">
        <v>1086</v>
      </c>
    </row>
    <row r="200" spans="1:11" x14ac:dyDescent="0.25">
      <c r="A200" s="2">
        <v>191</v>
      </c>
      <c r="B200" s="2">
        <v>1</v>
      </c>
      <c r="C200" s="2" t="s">
        <v>210</v>
      </c>
      <c r="D200" s="2">
        <v>491</v>
      </c>
      <c r="E200" s="2" t="s">
        <v>220</v>
      </c>
      <c r="G200" s="2">
        <v>378</v>
      </c>
      <c r="H200" s="2">
        <v>1</v>
      </c>
      <c r="I200" s="2" t="s">
        <v>438</v>
      </c>
      <c r="J200" s="2">
        <v>10</v>
      </c>
      <c r="K200" s="2" t="s">
        <v>439</v>
      </c>
    </row>
    <row r="201" spans="1:11" x14ac:dyDescent="0.25">
      <c r="A201">
        <v>191</v>
      </c>
      <c r="B201">
        <v>1</v>
      </c>
      <c r="C201" t="s">
        <v>1178</v>
      </c>
      <c r="D201">
        <v>509</v>
      </c>
      <c r="E201" t="s">
        <v>1179</v>
      </c>
      <c r="G201" s="2">
        <v>317</v>
      </c>
      <c r="H201" s="2">
        <v>1</v>
      </c>
      <c r="I201" s="2" t="s">
        <v>412</v>
      </c>
      <c r="J201" s="2">
        <v>4</v>
      </c>
      <c r="K201" s="2" t="s">
        <v>414</v>
      </c>
    </row>
    <row r="202" spans="1:11" x14ac:dyDescent="0.25">
      <c r="A202" s="2">
        <v>192</v>
      </c>
      <c r="B202" s="2">
        <v>1</v>
      </c>
      <c r="C202" s="2" t="s">
        <v>221</v>
      </c>
      <c r="D202" s="2">
        <v>10</v>
      </c>
      <c r="E202" s="2" t="s">
        <v>222</v>
      </c>
      <c r="G202">
        <v>879</v>
      </c>
      <c r="H202" s="2">
        <v>1</v>
      </c>
      <c r="I202" s="2" t="s">
        <v>847</v>
      </c>
      <c r="J202">
        <v>10</v>
      </c>
      <c r="K202" s="2" t="s">
        <v>848</v>
      </c>
    </row>
    <row r="203" spans="1:11" x14ac:dyDescent="0.25">
      <c r="A203" s="2">
        <v>192</v>
      </c>
      <c r="B203" s="2">
        <v>1</v>
      </c>
      <c r="C203" s="2" t="s">
        <v>221</v>
      </c>
      <c r="D203" s="2">
        <v>40</v>
      </c>
      <c r="E203" s="2" t="s">
        <v>223</v>
      </c>
      <c r="G203" s="2">
        <v>22</v>
      </c>
      <c r="H203" s="2">
        <v>1</v>
      </c>
      <c r="I203" s="2" t="s">
        <v>102</v>
      </c>
      <c r="J203" s="2">
        <v>60</v>
      </c>
      <c r="K203" s="2" t="s">
        <v>104</v>
      </c>
    </row>
    <row r="204" spans="1:11" x14ac:dyDescent="0.25">
      <c r="A204" s="2">
        <v>192</v>
      </c>
      <c r="B204" s="2">
        <v>1</v>
      </c>
      <c r="C204" s="2" t="s">
        <v>221</v>
      </c>
      <c r="D204" s="2">
        <v>80</v>
      </c>
      <c r="E204" s="2" t="s">
        <v>224</v>
      </c>
      <c r="G204" s="2">
        <v>22</v>
      </c>
      <c r="H204" s="2">
        <v>1</v>
      </c>
      <c r="I204" s="2" t="s">
        <v>102</v>
      </c>
      <c r="J204" s="2">
        <v>10</v>
      </c>
      <c r="K204" s="2" t="s">
        <v>103</v>
      </c>
    </row>
    <row r="205" spans="1:11" x14ac:dyDescent="0.25">
      <c r="A205" s="2">
        <v>192</v>
      </c>
      <c r="B205" s="2">
        <v>1</v>
      </c>
      <c r="C205" s="2" t="s">
        <v>221</v>
      </c>
      <c r="D205" s="2">
        <v>100</v>
      </c>
      <c r="E205" s="2" t="s">
        <v>225</v>
      </c>
      <c r="G205">
        <v>2164</v>
      </c>
      <c r="H205" s="2">
        <v>1</v>
      </c>
      <c r="I205" s="2" t="s">
        <v>901</v>
      </c>
      <c r="J205">
        <v>1</v>
      </c>
      <c r="K205" s="2" t="s">
        <v>902</v>
      </c>
    </row>
    <row r="206" spans="1:11" x14ac:dyDescent="0.25">
      <c r="A206" s="2">
        <v>192</v>
      </c>
      <c r="B206" s="2">
        <v>1</v>
      </c>
      <c r="C206" s="2" t="s">
        <v>221</v>
      </c>
      <c r="D206" s="2">
        <v>621</v>
      </c>
      <c r="E206" s="2" t="s">
        <v>226</v>
      </c>
      <c r="G206">
        <v>2164</v>
      </c>
      <c r="H206" s="2">
        <v>1</v>
      </c>
      <c r="I206" s="2" t="s">
        <v>901</v>
      </c>
      <c r="J206">
        <v>2</v>
      </c>
      <c r="K206" s="2" t="s">
        <v>903</v>
      </c>
    </row>
    <row r="207" spans="1:11" x14ac:dyDescent="0.25">
      <c r="A207" s="2">
        <v>194</v>
      </c>
      <c r="B207" s="2">
        <v>1</v>
      </c>
      <c r="C207" s="2" t="s">
        <v>227</v>
      </c>
      <c r="D207" s="2">
        <v>591</v>
      </c>
      <c r="E207" s="2" t="s">
        <v>131</v>
      </c>
      <c r="G207">
        <v>533</v>
      </c>
      <c r="H207" s="2">
        <v>1</v>
      </c>
      <c r="I207" s="2" t="s">
        <v>524</v>
      </c>
      <c r="J207">
        <v>20</v>
      </c>
      <c r="K207" s="2" t="s">
        <v>525</v>
      </c>
    </row>
    <row r="208" spans="1:11" x14ac:dyDescent="0.25">
      <c r="A208" s="2">
        <v>194</v>
      </c>
      <c r="B208" s="2">
        <v>1</v>
      </c>
      <c r="C208" s="2" t="s">
        <v>227</v>
      </c>
      <c r="D208" s="2">
        <v>592</v>
      </c>
      <c r="E208" s="2" t="s">
        <v>228</v>
      </c>
      <c r="G208">
        <v>4153</v>
      </c>
      <c r="H208" s="2">
        <v>7</v>
      </c>
      <c r="I208" s="2" t="s">
        <v>1074</v>
      </c>
      <c r="J208">
        <v>10</v>
      </c>
      <c r="K208" s="2" t="s">
        <v>1074</v>
      </c>
    </row>
    <row r="209" spans="1:11" x14ac:dyDescent="0.25">
      <c r="A209" s="2">
        <v>194</v>
      </c>
      <c r="B209" s="2">
        <v>1</v>
      </c>
      <c r="C209" s="2" t="s">
        <v>227</v>
      </c>
      <c r="D209" s="2">
        <v>593</v>
      </c>
      <c r="E209" s="2" t="s">
        <v>229</v>
      </c>
      <c r="G209">
        <v>709</v>
      </c>
      <c r="H209" s="2">
        <v>1</v>
      </c>
      <c r="I209" s="2" t="s">
        <v>685</v>
      </c>
      <c r="J209">
        <v>435</v>
      </c>
      <c r="K209" s="2" t="s">
        <v>686</v>
      </c>
    </row>
    <row r="210" spans="1:11" x14ac:dyDescent="0.25">
      <c r="A210" s="2">
        <v>194</v>
      </c>
      <c r="B210" s="2">
        <v>1</v>
      </c>
      <c r="C210" s="2" t="s">
        <v>227</v>
      </c>
      <c r="D210" s="2">
        <v>594</v>
      </c>
      <c r="E210" s="2" t="s">
        <v>230</v>
      </c>
      <c r="G210" s="5">
        <v>709</v>
      </c>
      <c r="H210" s="5">
        <v>1</v>
      </c>
      <c r="I210" t="s">
        <v>685</v>
      </c>
      <c r="J210" s="5">
        <v>470</v>
      </c>
      <c r="K210" s="6" t="s">
        <v>687</v>
      </c>
    </row>
    <row r="211" spans="1:11" x14ac:dyDescent="0.25">
      <c r="A211" s="2">
        <v>194</v>
      </c>
      <c r="B211" s="2">
        <v>1</v>
      </c>
      <c r="C211" s="2" t="s">
        <v>227</v>
      </c>
      <c r="D211" s="2">
        <v>595</v>
      </c>
      <c r="E211" s="2" t="s">
        <v>231</v>
      </c>
      <c r="G211">
        <v>709</v>
      </c>
      <c r="H211" s="2">
        <v>1</v>
      </c>
      <c r="I211" s="2" t="s">
        <v>685</v>
      </c>
      <c r="J211">
        <v>475</v>
      </c>
      <c r="K211" s="2" t="s">
        <v>633</v>
      </c>
    </row>
    <row r="212" spans="1:11" x14ac:dyDescent="0.25">
      <c r="A212" s="2">
        <v>194</v>
      </c>
      <c r="B212" s="2">
        <v>1</v>
      </c>
      <c r="C212" s="2" t="s">
        <v>227</v>
      </c>
      <c r="D212" s="2">
        <v>596</v>
      </c>
      <c r="E212" s="2" t="s">
        <v>232</v>
      </c>
      <c r="G212">
        <v>709</v>
      </c>
      <c r="H212" s="2">
        <v>1</v>
      </c>
      <c r="I212" s="2" t="s">
        <v>685</v>
      </c>
      <c r="J212">
        <v>500</v>
      </c>
      <c r="K212" s="2" t="s">
        <v>688</v>
      </c>
    </row>
    <row r="213" spans="1:11" x14ac:dyDescent="0.25">
      <c r="A213" s="2">
        <v>194</v>
      </c>
      <c r="B213" s="2">
        <v>1</v>
      </c>
      <c r="C213" s="2" t="s">
        <v>227</v>
      </c>
      <c r="D213" s="2">
        <v>597</v>
      </c>
      <c r="E213" s="2" t="s">
        <v>233</v>
      </c>
      <c r="G213">
        <v>709</v>
      </c>
      <c r="H213" s="2">
        <v>1</v>
      </c>
      <c r="I213" s="2" t="s">
        <v>685</v>
      </c>
      <c r="J213">
        <v>525</v>
      </c>
      <c r="K213" s="2" t="s">
        <v>692</v>
      </c>
    </row>
    <row r="214" spans="1:11" x14ac:dyDescent="0.25">
      <c r="A214" s="2">
        <v>194</v>
      </c>
      <c r="B214" s="2">
        <v>1</v>
      </c>
      <c r="C214" s="2" t="s">
        <v>227</v>
      </c>
      <c r="D214" s="2">
        <v>598</v>
      </c>
      <c r="E214" s="2" t="s">
        <v>234</v>
      </c>
      <c r="G214">
        <v>709</v>
      </c>
      <c r="H214" s="2">
        <v>1</v>
      </c>
      <c r="I214" s="2" t="s">
        <v>685</v>
      </c>
      <c r="J214">
        <v>510</v>
      </c>
      <c r="K214" s="2" t="s">
        <v>689</v>
      </c>
    </row>
    <row r="215" spans="1:11" x14ac:dyDescent="0.25">
      <c r="A215">
        <v>194</v>
      </c>
      <c r="B215" s="2">
        <v>1</v>
      </c>
      <c r="C215" s="2" t="s">
        <v>227</v>
      </c>
      <c r="D215">
        <v>599</v>
      </c>
      <c r="E215" s="2" t="s">
        <v>235</v>
      </c>
      <c r="G215">
        <v>709</v>
      </c>
      <c r="H215" s="2">
        <v>1</v>
      </c>
      <c r="I215" s="2" t="s">
        <v>685</v>
      </c>
      <c r="J215">
        <v>515</v>
      </c>
      <c r="K215" s="2" t="s">
        <v>690</v>
      </c>
    </row>
    <row r="216" spans="1:11" x14ac:dyDescent="0.25">
      <c r="A216" s="2">
        <v>195</v>
      </c>
      <c r="B216" s="2">
        <v>1</v>
      </c>
      <c r="C216" s="2" t="s">
        <v>236</v>
      </c>
      <c r="D216" s="2">
        <v>10</v>
      </c>
      <c r="E216" s="2" t="s">
        <v>237</v>
      </c>
      <c r="G216">
        <v>709</v>
      </c>
      <c r="H216" s="2">
        <v>1</v>
      </c>
      <c r="I216" s="2" t="s">
        <v>685</v>
      </c>
      <c r="J216">
        <v>520</v>
      </c>
      <c r="K216" s="2" t="s">
        <v>691</v>
      </c>
    </row>
    <row r="217" spans="1:11" x14ac:dyDescent="0.25">
      <c r="A217">
        <v>196</v>
      </c>
      <c r="B217">
        <v>1</v>
      </c>
      <c r="C217" t="s">
        <v>1180</v>
      </c>
      <c r="D217">
        <v>100</v>
      </c>
      <c r="E217" t="s">
        <v>1181</v>
      </c>
      <c r="G217">
        <v>709</v>
      </c>
      <c r="H217" s="2">
        <v>1</v>
      </c>
      <c r="I217" s="2" t="s">
        <v>685</v>
      </c>
      <c r="J217">
        <v>540</v>
      </c>
      <c r="K217" s="2" t="s">
        <v>693</v>
      </c>
    </row>
    <row r="218" spans="1:11" x14ac:dyDescent="0.25">
      <c r="A218" s="2">
        <v>196</v>
      </c>
      <c r="B218" s="2">
        <v>1</v>
      </c>
      <c r="C218" s="2" t="s">
        <v>238</v>
      </c>
      <c r="D218" s="2">
        <v>705</v>
      </c>
      <c r="E218" s="2" t="s">
        <v>239</v>
      </c>
      <c r="G218">
        <v>709</v>
      </c>
      <c r="H218" s="2">
        <v>1</v>
      </c>
      <c r="I218" s="2" t="s">
        <v>685</v>
      </c>
      <c r="J218">
        <v>565</v>
      </c>
      <c r="K218" s="2" t="s">
        <v>694</v>
      </c>
    </row>
    <row r="219" spans="1:11" x14ac:dyDescent="0.25">
      <c r="A219" s="2">
        <v>196</v>
      </c>
      <c r="B219" s="2">
        <v>1</v>
      </c>
      <c r="C219" s="2" t="s">
        <v>238</v>
      </c>
      <c r="D219" s="2">
        <v>706</v>
      </c>
      <c r="E219" s="2" t="s">
        <v>240</v>
      </c>
      <c r="G219">
        <v>709</v>
      </c>
      <c r="H219">
        <v>1</v>
      </c>
      <c r="I219" t="s">
        <v>1227</v>
      </c>
      <c r="J219">
        <v>575</v>
      </c>
      <c r="K219" t="s">
        <v>1229</v>
      </c>
    </row>
    <row r="220" spans="1:11" x14ac:dyDescent="0.25">
      <c r="A220" s="2">
        <v>196</v>
      </c>
      <c r="B220" s="2">
        <v>1</v>
      </c>
      <c r="C220" s="2" t="s">
        <v>238</v>
      </c>
      <c r="D220" s="2">
        <v>707</v>
      </c>
      <c r="E220" s="2" t="s">
        <v>241</v>
      </c>
      <c r="G220">
        <v>709</v>
      </c>
      <c r="H220">
        <v>1</v>
      </c>
      <c r="I220" t="s">
        <v>1227</v>
      </c>
      <c r="J220">
        <v>640</v>
      </c>
      <c r="K220" t="s">
        <v>1230</v>
      </c>
    </row>
    <row r="221" spans="1:11" x14ac:dyDescent="0.25">
      <c r="A221" s="2">
        <v>196</v>
      </c>
      <c r="B221" s="2">
        <v>1</v>
      </c>
      <c r="C221" s="2" t="s">
        <v>238</v>
      </c>
      <c r="D221" s="2">
        <v>708</v>
      </c>
      <c r="E221" s="2" t="s">
        <v>155</v>
      </c>
      <c r="G221">
        <v>709</v>
      </c>
      <c r="H221">
        <v>1</v>
      </c>
      <c r="I221" t="s">
        <v>1227</v>
      </c>
      <c r="J221">
        <v>81</v>
      </c>
      <c r="K221" t="s">
        <v>1228</v>
      </c>
    </row>
    <row r="222" spans="1:11" x14ac:dyDescent="0.25">
      <c r="A222" s="2">
        <v>196</v>
      </c>
      <c r="B222" s="2">
        <v>1</v>
      </c>
      <c r="C222" s="2" t="s">
        <v>238</v>
      </c>
      <c r="D222" s="2">
        <v>709</v>
      </c>
      <c r="E222" s="2" t="s">
        <v>242</v>
      </c>
      <c r="G222">
        <v>4020</v>
      </c>
      <c r="H222" s="2">
        <v>7</v>
      </c>
      <c r="I222" s="2" t="s">
        <v>1030</v>
      </c>
      <c r="J222">
        <v>10</v>
      </c>
      <c r="K222" s="2" t="s">
        <v>1031</v>
      </c>
    </row>
    <row r="223" spans="1:11" x14ac:dyDescent="0.25">
      <c r="A223" s="2">
        <v>196</v>
      </c>
      <c r="B223" s="2">
        <v>1</v>
      </c>
      <c r="C223" s="2" t="s">
        <v>238</v>
      </c>
      <c r="D223" s="2">
        <v>710</v>
      </c>
      <c r="E223" s="2" t="s">
        <v>243</v>
      </c>
      <c r="G223">
        <v>4020</v>
      </c>
      <c r="H223" s="2">
        <v>7</v>
      </c>
      <c r="I223" s="2" t="s">
        <v>1030</v>
      </c>
      <c r="J223">
        <v>40</v>
      </c>
      <c r="K223" s="2" t="s">
        <v>1032</v>
      </c>
    </row>
    <row r="224" spans="1:11" x14ac:dyDescent="0.25">
      <c r="A224" s="2">
        <v>196</v>
      </c>
      <c r="B224" s="2">
        <v>1</v>
      </c>
      <c r="C224" s="2" t="s">
        <v>238</v>
      </c>
      <c r="D224" s="2">
        <v>711</v>
      </c>
      <c r="E224" s="2" t="s">
        <v>244</v>
      </c>
      <c r="G224">
        <v>4026</v>
      </c>
      <c r="H224">
        <v>7</v>
      </c>
      <c r="I224" t="s">
        <v>1266</v>
      </c>
      <c r="J224">
        <v>10</v>
      </c>
      <c r="K224" t="s">
        <v>1266</v>
      </c>
    </row>
    <row r="225" spans="1:11" x14ac:dyDescent="0.25">
      <c r="A225" s="2">
        <v>196</v>
      </c>
      <c r="B225" s="2">
        <v>1</v>
      </c>
      <c r="C225" s="2" t="s">
        <v>238</v>
      </c>
      <c r="D225" s="2">
        <v>712</v>
      </c>
      <c r="E225" s="2" t="s">
        <v>245</v>
      </c>
      <c r="G225">
        <v>2759</v>
      </c>
      <c r="H225" s="2">
        <v>1</v>
      </c>
      <c r="I225" s="2" t="s">
        <v>979</v>
      </c>
      <c r="J225">
        <v>10</v>
      </c>
      <c r="K225" s="2" t="s">
        <v>980</v>
      </c>
    </row>
    <row r="226" spans="1:11" x14ac:dyDescent="0.25">
      <c r="A226" s="2">
        <v>196</v>
      </c>
      <c r="B226" s="2">
        <v>1</v>
      </c>
      <c r="C226" s="2" t="s">
        <v>238</v>
      </c>
      <c r="D226" s="2">
        <v>713</v>
      </c>
      <c r="E226" s="2" t="s">
        <v>246</v>
      </c>
      <c r="G226">
        <v>2580</v>
      </c>
      <c r="H226" s="2">
        <v>1</v>
      </c>
      <c r="I226" s="2" t="s">
        <v>959</v>
      </c>
      <c r="J226">
        <v>10</v>
      </c>
      <c r="K226" s="2" t="s">
        <v>960</v>
      </c>
    </row>
    <row r="227" spans="1:11" x14ac:dyDescent="0.25">
      <c r="A227" s="2">
        <v>196</v>
      </c>
      <c r="B227" s="2">
        <v>1</v>
      </c>
      <c r="C227" s="2" t="s">
        <v>238</v>
      </c>
      <c r="D227" s="2">
        <v>714</v>
      </c>
      <c r="E227" s="2" t="s">
        <v>247</v>
      </c>
      <c r="G227">
        <v>595</v>
      </c>
      <c r="H227" s="2">
        <v>1</v>
      </c>
      <c r="I227" s="2" t="s">
        <v>564</v>
      </c>
      <c r="J227">
        <v>110</v>
      </c>
      <c r="K227" s="2" t="s">
        <v>565</v>
      </c>
    </row>
    <row r="228" spans="1:11" x14ac:dyDescent="0.25">
      <c r="A228" s="2">
        <v>196</v>
      </c>
      <c r="B228" s="2">
        <v>1</v>
      </c>
      <c r="C228" s="2" t="s">
        <v>238</v>
      </c>
      <c r="D228" s="2">
        <v>715</v>
      </c>
      <c r="E228" s="2" t="s">
        <v>87</v>
      </c>
      <c r="G228" s="2">
        <v>272</v>
      </c>
      <c r="H228" s="2">
        <v>1</v>
      </c>
      <c r="I228" s="2" t="s">
        <v>322</v>
      </c>
      <c r="J228" s="2">
        <v>887</v>
      </c>
      <c r="K228" s="2" t="s">
        <v>327</v>
      </c>
    </row>
    <row r="229" spans="1:11" x14ac:dyDescent="0.25">
      <c r="A229" s="2">
        <v>196</v>
      </c>
      <c r="B229" s="2">
        <v>1</v>
      </c>
      <c r="C229" s="2" t="s">
        <v>238</v>
      </c>
      <c r="D229" s="2">
        <v>716</v>
      </c>
      <c r="E229" s="2" t="s">
        <v>248</v>
      </c>
      <c r="G229" s="2">
        <v>272</v>
      </c>
      <c r="H229" s="2">
        <v>1</v>
      </c>
      <c r="I229" s="2" t="s">
        <v>322</v>
      </c>
      <c r="J229" s="2">
        <v>886</v>
      </c>
      <c r="K229" s="2" t="s">
        <v>326</v>
      </c>
    </row>
    <row r="230" spans="1:11" x14ac:dyDescent="0.25">
      <c r="A230" s="2">
        <v>196</v>
      </c>
      <c r="B230" s="2">
        <v>1</v>
      </c>
      <c r="C230" s="2" t="s">
        <v>238</v>
      </c>
      <c r="D230" s="2">
        <v>717</v>
      </c>
      <c r="E230" s="2" t="s">
        <v>249</v>
      </c>
      <c r="G230" s="2">
        <v>272</v>
      </c>
      <c r="H230" s="2">
        <v>1</v>
      </c>
      <c r="I230" s="2" t="s">
        <v>322</v>
      </c>
      <c r="J230" s="2">
        <v>883</v>
      </c>
      <c r="K230" s="2" t="s">
        <v>325</v>
      </c>
    </row>
    <row r="231" spans="1:11" x14ac:dyDescent="0.25">
      <c r="A231">
        <v>196</v>
      </c>
      <c r="B231" s="2">
        <v>1</v>
      </c>
      <c r="C231" s="2" t="s">
        <v>238</v>
      </c>
      <c r="D231">
        <v>718</v>
      </c>
      <c r="E231" s="2" t="s">
        <v>250</v>
      </c>
      <c r="G231" s="2">
        <v>272</v>
      </c>
      <c r="H231" s="2">
        <v>1</v>
      </c>
      <c r="I231" s="2" t="s">
        <v>322</v>
      </c>
      <c r="J231" s="2">
        <v>882</v>
      </c>
      <c r="K231" s="2" t="s">
        <v>324</v>
      </c>
    </row>
    <row r="232" spans="1:11" x14ac:dyDescent="0.25">
      <c r="A232" s="2">
        <v>196</v>
      </c>
      <c r="B232" s="2">
        <v>1</v>
      </c>
      <c r="C232" s="2" t="s">
        <v>238</v>
      </c>
      <c r="D232" s="2">
        <v>719</v>
      </c>
      <c r="E232" s="2" t="s">
        <v>251</v>
      </c>
      <c r="G232" s="2">
        <v>272</v>
      </c>
      <c r="H232" s="2">
        <v>1</v>
      </c>
      <c r="I232" s="2" t="s">
        <v>322</v>
      </c>
      <c r="J232" s="2">
        <v>881</v>
      </c>
      <c r="K232" s="2" t="s">
        <v>323</v>
      </c>
    </row>
    <row r="233" spans="1:11" x14ac:dyDescent="0.25">
      <c r="A233" s="2">
        <v>196</v>
      </c>
      <c r="B233" s="2">
        <v>1</v>
      </c>
      <c r="C233" s="2" t="s">
        <v>238</v>
      </c>
      <c r="D233" s="2">
        <v>720</v>
      </c>
      <c r="E233" s="2" t="s">
        <v>252</v>
      </c>
      <c r="G233" s="2">
        <v>463</v>
      </c>
      <c r="H233" s="2">
        <v>1</v>
      </c>
      <c r="I233" s="2" t="s">
        <v>473</v>
      </c>
      <c r="J233" s="2">
        <v>10</v>
      </c>
      <c r="K233" s="2" t="s">
        <v>474</v>
      </c>
    </row>
    <row r="234" spans="1:11" x14ac:dyDescent="0.25">
      <c r="A234" s="2">
        <v>196</v>
      </c>
      <c r="B234" s="2">
        <v>1</v>
      </c>
      <c r="C234" s="2" t="s">
        <v>238</v>
      </c>
      <c r="D234" s="2">
        <v>764</v>
      </c>
      <c r="E234" s="2" t="s">
        <v>253</v>
      </c>
      <c r="G234">
        <v>581</v>
      </c>
      <c r="H234" s="2">
        <v>1</v>
      </c>
      <c r="I234" s="2" t="s">
        <v>561</v>
      </c>
      <c r="J234">
        <v>20</v>
      </c>
      <c r="K234" s="2" t="s">
        <v>562</v>
      </c>
    </row>
    <row r="235" spans="1:11" x14ac:dyDescent="0.25">
      <c r="A235" s="2">
        <v>196</v>
      </c>
      <c r="B235" s="2">
        <v>1</v>
      </c>
      <c r="C235" s="2" t="s">
        <v>238</v>
      </c>
      <c r="D235" s="2">
        <v>765</v>
      </c>
      <c r="E235" s="2" t="s">
        <v>254</v>
      </c>
      <c r="G235" s="2">
        <v>273</v>
      </c>
      <c r="H235" s="2">
        <v>1</v>
      </c>
      <c r="I235" s="2" t="s">
        <v>328</v>
      </c>
      <c r="J235" s="2">
        <v>526</v>
      </c>
      <c r="K235" s="2" t="s">
        <v>329</v>
      </c>
    </row>
    <row r="236" spans="1:11" x14ac:dyDescent="0.25">
      <c r="A236" s="2">
        <v>197</v>
      </c>
      <c r="B236" s="2">
        <v>1</v>
      </c>
      <c r="C236" s="2" t="s">
        <v>255</v>
      </c>
      <c r="D236" s="2">
        <v>815</v>
      </c>
      <c r="E236" s="2" t="s">
        <v>256</v>
      </c>
      <c r="G236" s="2">
        <v>273</v>
      </c>
      <c r="H236" s="2">
        <v>1</v>
      </c>
      <c r="I236" s="2" t="s">
        <v>328</v>
      </c>
      <c r="J236" s="2">
        <v>527</v>
      </c>
      <c r="K236" s="2" t="s">
        <v>330</v>
      </c>
    </row>
    <row r="237" spans="1:11" x14ac:dyDescent="0.25">
      <c r="A237" s="2">
        <v>197</v>
      </c>
      <c r="B237" s="2">
        <v>1</v>
      </c>
      <c r="C237" s="2" t="s">
        <v>255</v>
      </c>
      <c r="D237" s="2">
        <v>816</v>
      </c>
      <c r="E237" s="2" t="s">
        <v>257</v>
      </c>
      <c r="G237" s="2">
        <v>273</v>
      </c>
      <c r="H237" s="2">
        <v>1</v>
      </c>
      <c r="I237" s="2" t="s">
        <v>328</v>
      </c>
      <c r="J237" s="2">
        <v>528</v>
      </c>
      <c r="K237" s="2" t="s">
        <v>331</v>
      </c>
    </row>
    <row r="238" spans="1:11" x14ac:dyDescent="0.25">
      <c r="A238" s="2">
        <v>197</v>
      </c>
      <c r="B238" s="2">
        <v>1</v>
      </c>
      <c r="C238" s="2" t="s">
        <v>255</v>
      </c>
      <c r="D238" s="2">
        <v>817</v>
      </c>
      <c r="E238" s="2" t="s">
        <v>258</v>
      </c>
      <c r="G238">
        <v>273</v>
      </c>
      <c r="H238" s="2">
        <v>1</v>
      </c>
      <c r="I238" s="2" t="s">
        <v>328</v>
      </c>
      <c r="J238">
        <v>532</v>
      </c>
      <c r="K238" s="2" t="s">
        <v>333</v>
      </c>
    </row>
    <row r="239" spans="1:11" x14ac:dyDescent="0.25">
      <c r="A239" s="2">
        <v>197</v>
      </c>
      <c r="B239" s="2">
        <v>1</v>
      </c>
      <c r="C239" s="2" t="s">
        <v>255</v>
      </c>
      <c r="D239" s="2">
        <v>819</v>
      </c>
      <c r="E239" s="2" t="s">
        <v>259</v>
      </c>
      <c r="G239" s="2">
        <v>273</v>
      </c>
      <c r="H239" s="2">
        <v>1</v>
      </c>
      <c r="I239" s="2" t="s">
        <v>328</v>
      </c>
      <c r="J239" s="2">
        <v>529</v>
      </c>
      <c r="K239" s="2" t="s">
        <v>332</v>
      </c>
    </row>
    <row r="240" spans="1:11" x14ac:dyDescent="0.25">
      <c r="A240" s="2">
        <v>197</v>
      </c>
      <c r="B240" s="2">
        <v>1</v>
      </c>
      <c r="C240" s="2" t="s">
        <v>255</v>
      </c>
      <c r="D240" s="2">
        <v>820</v>
      </c>
      <c r="E240" s="2" t="s">
        <v>260</v>
      </c>
      <c r="G240" s="2">
        <v>273</v>
      </c>
      <c r="H240" s="2">
        <v>1</v>
      </c>
      <c r="I240" s="2" t="s">
        <v>328</v>
      </c>
      <c r="J240" s="2">
        <v>533</v>
      </c>
      <c r="K240" s="2" t="s">
        <v>334</v>
      </c>
    </row>
    <row r="241" spans="1:11" x14ac:dyDescent="0.25">
      <c r="A241" s="2">
        <v>199</v>
      </c>
      <c r="B241" s="2">
        <v>1</v>
      </c>
      <c r="C241" s="2" t="s">
        <v>261</v>
      </c>
      <c r="D241" s="2">
        <v>574</v>
      </c>
      <c r="E241" s="2" t="s">
        <v>262</v>
      </c>
      <c r="G241">
        <v>728</v>
      </c>
      <c r="H241" s="2">
        <v>1</v>
      </c>
      <c r="I241" s="2" t="s">
        <v>723</v>
      </c>
      <c r="J241">
        <v>160</v>
      </c>
      <c r="K241" s="2" t="s">
        <v>726</v>
      </c>
    </row>
    <row r="242" spans="1:11" x14ac:dyDescent="0.25">
      <c r="A242" s="2">
        <v>199</v>
      </c>
      <c r="B242" s="2">
        <v>1</v>
      </c>
      <c r="C242" s="2" t="s">
        <v>261</v>
      </c>
      <c r="D242" s="2">
        <v>575</v>
      </c>
      <c r="E242" s="2" t="s">
        <v>263</v>
      </c>
      <c r="G242">
        <v>728</v>
      </c>
      <c r="H242" s="2">
        <v>1</v>
      </c>
      <c r="I242" s="2" t="s">
        <v>723</v>
      </c>
      <c r="J242">
        <v>300</v>
      </c>
      <c r="K242" s="2" t="s">
        <v>60</v>
      </c>
    </row>
    <row r="243" spans="1:11" x14ac:dyDescent="0.25">
      <c r="A243" s="2">
        <v>199</v>
      </c>
      <c r="B243" s="2">
        <v>1</v>
      </c>
      <c r="C243" s="2" t="s">
        <v>261</v>
      </c>
      <c r="D243" s="2">
        <v>577</v>
      </c>
      <c r="E243" s="2" t="s">
        <v>264</v>
      </c>
      <c r="G243">
        <v>728</v>
      </c>
      <c r="H243" s="2">
        <v>1</v>
      </c>
      <c r="I243" s="2" t="s">
        <v>723</v>
      </c>
      <c r="J243">
        <v>700</v>
      </c>
      <c r="K243" s="2" t="s">
        <v>728</v>
      </c>
    </row>
    <row r="244" spans="1:11" x14ac:dyDescent="0.25">
      <c r="A244" s="2">
        <v>199</v>
      </c>
      <c r="B244" s="2">
        <v>1</v>
      </c>
      <c r="C244" s="2" t="s">
        <v>261</v>
      </c>
      <c r="D244" s="2">
        <v>578</v>
      </c>
      <c r="E244" s="2" t="s">
        <v>265</v>
      </c>
      <c r="G244">
        <v>728</v>
      </c>
      <c r="H244" s="2">
        <v>1</v>
      </c>
      <c r="I244" s="2" t="s">
        <v>723</v>
      </c>
      <c r="J244">
        <v>800</v>
      </c>
      <c r="K244" s="2" t="s">
        <v>729</v>
      </c>
    </row>
    <row r="245" spans="1:11" x14ac:dyDescent="0.25">
      <c r="A245" s="2">
        <v>200</v>
      </c>
      <c r="B245" s="2">
        <v>1</v>
      </c>
      <c r="C245" s="2" t="s">
        <v>266</v>
      </c>
      <c r="D245" s="2">
        <v>609</v>
      </c>
      <c r="E245" s="2" t="s">
        <v>131</v>
      </c>
      <c r="G245">
        <v>728</v>
      </c>
      <c r="H245" s="2">
        <v>1</v>
      </c>
      <c r="I245" s="2" t="s">
        <v>723</v>
      </c>
      <c r="J245">
        <v>110</v>
      </c>
      <c r="K245" s="2" t="s">
        <v>725</v>
      </c>
    </row>
    <row r="246" spans="1:11" x14ac:dyDescent="0.25">
      <c r="A246" s="2">
        <v>200</v>
      </c>
      <c r="B246" s="2">
        <v>1</v>
      </c>
      <c r="C246" s="2" t="s">
        <v>266</v>
      </c>
      <c r="D246" s="2">
        <v>610</v>
      </c>
      <c r="E246" s="2" t="s">
        <v>267</v>
      </c>
      <c r="G246">
        <v>728</v>
      </c>
      <c r="H246" s="2">
        <v>1</v>
      </c>
      <c r="I246" s="2" t="s">
        <v>723</v>
      </c>
      <c r="J246">
        <v>70</v>
      </c>
      <c r="K246" s="2" t="s">
        <v>724</v>
      </c>
    </row>
    <row r="247" spans="1:11" x14ac:dyDescent="0.25">
      <c r="A247" s="2">
        <v>200</v>
      </c>
      <c r="B247" s="2">
        <v>1</v>
      </c>
      <c r="C247" s="2" t="s">
        <v>266</v>
      </c>
      <c r="D247" s="2">
        <v>612</v>
      </c>
      <c r="E247" s="2" t="s">
        <v>268</v>
      </c>
      <c r="G247">
        <v>728</v>
      </c>
      <c r="H247" s="2">
        <v>1</v>
      </c>
      <c r="I247" s="2" t="s">
        <v>723</v>
      </c>
      <c r="J247">
        <v>170</v>
      </c>
      <c r="K247" s="2" t="s">
        <v>727</v>
      </c>
    </row>
    <row r="248" spans="1:11" x14ac:dyDescent="0.25">
      <c r="A248" s="2">
        <v>203</v>
      </c>
      <c r="B248" s="2">
        <v>1</v>
      </c>
      <c r="C248" s="2" t="s">
        <v>269</v>
      </c>
      <c r="D248" s="2">
        <v>2</v>
      </c>
      <c r="E248" s="2" t="s">
        <v>270</v>
      </c>
      <c r="G248">
        <v>728</v>
      </c>
      <c r="H248" s="2">
        <v>1</v>
      </c>
      <c r="I248" s="2" t="s">
        <v>723</v>
      </c>
      <c r="J248">
        <v>210</v>
      </c>
      <c r="K248" s="2" t="s">
        <v>321</v>
      </c>
    </row>
    <row r="249" spans="1:11" x14ac:dyDescent="0.25">
      <c r="A249" s="7">
        <v>203</v>
      </c>
      <c r="B249" s="7">
        <v>1</v>
      </c>
      <c r="C249" s="7" t="s">
        <v>269</v>
      </c>
      <c r="D249" s="7">
        <v>3</v>
      </c>
      <c r="E249" s="7" t="s">
        <v>271</v>
      </c>
      <c r="G249">
        <v>728</v>
      </c>
      <c r="H249">
        <v>1</v>
      </c>
      <c r="I249" t="s">
        <v>1231</v>
      </c>
      <c r="J249">
        <v>401</v>
      </c>
      <c r="K249" t="s">
        <v>1232</v>
      </c>
    </row>
    <row r="250" spans="1:11" x14ac:dyDescent="0.25">
      <c r="A250" s="2">
        <v>204</v>
      </c>
      <c r="B250" s="2">
        <v>1</v>
      </c>
      <c r="C250" s="2" t="s">
        <v>272</v>
      </c>
      <c r="D250" s="2">
        <v>10</v>
      </c>
      <c r="E250" s="2" t="s">
        <v>273</v>
      </c>
      <c r="G250">
        <v>514</v>
      </c>
      <c r="H250">
        <v>1</v>
      </c>
      <c r="I250" t="s">
        <v>1199</v>
      </c>
      <c r="J250">
        <v>10</v>
      </c>
      <c r="K250" t="s">
        <v>1200</v>
      </c>
    </row>
    <row r="251" spans="1:11" x14ac:dyDescent="0.25">
      <c r="A251" s="2">
        <v>206</v>
      </c>
      <c r="B251" s="2">
        <v>1</v>
      </c>
      <c r="C251" s="2" t="s">
        <v>274</v>
      </c>
      <c r="D251" s="2">
        <v>110</v>
      </c>
      <c r="E251" s="2" t="s">
        <v>275</v>
      </c>
      <c r="G251">
        <v>696</v>
      </c>
      <c r="H251" s="2">
        <v>1</v>
      </c>
      <c r="I251" s="2" t="s">
        <v>674</v>
      </c>
      <c r="J251">
        <v>2</v>
      </c>
      <c r="K251" s="2" t="s">
        <v>71</v>
      </c>
    </row>
    <row r="252" spans="1:11" x14ac:dyDescent="0.25">
      <c r="A252" s="2">
        <v>206</v>
      </c>
      <c r="B252" s="2">
        <v>1</v>
      </c>
      <c r="C252" s="2" t="s">
        <v>274</v>
      </c>
      <c r="D252" s="2">
        <v>120</v>
      </c>
      <c r="E252" s="2" t="s">
        <v>201</v>
      </c>
      <c r="G252">
        <v>4012</v>
      </c>
      <c r="H252">
        <v>7</v>
      </c>
      <c r="I252" t="s">
        <v>1262</v>
      </c>
      <c r="J252">
        <v>10</v>
      </c>
      <c r="K252" t="s">
        <v>1262</v>
      </c>
    </row>
    <row r="253" spans="1:11" x14ac:dyDescent="0.25">
      <c r="A253" s="2">
        <v>206</v>
      </c>
      <c r="B253" s="2">
        <v>1</v>
      </c>
      <c r="C253" s="2" t="s">
        <v>274</v>
      </c>
      <c r="D253" s="2">
        <v>130</v>
      </c>
      <c r="E253" s="2" t="s">
        <v>60</v>
      </c>
      <c r="G253">
        <v>4180</v>
      </c>
      <c r="H253" s="2">
        <v>7</v>
      </c>
      <c r="I253" s="2" t="s">
        <v>1083</v>
      </c>
      <c r="J253">
        <v>10</v>
      </c>
      <c r="K253" s="2" t="s">
        <v>1083</v>
      </c>
    </row>
    <row r="254" spans="1:11" x14ac:dyDescent="0.25">
      <c r="A254" s="2">
        <v>206</v>
      </c>
      <c r="B254" s="2">
        <v>1</v>
      </c>
      <c r="C254" s="2" t="s">
        <v>274</v>
      </c>
      <c r="D254" s="2">
        <v>140</v>
      </c>
      <c r="E254" s="2" t="s">
        <v>276</v>
      </c>
      <c r="G254" s="2">
        <v>99</v>
      </c>
      <c r="H254" s="2">
        <v>1</v>
      </c>
      <c r="I254" s="2" t="s">
        <v>149</v>
      </c>
      <c r="J254" s="2">
        <v>30</v>
      </c>
      <c r="K254" s="2" t="s">
        <v>150</v>
      </c>
    </row>
    <row r="255" spans="1:11" x14ac:dyDescent="0.25">
      <c r="A255" s="2">
        <v>206</v>
      </c>
      <c r="B255" s="2">
        <v>1</v>
      </c>
      <c r="C255" s="2" t="s">
        <v>274</v>
      </c>
      <c r="D255" s="2">
        <v>150</v>
      </c>
      <c r="E255" s="2" t="s">
        <v>71</v>
      </c>
      <c r="G255">
        <v>208</v>
      </c>
      <c r="H255">
        <v>1</v>
      </c>
      <c r="I255" t="s">
        <v>1182</v>
      </c>
      <c r="J255">
        <v>1</v>
      </c>
      <c r="K255" t="s">
        <v>1183</v>
      </c>
    </row>
    <row r="256" spans="1:11" x14ac:dyDescent="0.25">
      <c r="A256" s="2">
        <v>206</v>
      </c>
      <c r="B256" s="2">
        <v>1</v>
      </c>
      <c r="C256" s="2" t="s">
        <v>274</v>
      </c>
      <c r="D256" s="2">
        <v>160</v>
      </c>
      <c r="E256" s="2" t="s">
        <v>277</v>
      </c>
      <c r="G256">
        <v>2154</v>
      </c>
      <c r="H256" s="2">
        <v>1</v>
      </c>
      <c r="I256" s="2" t="s">
        <v>895</v>
      </c>
      <c r="J256">
        <v>10</v>
      </c>
      <c r="K256" s="2" t="s">
        <v>56</v>
      </c>
    </row>
    <row r="257" spans="1:11" x14ac:dyDescent="0.25">
      <c r="A257">
        <v>207</v>
      </c>
      <c r="B257" s="2">
        <v>1</v>
      </c>
      <c r="C257" s="2" t="s">
        <v>278</v>
      </c>
      <c r="D257">
        <v>1</v>
      </c>
      <c r="E257" s="2" t="s">
        <v>279</v>
      </c>
      <c r="G257">
        <v>2154</v>
      </c>
      <c r="H257" s="2">
        <v>1</v>
      </c>
      <c r="I257" s="2" t="s">
        <v>895</v>
      </c>
      <c r="J257">
        <v>20</v>
      </c>
      <c r="K257" s="2" t="s">
        <v>896</v>
      </c>
    </row>
    <row r="258" spans="1:11" x14ac:dyDescent="0.25">
      <c r="A258">
        <v>208</v>
      </c>
      <c r="B258">
        <v>1</v>
      </c>
      <c r="C258" t="s">
        <v>1182</v>
      </c>
      <c r="D258">
        <v>1</v>
      </c>
      <c r="E258" t="s">
        <v>1183</v>
      </c>
      <c r="G258">
        <v>4068</v>
      </c>
      <c r="H258" s="2">
        <v>7</v>
      </c>
      <c r="I258" s="2" t="s">
        <v>1043</v>
      </c>
      <c r="J258">
        <v>10</v>
      </c>
      <c r="K258" s="2" t="s">
        <v>1043</v>
      </c>
    </row>
    <row r="259" spans="1:11" x14ac:dyDescent="0.25">
      <c r="A259" s="2">
        <v>213</v>
      </c>
      <c r="B259" s="2">
        <v>1</v>
      </c>
      <c r="C259" s="2" t="s">
        <v>280</v>
      </c>
      <c r="D259" s="2">
        <v>10</v>
      </c>
      <c r="E259" s="2" t="s">
        <v>281</v>
      </c>
      <c r="G259">
        <v>2752</v>
      </c>
      <c r="H259" s="2">
        <v>1</v>
      </c>
      <c r="I259" s="2" t="s">
        <v>973</v>
      </c>
      <c r="J259">
        <v>50</v>
      </c>
      <c r="K259" s="2" t="s">
        <v>974</v>
      </c>
    </row>
    <row r="260" spans="1:11" x14ac:dyDescent="0.25">
      <c r="A260" s="2">
        <v>227</v>
      </c>
      <c r="B260" s="2">
        <v>1</v>
      </c>
      <c r="C260" s="2" t="s">
        <v>282</v>
      </c>
      <c r="D260" s="2">
        <v>2</v>
      </c>
      <c r="E260" s="2" t="s">
        <v>283</v>
      </c>
      <c r="G260">
        <v>656</v>
      </c>
      <c r="H260" s="2">
        <v>1</v>
      </c>
      <c r="I260" s="2" t="s">
        <v>659</v>
      </c>
      <c r="J260">
        <v>30</v>
      </c>
      <c r="K260" s="2" t="s">
        <v>28</v>
      </c>
    </row>
    <row r="261" spans="1:11" x14ac:dyDescent="0.25">
      <c r="A261" s="2">
        <v>229</v>
      </c>
      <c r="B261" s="2">
        <v>1</v>
      </c>
      <c r="C261" s="2" t="s">
        <v>284</v>
      </c>
      <c r="D261" s="2">
        <v>10</v>
      </c>
      <c r="E261" s="2" t="s">
        <v>285</v>
      </c>
      <c r="G261">
        <v>656</v>
      </c>
      <c r="H261" s="2">
        <v>1</v>
      </c>
      <c r="I261" s="2" t="s">
        <v>659</v>
      </c>
      <c r="J261">
        <v>40</v>
      </c>
      <c r="K261" s="2" t="s">
        <v>60</v>
      </c>
    </row>
    <row r="262" spans="1:11" x14ac:dyDescent="0.25">
      <c r="A262" s="2">
        <v>238</v>
      </c>
      <c r="B262" s="2">
        <v>1</v>
      </c>
      <c r="C262" s="2" t="s">
        <v>286</v>
      </c>
      <c r="D262" s="2">
        <v>1</v>
      </c>
      <c r="E262" s="2" t="s">
        <v>287</v>
      </c>
      <c r="G262">
        <v>656</v>
      </c>
      <c r="H262" s="2">
        <v>1</v>
      </c>
      <c r="I262" s="2" t="s">
        <v>659</v>
      </c>
      <c r="J262">
        <v>45</v>
      </c>
      <c r="K262" s="2" t="s">
        <v>104</v>
      </c>
    </row>
    <row r="263" spans="1:11" x14ac:dyDescent="0.25">
      <c r="A263" s="2">
        <v>239</v>
      </c>
      <c r="B263" s="2">
        <v>1</v>
      </c>
      <c r="C263" s="2" t="s">
        <v>288</v>
      </c>
      <c r="D263" s="2">
        <v>1</v>
      </c>
      <c r="E263" s="2" t="s">
        <v>289</v>
      </c>
      <c r="G263" s="2">
        <v>192</v>
      </c>
      <c r="H263" s="2">
        <v>1</v>
      </c>
      <c r="I263" s="2" t="s">
        <v>221</v>
      </c>
      <c r="J263" s="2">
        <v>621</v>
      </c>
      <c r="K263" s="2" t="s">
        <v>226</v>
      </c>
    </row>
    <row r="264" spans="1:11" x14ac:dyDescent="0.25">
      <c r="A264" s="2">
        <v>241</v>
      </c>
      <c r="B264" s="2">
        <v>1</v>
      </c>
      <c r="C264" s="2" t="s">
        <v>290</v>
      </c>
      <c r="D264" s="2">
        <v>110</v>
      </c>
      <c r="E264" s="2" t="s">
        <v>291</v>
      </c>
      <c r="G264" s="2">
        <v>192</v>
      </c>
      <c r="H264" s="2">
        <v>1</v>
      </c>
      <c r="I264" s="2" t="s">
        <v>221</v>
      </c>
      <c r="J264" s="2">
        <v>10</v>
      </c>
      <c r="K264" s="2" t="s">
        <v>222</v>
      </c>
    </row>
    <row r="265" spans="1:11" x14ac:dyDescent="0.25">
      <c r="A265" s="2">
        <v>241</v>
      </c>
      <c r="B265" s="2">
        <v>1</v>
      </c>
      <c r="C265" s="2" t="s">
        <v>290</v>
      </c>
      <c r="D265" s="2">
        <v>120</v>
      </c>
      <c r="E265" s="2" t="s">
        <v>292</v>
      </c>
      <c r="G265" s="2">
        <v>192</v>
      </c>
      <c r="H265" s="2">
        <v>1</v>
      </c>
      <c r="I265" s="2" t="s">
        <v>221</v>
      </c>
      <c r="J265" s="2">
        <v>80</v>
      </c>
      <c r="K265" s="2" t="s">
        <v>224</v>
      </c>
    </row>
    <row r="266" spans="1:11" x14ac:dyDescent="0.25">
      <c r="A266" s="2">
        <v>241</v>
      </c>
      <c r="B266" s="2">
        <v>1</v>
      </c>
      <c r="C266" s="2" t="s">
        <v>290</v>
      </c>
      <c r="D266" s="2">
        <v>130</v>
      </c>
      <c r="E266" s="2" t="s">
        <v>233</v>
      </c>
      <c r="G266" s="2">
        <v>192</v>
      </c>
      <c r="H266" s="2">
        <v>1</v>
      </c>
      <c r="I266" s="2" t="s">
        <v>221</v>
      </c>
      <c r="J266" s="2">
        <v>40</v>
      </c>
      <c r="K266" s="2" t="s">
        <v>223</v>
      </c>
    </row>
    <row r="267" spans="1:11" x14ac:dyDescent="0.25">
      <c r="A267">
        <v>241</v>
      </c>
      <c r="B267" s="2">
        <v>1</v>
      </c>
      <c r="C267" s="2" t="s">
        <v>290</v>
      </c>
      <c r="D267">
        <v>140</v>
      </c>
      <c r="E267" s="2" t="s">
        <v>293</v>
      </c>
      <c r="G267" s="2">
        <v>192</v>
      </c>
      <c r="H267" s="2">
        <v>1</v>
      </c>
      <c r="I267" s="2" t="s">
        <v>221</v>
      </c>
      <c r="J267" s="2">
        <v>100</v>
      </c>
      <c r="K267" s="2" t="s">
        <v>225</v>
      </c>
    </row>
    <row r="268" spans="1:11" x14ac:dyDescent="0.25">
      <c r="A268" s="2">
        <v>242</v>
      </c>
      <c r="B268" s="2">
        <v>1</v>
      </c>
      <c r="C268" s="2" t="s">
        <v>294</v>
      </c>
      <c r="D268" s="2">
        <v>2</v>
      </c>
      <c r="E268" s="2" t="s">
        <v>295</v>
      </c>
      <c r="G268">
        <v>544</v>
      </c>
      <c r="H268" s="2">
        <v>1</v>
      </c>
      <c r="I268" s="2" t="s">
        <v>542</v>
      </c>
      <c r="J268">
        <v>140</v>
      </c>
      <c r="K268" s="2" t="s">
        <v>446</v>
      </c>
    </row>
    <row r="269" spans="1:11" x14ac:dyDescent="0.25">
      <c r="A269" s="2">
        <v>252</v>
      </c>
      <c r="B269" s="2">
        <v>1</v>
      </c>
      <c r="C269" s="2" t="s">
        <v>296</v>
      </c>
      <c r="D269" s="2">
        <v>1</v>
      </c>
      <c r="E269" s="2" t="s">
        <v>297</v>
      </c>
      <c r="G269" s="7">
        <v>544</v>
      </c>
      <c r="H269" s="7">
        <v>1</v>
      </c>
      <c r="I269" s="7" t="s">
        <v>542</v>
      </c>
      <c r="J269" s="7">
        <v>180</v>
      </c>
      <c r="K269" s="7" t="s">
        <v>63</v>
      </c>
    </row>
    <row r="270" spans="1:11" x14ac:dyDescent="0.25">
      <c r="A270" s="2">
        <v>253</v>
      </c>
      <c r="B270" s="2">
        <v>1</v>
      </c>
      <c r="C270" s="2" t="s">
        <v>298</v>
      </c>
      <c r="D270" s="2">
        <v>1</v>
      </c>
      <c r="E270" s="2" t="s">
        <v>299</v>
      </c>
      <c r="G270">
        <v>599</v>
      </c>
      <c r="H270" s="2">
        <v>1</v>
      </c>
      <c r="I270" s="2" t="s">
        <v>566</v>
      </c>
      <c r="J270">
        <v>10</v>
      </c>
      <c r="K270" s="2" t="s">
        <v>567</v>
      </c>
    </row>
    <row r="271" spans="1:11" x14ac:dyDescent="0.25">
      <c r="A271" s="2">
        <v>255</v>
      </c>
      <c r="B271" s="2">
        <v>1</v>
      </c>
      <c r="C271" s="2" t="s">
        <v>300</v>
      </c>
      <c r="D271" s="2">
        <v>10</v>
      </c>
      <c r="E271" s="2" t="s">
        <v>301</v>
      </c>
      <c r="G271">
        <v>2198</v>
      </c>
      <c r="H271" s="2">
        <v>1</v>
      </c>
      <c r="I271" s="2" t="s">
        <v>930</v>
      </c>
      <c r="J271">
        <v>10</v>
      </c>
      <c r="K271" s="2" t="s">
        <v>931</v>
      </c>
    </row>
    <row r="272" spans="1:11" x14ac:dyDescent="0.25">
      <c r="A272" s="2">
        <v>256</v>
      </c>
      <c r="B272" s="2">
        <v>1</v>
      </c>
      <c r="C272" s="2" t="s">
        <v>302</v>
      </c>
      <c r="D272" s="2">
        <v>537</v>
      </c>
      <c r="E272" s="2" t="s">
        <v>303</v>
      </c>
      <c r="G272">
        <v>600</v>
      </c>
      <c r="H272" s="2">
        <v>1</v>
      </c>
      <c r="I272" s="2" t="s">
        <v>568</v>
      </c>
      <c r="J272">
        <v>1</v>
      </c>
      <c r="K272" s="2" t="s">
        <v>569</v>
      </c>
    </row>
    <row r="273" spans="1:11" x14ac:dyDescent="0.25">
      <c r="A273" s="2">
        <v>261</v>
      </c>
      <c r="B273" s="2">
        <v>1</v>
      </c>
      <c r="C273" s="2" t="s">
        <v>304</v>
      </c>
      <c r="D273" s="2">
        <v>10</v>
      </c>
      <c r="E273" s="2" t="s">
        <v>305</v>
      </c>
      <c r="G273">
        <v>698</v>
      </c>
      <c r="H273" s="2">
        <v>1</v>
      </c>
      <c r="I273" s="2" t="s">
        <v>675</v>
      </c>
      <c r="J273">
        <v>10</v>
      </c>
      <c r="K273" s="2" t="s">
        <v>676</v>
      </c>
    </row>
    <row r="274" spans="1:11" x14ac:dyDescent="0.25">
      <c r="A274">
        <v>264</v>
      </c>
      <c r="B274">
        <v>1</v>
      </c>
      <c r="C274" t="s">
        <v>1184</v>
      </c>
      <c r="D274">
        <v>1</v>
      </c>
      <c r="E274" t="s">
        <v>1185</v>
      </c>
      <c r="G274" s="2">
        <v>51</v>
      </c>
      <c r="H274" s="2">
        <v>1</v>
      </c>
      <c r="I274" s="2" t="s">
        <v>124</v>
      </c>
      <c r="J274" s="2">
        <v>10</v>
      </c>
      <c r="K274" s="2" t="s">
        <v>125</v>
      </c>
    </row>
    <row r="275" spans="1:11" x14ac:dyDescent="0.25">
      <c r="A275" s="2">
        <v>270</v>
      </c>
      <c r="B275" s="2">
        <v>1</v>
      </c>
      <c r="C275" s="2" t="s">
        <v>306</v>
      </c>
      <c r="D275" s="2">
        <v>561</v>
      </c>
      <c r="E275" s="2" t="s">
        <v>307</v>
      </c>
      <c r="G275" s="7">
        <v>51</v>
      </c>
      <c r="H275" s="7">
        <v>1</v>
      </c>
      <c r="I275" s="7" t="s">
        <v>124</v>
      </c>
      <c r="J275" s="7">
        <v>30</v>
      </c>
      <c r="K275" s="7" t="s">
        <v>126</v>
      </c>
    </row>
    <row r="276" spans="1:11" x14ac:dyDescent="0.25">
      <c r="A276" s="2">
        <v>270</v>
      </c>
      <c r="B276" s="2">
        <v>1</v>
      </c>
      <c r="C276" s="2" t="s">
        <v>306</v>
      </c>
      <c r="D276" s="2">
        <v>563</v>
      </c>
      <c r="E276" s="2" t="s">
        <v>308</v>
      </c>
      <c r="G276">
        <v>831</v>
      </c>
      <c r="H276" s="2">
        <v>1</v>
      </c>
      <c r="I276" s="2" t="s">
        <v>785</v>
      </c>
      <c r="J276">
        <v>633</v>
      </c>
      <c r="K276" s="2" t="s">
        <v>792</v>
      </c>
    </row>
    <row r="277" spans="1:11" x14ac:dyDescent="0.25">
      <c r="A277" s="2">
        <v>270</v>
      </c>
      <c r="B277" s="2">
        <v>1</v>
      </c>
      <c r="C277" s="2" t="s">
        <v>306</v>
      </c>
      <c r="D277" s="2">
        <v>566</v>
      </c>
      <c r="E277" s="2" t="s">
        <v>74</v>
      </c>
      <c r="G277">
        <v>831</v>
      </c>
      <c r="H277" s="2">
        <v>1</v>
      </c>
      <c r="I277" s="2" t="s">
        <v>785</v>
      </c>
      <c r="J277">
        <v>625</v>
      </c>
      <c r="K277" s="2" t="s">
        <v>786</v>
      </c>
    </row>
    <row r="278" spans="1:11" x14ac:dyDescent="0.25">
      <c r="A278" s="2">
        <v>270</v>
      </c>
      <c r="B278" s="2">
        <v>1</v>
      </c>
      <c r="C278" s="2" t="s">
        <v>306</v>
      </c>
      <c r="D278" s="2">
        <v>567</v>
      </c>
      <c r="E278" s="2" t="s">
        <v>309</v>
      </c>
      <c r="G278">
        <v>831</v>
      </c>
      <c r="H278" s="2">
        <v>1</v>
      </c>
      <c r="I278" s="2" t="s">
        <v>785</v>
      </c>
      <c r="J278">
        <v>626</v>
      </c>
      <c r="K278" s="2" t="s">
        <v>418</v>
      </c>
    </row>
    <row r="279" spans="1:11" x14ac:dyDescent="0.25">
      <c r="A279">
        <v>270</v>
      </c>
      <c r="B279" s="2">
        <v>1</v>
      </c>
      <c r="C279" s="2" t="s">
        <v>306</v>
      </c>
      <c r="D279">
        <v>569</v>
      </c>
      <c r="E279" s="2" t="s">
        <v>310</v>
      </c>
      <c r="G279">
        <v>831</v>
      </c>
      <c r="H279" s="2">
        <v>1</v>
      </c>
      <c r="I279" s="2" t="s">
        <v>785</v>
      </c>
      <c r="J279">
        <v>627</v>
      </c>
      <c r="K279" s="2" t="s">
        <v>787</v>
      </c>
    </row>
    <row r="280" spans="1:11" x14ac:dyDescent="0.25">
      <c r="A280" s="2">
        <v>270</v>
      </c>
      <c r="B280" s="2">
        <v>1</v>
      </c>
      <c r="C280" s="2" t="s">
        <v>306</v>
      </c>
      <c r="D280" s="2">
        <v>570</v>
      </c>
      <c r="E280" s="2" t="s">
        <v>311</v>
      </c>
      <c r="G280">
        <v>831</v>
      </c>
      <c r="H280" s="2">
        <v>1</v>
      </c>
      <c r="I280" s="2" t="s">
        <v>785</v>
      </c>
      <c r="J280">
        <v>628</v>
      </c>
      <c r="K280" s="2" t="s">
        <v>788</v>
      </c>
    </row>
    <row r="281" spans="1:11" x14ac:dyDescent="0.25">
      <c r="A281" s="2">
        <v>271</v>
      </c>
      <c r="B281" s="2">
        <v>1</v>
      </c>
      <c r="C281" s="2" t="s">
        <v>312</v>
      </c>
      <c r="D281" s="2">
        <v>432</v>
      </c>
      <c r="E281" s="2" t="s">
        <v>313</v>
      </c>
      <c r="G281">
        <v>831</v>
      </c>
      <c r="H281" s="2">
        <v>1</v>
      </c>
      <c r="I281" s="2" t="s">
        <v>785</v>
      </c>
      <c r="J281">
        <v>629</v>
      </c>
      <c r="K281" s="2" t="s">
        <v>789</v>
      </c>
    </row>
    <row r="282" spans="1:11" x14ac:dyDescent="0.25">
      <c r="A282" s="2">
        <v>271</v>
      </c>
      <c r="B282" s="2">
        <v>1</v>
      </c>
      <c r="C282" s="2" t="s">
        <v>312</v>
      </c>
      <c r="D282" s="2">
        <v>443</v>
      </c>
      <c r="E282" s="2" t="s">
        <v>314</v>
      </c>
      <c r="G282">
        <v>831</v>
      </c>
      <c r="H282" s="2">
        <v>1</v>
      </c>
      <c r="I282" s="2" t="s">
        <v>785</v>
      </c>
      <c r="J282">
        <v>630</v>
      </c>
      <c r="K282" s="2" t="s">
        <v>790</v>
      </c>
    </row>
    <row r="283" spans="1:11" x14ac:dyDescent="0.25">
      <c r="A283" s="2">
        <v>271</v>
      </c>
      <c r="B283" s="2">
        <v>1</v>
      </c>
      <c r="C283" s="2" t="s">
        <v>312</v>
      </c>
      <c r="D283" s="2">
        <v>446</v>
      </c>
      <c r="E283" s="2" t="s">
        <v>315</v>
      </c>
      <c r="G283">
        <v>831</v>
      </c>
      <c r="H283" s="2">
        <v>1</v>
      </c>
      <c r="I283" s="2" t="s">
        <v>785</v>
      </c>
      <c r="J283">
        <v>631</v>
      </c>
      <c r="K283" s="2" t="s">
        <v>791</v>
      </c>
    </row>
    <row r="284" spans="1:11" x14ac:dyDescent="0.25">
      <c r="A284" s="2">
        <v>271</v>
      </c>
      <c r="B284" s="2">
        <v>1</v>
      </c>
      <c r="C284" s="2" t="s">
        <v>312</v>
      </c>
      <c r="D284" s="2">
        <v>447</v>
      </c>
      <c r="E284" s="2" t="s">
        <v>316</v>
      </c>
      <c r="G284">
        <v>601</v>
      </c>
      <c r="H284" s="2">
        <v>1</v>
      </c>
      <c r="I284" s="2" t="s">
        <v>570</v>
      </c>
      <c r="J284">
        <v>10</v>
      </c>
      <c r="K284" s="2" t="s">
        <v>571</v>
      </c>
    </row>
    <row r="285" spans="1:11" x14ac:dyDescent="0.25">
      <c r="A285">
        <v>271</v>
      </c>
      <c r="B285" s="2">
        <v>1</v>
      </c>
      <c r="C285" s="2" t="s">
        <v>312</v>
      </c>
      <c r="D285">
        <v>448</v>
      </c>
      <c r="E285" s="2" t="s">
        <v>317</v>
      </c>
      <c r="G285">
        <v>4113</v>
      </c>
      <c r="H285">
        <v>7</v>
      </c>
      <c r="I285" t="s">
        <v>1274</v>
      </c>
      <c r="J285">
        <v>10</v>
      </c>
      <c r="K285" t="s">
        <v>1274</v>
      </c>
    </row>
    <row r="286" spans="1:11" x14ac:dyDescent="0.25">
      <c r="A286" s="2">
        <v>271</v>
      </c>
      <c r="B286" s="2">
        <v>1</v>
      </c>
      <c r="C286" s="2" t="s">
        <v>312</v>
      </c>
      <c r="D286" s="2">
        <v>450</v>
      </c>
      <c r="E286" s="2" t="s">
        <v>318</v>
      </c>
      <c r="G286" s="2">
        <v>23</v>
      </c>
      <c r="H286" s="2">
        <v>1</v>
      </c>
      <c r="I286" s="2" t="s">
        <v>105</v>
      </c>
      <c r="J286" s="2">
        <v>10</v>
      </c>
      <c r="K286" s="2" t="s">
        <v>106</v>
      </c>
    </row>
    <row r="287" spans="1:11" x14ac:dyDescent="0.25">
      <c r="A287" s="2">
        <v>271</v>
      </c>
      <c r="B287" s="2">
        <v>1</v>
      </c>
      <c r="C287" s="2" t="s">
        <v>312</v>
      </c>
      <c r="D287" s="2">
        <v>454</v>
      </c>
      <c r="E287" s="2" t="s">
        <v>319</v>
      </c>
      <c r="G287" s="2">
        <v>14</v>
      </c>
      <c r="H287" s="2">
        <v>1</v>
      </c>
      <c r="I287" s="2" t="s">
        <v>90</v>
      </c>
      <c r="J287" s="2">
        <v>546</v>
      </c>
      <c r="K287" s="2" t="s">
        <v>91</v>
      </c>
    </row>
    <row r="288" spans="1:11" x14ac:dyDescent="0.25">
      <c r="A288" s="2">
        <v>271</v>
      </c>
      <c r="B288" s="2">
        <v>1</v>
      </c>
      <c r="C288" s="2" t="s">
        <v>312</v>
      </c>
      <c r="D288" s="2">
        <v>455</v>
      </c>
      <c r="E288" s="2" t="s">
        <v>320</v>
      </c>
      <c r="G288" s="2">
        <v>14</v>
      </c>
      <c r="H288" s="2">
        <v>1</v>
      </c>
      <c r="I288" s="2" t="s">
        <v>90</v>
      </c>
      <c r="J288" s="2">
        <v>550</v>
      </c>
      <c r="K288" s="2" t="s">
        <v>92</v>
      </c>
    </row>
    <row r="289" spans="1:11" x14ac:dyDescent="0.25">
      <c r="A289" s="2">
        <v>271</v>
      </c>
      <c r="B289" s="2">
        <v>1</v>
      </c>
      <c r="C289" s="2" t="s">
        <v>312</v>
      </c>
      <c r="D289" s="2">
        <v>459</v>
      </c>
      <c r="E289" s="2" t="s">
        <v>89</v>
      </c>
      <c r="G289">
        <v>4079</v>
      </c>
      <c r="H289">
        <v>7</v>
      </c>
      <c r="I289" t="s">
        <v>1047</v>
      </c>
      <c r="J289">
        <v>10</v>
      </c>
      <c r="K289" t="s">
        <v>1047</v>
      </c>
    </row>
    <row r="290" spans="1:11" x14ac:dyDescent="0.25">
      <c r="A290" s="2">
        <v>271</v>
      </c>
      <c r="B290" s="2">
        <v>1</v>
      </c>
      <c r="C290" s="2" t="s">
        <v>312</v>
      </c>
      <c r="D290" s="2">
        <v>461</v>
      </c>
      <c r="E290" s="2" t="s">
        <v>321</v>
      </c>
      <c r="G290" s="2">
        <v>505</v>
      </c>
      <c r="H290" s="2">
        <v>1</v>
      </c>
      <c r="I290" s="2" t="s">
        <v>510</v>
      </c>
      <c r="J290" s="2">
        <v>10</v>
      </c>
      <c r="K290" s="2" t="s">
        <v>511</v>
      </c>
    </row>
    <row r="291" spans="1:11" x14ac:dyDescent="0.25">
      <c r="A291" s="2">
        <v>272</v>
      </c>
      <c r="B291" s="2">
        <v>1</v>
      </c>
      <c r="C291" s="2" t="s">
        <v>322</v>
      </c>
      <c r="D291" s="2">
        <v>881</v>
      </c>
      <c r="E291" s="2" t="s">
        <v>323</v>
      </c>
      <c r="G291">
        <v>2365</v>
      </c>
      <c r="H291" s="2">
        <v>1</v>
      </c>
      <c r="I291" s="2" t="s">
        <v>946</v>
      </c>
      <c r="J291">
        <v>1</v>
      </c>
      <c r="K291" s="2" t="s">
        <v>947</v>
      </c>
    </row>
    <row r="292" spans="1:11" x14ac:dyDescent="0.25">
      <c r="A292" s="2">
        <v>272</v>
      </c>
      <c r="B292" s="2">
        <v>1</v>
      </c>
      <c r="C292" s="2" t="s">
        <v>322</v>
      </c>
      <c r="D292" s="2">
        <v>882</v>
      </c>
      <c r="E292" s="2" t="s">
        <v>324</v>
      </c>
      <c r="G292">
        <v>4168</v>
      </c>
      <c r="H292">
        <v>7</v>
      </c>
      <c r="I292" t="s">
        <v>1281</v>
      </c>
      <c r="J292">
        <v>10</v>
      </c>
      <c r="K292" t="s">
        <v>1281</v>
      </c>
    </row>
    <row r="293" spans="1:11" x14ac:dyDescent="0.25">
      <c r="A293" s="2">
        <v>272</v>
      </c>
      <c r="B293" s="2">
        <v>1</v>
      </c>
      <c r="C293" s="2" t="s">
        <v>322</v>
      </c>
      <c r="D293" s="2">
        <v>883</v>
      </c>
      <c r="E293" s="2" t="s">
        <v>325</v>
      </c>
      <c r="G293">
        <v>2859</v>
      </c>
      <c r="H293" s="2">
        <v>1</v>
      </c>
      <c r="I293" s="2" t="s">
        <v>993</v>
      </c>
      <c r="J293">
        <v>30</v>
      </c>
      <c r="K293" s="2" t="s">
        <v>891</v>
      </c>
    </row>
    <row r="294" spans="1:11" x14ac:dyDescent="0.25">
      <c r="A294" s="2">
        <v>272</v>
      </c>
      <c r="B294" s="2">
        <v>1</v>
      </c>
      <c r="C294" s="2" t="s">
        <v>322</v>
      </c>
      <c r="D294" s="2">
        <v>886</v>
      </c>
      <c r="E294" s="2" t="s">
        <v>326</v>
      </c>
      <c r="G294">
        <v>2886</v>
      </c>
      <c r="H294" s="2">
        <v>1</v>
      </c>
      <c r="I294" s="2" t="s">
        <v>999</v>
      </c>
      <c r="J294">
        <v>100</v>
      </c>
      <c r="K294" s="2" t="s">
        <v>1000</v>
      </c>
    </row>
    <row r="295" spans="1:11" x14ac:dyDescent="0.25">
      <c r="A295" s="2">
        <v>272</v>
      </c>
      <c r="B295" s="2">
        <v>1</v>
      </c>
      <c r="C295" s="2" t="s">
        <v>322</v>
      </c>
      <c r="D295" s="2">
        <v>887</v>
      </c>
      <c r="E295" s="2" t="s">
        <v>327</v>
      </c>
      <c r="G295">
        <v>4186</v>
      </c>
      <c r="H295" s="2">
        <v>7</v>
      </c>
      <c r="I295" s="2" t="s">
        <v>1087</v>
      </c>
      <c r="J295">
        <v>10</v>
      </c>
      <c r="K295" s="2" t="s">
        <v>1087</v>
      </c>
    </row>
    <row r="296" spans="1:11" x14ac:dyDescent="0.25">
      <c r="A296" s="2">
        <v>273</v>
      </c>
      <c r="B296" s="2">
        <v>1</v>
      </c>
      <c r="C296" s="2" t="s">
        <v>328</v>
      </c>
      <c r="D296" s="2">
        <v>526</v>
      </c>
      <c r="E296" s="2" t="s">
        <v>329</v>
      </c>
      <c r="G296" s="2">
        <v>253</v>
      </c>
      <c r="H296" s="2">
        <v>1</v>
      </c>
      <c r="I296" s="2" t="s">
        <v>298</v>
      </c>
      <c r="J296" s="2">
        <v>1</v>
      </c>
      <c r="K296" s="2" t="s">
        <v>299</v>
      </c>
    </row>
    <row r="297" spans="1:11" x14ac:dyDescent="0.25">
      <c r="A297" s="2">
        <v>273</v>
      </c>
      <c r="B297" s="2">
        <v>1</v>
      </c>
      <c r="C297" s="2" t="s">
        <v>328</v>
      </c>
      <c r="D297" s="2">
        <v>527</v>
      </c>
      <c r="E297" s="2" t="s">
        <v>330</v>
      </c>
      <c r="G297">
        <v>561</v>
      </c>
      <c r="H297">
        <v>1</v>
      </c>
      <c r="I297" t="s">
        <v>1201</v>
      </c>
      <c r="J297">
        <v>10</v>
      </c>
      <c r="K297" t="s">
        <v>1202</v>
      </c>
    </row>
    <row r="298" spans="1:11" x14ac:dyDescent="0.25">
      <c r="A298" s="2">
        <v>273</v>
      </c>
      <c r="B298" s="2">
        <v>1</v>
      </c>
      <c r="C298" s="2" t="s">
        <v>328</v>
      </c>
      <c r="D298" s="2">
        <v>528</v>
      </c>
      <c r="E298" s="2" t="s">
        <v>331</v>
      </c>
      <c r="G298">
        <v>2536</v>
      </c>
      <c r="H298">
        <v>1</v>
      </c>
      <c r="I298" t="s">
        <v>1253</v>
      </c>
      <c r="J298">
        <v>15</v>
      </c>
      <c r="K298" t="s">
        <v>1254</v>
      </c>
    </row>
    <row r="299" spans="1:11" x14ac:dyDescent="0.25">
      <c r="A299" s="2">
        <v>273</v>
      </c>
      <c r="B299" s="2">
        <v>1</v>
      </c>
      <c r="C299" s="2" t="s">
        <v>328</v>
      </c>
      <c r="D299" s="2">
        <v>529</v>
      </c>
      <c r="E299" s="2" t="s">
        <v>332</v>
      </c>
      <c r="G299" s="2">
        <v>495</v>
      </c>
      <c r="H299" s="2">
        <v>1</v>
      </c>
      <c r="I299" s="2" t="s">
        <v>502</v>
      </c>
      <c r="J299" s="2">
        <v>10</v>
      </c>
      <c r="K299" s="2" t="s">
        <v>503</v>
      </c>
    </row>
    <row r="300" spans="1:11" x14ac:dyDescent="0.25">
      <c r="A300">
        <v>273</v>
      </c>
      <c r="B300" s="2">
        <v>1</v>
      </c>
      <c r="C300" s="2" t="s">
        <v>328</v>
      </c>
      <c r="D300">
        <v>532</v>
      </c>
      <c r="E300" s="2" t="s">
        <v>333</v>
      </c>
      <c r="G300" s="2">
        <v>318</v>
      </c>
      <c r="H300" s="2">
        <v>1</v>
      </c>
      <c r="I300" s="2" t="s">
        <v>415</v>
      </c>
      <c r="J300" s="2">
        <v>115</v>
      </c>
      <c r="K300" s="2" t="s">
        <v>417</v>
      </c>
    </row>
    <row r="301" spans="1:11" x14ac:dyDescent="0.25">
      <c r="A301" s="2">
        <v>273</v>
      </c>
      <c r="B301" s="2">
        <v>1</v>
      </c>
      <c r="C301" s="2" t="s">
        <v>328</v>
      </c>
      <c r="D301" s="2">
        <v>533</v>
      </c>
      <c r="E301" s="2" t="s">
        <v>334</v>
      </c>
      <c r="G301" s="2">
        <v>318</v>
      </c>
      <c r="H301" s="2">
        <v>1</v>
      </c>
      <c r="I301" s="2" t="s">
        <v>415</v>
      </c>
      <c r="J301" s="2">
        <v>110</v>
      </c>
      <c r="K301" s="2" t="s">
        <v>416</v>
      </c>
    </row>
    <row r="302" spans="1:11" x14ac:dyDescent="0.25">
      <c r="A302" s="2">
        <v>276</v>
      </c>
      <c r="B302" s="2">
        <v>1</v>
      </c>
      <c r="C302" s="2" t="s">
        <v>335</v>
      </c>
      <c r="D302" s="2">
        <v>601</v>
      </c>
      <c r="E302" s="2" t="s">
        <v>336</v>
      </c>
      <c r="G302" s="2">
        <v>318</v>
      </c>
      <c r="H302" s="2">
        <v>1</v>
      </c>
      <c r="I302" s="2" t="s">
        <v>415</v>
      </c>
      <c r="J302" s="2">
        <v>120</v>
      </c>
      <c r="K302" s="2" t="s">
        <v>418</v>
      </c>
    </row>
    <row r="303" spans="1:11" x14ac:dyDescent="0.25">
      <c r="A303" s="2">
        <v>276</v>
      </c>
      <c r="B303" s="2">
        <v>1</v>
      </c>
      <c r="C303" s="2" t="s">
        <v>335</v>
      </c>
      <c r="D303" s="2">
        <v>602</v>
      </c>
      <c r="E303" s="2" t="s">
        <v>337</v>
      </c>
      <c r="G303" s="2">
        <v>318</v>
      </c>
      <c r="H303" s="2">
        <v>1</v>
      </c>
      <c r="I303" s="2" t="s">
        <v>415</v>
      </c>
      <c r="J303" s="2">
        <v>125</v>
      </c>
      <c r="K303" s="2" t="s">
        <v>419</v>
      </c>
    </row>
    <row r="304" spans="1:11" x14ac:dyDescent="0.25">
      <c r="A304" s="2">
        <v>276</v>
      </c>
      <c r="B304" s="2">
        <v>1</v>
      </c>
      <c r="C304" s="2" t="s">
        <v>335</v>
      </c>
      <c r="D304" s="2">
        <v>603</v>
      </c>
      <c r="E304" s="2" t="s">
        <v>338</v>
      </c>
      <c r="G304" s="2">
        <v>318</v>
      </c>
      <c r="H304" s="2">
        <v>1</v>
      </c>
      <c r="I304" s="2" t="s">
        <v>415</v>
      </c>
      <c r="J304" s="2">
        <v>135</v>
      </c>
      <c r="K304" s="2" t="s">
        <v>420</v>
      </c>
    </row>
    <row r="305" spans="1:11" x14ac:dyDescent="0.25">
      <c r="A305" s="2">
        <v>276</v>
      </c>
      <c r="B305" s="2">
        <v>1</v>
      </c>
      <c r="C305" s="2" t="s">
        <v>335</v>
      </c>
      <c r="D305" s="2">
        <v>604</v>
      </c>
      <c r="E305" s="2" t="s">
        <v>339</v>
      </c>
      <c r="G305">
        <v>4100</v>
      </c>
      <c r="H305">
        <v>7</v>
      </c>
      <c r="I305" t="s">
        <v>1273</v>
      </c>
      <c r="J305">
        <v>10</v>
      </c>
      <c r="K305" t="s">
        <v>1273</v>
      </c>
    </row>
    <row r="306" spans="1:11" x14ac:dyDescent="0.25">
      <c r="A306" s="2">
        <v>276</v>
      </c>
      <c r="B306" s="2">
        <v>1</v>
      </c>
      <c r="C306" s="2" t="s">
        <v>335</v>
      </c>
      <c r="D306" s="2">
        <v>605</v>
      </c>
      <c r="E306" s="2" t="s">
        <v>340</v>
      </c>
      <c r="G306">
        <v>4144</v>
      </c>
      <c r="H306">
        <v>7</v>
      </c>
      <c r="I306" t="s">
        <v>1278</v>
      </c>
      <c r="J306">
        <v>10</v>
      </c>
      <c r="K306" t="s">
        <v>1278</v>
      </c>
    </row>
    <row r="307" spans="1:11" x14ac:dyDescent="0.25">
      <c r="A307" s="2">
        <v>276</v>
      </c>
      <c r="B307" s="2">
        <v>1</v>
      </c>
      <c r="C307" s="2" t="s">
        <v>335</v>
      </c>
      <c r="D307" s="2">
        <v>606</v>
      </c>
      <c r="E307" s="2" t="s">
        <v>341</v>
      </c>
      <c r="G307">
        <v>2683</v>
      </c>
      <c r="H307" s="2">
        <v>1</v>
      </c>
      <c r="I307" s="2" t="s">
        <v>963</v>
      </c>
      <c r="J307">
        <v>10</v>
      </c>
      <c r="K307" s="2" t="s">
        <v>964</v>
      </c>
    </row>
    <row r="308" spans="1:11" x14ac:dyDescent="0.25">
      <c r="A308" s="2">
        <v>277</v>
      </c>
      <c r="B308" s="2">
        <v>1</v>
      </c>
      <c r="C308" s="2" t="s">
        <v>342</v>
      </c>
      <c r="D308" s="2">
        <v>615</v>
      </c>
      <c r="E308" s="2" t="s">
        <v>343</v>
      </c>
      <c r="G308">
        <v>2683</v>
      </c>
      <c r="H308" s="2">
        <v>1</v>
      </c>
      <c r="I308" s="2" t="s">
        <v>963</v>
      </c>
      <c r="J308">
        <v>11</v>
      </c>
      <c r="K308" s="2" t="s">
        <v>965</v>
      </c>
    </row>
    <row r="309" spans="1:11" x14ac:dyDescent="0.25">
      <c r="A309" s="2">
        <v>277</v>
      </c>
      <c r="B309" s="2">
        <v>1</v>
      </c>
      <c r="C309" s="2" t="s">
        <v>342</v>
      </c>
      <c r="D309" s="2">
        <v>616</v>
      </c>
      <c r="E309" s="2" t="s">
        <v>344</v>
      </c>
      <c r="G309" s="7">
        <v>316</v>
      </c>
      <c r="H309" s="7">
        <v>1</v>
      </c>
      <c r="I309" s="7" t="s">
        <v>409</v>
      </c>
      <c r="J309" s="7">
        <v>210</v>
      </c>
      <c r="K309" s="7" t="s">
        <v>411</v>
      </c>
    </row>
    <row r="310" spans="1:11" x14ac:dyDescent="0.25">
      <c r="A310" s="2">
        <v>278</v>
      </c>
      <c r="B310" s="2">
        <v>1</v>
      </c>
      <c r="C310" s="2" t="s">
        <v>345</v>
      </c>
      <c r="D310" s="2">
        <v>662</v>
      </c>
      <c r="E310" s="2" t="s">
        <v>346</v>
      </c>
      <c r="G310" s="2">
        <v>316</v>
      </c>
      <c r="H310" s="2">
        <v>1</v>
      </c>
      <c r="I310" s="2" t="s">
        <v>409</v>
      </c>
      <c r="J310" s="2">
        <v>110</v>
      </c>
      <c r="K310" s="2" t="s">
        <v>410</v>
      </c>
    </row>
    <row r="311" spans="1:11" x14ac:dyDescent="0.25">
      <c r="A311" s="2">
        <v>279</v>
      </c>
      <c r="B311" s="2">
        <v>1</v>
      </c>
      <c r="C311" s="2" t="s">
        <v>347</v>
      </c>
      <c r="D311" s="2">
        <v>665</v>
      </c>
      <c r="E311" s="2" t="s">
        <v>249</v>
      </c>
      <c r="G311">
        <v>447</v>
      </c>
      <c r="H311">
        <v>1</v>
      </c>
      <c r="I311" t="s">
        <v>1195</v>
      </c>
      <c r="J311">
        <v>1</v>
      </c>
      <c r="K311" t="s">
        <v>1196</v>
      </c>
    </row>
    <row r="312" spans="1:11" x14ac:dyDescent="0.25">
      <c r="A312" s="2">
        <v>279</v>
      </c>
      <c r="B312" s="2">
        <v>1</v>
      </c>
      <c r="C312" s="2" t="s">
        <v>347</v>
      </c>
      <c r="D312" s="2">
        <v>668</v>
      </c>
      <c r="E312" s="2" t="s">
        <v>348</v>
      </c>
      <c r="G312">
        <v>768</v>
      </c>
      <c r="H312" s="2">
        <v>1</v>
      </c>
      <c r="I312" s="2" t="s">
        <v>759</v>
      </c>
      <c r="J312">
        <v>10</v>
      </c>
      <c r="K312" s="2" t="s">
        <v>760</v>
      </c>
    </row>
    <row r="313" spans="1:11" x14ac:dyDescent="0.25">
      <c r="A313" s="2">
        <v>279</v>
      </c>
      <c r="B313" s="2">
        <v>1</v>
      </c>
      <c r="C313" s="2" t="s">
        <v>347</v>
      </c>
      <c r="D313" s="2">
        <v>669</v>
      </c>
      <c r="E313" s="2" t="s">
        <v>349</v>
      </c>
      <c r="G313">
        <v>4032</v>
      </c>
      <c r="H313" s="2">
        <v>7</v>
      </c>
      <c r="I313" s="2" t="s">
        <v>1037</v>
      </c>
      <c r="J313">
        <v>10</v>
      </c>
      <c r="K313" s="2" t="s">
        <v>1037</v>
      </c>
    </row>
    <row r="314" spans="1:11" x14ac:dyDescent="0.25">
      <c r="A314" s="2">
        <v>279</v>
      </c>
      <c r="B314" s="2">
        <v>1</v>
      </c>
      <c r="C314" s="2" t="s">
        <v>347</v>
      </c>
      <c r="D314" s="2">
        <v>670</v>
      </c>
      <c r="E314" s="2" t="s">
        <v>350</v>
      </c>
      <c r="G314" s="2">
        <v>200</v>
      </c>
      <c r="H314" s="2">
        <v>1</v>
      </c>
      <c r="I314" s="2" t="s">
        <v>266</v>
      </c>
      <c r="J314" s="2">
        <v>612</v>
      </c>
      <c r="K314" s="2" t="s">
        <v>268</v>
      </c>
    </row>
    <row r="315" spans="1:11" x14ac:dyDescent="0.25">
      <c r="A315" s="2">
        <v>279</v>
      </c>
      <c r="B315" s="2">
        <v>1</v>
      </c>
      <c r="C315" s="2" t="s">
        <v>347</v>
      </c>
      <c r="D315" s="2">
        <v>671</v>
      </c>
      <c r="E315" s="2" t="s">
        <v>351</v>
      </c>
      <c r="G315" s="2">
        <v>200</v>
      </c>
      <c r="H315" s="2">
        <v>1</v>
      </c>
      <c r="I315" s="2" t="s">
        <v>266</v>
      </c>
      <c r="J315" s="2">
        <v>609</v>
      </c>
      <c r="K315" s="2" t="s">
        <v>131</v>
      </c>
    </row>
    <row r="316" spans="1:11" x14ac:dyDescent="0.25">
      <c r="A316" s="2">
        <v>279</v>
      </c>
      <c r="B316" s="2">
        <v>1</v>
      </c>
      <c r="C316" s="2" t="s">
        <v>347</v>
      </c>
      <c r="D316" s="2">
        <v>672</v>
      </c>
      <c r="E316" s="2" t="s">
        <v>352</v>
      </c>
      <c r="G316" s="2">
        <v>200</v>
      </c>
      <c r="H316" s="2">
        <v>1</v>
      </c>
      <c r="I316" s="2" t="s">
        <v>266</v>
      </c>
      <c r="J316" s="2">
        <v>610</v>
      </c>
      <c r="K316" s="2" t="s">
        <v>267</v>
      </c>
    </row>
    <row r="317" spans="1:11" x14ac:dyDescent="0.25">
      <c r="A317" s="2">
        <v>279</v>
      </c>
      <c r="B317" s="2">
        <v>1</v>
      </c>
      <c r="C317" s="2" t="s">
        <v>347</v>
      </c>
      <c r="D317" s="2">
        <v>673</v>
      </c>
      <c r="E317" s="2" t="s">
        <v>353</v>
      </c>
      <c r="G317" s="2">
        <v>150</v>
      </c>
      <c r="H317" s="2">
        <v>1</v>
      </c>
      <c r="I317" s="2" t="s">
        <v>184</v>
      </c>
      <c r="J317" s="2">
        <v>10</v>
      </c>
      <c r="K317" s="2" t="s">
        <v>185</v>
      </c>
    </row>
    <row r="318" spans="1:11" x14ac:dyDescent="0.25">
      <c r="A318" s="2">
        <v>279</v>
      </c>
      <c r="B318" s="2">
        <v>1</v>
      </c>
      <c r="C318" s="2" t="s">
        <v>347</v>
      </c>
      <c r="D318" s="2">
        <v>674</v>
      </c>
      <c r="E318" s="2" t="s">
        <v>354</v>
      </c>
      <c r="G318">
        <v>150</v>
      </c>
      <c r="H318">
        <v>1</v>
      </c>
      <c r="I318" t="s">
        <v>1174</v>
      </c>
      <c r="J318">
        <v>11</v>
      </c>
      <c r="K318" t="s">
        <v>1175</v>
      </c>
    </row>
    <row r="319" spans="1:11" x14ac:dyDescent="0.25">
      <c r="A319" s="2">
        <v>279</v>
      </c>
      <c r="B319" s="2">
        <v>1</v>
      </c>
      <c r="C319" s="2" t="s">
        <v>347</v>
      </c>
      <c r="D319" s="2">
        <v>675</v>
      </c>
      <c r="E319" s="2" t="s">
        <v>355</v>
      </c>
      <c r="G319" s="2">
        <v>203</v>
      </c>
      <c r="H319" s="2">
        <v>1</v>
      </c>
      <c r="I319" s="2" t="s">
        <v>269</v>
      </c>
      <c r="J319" s="2">
        <v>2</v>
      </c>
      <c r="K319" s="2" t="s">
        <v>270</v>
      </c>
    </row>
    <row r="320" spans="1:11" x14ac:dyDescent="0.25">
      <c r="A320" s="2">
        <v>279</v>
      </c>
      <c r="B320" s="2">
        <v>1</v>
      </c>
      <c r="C320" s="2" t="s">
        <v>347</v>
      </c>
      <c r="D320" s="2">
        <v>678</v>
      </c>
      <c r="E320" s="2" t="s">
        <v>356</v>
      </c>
      <c r="G320" s="7">
        <v>203</v>
      </c>
      <c r="H320" s="7">
        <v>1</v>
      </c>
      <c r="I320" s="7" t="s">
        <v>269</v>
      </c>
      <c r="J320" s="7">
        <v>3</v>
      </c>
      <c r="K320" s="7" t="s">
        <v>271</v>
      </c>
    </row>
    <row r="321" spans="1:11" x14ac:dyDescent="0.25">
      <c r="A321" s="2">
        <v>279</v>
      </c>
      <c r="B321" s="2">
        <v>1</v>
      </c>
      <c r="C321" s="2" t="s">
        <v>347</v>
      </c>
      <c r="D321" s="2">
        <v>679</v>
      </c>
      <c r="E321" s="2" t="s">
        <v>357</v>
      </c>
      <c r="G321" s="2">
        <v>402</v>
      </c>
      <c r="H321" s="2">
        <v>1</v>
      </c>
      <c r="I321" s="2" t="s">
        <v>452</v>
      </c>
      <c r="J321" s="2">
        <v>10</v>
      </c>
      <c r="K321" s="2" t="s">
        <v>60</v>
      </c>
    </row>
    <row r="322" spans="1:11" x14ac:dyDescent="0.25">
      <c r="A322" s="2">
        <v>279</v>
      </c>
      <c r="B322" s="2">
        <v>1</v>
      </c>
      <c r="C322" s="2" t="s">
        <v>347</v>
      </c>
      <c r="D322" s="2">
        <v>681</v>
      </c>
      <c r="E322" s="2" t="s">
        <v>358</v>
      </c>
      <c r="G322">
        <v>545</v>
      </c>
      <c r="H322" s="2">
        <v>1</v>
      </c>
      <c r="I322" s="2" t="s">
        <v>543</v>
      </c>
      <c r="J322">
        <v>10</v>
      </c>
      <c r="K322" s="2" t="s">
        <v>544</v>
      </c>
    </row>
    <row r="323" spans="1:11" x14ac:dyDescent="0.25">
      <c r="A323" s="2">
        <v>279</v>
      </c>
      <c r="B323" s="2">
        <v>1</v>
      </c>
      <c r="C323" s="2" t="s">
        <v>347</v>
      </c>
      <c r="D323" s="2">
        <v>682</v>
      </c>
      <c r="E323" s="2" t="s">
        <v>359</v>
      </c>
      <c r="G323">
        <v>264</v>
      </c>
      <c r="H323">
        <v>1</v>
      </c>
      <c r="I323" t="s">
        <v>1184</v>
      </c>
      <c r="J323">
        <v>1</v>
      </c>
      <c r="K323" t="s">
        <v>1185</v>
      </c>
    </row>
    <row r="324" spans="1:11" x14ac:dyDescent="0.25">
      <c r="A324" s="2">
        <v>279</v>
      </c>
      <c r="B324" s="2">
        <v>1</v>
      </c>
      <c r="C324" s="2" t="s">
        <v>347</v>
      </c>
      <c r="D324" s="2">
        <v>684</v>
      </c>
      <c r="E324" s="2" t="s">
        <v>360</v>
      </c>
      <c r="G324">
        <v>700</v>
      </c>
      <c r="H324" s="2">
        <v>1</v>
      </c>
      <c r="I324" s="2" t="s">
        <v>677</v>
      </c>
      <c r="J324">
        <v>10</v>
      </c>
      <c r="K324" s="2" t="s">
        <v>678</v>
      </c>
    </row>
    <row r="325" spans="1:11" x14ac:dyDescent="0.25">
      <c r="A325" s="2">
        <v>279</v>
      </c>
      <c r="B325" s="2">
        <v>1</v>
      </c>
      <c r="C325" s="2" t="s">
        <v>347</v>
      </c>
      <c r="D325" s="2">
        <v>685</v>
      </c>
      <c r="E325" s="2" t="s">
        <v>84</v>
      </c>
      <c r="G325" s="7">
        <v>700</v>
      </c>
      <c r="H325" s="7">
        <v>1</v>
      </c>
      <c r="I325" s="7" t="s">
        <v>677</v>
      </c>
      <c r="J325" s="7">
        <v>15</v>
      </c>
      <c r="K325" s="7" t="s">
        <v>679</v>
      </c>
    </row>
    <row r="326" spans="1:11" x14ac:dyDescent="0.25">
      <c r="A326" s="2">
        <v>279</v>
      </c>
      <c r="B326" s="2">
        <v>1</v>
      </c>
      <c r="C326" s="2" t="s">
        <v>347</v>
      </c>
      <c r="D326" s="2">
        <v>689</v>
      </c>
      <c r="E326" s="2" t="s">
        <v>361</v>
      </c>
      <c r="G326" s="2">
        <v>330</v>
      </c>
      <c r="H326" s="2">
        <v>1</v>
      </c>
      <c r="I326" s="2" t="s">
        <v>423</v>
      </c>
      <c r="J326" s="2">
        <v>10</v>
      </c>
      <c r="K326" s="2" t="s">
        <v>424</v>
      </c>
    </row>
    <row r="327" spans="1:11" x14ac:dyDescent="0.25">
      <c r="A327" s="7">
        <v>279</v>
      </c>
      <c r="B327" s="7">
        <v>1</v>
      </c>
      <c r="C327" s="7" t="s">
        <v>347</v>
      </c>
      <c r="D327" s="7">
        <v>696</v>
      </c>
      <c r="E327" s="7" t="s">
        <v>362</v>
      </c>
      <c r="G327">
        <v>4170</v>
      </c>
      <c r="H327" s="2">
        <v>7</v>
      </c>
      <c r="I327" s="2" t="s">
        <v>1081</v>
      </c>
      <c r="J327">
        <v>10</v>
      </c>
      <c r="K327" s="2" t="s">
        <v>1081</v>
      </c>
    </row>
    <row r="328" spans="1:11" x14ac:dyDescent="0.25">
      <c r="A328" s="2">
        <v>280</v>
      </c>
      <c r="B328" s="2">
        <v>1</v>
      </c>
      <c r="C328" s="2" t="s">
        <v>363</v>
      </c>
      <c r="D328" s="2">
        <v>36</v>
      </c>
      <c r="E328" s="2" t="s">
        <v>364</v>
      </c>
      <c r="G328">
        <v>701</v>
      </c>
      <c r="H328" s="2">
        <v>1</v>
      </c>
      <c r="I328" s="2" t="s">
        <v>680</v>
      </c>
      <c r="J328">
        <v>310</v>
      </c>
      <c r="K328" s="2" t="s">
        <v>60</v>
      </c>
    </row>
    <row r="329" spans="1:11" x14ac:dyDescent="0.25">
      <c r="A329" s="2">
        <v>280</v>
      </c>
      <c r="B329" s="2">
        <v>1</v>
      </c>
      <c r="C329" s="2" t="s">
        <v>363</v>
      </c>
      <c r="D329" s="2">
        <v>695</v>
      </c>
      <c r="E329" s="2" t="s">
        <v>364</v>
      </c>
      <c r="G329">
        <v>4027</v>
      </c>
      <c r="H329" s="2">
        <v>7</v>
      </c>
      <c r="I329" s="2" t="s">
        <v>1033</v>
      </c>
      <c r="J329">
        <v>10</v>
      </c>
      <c r="K329" s="2" t="s">
        <v>1033</v>
      </c>
    </row>
    <row r="330" spans="1:11" x14ac:dyDescent="0.25">
      <c r="A330" s="2">
        <v>280</v>
      </c>
      <c r="B330" s="2">
        <v>1</v>
      </c>
      <c r="C330" s="2" t="s">
        <v>363</v>
      </c>
      <c r="D330" s="2">
        <v>701</v>
      </c>
      <c r="E330" s="2" t="s">
        <v>364</v>
      </c>
      <c r="G330" s="2">
        <v>2</v>
      </c>
      <c r="H330" s="2">
        <v>1</v>
      </c>
      <c r="I330" s="2" t="s">
        <v>45</v>
      </c>
      <c r="J330" s="2">
        <v>1</v>
      </c>
      <c r="K330" s="2" t="s">
        <v>46</v>
      </c>
    </row>
    <row r="331" spans="1:11" x14ac:dyDescent="0.25">
      <c r="A331" s="2">
        <v>280</v>
      </c>
      <c r="B331" s="2">
        <v>1</v>
      </c>
      <c r="C331" s="2" t="s">
        <v>363</v>
      </c>
      <c r="D331" s="2">
        <v>705</v>
      </c>
      <c r="E331" s="2" t="s">
        <v>364</v>
      </c>
      <c r="G331">
        <v>671</v>
      </c>
      <c r="H331" s="2">
        <v>1</v>
      </c>
      <c r="I331" s="2" t="s">
        <v>663</v>
      </c>
      <c r="J331">
        <v>10</v>
      </c>
      <c r="K331" s="2" t="s">
        <v>664</v>
      </c>
    </row>
    <row r="332" spans="1:11" x14ac:dyDescent="0.25">
      <c r="A332" s="2">
        <v>281</v>
      </c>
      <c r="B332" s="2">
        <v>1</v>
      </c>
      <c r="C332" s="2" t="s">
        <v>365</v>
      </c>
      <c r="D332" s="2">
        <v>4</v>
      </c>
      <c r="E332" s="2" t="s">
        <v>366</v>
      </c>
      <c r="G332">
        <v>2165</v>
      </c>
      <c r="H332" s="2">
        <v>1</v>
      </c>
      <c r="I332" s="2" t="s">
        <v>904</v>
      </c>
      <c r="J332">
        <v>30</v>
      </c>
      <c r="K332" s="2" t="s">
        <v>906</v>
      </c>
    </row>
    <row r="333" spans="1:11" x14ac:dyDescent="0.25">
      <c r="A333" s="2">
        <v>281</v>
      </c>
      <c r="B333" s="2">
        <v>1</v>
      </c>
      <c r="C333" s="2" t="s">
        <v>365</v>
      </c>
      <c r="D333" s="2">
        <v>6</v>
      </c>
      <c r="E333" s="2" t="s">
        <v>233</v>
      </c>
      <c r="G333">
        <v>2165</v>
      </c>
      <c r="H333" s="2">
        <v>1</v>
      </c>
      <c r="I333" s="2" t="s">
        <v>904</v>
      </c>
      <c r="J333">
        <v>10</v>
      </c>
      <c r="K333" s="2" t="s">
        <v>905</v>
      </c>
    </row>
    <row r="334" spans="1:11" x14ac:dyDescent="0.25">
      <c r="A334" s="2">
        <v>281</v>
      </c>
      <c r="B334" s="2">
        <v>1</v>
      </c>
      <c r="C334" s="2" t="s">
        <v>365</v>
      </c>
      <c r="D334" s="2">
        <v>10</v>
      </c>
      <c r="E334" s="2" t="s">
        <v>367</v>
      </c>
      <c r="G334">
        <v>4103</v>
      </c>
      <c r="H334" s="2">
        <v>7</v>
      </c>
      <c r="I334" s="2" t="s">
        <v>1057</v>
      </c>
      <c r="J334">
        <v>20</v>
      </c>
      <c r="K334" s="2" t="s">
        <v>1058</v>
      </c>
    </row>
    <row r="335" spans="1:11" x14ac:dyDescent="0.25">
      <c r="A335" s="2">
        <v>281</v>
      </c>
      <c r="B335" s="2">
        <v>1</v>
      </c>
      <c r="C335" s="2" t="s">
        <v>365</v>
      </c>
      <c r="D335" s="2">
        <v>11</v>
      </c>
      <c r="E335" s="2" t="s">
        <v>368</v>
      </c>
      <c r="G335">
        <v>738</v>
      </c>
      <c r="H335" s="2">
        <v>1</v>
      </c>
      <c r="I335" s="2" t="s">
        <v>730</v>
      </c>
      <c r="J335">
        <v>1</v>
      </c>
      <c r="K335" s="2" t="s">
        <v>731</v>
      </c>
    </row>
    <row r="336" spans="1:11" x14ac:dyDescent="0.25">
      <c r="A336" s="2">
        <v>281</v>
      </c>
      <c r="B336" s="2">
        <v>1</v>
      </c>
      <c r="C336" s="2" t="s">
        <v>365</v>
      </c>
      <c r="D336" s="2">
        <v>12</v>
      </c>
      <c r="E336" s="2" t="s">
        <v>369</v>
      </c>
      <c r="G336">
        <v>4070</v>
      </c>
      <c r="H336" s="2">
        <v>7</v>
      </c>
      <c r="I336" s="2" t="s">
        <v>1044</v>
      </c>
      <c r="J336">
        <v>10</v>
      </c>
      <c r="K336" s="2" t="s">
        <v>1044</v>
      </c>
    </row>
    <row r="337" spans="1:11" x14ac:dyDescent="0.25">
      <c r="A337" s="2">
        <v>281</v>
      </c>
      <c r="B337" s="2">
        <v>1</v>
      </c>
      <c r="C337" s="2" t="s">
        <v>365</v>
      </c>
      <c r="D337" s="2">
        <v>17</v>
      </c>
      <c r="E337" s="2" t="s">
        <v>370</v>
      </c>
      <c r="G337" s="2">
        <v>270</v>
      </c>
      <c r="H337" s="2">
        <v>1</v>
      </c>
      <c r="I337" s="2" t="s">
        <v>306</v>
      </c>
      <c r="J337" s="2">
        <v>561</v>
      </c>
      <c r="K337" s="2" t="s">
        <v>307</v>
      </c>
    </row>
    <row r="338" spans="1:11" x14ac:dyDescent="0.25">
      <c r="A338" s="2">
        <v>281</v>
      </c>
      <c r="B338" s="2">
        <v>1</v>
      </c>
      <c r="C338" s="2" t="s">
        <v>365</v>
      </c>
      <c r="D338" s="2">
        <v>19</v>
      </c>
      <c r="E338" s="2" t="s">
        <v>371</v>
      </c>
      <c r="G338" s="2">
        <v>270</v>
      </c>
      <c r="H338" s="2">
        <v>1</v>
      </c>
      <c r="I338" s="2" t="s">
        <v>306</v>
      </c>
      <c r="J338" s="2">
        <v>566</v>
      </c>
      <c r="K338" s="2" t="s">
        <v>74</v>
      </c>
    </row>
    <row r="339" spans="1:11" x14ac:dyDescent="0.25">
      <c r="A339" s="2">
        <v>281</v>
      </c>
      <c r="B339" s="2">
        <v>1</v>
      </c>
      <c r="C339" s="2" t="s">
        <v>365</v>
      </c>
      <c r="D339" s="2">
        <v>22</v>
      </c>
      <c r="E339" s="2" t="s">
        <v>372</v>
      </c>
      <c r="G339">
        <v>270</v>
      </c>
      <c r="H339" s="2">
        <v>1</v>
      </c>
      <c r="I339" s="2" t="s">
        <v>306</v>
      </c>
      <c r="J339">
        <v>569</v>
      </c>
      <c r="K339" s="2" t="s">
        <v>310</v>
      </c>
    </row>
    <row r="340" spans="1:11" x14ac:dyDescent="0.25">
      <c r="A340" s="2">
        <v>281</v>
      </c>
      <c r="B340" s="2">
        <v>1</v>
      </c>
      <c r="C340" s="2" t="s">
        <v>365</v>
      </c>
      <c r="D340" s="2">
        <v>30</v>
      </c>
      <c r="E340" s="2" t="s">
        <v>373</v>
      </c>
      <c r="G340" s="2">
        <v>270</v>
      </c>
      <c r="H340" s="2">
        <v>1</v>
      </c>
      <c r="I340" s="2" t="s">
        <v>306</v>
      </c>
      <c r="J340" s="2">
        <v>563</v>
      </c>
      <c r="K340" s="2" t="s">
        <v>308</v>
      </c>
    </row>
    <row r="341" spans="1:11" x14ac:dyDescent="0.25">
      <c r="A341" s="2">
        <v>282</v>
      </c>
      <c r="B341" s="2">
        <v>1</v>
      </c>
      <c r="C341" s="2" t="s">
        <v>374</v>
      </c>
      <c r="D341" s="2">
        <v>40</v>
      </c>
      <c r="E341" s="2" t="s">
        <v>375</v>
      </c>
      <c r="G341" s="2">
        <v>270</v>
      </c>
      <c r="H341" s="2">
        <v>1</v>
      </c>
      <c r="I341" s="2" t="s">
        <v>306</v>
      </c>
      <c r="J341" s="2">
        <v>567</v>
      </c>
      <c r="K341" s="2" t="s">
        <v>309</v>
      </c>
    </row>
    <row r="342" spans="1:11" x14ac:dyDescent="0.25">
      <c r="A342" s="2">
        <v>283</v>
      </c>
      <c r="B342" s="2">
        <v>1</v>
      </c>
      <c r="C342" s="2" t="s">
        <v>376</v>
      </c>
      <c r="D342" s="2">
        <v>745</v>
      </c>
      <c r="E342" s="2" t="s">
        <v>377</v>
      </c>
      <c r="G342" s="2">
        <v>270</v>
      </c>
      <c r="H342" s="2">
        <v>1</v>
      </c>
      <c r="I342" s="2" t="s">
        <v>306</v>
      </c>
      <c r="J342" s="2">
        <v>570</v>
      </c>
      <c r="K342" s="2" t="s">
        <v>311</v>
      </c>
    </row>
    <row r="343" spans="1:11" x14ac:dyDescent="0.25">
      <c r="A343" s="7">
        <v>283</v>
      </c>
      <c r="B343" s="7">
        <v>1</v>
      </c>
      <c r="C343" s="7" t="s">
        <v>376</v>
      </c>
      <c r="D343" s="7">
        <v>747</v>
      </c>
      <c r="E343" s="7" t="s">
        <v>378</v>
      </c>
      <c r="G343">
        <v>294</v>
      </c>
      <c r="H343" s="2">
        <v>1</v>
      </c>
      <c r="I343" s="2" t="s">
        <v>392</v>
      </c>
      <c r="J343">
        <v>10</v>
      </c>
      <c r="K343" s="2" t="s">
        <v>393</v>
      </c>
    </row>
    <row r="344" spans="1:11" x14ac:dyDescent="0.25">
      <c r="A344" s="2">
        <v>283</v>
      </c>
      <c r="B344" s="2">
        <v>1</v>
      </c>
      <c r="C344" s="2" t="s">
        <v>376</v>
      </c>
      <c r="D344" s="2">
        <v>754</v>
      </c>
      <c r="E344" s="2" t="s">
        <v>379</v>
      </c>
      <c r="G344" s="2">
        <v>294</v>
      </c>
      <c r="H344" s="2">
        <v>1</v>
      </c>
      <c r="I344" s="2" t="s">
        <v>392</v>
      </c>
      <c r="J344" s="2">
        <v>12</v>
      </c>
      <c r="K344" s="2" t="s">
        <v>394</v>
      </c>
    </row>
    <row r="345" spans="1:11" x14ac:dyDescent="0.25">
      <c r="A345" s="2">
        <v>283</v>
      </c>
      <c r="B345" s="2">
        <v>1</v>
      </c>
      <c r="C345" s="2" t="s">
        <v>376</v>
      </c>
      <c r="D345" s="2">
        <v>755</v>
      </c>
      <c r="E345" s="2" t="s">
        <v>380</v>
      </c>
      <c r="G345">
        <v>294</v>
      </c>
      <c r="H345">
        <v>1</v>
      </c>
      <c r="I345" t="s">
        <v>1186</v>
      </c>
      <c r="J345">
        <v>8</v>
      </c>
      <c r="K345" t="s">
        <v>1187</v>
      </c>
    </row>
    <row r="346" spans="1:11" x14ac:dyDescent="0.25">
      <c r="A346">
        <v>283</v>
      </c>
      <c r="B346" s="2">
        <v>1</v>
      </c>
      <c r="C346" s="2" t="s">
        <v>376</v>
      </c>
      <c r="D346">
        <v>758</v>
      </c>
      <c r="E346" s="2" t="s">
        <v>381</v>
      </c>
      <c r="G346">
        <v>2687</v>
      </c>
      <c r="H346" s="2">
        <v>1</v>
      </c>
      <c r="I346" s="2" t="s">
        <v>966</v>
      </c>
      <c r="J346">
        <v>3</v>
      </c>
      <c r="K346" s="2" t="s">
        <v>968</v>
      </c>
    </row>
    <row r="347" spans="1:11" x14ac:dyDescent="0.25">
      <c r="A347" s="2">
        <v>284</v>
      </c>
      <c r="B347" s="2">
        <v>1</v>
      </c>
      <c r="C347" s="2" t="s">
        <v>382</v>
      </c>
      <c r="D347" s="2">
        <v>804</v>
      </c>
      <c r="E347" s="2" t="s">
        <v>383</v>
      </c>
      <c r="G347">
        <v>2687</v>
      </c>
      <c r="H347" s="2">
        <v>1</v>
      </c>
      <c r="I347" s="2" t="s">
        <v>966</v>
      </c>
      <c r="J347">
        <v>1</v>
      </c>
      <c r="K347" s="2" t="s">
        <v>967</v>
      </c>
    </row>
    <row r="348" spans="1:11" x14ac:dyDescent="0.25">
      <c r="A348" s="2">
        <v>284</v>
      </c>
      <c r="B348" s="2">
        <v>1</v>
      </c>
      <c r="C348" s="2" t="s">
        <v>382</v>
      </c>
      <c r="D348" s="2">
        <v>806</v>
      </c>
      <c r="E348" s="2" t="s">
        <v>384</v>
      </c>
      <c r="G348" s="2">
        <v>423</v>
      </c>
      <c r="H348" s="2">
        <v>1</v>
      </c>
      <c r="I348" s="2" t="s">
        <v>460</v>
      </c>
      <c r="J348" s="2">
        <v>10</v>
      </c>
      <c r="K348" s="2" t="s">
        <v>461</v>
      </c>
    </row>
    <row r="349" spans="1:11" x14ac:dyDescent="0.25">
      <c r="A349">
        <v>284</v>
      </c>
      <c r="B349" s="2">
        <v>1</v>
      </c>
      <c r="C349" s="2" t="s">
        <v>382</v>
      </c>
      <c r="D349">
        <v>807</v>
      </c>
      <c r="E349" s="2" t="s">
        <v>385</v>
      </c>
      <c r="G349">
        <v>423</v>
      </c>
      <c r="H349">
        <v>1</v>
      </c>
      <c r="I349" t="s">
        <v>1193</v>
      </c>
      <c r="J349">
        <v>35</v>
      </c>
      <c r="K349" t="s">
        <v>1194</v>
      </c>
    </row>
    <row r="350" spans="1:11" x14ac:dyDescent="0.25">
      <c r="A350" s="2">
        <v>284</v>
      </c>
      <c r="B350" s="2">
        <v>1</v>
      </c>
      <c r="C350" s="2" t="s">
        <v>382</v>
      </c>
      <c r="D350" s="2">
        <v>808</v>
      </c>
      <c r="E350" s="2" t="s">
        <v>386</v>
      </c>
      <c r="G350" s="2">
        <v>361</v>
      </c>
      <c r="H350" s="2">
        <v>1</v>
      </c>
      <c r="I350" s="2" t="s">
        <v>434</v>
      </c>
      <c r="J350" s="2">
        <v>7</v>
      </c>
      <c r="K350" s="2" t="s">
        <v>435</v>
      </c>
    </row>
    <row r="351" spans="1:11" x14ac:dyDescent="0.25">
      <c r="A351" s="2">
        <v>284</v>
      </c>
      <c r="B351" s="2">
        <v>1</v>
      </c>
      <c r="C351" s="2" t="s">
        <v>382</v>
      </c>
      <c r="D351" s="2">
        <v>810</v>
      </c>
      <c r="E351" s="2" t="s">
        <v>387</v>
      </c>
      <c r="G351">
        <v>4167</v>
      </c>
      <c r="H351" s="2">
        <v>7</v>
      </c>
      <c r="I351" s="2" t="s">
        <v>1079</v>
      </c>
      <c r="J351">
        <v>10</v>
      </c>
      <c r="K351" s="2" t="s">
        <v>1079</v>
      </c>
    </row>
    <row r="352" spans="1:11" x14ac:dyDescent="0.25">
      <c r="A352" s="2">
        <v>284</v>
      </c>
      <c r="B352" s="2">
        <v>1</v>
      </c>
      <c r="C352" s="2" t="s">
        <v>382</v>
      </c>
      <c r="D352" s="2">
        <v>811</v>
      </c>
      <c r="E352" s="2" t="s">
        <v>388</v>
      </c>
      <c r="G352" s="2">
        <v>199</v>
      </c>
      <c r="H352" s="2">
        <v>1</v>
      </c>
      <c r="I352" s="2" t="s">
        <v>261</v>
      </c>
      <c r="J352" s="2">
        <v>574</v>
      </c>
      <c r="K352" s="2" t="s">
        <v>262</v>
      </c>
    </row>
    <row r="353" spans="1:11" x14ac:dyDescent="0.25">
      <c r="A353" s="2">
        <v>284</v>
      </c>
      <c r="B353" s="2">
        <v>1</v>
      </c>
      <c r="C353" s="2" t="s">
        <v>382</v>
      </c>
      <c r="D353" s="2">
        <v>812</v>
      </c>
      <c r="E353" s="2" t="s">
        <v>389</v>
      </c>
      <c r="G353" s="2">
        <v>199</v>
      </c>
      <c r="H353" s="2">
        <v>1</v>
      </c>
      <c r="I353" s="2" t="s">
        <v>261</v>
      </c>
      <c r="J353" s="2">
        <v>575</v>
      </c>
      <c r="K353" s="2" t="s">
        <v>263</v>
      </c>
    </row>
    <row r="354" spans="1:11" x14ac:dyDescent="0.25">
      <c r="A354" s="2">
        <v>286</v>
      </c>
      <c r="B354" s="2">
        <v>1</v>
      </c>
      <c r="C354" s="2" t="s">
        <v>390</v>
      </c>
      <c r="D354" s="2">
        <v>480</v>
      </c>
      <c r="E354" s="2" t="s">
        <v>391</v>
      </c>
      <c r="G354" s="2">
        <v>199</v>
      </c>
      <c r="H354" s="2">
        <v>1</v>
      </c>
      <c r="I354" s="2" t="s">
        <v>261</v>
      </c>
      <c r="J354" s="2">
        <v>577</v>
      </c>
      <c r="K354" s="2" t="s">
        <v>264</v>
      </c>
    </row>
    <row r="355" spans="1:11" x14ac:dyDescent="0.25">
      <c r="A355">
        <v>294</v>
      </c>
      <c r="B355">
        <v>1</v>
      </c>
      <c r="C355" t="s">
        <v>1186</v>
      </c>
      <c r="D355">
        <v>8</v>
      </c>
      <c r="E355" t="s">
        <v>1187</v>
      </c>
      <c r="G355" s="2">
        <v>199</v>
      </c>
      <c r="H355" s="2">
        <v>1</v>
      </c>
      <c r="I355" s="2" t="s">
        <v>261</v>
      </c>
      <c r="J355" s="2">
        <v>578</v>
      </c>
      <c r="K355" s="2" t="s">
        <v>265</v>
      </c>
    </row>
    <row r="356" spans="1:11" x14ac:dyDescent="0.25">
      <c r="A356">
        <v>294</v>
      </c>
      <c r="B356" s="2">
        <v>1</v>
      </c>
      <c r="C356" s="2" t="s">
        <v>392</v>
      </c>
      <c r="D356">
        <v>10</v>
      </c>
      <c r="E356" s="2" t="s">
        <v>393</v>
      </c>
      <c r="G356" s="2">
        <v>473</v>
      </c>
      <c r="H356" s="2">
        <v>1</v>
      </c>
      <c r="I356" s="2" t="s">
        <v>481</v>
      </c>
      <c r="J356" s="2">
        <v>10</v>
      </c>
      <c r="K356" s="2" t="s">
        <v>482</v>
      </c>
    </row>
    <row r="357" spans="1:11" x14ac:dyDescent="0.25">
      <c r="A357" s="2">
        <v>294</v>
      </c>
      <c r="B357" s="2">
        <v>1</v>
      </c>
      <c r="C357" s="2" t="s">
        <v>392</v>
      </c>
      <c r="D357" s="2">
        <v>12</v>
      </c>
      <c r="E357" s="2" t="s">
        <v>394</v>
      </c>
      <c r="G357">
        <v>2895</v>
      </c>
      <c r="H357" s="2">
        <v>1</v>
      </c>
      <c r="I357" s="2" t="s">
        <v>1007</v>
      </c>
      <c r="J357">
        <v>10</v>
      </c>
      <c r="K357" s="2" t="s">
        <v>1008</v>
      </c>
    </row>
    <row r="358" spans="1:11" x14ac:dyDescent="0.25">
      <c r="A358" s="2">
        <v>297</v>
      </c>
      <c r="B358" s="2">
        <v>1</v>
      </c>
      <c r="C358" s="2" t="s">
        <v>395</v>
      </c>
      <c r="D358" s="2">
        <v>10</v>
      </c>
      <c r="E358" s="2" t="s">
        <v>396</v>
      </c>
      <c r="G358">
        <v>2895</v>
      </c>
      <c r="H358" s="2">
        <v>1</v>
      </c>
      <c r="I358" s="2" t="s">
        <v>1007</v>
      </c>
      <c r="J358">
        <v>112</v>
      </c>
      <c r="K358" s="2" t="s">
        <v>204</v>
      </c>
    </row>
    <row r="359" spans="1:11" x14ac:dyDescent="0.25">
      <c r="A359" s="2">
        <v>299</v>
      </c>
      <c r="B359" s="2">
        <v>1</v>
      </c>
      <c r="C359" s="2" t="s">
        <v>397</v>
      </c>
      <c r="D359" s="2">
        <v>10</v>
      </c>
      <c r="E359" s="2" t="s">
        <v>398</v>
      </c>
      <c r="G359">
        <v>2835</v>
      </c>
      <c r="H359" s="2">
        <v>1</v>
      </c>
      <c r="I359" s="2" t="s">
        <v>983</v>
      </c>
      <c r="J359">
        <v>10</v>
      </c>
      <c r="K359" s="2" t="s">
        <v>985</v>
      </c>
    </row>
    <row r="360" spans="1:11" x14ac:dyDescent="0.25">
      <c r="A360" s="2">
        <v>300</v>
      </c>
      <c r="B360" s="2">
        <v>1</v>
      </c>
      <c r="C360" s="2" t="s">
        <v>399</v>
      </c>
      <c r="D360" s="2">
        <v>10</v>
      </c>
      <c r="E360" s="2" t="s">
        <v>400</v>
      </c>
      <c r="G360" s="7">
        <v>2835</v>
      </c>
      <c r="H360" s="7">
        <v>1</v>
      </c>
      <c r="I360" s="7" t="s">
        <v>983</v>
      </c>
      <c r="J360" s="7">
        <v>1</v>
      </c>
      <c r="K360" s="7" t="s">
        <v>984</v>
      </c>
    </row>
    <row r="361" spans="1:11" x14ac:dyDescent="0.25">
      <c r="A361">
        <v>306</v>
      </c>
      <c r="B361" s="2">
        <v>1</v>
      </c>
      <c r="C361" s="2" t="s">
        <v>401</v>
      </c>
      <c r="D361">
        <v>10</v>
      </c>
      <c r="E361" s="2" t="s">
        <v>402</v>
      </c>
      <c r="G361">
        <v>717</v>
      </c>
      <c r="H361" s="2">
        <v>1</v>
      </c>
      <c r="I361" s="2" t="s">
        <v>699</v>
      </c>
      <c r="J361">
        <v>637</v>
      </c>
      <c r="K361" s="2" t="s">
        <v>700</v>
      </c>
    </row>
    <row r="362" spans="1:11" x14ac:dyDescent="0.25">
      <c r="A362" s="2">
        <v>308</v>
      </c>
      <c r="B362" s="2">
        <v>1</v>
      </c>
      <c r="C362" s="2" t="s">
        <v>403</v>
      </c>
      <c r="D362" s="2">
        <v>10</v>
      </c>
      <c r="E362" s="2" t="s">
        <v>404</v>
      </c>
      <c r="G362">
        <v>4118</v>
      </c>
      <c r="H362" s="2">
        <v>7</v>
      </c>
      <c r="I362" s="2" t="s">
        <v>1060</v>
      </c>
      <c r="J362">
        <v>10</v>
      </c>
      <c r="K362" s="2" t="s">
        <v>1060</v>
      </c>
    </row>
    <row r="363" spans="1:11" x14ac:dyDescent="0.25">
      <c r="A363" s="2">
        <v>309</v>
      </c>
      <c r="B363" s="2">
        <v>1</v>
      </c>
      <c r="C363" s="2" t="s">
        <v>405</v>
      </c>
      <c r="D363" s="2">
        <v>30</v>
      </c>
      <c r="E363" s="2" t="s">
        <v>406</v>
      </c>
      <c r="G363" s="2">
        <v>204</v>
      </c>
      <c r="H363" s="2">
        <v>1</v>
      </c>
      <c r="I363" s="2" t="s">
        <v>272</v>
      </c>
      <c r="J363" s="2">
        <v>10</v>
      </c>
      <c r="K363" s="2" t="s">
        <v>273</v>
      </c>
    </row>
    <row r="364" spans="1:11" x14ac:dyDescent="0.25">
      <c r="A364" s="2">
        <v>314</v>
      </c>
      <c r="B364" s="2">
        <v>1</v>
      </c>
      <c r="C364" s="2" t="s">
        <v>407</v>
      </c>
      <c r="D364" s="2">
        <v>2</v>
      </c>
      <c r="E364" s="2" t="s">
        <v>408</v>
      </c>
      <c r="G364" s="2">
        <v>36</v>
      </c>
      <c r="H364" s="2">
        <v>1</v>
      </c>
      <c r="I364" s="2" t="s">
        <v>115</v>
      </c>
      <c r="J364" s="2">
        <v>10</v>
      </c>
      <c r="K364" s="2" t="s">
        <v>116</v>
      </c>
    </row>
    <row r="365" spans="1:11" x14ac:dyDescent="0.25">
      <c r="A365" s="2">
        <v>316</v>
      </c>
      <c r="B365" s="2">
        <v>1</v>
      </c>
      <c r="C365" s="2" t="s">
        <v>409</v>
      </c>
      <c r="D365" s="2">
        <v>110</v>
      </c>
      <c r="E365" s="2" t="s">
        <v>410</v>
      </c>
      <c r="G365">
        <v>2172</v>
      </c>
      <c r="H365" s="2">
        <v>1</v>
      </c>
      <c r="I365" s="2" t="s">
        <v>917</v>
      </c>
      <c r="J365">
        <v>10</v>
      </c>
      <c r="K365" s="2" t="s">
        <v>918</v>
      </c>
    </row>
    <row r="366" spans="1:11" x14ac:dyDescent="0.25">
      <c r="A366" s="7">
        <v>316</v>
      </c>
      <c r="B366" s="7">
        <v>1</v>
      </c>
      <c r="C366" s="7" t="s">
        <v>409</v>
      </c>
      <c r="D366" s="7">
        <v>210</v>
      </c>
      <c r="E366" s="7" t="s">
        <v>411</v>
      </c>
      <c r="G366">
        <v>775</v>
      </c>
      <c r="H366" s="2">
        <v>1</v>
      </c>
      <c r="I366" s="2" t="s">
        <v>763</v>
      </c>
      <c r="J366">
        <v>30</v>
      </c>
      <c r="K366" s="2" t="s">
        <v>764</v>
      </c>
    </row>
    <row r="367" spans="1:11" x14ac:dyDescent="0.25">
      <c r="A367" s="2">
        <v>317</v>
      </c>
      <c r="B367" s="2">
        <v>1</v>
      </c>
      <c r="C367" s="2" t="s">
        <v>412</v>
      </c>
      <c r="D367" s="2">
        <v>4</v>
      </c>
      <c r="E367" s="2" t="s">
        <v>414</v>
      </c>
      <c r="G367">
        <v>739</v>
      </c>
      <c r="H367" s="2">
        <v>1</v>
      </c>
      <c r="I367" s="2" t="s">
        <v>732</v>
      </c>
      <c r="J367">
        <v>10</v>
      </c>
      <c r="K367" s="2" t="s">
        <v>733</v>
      </c>
    </row>
    <row r="368" spans="1:11" x14ac:dyDescent="0.25">
      <c r="A368" s="2">
        <v>318</v>
      </c>
      <c r="B368" s="2">
        <v>1</v>
      </c>
      <c r="C368" s="2" t="s">
        <v>415</v>
      </c>
      <c r="D368" s="2">
        <v>110</v>
      </c>
      <c r="E368" s="2" t="s">
        <v>416</v>
      </c>
      <c r="G368">
        <v>2137</v>
      </c>
      <c r="H368" s="2">
        <v>1</v>
      </c>
      <c r="I368" s="2" t="s">
        <v>878</v>
      </c>
      <c r="J368">
        <v>15</v>
      </c>
      <c r="K368" s="2" t="s">
        <v>879</v>
      </c>
    </row>
    <row r="369" spans="1:11" x14ac:dyDescent="0.25">
      <c r="A369" s="2">
        <v>318</v>
      </c>
      <c r="B369" s="2">
        <v>1</v>
      </c>
      <c r="C369" s="2" t="s">
        <v>415</v>
      </c>
      <c r="D369" s="2">
        <v>115</v>
      </c>
      <c r="E369" s="2" t="s">
        <v>417</v>
      </c>
      <c r="G369" s="8">
        <v>2137</v>
      </c>
      <c r="H369" s="8">
        <v>1</v>
      </c>
      <c r="I369" s="8" t="s">
        <v>878</v>
      </c>
      <c r="J369" s="8">
        <v>20</v>
      </c>
      <c r="K369" s="8" t="s">
        <v>880</v>
      </c>
    </row>
    <row r="370" spans="1:11" x14ac:dyDescent="0.25">
      <c r="A370" s="2">
        <v>318</v>
      </c>
      <c r="B370" s="2">
        <v>1</v>
      </c>
      <c r="C370" s="2" t="s">
        <v>415</v>
      </c>
      <c r="D370" s="2">
        <v>120</v>
      </c>
      <c r="E370" s="2" t="s">
        <v>418</v>
      </c>
      <c r="G370">
        <v>2171</v>
      </c>
      <c r="H370" s="2">
        <v>1</v>
      </c>
      <c r="I370" s="2" t="s">
        <v>915</v>
      </c>
      <c r="J370">
        <v>15</v>
      </c>
      <c r="K370" s="2" t="s">
        <v>916</v>
      </c>
    </row>
    <row r="371" spans="1:11" x14ac:dyDescent="0.25">
      <c r="A371" s="2">
        <v>318</v>
      </c>
      <c r="B371" s="2">
        <v>1</v>
      </c>
      <c r="C371" s="2" t="s">
        <v>415</v>
      </c>
      <c r="D371" s="2">
        <v>125</v>
      </c>
      <c r="E371" s="2" t="s">
        <v>419</v>
      </c>
      <c r="G371">
        <v>2171</v>
      </c>
      <c r="H371">
        <v>1</v>
      </c>
      <c r="I371" t="s">
        <v>1249</v>
      </c>
      <c r="J371">
        <v>25</v>
      </c>
      <c r="K371" t="s">
        <v>1250</v>
      </c>
    </row>
    <row r="372" spans="1:11" x14ac:dyDescent="0.25">
      <c r="A372" s="2">
        <v>318</v>
      </c>
      <c r="B372" s="2">
        <v>1</v>
      </c>
      <c r="C372" s="2" t="s">
        <v>415</v>
      </c>
      <c r="D372" s="2">
        <v>135</v>
      </c>
      <c r="E372" s="2" t="s">
        <v>420</v>
      </c>
      <c r="G372">
        <v>2853</v>
      </c>
      <c r="H372" s="2">
        <v>1</v>
      </c>
      <c r="I372" s="2" t="s">
        <v>986</v>
      </c>
      <c r="J372">
        <v>20</v>
      </c>
      <c r="K372" s="2" t="s">
        <v>988</v>
      </c>
    </row>
    <row r="373" spans="1:11" x14ac:dyDescent="0.25">
      <c r="A373" s="2">
        <v>319</v>
      </c>
      <c r="B373" s="2">
        <v>1</v>
      </c>
      <c r="C373" s="2" t="s">
        <v>421</v>
      </c>
      <c r="D373" s="2">
        <v>20</v>
      </c>
      <c r="E373" s="2" t="s">
        <v>422</v>
      </c>
      <c r="G373">
        <v>2853</v>
      </c>
      <c r="H373" s="2">
        <v>1</v>
      </c>
      <c r="I373" s="2" t="s">
        <v>986</v>
      </c>
      <c r="J373">
        <v>10</v>
      </c>
      <c r="K373" s="2" t="s">
        <v>987</v>
      </c>
    </row>
    <row r="374" spans="1:11" x14ac:dyDescent="0.25">
      <c r="A374" s="2">
        <v>330</v>
      </c>
      <c r="B374" s="2">
        <v>1</v>
      </c>
      <c r="C374" s="2" t="s">
        <v>423</v>
      </c>
      <c r="D374" s="2">
        <v>10</v>
      </c>
      <c r="E374" s="2" t="s">
        <v>424</v>
      </c>
      <c r="G374">
        <v>4054</v>
      </c>
      <c r="H374">
        <v>7</v>
      </c>
      <c r="I374" t="s">
        <v>1269</v>
      </c>
      <c r="J374">
        <v>10</v>
      </c>
      <c r="K374" t="s">
        <v>1269</v>
      </c>
    </row>
    <row r="375" spans="1:11" x14ac:dyDescent="0.25">
      <c r="A375" s="2">
        <v>332</v>
      </c>
      <c r="B375" s="2">
        <v>1</v>
      </c>
      <c r="C375" s="2" t="s">
        <v>425</v>
      </c>
      <c r="D375" s="2">
        <v>30</v>
      </c>
      <c r="E375" s="2" t="s">
        <v>426</v>
      </c>
      <c r="G375" s="2">
        <v>300</v>
      </c>
      <c r="H375" s="2">
        <v>1</v>
      </c>
      <c r="I375" s="2" t="s">
        <v>399</v>
      </c>
      <c r="J375" s="2">
        <v>10</v>
      </c>
      <c r="K375" s="2" t="s">
        <v>400</v>
      </c>
    </row>
    <row r="376" spans="1:11" x14ac:dyDescent="0.25">
      <c r="A376">
        <v>333</v>
      </c>
      <c r="B376" s="2">
        <v>1</v>
      </c>
      <c r="C376" s="2" t="s">
        <v>427</v>
      </c>
      <c r="D376">
        <v>10</v>
      </c>
      <c r="E376" s="2" t="s">
        <v>428</v>
      </c>
      <c r="G376">
        <v>4050</v>
      </c>
      <c r="H376">
        <v>7</v>
      </c>
      <c r="I376" t="s">
        <v>1267</v>
      </c>
      <c r="J376">
        <v>10</v>
      </c>
      <c r="K376" t="s">
        <v>1267</v>
      </c>
    </row>
    <row r="377" spans="1:11" x14ac:dyDescent="0.25">
      <c r="A377" s="2">
        <v>345</v>
      </c>
      <c r="B377" s="2">
        <v>1</v>
      </c>
      <c r="C377" s="2" t="s">
        <v>429</v>
      </c>
      <c r="D377" s="2">
        <v>10</v>
      </c>
      <c r="E377" s="2" t="s">
        <v>430</v>
      </c>
      <c r="G377">
        <v>4050</v>
      </c>
      <c r="H377">
        <v>7</v>
      </c>
      <c r="I377" t="s">
        <v>1267</v>
      </c>
      <c r="J377">
        <v>20</v>
      </c>
      <c r="K377" t="s">
        <v>1268</v>
      </c>
    </row>
    <row r="378" spans="1:11" x14ac:dyDescent="0.25">
      <c r="A378" s="2">
        <v>347</v>
      </c>
      <c r="B378" s="2">
        <v>1</v>
      </c>
      <c r="C378" s="2" t="s">
        <v>431</v>
      </c>
      <c r="D378" s="2">
        <v>108</v>
      </c>
      <c r="E378" s="2" t="s">
        <v>104</v>
      </c>
      <c r="G378" s="2">
        <v>404</v>
      </c>
      <c r="H378" s="2">
        <v>1</v>
      </c>
      <c r="I378" s="2" t="s">
        <v>453</v>
      </c>
      <c r="J378" s="2">
        <v>10</v>
      </c>
      <c r="K378" s="2" t="s">
        <v>454</v>
      </c>
    </row>
    <row r="379" spans="1:11" x14ac:dyDescent="0.25">
      <c r="A379" s="2">
        <v>347</v>
      </c>
      <c r="B379" s="2">
        <v>1</v>
      </c>
      <c r="C379" s="2" t="s">
        <v>431</v>
      </c>
      <c r="D379" s="2">
        <v>109</v>
      </c>
      <c r="E379" s="2" t="s">
        <v>131</v>
      </c>
      <c r="G379">
        <v>813</v>
      </c>
      <c r="H379" s="2">
        <v>1</v>
      </c>
      <c r="I379" s="2" t="s">
        <v>774</v>
      </c>
      <c r="J379">
        <v>10</v>
      </c>
      <c r="K379" s="2" t="s">
        <v>775</v>
      </c>
    </row>
    <row r="380" spans="1:11" x14ac:dyDescent="0.25">
      <c r="A380" s="2">
        <v>356</v>
      </c>
      <c r="B380" s="2">
        <v>1</v>
      </c>
      <c r="C380" s="2" t="s">
        <v>432</v>
      </c>
      <c r="D380" s="2">
        <v>10</v>
      </c>
      <c r="E380" s="2" t="s">
        <v>433</v>
      </c>
      <c r="G380">
        <v>2071</v>
      </c>
      <c r="H380" s="2">
        <v>1</v>
      </c>
      <c r="I380" s="2" t="s">
        <v>869</v>
      </c>
      <c r="J380">
        <v>10</v>
      </c>
      <c r="K380" s="2" t="s">
        <v>870</v>
      </c>
    </row>
    <row r="381" spans="1:11" x14ac:dyDescent="0.25">
      <c r="A381" s="2">
        <v>361</v>
      </c>
      <c r="B381" s="2">
        <v>1</v>
      </c>
      <c r="C381" s="2" t="s">
        <v>434</v>
      </c>
      <c r="D381" s="2">
        <v>7</v>
      </c>
      <c r="E381" s="2" t="s">
        <v>435</v>
      </c>
      <c r="G381" s="2">
        <v>390</v>
      </c>
      <c r="H381" s="2">
        <v>1</v>
      </c>
      <c r="I381" s="2" t="s">
        <v>443</v>
      </c>
      <c r="J381" s="2">
        <v>224</v>
      </c>
      <c r="K381" s="2" t="s">
        <v>444</v>
      </c>
    </row>
    <row r="382" spans="1:11" x14ac:dyDescent="0.25">
      <c r="A382" s="2">
        <v>362</v>
      </c>
      <c r="B382" s="2">
        <v>1</v>
      </c>
      <c r="C382" s="2" t="s">
        <v>436</v>
      </c>
      <c r="D382" s="2">
        <v>20</v>
      </c>
      <c r="E382" s="2" t="s">
        <v>437</v>
      </c>
      <c r="G382">
        <v>2889</v>
      </c>
      <c r="H382" s="2">
        <v>1</v>
      </c>
      <c r="I382" s="2" t="s">
        <v>1003</v>
      </c>
      <c r="J382">
        <v>10</v>
      </c>
      <c r="K382" s="2" t="s">
        <v>1004</v>
      </c>
    </row>
    <row r="383" spans="1:11" x14ac:dyDescent="0.25">
      <c r="A383">
        <v>363</v>
      </c>
      <c r="B383">
        <v>1</v>
      </c>
      <c r="C383" t="s">
        <v>1188</v>
      </c>
      <c r="D383">
        <v>80</v>
      </c>
      <c r="E383" t="s">
        <v>1189</v>
      </c>
      <c r="G383" s="2">
        <v>381</v>
      </c>
      <c r="H383" s="2">
        <v>1</v>
      </c>
      <c r="I383" s="2" t="s">
        <v>440</v>
      </c>
      <c r="J383" s="2">
        <v>40</v>
      </c>
      <c r="K383" s="2" t="s">
        <v>442</v>
      </c>
    </row>
    <row r="384" spans="1:11" x14ac:dyDescent="0.25">
      <c r="A384">
        <v>363</v>
      </c>
      <c r="B384">
        <v>1</v>
      </c>
      <c r="C384" t="s">
        <v>1188</v>
      </c>
      <c r="D384">
        <v>90</v>
      </c>
      <c r="E384" t="s">
        <v>1190</v>
      </c>
      <c r="G384" s="2">
        <v>381</v>
      </c>
      <c r="H384" s="2">
        <v>1</v>
      </c>
      <c r="I384" s="2" t="s">
        <v>440</v>
      </c>
      <c r="J384" s="2">
        <v>30</v>
      </c>
      <c r="K384" s="2" t="s">
        <v>441</v>
      </c>
    </row>
    <row r="385" spans="1:11" x14ac:dyDescent="0.25">
      <c r="A385" s="2">
        <v>378</v>
      </c>
      <c r="B385" s="2">
        <v>1</v>
      </c>
      <c r="C385" s="2" t="s">
        <v>438</v>
      </c>
      <c r="D385" s="2">
        <v>10</v>
      </c>
      <c r="E385" s="2" t="s">
        <v>439</v>
      </c>
      <c r="G385">
        <v>4116</v>
      </c>
      <c r="H385" s="2">
        <v>7</v>
      </c>
      <c r="I385" s="2" t="s">
        <v>1059</v>
      </c>
      <c r="J385">
        <v>10</v>
      </c>
      <c r="K385" s="2" t="s">
        <v>1059</v>
      </c>
    </row>
    <row r="386" spans="1:11" x14ac:dyDescent="0.25">
      <c r="A386" s="2">
        <v>381</v>
      </c>
      <c r="B386" s="2">
        <v>1</v>
      </c>
      <c r="C386" s="2" t="s">
        <v>440</v>
      </c>
      <c r="D386" s="2">
        <v>30</v>
      </c>
      <c r="E386" s="2" t="s">
        <v>441</v>
      </c>
      <c r="G386">
        <v>2167</v>
      </c>
      <c r="H386" s="2">
        <v>1</v>
      </c>
      <c r="I386" s="2" t="s">
        <v>907</v>
      </c>
      <c r="J386">
        <v>10</v>
      </c>
      <c r="K386" s="2" t="s">
        <v>233</v>
      </c>
    </row>
    <row r="387" spans="1:11" x14ac:dyDescent="0.25">
      <c r="A387" s="2">
        <v>381</v>
      </c>
      <c r="B387" s="2">
        <v>1</v>
      </c>
      <c r="C387" s="2" t="s">
        <v>440</v>
      </c>
      <c r="D387" s="2">
        <v>40</v>
      </c>
      <c r="E387" s="2" t="s">
        <v>442</v>
      </c>
      <c r="G387" s="2">
        <v>194</v>
      </c>
      <c r="H387" s="2">
        <v>1</v>
      </c>
      <c r="I387" s="2" t="s">
        <v>227</v>
      </c>
      <c r="J387" s="2">
        <v>596</v>
      </c>
      <c r="K387" s="2" t="s">
        <v>232</v>
      </c>
    </row>
    <row r="388" spans="1:11" x14ac:dyDescent="0.25">
      <c r="A388" s="2">
        <v>390</v>
      </c>
      <c r="B388" s="2">
        <v>1</v>
      </c>
      <c r="C388" s="2" t="s">
        <v>443</v>
      </c>
      <c r="D388" s="2">
        <v>224</v>
      </c>
      <c r="E388" s="2" t="s">
        <v>444</v>
      </c>
      <c r="G388" s="2">
        <v>194</v>
      </c>
      <c r="H388" s="2">
        <v>1</v>
      </c>
      <c r="I388" s="2" t="s">
        <v>227</v>
      </c>
      <c r="J388" s="2">
        <v>594</v>
      </c>
      <c r="K388" s="2" t="s">
        <v>230</v>
      </c>
    </row>
    <row r="389" spans="1:11" x14ac:dyDescent="0.25">
      <c r="A389" s="2">
        <v>391</v>
      </c>
      <c r="B389" s="2">
        <v>1</v>
      </c>
      <c r="C389" s="2" t="s">
        <v>445</v>
      </c>
      <c r="D389" s="2">
        <v>10</v>
      </c>
      <c r="E389" s="2" t="s">
        <v>446</v>
      </c>
      <c r="G389" s="2">
        <v>194</v>
      </c>
      <c r="H389" s="2">
        <v>1</v>
      </c>
      <c r="I389" s="2" t="s">
        <v>227</v>
      </c>
      <c r="J389" s="2">
        <v>598</v>
      </c>
      <c r="K389" s="2" t="s">
        <v>234</v>
      </c>
    </row>
    <row r="390" spans="1:11" x14ac:dyDescent="0.25">
      <c r="A390" s="2">
        <v>392</v>
      </c>
      <c r="B390" s="2">
        <v>1</v>
      </c>
      <c r="C390" s="2" t="s">
        <v>447</v>
      </c>
      <c r="D390" s="2">
        <v>10</v>
      </c>
      <c r="E390" s="2" t="s">
        <v>448</v>
      </c>
      <c r="G390" s="2">
        <v>194</v>
      </c>
      <c r="H390" s="2">
        <v>1</v>
      </c>
      <c r="I390" s="2" t="s">
        <v>227</v>
      </c>
      <c r="J390" s="2">
        <v>592</v>
      </c>
      <c r="K390" s="2" t="s">
        <v>228</v>
      </c>
    </row>
    <row r="391" spans="1:11" x14ac:dyDescent="0.25">
      <c r="A391" s="2">
        <v>394</v>
      </c>
      <c r="B391" s="2">
        <v>1</v>
      </c>
      <c r="C391" s="2" t="s">
        <v>449</v>
      </c>
      <c r="D391" s="2">
        <v>30</v>
      </c>
      <c r="E391" s="2" t="s">
        <v>450</v>
      </c>
      <c r="G391" s="2">
        <v>194</v>
      </c>
      <c r="H391" s="2">
        <v>1</v>
      </c>
      <c r="I391" s="2" t="s">
        <v>227</v>
      </c>
      <c r="J391" s="2">
        <v>591</v>
      </c>
      <c r="K391" s="2" t="s">
        <v>131</v>
      </c>
    </row>
    <row r="392" spans="1:11" x14ac:dyDescent="0.25">
      <c r="A392" s="2">
        <v>394</v>
      </c>
      <c r="B392" s="2">
        <v>1</v>
      </c>
      <c r="C392" s="2" t="s">
        <v>449</v>
      </c>
      <c r="D392" s="2">
        <v>40</v>
      </c>
      <c r="E392" s="2" t="s">
        <v>451</v>
      </c>
      <c r="G392" s="2">
        <v>194</v>
      </c>
      <c r="H392" s="2">
        <v>1</v>
      </c>
      <c r="I392" s="2" t="s">
        <v>227</v>
      </c>
      <c r="J392" s="2">
        <v>595</v>
      </c>
      <c r="K392" s="2" t="s">
        <v>231</v>
      </c>
    </row>
    <row r="393" spans="1:11" x14ac:dyDescent="0.25">
      <c r="A393" s="2">
        <v>402</v>
      </c>
      <c r="B393" s="2">
        <v>1</v>
      </c>
      <c r="C393" s="2" t="s">
        <v>452</v>
      </c>
      <c r="D393" s="2">
        <v>10</v>
      </c>
      <c r="E393" s="2" t="s">
        <v>60</v>
      </c>
      <c r="G393" s="2">
        <v>194</v>
      </c>
      <c r="H393" s="2">
        <v>1</v>
      </c>
      <c r="I393" s="2" t="s">
        <v>227</v>
      </c>
      <c r="J393" s="2">
        <v>597</v>
      </c>
      <c r="K393" s="2" t="s">
        <v>233</v>
      </c>
    </row>
    <row r="394" spans="1:11" x14ac:dyDescent="0.25">
      <c r="A394" s="2">
        <v>404</v>
      </c>
      <c r="B394" s="2">
        <v>1</v>
      </c>
      <c r="C394" s="2" t="s">
        <v>453</v>
      </c>
      <c r="D394" s="2">
        <v>10</v>
      </c>
      <c r="E394" s="2" t="s">
        <v>454</v>
      </c>
      <c r="G394">
        <v>194</v>
      </c>
      <c r="H394" s="2">
        <v>1</v>
      </c>
      <c r="I394" s="2" t="s">
        <v>227</v>
      </c>
      <c r="J394">
        <v>599</v>
      </c>
      <c r="K394" s="2" t="s">
        <v>235</v>
      </c>
    </row>
    <row r="395" spans="1:11" x14ac:dyDescent="0.25">
      <c r="A395" s="2">
        <v>413</v>
      </c>
      <c r="B395" s="2">
        <v>1</v>
      </c>
      <c r="C395" s="2" t="s">
        <v>455</v>
      </c>
      <c r="D395" s="2">
        <v>3</v>
      </c>
      <c r="E395" s="2" t="s">
        <v>456</v>
      </c>
      <c r="G395" s="2">
        <v>194</v>
      </c>
      <c r="H395" s="2">
        <v>1</v>
      </c>
      <c r="I395" s="2" t="s">
        <v>227</v>
      </c>
      <c r="J395" s="2">
        <v>593</v>
      </c>
      <c r="K395" s="2" t="s">
        <v>229</v>
      </c>
    </row>
    <row r="396" spans="1:11" x14ac:dyDescent="0.25">
      <c r="A396" s="2">
        <v>414</v>
      </c>
      <c r="B396" s="2">
        <v>1</v>
      </c>
      <c r="C396" s="2" t="s">
        <v>457</v>
      </c>
      <c r="D396" s="2">
        <v>1</v>
      </c>
      <c r="E396" s="2" t="s">
        <v>458</v>
      </c>
      <c r="G396" s="2">
        <v>356</v>
      </c>
      <c r="H396" s="2">
        <v>1</v>
      </c>
      <c r="I396" s="2" t="s">
        <v>432</v>
      </c>
      <c r="J396" s="2">
        <v>10</v>
      </c>
      <c r="K396" s="2" t="s">
        <v>433</v>
      </c>
    </row>
    <row r="397" spans="1:11" x14ac:dyDescent="0.25">
      <c r="A397">
        <v>415</v>
      </c>
      <c r="B397">
        <v>1</v>
      </c>
      <c r="C397" t="s">
        <v>1191</v>
      </c>
      <c r="D397">
        <v>10</v>
      </c>
      <c r="E397" t="s">
        <v>1192</v>
      </c>
      <c r="G397" s="2">
        <v>229</v>
      </c>
      <c r="H397" s="2">
        <v>1</v>
      </c>
      <c r="I397" s="2" t="s">
        <v>284</v>
      </c>
      <c r="J397" s="2">
        <v>10</v>
      </c>
      <c r="K397" s="2" t="s">
        <v>285</v>
      </c>
    </row>
    <row r="398" spans="1:11" x14ac:dyDescent="0.25">
      <c r="A398" s="2">
        <v>423</v>
      </c>
      <c r="B398" s="2">
        <v>1</v>
      </c>
      <c r="C398" s="2" t="s">
        <v>460</v>
      </c>
      <c r="D398" s="2">
        <v>10</v>
      </c>
      <c r="E398" s="2" t="s">
        <v>461</v>
      </c>
      <c r="G398">
        <v>306</v>
      </c>
      <c r="H398" s="2">
        <v>1</v>
      </c>
      <c r="I398" s="2" t="s">
        <v>401</v>
      </c>
      <c r="J398">
        <v>10</v>
      </c>
      <c r="K398" s="2" t="s">
        <v>402</v>
      </c>
    </row>
    <row r="399" spans="1:11" x14ac:dyDescent="0.25">
      <c r="A399">
        <v>423</v>
      </c>
      <c r="B399">
        <v>1</v>
      </c>
      <c r="C399" t="s">
        <v>1193</v>
      </c>
      <c r="D399">
        <v>35</v>
      </c>
      <c r="E399" t="s">
        <v>1194</v>
      </c>
      <c r="G399">
        <v>4163</v>
      </c>
      <c r="H399" s="2">
        <v>7</v>
      </c>
      <c r="I399" s="2" t="s">
        <v>1078</v>
      </c>
      <c r="J399">
        <v>10</v>
      </c>
      <c r="K399" s="2" t="s">
        <v>1078</v>
      </c>
    </row>
    <row r="400" spans="1:11" x14ac:dyDescent="0.25">
      <c r="A400" s="2">
        <v>424</v>
      </c>
      <c r="B400" s="2">
        <v>1</v>
      </c>
      <c r="C400" s="2" t="s">
        <v>462</v>
      </c>
      <c r="D400" s="2">
        <v>10</v>
      </c>
      <c r="E400" s="2" t="s">
        <v>463</v>
      </c>
      <c r="G400" s="2">
        <v>392</v>
      </c>
      <c r="H400" s="2">
        <v>1</v>
      </c>
      <c r="I400" s="2" t="s">
        <v>447</v>
      </c>
      <c r="J400" s="2">
        <v>10</v>
      </c>
      <c r="K400" s="2" t="s">
        <v>448</v>
      </c>
    </row>
    <row r="401" spans="1:11" x14ac:dyDescent="0.25">
      <c r="A401" s="2">
        <v>432</v>
      </c>
      <c r="B401" s="2">
        <v>1</v>
      </c>
      <c r="C401" s="2" t="s">
        <v>464</v>
      </c>
      <c r="D401" s="2">
        <v>10</v>
      </c>
      <c r="E401" s="2" t="s">
        <v>465</v>
      </c>
      <c r="G401" s="2">
        <v>499</v>
      </c>
      <c r="H401" s="2">
        <v>1</v>
      </c>
      <c r="I401" s="2" t="s">
        <v>506</v>
      </c>
      <c r="J401" s="2">
        <v>15</v>
      </c>
      <c r="K401" s="2" t="s">
        <v>507</v>
      </c>
    </row>
    <row r="402" spans="1:11" x14ac:dyDescent="0.25">
      <c r="A402" s="2">
        <v>435</v>
      </c>
      <c r="B402" s="2">
        <v>1</v>
      </c>
      <c r="C402" s="2" t="s">
        <v>466</v>
      </c>
      <c r="D402" s="2">
        <v>20</v>
      </c>
      <c r="E402" s="2" t="s">
        <v>467</v>
      </c>
      <c r="G402" s="2">
        <v>424</v>
      </c>
      <c r="H402" s="2">
        <v>1</v>
      </c>
      <c r="I402" s="2" t="s">
        <v>462</v>
      </c>
      <c r="J402" s="2">
        <v>10</v>
      </c>
      <c r="K402" s="2" t="s">
        <v>463</v>
      </c>
    </row>
    <row r="403" spans="1:11" x14ac:dyDescent="0.25">
      <c r="A403">
        <v>441</v>
      </c>
      <c r="B403" s="2">
        <v>1</v>
      </c>
      <c r="C403" s="2" t="s">
        <v>468</v>
      </c>
      <c r="D403">
        <v>10</v>
      </c>
      <c r="E403" s="2" t="s">
        <v>469</v>
      </c>
      <c r="G403">
        <v>2397</v>
      </c>
      <c r="H403" s="2">
        <v>1</v>
      </c>
      <c r="I403" s="2" t="s">
        <v>951</v>
      </c>
      <c r="J403">
        <v>10</v>
      </c>
      <c r="K403" s="2" t="s">
        <v>952</v>
      </c>
    </row>
    <row r="404" spans="1:11" x14ac:dyDescent="0.25">
      <c r="A404" s="2">
        <v>441</v>
      </c>
      <c r="B404" s="2">
        <v>1</v>
      </c>
      <c r="C404" s="2" t="s">
        <v>468</v>
      </c>
      <c r="D404" s="2">
        <v>30</v>
      </c>
      <c r="E404" s="2" t="s">
        <v>470</v>
      </c>
      <c r="G404">
        <v>2397</v>
      </c>
      <c r="H404">
        <v>1</v>
      </c>
      <c r="I404" t="s">
        <v>1251</v>
      </c>
      <c r="J404">
        <v>15</v>
      </c>
      <c r="K404" t="s">
        <v>1252</v>
      </c>
    </row>
    <row r="405" spans="1:11" x14ac:dyDescent="0.25">
      <c r="A405">
        <v>447</v>
      </c>
      <c r="B405">
        <v>1</v>
      </c>
      <c r="C405" t="s">
        <v>1195</v>
      </c>
      <c r="D405">
        <v>1</v>
      </c>
      <c r="E405" t="s">
        <v>1196</v>
      </c>
      <c r="G405">
        <v>857</v>
      </c>
      <c r="H405" s="2">
        <v>1</v>
      </c>
      <c r="I405" s="2" t="s">
        <v>832</v>
      </c>
      <c r="J405">
        <v>10</v>
      </c>
      <c r="K405" s="2" t="s">
        <v>833</v>
      </c>
    </row>
    <row r="406" spans="1:11" x14ac:dyDescent="0.25">
      <c r="A406" s="2">
        <v>458</v>
      </c>
      <c r="B406" s="2">
        <v>1</v>
      </c>
      <c r="C406" s="2" t="s">
        <v>471</v>
      </c>
      <c r="D406" s="2">
        <v>10</v>
      </c>
      <c r="E406" s="2" t="s">
        <v>472</v>
      </c>
      <c r="G406" s="2">
        <v>465</v>
      </c>
      <c r="H406" s="2">
        <v>1</v>
      </c>
      <c r="I406" s="2" t="s">
        <v>475</v>
      </c>
      <c r="J406" s="2">
        <v>10</v>
      </c>
      <c r="K406" s="2" t="s">
        <v>476</v>
      </c>
    </row>
    <row r="407" spans="1:11" x14ac:dyDescent="0.25">
      <c r="A407" s="2">
        <v>463</v>
      </c>
      <c r="B407" s="2">
        <v>1</v>
      </c>
      <c r="C407" s="2" t="s">
        <v>473</v>
      </c>
      <c r="D407" s="2">
        <v>10</v>
      </c>
      <c r="E407" s="2" t="s">
        <v>474</v>
      </c>
      <c r="G407" s="7">
        <v>465</v>
      </c>
      <c r="H407" s="7">
        <v>1</v>
      </c>
      <c r="I407" s="7" t="s">
        <v>475</v>
      </c>
      <c r="J407" s="7">
        <v>20</v>
      </c>
      <c r="K407" s="7" t="s">
        <v>477</v>
      </c>
    </row>
    <row r="408" spans="1:11" x14ac:dyDescent="0.25">
      <c r="A408" s="2">
        <v>465</v>
      </c>
      <c r="B408" s="2">
        <v>1</v>
      </c>
      <c r="C408" s="2" t="s">
        <v>475</v>
      </c>
      <c r="D408" s="2">
        <v>10</v>
      </c>
      <c r="E408" s="2" t="s">
        <v>476</v>
      </c>
      <c r="G408" s="2">
        <v>482</v>
      </c>
      <c r="H408" s="2">
        <v>1</v>
      </c>
      <c r="I408" s="2" t="s">
        <v>486</v>
      </c>
      <c r="J408" s="2">
        <v>130</v>
      </c>
      <c r="K408" s="2" t="s">
        <v>488</v>
      </c>
    </row>
    <row r="409" spans="1:11" x14ac:dyDescent="0.25">
      <c r="A409" s="7">
        <v>465</v>
      </c>
      <c r="B409" s="7">
        <v>1</v>
      </c>
      <c r="C409" s="7" t="s">
        <v>475</v>
      </c>
      <c r="D409" s="7">
        <v>20</v>
      </c>
      <c r="E409" s="7" t="s">
        <v>477</v>
      </c>
      <c r="G409" s="2">
        <v>482</v>
      </c>
      <c r="H409" s="2">
        <v>1</v>
      </c>
      <c r="I409" s="2" t="s">
        <v>486</v>
      </c>
      <c r="J409" s="2">
        <v>110</v>
      </c>
      <c r="K409" s="2" t="s">
        <v>60</v>
      </c>
    </row>
    <row r="410" spans="1:11" x14ac:dyDescent="0.25">
      <c r="A410" s="2">
        <v>466</v>
      </c>
      <c r="B410" s="2">
        <v>1</v>
      </c>
      <c r="C410" s="2" t="s">
        <v>478</v>
      </c>
      <c r="D410" s="2">
        <v>1</v>
      </c>
      <c r="E410" s="2" t="s">
        <v>479</v>
      </c>
      <c r="G410" s="2">
        <v>482</v>
      </c>
      <c r="H410" s="2">
        <v>1</v>
      </c>
      <c r="I410" s="2" t="s">
        <v>486</v>
      </c>
      <c r="J410" s="2">
        <v>120</v>
      </c>
      <c r="K410" s="2" t="s">
        <v>487</v>
      </c>
    </row>
    <row r="411" spans="1:11" x14ac:dyDescent="0.25">
      <c r="A411" s="2">
        <v>466</v>
      </c>
      <c r="B411" s="2">
        <v>1</v>
      </c>
      <c r="C411" s="2" t="s">
        <v>478</v>
      </c>
      <c r="D411" s="2">
        <v>3</v>
      </c>
      <c r="E411" s="2" t="s">
        <v>480</v>
      </c>
      <c r="G411" s="2">
        <v>362</v>
      </c>
      <c r="H411" s="2">
        <v>1</v>
      </c>
      <c r="I411" s="2" t="s">
        <v>436</v>
      </c>
      <c r="J411" s="2">
        <v>20</v>
      </c>
      <c r="K411" s="2" t="s">
        <v>437</v>
      </c>
    </row>
    <row r="412" spans="1:11" x14ac:dyDescent="0.25">
      <c r="A412" s="2">
        <v>473</v>
      </c>
      <c r="B412" s="2">
        <v>1</v>
      </c>
      <c r="C412" s="2" t="s">
        <v>481</v>
      </c>
      <c r="D412" s="2">
        <v>10</v>
      </c>
      <c r="E412" s="2" t="s">
        <v>482</v>
      </c>
      <c r="G412">
        <v>2753</v>
      </c>
      <c r="H412" s="2">
        <v>1</v>
      </c>
      <c r="I412" s="2" t="s">
        <v>975</v>
      </c>
      <c r="J412">
        <v>10</v>
      </c>
      <c r="K412" s="2" t="s">
        <v>976</v>
      </c>
    </row>
    <row r="413" spans="1:11" x14ac:dyDescent="0.25">
      <c r="A413" s="2">
        <v>477</v>
      </c>
      <c r="B413" s="2">
        <v>1</v>
      </c>
      <c r="C413" s="2" t="s">
        <v>483</v>
      </c>
      <c r="D413" s="2">
        <v>10</v>
      </c>
      <c r="E413" s="2" t="s">
        <v>413</v>
      </c>
      <c r="G413">
        <v>4139</v>
      </c>
      <c r="H413" s="2">
        <v>7</v>
      </c>
      <c r="I413" s="2" t="s">
        <v>1067</v>
      </c>
      <c r="J413">
        <v>10</v>
      </c>
      <c r="K413" s="2" t="s">
        <v>1067</v>
      </c>
    </row>
    <row r="414" spans="1:11" x14ac:dyDescent="0.25">
      <c r="A414" s="2">
        <v>480</v>
      </c>
      <c r="B414" s="2">
        <v>1</v>
      </c>
      <c r="C414" s="2" t="s">
        <v>484</v>
      </c>
      <c r="D414" s="2">
        <v>10</v>
      </c>
      <c r="E414" s="2" t="s">
        <v>485</v>
      </c>
      <c r="G414">
        <v>2184</v>
      </c>
      <c r="H414" s="2">
        <v>1</v>
      </c>
      <c r="I414" s="2" t="s">
        <v>926</v>
      </c>
      <c r="J414">
        <v>2</v>
      </c>
      <c r="K414" s="2" t="s">
        <v>927</v>
      </c>
    </row>
    <row r="415" spans="1:11" x14ac:dyDescent="0.25">
      <c r="A415" s="2">
        <v>482</v>
      </c>
      <c r="B415" s="2">
        <v>1</v>
      </c>
      <c r="C415" s="2" t="s">
        <v>486</v>
      </c>
      <c r="D415" s="2">
        <v>110</v>
      </c>
      <c r="E415" s="2" t="s">
        <v>60</v>
      </c>
      <c r="G415" s="2">
        <v>497</v>
      </c>
      <c r="H415" s="2">
        <v>1</v>
      </c>
      <c r="I415" s="2" t="s">
        <v>504</v>
      </c>
      <c r="J415" s="2">
        <v>10</v>
      </c>
      <c r="K415" s="2" t="s">
        <v>505</v>
      </c>
    </row>
    <row r="416" spans="1:11" x14ac:dyDescent="0.25">
      <c r="A416" s="2">
        <v>482</v>
      </c>
      <c r="B416" s="2">
        <v>1</v>
      </c>
      <c r="C416" s="2" t="s">
        <v>486</v>
      </c>
      <c r="D416" s="2">
        <v>120</v>
      </c>
      <c r="E416" s="2" t="s">
        <v>487</v>
      </c>
      <c r="G416">
        <v>415</v>
      </c>
      <c r="H416">
        <v>1</v>
      </c>
      <c r="I416" t="s">
        <v>1191</v>
      </c>
      <c r="J416">
        <v>10</v>
      </c>
      <c r="K416" t="s">
        <v>1192</v>
      </c>
    </row>
    <row r="417" spans="1:11" x14ac:dyDescent="0.25">
      <c r="A417" s="2">
        <v>482</v>
      </c>
      <c r="B417" s="2">
        <v>1</v>
      </c>
      <c r="C417" s="2" t="s">
        <v>486</v>
      </c>
      <c r="D417" s="2">
        <v>130</v>
      </c>
      <c r="E417" s="2" t="s">
        <v>488</v>
      </c>
      <c r="G417">
        <v>2180</v>
      </c>
      <c r="H417" s="2">
        <v>1</v>
      </c>
      <c r="I417" s="2" t="s">
        <v>923</v>
      </c>
      <c r="J417">
        <v>10</v>
      </c>
      <c r="K417" s="2" t="s">
        <v>925</v>
      </c>
    </row>
    <row r="418" spans="1:11" x14ac:dyDescent="0.25">
      <c r="A418" s="2">
        <v>484</v>
      </c>
      <c r="B418" s="2">
        <v>1</v>
      </c>
      <c r="C418" s="2" t="s">
        <v>489</v>
      </c>
      <c r="D418" s="2">
        <v>20</v>
      </c>
      <c r="E418" s="2" t="s">
        <v>490</v>
      </c>
      <c r="G418">
        <v>2180</v>
      </c>
      <c r="H418" s="2">
        <v>1</v>
      </c>
      <c r="I418" s="2" t="s">
        <v>923</v>
      </c>
      <c r="J418">
        <v>2</v>
      </c>
      <c r="K418" s="2" t="s">
        <v>924</v>
      </c>
    </row>
    <row r="419" spans="1:11" x14ac:dyDescent="0.25">
      <c r="A419" s="2">
        <v>485</v>
      </c>
      <c r="B419" s="2">
        <v>1</v>
      </c>
      <c r="C419" s="2" t="s">
        <v>491</v>
      </c>
      <c r="D419" s="2">
        <v>10</v>
      </c>
      <c r="E419" s="2" t="s">
        <v>492</v>
      </c>
      <c r="G419" s="2">
        <v>238</v>
      </c>
      <c r="H419" s="2">
        <v>1</v>
      </c>
      <c r="I419" s="2" t="s">
        <v>286</v>
      </c>
      <c r="J419" s="2">
        <v>1</v>
      </c>
      <c r="K419" s="2" t="s">
        <v>287</v>
      </c>
    </row>
    <row r="420" spans="1:11" x14ac:dyDescent="0.25">
      <c r="A420" s="2">
        <v>486</v>
      </c>
      <c r="B420" s="2">
        <v>1</v>
      </c>
      <c r="C420" s="2" t="s">
        <v>493</v>
      </c>
      <c r="D420" s="2">
        <v>10</v>
      </c>
      <c r="E420" s="2" t="s">
        <v>494</v>
      </c>
      <c r="G420">
        <v>837</v>
      </c>
      <c r="H420" s="2">
        <v>1</v>
      </c>
      <c r="I420" s="2" t="s">
        <v>822</v>
      </c>
      <c r="J420">
        <v>10</v>
      </c>
      <c r="K420" s="2" t="s">
        <v>823</v>
      </c>
    </row>
    <row r="421" spans="1:11" x14ac:dyDescent="0.25">
      <c r="A421" s="2">
        <v>487</v>
      </c>
      <c r="B421" s="2">
        <v>1</v>
      </c>
      <c r="C421" s="2" t="s">
        <v>495</v>
      </c>
      <c r="D421" s="2">
        <v>10</v>
      </c>
      <c r="E421" s="2" t="s">
        <v>496</v>
      </c>
      <c r="G421" s="2">
        <v>432</v>
      </c>
      <c r="H421" s="2">
        <v>1</v>
      </c>
      <c r="I421" s="2" t="s">
        <v>464</v>
      </c>
      <c r="J421" s="2">
        <v>10</v>
      </c>
      <c r="K421" s="2" t="s">
        <v>465</v>
      </c>
    </row>
    <row r="422" spans="1:11" x14ac:dyDescent="0.25">
      <c r="A422" s="2">
        <v>492</v>
      </c>
      <c r="B422" s="2">
        <v>1</v>
      </c>
      <c r="C422" s="2" t="s">
        <v>497</v>
      </c>
      <c r="D422" s="2">
        <v>10</v>
      </c>
      <c r="E422" s="2" t="s">
        <v>498</v>
      </c>
      <c r="G422">
        <v>832</v>
      </c>
      <c r="H422" s="2">
        <v>1</v>
      </c>
      <c r="I422" s="2" t="s">
        <v>793</v>
      </c>
      <c r="J422">
        <v>10</v>
      </c>
      <c r="K422" s="2" t="s">
        <v>794</v>
      </c>
    </row>
    <row r="423" spans="1:11" x14ac:dyDescent="0.25">
      <c r="A423" s="2">
        <v>492</v>
      </c>
      <c r="B423" s="2">
        <v>1</v>
      </c>
      <c r="C423" s="2" t="s">
        <v>497</v>
      </c>
      <c r="D423" s="2">
        <v>40</v>
      </c>
      <c r="E423" s="2" t="s">
        <v>499</v>
      </c>
      <c r="G423" s="2">
        <v>77</v>
      </c>
      <c r="H423" s="2">
        <v>1</v>
      </c>
      <c r="I423" s="2" t="s">
        <v>130</v>
      </c>
      <c r="J423" s="2">
        <v>60</v>
      </c>
      <c r="K423" s="2" t="s">
        <v>132</v>
      </c>
    </row>
    <row r="424" spans="1:11" x14ac:dyDescent="0.25">
      <c r="A424" s="2">
        <v>492</v>
      </c>
      <c r="B424" s="2">
        <v>1</v>
      </c>
      <c r="C424" s="2" t="s">
        <v>497</v>
      </c>
      <c r="D424" s="2">
        <v>70</v>
      </c>
      <c r="E424" s="2" t="s">
        <v>500</v>
      </c>
      <c r="G424" s="2">
        <v>77</v>
      </c>
      <c r="H424" s="2">
        <v>1</v>
      </c>
      <c r="I424" s="2" t="s">
        <v>130</v>
      </c>
      <c r="J424" s="2">
        <v>70</v>
      </c>
      <c r="K424" s="2" t="s">
        <v>132</v>
      </c>
    </row>
    <row r="425" spans="1:11" x14ac:dyDescent="0.25">
      <c r="A425" s="2">
        <v>492</v>
      </c>
      <c r="B425" s="2">
        <v>1</v>
      </c>
      <c r="C425" s="2" t="s">
        <v>497</v>
      </c>
      <c r="D425" s="2">
        <v>80</v>
      </c>
      <c r="E425" s="2" t="s">
        <v>501</v>
      </c>
      <c r="G425" s="2">
        <v>77</v>
      </c>
      <c r="H425" s="2">
        <v>1</v>
      </c>
      <c r="I425" s="2" t="s">
        <v>130</v>
      </c>
      <c r="J425" s="2">
        <v>150</v>
      </c>
      <c r="K425" s="2" t="s">
        <v>133</v>
      </c>
    </row>
    <row r="426" spans="1:11" x14ac:dyDescent="0.25">
      <c r="A426">
        <v>492</v>
      </c>
      <c r="B426">
        <v>1</v>
      </c>
      <c r="C426" t="s">
        <v>1197</v>
      </c>
      <c r="D426">
        <v>450</v>
      </c>
      <c r="E426" t="s">
        <v>1198</v>
      </c>
      <c r="G426" s="2">
        <v>77</v>
      </c>
      <c r="H426" s="2">
        <v>1</v>
      </c>
      <c r="I426" s="2" t="s">
        <v>130</v>
      </c>
      <c r="J426" s="2">
        <v>90</v>
      </c>
      <c r="K426" s="2" t="s">
        <v>56</v>
      </c>
    </row>
    <row r="427" spans="1:11" x14ac:dyDescent="0.25">
      <c r="A427" s="2">
        <v>495</v>
      </c>
      <c r="B427" s="2">
        <v>1</v>
      </c>
      <c r="C427" s="2" t="s">
        <v>502</v>
      </c>
      <c r="D427" s="2">
        <v>10</v>
      </c>
      <c r="E427" s="2" t="s">
        <v>503</v>
      </c>
      <c r="G427" s="2">
        <v>77</v>
      </c>
      <c r="H427" s="2">
        <v>1</v>
      </c>
      <c r="I427" s="2" t="s">
        <v>130</v>
      </c>
      <c r="J427" s="2">
        <v>20</v>
      </c>
      <c r="K427" s="2" t="s">
        <v>58</v>
      </c>
    </row>
    <row r="428" spans="1:11" x14ac:dyDescent="0.25">
      <c r="A428" s="2">
        <v>497</v>
      </c>
      <c r="B428" s="2">
        <v>1</v>
      </c>
      <c r="C428" s="2" t="s">
        <v>504</v>
      </c>
      <c r="D428" s="2">
        <v>10</v>
      </c>
      <c r="E428" s="2" t="s">
        <v>505</v>
      </c>
      <c r="G428" s="2">
        <v>77</v>
      </c>
      <c r="H428" s="2">
        <v>1</v>
      </c>
      <c r="I428" s="2" t="s">
        <v>130</v>
      </c>
      <c r="J428" s="2">
        <v>30</v>
      </c>
      <c r="K428" s="2" t="s">
        <v>28</v>
      </c>
    </row>
    <row r="429" spans="1:11" x14ac:dyDescent="0.25">
      <c r="A429" s="2">
        <v>499</v>
      </c>
      <c r="B429" s="2">
        <v>1</v>
      </c>
      <c r="C429" s="2" t="s">
        <v>506</v>
      </c>
      <c r="D429" s="2">
        <v>15</v>
      </c>
      <c r="E429" s="2" t="s">
        <v>507</v>
      </c>
      <c r="G429" s="2">
        <v>77</v>
      </c>
      <c r="H429" s="2">
        <v>1</v>
      </c>
      <c r="I429" s="2" t="s">
        <v>130</v>
      </c>
      <c r="J429" s="2">
        <v>10</v>
      </c>
      <c r="K429" s="2" t="s">
        <v>131</v>
      </c>
    </row>
    <row r="430" spans="1:11" x14ac:dyDescent="0.25">
      <c r="A430" s="2">
        <v>500</v>
      </c>
      <c r="B430" s="2">
        <v>1</v>
      </c>
      <c r="C430" s="2" t="s">
        <v>508</v>
      </c>
      <c r="D430" s="2">
        <v>30</v>
      </c>
      <c r="E430" s="2" t="s">
        <v>509</v>
      </c>
      <c r="G430" s="2">
        <v>77</v>
      </c>
      <c r="H430" s="2">
        <v>1</v>
      </c>
      <c r="I430" s="2" t="s">
        <v>130</v>
      </c>
      <c r="J430" s="2">
        <v>40</v>
      </c>
      <c r="K430" s="2" t="s">
        <v>65</v>
      </c>
    </row>
    <row r="431" spans="1:11" x14ac:dyDescent="0.25">
      <c r="A431" s="2">
        <v>505</v>
      </c>
      <c r="B431" s="2">
        <v>1</v>
      </c>
      <c r="C431" s="2" t="s">
        <v>510</v>
      </c>
      <c r="D431" s="2">
        <v>10</v>
      </c>
      <c r="E431" s="2" t="s">
        <v>511</v>
      </c>
      <c r="G431" s="2">
        <v>77</v>
      </c>
      <c r="H431" s="2">
        <v>1</v>
      </c>
      <c r="I431" s="2" t="s">
        <v>130</v>
      </c>
      <c r="J431" s="2">
        <v>50</v>
      </c>
      <c r="K431" s="2" t="s">
        <v>104</v>
      </c>
    </row>
    <row r="432" spans="1:11" x14ac:dyDescent="0.25">
      <c r="A432" s="2">
        <v>507</v>
      </c>
      <c r="B432" s="2">
        <v>1</v>
      </c>
      <c r="C432" s="2" t="s">
        <v>512</v>
      </c>
      <c r="D432" s="2">
        <v>10</v>
      </c>
      <c r="E432" s="2" t="s">
        <v>513</v>
      </c>
      <c r="G432" s="2">
        <v>77</v>
      </c>
      <c r="H432" s="2">
        <v>1</v>
      </c>
      <c r="I432" s="2" t="s">
        <v>130</v>
      </c>
      <c r="J432" s="2">
        <v>80</v>
      </c>
      <c r="K432" s="2" t="s">
        <v>71</v>
      </c>
    </row>
    <row r="433" spans="1:11" x14ac:dyDescent="0.25">
      <c r="A433">
        <v>508</v>
      </c>
      <c r="B433" s="2">
        <v>1</v>
      </c>
      <c r="C433" s="2" t="s">
        <v>514</v>
      </c>
      <c r="D433">
        <v>30</v>
      </c>
      <c r="E433" s="2" t="s">
        <v>515</v>
      </c>
      <c r="G433">
        <v>77</v>
      </c>
      <c r="H433">
        <v>1</v>
      </c>
      <c r="I433" t="s">
        <v>1166</v>
      </c>
      <c r="J433">
        <v>370</v>
      </c>
      <c r="K433" t="s">
        <v>1167</v>
      </c>
    </row>
    <row r="434" spans="1:11" x14ac:dyDescent="0.25">
      <c r="A434">
        <v>511</v>
      </c>
      <c r="B434" s="2">
        <v>1</v>
      </c>
      <c r="C434" s="2" t="s">
        <v>516</v>
      </c>
      <c r="D434">
        <v>10</v>
      </c>
      <c r="E434" s="2" t="s">
        <v>517</v>
      </c>
      <c r="G434">
        <v>881</v>
      </c>
      <c r="H434" s="2">
        <v>1</v>
      </c>
      <c r="I434" s="2" t="s">
        <v>849</v>
      </c>
      <c r="J434">
        <v>10</v>
      </c>
      <c r="K434" s="2" t="s">
        <v>850</v>
      </c>
    </row>
    <row r="435" spans="1:11" x14ac:dyDescent="0.25">
      <c r="A435">
        <v>513</v>
      </c>
      <c r="B435" s="2">
        <v>1</v>
      </c>
      <c r="C435" s="2" t="s">
        <v>518</v>
      </c>
      <c r="D435">
        <v>10</v>
      </c>
      <c r="E435" s="2" t="s">
        <v>519</v>
      </c>
      <c r="G435">
        <v>2135</v>
      </c>
      <c r="H435" s="2">
        <v>1</v>
      </c>
      <c r="I435" s="2" t="s">
        <v>875</v>
      </c>
      <c r="J435">
        <v>25</v>
      </c>
      <c r="K435" s="2" t="s">
        <v>876</v>
      </c>
    </row>
    <row r="436" spans="1:11" x14ac:dyDescent="0.25">
      <c r="A436">
        <v>514</v>
      </c>
      <c r="B436">
        <v>1</v>
      </c>
      <c r="C436" t="s">
        <v>1199</v>
      </c>
      <c r="D436">
        <v>10</v>
      </c>
      <c r="E436" t="s">
        <v>1200</v>
      </c>
      <c r="G436">
        <v>2135</v>
      </c>
      <c r="H436" s="2">
        <v>1</v>
      </c>
      <c r="I436" s="2" t="s">
        <v>875</v>
      </c>
      <c r="J436">
        <v>35</v>
      </c>
      <c r="K436" s="2" t="s">
        <v>877</v>
      </c>
    </row>
    <row r="437" spans="1:11" x14ac:dyDescent="0.25">
      <c r="A437">
        <v>518</v>
      </c>
      <c r="B437" s="2">
        <v>1</v>
      </c>
      <c r="C437" s="2" t="s">
        <v>520</v>
      </c>
      <c r="D437">
        <v>1</v>
      </c>
      <c r="E437" s="2" t="s">
        <v>521</v>
      </c>
      <c r="G437">
        <v>441</v>
      </c>
      <c r="H437" s="2">
        <v>1</v>
      </c>
      <c r="I437" s="2" t="s">
        <v>468</v>
      </c>
      <c r="J437">
        <v>10</v>
      </c>
      <c r="K437" s="2" t="s">
        <v>469</v>
      </c>
    </row>
    <row r="438" spans="1:11" x14ac:dyDescent="0.25">
      <c r="A438">
        <v>531</v>
      </c>
      <c r="B438" s="2">
        <v>1</v>
      </c>
      <c r="C438" s="2" t="s">
        <v>522</v>
      </c>
      <c r="D438">
        <v>10</v>
      </c>
      <c r="E438" s="2" t="s">
        <v>523</v>
      </c>
      <c r="G438" s="2">
        <v>441</v>
      </c>
      <c r="H438" s="2">
        <v>1</v>
      </c>
      <c r="I438" s="2" t="s">
        <v>468</v>
      </c>
      <c r="J438" s="2">
        <v>30</v>
      </c>
      <c r="K438" s="2" t="s">
        <v>470</v>
      </c>
    </row>
    <row r="439" spans="1:11" x14ac:dyDescent="0.25">
      <c r="A439">
        <v>533</v>
      </c>
      <c r="B439" s="2">
        <v>1</v>
      </c>
      <c r="C439" s="2" t="s">
        <v>524</v>
      </c>
      <c r="D439">
        <v>20</v>
      </c>
      <c r="E439" s="2" t="s">
        <v>525</v>
      </c>
      <c r="G439" s="2">
        <v>413</v>
      </c>
      <c r="H439" s="2">
        <v>1</v>
      </c>
      <c r="I439" s="2" t="s">
        <v>455</v>
      </c>
      <c r="J439" s="2">
        <v>3</v>
      </c>
      <c r="K439" s="2" t="s">
        <v>456</v>
      </c>
    </row>
    <row r="440" spans="1:11" x14ac:dyDescent="0.25">
      <c r="A440" s="7">
        <v>534</v>
      </c>
      <c r="B440" s="7">
        <v>1</v>
      </c>
      <c r="C440" s="7" t="s">
        <v>526</v>
      </c>
      <c r="D440" s="7">
        <v>10</v>
      </c>
      <c r="E440" s="7" t="s">
        <v>110</v>
      </c>
      <c r="G440">
        <v>2448</v>
      </c>
      <c r="H440" s="2">
        <v>1</v>
      </c>
      <c r="I440" s="2" t="s">
        <v>953</v>
      </c>
      <c r="J440">
        <v>10</v>
      </c>
      <c r="K440" s="2" t="s">
        <v>954</v>
      </c>
    </row>
    <row r="441" spans="1:11" x14ac:dyDescent="0.25">
      <c r="A441">
        <v>534</v>
      </c>
      <c r="B441" s="2">
        <v>1</v>
      </c>
      <c r="C441" s="2" t="s">
        <v>526</v>
      </c>
      <c r="D441">
        <v>11</v>
      </c>
      <c r="E441" s="2" t="s">
        <v>527</v>
      </c>
      <c r="G441" s="2">
        <v>4</v>
      </c>
      <c r="H441" s="2">
        <v>1</v>
      </c>
      <c r="I441" s="2" t="s">
        <v>47</v>
      </c>
      <c r="J441" s="2">
        <v>10</v>
      </c>
      <c r="K441" s="2" t="s">
        <v>48</v>
      </c>
    </row>
    <row r="442" spans="1:11" x14ac:dyDescent="0.25">
      <c r="A442">
        <v>535</v>
      </c>
      <c r="B442" s="2">
        <v>1</v>
      </c>
      <c r="C442" s="2" t="s">
        <v>528</v>
      </c>
      <c r="D442">
        <v>110</v>
      </c>
      <c r="E442" s="2" t="s">
        <v>529</v>
      </c>
      <c r="G442">
        <v>763</v>
      </c>
      <c r="H442" s="2">
        <v>1</v>
      </c>
      <c r="I442" s="2" t="s">
        <v>757</v>
      </c>
      <c r="J442">
        <v>10</v>
      </c>
      <c r="K442" s="2" t="s">
        <v>758</v>
      </c>
    </row>
    <row r="443" spans="1:11" x14ac:dyDescent="0.25">
      <c r="A443">
        <v>535</v>
      </c>
      <c r="B443" s="2">
        <v>1</v>
      </c>
      <c r="C443" s="2" t="s">
        <v>528</v>
      </c>
      <c r="D443">
        <v>112</v>
      </c>
      <c r="E443" s="2" t="s">
        <v>530</v>
      </c>
      <c r="G443">
        <v>740</v>
      </c>
      <c r="H443" s="2">
        <v>1</v>
      </c>
      <c r="I443" s="2" t="s">
        <v>734</v>
      </c>
      <c r="J443">
        <v>10</v>
      </c>
      <c r="K443" s="2" t="s">
        <v>735</v>
      </c>
    </row>
    <row r="444" spans="1:11" x14ac:dyDescent="0.25">
      <c r="A444">
        <v>535</v>
      </c>
      <c r="B444" s="2">
        <v>1</v>
      </c>
      <c r="C444" s="2" t="s">
        <v>528</v>
      </c>
      <c r="D444">
        <v>120</v>
      </c>
      <c r="E444" s="2" t="s">
        <v>531</v>
      </c>
      <c r="G444">
        <v>821</v>
      </c>
      <c r="H444" s="2">
        <v>1</v>
      </c>
      <c r="I444" s="2" t="s">
        <v>780</v>
      </c>
      <c r="J444">
        <v>10</v>
      </c>
      <c r="K444" s="2" t="s">
        <v>781</v>
      </c>
    </row>
    <row r="445" spans="1:11" x14ac:dyDescent="0.25">
      <c r="A445">
        <v>535</v>
      </c>
      <c r="B445" s="2">
        <v>1</v>
      </c>
      <c r="C445" s="2" t="s">
        <v>528</v>
      </c>
      <c r="D445">
        <v>122</v>
      </c>
      <c r="E445" s="2" t="s">
        <v>532</v>
      </c>
      <c r="G445">
        <v>2711</v>
      </c>
      <c r="H445" s="2">
        <v>1</v>
      </c>
      <c r="I445" s="2" t="s">
        <v>971</v>
      </c>
      <c r="J445">
        <v>10</v>
      </c>
      <c r="K445" s="2" t="s">
        <v>972</v>
      </c>
    </row>
    <row r="446" spans="1:11" x14ac:dyDescent="0.25">
      <c r="A446">
        <v>535</v>
      </c>
      <c r="B446" s="2">
        <v>1</v>
      </c>
      <c r="C446" s="2" t="s">
        <v>528</v>
      </c>
      <c r="D446">
        <v>124</v>
      </c>
      <c r="E446" s="2" t="s">
        <v>56</v>
      </c>
      <c r="G446">
        <v>4005</v>
      </c>
      <c r="H446">
        <v>7</v>
      </c>
      <c r="I446" t="s">
        <v>1261</v>
      </c>
      <c r="J446">
        <v>10</v>
      </c>
      <c r="K446" t="s">
        <v>1261</v>
      </c>
    </row>
    <row r="447" spans="1:11" x14ac:dyDescent="0.25">
      <c r="A447">
        <v>535</v>
      </c>
      <c r="B447" s="2">
        <v>1</v>
      </c>
      <c r="C447" s="2" t="s">
        <v>528</v>
      </c>
      <c r="D447">
        <v>125</v>
      </c>
      <c r="E447" s="2" t="s">
        <v>533</v>
      </c>
      <c r="G447">
        <v>4187</v>
      </c>
      <c r="H447">
        <v>7</v>
      </c>
      <c r="I447" t="s">
        <v>1285</v>
      </c>
      <c r="J447">
        <v>10</v>
      </c>
      <c r="K447" t="s">
        <v>1285</v>
      </c>
    </row>
    <row r="448" spans="1:11" x14ac:dyDescent="0.25">
      <c r="A448">
        <v>535</v>
      </c>
      <c r="B448" s="2">
        <v>1</v>
      </c>
      <c r="C448" s="2" t="s">
        <v>528</v>
      </c>
      <c r="D448">
        <v>126</v>
      </c>
      <c r="E448" s="2" t="s">
        <v>534</v>
      </c>
      <c r="G448">
        <v>912</v>
      </c>
      <c r="H448" s="2">
        <v>1</v>
      </c>
      <c r="I448" s="2" t="s">
        <v>865</v>
      </c>
      <c r="J448">
        <v>10</v>
      </c>
      <c r="K448" s="2" t="s">
        <v>866</v>
      </c>
    </row>
    <row r="449" spans="1:11" x14ac:dyDescent="0.25">
      <c r="A449">
        <v>535</v>
      </c>
      <c r="B449" s="2">
        <v>1</v>
      </c>
      <c r="C449" s="2" t="s">
        <v>528</v>
      </c>
      <c r="D449">
        <v>129</v>
      </c>
      <c r="E449" s="2" t="s">
        <v>535</v>
      </c>
      <c r="G449">
        <v>4138</v>
      </c>
      <c r="H449">
        <v>7</v>
      </c>
      <c r="I449" t="s">
        <v>1277</v>
      </c>
      <c r="J449">
        <v>10</v>
      </c>
      <c r="K449" t="s">
        <v>1277</v>
      </c>
    </row>
    <row r="450" spans="1:11" x14ac:dyDescent="0.25">
      <c r="A450">
        <v>535</v>
      </c>
      <c r="B450" s="2">
        <v>1</v>
      </c>
      <c r="C450" s="2" t="s">
        <v>528</v>
      </c>
      <c r="D450">
        <v>134</v>
      </c>
      <c r="E450" s="2" t="s">
        <v>58</v>
      </c>
      <c r="G450">
        <v>4177</v>
      </c>
      <c r="H450">
        <v>7</v>
      </c>
      <c r="I450" t="s">
        <v>1284</v>
      </c>
      <c r="J450">
        <v>10</v>
      </c>
      <c r="K450" t="s">
        <v>1284</v>
      </c>
    </row>
    <row r="451" spans="1:11" x14ac:dyDescent="0.25">
      <c r="A451">
        <v>535</v>
      </c>
      <c r="B451" s="2">
        <v>1</v>
      </c>
      <c r="C451" s="2" t="s">
        <v>528</v>
      </c>
      <c r="D451">
        <v>136</v>
      </c>
      <c r="E451" s="2" t="s">
        <v>28</v>
      </c>
      <c r="G451" s="4">
        <v>1.2</v>
      </c>
      <c r="H451" s="2">
        <v>3</v>
      </c>
      <c r="I451" s="2" t="s">
        <v>2</v>
      </c>
      <c r="J451" s="2">
        <v>190</v>
      </c>
      <c r="K451" s="2" t="s">
        <v>30</v>
      </c>
    </row>
    <row r="452" spans="1:11" x14ac:dyDescent="0.25">
      <c r="A452">
        <v>535</v>
      </c>
      <c r="B452" s="2">
        <v>1</v>
      </c>
      <c r="C452" s="2" t="s">
        <v>528</v>
      </c>
      <c r="D452">
        <v>138</v>
      </c>
      <c r="E452" s="2" t="s">
        <v>536</v>
      </c>
      <c r="G452" s="4">
        <v>1.2</v>
      </c>
      <c r="H452" s="2">
        <v>3</v>
      </c>
      <c r="I452" s="2" t="s">
        <v>2</v>
      </c>
      <c r="J452" s="2">
        <v>225</v>
      </c>
      <c r="K452" s="2" t="s">
        <v>34</v>
      </c>
    </row>
    <row r="453" spans="1:11" x14ac:dyDescent="0.25">
      <c r="A453">
        <v>535</v>
      </c>
      <c r="B453" s="2">
        <v>1</v>
      </c>
      <c r="C453" s="2" t="s">
        <v>528</v>
      </c>
      <c r="D453">
        <v>140</v>
      </c>
      <c r="E453" s="2" t="s">
        <v>537</v>
      </c>
      <c r="G453" s="4">
        <v>1.2</v>
      </c>
      <c r="H453" s="2">
        <v>3</v>
      </c>
      <c r="I453" s="2" t="s">
        <v>2</v>
      </c>
      <c r="J453" s="2">
        <v>103</v>
      </c>
      <c r="K453" s="2" t="s">
        <v>3</v>
      </c>
    </row>
    <row r="454" spans="1:11" x14ac:dyDescent="0.25">
      <c r="A454">
        <v>535</v>
      </c>
      <c r="B454" s="2">
        <v>1</v>
      </c>
      <c r="C454" s="2" t="s">
        <v>528</v>
      </c>
      <c r="D454">
        <v>146</v>
      </c>
      <c r="E454" s="2" t="s">
        <v>250</v>
      </c>
      <c r="G454" s="4">
        <v>1.2</v>
      </c>
      <c r="H454" s="2">
        <v>3</v>
      </c>
      <c r="I454" s="2" t="s">
        <v>2</v>
      </c>
      <c r="J454" s="2">
        <v>105</v>
      </c>
      <c r="K454" s="2" t="s">
        <v>4</v>
      </c>
    </row>
    <row r="455" spans="1:11" x14ac:dyDescent="0.25">
      <c r="A455">
        <v>535</v>
      </c>
      <c r="B455" s="2">
        <v>1</v>
      </c>
      <c r="C455" s="2" t="s">
        <v>528</v>
      </c>
      <c r="D455">
        <v>147</v>
      </c>
      <c r="E455" s="2" t="s">
        <v>538</v>
      </c>
      <c r="G455" s="4">
        <v>1.2</v>
      </c>
      <c r="H455" s="2">
        <v>3</v>
      </c>
      <c r="I455" s="2" t="s">
        <v>2</v>
      </c>
      <c r="J455" s="2">
        <v>106</v>
      </c>
      <c r="K455" s="2" t="s">
        <v>5</v>
      </c>
    </row>
    <row r="456" spans="1:11" x14ac:dyDescent="0.25">
      <c r="A456">
        <v>535</v>
      </c>
      <c r="B456" s="2">
        <v>1</v>
      </c>
      <c r="C456" s="2" t="s">
        <v>528</v>
      </c>
      <c r="D456">
        <v>150</v>
      </c>
      <c r="E456" s="2" t="s">
        <v>539</v>
      </c>
      <c r="G456" s="4">
        <v>1.2</v>
      </c>
      <c r="H456" s="2">
        <v>3</v>
      </c>
      <c r="I456" s="2" t="s">
        <v>2</v>
      </c>
      <c r="J456" s="2">
        <v>107</v>
      </c>
      <c r="K456" s="2" t="s">
        <v>6</v>
      </c>
    </row>
    <row r="457" spans="1:11" x14ac:dyDescent="0.25">
      <c r="A457">
        <v>535</v>
      </c>
      <c r="B457" s="2">
        <v>1</v>
      </c>
      <c r="C457" s="2" t="s">
        <v>528</v>
      </c>
      <c r="D457">
        <v>152</v>
      </c>
      <c r="E457" s="2" t="s">
        <v>71</v>
      </c>
      <c r="G457" s="4">
        <v>1.2</v>
      </c>
      <c r="H457" s="2">
        <v>3</v>
      </c>
      <c r="I457" s="2" t="s">
        <v>2</v>
      </c>
      <c r="J457">
        <v>249</v>
      </c>
      <c r="K457" s="2" t="s">
        <v>36</v>
      </c>
    </row>
    <row r="458" spans="1:11" x14ac:dyDescent="0.25">
      <c r="A458">
        <v>542</v>
      </c>
      <c r="B458" s="2">
        <v>1</v>
      </c>
      <c r="C458" s="2" t="s">
        <v>540</v>
      </c>
      <c r="D458">
        <v>10</v>
      </c>
      <c r="E458" s="2" t="s">
        <v>541</v>
      </c>
      <c r="G458" s="4">
        <v>1.2</v>
      </c>
      <c r="H458" s="2">
        <v>3</v>
      </c>
      <c r="I458" s="2" t="s">
        <v>2</v>
      </c>
      <c r="J458" s="2">
        <v>110</v>
      </c>
      <c r="K458" s="2" t="s">
        <v>7</v>
      </c>
    </row>
    <row r="459" spans="1:11" x14ac:dyDescent="0.25">
      <c r="A459">
        <v>544</v>
      </c>
      <c r="B459" s="2">
        <v>1</v>
      </c>
      <c r="C459" s="2" t="s">
        <v>542</v>
      </c>
      <c r="D459">
        <v>140</v>
      </c>
      <c r="E459" s="2" t="s">
        <v>446</v>
      </c>
      <c r="G459" s="4">
        <v>1.2</v>
      </c>
      <c r="H459" s="2">
        <v>3</v>
      </c>
      <c r="I459" s="2" t="s">
        <v>2</v>
      </c>
      <c r="J459" s="2">
        <v>290</v>
      </c>
      <c r="K459" s="2" t="s">
        <v>43</v>
      </c>
    </row>
    <row r="460" spans="1:11" x14ac:dyDescent="0.25">
      <c r="A460" s="7">
        <v>544</v>
      </c>
      <c r="B460" s="7">
        <v>1</v>
      </c>
      <c r="C460" s="7" t="s">
        <v>542</v>
      </c>
      <c r="D460" s="7">
        <v>180</v>
      </c>
      <c r="E460" s="7" t="s">
        <v>63</v>
      </c>
      <c r="G460" s="4">
        <v>1.2</v>
      </c>
      <c r="H460" s="2">
        <v>3</v>
      </c>
      <c r="I460" s="2" t="s">
        <v>2</v>
      </c>
      <c r="J460" s="2">
        <v>180</v>
      </c>
      <c r="K460" s="2" t="s">
        <v>29</v>
      </c>
    </row>
    <row r="461" spans="1:11" x14ac:dyDescent="0.25">
      <c r="A461">
        <v>545</v>
      </c>
      <c r="B461" s="2">
        <v>1</v>
      </c>
      <c r="C461" s="2" t="s">
        <v>543</v>
      </c>
      <c r="D461">
        <v>10</v>
      </c>
      <c r="E461" s="2" t="s">
        <v>544</v>
      </c>
      <c r="G461" s="4">
        <v>1.2</v>
      </c>
      <c r="H461" s="2">
        <v>3</v>
      </c>
      <c r="I461" s="2" t="s">
        <v>2</v>
      </c>
      <c r="J461" s="2">
        <v>260</v>
      </c>
      <c r="K461" s="2" t="s">
        <v>38</v>
      </c>
    </row>
    <row r="462" spans="1:11" x14ac:dyDescent="0.25">
      <c r="A462">
        <v>547</v>
      </c>
      <c r="B462" s="2">
        <v>1</v>
      </c>
      <c r="C462" s="2" t="s">
        <v>545</v>
      </c>
      <c r="D462">
        <v>10</v>
      </c>
      <c r="E462" s="2" t="s">
        <v>546</v>
      </c>
      <c r="G462" s="4">
        <v>1.2</v>
      </c>
      <c r="H462" s="2">
        <v>3</v>
      </c>
      <c r="I462" s="2" t="s">
        <v>2</v>
      </c>
      <c r="J462" s="2">
        <v>256</v>
      </c>
      <c r="K462" s="2" t="s">
        <v>37</v>
      </c>
    </row>
    <row r="463" spans="1:11" x14ac:dyDescent="0.25">
      <c r="A463">
        <v>548</v>
      </c>
      <c r="B463" s="2">
        <v>1</v>
      </c>
      <c r="C463" s="2" t="s">
        <v>547</v>
      </c>
      <c r="D463">
        <v>10</v>
      </c>
      <c r="E463" s="2" t="s">
        <v>548</v>
      </c>
      <c r="G463" s="4">
        <v>1.2</v>
      </c>
      <c r="H463" s="2">
        <v>3</v>
      </c>
      <c r="I463" s="2" t="s">
        <v>2</v>
      </c>
      <c r="J463">
        <v>123</v>
      </c>
      <c r="K463" s="2" t="s">
        <v>9</v>
      </c>
    </row>
    <row r="464" spans="1:11" x14ac:dyDescent="0.25">
      <c r="A464">
        <v>549</v>
      </c>
      <c r="B464" s="2">
        <v>1</v>
      </c>
      <c r="C464" s="2" t="s">
        <v>549</v>
      </c>
      <c r="D464">
        <v>10</v>
      </c>
      <c r="E464" s="2" t="s">
        <v>550</v>
      </c>
      <c r="G464" s="4">
        <v>1.2</v>
      </c>
      <c r="H464" s="2">
        <v>3</v>
      </c>
      <c r="I464" s="2" t="s">
        <v>2</v>
      </c>
      <c r="J464" s="2">
        <v>287</v>
      </c>
      <c r="K464" s="2" t="s">
        <v>40</v>
      </c>
    </row>
    <row r="465" spans="1:11" x14ac:dyDescent="0.25">
      <c r="A465">
        <v>550</v>
      </c>
      <c r="B465" s="2">
        <v>1</v>
      </c>
      <c r="C465" s="2" t="s">
        <v>551</v>
      </c>
      <c r="D465">
        <v>10</v>
      </c>
      <c r="E465" s="2" t="s">
        <v>552</v>
      </c>
      <c r="G465" s="4">
        <v>1.2</v>
      </c>
      <c r="H465" s="2">
        <v>3</v>
      </c>
      <c r="I465" s="2" t="s">
        <v>2</v>
      </c>
      <c r="J465" s="2">
        <v>130</v>
      </c>
      <c r="K465" s="2" t="s">
        <v>11</v>
      </c>
    </row>
    <row r="466" spans="1:11" x14ac:dyDescent="0.25">
      <c r="A466">
        <v>553</v>
      </c>
      <c r="B466" s="2">
        <v>1</v>
      </c>
      <c r="C466" s="2" t="s">
        <v>553</v>
      </c>
      <c r="D466">
        <v>10</v>
      </c>
      <c r="E466" s="2" t="s">
        <v>554</v>
      </c>
      <c r="G466" s="4">
        <v>1.2</v>
      </c>
      <c r="H466" s="2">
        <v>3</v>
      </c>
      <c r="I466" s="2" t="s">
        <v>2</v>
      </c>
      <c r="J466" s="2">
        <v>291</v>
      </c>
      <c r="K466" s="2" t="s">
        <v>44</v>
      </c>
    </row>
    <row r="467" spans="1:11" x14ac:dyDescent="0.25">
      <c r="A467">
        <v>561</v>
      </c>
      <c r="B467">
        <v>1</v>
      </c>
      <c r="C467" t="s">
        <v>1201</v>
      </c>
      <c r="D467">
        <v>10</v>
      </c>
      <c r="E467" t="s">
        <v>1202</v>
      </c>
      <c r="G467" s="4">
        <v>1.2</v>
      </c>
      <c r="H467" s="2">
        <v>3</v>
      </c>
      <c r="I467" s="2" t="s">
        <v>2</v>
      </c>
      <c r="J467" s="2">
        <v>179</v>
      </c>
      <c r="K467" s="2" t="s">
        <v>28</v>
      </c>
    </row>
    <row r="468" spans="1:11" x14ac:dyDescent="0.25">
      <c r="A468">
        <v>564</v>
      </c>
      <c r="B468" s="2">
        <v>1</v>
      </c>
      <c r="C468" s="2" t="s">
        <v>555</v>
      </c>
      <c r="D468">
        <v>31</v>
      </c>
      <c r="E468" s="2" t="s">
        <v>556</v>
      </c>
      <c r="G468" s="4">
        <v>1.2</v>
      </c>
      <c r="H468" s="2">
        <v>3</v>
      </c>
      <c r="I468" s="2" t="s">
        <v>2</v>
      </c>
      <c r="J468" s="2">
        <v>151</v>
      </c>
      <c r="K468" s="2" t="s">
        <v>18</v>
      </c>
    </row>
    <row r="469" spans="1:11" x14ac:dyDescent="0.25">
      <c r="A469">
        <v>577</v>
      </c>
      <c r="B469" s="2">
        <v>1</v>
      </c>
      <c r="C469" s="2" t="s">
        <v>557</v>
      </c>
      <c r="D469">
        <v>30</v>
      </c>
      <c r="E469" s="2" t="s">
        <v>558</v>
      </c>
      <c r="G469" s="4">
        <v>1.2</v>
      </c>
      <c r="H469" s="2">
        <v>3</v>
      </c>
      <c r="I469" s="2" t="s">
        <v>2</v>
      </c>
      <c r="J469" s="2">
        <v>135</v>
      </c>
      <c r="K469" s="2" t="s">
        <v>13</v>
      </c>
    </row>
    <row r="470" spans="1:11" x14ac:dyDescent="0.25">
      <c r="A470">
        <v>578</v>
      </c>
      <c r="B470" s="2">
        <v>1</v>
      </c>
      <c r="C470" s="2" t="s">
        <v>559</v>
      </c>
      <c r="D470">
        <v>10</v>
      </c>
      <c r="E470" s="2" t="s">
        <v>560</v>
      </c>
      <c r="G470" s="4">
        <v>1.2</v>
      </c>
      <c r="H470" s="2">
        <v>3</v>
      </c>
      <c r="I470" s="2" t="s">
        <v>2</v>
      </c>
      <c r="J470" s="2">
        <v>136</v>
      </c>
      <c r="K470" s="2" t="s">
        <v>14</v>
      </c>
    </row>
    <row r="471" spans="1:11" x14ac:dyDescent="0.25">
      <c r="A471">
        <v>581</v>
      </c>
      <c r="B471" s="2">
        <v>1</v>
      </c>
      <c r="C471" s="2" t="s">
        <v>561</v>
      </c>
      <c r="D471">
        <v>20</v>
      </c>
      <c r="E471" s="2" t="s">
        <v>562</v>
      </c>
      <c r="G471" s="4">
        <v>1.2</v>
      </c>
      <c r="H471" s="2">
        <v>3</v>
      </c>
      <c r="I471" s="2" t="s">
        <v>2</v>
      </c>
      <c r="J471" s="2">
        <v>121</v>
      </c>
      <c r="K471" s="2" t="s">
        <v>8</v>
      </c>
    </row>
    <row r="472" spans="1:11" x14ac:dyDescent="0.25">
      <c r="A472">
        <v>592</v>
      </c>
      <c r="B472">
        <v>1</v>
      </c>
      <c r="C472" t="s">
        <v>1203</v>
      </c>
      <c r="D472">
        <v>10</v>
      </c>
      <c r="E472" t="s">
        <v>1204</v>
      </c>
      <c r="G472" s="7">
        <v>1.2</v>
      </c>
      <c r="H472" s="7">
        <v>3</v>
      </c>
      <c r="I472" s="7" t="s">
        <v>2</v>
      </c>
      <c r="J472" s="7">
        <v>134</v>
      </c>
      <c r="K472" s="7" t="s">
        <v>12</v>
      </c>
    </row>
    <row r="473" spans="1:11" x14ac:dyDescent="0.25">
      <c r="A473">
        <v>593</v>
      </c>
      <c r="B473" s="2">
        <v>1</v>
      </c>
      <c r="C473" s="2" t="s">
        <v>563</v>
      </c>
      <c r="D473">
        <v>80</v>
      </c>
      <c r="E473" s="2" t="s">
        <v>87</v>
      </c>
      <c r="G473" s="5">
        <v>1.2</v>
      </c>
      <c r="H473" s="5">
        <v>3</v>
      </c>
      <c r="I473" t="s">
        <v>2</v>
      </c>
      <c r="J473" s="5">
        <v>139</v>
      </c>
      <c r="K473" s="6" t="s">
        <v>15</v>
      </c>
    </row>
    <row r="474" spans="1:11" x14ac:dyDescent="0.25">
      <c r="A474">
        <v>595</v>
      </c>
      <c r="B474" s="2">
        <v>1</v>
      </c>
      <c r="C474" s="2" t="s">
        <v>564</v>
      </c>
      <c r="D474">
        <v>110</v>
      </c>
      <c r="E474" s="2" t="s">
        <v>565</v>
      </c>
      <c r="G474" s="4">
        <v>1.2</v>
      </c>
      <c r="H474" s="2">
        <v>3</v>
      </c>
      <c r="I474" s="2" t="s">
        <v>2</v>
      </c>
      <c r="J474" s="2">
        <v>140</v>
      </c>
      <c r="K474" s="2" t="s">
        <v>16</v>
      </c>
    </row>
    <row r="475" spans="1:11" x14ac:dyDescent="0.25">
      <c r="A475">
        <v>599</v>
      </c>
      <c r="B475" s="2">
        <v>1</v>
      </c>
      <c r="C475" s="2" t="s">
        <v>566</v>
      </c>
      <c r="D475">
        <v>10</v>
      </c>
      <c r="E475" s="2" t="s">
        <v>567</v>
      </c>
      <c r="G475" s="4">
        <v>1.2</v>
      </c>
      <c r="H475" s="2">
        <v>3</v>
      </c>
      <c r="I475" s="2" t="s">
        <v>2</v>
      </c>
      <c r="J475" s="2">
        <v>282</v>
      </c>
      <c r="K475" s="2" t="s">
        <v>39</v>
      </c>
    </row>
    <row r="476" spans="1:11" x14ac:dyDescent="0.25">
      <c r="A476">
        <v>600</v>
      </c>
      <c r="B476" s="2">
        <v>1</v>
      </c>
      <c r="C476" s="2" t="s">
        <v>568</v>
      </c>
      <c r="D476">
        <v>1</v>
      </c>
      <c r="E476" s="2" t="s">
        <v>569</v>
      </c>
      <c r="G476" s="4">
        <v>1.2</v>
      </c>
      <c r="H476" s="2">
        <v>3</v>
      </c>
      <c r="I476" s="2" t="s">
        <v>2</v>
      </c>
      <c r="J476" s="2">
        <v>144</v>
      </c>
      <c r="K476" s="2" t="s">
        <v>17</v>
      </c>
    </row>
    <row r="477" spans="1:11" x14ac:dyDescent="0.25">
      <c r="A477">
        <v>601</v>
      </c>
      <c r="B477" s="2">
        <v>1</v>
      </c>
      <c r="C477" s="2" t="s">
        <v>570</v>
      </c>
      <c r="D477">
        <v>10</v>
      </c>
      <c r="E477" s="2" t="s">
        <v>571</v>
      </c>
      <c r="G477" s="4">
        <v>1.2</v>
      </c>
      <c r="H477" s="2">
        <v>3</v>
      </c>
      <c r="I477" s="2" t="s">
        <v>2</v>
      </c>
      <c r="J477" s="2">
        <v>226</v>
      </c>
      <c r="K477" s="2" t="s">
        <v>35</v>
      </c>
    </row>
    <row r="478" spans="1:11" x14ac:dyDescent="0.25">
      <c r="A478">
        <v>611</v>
      </c>
      <c r="B478">
        <v>1</v>
      </c>
      <c r="C478" t="s">
        <v>1205</v>
      </c>
      <c r="D478">
        <v>10</v>
      </c>
      <c r="E478" t="s">
        <v>1206</v>
      </c>
      <c r="G478" s="4">
        <v>1.2</v>
      </c>
      <c r="H478" s="2">
        <v>3</v>
      </c>
      <c r="I478" s="2" t="s">
        <v>2</v>
      </c>
      <c r="J478" s="2">
        <v>288</v>
      </c>
      <c r="K478" s="2" t="s">
        <v>41</v>
      </c>
    </row>
    <row r="479" spans="1:11" x14ac:dyDescent="0.25">
      <c r="A479">
        <v>621</v>
      </c>
      <c r="B479" s="2">
        <v>1</v>
      </c>
      <c r="C479" s="2" t="s">
        <v>572</v>
      </c>
      <c r="D479">
        <v>25</v>
      </c>
      <c r="E479" s="2" t="s">
        <v>573</v>
      </c>
      <c r="G479" s="4">
        <v>1.2</v>
      </c>
      <c r="H479" s="2">
        <v>3</v>
      </c>
      <c r="I479" s="2" t="s">
        <v>2</v>
      </c>
      <c r="J479" s="2">
        <v>152</v>
      </c>
      <c r="K479" s="2" t="s">
        <v>19</v>
      </c>
    </row>
    <row r="480" spans="1:11" x14ac:dyDescent="0.25">
      <c r="A480">
        <v>621</v>
      </c>
      <c r="B480" s="2">
        <v>1</v>
      </c>
      <c r="C480" s="2" t="s">
        <v>572</v>
      </c>
      <c r="D480">
        <v>26</v>
      </c>
      <c r="E480" s="2" t="s">
        <v>574</v>
      </c>
      <c r="G480" s="5">
        <v>1.2</v>
      </c>
      <c r="H480" s="5">
        <v>3</v>
      </c>
      <c r="I480" t="s">
        <v>2</v>
      </c>
      <c r="J480" s="5">
        <v>124</v>
      </c>
      <c r="K480" s="6" t="s">
        <v>10</v>
      </c>
    </row>
    <row r="481" spans="1:11" x14ac:dyDescent="0.25">
      <c r="A481">
        <v>621</v>
      </c>
      <c r="B481" s="2">
        <v>1</v>
      </c>
      <c r="C481" s="2" t="s">
        <v>572</v>
      </c>
      <c r="D481">
        <v>30</v>
      </c>
      <c r="E481" s="2" t="s">
        <v>575</v>
      </c>
      <c r="G481" s="5">
        <v>1.2</v>
      </c>
      <c r="H481" s="5">
        <v>3</v>
      </c>
      <c r="I481" t="s">
        <v>2</v>
      </c>
      <c r="J481" s="5">
        <v>210</v>
      </c>
      <c r="K481" s="6" t="s">
        <v>33</v>
      </c>
    </row>
    <row r="482" spans="1:11" x14ac:dyDescent="0.25">
      <c r="A482">
        <v>621</v>
      </c>
      <c r="B482" s="2">
        <v>1</v>
      </c>
      <c r="C482" s="2" t="s">
        <v>572</v>
      </c>
      <c r="D482">
        <v>34</v>
      </c>
      <c r="E482" s="2" t="s">
        <v>576</v>
      </c>
      <c r="G482" s="4">
        <v>1.2</v>
      </c>
      <c r="H482" s="2">
        <v>3</v>
      </c>
      <c r="I482" s="2" t="s">
        <v>2</v>
      </c>
      <c r="J482" s="2">
        <v>155</v>
      </c>
      <c r="K482" s="2" t="s">
        <v>20</v>
      </c>
    </row>
    <row r="483" spans="1:11" x14ac:dyDescent="0.25">
      <c r="A483">
        <v>621</v>
      </c>
      <c r="B483" s="2">
        <v>1</v>
      </c>
      <c r="C483" s="2" t="s">
        <v>572</v>
      </c>
      <c r="D483">
        <v>35</v>
      </c>
      <c r="E483" s="2" t="s">
        <v>577</v>
      </c>
      <c r="G483" s="4">
        <v>1.2</v>
      </c>
      <c r="H483" s="2">
        <v>3</v>
      </c>
      <c r="I483" s="2" t="s">
        <v>2</v>
      </c>
      <c r="J483" s="2">
        <v>156</v>
      </c>
      <c r="K483" s="2" t="s">
        <v>21</v>
      </c>
    </row>
    <row r="484" spans="1:11" x14ac:dyDescent="0.25">
      <c r="A484">
        <v>621</v>
      </c>
      <c r="B484" s="2">
        <v>1</v>
      </c>
      <c r="C484" s="2" t="s">
        <v>572</v>
      </c>
      <c r="D484">
        <v>36</v>
      </c>
      <c r="E484" s="2" t="s">
        <v>578</v>
      </c>
      <c r="G484" s="4">
        <v>1.2</v>
      </c>
      <c r="H484" s="2">
        <v>3</v>
      </c>
      <c r="I484" s="2" t="s">
        <v>2</v>
      </c>
      <c r="J484" s="2">
        <v>175</v>
      </c>
      <c r="K484" s="2" t="s">
        <v>27</v>
      </c>
    </row>
    <row r="485" spans="1:11" x14ac:dyDescent="0.25">
      <c r="A485">
        <v>621</v>
      </c>
      <c r="B485">
        <v>1</v>
      </c>
      <c r="C485" t="s">
        <v>1207</v>
      </c>
      <c r="D485">
        <v>39</v>
      </c>
      <c r="E485" t="s">
        <v>1208</v>
      </c>
      <c r="G485" s="4">
        <v>1.2</v>
      </c>
      <c r="H485" s="2">
        <v>3</v>
      </c>
      <c r="I485" s="2" t="s">
        <v>2</v>
      </c>
      <c r="J485" s="2">
        <v>160</v>
      </c>
      <c r="K485" s="2" t="s">
        <v>22</v>
      </c>
    </row>
    <row r="486" spans="1:11" x14ac:dyDescent="0.25">
      <c r="A486">
        <v>621</v>
      </c>
      <c r="B486">
        <v>1</v>
      </c>
      <c r="C486" t="s">
        <v>1207</v>
      </c>
      <c r="D486">
        <v>43</v>
      </c>
      <c r="E486" t="s">
        <v>1209</v>
      </c>
      <c r="G486" s="4">
        <v>1.2</v>
      </c>
      <c r="H486" s="2">
        <v>3</v>
      </c>
      <c r="I486" s="2" t="s">
        <v>2</v>
      </c>
      <c r="J486" s="2">
        <v>161</v>
      </c>
      <c r="K486" s="2" t="s">
        <v>23</v>
      </c>
    </row>
    <row r="487" spans="1:11" x14ac:dyDescent="0.25">
      <c r="A487">
        <v>622</v>
      </c>
      <c r="B487" s="2">
        <v>1</v>
      </c>
      <c r="C487" s="2" t="s">
        <v>579</v>
      </c>
      <c r="D487">
        <v>27</v>
      </c>
      <c r="E487" s="2" t="s">
        <v>580</v>
      </c>
      <c r="G487" s="4">
        <v>1.2</v>
      </c>
      <c r="H487" s="2">
        <v>3</v>
      </c>
      <c r="I487" s="2" t="s">
        <v>2</v>
      </c>
      <c r="J487" s="2">
        <v>193</v>
      </c>
      <c r="K487" s="2" t="s">
        <v>32</v>
      </c>
    </row>
    <row r="488" spans="1:11" x14ac:dyDescent="0.25">
      <c r="A488">
        <v>622</v>
      </c>
      <c r="B488" s="2">
        <v>1</v>
      </c>
      <c r="C488" s="2" t="s">
        <v>579</v>
      </c>
      <c r="D488">
        <v>28</v>
      </c>
      <c r="E488" s="2" t="s">
        <v>581</v>
      </c>
      <c r="G488" s="4">
        <v>1.2</v>
      </c>
      <c r="H488" s="2">
        <v>3</v>
      </c>
      <c r="I488" s="2" t="s">
        <v>2</v>
      </c>
      <c r="J488">
        <v>165</v>
      </c>
      <c r="K488" s="2" t="s">
        <v>24</v>
      </c>
    </row>
    <row r="489" spans="1:11" x14ac:dyDescent="0.25">
      <c r="A489">
        <v>622</v>
      </c>
      <c r="B489" s="2">
        <v>1</v>
      </c>
      <c r="C489" s="2" t="s">
        <v>579</v>
      </c>
      <c r="D489">
        <v>29</v>
      </c>
      <c r="E489" s="2" t="s">
        <v>582</v>
      </c>
      <c r="G489" s="4">
        <v>1.2</v>
      </c>
      <c r="H489" s="2">
        <v>3</v>
      </c>
      <c r="I489" s="2" t="s">
        <v>2</v>
      </c>
      <c r="J489" s="2">
        <v>167</v>
      </c>
      <c r="K489" s="2" t="s">
        <v>25</v>
      </c>
    </row>
    <row r="490" spans="1:11" x14ac:dyDescent="0.25">
      <c r="A490">
        <v>622</v>
      </c>
      <c r="B490" s="2">
        <v>1</v>
      </c>
      <c r="C490" s="2" t="s">
        <v>579</v>
      </c>
      <c r="D490">
        <v>30</v>
      </c>
      <c r="E490" s="2" t="s">
        <v>583</v>
      </c>
      <c r="G490" s="4">
        <v>1.2</v>
      </c>
      <c r="H490" s="2">
        <v>3</v>
      </c>
      <c r="I490" s="2" t="s">
        <v>2</v>
      </c>
      <c r="J490" s="2">
        <v>289</v>
      </c>
      <c r="K490" s="2" t="s">
        <v>42</v>
      </c>
    </row>
    <row r="491" spans="1:11" x14ac:dyDescent="0.25">
      <c r="A491">
        <v>622</v>
      </c>
      <c r="B491" s="2">
        <v>1</v>
      </c>
      <c r="C491" s="2" t="s">
        <v>579</v>
      </c>
      <c r="D491">
        <v>33</v>
      </c>
      <c r="E491" s="2" t="s">
        <v>584</v>
      </c>
      <c r="G491" s="4">
        <v>1.2</v>
      </c>
      <c r="H491" s="2">
        <v>3</v>
      </c>
      <c r="I491" s="2" t="s">
        <v>2</v>
      </c>
      <c r="J491" s="2">
        <v>170</v>
      </c>
      <c r="K491" s="2" t="s">
        <v>26</v>
      </c>
    </row>
    <row r="492" spans="1:11" x14ac:dyDescent="0.25">
      <c r="A492">
        <v>622</v>
      </c>
      <c r="B492" s="2">
        <v>1</v>
      </c>
      <c r="C492" s="2" t="s">
        <v>579</v>
      </c>
      <c r="D492">
        <v>34</v>
      </c>
      <c r="E492" s="2" t="s">
        <v>585</v>
      </c>
      <c r="G492">
        <v>1.2</v>
      </c>
      <c r="H492">
        <v>3</v>
      </c>
      <c r="I492" t="s">
        <v>1153</v>
      </c>
      <c r="J492">
        <v>283</v>
      </c>
      <c r="K492" t="s">
        <v>1154</v>
      </c>
    </row>
    <row r="493" spans="1:11" x14ac:dyDescent="0.25">
      <c r="A493">
        <v>622</v>
      </c>
      <c r="B493" s="2">
        <v>1</v>
      </c>
      <c r="C493" s="2" t="s">
        <v>579</v>
      </c>
      <c r="D493">
        <v>35</v>
      </c>
      <c r="E493" s="2" t="s">
        <v>586</v>
      </c>
      <c r="G493">
        <v>1.2</v>
      </c>
      <c r="H493">
        <v>3</v>
      </c>
      <c r="I493" t="s">
        <v>1153</v>
      </c>
      <c r="J493">
        <v>401</v>
      </c>
      <c r="K493" t="s">
        <v>1156</v>
      </c>
    </row>
    <row r="494" spans="1:11" x14ac:dyDescent="0.25">
      <c r="A494">
        <v>622</v>
      </c>
      <c r="B494" s="2">
        <v>1</v>
      </c>
      <c r="C494" s="2" t="s">
        <v>579</v>
      </c>
      <c r="D494">
        <v>36</v>
      </c>
      <c r="E494" s="2" t="s">
        <v>587</v>
      </c>
      <c r="G494">
        <v>1.2</v>
      </c>
      <c r="H494">
        <v>3</v>
      </c>
      <c r="I494" t="s">
        <v>1153</v>
      </c>
      <c r="J494">
        <v>689</v>
      </c>
      <c r="K494" t="s">
        <v>1160</v>
      </c>
    </row>
    <row r="495" spans="1:11" x14ac:dyDescent="0.25">
      <c r="A495">
        <v>622</v>
      </c>
      <c r="B495" s="2">
        <v>1</v>
      </c>
      <c r="C495" s="2" t="s">
        <v>579</v>
      </c>
      <c r="D495">
        <v>37</v>
      </c>
      <c r="E495" s="2" t="s">
        <v>588</v>
      </c>
      <c r="G495">
        <v>1.2</v>
      </c>
      <c r="H495">
        <v>3</v>
      </c>
      <c r="I495" t="s">
        <v>1153</v>
      </c>
      <c r="J495">
        <v>625</v>
      </c>
      <c r="K495" t="s">
        <v>1159</v>
      </c>
    </row>
    <row r="496" spans="1:11" x14ac:dyDescent="0.25">
      <c r="A496">
        <v>622</v>
      </c>
      <c r="B496">
        <v>1</v>
      </c>
      <c r="C496" t="s">
        <v>579</v>
      </c>
      <c r="D496">
        <v>41</v>
      </c>
      <c r="E496" t="s">
        <v>1210</v>
      </c>
      <c r="G496">
        <v>1.2</v>
      </c>
      <c r="H496">
        <v>3</v>
      </c>
      <c r="I496" t="s">
        <v>1153</v>
      </c>
      <c r="J496">
        <v>311</v>
      </c>
      <c r="K496" t="s">
        <v>1155</v>
      </c>
    </row>
    <row r="497" spans="1:11" x14ac:dyDescent="0.25">
      <c r="A497">
        <v>623</v>
      </c>
      <c r="B497" s="2">
        <v>1</v>
      </c>
      <c r="C497" s="2" t="s">
        <v>589</v>
      </c>
      <c r="D497">
        <v>73</v>
      </c>
      <c r="E497" s="2" t="s">
        <v>590</v>
      </c>
      <c r="G497">
        <v>1.2</v>
      </c>
      <c r="H497">
        <v>3</v>
      </c>
      <c r="I497" t="s">
        <v>1153</v>
      </c>
      <c r="J497">
        <v>418</v>
      </c>
      <c r="K497" t="s">
        <v>1158</v>
      </c>
    </row>
    <row r="498" spans="1:11" x14ac:dyDescent="0.25">
      <c r="A498">
        <v>623</v>
      </c>
      <c r="B498" s="2">
        <v>1</v>
      </c>
      <c r="C498" s="2" t="s">
        <v>589</v>
      </c>
      <c r="D498">
        <v>721</v>
      </c>
      <c r="E498" s="2" t="s">
        <v>591</v>
      </c>
      <c r="G498">
        <v>1.2</v>
      </c>
      <c r="H498">
        <v>3</v>
      </c>
      <c r="I498" t="s">
        <v>1153</v>
      </c>
      <c r="J498">
        <v>405</v>
      </c>
      <c r="K498" t="s">
        <v>1157</v>
      </c>
    </row>
    <row r="499" spans="1:11" x14ac:dyDescent="0.25">
      <c r="A499">
        <v>623</v>
      </c>
      <c r="B499" s="2">
        <v>1</v>
      </c>
      <c r="C499" s="2" t="s">
        <v>589</v>
      </c>
      <c r="D499">
        <v>722</v>
      </c>
      <c r="E499" s="2" t="s">
        <v>592</v>
      </c>
      <c r="G499" s="2">
        <v>414</v>
      </c>
      <c r="H499" s="2">
        <v>1</v>
      </c>
      <c r="I499" s="2" t="s">
        <v>457</v>
      </c>
      <c r="J499" s="2">
        <v>1</v>
      </c>
      <c r="K499" s="2" t="s">
        <v>458</v>
      </c>
    </row>
    <row r="500" spans="1:11" x14ac:dyDescent="0.25">
      <c r="A500">
        <v>623</v>
      </c>
      <c r="B500" s="2">
        <v>1</v>
      </c>
      <c r="C500" s="2" t="s">
        <v>589</v>
      </c>
      <c r="D500">
        <v>723</v>
      </c>
      <c r="E500" s="2" t="s">
        <v>562</v>
      </c>
      <c r="G500">
        <v>4017</v>
      </c>
      <c r="H500" s="2">
        <v>7</v>
      </c>
      <c r="I500" s="2" t="s">
        <v>1026</v>
      </c>
      <c r="J500">
        <v>17</v>
      </c>
      <c r="K500" s="2" t="s">
        <v>1027</v>
      </c>
    </row>
    <row r="501" spans="1:11" x14ac:dyDescent="0.25">
      <c r="A501">
        <v>623</v>
      </c>
      <c r="B501" s="2">
        <v>1</v>
      </c>
      <c r="C501" s="2" t="s">
        <v>589</v>
      </c>
      <c r="D501">
        <v>724</v>
      </c>
      <c r="E501" s="2" t="s">
        <v>593</v>
      </c>
      <c r="G501">
        <v>4017</v>
      </c>
      <c r="H501" s="2">
        <v>7</v>
      </c>
      <c r="I501" s="2" t="s">
        <v>1026</v>
      </c>
      <c r="J501">
        <v>18</v>
      </c>
      <c r="K501" s="2" t="s">
        <v>1028</v>
      </c>
    </row>
    <row r="502" spans="1:11" x14ac:dyDescent="0.25">
      <c r="A502">
        <v>623</v>
      </c>
      <c r="B502" s="2">
        <v>1</v>
      </c>
      <c r="C502" s="2" t="s">
        <v>589</v>
      </c>
      <c r="D502">
        <v>728</v>
      </c>
      <c r="E502" s="2" t="s">
        <v>594</v>
      </c>
      <c r="G502">
        <v>4017</v>
      </c>
      <c r="H502">
        <v>7</v>
      </c>
      <c r="I502" t="s">
        <v>1263</v>
      </c>
      <c r="J502">
        <v>10</v>
      </c>
      <c r="K502" t="s">
        <v>1264</v>
      </c>
    </row>
    <row r="503" spans="1:11" x14ac:dyDescent="0.25">
      <c r="A503">
        <v>623</v>
      </c>
      <c r="B503" s="2">
        <v>1</v>
      </c>
      <c r="C503" s="2" t="s">
        <v>589</v>
      </c>
      <c r="D503">
        <v>731</v>
      </c>
      <c r="E503" s="2" t="s">
        <v>595</v>
      </c>
      <c r="G503" s="2">
        <v>276</v>
      </c>
      <c r="H503" s="2">
        <v>1</v>
      </c>
      <c r="I503" s="2" t="s">
        <v>335</v>
      </c>
      <c r="J503" s="2">
        <v>601</v>
      </c>
      <c r="K503" s="2" t="s">
        <v>336</v>
      </c>
    </row>
    <row r="504" spans="1:11" x14ac:dyDescent="0.25">
      <c r="A504">
        <v>624</v>
      </c>
      <c r="B504" s="2">
        <v>1</v>
      </c>
      <c r="C504" s="2" t="s">
        <v>596</v>
      </c>
      <c r="D504">
        <v>824</v>
      </c>
      <c r="E504" s="2" t="s">
        <v>597</v>
      </c>
      <c r="G504" s="2">
        <v>276</v>
      </c>
      <c r="H504" s="2">
        <v>1</v>
      </c>
      <c r="I504" s="2" t="s">
        <v>335</v>
      </c>
      <c r="J504" s="2">
        <v>602</v>
      </c>
      <c r="K504" s="2" t="s">
        <v>337</v>
      </c>
    </row>
    <row r="505" spans="1:11" x14ac:dyDescent="0.25">
      <c r="A505">
        <v>624</v>
      </c>
      <c r="B505" s="2">
        <v>1</v>
      </c>
      <c r="C505" s="2" t="s">
        <v>596</v>
      </c>
      <c r="D505">
        <v>827</v>
      </c>
      <c r="E505" s="2" t="s">
        <v>598</v>
      </c>
      <c r="G505" s="2">
        <v>276</v>
      </c>
      <c r="H505" s="2">
        <v>1</v>
      </c>
      <c r="I505" s="2" t="s">
        <v>335</v>
      </c>
      <c r="J505" s="2">
        <v>603</v>
      </c>
      <c r="K505" s="2" t="s">
        <v>338</v>
      </c>
    </row>
    <row r="506" spans="1:11" x14ac:dyDescent="0.25">
      <c r="A506">
        <v>624</v>
      </c>
      <c r="B506" s="2">
        <v>1</v>
      </c>
      <c r="C506" s="2" t="s">
        <v>596</v>
      </c>
      <c r="D506">
        <v>828</v>
      </c>
      <c r="E506" s="2" t="s">
        <v>599</v>
      </c>
      <c r="G506" s="2">
        <v>276</v>
      </c>
      <c r="H506" s="2">
        <v>1</v>
      </c>
      <c r="I506" s="2" t="s">
        <v>335</v>
      </c>
      <c r="J506" s="2">
        <v>604</v>
      </c>
      <c r="K506" s="2" t="s">
        <v>339</v>
      </c>
    </row>
    <row r="507" spans="1:11" x14ac:dyDescent="0.25">
      <c r="A507">
        <v>624</v>
      </c>
      <c r="B507" s="2">
        <v>1</v>
      </c>
      <c r="C507" s="2" t="s">
        <v>596</v>
      </c>
      <c r="D507">
        <v>831</v>
      </c>
      <c r="E507" s="2" t="s">
        <v>600</v>
      </c>
      <c r="G507" s="2">
        <v>276</v>
      </c>
      <c r="H507" s="2">
        <v>1</v>
      </c>
      <c r="I507" s="2" t="s">
        <v>335</v>
      </c>
      <c r="J507" s="2">
        <v>605</v>
      </c>
      <c r="K507" s="2" t="s">
        <v>340</v>
      </c>
    </row>
    <row r="508" spans="1:11" x14ac:dyDescent="0.25">
      <c r="A508">
        <v>624</v>
      </c>
      <c r="B508" s="2">
        <v>1</v>
      </c>
      <c r="C508" s="2" t="s">
        <v>596</v>
      </c>
      <c r="D508">
        <v>832</v>
      </c>
      <c r="E508" s="2" t="s">
        <v>60</v>
      </c>
      <c r="G508" s="2">
        <v>276</v>
      </c>
      <c r="H508" s="2">
        <v>1</v>
      </c>
      <c r="I508" s="2" t="s">
        <v>335</v>
      </c>
      <c r="J508" s="2">
        <v>606</v>
      </c>
      <c r="K508" s="2" t="s">
        <v>341</v>
      </c>
    </row>
    <row r="509" spans="1:11" x14ac:dyDescent="0.25">
      <c r="A509">
        <v>624</v>
      </c>
      <c r="B509" s="2">
        <v>1</v>
      </c>
      <c r="C509" s="2" t="s">
        <v>596</v>
      </c>
      <c r="D509">
        <v>833</v>
      </c>
      <c r="E509" s="2" t="s">
        <v>242</v>
      </c>
      <c r="G509">
        <v>2149</v>
      </c>
      <c r="H509" s="2">
        <v>1</v>
      </c>
      <c r="I509" s="2" t="s">
        <v>893</v>
      </c>
      <c r="J509">
        <v>70</v>
      </c>
      <c r="K509" s="2" t="s">
        <v>894</v>
      </c>
    </row>
    <row r="510" spans="1:11" x14ac:dyDescent="0.25">
      <c r="A510">
        <v>624</v>
      </c>
      <c r="B510" s="2">
        <v>1</v>
      </c>
      <c r="C510" s="2" t="s">
        <v>596</v>
      </c>
      <c r="D510">
        <v>834</v>
      </c>
      <c r="E510" s="2" t="s">
        <v>601</v>
      </c>
      <c r="G510">
        <v>2149</v>
      </c>
      <c r="H510">
        <v>1</v>
      </c>
      <c r="I510" t="s">
        <v>1247</v>
      </c>
      <c r="J510">
        <v>101</v>
      </c>
      <c r="K510" t="s">
        <v>1248</v>
      </c>
    </row>
    <row r="511" spans="1:11" x14ac:dyDescent="0.25">
      <c r="A511">
        <v>624</v>
      </c>
      <c r="B511" s="2">
        <v>1</v>
      </c>
      <c r="C511" s="2" t="s">
        <v>596</v>
      </c>
      <c r="D511">
        <v>836</v>
      </c>
      <c r="E511" s="2" t="s">
        <v>602</v>
      </c>
      <c r="G511">
        <v>129</v>
      </c>
      <c r="H511" s="2">
        <v>1</v>
      </c>
      <c r="I511" s="2" t="s">
        <v>176</v>
      </c>
      <c r="J511">
        <v>10</v>
      </c>
      <c r="K511" s="2" t="s">
        <v>75</v>
      </c>
    </row>
    <row r="512" spans="1:11" x14ac:dyDescent="0.25">
      <c r="A512">
        <v>625</v>
      </c>
      <c r="B512">
        <v>1</v>
      </c>
      <c r="C512" t="s">
        <v>1211</v>
      </c>
      <c r="D512">
        <v>39</v>
      </c>
      <c r="E512" t="s">
        <v>1212</v>
      </c>
      <c r="G512" s="2">
        <v>129</v>
      </c>
      <c r="H512" s="2">
        <v>1</v>
      </c>
      <c r="I512" s="2" t="s">
        <v>176</v>
      </c>
      <c r="J512" s="2">
        <v>20</v>
      </c>
      <c r="K512" s="2" t="s">
        <v>177</v>
      </c>
    </row>
    <row r="513" spans="1:11" x14ac:dyDescent="0.25">
      <c r="A513">
        <v>625</v>
      </c>
      <c r="B513">
        <v>1</v>
      </c>
      <c r="C513" t="s">
        <v>1211</v>
      </c>
      <c r="D513">
        <v>41</v>
      </c>
      <c r="E513" t="s">
        <v>1213</v>
      </c>
      <c r="G513" s="2">
        <v>394</v>
      </c>
      <c r="H513" s="2">
        <v>1</v>
      </c>
      <c r="I513" s="2" t="s">
        <v>449</v>
      </c>
      <c r="J513" s="2">
        <v>30</v>
      </c>
      <c r="K513" s="2" t="s">
        <v>450</v>
      </c>
    </row>
    <row r="514" spans="1:11" x14ac:dyDescent="0.25">
      <c r="A514">
        <v>625</v>
      </c>
      <c r="B514">
        <v>1</v>
      </c>
      <c r="C514" t="s">
        <v>1211</v>
      </c>
      <c r="D514">
        <v>45</v>
      </c>
      <c r="E514" t="s">
        <v>1214</v>
      </c>
      <c r="G514" s="2">
        <v>394</v>
      </c>
      <c r="H514" s="2">
        <v>1</v>
      </c>
      <c r="I514" s="2" t="s">
        <v>449</v>
      </c>
      <c r="J514" s="2">
        <v>40</v>
      </c>
      <c r="K514" s="2" t="s">
        <v>451</v>
      </c>
    </row>
    <row r="515" spans="1:11" x14ac:dyDescent="0.25">
      <c r="A515">
        <v>625</v>
      </c>
      <c r="B515">
        <v>1</v>
      </c>
      <c r="C515" t="s">
        <v>1211</v>
      </c>
      <c r="D515">
        <v>47</v>
      </c>
      <c r="E515" t="s">
        <v>1215</v>
      </c>
      <c r="G515">
        <v>882</v>
      </c>
      <c r="H515" s="2">
        <v>1</v>
      </c>
      <c r="I515" s="2" t="s">
        <v>851</v>
      </c>
      <c r="J515">
        <v>50</v>
      </c>
      <c r="K515" s="2" t="s">
        <v>852</v>
      </c>
    </row>
    <row r="516" spans="1:11" x14ac:dyDescent="0.25">
      <c r="A516">
        <v>625</v>
      </c>
      <c r="B516">
        <v>1</v>
      </c>
      <c r="C516" t="s">
        <v>1211</v>
      </c>
      <c r="D516">
        <v>49</v>
      </c>
      <c r="E516" t="s">
        <v>1216</v>
      </c>
      <c r="G516">
        <v>882</v>
      </c>
      <c r="H516" s="2">
        <v>1</v>
      </c>
      <c r="I516" s="2" t="s">
        <v>851</v>
      </c>
      <c r="J516">
        <v>10</v>
      </c>
      <c r="K516" s="2" t="s">
        <v>250</v>
      </c>
    </row>
    <row r="517" spans="1:11" x14ac:dyDescent="0.25">
      <c r="A517">
        <v>625</v>
      </c>
      <c r="B517" s="2">
        <v>1</v>
      </c>
      <c r="C517" s="2" t="s">
        <v>603</v>
      </c>
      <c r="D517">
        <v>50</v>
      </c>
      <c r="E517" s="2" t="s">
        <v>604</v>
      </c>
      <c r="G517" s="2">
        <v>152</v>
      </c>
      <c r="H517" s="2">
        <v>1</v>
      </c>
      <c r="I517" s="2" t="s">
        <v>186</v>
      </c>
      <c r="J517" s="2">
        <v>188</v>
      </c>
      <c r="K517" s="2" t="s">
        <v>188</v>
      </c>
    </row>
    <row r="518" spans="1:11" x14ac:dyDescent="0.25">
      <c r="A518">
        <v>625</v>
      </c>
      <c r="B518">
        <v>1</v>
      </c>
      <c r="C518" t="s">
        <v>1211</v>
      </c>
      <c r="D518">
        <v>90</v>
      </c>
      <c r="E518" t="s">
        <v>1217</v>
      </c>
      <c r="G518" s="2">
        <v>152</v>
      </c>
      <c r="H518" s="2">
        <v>1</v>
      </c>
      <c r="I518" s="2" t="s">
        <v>186</v>
      </c>
      <c r="J518" s="2">
        <v>187</v>
      </c>
      <c r="K518" s="2" t="s">
        <v>187</v>
      </c>
    </row>
    <row r="519" spans="1:11" x14ac:dyDescent="0.25">
      <c r="A519">
        <v>625</v>
      </c>
      <c r="B519" s="2">
        <v>1</v>
      </c>
      <c r="C519" s="2" t="s">
        <v>603</v>
      </c>
      <c r="D519">
        <v>150</v>
      </c>
      <c r="E519" s="2" t="s">
        <v>605</v>
      </c>
      <c r="G519" s="2">
        <v>152</v>
      </c>
      <c r="H519" s="2">
        <v>1</v>
      </c>
      <c r="I519" s="2" t="s">
        <v>186</v>
      </c>
      <c r="J519" s="2">
        <v>189</v>
      </c>
      <c r="K519" s="2" t="s">
        <v>189</v>
      </c>
    </row>
    <row r="520" spans="1:11" x14ac:dyDescent="0.25">
      <c r="A520">
        <v>625</v>
      </c>
      <c r="B520" s="2">
        <v>1</v>
      </c>
      <c r="C520" s="2" t="s">
        <v>603</v>
      </c>
      <c r="D520">
        <v>410</v>
      </c>
      <c r="E520" s="2" t="s">
        <v>606</v>
      </c>
      <c r="G520" s="2">
        <v>97</v>
      </c>
      <c r="H520" s="2">
        <v>1</v>
      </c>
      <c r="I520" s="2" t="s">
        <v>147</v>
      </c>
      <c r="J520" s="2">
        <v>20</v>
      </c>
      <c r="K520" s="2" t="s">
        <v>148</v>
      </c>
    </row>
    <row r="521" spans="1:11" x14ac:dyDescent="0.25">
      <c r="A521">
        <v>625</v>
      </c>
      <c r="B521" s="2">
        <v>1</v>
      </c>
      <c r="C521" s="2" t="s">
        <v>603</v>
      </c>
      <c r="D521">
        <v>413</v>
      </c>
      <c r="E521" s="2" t="s">
        <v>607</v>
      </c>
      <c r="G521" s="2">
        <v>332</v>
      </c>
      <c r="H521" s="2">
        <v>1</v>
      </c>
      <c r="I521" s="2" t="s">
        <v>425</v>
      </c>
      <c r="J521" s="2">
        <v>30</v>
      </c>
      <c r="K521" s="2" t="s">
        <v>426</v>
      </c>
    </row>
    <row r="522" spans="1:11" x14ac:dyDescent="0.25">
      <c r="A522">
        <v>625</v>
      </c>
      <c r="B522" s="2">
        <v>1</v>
      </c>
      <c r="C522" s="2" t="s">
        <v>603</v>
      </c>
      <c r="D522">
        <v>415</v>
      </c>
      <c r="E522" s="2" t="s">
        <v>608</v>
      </c>
      <c r="G522">
        <v>769</v>
      </c>
      <c r="H522" s="2">
        <v>1</v>
      </c>
      <c r="I522" s="2" t="s">
        <v>761</v>
      </c>
      <c r="J522">
        <v>30</v>
      </c>
      <c r="K522" s="2" t="s">
        <v>762</v>
      </c>
    </row>
    <row r="523" spans="1:11" x14ac:dyDescent="0.25">
      <c r="A523">
        <v>625</v>
      </c>
      <c r="B523" s="2">
        <v>1</v>
      </c>
      <c r="C523" s="2" t="s">
        <v>603</v>
      </c>
      <c r="D523">
        <v>422</v>
      </c>
      <c r="E523" s="2" t="s">
        <v>609</v>
      </c>
      <c r="G523">
        <v>621</v>
      </c>
      <c r="H523" s="2">
        <v>1</v>
      </c>
      <c r="I523" s="2" t="s">
        <v>572</v>
      </c>
      <c r="J523">
        <v>25</v>
      </c>
      <c r="K523" s="2" t="s">
        <v>573</v>
      </c>
    </row>
    <row r="524" spans="1:11" x14ac:dyDescent="0.25">
      <c r="A524">
        <v>625</v>
      </c>
      <c r="B524" s="2">
        <v>1</v>
      </c>
      <c r="C524" s="2" t="s">
        <v>603</v>
      </c>
      <c r="D524">
        <v>425</v>
      </c>
      <c r="E524" s="2" t="s">
        <v>610</v>
      </c>
      <c r="G524">
        <v>621</v>
      </c>
      <c r="H524" s="2">
        <v>1</v>
      </c>
      <c r="I524" s="2" t="s">
        <v>572</v>
      </c>
      <c r="J524">
        <v>26</v>
      </c>
      <c r="K524" s="2" t="s">
        <v>574</v>
      </c>
    </row>
    <row r="525" spans="1:11" x14ac:dyDescent="0.25">
      <c r="A525">
        <v>625</v>
      </c>
      <c r="B525" s="2">
        <v>1</v>
      </c>
      <c r="C525" s="2" t="s">
        <v>603</v>
      </c>
      <c r="D525">
        <v>428</v>
      </c>
      <c r="E525" s="2" t="s">
        <v>611</v>
      </c>
      <c r="G525">
        <v>621</v>
      </c>
      <c r="H525" s="2">
        <v>1</v>
      </c>
      <c r="I525" s="2" t="s">
        <v>572</v>
      </c>
      <c r="J525">
        <v>30</v>
      </c>
      <c r="K525" s="2" t="s">
        <v>575</v>
      </c>
    </row>
    <row r="526" spans="1:11" x14ac:dyDescent="0.25">
      <c r="A526">
        <v>625</v>
      </c>
      <c r="B526" s="2">
        <v>1</v>
      </c>
      <c r="C526" s="2" t="s">
        <v>603</v>
      </c>
      <c r="D526">
        <v>431</v>
      </c>
      <c r="E526" s="2" t="s">
        <v>612</v>
      </c>
      <c r="G526">
        <v>621</v>
      </c>
      <c r="H526" s="2">
        <v>1</v>
      </c>
      <c r="I526" s="2" t="s">
        <v>572</v>
      </c>
      <c r="J526">
        <v>34</v>
      </c>
      <c r="K526" s="2" t="s">
        <v>576</v>
      </c>
    </row>
    <row r="527" spans="1:11" x14ac:dyDescent="0.25">
      <c r="A527">
        <v>625</v>
      </c>
      <c r="B527">
        <v>1</v>
      </c>
      <c r="C527" t="s">
        <v>1211</v>
      </c>
      <c r="D527">
        <v>432</v>
      </c>
      <c r="E527" t="s">
        <v>1218</v>
      </c>
      <c r="G527">
        <v>621</v>
      </c>
      <c r="H527" s="2">
        <v>1</v>
      </c>
      <c r="I527" s="2" t="s">
        <v>572</v>
      </c>
      <c r="J527">
        <v>35</v>
      </c>
      <c r="K527" s="2" t="s">
        <v>577</v>
      </c>
    </row>
    <row r="528" spans="1:11" x14ac:dyDescent="0.25">
      <c r="A528">
        <v>625</v>
      </c>
      <c r="B528" s="2">
        <v>1</v>
      </c>
      <c r="C528" s="2" t="s">
        <v>603</v>
      </c>
      <c r="D528">
        <v>433</v>
      </c>
      <c r="E528" s="2" t="s">
        <v>613</v>
      </c>
      <c r="G528">
        <v>621</v>
      </c>
      <c r="H528" s="2">
        <v>1</v>
      </c>
      <c r="I528" s="2" t="s">
        <v>572</v>
      </c>
      <c r="J528">
        <v>36</v>
      </c>
      <c r="K528" s="2" t="s">
        <v>578</v>
      </c>
    </row>
    <row r="529" spans="1:11" x14ac:dyDescent="0.25">
      <c r="A529">
        <v>625</v>
      </c>
      <c r="B529" s="2">
        <v>1</v>
      </c>
      <c r="C529" s="2" t="s">
        <v>603</v>
      </c>
      <c r="D529">
        <v>435</v>
      </c>
      <c r="E529" s="2" t="s">
        <v>614</v>
      </c>
      <c r="G529">
        <v>621</v>
      </c>
      <c r="H529">
        <v>1</v>
      </c>
      <c r="I529" t="s">
        <v>1207</v>
      </c>
      <c r="J529">
        <v>43</v>
      </c>
      <c r="K529" t="s">
        <v>1209</v>
      </c>
    </row>
    <row r="530" spans="1:11" x14ac:dyDescent="0.25">
      <c r="A530">
        <v>625</v>
      </c>
      <c r="B530" s="2">
        <v>1</v>
      </c>
      <c r="C530" s="2" t="s">
        <v>603</v>
      </c>
      <c r="D530">
        <v>438</v>
      </c>
      <c r="E530" s="2" t="s">
        <v>615</v>
      </c>
      <c r="G530">
        <v>621</v>
      </c>
      <c r="H530">
        <v>1</v>
      </c>
      <c r="I530" t="s">
        <v>1207</v>
      </c>
      <c r="J530">
        <v>39</v>
      </c>
      <c r="K530" t="s">
        <v>1208</v>
      </c>
    </row>
    <row r="531" spans="1:11" x14ac:dyDescent="0.25">
      <c r="A531">
        <v>625</v>
      </c>
      <c r="B531" s="2">
        <v>1</v>
      </c>
      <c r="C531" s="2" t="s">
        <v>603</v>
      </c>
      <c r="D531">
        <v>449</v>
      </c>
      <c r="E531" s="2" t="s">
        <v>616</v>
      </c>
      <c r="G531">
        <v>712</v>
      </c>
      <c r="H531" s="2">
        <v>1</v>
      </c>
      <c r="I531" s="2" t="s">
        <v>695</v>
      </c>
      <c r="J531">
        <v>1</v>
      </c>
      <c r="K531" s="2" t="s">
        <v>696</v>
      </c>
    </row>
    <row r="532" spans="1:11" x14ac:dyDescent="0.25">
      <c r="A532">
        <v>625</v>
      </c>
      <c r="B532" s="2">
        <v>1</v>
      </c>
      <c r="C532" s="2" t="s">
        <v>603</v>
      </c>
      <c r="D532">
        <v>452</v>
      </c>
      <c r="E532" s="2" t="s">
        <v>617</v>
      </c>
      <c r="G532" s="2">
        <v>173</v>
      </c>
      <c r="H532" s="2">
        <v>1</v>
      </c>
      <c r="I532" s="2" t="s">
        <v>194</v>
      </c>
      <c r="J532" s="2">
        <v>10</v>
      </c>
      <c r="K532" s="2" t="s">
        <v>195</v>
      </c>
    </row>
    <row r="533" spans="1:11" x14ac:dyDescent="0.25">
      <c r="A533">
        <v>625</v>
      </c>
      <c r="B533" s="2">
        <v>1</v>
      </c>
      <c r="C533" s="2" t="s">
        <v>603</v>
      </c>
      <c r="D533">
        <v>458</v>
      </c>
      <c r="E533" s="2" t="s">
        <v>618</v>
      </c>
      <c r="G533">
        <v>2169</v>
      </c>
      <c r="H533" s="2">
        <v>1</v>
      </c>
      <c r="I533" s="2" t="s">
        <v>910</v>
      </c>
      <c r="J533">
        <v>10</v>
      </c>
      <c r="K533" s="2" t="s">
        <v>911</v>
      </c>
    </row>
    <row r="534" spans="1:11" x14ac:dyDescent="0.25">
      <c r="A534">
        <v>625</v>
      </c>
      <c r="B534" s="2">
        <v>1</v>
      </c>
      <c r="C534" s="2" t="s">
        <v>603</v>
      </c>
      <c r="D534">
        <v>460</v>
      </c>
      <c r="E534" s="2" t="s">
        <v>619</v>
      </c>
      <c r="G534">
        <v>2168</v>
      </c>
      <c r="H534" s="2">
        <v>1</v>
      </c>
      <c r="I534" s="2" t="s">
        <v>908</v>
      </c>
      <c r="J534">
        <v>10</v>
      </c>
      <c r="K534" s="2" t="s">
        <v>909</v>
      </c>
    </row>
    <row r="535" spans="1:11" x14ac:dyDescent="0.25">
      <c r="A535">
        <v>625</v>
      </c>
      <c r="B535" s="2">
        <v>1</v>
      </c>
      <c r="C535" s="2" t="s">
        <v>603</v>
      </c>
      <c r="D535">
        <v>461</v>
      </c>
      <c r="E535" s="2" t="s">
        <v>620</v>
      </c>
      <c r="G535" s="2">
        <v>319</v>
      </c>
      <c r="H535" s="2">
        <v>1</v>
      </c>
      <c r="I535" s="2" t="s">
        <v>421</v>
      </c>
      <c r="J535" s="2">
        <v>20</v>
      </c>
      <c r="K535" s="2" t="s">
        <v>422</v>
      </c>
    </row>
    <row r="536" spans="1:11" x14ac:dyDescent="0.25">
      <c r="A536">
        <v>625</v>
      </c>
      <c r="B536" s="2">
        <v>1</v>
      </c>
      <c r="C536" s="2" t="s">
        <v>603</v>
      </c>
      <c r="D536">
        <v>462</v>
      </c>
      <c r="E536" s="2" t="s">
        <v>621</v>
      </c>
      <c r="G536">
        <v>4155</v>
      </c>
      <c r="H536">
        <v>7</v>
      </c>
      <c r="I536" t="s">
        <v>1280</v>
      </c>
      <c r="J536">
        <v>10</v>
      </c>
      <c r="K536" t="s">
        <v>1280</v>
      </c>
    </row>
    <row r="537" spans="1:11" x14ac:dyDescent="0.25">
      <c r="A537">
        <v>625</v>
      </c>
      <c r="B537" s="2">
        <v>1</v>
      </c>
      <c r="C537" s="2" t="s">
        <v>603</v>
      </c>
      <c r="D537">
        <v>464</v>
      </c>
      <c r="E537" s="2" t="s">
        <v>622</v>
      </c>
      <c r="G537">
        <v>4055</v>
      </c>
      <c r="H537" s="2">
        <v>7</v>
      </c>
      <c r="I537" s="2" t="s">
        <v>1040</v>
      </c>
      <c r="J537">
        <v>10</v>
      </c>
      <c r="K537" s="2" t="s">
        <v>1040</v>
      </c>
    </row>
    <row r="538" spans="1:11" x14ac:dyDescent="0.25">
      <c r="A538">
        <v>625</v>
      </c>
      <c r="B538" s="2">
        <v>1</v>
      </c>
      <c r="C538" s="2" t="s">
        <v>603</v>
      </c>
      <c r="D538">
        <v>465</v>
      </c>
      <c r="E538" s="2" t="s">
        <v>623</v>
      </c>
      <c r="G538">
        <v>707</v>
      </c>
      <c r="H538">
        <v>1</v>
      </c>
      <c r="I538" t="s">
        <v>1225</v>
      </c>
      <c r="J538">
        <v>1</v>
      </c>
      <c r="K538" t="s">
        <v>1226</v>
      </c>
    </row>
    <row r="539" spans="1:11" x14ac:dyDescent="0.25">
      <c r="A539">
        <v>625</v>
      </c>
      <c r="B539" s="2">
        <v>1</v>
      </c>
      <c r="C539" s="2" t="s">
        <v>603</v>
      </c>
      <c r="D539">
        <v>466</v>
      </c>
      <c r="E539" s="2" t="s">
        <v>624</v>
      </c>
      <c r="G539" s="2">
        <v>308</v>
      </c>
      <c r="H539" s="2">
        <v>1</v>
      </c>
      <c r="I539" s="2" t="s">
        <v>403</v>
      </c>
      <c r="J539" s="2">
        <v>10</v>
      </c>
      <c r="K539" s="2" t="s">
        <v>404</v>
      </c>
    </row>
    <row r="540" spans="1:11" x14ac:dyDescent="0.25">
      <c r="A540">
        <v>625</v>
      </c>
      <c r="B540" s="2">
        <v>1</v>
      </c>
      <c r="C540" s="2" t="s">
        <v>603</v>
      </c>
      <c r="D540">
        <v>467</v>
      </c>
      <c r="E540" s="2" t="s">
        <v>625</v>
      </c>
      <c r="G540">
        <v>4089</v>
      </c>
      <c r="H540">
        <v>7</v>
      </c>
      <c r="I540" t="s">
        <v>1272</v>
      </c>
      <c r="J540">
        <v>10</v>
      </c>
      <c r="K540" t="s">
        <v>1272</v>
      </c>
    </row>
    <row r="541" spans="1:11" x14ac:dyDescent="0.25">
      <c r="A541">
        <v>625</v>
      </c>
      <c r="B541" s="2">
        <v>1</v>
      </c>
      <c r="C541" s="2" t="s">
        <v>603</v>
      </c>
      <c r="D541">
        <v>476</v>
      </c>
      <c r="E541" s="2" t="s">
        <v>626</v>
      </c>
      <c r="G541">
        <v>4161</v>
      </c>
      <c r="H541" s="2">
        <v>7</v>
      </c>
      <c r="I541" s="2" t="s">
        <v>1076</v>
      </c>
      <c r="J541">
        <v>10</v>
      </c>
      <c r="K541" s="2" t="s">
        <v>1076</v>
      </c>
    </row>
    <row r="542" spans="1:11" x14ac:dyDescent="0.25">
      <c r="A542">
        <v>625</v>
      </c>
      <c r="B542" s="2">
        <v>1</v>
      </c>
      <c r="C542" s="2" t="s">
        <v>603</v>
      </c>
      <c r="D542">
        <v>482</v>
      </c>
      <c r="E542" s="2" t="s">
        <v>627</v>
      </c>
      <c r="G542">
        <v>4003</v>
      </c>
      <c r="H542">
        <v>7</v>
      </c>
      <c r="I542" t="s">
        <v>1260</v>
      </c>
      <c r="J542">
        <v>10</v>
      </c>
      <c r="K542" t="s">
        <v>1260</v>
      </c>
    </row>
    <row r="543" spans="1:11" x14ac:dyDescent="0.25">
      <c r="A543">
        <v>625</v>
      </c>
      <c r="B543" s="2">
        <v>1</v>
      </c>
      <c r="C543" s="2" t="s">
        <v>603</v>
      </c>
      <c r="D543">
        <v>488</v>
      </c>
      <c r="E543" s="2" t="s">
        <v>628</v>
      </c>
      <c r="G543" s="2">
        <v>345</v>
      </c>
      <c r="H543" s="2">
        <v>1</v>
      </c>
      <c r="I543" s="2" t="s">
        <v>429</v>
      </c>
      <c r="J543" s="2">
        <v>10</v>
      </c>
      <c r="K543" s="2" t="s">
        <v>430</v>
      </c>
    </row>
    <row r="544" spans="1:11" x14ac:dyDescent="0.25">
      <c r="A544">
        <v>625</v>
      </c>
      <c r="B544" s="2">
        <v>1</v>
      </c>
      <c r="C544" s="2" t="s">
        <v>603</v>
      </c>
      <c r="D544">
        <v>491</v>
      </c>
      <c r="E544" s="2" t="s">
        <v>629</v>
      </c>
      <c r="G544">
        <v>4143</v>
      </c>
      <c r="H544" s="2">
        <v>7</v>
      </c>
      <c r="I544" s="2" t="s">
        <v>1071</v>
      </c>
      <c r="J544">
        <v>10</v>
      </c>
      <c r="K544" s="2" t="s">
        <v>1072</v>
      </c>
    </row>
    <row r="545" spans="1:11" x14ac:dyDescent="0.25">
      <c r="A545">
        <v>625</v>
      </c>
      <c r="B545" s="2">
        <v>1</v>
      </c>
      <c r="C545" s="2" t="s">
        <v>603</v>
      </c>
      <c r="D545">
        <v>493</v>
      </c>
      <c r="E545" s="2" t="s">
        <v>630</v>
      </c>
      <c r="G545">
        <v>721</v>
      </c>
      <c r="H545" s="2">
        <v>1</v>
      </c>
      <c r="I545" s="2" t="s">
        <v>714</v>
      </c>
      <c r="J545">
        <v>521</v>
      </c>
      <c r="K545" s="2" t="s">
        <v>716</v>
      </c>
    </row>
    <row r="546" spans="1:11" x14ac:dyDescent="0.25">
      <c r="A546">
        <v>625</v>
      </c>
      <c r="B546" s="2">
        <v>1</v>
      </c>
      <c r="C546" s="2" t="s">
        <v>603</v>
      </c>
      <c r="D546">
        <v>494</v>
      </c>
      <c r="E546" s="2" t="s">
        <v>631</v>
      </c>
      <c r="G546">
        <v>721</v>
      </c>
      <c r="H546" s="2">
        <v>1</v>
      </c>
      <c r="I546" s="2" t="s">
        <v>714</v>
      </c>
      <c r="J546">
        <v>651</v>
      </c>
      <c r="K546" s="2" t="s">
        <v>717</v>
      </c>
    </row>
    <row r="547" spans="1:11" x14ac:dyDescent="0.25">
      <c r="A547">
        <v>625</v>
      </c>
      <c r="B547" s="2">
        <v>1</v>
      </c>
      <c r="C547" s="2" t="s">
        <v>603</v>
      </c>
      <c r="D547">
        <v>496</v>
      </c>
      <c r="E547" s="2" t="s">
        <v>632</v>
      </c>
      <c r="G547">
        <v>721</v>
      </c>
      <c r="H547" s="2">
        <v>1</v>
      </c>
      <c r="I547" s="2" t="s">
        <v>714</v>
      </c>
      <c r="J547">
        <v>345</v>
      </c>
      <c r="K547" s="2" t="s">
        <v>715</v>
      </c>
    </row>
    <row r="548" spans="1:11" x14ac:dyDescent="0.25">
      <c r="A548">
        <v>625</v>
      </c>
      <c r="B548" s="2">
        <v>1</v>
      </c>
      <c r="C548" s="2" t="s">
        <v>603</v>
      </c>
      <c r="D548">
        <v>500</v>
      </c>
      <c r="E548" s="2" t="s">
        <v>634</v>
      </c>
      <c r="G548">
        <v>4029</v>
      </c>
      <c r="H548" s="2">
        <v>7</v>
      </c>
      <c r="I548" s="2" t="s">
        <v>1034</v>
      </c>
      <c r="J548">
        <v>10</v>
      </c>
      <c r="K548" s="2" t="s">
        <v>1035</v>
      </c>
    </row>
    <row r="549" spans="1:11" x14ac:dyDescent="0.25">
      <c r="A549">
        <v>625</v>
      </c>
      <c r="B549" s="2">
        <v>1</v>
      </c>
      <c r="C549" s="2" t="s">
        <v>603</v>
      </c>
      <c r="D549">
        <v>510</v>
      </c>
      <c r="E549" s="2" t="s">
        <v>635</v>
      </c>
      <c r="G549" s="2">
        <v>88</v>
      </c>
      <c r="H549" s="2">
        <v>1</v>
      </c>
      <c r="I549" s="2" t="s">
        <v>138</v>
      </c>
      <c r="J549" s="2">
        <v>20</v>
      </c>
      <c r="K549" s="2" t="s">
        <v>28</v>
      </c>
    </row>
    <row r="550" spans="1:11" x14ac:dyDescent="0.25">
      <c r="A550" s="5">
        <v>625</v>
      </c>
      <c r="B550" s="5">
        <v>1</v>
      </c>
      <c r="C550" t="s">
        <v>603</v>
      </c>
      <c r="D550" s="5">
        <v>512</v>
      </c>
      <c r="E550" s="6" t="s">
        <v>636</v>
      </c>
      <c r="G550" s="7">
        <v>88</v>
      </c>
      <c r="H550" s="7">
        <v>1</v>
      </c>
      <c r="I550" s="7" t="s">
        <v>138</v>
      </c>
      <c r="J550" s="7">
        <v>30</v>
      </c>
      <c r="K550" s="7" t="s">
        <v>71</v>
      </c>
    </row>
    <row r="551" spans="1:11" x14ac:dyDescent="0.25">
      <c r="A551">
        <v>625</v>
      </c>
      <c r="B551" s="2">
        <v>1</v>
      </c>
      <c r="C551" s="2" t="s">
        <v>603</v>
      </c>
      <c r="D551">
        <v>518</v>
      </c>
      <c r="E551" s="2" t="s">
        <v>637</v>
      </c>
      <c r="G551">
        <v>4011</v>
      </c>
      <c r="H551" s="2">
        <v>7</v>
      </c>
      <c r="I551" s="2" t="s">
        <v>1023</v>
      </c>
      <c r="J551">
        <v>10</v>
      </c>
      <c r="K551" s="2" t="s">
        <v>1023</v>
      </c>
    </row>
    <row r="552" spans="1:11" x14ac:dyDescent="0.25">
      <c r="A552">
        <v>625</v>
      </c>
      <c r="B552" s="2">
        <v>1</v>
      </c>
      <c r="C552" s="2" t="s">
        <v>603</v>
      </c>
      <c r="D552">
        <v>524</v>
      </c>
      <c r="E552" s="2" t="s">
        <v>638</v>
      </c>
      <c r="G552">
        <v>553</v>
      </c>
      <c r="H552" s="2">
        <v>1</v>
      </c>
      <c r="I552" s="2" t="s">
        <v>553</v>
      </c>
      <c r="J552">
        <v>10</v>
      </c>
      <c r="K552" s="2" t="s">
        <v>554</v>
      </c>
    </row>
    <row r="553" spans="1:11" x14ac:dyDescent="0.25">
      <c r="A553">
        <v>625</v>
      </c>
      <c r="B553" s="2">
        <v>1</v>
      </c>
      <c r="C553" s="2" t="s">
        <v>603</v>
      </c>
      <c r="D553">
        <v>527</v>
      </c>
      <c r="E553" s="2" t="s">
        <v>639</v>
      </c>
      <c r="G553" s="2">
        <v>507</v>
      </c>
      <c r="H553" s="2">
        <v>1</v>
      </c>
      <c r="I553" s="2" t="s">
        <v>512</v>
      </c>
      <c r="J553" s="2">
        <v>10</v>
      </c>
      <c r="K553" s="2" t="s">
        <v>513</v>
      </c>
    </row>
    <row r="554" spans="1:11" x14ac:dyDescent="0.25">
      <c r="A554" s="7">
        <v>625</v>
      </c>
      <c r="B554" s="7">
        <v>1</v>
      </c>
      <c r="C554" s="7" t="s">
        <v>603</v>
      </c>
      <c r="D554" s="7">
        <v>528</v>
      </c>
      <c r="E554" s="7" t="s">
        <v>640</v>
      </c>
      <c r="G554">
        <v>4171</v>
      </c>
      <c r="H554" s="2">
        <v>7</v>
      </c>
      <c r="I554" s="2" t="s">
        <v>1082</v>
      </c>
      <c r="J554">
        <v>10</v>
      </c>
      <c r="K554" s="2" t="s">
        <v>1082</v>
      </c>
    </row>
    <row r="555" spans="1:11" x14ac:dyDescent="0.25">
      <c r="A555">
        <v>625</v>
      </c>
      <c r="B555" s="2">
        <v>1</v>
      </c>
      <c r="C555" s="2" t="s">
        <v>603</v>
      </c>
      <c r="D555">
        <v>530</v>
      </c>
      <c r="E555" s="2" t="s">
        <v>641</v>
      </c>
      <c r="G555">
        <v>2215</v>
      </c>
      <c r="H555" s="2">
        <v>1</v>
      </c>
      <c r="I555" s="2" t="s">
        <v>932</v>
      </c>
      <c r="J555">
        <v>10</v>
      </c>
      <c r="K555" s="2" t="s">
        <v>933</v>
      </c>
    </row>
    <row r="556" spans="1:11" x14ac:dyDescent="0.25">
      <c r="A556">
        <v>625</v>
      </c>
      <c r="B556" s="2">
        <v>1</v>
      </c>
      <c r="C556" s="2" t="s">
        <v>603</v>
      </c>
      <c r="D556">
        <v>533</v>
      </c>
      <c r="E556" s="2" t="s">
        <v>642</v>
      </c>
      <c r="G556">
        <v>2527</v>
      </c>
      <c r="H556" s="2">
        <v>1</v>
      </c>
      <c r="I556" s="2" t="s">
        <v>955</v>
      </c>
      <c r="J556">
        <v>1</v>
      </c>
      <c r="K556" s="2" t="s">
        <v>956</v>
      </c>
    </row>
    <row r="557" spans="1:11" x14ac:dyDescent="0.25">
      <c r="A557">
        <v>625</v>
      </c>
      <c r="B557" s="2">
        <v>1</v>
      </c>
      <c r="C557" s="2" t="s">
        <v>603</v>
      </c>
      <c r="D557">
        <v>536</v>
      </c>
      <c r="E557" s="2" t="s">
        <v>643</v>
      </c>
      <c r="G557" s="2">
        <v>138</v>
      </c>
      <c r="H557" s="2">
        <v>1</v>
      </c>
      <c r="I557" s="2" t="s">
        <v>178</v>
      </c>
      <c r="J557" s="2">
        <v>45</v>
      </c>
      <c r="K557" s="2" t="s">
        <v>179</v>
      </c>
    </row>
    <row r="558" spans="1:11" x14ac:dyDescent="0.25">
      <c r="A558">
        <v>625</v>
      </c>
      <c r="B558" s="2">
        <v>1</v>
      </c>
      <c r="C558" s="2" t="s">
        <v>603</v>
      </c>
      <c r="D558">
        <v>541</v>
      </c>
      <c r="E558" s="2" t="s">
        <v>644</v>
      </c>
      <c r="G558">
        <v>138</v>
      </c>
      <c r="H558">
        <v>1</v>
      </c>
      <c r="I558" t="s">
        <v>1172</v>
      </c>
      <c r="J558">
        <v>70</v>
      </c>
      <c r="K558" t="s">
        <v>1173</v>
      </c>
    </row>
    <row r="559" spans="1:11" x14ac:dyDescent="0.25">
      <c r="A559">
        <v>625</v>
      </c>
      <c r="B559" s="2">
        <v>1</v>
      </c>
      <c r="C559" s="2" t="s">
        <v>603</v>
      </c>
      <c r="D559">
        <v>542</v>
      </c>
      <c r="E559" s="2" t="s">
        <v>645</v>
      </c>
      <c r="G559">
        <v>4084</v>
      </c>
      <c r="H559" s="2">
        <v>7</v>
      </c>
      <c r="I559" s="2" t="s">
        <v>1049</v>
      </c>
      <c r="J559">
        <v>10</v>
      </c>
      <c r="K559" s="2" t="s">
        <v>1049</v>
      </c>
    </row>
    <row r="560" spans="1:11" x14ac:dyDescent="0.25">
      <c r="A560">
        <v>625</v>
      </c>
      <c r="B560" s="2">
        <v>1</v>
      </c>
      <c r="C560" s="2" t="s">
        <v>603</v>
      </c>
      <c r="D560">
        <v>545</v>
      </c>
      <c r="E560" s="2" t="s">
        <v>646</v>
      </c>
      <c r="G560">
        <v>622</v>
      </c>
      <c r="H560" s="2">
        <v>1</v>
      </c>
      <c r="I560" s="2" t="s">
        <v>579</v>
      </c>
      <c r="J560">
        <v>27</v>
      </c>
      <c r="K560" s="2" t="s">
        <v>580</v>
      </c>
    </row>
    <row r="561" spans="1:11" x14ac:dyDescent="0.25">
      <c r="A561">
        <v>625</v>
      </c>
      <c r="B561" s="2">
        <v>1</v>
      </c>
      <c r="C561" s="2" t="s">
        <v>603</v>
      </c>
      <c r="D561">
        <v>551</v>
      </c>
      <c r="E561" s="2" t="s">
        <v>647</v>
      </c>
      <c r="G561">
        <v>622</v>
      </c>
      <c r="H561" s="2">
        <v>1</v>
      </c>
      <c r="I561" s="2" t="s">
        <v>579</v>
      </c>
      <c r="J561">
        <v>28</v>
      </c>
      <c r="K561" s="2" t="s">
        <v>581</v>
      </c>
    </row>
    <row r="562" spans="1:11" x14ac:dyDescent="0.25">
      <c r="A562">
        <v>625</v>
      </c>
      <c r="B562" s="2">
        <v>1</v>
      </c>
      <c r="C562" s="2" t="s">
        <v>603</v>
      </c>
      <c r="D562">
        <v>552</v>
      </c>
      <c r="E562" s="2" t="s">
        <v>648</v>
      </c>
      <c r="G562">
        <v>622</v>
      </c>
      <c r="H562" s="2">
        <v>1</v>
      </c>
      <c r="I562" s="2" t="s">
        <v>579</v>
      </c>
      <c r="J562">
        <v>29</v>
      </c>
      <c r="K562" s="2" t="s">
        <v>582</v>
      </c>
    </row>
    <row r="563" spans="1:11" x14ac:dyDescent="0.25">
      <c r="A563" s="5">
        <v>625</v>
      </c>
      <c r="B563" s="5">
        <v>1</v>
      </c>
      <c r="C563" t="s">
        <v>603</v>
      </c>
      <c r="D563" s="5">
        <v>554</v>
      </c>
      <c r="E563" s="6" t="s">
        <v>649</v>
      </c>
      <c r="G563">
        <v>622</v>
      </c>
      <c r="H563" s="2">
        <v>1</v>
      </c>
      <c r="I563" s="2" t="s">
        <v>579</v>
      </c>
      <c r="J563">
        <v>30</v>
      </c>
      <c r="K563" s="2" t="s">
        <v>583</v>
      </c>
    </row>
    <row r="564" spans="1:11" x14ac:dyDescent="0.25">
      <c r="A564">
        <v>625</v>
      </c>
      <c r="B564" s="2">
        <v>1</v>
      </c>
      <c r="C564" s="2" t="s">
        <v>603</v>
      </c>
      <c r="D564">
        <v>557</v>
      </c>
      <c r="E564" s="2" t="s">
        <v>650</v>
      </c>
      <c r="G564">
        <v>622</v>
      </c>
      <c r="H564" s="2">
        <v>1</v>
      </c>
      <c r="I564" s="2" t="s">
        <v>579</v>
      </c>
      <c r="J564">
        <v>33</v>
      </c>
      <c r="K564" s="2" t="s">
        <v>584</v>
      </c>
    </row>
    <row r="565" spans="1:11" x14ac:dyDescent="0.25">
      <c r="A565">
        <v>625</v>
      </c>
      <c r="B565" s="2">
        <v>1</v>
      </c>
      <c r="C565" s="2" t="s">
        <v>603</v>
      </c>
      <c r="D565">
        <v>563</v>
      </c>
      <c r="E565" s="2" t="s">
        <v>23</v>
      </c>
      <c r="G565">
        <v>622</v>
      </c>
      <c r="H565" s="2">
        <v>1</v>
      </c>
      <c r="I565" s="2" t="s">
        <v>579</v>
      </c>
      <c r="J565">
        <v>34</v>
      </c>
      <c r="K565" s="2" t="s">
        <v>585</v>
      </c>
    </row>
    <row r="566" spans="1:11" x14ac:dyDescent="0.25">
      <c r="A566">
        <v>625</v>
      </c>
      <c r="B566" s="2">
        <v>1</v>
      </c>
      <c r="C566" s="2" t="s">
        <v>603</v>
      </c>
      <c r="D566">
        <v>578</v>
      </c>
      <c r="E566" s="2" t="s">
        <v>651</v>
      </c>
      <c r="G566">
        <v>622</v>
      </c>
      <c r="H566" s="2">
        <v>1</v>
      </c>
      <c r="I566" s="2" t="s">
        <v>579</v>
      </c>
      <c r="J566">
        <v>37</v>
      </c>
      <c r="K566" s="2" t="s">
        <v>588</v>
      </c>
    </row>
    <row r="567" spans="1:11" x14ac:dyDescent="0.25">
      <c r="A567">
        <v>625</v>
      </c>
      <c r="B567" s="2">
        <v>1</v>
      </c>
      <c r="C567" s="2" t="s">
        <v>603</v>
      </c>
      <c r="D567">
        <v>579</v>
      </c>
      <c r="E567" s="2" t="s">
        <v>652</v>
      </c>
      <c r="G567">
        <v>622</v>
      </c>
      <c r="H567">
        <v>1</v>
      </c>
      <c r="I567" t="s">
        <v>579</v>
      </c>
      <c r="J567">
        <v>41</v>
      </c>
      <c r="K567" t="s">
        <v>1210</v>
      </c>
    </row>
    <row r="568" spans="1:11" x14ac:dyDescent="0.25">
      <c r="A568">
        <v>625</v>
      </c>
      <c r="B568">
        <v>1</v>
      </c>
      <c r="C568" t="s">
        <v>1211</v>
      </c>
      <c r="D568">
        <v>607</v>
      </c>
      <c r="E568" t="s">
        <v>1219</v>
      </c>
      <c r="G568">
        <v>622</v>
      </c>
      <c r="H568" s="2">
        <v>1</v>
      </c>
      <c r="I568" s="2" t="s">
        <v>579</v>
      </c>
      <c r="J568">
        <v>35</v>
      </c>
      <c r="K568" s="2" t="s">
        <v>586</v>
      </c>
    </row>
    <row r="569" spans="1:11" x14ac:dyDescent="0.25">
      <c r="A569">
        <v>625</v>
      </c>
      <c r="B569">
        <v>1</v>
      </c>
      <c r="C569" t="s">
        <v>1211</v>
      </c>
      <c r="D569">
        <v>654</v>
      </c>
      <c r="E569" t="s">
        <v>1220</v>
      </c>
      <c r="G569">
        <v>622</v>
      </c>
      <c r="H569" s="2">
        <v>1</v>
      </c>
      <c r="I569" s="2" t="s">
        <v>579</v>
      </c>
      <c r="J569">
        <v>36</v>
      </c>
      <c r="K569" s="2" t="s">
        <v>587</v>
      </c>
    </row>
    <row r="570" spans="1:11" x14ac:dyDescent="0.25">
      <c r="A570">
        <v>628</v>
      </c>
      <c r="B570" s="2">
        <v>1</v>
      </c>
      <c r="C570" s="2" t="s">
        <v>653</v>
      </c>
      <c r="D570">
        <v>11</v>
      </c>
      <c r="E570" s="2" t="s">
        <v>654</v>
      </c>
      <c r="G570">
        <v>659</v>
      </c>
      <c r="H570" s="2">
        <v>1</v>
      </c>
      <c r="I570" s="2" t="s">
        <v>660</v>
      </c>
      <c r="J570">
        <v>7</v>
      </c>
      <c r="K570" s="2" t="s">
        <v>662</v>
      </c>
    </row>
    <row r="571" spans="1:11" x14ac:dyDescent="0.25">
      <c r="A571">
        <v>630</v>
      </c>
      <c r="B571" s="2">
        <v>1</v>
      </c>
      <c r="C571" s="2" t="s">
        <v>655</v>
      </c>
      <c r="D571">
        <v>10</v>
      </c>
      <c r="E571" s="2" t="s">
        <v>656</v>
      </c>
      <c r="G571">
        <v>659</v>
      </c>
      <c r="H571" s="2">
        <v>1</v>
      </c>
      <c r="I571" s="2" t="s">
        <v>660</v>
      </c>
      <c r="J571">
        <v>3</v>
      </c>
      <c r="K571" s="2" t="s">
        <v>661</v>
      </c>
    </row>
    <row r="572" spans="1:11" x14ac:dyDescent="0.25">
      <c r="A572">
        <v>640</v>
      </c>
      <c r="B572" s="2">
        <v>1</v>
      </c>
      <c r="C572" s="2" t="s">
        <v>657</v>
      </c>
      <c r="D572">
        <v>10</v>
      </c>
      <c r="E572" s="2" t="s">
        <v>658</v>
      </c>
      <c r="G572">
        <v>659</v>
      </c>
      <c r="H572" s="2">
        <v>1</v>
      </c>
      <c r="I572" s="2" t="s">
        <v>660</v>
      </c>
      <c r="J572">
        <v>8</v>
      </c>
      <c r="K572" s="2" t="s">
        <v>293</v>
      </c>
    </row>
    <row r="573" spans="1:11" x14ac:dyDescent="0.25">
      <c r="A573">
        <v>640</v>
      </c>
      <c r="B573">
        <v>1</v>
      </c>
      <c r="C573" t="s">
        <v>1221</v>
      </c>
      <c r="D573">
        <v>30</v>
      </c>
      <c r="E573" t="s">
        <v>1222</v>
      </c>
      <c r="G573" s="5">
        <v>118</v>
      </c>
      <c r="H573" s="5">
        <v>1</v>
      </c>
      <c r="I573" t="s">
        <v>173</v>
      </c>
      <c r="J573" s="5">
        <v>30</v>
      </c>
      <c r="K573" s="6" t="s">
        <v>175</v>
      </c>
    </row>
    <row r="574" spans="1:11" x14ac:dyDescent="0.25">
      <c r="A574">
        <v>656</v>
      </c>
      <c r="B574" s="2">
        <v>1</v>
      </c>
      <c r="C574" s="2" t="s">
        <v>659</v>
      </c>
      <c r="D574">
        <v>30</v>
      </c>
      <c r="E574" s="2" t="s">
        <v>28</v>
      </c>
      <c r="G574" s="2">
        <v>118</v>
      </c>
      <c r="H574" s="2">
        <v>1</v>
      </c>
      <c r="I574" s="2" t="s">
        <v>173</v>
      </c>
      <c r="J574" s="2">
        <v>10</v>
      </c>
      <c r="K574" s="2" t="s">
        <v>174</v>
      </c>
    </row>
    <row r="575" spans="1:11" x14ac:dyDescent="0.25">
      <c r="A575">
        <v>656</v>
      </c>
      <c r="B575" s="2">
        <v>1</v>
      </c>
      <c r="C575" s="2" t="s">
        <v>659</v>
      </c>
      <c r="D575">
        <v>40</v>
      </c>
      <c r="E575" s="2" t="s">
        <v>60</v>
      </c>
      <c r="G575" s="2">
        <v>108</v>
      </c>
      <c r="H575" s="2">
        <v>1</v>
      </c>
      <c r="I575" s="2" t="s">
        <v>153</v>
      </c>
      <c r="J575" s="2">
        <v>40</v>
      </c>
      <c r="K575" s="2" t="s">
        <v>110</v>
      </c>
    </row>
    <row r="576" spans="1:11" x14ac:dyDescent="0.25">
      <c r="A576">
        <v>656</v>
      </c>
      <c r="B576" s="2">
        <v>1</v>
      </c>
      <c r="C576" s="2" t="s">
        <v>659</v>
      </c>
      <c r="D576">
        <v>45</v>
      </c>
      <c r="E576" s="2" t="s">
        <v>104</v>
      </c>
      <c r="G576">
        <v>4098</v>
      </c>
      <c r="H576" s="2">
        <v>7</v>
      </c>
      <c r="I576" s="2" t="s">
        <v>1054</v>
      </c>
      <c r="J576">
        <v>10</v>
      </c>
      <c r="K576" s="2" t="s">
        <v>1054</v>
      </c>
    </row>
    <row r="577" spans="1:11" x14ac:dyDescent="0.25">
      <c r="A577">
        <v>659</v>
      </c>
      <c r="B577" s="2">
        <v>1</v>
      </c>
      <c r="C577" s="2" t="s">
        <v>660</v>
      </c>
      <c r="D577">
        <v>3</v>
      </c>
      <c r="E577" s="2" t="s">
        <v>661</v>
      </c>
      <c r="G577">
        <v>4030</v>
      </c>
      <c r="H577" s="2">
        <v>7</v>
      </c>
      <c r="I577" s="2" t="s">
        <v>1036</v>
      </c>
      <c r="J577">
        <v>10</v>
      </c>
      <c r="K577" s="2" t="s">
        <v>1036</v>
      </c>
    </row>
    <row r="578" spans="1:11" x14ac:dyDescent="0.25">
      <c r="A578">
        <v>659</v>
      </c>
      <c r="B578" s="2">
        <v>1</v>
      </c>
      <c r="C578" s="2" t="s">
        <v>660</v>
      </c>
      <c r="D578">
        <v>7</v>
      </c>
      <c r="E578" s="2" t="s">
        <v>662</v>
      </c>
      <c r="G578">
        <v>333</v>
      </c>
      <c r="H578" s="2">
        <v>1</v>
      </c>
      <c r="I578" s="2" t="s">
        <v>427</v>
      </c>
      <c r="J578">
        <v>10</v>
      </c>
      <c r="K578" s="2" t="s">
        <v>428</v>
      </c>
    </row>
    <row r="579" spans="1:11" x14ac:dyDescent="0.25">
      <c r="A579">
        <v>659</v>
      </c>
      <c r="B579" s="2">
        <v>1</v>
      </c>
      <c r="C579" s="2" t="s">
        <v>660</v>
      </c>
      <c r="D579">
        <v>8</v>
      </c>
      <c r="E579" s="2" t="s">
        <v>293</v>
      </c>
      <c r="G579" s="2">
        <v>480</v>
      </c>
      <c r="H579" s="2">
        <v>1</v>
      </c>
      <c r="I579" s="2" t="s">
        <v>484</v>
      </c>
      <c r="J579" s="2">
        <v>10</v>
      </c>
      <c r="K579" s="2" t="s">
        <v>485</v>
      </c>
    </row>
    <row r="580" spans="1:11" x14ac:dyDescent="0.25">
      <c r="A580">
        <v>671</v>
      </c>
      <c r="B580" s="2">
        <v>1</v>
      </c>
      <c r="C580" s="2" t="s">
        <v>663</v>
      </c>
      <c r="D580">
        <v>10</v>
      </c>
      <c r="E580" s="2" t="s">
        <v>664</v>
      </c>
      <c r="G580" s="2">
        <v>278</v>
      </c>
      <c r="H580" s="2">
        <v>1</v>
      </c>
      <c r="I580" s="2" t="s">
        <v>345</v>
      </c>
      <c r="J580" s="2">
        <v>662</v>
      </c>
      <c r="K580" s="2" t="s">
        <v>346</v>
      </c>
    </row>
    <row r="581" spans="1:11" x14ac:dyDescent="0.25">
      <c r="A581">
        <v>676</v>
      </c>
      <c r="B581" s="2">
        <v>1</v>
      </c>
      <c r="C581" s="2" t="s">
        <v>665</v>
      </c>
      <c r="D581">
        <v>10</v>
      </c>
      <c r="E581" s="2" t="s">
        <v>666</v>
      </c>
      <c r="G581">
        <v>2903</v>
      </c>
      <c r="H581" s="2">
        <v>1</v>
      </c>
      <c r="I581" s="2" t="s">
        <v>1018</v>
      </c>
      <c r="J581">
        <v>10</v>
      </c>
      <c r="K581" s="2" t="s">
        <v>127</v>
      </c>
    </row>
    <row r="582" spans="1:11" x14ac:dyDescent="0.25">
      <c r="A582">
        <v>682</v>
      </c>
      <c r="B582" s="2">
        <v>1</v>
      </c>
      <c r="C582" s="2" t="s">
        <v>667</v>
      </c>
      <c r="D582">
        <v>10</v>
      </c>
      <c r="E582" s="2" t="s">
        <v>668</v>
      </c>
      <c r="G582" s="2">
        <v>213</v>
      </c>
      <c r="H582" s="2">
        <v>1</v>
      </c>
      <c r="I582" s="2" t="s">
        <v>280</v>
      </c>
      <c r="J582" s="2">
        <v>10</v>
      </c>
      <c r="K582" s="2" t="s">
        <v>281</v>
      </c>
    </row>
    <row r="583" spans="1:11" x14ac:dyDescent="0.25">
      <c r="A583">
        <v>690</v>
      </c>
      <c r="B583" s="2">
        <v>1</v>
      </c>
      <c r="C583" t="s">
        <v>1223</v>
      </c>
      <c r="D583">
        <v>10</v>
      </c>
      <c r="E583" s="2" t="s">
        <v>1362</v>
      </c>
      <c r="G583">
        <v>4195</v>
      </c>
      <c r="H583">
        <v>7</v>
      </c>
      <c r="I583" t="s">
        <v>1287</v>
      </c>
      <c r="J583">
        <v>10</v>
      </c>
      <c r="K583" t="s">
        <v>1287</v>
      </c>
    </row>
    <row r="584" spans="1:11" x14ac:dyDescent="0.25">
      <c r="A584">
        <v>690</v>
      </c>
      <c r="B584">
        <v>1</v>
      </c>
      <c r="C584" t="s">
        <v>1223</v>
      </c>
      <c r="D584">
        <v>20</v>
      </c>
      <c r="E584" t="s">
        <v>1224</v>
      </c>
      <c r="G584" s="2">
        <v>279</v>
      </c>
      <c r="H584" s="2">
        <v>1</v>
      </c>
      <c r="I584" s="2" t="s">
        <v>347</v>
      </c>
      <c r="J584" s="2">
        <v>670</v>
      </c>
      <c r="K584" s="2" t="s">
        <v>350</v>
      </c>
    </row>
    <row r="585" spans="1:11" x14ac:dyDescent="0.25">
      <c r="A585">
        <v>690</v>
      </c>
      <c r="B585" s="2">
        <v>1</v>
      </c>
      <c r="C585" s="2" t="s">
        <v>669</v>
      </c>
      <c r="D585">
        <v>60</v>
      </c>
      <c r="E585" s="2" t="s">
        <v>670</v>
      </c>
      <c r="G585" s="2">
        <v>279</v>
      </c>
      <c r="H585" s="2">
        <v>1</v>
      </c>
      <c r="I585" s="2" t="s">
        <v>347</v>
      </c>
      <c r="J585" s="2">
        <v>671</v>
      </c>
      <c r="K585" s="2" t="s">
        <v>351</v>
      </c>
    </row>
    <row r="586" spans="1:11" x14ac:dyDescent="0.25">
      <c r="A586">
        <v>695</v>
      </c>
      <c r="B586" s="2">
        <v>1</v>
      </c>
      <c r="C586" s="2" t="s">
        <v>671</v>
      </c>
      <c r="D586">
        <v>101</v>
      </c>
      <c r="E586" s="2" t="s">
        <v>672</v>
      </c>
      <c r="G586" s="2">
        <v>279</v>
      </c>
      <c r="H586" s="2">
        <v>1</v>
      </c>
      <c r="I586" s="2" t="s">
        <v>347</v>
      </c>
      <c r="J586" s="2">
        <v>682</v>
      </c>
      <c r="K586" s="2" t="s">
        <v>359</v>
      </c>
    </row>
    <row r="587" spans="1:11" x14ac:dyDescent="0.25">
      <c r="A587" s="7">
        <v>695</v>
      </c>
      <c r="B587" s="7">
        <v>1</v>
      </c>
      <c r="C587" s="7" t="s">
        <v>671</v>
      </c>
      <c r="D587" s="7">
        <v>301</v>
      </c>
      <c r="E587" s="7" t="s">
        <v>673</v>
      </c>
      <c r="G587" s="2">
        <v>279</v>
      </c>
      <c r="H587" s="2">
        <v>1</v>
      </c>
      <c r="I587" s="2" t="s">
        <v>347</v>
      </c>
      <c r="J587" s="2">
        <v>672</v>
      </c>
      <c r="K587" s="2" t="s">
        <v>352</v>
      </c>
    </row>
    <row r="588" spans="1:11" x14ac:dyDescent="0.25">
      <c r="A588">
        <v>696</v>
      </c>
      <c r="B588" s="2">
        <v>1</v>
      </c>
      <c r="C588" s="2" t="s">
        <v>674</v>
      </c>
      <c r="D588">
        <v>2</v>
      </c>
      <c r="E588" s="2" t="s">
        <v>71</v>
      </c>
      <c r="G588" s="2">
        <v>279</v>
      </c>
      <c r="H588" s="2">
        <v>1</v>
      </c>
      <c r="I588" s="2" t="s">
        <v>347</v>
      </c>
      <c r="J588" s="2">
        <v>673</v>
      </c>
      <c r="K588" s="2" t="s">
        <v>353</v>
      </c>
    </row>
    <row r="589" spans="1:11" x14ac:dyDescent="0.25">
      <c r="A589">
        <v>698</v>
      </c>
      <c r="B589" s="2">
        <v>1</v>
      </c>
      <c r="C589" s="2" t="s">
        <v>675</v>
      </c>
      <c r="D589">
        <v>10</v>
      </c>
      <c r="E589" s="2" t="s">
        <v>676</v>
      </c>
      <c r="G589" s="2">
        <v>279</v>
      </c>
      <c r="H589" s="2">
        <v>1</v>
      </c>
      <c r="I589" s="2" t="s">
        <v>347</v>
      </c>
      <c r="J589" s="2">
        <v>668</v>
      </c>
      <c r="K589" s="2" t="s">
        <v>348</v>
      </c>
    </row>
    <row r="590" spans="1:11" x14ac:dyDescent="0.25">
      <c r="A590">
        <v>700</v>
      </c>
      <c r="B590" s="2">
        <v>1</v>
      </c>
      <c r="C590" s="2" t="s">
        <v>677</v>
      </c>
      <c r="D590">
        <v>10</v>
      </c>
      <c r="E590" s="2" t="s">
        <v>678</v>
      </c>
      <c r="G590" s="2">
        <v>279</v>
      </c>
      <c r="H590" s="2">
        <v>1</v>
      </c>
      <c r="I590" s="2" t="s">
        <v>347</v>
      </c>
      <c r="J590" s="2">
        <v>684</v>
      </c>
      <c r="K590" s="2" t="s">
        <v>360</v>
      </c>
    </row>
    <row r="591" spans="1:11" x14ac:dyDescent="0.25">
      <c r="A591" s="7">
        <v>700</v>
      </c>
      <c r="B591" s="7">
        <v>1</v>
      </c>
      <c r="C591" s="7" t="s">
        <v>677</v>
      </c>
      <c r="D591" s="7">
        <v>15</v>
      </c>
      <c r="E591" s="7" t="s">
        <v>679</v>
      </c>
      <c r="G591" s="2">
        <v>279</v>
      </c>
      <c r="H591" s="2">
        <v>1</v>
      </c>
      <c r="I591" s="2" t="s">
        <v>347</v>
      </c>
      <c r="J591" s="2">
        <v>674</v>
      </c>
      <c r="K591" s="2" t="s">
        <v>354</v>
      </c>
    </row>
    <row r="592" spans="1:11" x14ac:dyDescent="0.25">
      <c r="A592">
        <v>701</v>
      </c>
      <c r="B592" s="2">
        <v>1</v>
      </c>
      <c r="C592" s="2" t="s">
        <v>680</v>
      </c>
      <c r="D592">
        <v>310</v>
      </c>
      <c r="E592" s="2" t="s">
        <v>60</v>
      </c>
      <c r="G592" s="2">
        <v>279</v>
      </c>
      <c r="H592" s="2">
        <v>1</v>
      </c>
      <c r="I592" s="2" t="s">
        <v>347</v>
      </c>
      <c r="J592" s="2">
        <v>689</v>
      </c>
      <c r="K592" s="2" t="s">
        <v>361</v>
      </c>
    </row>
    <row r="593" spans="1:11" x14ac:dyDescent="0.25">
      <c r="A593">
        <v>704</v>
      </c>
      <c r="B593" s="2">
        <v>1</v>
      </c>
      <c r="C593" s="2" t="s">
        <v>681</v>
      </c>
      <c r="D593">
        <v>4</v>
      </c>
      <c r="E593" s="2" t="s">
        <v>682</v>
      </c>
      <c r="G593" s="2">
        <v>279</v>
      </c>
      <c r="H593" s="2">
        <v>1</v>
      </c>
      <c r="I593" s="2" t="s">
        <v>347</v>
      </c>
      <c r="J593" s="2">
        <v>675</v>
      </c>
      <c r="K593" s="2" t="s">
        <v>355</v>
      </c>
    </row>
    <row r="594" spans="1:11" x14ac:dyDescent="0.25">
      <c r="A594">
        <v>704</v>
      </c>
      <c r="B594" s="2">
        <v>1</v>
      </c>
      <c r="C594" s="2" t="s">
        <v>681</v>
      </c>
      <c r="D594">
        <v>6</v>
      </c>
      <c r="E594" s="2" t="s">
        <v>683</v>
      </c>
      <c r="G594" s="7">
        <v>279</v>
      </c>
      <c r="H594" s="7">
        <v>1</v>
      </c>
      <c r="I594" s="7" t="s">
        <v>347</v>
      </c>
      <c r="J594" s="7">
        <v>696</v>
      </c>
      <c r="K594" s="7" t="s">
        <v>362</v>
      </c>
    </row>
    <row r="595" spans="1:11" x14ac:dyDescent="0.25">
      <c r="A595" s="7">
        <v>706</v>
      </c>
      <c r="B595" s="7">
        <v>1</v>
      </c>
      <c r="C595" s="7" t="s">
        <v>684</v>
      </c>
      <c r="D595" s="7">
        <v>30</v>
      </c>
      <c r="E595" s="7" t="s">
        <v>104</v>
      </c>
      <c r="G595" s="2">
        <v>279</v>
      </c>
      <c r="H595" s="2">
        <v>1</v>
      </c>
      <c r="I595" s="2" t="s">
        <v>347</v>
      </c>
      <c r="J595" s="2">
        <v>678</v>
      </c>
      <c r="K595" s="2" t="s">
        <v>356</v>
      </c>
    </row>
    <row r="596" spans="1:11" x14ac:dyDescent="0.25">
      <c r="A596">
        <v>706</v>
      </c>
      <c r="B596" s="2">
        <v>1</v>
      </c>
      <c r="C596" s="2" t="s">
        <v>684</v>
      </c>
      <c r="D596">
        <v>112</v>
      </c>
      <c r="E596" s="2" t="s">
        <v>242</v>
      </c>
      <c r="G596" s="2">
        <v>279</v>
      </c>
      <c r="H596" s="2">
        <v>1</v>
      </c>
      <c r="I596" s="2" t="s">
        <v>347</v>
      </c>
      <c r="J596" s="2">
        <v>679</v>
      </c>
      <c r="K596" s="2" t="s">
        <v>357</v>
      </c>
    </row>
    <row r="597" spans="1:11" x14ac:dyDescent="0.25">
      <c r="A597">
        <v>707</v>
      </c>
      <c r="B597">
        <v>1</v>
      </c>
      <c r="C597" t="s">
        <v>1225</v>
      </c>
      <c r="D597">
        <v>1</v>
      </c>
      <c r="E597" t="s">
        <v>1226</v>
      </c>
      <c r="G597" s="2">
        <v>279</v>
      </c>
      <c r="H597" s="2">
        <v>1</v>
      </c>
      <c r="I597" s="2" t="s">
        <v>347</v>
      </c>
      <c r="J597" s="2">
        <v>685</v>
      </c>
      <c r="K597" s="2" t="s">
        <v>84</v>
      </c>
    </row>
    <row r="598" spans="1:11" x14ac:dyDescent="0.25">
      <c r="A598">
        <v>709</v>
      </c>
      <c r="B598">
        <v>1</v>
      </c>
      <c r="C598" t="s">
        <v>1227</v>
      </c>
      <c r="D598">
        <v>81</v>
      </c>
      <c r="E598" t="s">
        <v>1228</v>
      </c>
      <c r="G598" s="2">
        <v>279</v>
      </c>
      <c r="H598" s="2">
        <v>1</v>
      </c>
      <c r="I598" s="2" t="s">
        <v>347</v>
      </c>
      <c r="J598" s="2">
        <v>669</v>
      </c>
      <c r="K598" s="2" t="s">
        <v>349</v>
      </c>
    </row>
    <row r="599" spans="1:11" x14ac:dyDescent="0.25">
      <c r="A599">
        <v>709</v>
      </c>
      <c r="B599" s="2">
        <v>1</v>
      </c>
      <c r="C599" s="2" t="s">
        <v>685</v>
      </c>
      <c r="D599">
        <v>435</v>
      </c>
      <c r="E599" s="2" t="s">
        <v>686</v>
      </c>
      <c r="G599" s="2">
        <v>279</v>
      </c>
      <c r="H599" s="2">
        <v>1</v>
      </c>
      <c r="I599" s="2" t="s">
        <v>347</v>
      </c>
      <c r="J599" s="2">
        <v>665</v>
      </c>
      <c r="K599" s="2" t="s">
        <v>249</v>
      </c>
    </row>
    <row r="600" spans="1:11" x14ac:dyDescent="0.25">
      <c r="A600" s="5">
        <v>709</v>
      </c>
      <c r="B600" s="5">
        <v>1</v>
      </c>
      <c r="C600" t="s">
        <v>685</v>
      </c>
      <c r="D600" s="5">
        <v>470</v>
      </c>
      <c r="E600" s="6" t="s">
        <v>687</v>
      </c>
      <c r="G600" s="2">
        <v>279</v>
      </c>
      <c r="H600" s="2">
        <v>1</v>
      </c>
      <c r="I600" s="2" t="s">
        <v>347</v>
      </c>
      <c r="J600" s="2">
        <v>681</v>
      </c>
      <c r="K600" s="2" t="s">
        <v>358</v>
      </c>
    </row>
    <row r="601" spans="1:11" x14ac:dyDescent="0.25">
      <c r="A601">
        <v>709</v>
      </c>
      <c r="B601" s="2">
        <v>1</v>
      </c>
      <c r="C601" s="2" t="s">
        <v>685</v>
      </c>
      <c r="D601">
        <v>475</v>
      </c>
      <c r="E601" s="2" t="s">
        <v>633</v>
      </c>
      <c r="G601">
        <v>761</v>
      </c>
      <c r="H601" s="2">
        <v>1</v>
      </c>
      <c r="I601" s="2" t="s">
        <v>756</v>
      </c>
      <c r="J601">
        <v>901</v>
      </c>
      <c r="K601" s="2" t="s">
        <v>60</v>
      </c>
    </row>
    <row r="602" spans="1:11" x14ac:dyDescent="0.25">
      <c r="A602">
        <v>709</v>
      </c>
      <c r="B602" s="2">
        <v>1</v>
      </c>
      <c r="C602" s="2" t="s">
        <v>685</v>
      </c>
      <c r="D602">
        <v>500</v>
      </c>
      <c r="E602" s="2" t="s">
        <v>688</v>
      </c>
      <c r="G602">
        <v>761</v>
      </c>
      <c r="H602" s="2">
        <v>1</v>
      </c>
      <c r="I602" s="2" t="s">
        <v>756</v>
      </c>
      <c r="J602">
        <v>902</v>
      </c>
      <c r="K602" s="2" t="s">
        <v>63</v>
      </c>
    </row>
    <row r="603" spans="1:11" x14ac:dyDescent="0.25">
      <c r="A603">
        <v>709</v>
      </c>
      <c r="B603" s="2">
        <v>1</v>
      </c>
      <c r="C603" s="2" t="s">
        <v>685</v>
      </c>
      <c r="D603">
        <v>510</v>
      </c>
      <c r="E603" s="2" t="s">
        <v>689</v>
      </c>
      <c r="G603">
        <v>761</v>
      </c>
      <c r="H603" s="2">
        <v>1</v>
      </c>
      <c r="I603" s="2" t="s">
        <v>756</v>
      </c>
      <c r="J603">
        <v>904</v>
      </c>
      <c r="K603" s="2" t="s">
        <v>71</v>
      </c>
    </row>
    <row r="604" spans="1:11" x14ac:dyDescent="0.25">
      <c r="A604">
        <v>709</v>
      </c>
      <c r="B604" s="2">
        <v>1</v>
      </c>
      <c r="C604" s="2" t="s">
        <v>685</v>
      </c>
      <c r="D604">
        <v>515</v>
      </c>
      <c r="E604" s="2" t="s">
        <v>690</v>
      </c>
      <c r="G604">
        <v>761</v>
      </c>
      <c r="H604" s="2">
        <v>1</v>
      </c>
      <c r="I604" s="2" t="s">
        <v>756</v>
      </c>
      <c r="J604">
        <v>905</v>
      </c>
      <c r="K604" s="2" t="s">
        <v>72</v>
      </c>
    </row>
    <row r="605" spans="1:11" x14ac:dyDescent="0.25">
      <c r="A605">
        <v>709</v>
      </c>
      <c r="B605" s="2">
        <v>1</v>
      </c>
      <c r="C605" s="2" t="s">
        <v>685</v>
      </c>
      <c r="D605">
        <v>520</v>
      </c>
      <c r="E605" s="2" t="s">
        <v>691</v>
      </c>
      <c r="G605">
        <v>4008</v>
      </c>
      <c r="H605" s="2">
        <v>7</v>
      </c>
      <c r="I605" s="2" t="s">
        <v>1022</v>
      </c>
      <c r="J605">
        <v>10</v>
      </c>
      <c r="K605" s="2" t="s">
        <v>1022</v>
      </c>
    </row>
    <row r="606" spans="1:11" x14ac:dyDescent="0.25">
      <c r="A606">
        <v>709</v>
      </c>
      <c r="B606" s="2">
        <v>1</v>
      </c>
      <c r="C606" s="2" t="s">
        <v>685</v>
      </c>
      <c r="D606">
        <v>525</v>
      </c>
      <c r="E606" s="2" t="s">
        <v>692</v>
      </c>
      <c r="G606">
        <v>4141</v>
      </c>
      <c r="H606" s="2">
        <v>7</v>
      </c>
      <c r="I606" s="2" t="s">
        <v>1069</v>
      </c>
      <c r="J606">
        <v>10</v>
      </c>
      <c r="K606" s="2" t="s">
        <v>1069</v>
      </c>
    </row>
    <row r="607" spans="1:11" x14ac:dyDescent="0.25">
      <c r="A607">
        <v>709</v>
      </c>
      <c r="B607" s="2">
        <v>1</v>
      </c>
      <c r="C607" s="2" t="s">
        <v>685</v>
      </c>
      <c r="D607">
        <v>540</v>
      </c>
      <c r="E607" s="2" t="s">
        <v>693</v>
      </c>
      <c r="G607" s="2">
        <v>309</v>
      </c>
      <c r="H607" s="2">
        <v>1</v>
      </c>
      <c r="I607" s="2" t="s">
        <v>405</v>
      </c>
      <c r="J607" s="2">
        <v>30</v>
      </c>
      <c r="K607" s="2" t="s">
        <v>406</v>
      </c>
    </row>
    <row r="608" spans="1:11" x14ac:dyDescent="0.25">
      <c r="A608">
        <v>709</v>
      </c>
      <c r="B608" s="2">
        <v>1</v>
      </c>
      <c r="C608" s="2" t="s">
        <v>685</v>
      </c>
      <c r="D608">
        <v>565</v>
      </c>
      <c r="E608" s="2" t="s">
        <v>694</v>
      </c>
      <c r="G608">
        <v>547</v>
      </c>
      <c r="H608" s="2">
        <v>1</v>
      </c>
      <c r="I608" s="2" t="s">
        <v>545</v>
      </c>
      <c r="J608">
        <v>10</v>
      </c>
      <c r="K608" s="2" t="s">
        <v>546</v>
      </c>
    </row>
    <row r="609" spans="1:11" x14ac:dyDescent="0.25">
      <c r="A609">
        <v>709</v>
      </c>
      <c r="B609">
        <v>1</v>
      </c>
      <c r="C609" t="s">
        <v>1227</v>
      </c>
      <c r="D609">
        <v>575</v>
      </c>
      <c r="E609" t="s">
        <v>1229</v>
      </c>
      <c r="G609">
        <v>4097</v>
      </c>
      <c r="H609" s="2">
        <v>7</v>
      </c>
      <c r="I609" s="2" t="s">
        <v>1053</v>
      </c>
      <c r="J609">
        <v>10</v>
      </c>
      <c r="K609" s="2" t="s">
        <v>1053</v>
      </c>
    </row>
    <row r="610" spans="1:11" x14ac:dyDescent="0.25">
      <c r="A610">
        <v>709</v>
      </c>
      <c r="B610">
        <v>1</v>
      </c>
      <c r="C610" t="s">
        <v>1227</v>
      </c>
      <c r="D610">
        <v>640</v>
      </c>
      <c r="E610" t="s">
        <v>1230</v>
      </c>
      <c r="G610">
        <v>741</v>
      </c>
      <c r="H610" s="2">
        <v>1</v>
      </c>
      <c r="I610" s="2" t="s">
        <v>736</v>
      </c>
      <c r="J610">
        <v>1</v>
      </c>
      <c r="K610" s="2" t="s">
        <v>737</v>
      </c>
    </row>
    <row r="611" spans="1:11" x14ac:dyDescent="0.25">
      <c r="A611">
        <v>712</v>
      </c>
      <c r="B611" s="2">
        <v>1</v>
      </c>
      <c r="C611" s="2" t="s">
        <v>695</v>
      </c>
      <c r="D611">
        <v>1</v>
      </c>
      <c r="E611" s="2" t="s">
        <v>696</v>
      </c>
      <c r="G611">
        <v>548</v>
      </c>
      <c r="H611" s="2">
        <v>1</v>
      </c>
      <c r="I611" s="2" t="s">
        <v>547</v>
      </c>
      <c r="J611">
        <v>10</v>
      </c>
      <c r="K611" s="2" t="s">
        <v>548</v>
      </c>
    </row>
    <row r="612" spans="1:11" x14ac:dyDescent="0.25">
      <c r="A612">
        <v>716</v>
      </c>
      <c r="B612" s="2">
        <v>1</v>
      </c>
      <c r="C612" s="2" t="s">
        <v>697</v>
      </c>
      <c r="D612">
        <v>11</v>
      </c>
      <c r="E612" s="2" t="s">
        <v>698</v>
      </c>
      <c r="G612" s="2">
        <v>186</v>
      </c>
      <c r="H612" s="2">
        <v>1</v>
      </c>
      <c r="I612" s="2" t="s">
        <v>208</v>
      </c>
      <c r="J612" s="2">
        <v>10</v>
      </c>
      <c r="K612" s="2" t="s">
        <v>209</v>
      </c>
    </row>
    <row r="613" spans="1:11" x14ac:dyDescent="0.25">
      <c r="A613">
        <v>717</v>
      </c>
      <c r="B613" s="2">
        <v>1</v>
      </c>
      <c r="C613" s="2" t="s">
        <v>699</v>
      </c>
      <c r="D613">
        <v>637</v>
      </c>
      <c r="E613" s="2" t="s">
        <v>700</v>
      </c>
      <c r="G613">
        <v>549</v>
      </c>
      <c r="H613" s="2">
        <v>1</v>
      </c>
      <c r="I613" s="2" t="s">
        <v>549</v>
      </c>
      <c r="J613">
        <v>10</v>
      </c>
      <c r="K613" s="2" t="s">
        <v>550</v>
      </c>
    </row>
    <row r="614" spans="1:11" x14ac:dyDescent="0.25">
      <c r="A614">
        <v>719</v>
      </c>
      <c r="B614" s="2">
        <v>1</v>
      </c>
      <c r="C614" s="2" t="s">
        <v>701</v>
      </c>
      <c r="D614">
        <v>10</v>
      </c>
      <c r="E614" s="2" t="s">
        <v>702</v>
      </c>
      <c r="G614" s="2">
        <v>484</v>
      </c>
      <c r="H614" s="2">
        <v>1</v>
      </c>
      <c r="I614" s="2" t="s">
        <v>489</v>
      </c>
      <c r="J614" s="2">
        <v>20</v>
      </c>
      <c r="K614" s="2" t="s">
        <v>490</v>
      </c>
    </row>
    <row r="615" spans="1:11" x14ac:dyDescent="0.25">
      <c r="A615">
        <v>719</v>
      </c>
      <c r="B615" s="2">
        <v>1</v>
      </c>
      <c r="C615" s="2" t="s">
        <v>701</v>
      </c>
      <c r="D615">
        <v>11</v>
      </c>
      <c r="E615" s="2" t="s">
        <v>703</v>
      </c>
      <c r="G615" s="2">
        <v>116</v>
      </c>
      <c r="H615" s="2">
        <v>1</v>
      </c>
      <c r="I615" s="2" t="s">
        <v>171</v>
      </c>
      <c r="J615" s="2">
        <v>10</v>
      </c>
      <c r="K615" s="2" t="s">
        <v>172</v>
      </c>
    </row>
    <row r="616" spans="1:11" x14ac:dyDescent="0.25">
      <c r="A616">
        <v>719</v>
      </c>
      <c r="B616" s="2">
        <v>1</v>
      </c>
      <c r="C616" s="2" t="s">
        <v>701</v>
      </c>
      <c r="D616">
        <v>12</v>
      </c>
      <c r="E616" s="2" t="s">
        <v>704</v>
      </c>
      <c r="G616">
        <v>578</v>
      </c>
      <c r="H616" s="2">
        <v>1</v>
      </c>
      <c r="I616" s="2" t="s">
        <v>559</v>
      </c>
      <c r="J616">
        <v>10</v>
      </c>
      <c r="K616" s="2" t="s">
        <v>560</v>
      </c>
    </row>
    <row r="617" spans="1:11" x14ac:dyDescent="0.25">
      <c r="A617">
        <v>719</v>
      </c>
      <c r="B617" s="2">
        <v>1</v>
      </c>
      <c r="C617" s="2" t="s">
        <v>701</v>
      </c>
      <c r="D617">
        <v>14</v>
      </c>
      <c r="E617" s="2" t="s">
        <v>705</v>
      </c>
      <c r="G617">
        <v>4174</v>
      </c>
      <c r="H617">
        <v>7</v>
      </c>
      <c r="I617" t="s">
        <v>1283</v>
      </c>
      <c r="J617">
        <v>10</v>
      </c>
      <c r="K617" t="s">
        <v>1283</v>
      </c>
    </row>
    <row r="618" spans="1:11" x14ac:dyDescent="0.25">
      <c r="A618">
        <v>719</v>
      </c>
      <c r="B618" s="2">
        <v>1</v>
      </c>
      <c r="C618" s="2" t="s">
        <v>701</v>
      </c>
      <c r="D618">
        <v>17</v>
      </c>
      <c r="E618" s="2" t="s">
        <v>706</v>
      </c>
      <c r="G618" s="2">
        <v>255</v>
      </c>
      <c r="H618" s="2">
        <v>1</v>
      </c>
      <c r="I618" s="2" t="s">
        <v>300</v>
      </c>
      <c r="J618" s="2">
        <v>10</v>
      </c>
      <c r="K618" s="2" t="s">
        <v>301</v>
      </c>
    </row>
    <row r="619" spans="1:11" x14ac:dyDescent="0.25">
      <c r="A619">
        <v>719</v>
      </c>
      <c r="B619" s="2">
        <v>1</v>
      </c>
      <c r="C619" s="2" t="s">
        <v>701</v>
      </c>
      <c r="D619">
        <v>18</v>
      </c>
      <c r="E619" s="2" t="s">
        <v>707</v>
      </c>
      <c r="G619">
        <v>25</v>
      </c>
      <c r="H619">
        <v>1</v>
      </c>
      <c r="I619" t="s">
        <v>1164</v>
      </c>
      <c r="J619">
        <v>70</v>
      </c>
      <c r="K619" t="s">
        <v>1165</v>
      </c>
    </row>
    <row r="620" spans="1:11" x14ac:dyDescent="0.25">
      <c r="A620">
        <v>720</v>
      </c>
      <c r="B620" s="2">
        <v>1</v>
      </c>
      <c r="C620" s="2" t="s">
        <v>708</v>
      </c>
      <c r="D620">
        <v>860</v>
      </c>
      <c r="E620" s="2" t="s">
        <v>709</v>
      </c>
      <c r="G620">
        <v>2174</v>
      </c>
      <c r="H620" s="2">
        <v>1</v>
      </c>
      <c r="I620" s="2" t="s">
        <v>919</v>
      </c>
      <c r="J620">
        <v>10</v>
      </c>
      <c r="K620" s="2" t="s">
        <v>920</v>
      </c>
    </row>
    <row r="621" spans="1:11" x14ac:dyDescent="0.25">
      <c r="A621">
        <v>720</v>
      </c>
      <c r="B621" s="2">
        <v>1</v>
      </c>
      <c r="C621" s="2" t="s">
        <v>708</v>
      </c>
      <c r="D621">
        <v>861</v>
      </c>
      <c r="E621" s="2" t="s">
        <v>710</v>
      </c>
      <c r="G621">
        <v>2689</v>
      </c>
      <c r="H621" s="2">
        <v>1</v>
      </c>
      <c r="I621" s="2" t="s">
        <v>969</v>
      </c>
      <c r="J621">
        <v>3</v>
      </c>
      <c r="K621" s="2" t="s">
        <v>970</v>
      </c>
    </row>
    <row r="622" spans="1:11" x14ac:dyDescent="0.25">
      <c r="A622">
        <v>720</v>
      </c>
      <c r="B622" s="2">
        <v>1</v>
      </c>
      <c r="C622" s="2" t="s">
        <v>708</v>
      </c>
      <c r="D622">
        <v>862</v>
      </c>
      <c r="E622" s="2" t="s">
        <v>711</v>
      </c>
      <c r="G622">
        <v>2689</v>
      </c>
      <c r="H622">
        <v>1</v>
      </c>
      <c r="I622" t="s">
        <v>1255</v>
      </c>
      <c r="J622">
        <v>6</v>
      </c>
      <c r="K622" t="s">
        <v>1256</v>
      </c>
    </row>
    <row r="623" spans="1:11" x14ac:dyDescent="0.25">
      <c r="A623">
        <v>720</v>
      </c>
      <c r="B623" s="2">
        <v>1</v>
      </c>
      <c r="C623" s="2" t="s">
        <v>708</v>
      </c>
      <c r="D623">
        <v>864</v>
      </c>
      <c r="E623" s="2" t="s">
        <v>712</v>
      </c>
      <c r="G623" s="7">
        <v>2899</v>
      </c>
      <c r="H623" s="7">
        <v>1</v>
      </c>
      <c r="I623" s="7" t="s">
        <v>1013</v>
      </c>
      <c r="J623" s="7">
        <v>20</v>
      </c>
      <c r="K623" s="7" t="s">
        <v>1015</v>
      </c>
    </row>
    <row r="624" spans="1:11" x14ac:dyDescent="0.25">
      <c r="A624">
        <v>720</v>
      </c>
      <c r="B624" s="2">
        <v>1</v>
      </c>
      <c r="C624" s="2" t="s">
        <v>708</v>
      </c>
      <c r="D624">
        <v>865</v>
      </c>
      <c r="E624" s="2" t="s">
        <v>713</v>
      </c>
      <c r="G624">
        <v>2899</v>
      </c>
      <c r="H624" s="2">
        <v>1</v>
      </c>
      <c r="I624" s="2" t="s">
        <v>1013</v>
      </c>
      <c r="J624">
        <v>10</v>
      </c>
      <c r="K624" s="2" t="s">
        <v>1014</v>
      </c>
    </row>
    <row r="625" spans="1:11" x14ac:dyDescent="0.25">
      <c r="A625">
        <v>721</v>
      </c>
      <c r="B625" s="2">
        <v>1</v>
      </c>
      <c r="C625" s="2" t="s">
        <v>714</v>
      </c>
      <c r="D625">
        <v>345</v>
      </c>
      <c r="E625" s="2" t="s">
        <v>715</v>
      </c>
      <c r="G625">
        <v>628</v>
      </c>
      <c r="H625" s="2">
        <v>1</v>
      </c>
      <c r="I625" s="2" t="s">
        <v>653</v>
      </c>
      <c r="J625">
        <v>11</v>
      </c>
      <c r="K625" s="2" t="s">
        <v>654</v>
      </c>
    </row>
    <row r="626" spans="1:11" x14ac:dyDescent="0.25">
      <c r="A626">
        <v>721</v>
      </c>
      <c r="B626" s="2">
        <v>1</v>
      </c>
      <c r="C626" s="2" t="s">
        <v>714</v>
      </c>
      <c r="D626">
        <v>521</v>
      </c>
      <c r="E626" s="2" t="s">
        <v>716</v>
      </c>
      <c r="G626">
        <v>4090</v>
      </c>
      <c r="H626" s="2">
        <v>7</v>
      </c>
      <c r="I626" s="2" t="s">
        <v>1052</v>
      </c>
      <c r="J626">
        <v>10</v>
      </c>
      <c r="K626" s="2" t="s">
        <v>1052</v>
      </c>
    </row>
    <row r="627" spans="1:11" x14ac:dyDescent="0.25">
      <c r="A627">
        <v>721</v>
      </c>
      <c r="B627" s="2">
        <v>1</v>
      </c>
      <c r="C627" s="2" t="s">
        <v>714</v>
      </c>
      <c r="D627">
        <v>651</v>
      </c>
      <c r="E627" s="2" t="s">
        <v>717</v>
      </c>
      <c r="G627">
        <v>4126</v>
      </c>
      <c r="H627" s="2">
        <v>7</v>
      </c>
      <c r="I627" s="2" t="s">
        <v>1063</v>
      </c>
      <c r="J627">
        <v>10</v>
      </c>
      <c r="K627" s="2" t="s">
        <v>1063</v>
      </c>
    </row>
    <row r="628" spans="1:11" x14ac:dyDescent="0.25">
      <c r="A628">
        <v>726</v>
      </c>
      <c r="B628" s="2">
        <v>1</v>
      </c>
      <c r="C628" s="2" t="s">
        <v>718</v>
      </c>
      <c r="D628">
        <v>10</v>
      </c>
      <c r="E628" s="2" t="s">
        <v>719</v>
      </c>
      <c r="G628" s="2">
        <v>477</v>
      </c>
      <c r="H628" s="2">
        <v>1</v>
      </c>
      <c r="I628" s="2" t="s">
        <v>483</v>
      </c>
      <c r="J628" s="2">
        <v>10</v>
      </c>
      <c r="K628" s="2" t="s">
        <v>413</v>
      </c>
    </row>
    <row r="629" spans="1:11" x14ac:dyDescent="0.25">
      <c r="A629">
        <v>727</v>
      </c>
      <c r="B629" s="2">
        <v>1</v>
      </c>
      <c r="C629" s="2" t="s">
        <v>720</v>
      </c>
      <c r="D629">
        <v>10</v>
      </c>
      <c r="E629" s="2" t="s">
        <v>721</v>
      </c>
      <c r="G629">
        <v>719</v>
      </c>
      <c r="H629" s="2">
        <v>1</v>
      </c>
      <c r="I629" s="2" t="s">
        <v>701</v>
      </c>
      <c r="J629">
        <v>11</v>
      </c>
      <c r="K629" s="2" t="s">
        <v>703</v>
      </c>
    </row>
    <row r="630" spans="1:11" x14ac:dyDescent="0.25">
      <c r="A630">
        <v>727</v>
      </c>
      <c r="B630" s="2">
        <v>1</v>
      </c>
      <c r="C630" s="2" t="s">
        <v>720</v>
      </c>
      <c r="D630">
        <v>40</v>
      </c>
      <c r="E630" s="2" t="s">
        <v>722</v>
      </c>
      <c r="G630">
        <v>719</v>
      </c>
      <c r="H630" s="2">
        <v>1</v>
      </c>
      <c r="I630" s="2" t="s">
        <v>701</v>
      </c>
      <c r="J630">
        <v>14</v>
      </c>
      <c r="K630" s="2" t="s">
        <v>705</v>
      </c>
    </row>
    <row r="631" spans="1:11" x14ac:dyDescent="0.25">
      <c r="A631">
        <v>728</v>
      </c>
      <c r="B631" s="2">
        <v>1</v>
      </c>
      <c r="C631" s="2" t="s">
        <v>723</v>
      </c>
      <c r="D631">
        <v>70</v>
      </c>
      <c r="E631" s="2" t="s">
        <v>724</v>
      </c>
      <c r="G631">
        <v>719</v>
      </c>
      <c r="H631" s="2">
        <v>1</v>
      </c>
      <c r="I631" s="2" t="s">
        <v>701</v>
      </c>
      <c r="J631">
        <v>12</v>
      </c>
      <c r="K631" s="2" t="s">
        <v>704</v>
      </c>
    </row>
    <row r="632" spans="1:11" x14ac:dyDescent="0.25">
      <c r="A632">
        <v>728</v>
      </c>
      <c r="B632" s="2">
        <v>1</v>
      </c>
      <c r="C632" s="2" t="s">
        <v>723</v>
      </c>
      <c r="D632">
        <v>110</v>
      </c>
      <c r="E632" s="2" t="s">
        <v>725</v>
      </c>
      <c r="G632">
        <v>719</v>
      </c>
      <c r="H632" s="2">
        <v>1</v>
      </c>
      <c r="I632" s="2" t="s">
        <v>701</v>
      </c>
      <c r="J632">
        <v>17</v>
      </c>
      <c r="K632" s="2" t="s">
        <v>706</v>
      </c>
    </row>
    <row r="633" spans="1:11" x14ac:dyDescent="0.25">
      <c r="A633">
        <v>728</v>
      </c>
      <c r="B633" s="2">
        <v>1</v>
      </c>
      <c r="C633" s="2" t="s">
        <v>723</v>
      </c>
      <c r="D633">
        <v>160</v>
      </c>
      <c r="E633" s="2" t="s">
        <v>726</v>
      </c>
      <c r="G633">
        <v>719</v>
      </c>
      <c r="H633" s="2">
        <v>1</v>
      </c>
      <c r="I633" s="2" t="s">
        <v>701</v>
      </c>
      <c r="J633">
        <v>18</v>
      </c>
      <c r="K633" s="2" t="s">
        <v>707</v>
      </c>
    </row>
    <row r="634" spans="1:11" x14ac:dyDescent="0.25">
      <c r="A634">
        <v>728</v>
      </c>
      <c r="B634" s="2">
        <v>1</v>
      </c>
      <c r="C634" s="2" t="s">
        <v>723</v>
      </c>
      <c r="D634">
        <v>170</v>
      </c>
      <c r="E634" s="2" t="s">
        <v>727</v>
      </c>
      <c r="G634">
        <v>719</v>
      </c>
      <c r="H634" s="2">
        <v>1</v>
      </c>
      <c r="I634" s="2" t="s">
        <v>701</v>
      </c>
      <c r="J634">
        <v>10</v>
      </c>
      <c r="K634" s="2" t="s">
        <v>702</v>
      </c>
    </row>
    <row r="635" spans="1:11" x14ac:dyDescent="0.25">
      <c r="A635">
        <v>728</v>
      </c>
      <c r="B635" s="2">
        <v>1</v>
      </c>
      <c r="C635" s="2" t="s">
        <v>723</v>
      </c>
      <c r="D635">
        <v>210</v>
      </c>
      <c r="E635" s="2" t="s">
        <v>321</v>
      </c>
      <c r="G635">
        <v>704</v>
      </c>
      <c r="H635" s="2">
        <v>1</v>
      </c>
      <c r="I635" s="2" t="s">
        <v>681</v>
      </c>
      <c r="J635">
        <v>4</v>
      </c>
      <c r="K635" s="2" t="s">
        <v>682</v>
      </c>
    </row>
    <row r="636" spans="1:11" x14ac:dyDescent="0.25">
      <c r="A636">
        <v>728</v>
      </c>
      <c r="B636" s="2">
        <v>1</v>
      </c>
      <c r="C636" s="2" t="s">
        <v>723</v>
      </c>
      <c r="D636">
        <v>300</v>
      </c>
      <c r="E636" s="2" t="s">
        <v>60</v>
      </c>
      <c r="G636">
        <v>704</v>
      </c>
      <c r="H636" s="2">
        <v>1</v>
      </c>
      <c r="I636" s="2" t="s">
        <v>681</v>
      </c>
      <c r="J636">
        <v>6</v>
      </c>
      <c r="K636" s="2" t="s">
        <v>683</v>
      </c>
    </row>
    <row r="637" spans="1:11" x14ac:dyDescent="0.25">
      <c r="A637">
        <v>728</v>
      </c>
      <c r="B637">
        <v>1</v>
      </c>
      <c r="C637" t="s">
        <v>1231</v>
      </c>
      <c r="D637">
        <v>401</v>
      </c>
      <c r="E637" t="s">
        <v>1232</v>
      </c>
      <c r="G637" s="2">
        <v>195</v>
      </c>
      <c r="H637" s="2">
        <v>1</v>
      </c>
      <c r="I637" s="2" t="s">
        <v>236</v>
      </c>
      <c r="J637" s="2">
        <v>10</v>
      </c>
      <c r="K637" s="2" t="s">
        <v>237</v>
      </c>
    </row>
    <row r="638" spans="1:11" x14ac:dyDescent="0.25">
      <c r="A638">
        <v>728</v>
      </c>
      <c r="B638" s="2">
        <v>1</v>
      </c>
      <c r="C638" s="2" t="s">
        <v>723</v>
      </c>
      <c r="D638">
        <v>700</v>
      </c>
      <c r="E638" s="2" t="s">
        <v>728</v>
      </c>
      <c r="G638">
        <v>630</v>
      </c>
      <c r="H638" s="2">
        <v>1</v>
      </c>
      <c r="I638" s="2" t="s">
        <v>655</v>
      </c>
      <c r="J638">
        <v>10</v>
      </c>
      <c r="K638" s="2" t="s">
        <v>656</v>
      </c>
    </row>
    <row r="639" spans="1:11" x14ac:dyDescent="0.25">
      <c r="A639">
        <v>728</v>
      </c>
      <c r="B639" s="2">
        <v>1</v>
      </c>
      <c r="C639" s="2" t="s">
        <v>723</v>
      </c>
      <c r="D639">
        <v>800</v>
      </c>
      <c r="E639" s="2" t="s">
        <v>729</v>
      </c>
      <c r="G639" s="2">
        <v>38</v>
      </c>
      <c r="H639" s="2">
        <v>1</v>
      </c>
      <c r="I639" s="2" t="s">
        <v>117</v>
      </c>
      <c r="J639" s="2">
        <v>20</v>
      </c>
      <c r="K639" s="2" t="s">
        <v>119</v>
      </c>
    </row>
    <row r="640" spans="1:11" x14ac:dyDescent="0.25">
      <c r="A640">
        <v>738</v>
      </c>
      <c r="B640" s="2">
        <v>1</v>
      </c>
      <c r="C640" s="2" t="s">
        <v>730</v>
      </c>
      <c r="D640">
        <v>1</v>
      </c>
      <c r="E640" s="2" t="s">
        <v>731</v>
      </c>
      <c r="G640" s="2">
        <v>38</v>
      </c>
      <c r="H640" s="2">
        <v>1</v>
      </c>
      <c r="I640" s="2" t="s">
        <v>117</v>
      </c>
      <c r="J640" s="2">
        <v>10</v>
      </c>
      <c r="K640" s="2" t="s">
        <v>118</v>
      </c>
    </row>
    <row r="641" spans="1:11" x14ac:dyDescent="0.25">
      <c r="A641">
        <v>739</v>
      </c>
      <c r="B641" s="2">
        <v>1</v>
      </c>
      <c r="C641" s="2" t="s">
        <v>732</v>
      </c>
      <c r="D641">
        <v>10</v>
      </c>
      <c r="E641" s="2" t="s">
        <v>733</v>
      </c>
      <c r="G641">
        <v>2884</v>
      </c>
      <c r="H641" s="2">
        <v>1</v>
      </c>
      <c r="I641" s="2" t="s">
        <v>997</v>
      </c>
      <c r="J641">
        <v>30</v>
      </c>
      <c r="K641" s="2" t="s">
        <v>998</v>
      </c>
    </row>
    <row r="642" spans="1:11" x14ac:dyDescent="0.25">
      <c r="A642">
        <v>740</v>
      </c>
      <c r="B642" s="2">
        <v>1</v>
      </c>
      <c r="C642" s="2" t="s">
        <v>734</v>
      </c>
      <c r="D642">
        <v>10</v>
      </c>
      <c r="E642" s="2" t="s">
        <v>735</v>
      </c>
      <c r="G642" s="2">
        <v>256</v>
      </c>
      <c r="H642" s="2">
        <v>1</v>
      </c>
      <c r="I642" s="2" t="s">
        <v>302</v>
      </c>
      <c r="J642" s="2">
        <v>537</v>
      </c>
      <c r="K642" s="2" t="s">
        <v>303</v>
      </c>
    </row>
    <row r="643" spans="1:11" x14ac:dyDescent="0.25">
      <c r="A643">
        <v>741</v>
      </c>
      <c r="B643" s="2">
        <v>1</v>
      </c>
      <c r="C643" s="2" t="s">
        <v>736</v>
      </c>
      <c r="D643">
        <v>1</v>
      </c>
      <c r="E643" s="2" t="s">
        <v>737</v>
      </c>
      <c r="G643">
        <v>2897</v>
      </c>
      <c r="H643" s="2">
        <v>1</v>
      </c>
      <c r="I643" s="2" t="s">
        <v>1009</v>
      </c>
      <c r="J643">
        <v>2</v>
      </c>
      <c r="K643" s="2" t="s">
        <v>1010</v>
      </c>
    </row>
    <row r="644" spans="1:11" x14ac:dyDescent="0.25">
      <c r="A644">
        <v>742</v>
      </c>
      <c r="B644" s="2">
        <v>1</v>
      </c>
      <c r="C644" s="2" t="s">
        <v>738</v>
      </c>
      <c r="D644">
        <v>16</v>
      </c>
      <c r="E644" s="2" t="s">
        <v>739</v>
      </c>
      <c r="G644">
        <v>2890</v>
      </c>
      <c r="H644" s="2">
        <v>1</v>
      </c>
      <c r="I644" s="2" t="s">
        <v>1005</v>
      </c>
      <c r="J644">
        <v>1</v>
      </c>
      <c r="K644" s="2" t="s">
        <v>1006</v>
      </c>
    </row>
    <row r="645" spans="1:11" x14ac:dyDescent="0.25">
      <c r="A645">
        <v>742</v>
      </c>
      <c r="B645" s="2">
        <v>1</v>
      </c>
      <c r="C645" s="2" t="s">
        <v>738</v>
      </c>
      <c r="D645">
        <v>25</v>
      </c>
      <c r="E645" s="2" t="s">
        <v>131</v>
      </c>
      <c r="G645" s="2">
        <v>280</v>
      </c>
      <c r="H645" s="2">
        <v>1</v>
      </c>
      <c r="I645" s="2" t="s">
        <v>363</v>
      </c>
      <c r="J645" s="2">
        <v>36</v>
      </c>
      <c r="K645" s="2" t="s">
        <v>364</v>
      </c>
    </row>
    <row r="646" spans="1:11" x14ac:dyDescent="0.25">
      <c r="A646">
        <v>742</v>
      </c>
      <c r="B646" s="2">
        <v>1</v>
      </c>
      <c r="C646" s="2" t="s">
        <v>738</v>
      </c>
      <c r="D646">
        <v>28</v>
      </c>
      <c r="E646" s="2" t="s">
        <v>60</v>
      </c>
      <c r="G646" s="2">
        <v>280</v>
      </c>
      <c r="H646" s="2">
        <v>1</v>
      </c>
      <c r="I646" s="2" t="s">
        <v>363</v>
      </c>
      <c r="J646" s="2">
        <v>695</v>
      </c>
      <c r="K646" s="2" t="s">
        <v>364</v>
      </c>
    </row>
    <row r="647" spans="1:11" x14ac:dyDescent="0.25">
      <c r="A647">
        <v>742</v>
      </c>
      <c r="B647" s="2">
        <v>1</v>
      </c>
      <c r="C647" s="2" t="s">
        <v>738</v>
      </c>
      <c r="D647">
        <v>31</v>
      </c>
      <c r="E647" s="2" t="s">
        <v>62</v>
      </c>
      <c r="G647" s="2">
        <v>280</v>
      </c>
      <c r="H647" s="2">
        <v>1</v>
      </c>
      <c r="I647" s="2" t="s">
        <v>363</v>
      </c>
      <c r="J647" s="2">
        <v>701</v>
      </c>
      <c r="K647" s="2" t="s">
        <v>364</v>
      </c>
    </row>
    <row r="648" spans="1:11" x14ac:dyDescent="0.25">
      <c r="A648">
        <v>742</v>
      </c>
      <c r="B648" s="2">
        <v>1</v>
      </c>
      <c r="C648" s="2" t="s">
        <v>738</v>
      </c>
      <c r="D648">
        <v>35</v>
      </c>
      <c r="E648" s="2" t="s">
        <v>740</v>
      </c>
      <c r="G648" s="2">
        <v>280</v>
      </c>
      <c r="H648" s="2">
        <v>1</v>
      </c>
      <c r="I648" s="2" t="s">
        <v>363</v>
      </c>
      <c r="J648" s="2">
        <v>705</v>
      </c>
      <c r="K648" s="2" t="s">
        <v>364</v>
      </c>
    </row>
    <row r="649" spans="1:11" x14ac:dyDescent="0.25">
      <c r="A649">
        <v>742</v>
      </c>
      <c r="B649" s="2">
        <v>1</v>
      </c>
      <c r="C649" s="2" t="s">
        <v>738</v>
      </c>
      <c r="D649">
        <v>36</v>
      </c>
      <c r="E649" s="2" t="s">
        <v>741</v>
      </c>
      <c r="G649">
        <v>4083</v>
      </c>
      <c r="H649" s="2">
        <v>7</v>
      </c>
      <c r="I649" s="2" t="s">
        <v>1048</v>
      </c>
      <c r="J649">
        <v>10</v>
      </c>
      <c r="K649" s="2" t="s">
        <v>1048</v>
      </c>
    </row>
    <row r="650" spans="1:11" x14ac:dyDescent="0.25">
      <c r="A650">
        <v>742</v>
      </c>
      <c r="B650" s="2">
        <v>1</v>
      </c>
      <c r="C650" s="2" t="s">
        <v>738</v>
      </c>
      <c r="D650">
        <v>40</v>
      </c>
      <c r="E650" s="2" t="s">
        <v>321</v>
      </c>
      <c r="G650">
        <v>4064</v>
      </c>
      <c r="H650">
        <v>7</v>
      </c>
      <c r="I650" t="s">
        <v>1271</v>
      </c>
      <c r="J650">
        <v>10</v>
      </c>
      <c r="K650" t="s">
        <v>1271</v>
      </c>
    </row>
    <row r="651" spans="1:11" x14ac:dyDescent="0.25">
      <c r="A651">
        <v>742</v>
      </c>
      <c r="B651" s="2">
        <v>1</v>
      </c>
      <c r="C651" s="2" t="s">
        <v>738</v>
      </c>
      <c r="D651">
        <v>51</v>
      </c>
      <c r="E651" s="2" t="s">
        <v>742</v>
      </c>
      <c r="G651" s="2">
        <v>281</v>
      </c>
      <c r="H651" s="2">
        <v>1</v>
      </c>
      <c r="I651" s="2" t="s">
        <v>365</v>
      </c>
      <c r="J651" s="2">
        <v>4</v>
      </c>
      <c r="K651" s="2" t="s">
        <v>366</v>
      </c>
    </row>
    <row r="652" spans="1:11" x14ac:dyDescent="0.25">
      <c r="A652">
        <v>742</v>
      </c>
      <c r="B652">
        <v>1</v>
      </c>
      <c r="C652" t="s">
        <v>1233</v>
      </c>
      <c r="D652">
        <v>72</v>
      </c>
      <c r="E652" t="s">
        <v>1234</v>
      </c>
      <c r="G652" s="2">
        <v>281</v>
      </c>
      <c r="H652" s="2">
        <v>1</v>
      </c>
      <c r="I652" s="2" t="s">
        <v>365</v>
      </c>
      <c r="J652" s="2">
        <v>6</v>
      </c>
      <c r="K652" s="2" t="s">
        <v>233</v>
      </c>
    </row>
    <row r="653" spans="1:11" x14ac:dyDescent="0.25">
      <c r="A653">
        <v>743</v>
      </c>
      <c r="B653" s="2">
        <v>1</v>
      </c>
      <c r="C653" s="2" t="s">
        <v>743</v>
      </c>
      <c r="D653">
        <v>10</v>
      </c>
      <c r="E653" s="2" t="s">
        <v>744</v>
      </c>
      <c r="G653" s="2">
        <v>281</v>
      </c>
      <c r="H653" s="2">
        <v>1</v>
      </c>
      <c r="I653" s="2" t="s">
        <v>365</v>
      </c>
      <c r="J653" s="2">
        <v>10</v>
      </c>
      <c r="K653" s="2" t="s">
        <v>367</v>
      </c>
    </row>
    <row r="654" spans="1:11" x14ac:dyDescent="0.25">
      <c r="A654">
        <v>745</v>
      </c>
      <c r="B654" s="2">
        <v>1</v>
      </c>
      <c r="C654" s="2" t="s">
        <v>745</v>
      </c>
      <c r="D654">
        <v>10</v>
      </c>
      <c r="E654" s="2" t="s">
        <v>746</v>
      </c>
      <c r="G654" s="2">
        <v>281</v>
      </c>
      <c r="H654" s="2">
        <v>1</v>
      </c>
      <c r="I654" s="2" t="s">
        <v>365</v>
      </c>
      <c r="J654" s="2">
        <v>11</v>
      </c>
      <c r="K654" s="2" t="s">
        <v>368</v>
      </c>
    </row>
    <row r="655" spans="1:11" x14ac:dyDescent="0.25">
      <c r="A655">
        <v>745</v>
      </c>
      <c r="B655" s="2">
        <v>1</v>
      </c>
      <c r="C655" s="2" t="s">
        <v>745</v>
      </c>
      <c r="D655">
        <v>30</v>
      </c>
      <c r="E655" s="2" t="s">
        <v>747</v>
      </c>
      <c r="G655" s="2">
        <v>281</v>
      </c>
      <c r="H655" s="2">
        <v>1</v>
      </c>
      <c r="I655" s="2" t="s">
        <v>365</v>
      </c>
      <c r="J655" s="2">
        <v>17</v>
      </c>
      <c r="K655" s="2" t="s">
        <v>370</v>
      </c>
    </row>
    <row r="656" spans="1:11" x14ac:dyDescent="0.25">
      <c r="A656">
        <v>748</v>
      </c>
      <c r="B656" s="2">
        <v>1</v>
      </c>
      <c r="C656" s="2" t="s">
        <v>748</v>
      </c>
      <c r="D656">
        <v>40</v>
      </c>
      <c r="E656" s="2" t="s">
        <v>749</v>
      </c>
      <c r="G656" s="2">
        <v>281</v>
      </c>
      <c r="H656" s="2">
        <v>1</v>
      </c>
      <c r="I656" s="2" t="s">
        <v>365</v>
      </c>
      <c r="J656" s="2">
        <v>19</v>
      </c>
      <c r="K656" s="2" t="s">
        <v>371</v>
      </c>
    </row>
    <row r="657" spans="1:11" x14ac:dyDescent="0.25">
      <c r="A657">
        <v>748</v>
      </c>
      <c r="B657" s="2">
        <v>1</v>
      </c>
      <c r="C657" s="2" t="s">
        <v>748</v>
      </c>
      <c r="D657">
        <v>60</v>
      </c>
      <c r="E657" s="2" t="s">
        <v>252</v>
      </c>
      <c r="G657" s="2">
        <v>281</v>
      </c>
      <c r="H657" s="2">
        <v>1</v>
      </c>
      <c r="I657" s="2" t="s">
        <v>365</v>
      </c>
      <c r="J657" s="2">
        <v>12</v>
      </c>
      <c r="K657" s="2" t="s">
        <v>369</v>
      </c>
    </row>
    <row r="658" spans="1:11" x14ac:dyDescent="0.25">
      <c r="A658">
        <v>750</v>
      </c>
      <c r="B658" s="2">
        <v>1</v>
      </c>
      <c r="C658" s="2" t="s">
        <v>750</v>
      </c>
      <c r="D658">
        <v>10</v>
      </c>
      <c r="E658" s="2" t="s">
        <v>751</v>
      </c>
      <c r="G658" s="2">
        <v>281</v>
      </c>
      <c r="H658" s="2">
        <v>1</v>
      </c>
      <c r="I658" s="2" t="s">
        <v>365</v>
      </c>
      <c r="J658" s="2">
        <v>22</v>
      </c>
      <c r="K658" s="2" t="s">
        <v>372</v>
      </c>
    </row>
    <row r="659" spans="1:11" x14ac:dyDescent="0.25">
      <c r="A659">
        <v>750</v>
      </c>
      <c r="B659" s="2">
        <v>1</v>
      </c>
      <c r="C659" s="2" t="s">
        <v>750</v>
      </c>
      <c r="D659">
        <v>20</v>
      </c>
      <c r="E659" s="2" t="s">
        <v>752</v>
      </c>
      <c r="G659" s="2">
        <v>281</v>
      </c>
      <c r="H659" s="2">
        <v>1</v>
      </c>
      <c r="I659" s="2" t="s">
        <v>365</v>
      </c>
      <c r="J659" s="2">
        <v>30</v>
      </c>
      <c r="K659" s="2" t="s">
        <v>373</v>
      </c>
    </row>
    <row r="660" spans="1:11" x14ac:dyDescent="0.25">
      <c r="A660">
        <v>750</v>
      </c>
      <c r="B660" s="2">
        <v>1</v>
      </c>
      <c r="C660" s="2" t="s">
        <v>750</v>
      </c>
      <c r="D660">
        <v>30</v>
      </c>
      <c r="E660" s="2" t="s">
        <v>753</v>
      </c>
      <c r="G660">
        <v>535</v>
      </c>
      <c r="H660" s="2">
        <v>1</v>
      </c>
      <c r="I660" s="2" t="s">
        <v>528</v>
      </c>
      <c r="J660">
        <v>110</v>
      </c>
      <c r="K660" s="2" t="s">
        <v>529</v>
      </c>
    </row>
    <row r="661" spans="1:11" x14ac:dyDescent="0.25">
      <c r="A661">
        <v>756</v>
      </c>
      <c r="B661" s="2">
        <v>1</v>
      </c>
      <c r="C661" s="2" t="s">
        <v>754</v>
      </c>
      <c r="D661">
        <v>10</v>
      </c>
      <c r="E661" s="2" t="s">
        <v>755</v>
      </c>
      <c r="G661">
        <v>535</v>
      </c>
      <c r="H661" s="2">
        <v>1</v>
      </c>
      <c r="I661" s="2" t="s">
        <v>528</v>
      </c>
      <c r="J661">
        <v>112</v>
      </c>
      <c r="K661" s="2" t="s">
        <v>530</v>
      </c>
    </row>
    <row r="662" spans="1:11" x14ac:dyDescent="0.25">
      <c r="A662">
        <v>761</v>
      </c>
      <c r="B662" s="2">
        <v>1</v>
      </c>
      <c r="C662" s="2" t="s">
        <v>756</v>
      </c>
      <c r="D662">
        <v>901</v>
      </c>
      <c r="E662" s="2" t="s">
        <v>60</v>
      </c>
      <c r="G662">
        <v>535</v>
      </c>
      <c r="H662" s="2">
        <v>1</v>
      </c>
      <c r="I662" s="2" t="s">
        <v>528</v>
      </c>
      <c r="J662">
        <v>120</v>
      </c>
      <c r="K662" s="2" t="s">
        <v>531</v>
      </c>
    </row>
    <row r="663" spans="1:11" x14ac:dyDescent="0.25">
      <c r="A663">
        <v>761</v>
      </c>
      <c r="B663" s="2">
        <v>1</v>
      </c>
      <c r="C663" s="2" t="s">
        <v>756</v>
      </c>
      <c r="D663">
        <v>902</v>
      </c>
      <c r="E663" s="2" t="s">
        <v>63</v>
      </c>
      <c r="G663">
        <v>535</v>
      </c>
      <c r="H663" s="2">
        <v>1</v>
      </c>
      <c r="I663" s="2" t="s">
        <v>528</v>
      </c>
      <c r="J663">
        <v>122</v>
      </c>
      <c r="K663" s="2" t="s">
        <v>532</v>
      </c>
    </row>
    <row r="664" spans="1:11" x14ac:dyDescent="0.25">
      <c r="A664">
        <v>761</v>
      </c>
      <c r="B664" s="2">
        <v>1</v>
      </c>
      <c r="C664" s="2" t="s">
        <v>756</v>
      </c>
      <c r="D664">
        <v>904</v>
      </c>
      <c r="E664" s="2" t="s">
        <v>71</v>
      </c>
      <c r="G664">
        <v>535</v>
      </c>
      <c r="H664" s="2">
        <v>1</v>
      </c>
      <c r="I664" s="2" t="s">
        <v>528</v>
      </c>
      <c r="J664">
        <v>124</v>
      </c>
      <c r="K664" s="2" t="s">
        <v>56</v>
      </c>
    </row>
    <row r="665" spans="1:11" x14ac:dyDescent="0.25">
      <c r="A665">
        <v>761</v>
      </c>
      <c r="B665" s="2">
        <v>1</v>
      </c>
      <c r="C665" s="2" t="s">
        <v>756</v>
      </c>
      <c r="D665">
        <v>905</v>
      </c>
      <c r="E665" s="2" t="s">
        <v>72</v>
      </c>
      <c r="G665">
        <v>535</v>
      </c>
      <c r="H665" s="2">
        <v>1</v>
      </c>
      <c r="I665" s="2" t="s">
        <v>528</v>
      </c>
      <c r="J665">
        <v>126</v>
      </c>
      <c r="K665" s="2" t="s">
        <v>534</v>
      </c>
    </row>
    <row r="666" spans="1:11" x14ac:dyDescent="0.25">
      <c r="A666">
        <v>763</v>
      </c>
      <c r="B666" s="2">
        <v>1</v>
      </c>
      <c r="C666" s="2" t="s">
        <v>757</v>
      </c>
      <c r="D666">
        <v>10</v>
      </c>
      <c r="E666" s="2" t="s">
        <v>758</v>
      </c>
      <c r="G666">
        <v>535</v>
      </c>
      <c r="H666" s="2">
        <v>1</v>
      </c>
      <c r="I666" s="2" t="s">
        <v>528</v>
      </c>
      <c r="J666">
        <v>129</v>
      </c>
      <c r="K666" s="2" t="s">
        <v>535</v>
      </c>
    </row>
    <row r="667" spans="1:11" x14ac:dyDescent="0.25">
      <c r="A667">
        <v>768</v>
      </c>
      <c r="B667" s="2">
        <v>1</v>
      </c>
      <c r="C667" s="2" t="s">
        <v>759</v>
      </c>
      <c r="D667">
        <v>10</v>
      </c>
      <c r="E667" s="2" t="s">
        <v>760</v>
      </c>
      <c r="G667">
        <v>535</v>
      </c>
      <c r="H667" s="2">
        <v>1</v>
      </c>
      <c r="I667" s="2" t="s">
        <v>528</v>
      </c>
      <c r="J667">
        <v>134</v>
      </c>
      <c r="K667" s="2" t="s">
        <v>58</v>
      </c>
    </row>
    <row r="668" spans="1:11" x14ac:dyDescent="0.25">
      <c r="A668">
        <v>769</v>
      </c>
      <c r="B668" s="2">
        <v>1</v>
      </c>
      <c r="C668" s="2" t="s">
        <v>761</v>
      </c>
      <c r="D668">
        <v>30</v>
      </c>
      <c r="E668" s="2" t="s">
        <v>762</v>
      </c>
      <c r="G668">
        <v>535</v>
      </c>
      <c r="H668" s="2">
        <v>1</v>
      </c>
      <c r="I668" s="2" t="s">
        <v>528</v>
      </c>
      <c r="J668">
        <v>136</v>
      </c>
      <c r="K668" s="2" t="s">
        <v>28</v>
      </c>
    </row>
    <row r="669" spans="1:11" x14ac:dyDescent="0.25">
      <c r="A669">
        <v>771</v>
      </c>
      <c r="B669">
        <v>1</v>
      </c>
      <c r="C669" t="s">
        <v>1235</v>
      </c>
      <c r="D669">
        <v>3</v>
      </c>
      <c r="E669" t="s">
        <v>1236</v>
      </c>
      <c r="G669">
        <v>535</v>
      </c>
      <c r="H669" s="2">
        <v>1</v>
      </c>
      <c r="I669" s="2" t="s">
        <v>528</v>
      </c>
      <c r="J669">
        <v>138</v>
      </c>
      <c r="K669" s="2" t="s">
        <v>536</v>
      </c>
    </row>
    <row r="670" spans="1:11" x14ac:dyDescent="0.25">
      <c r="A670">
        <v>775</v>
      </c>
      <c r="B670" s="2">
        <v>1</v>
      </c>
      <c r="C670" s="2" t="s">
        <v>763</v>
      </c>
      <c r="D670">
        <v>30</v>
      </c>
      <c r="E670" s="2" t="s">
        <v>764</v>
      </c>
      <c r="G670">
        <v>535</v>
      </c>
      <c r="H670" s="2">
        <v>1</v>
      </c>
      <c r="I670" s="2" t="s">
        <v>528</v>
      </c>
      <c r="J670">
        <v>140</v>
      </c>
      <c r="K670" s="2" t="s">
        <v>537</v>
      </c>
    </row>
    <row r="671" spans="1:11" x14ac:dyDescent="0.25">
      <c r="A671">
        <v>777</v>
      </c>
      <c r="B671" s="2">
        <v>1</v>
      </c>
      <c r="C671" s="2" t="s">
        <v>765</v>
      </c>
      <c r="D671">
        <v>103</v>
      </c>
      <c r="E671" s="2" t="s">
        <v>766</v>
      </c>
      <c r="G671">
        <v>535</v>
      </c>
      <c r="H671" s="2">
        <v>1</v>
      </c>
      <c r="I671" s="2" t="s">
        <v>528</v>
      </c>
      <c r="J671">
        <v>125</v>
      </c>
      <c r="K671" s="2" t="s">
        <v>533</v>
      </c>
    </row>
    <row r="672" spans="1:11" x14ac:dyDescent="0.25">
      <c r="A672">
        <v>777</v>
      </c>
      <c r="B672">
        <v>1</v>
      </c>
      <c r="C672" t="s">
        <v>1237</v>
      </c>
      <c r="D672">
        <v>112</v>
      </c>
      <c r="E672" t="s">
        <v>1238</v>
      </c>
      <c r="G672">
        <v>535</v>
      </c>
      <c r="H672" s="2">
        <v>1</v>
      </c>
      <c r="I672" s="2" t="s">
        <v>528</v>
      </c>
      <c r="J672">
        <v>146</v>
      </c>
      <c r="K672" s="2" t="s">
        <v>250</v>
      </c>
    </row>
    <row r="673" spans="1:11" x14ac:dyDescent="0.25">
      <c r="A673">
        <v>786</v>
      </c>
      <c r="B673" s="2">
        <v>1</v>
      </c>
      <c r="C673" s="2" t="s">
        <v>767</v>
      </c>
      <c r="D673">
        <v>10</v>
      </c>
      <c r="E673" s="2" t="s">
        <v>768</v>
      </c>
      <c r="G673">
        <v>535</v>
      </c>
      <c r="H673" s="2">
        <v>1</v>
      </c>
      <c r="I673" s="2" t="s">
        <v>528</v>
      </c>
      <c r="J673">
        <v>147</v>
      </c>
      <c r="K673" s="2" t="s">
        <v>538</v>
      </c>
    </row>
    <row r="674" spans="1:11" x14ac:dyDescent="0.25">
      <c r="A674">
        <v>787</v>
      </c>
      <c r="B674" s="2">
        <v>1</v>
      </c>
      <c r="C674" s="2" t="s">
        <v>769</v>
      </c>
      <c r="D674">
        <v>10</v>
      </c>
      <c r="E674" s="2" t="s">
        <v>770</v>
      </c>
      <c r="G674">
        <v>535</v>
      </c>
      <c r="H674" s="2">
        <v>1</v>
      </c>
      <c r="I674" s="2" t="s">
        <v>528</v>
      </c>
      <c r="J674">
        <v>150</v>
      </c>
      <c r="K674" s="2" t="s">
        <v>539</v>
      </c>
    </row>
    <row r="675" spans="1:11" x14ac:dyDescent="0.25">
      <c r="A675">
        <v>801</v>
      </c>
      <c r="B675">
        <v>1</v>
      </c>
      <c r="C675" t="s">
        <v>1239</v>
      </c>
      <c r="D675">
        <v>10</v>
      </c>
      <c r="E675" t="s">
        <v>1240</v>
      </c>
      <c r="G675">
        <v>535</v>
      </c>
      <c r="H675" s="2">
        <v>1</v>
      </c>
      <c r="I675" s="2" t="s">
        <v>528</v>
      </c>
      <c r="J675">
        <v>152</v>
      </c>
      <c r="K675" s="2" t="s">
        <v>71</v>
      </c>
    </row>
    <row r="676" spans="1:11" x14ac:dyDescent="0.25">
      <c r="A676">
        <v>803</v>
      </c>
      <c r="B676" s="2">
        <v>1</v>
      </c>
      <c r="C676" s="2" t="s">
        <v>771</v>
      </c>
      <c r="D676">
        <v>1</v>
      </c>
      <c r="E676" s="2" t="s">
        <v>711</v>
      </c>
      <c r="G676">
        <v>883</v>
      </c>
      <c r="H676" s="2">
        <v>1</v>
      </c>
      <c r="I676" s="2" t="s">
        <v>853</v>
      </c>
      <c r="J676">
        <v>2</v>
      </c>
      <c r="K676" s="2" t="s">
        <v>854</v>
      </c>
    </row>
    <row r="677" spans="1:11" x14ac:dyDescent="0.25">
      <c r="A677">
        <v>811</v>
      </c>
      <c r="B677" s="2">
        <v>1</v>
      </c>
      <c r="C677" s="2" t="s">
        <v>772</v>
      </c>
      <c r="D677">
        <v>30</v>
      </c>
      <c r="E677" s="2" t="s">
        <v>773</v>
      </c>
      <c r="G677">
        <v>750</v>
      </c>
      <c r="H677" s="2">
        <v>1</v>
      </c>
      <c r="I677" s="2" t="s">
        <v>750</v>
      </c>
      <c r="J677">
        <v>30</v>
      </c>
      <c r="K677" s="2" t="s">
        <v>753</v>
      </c>
    </row>
    <row r="678" spans="1:11" x14ac:dyDescent="0.25">
      <c r="A678">
        <v>813</v>
      </c>
      <c r="B678" s="2">
        <v>1</v>
      </c>
      <c r="C678" s="2" t="s">
        <v>774</v>
      </c>
      <c r="D678">
        <v>10</v>
      </c>
      <c r="E678" s="2" t="s">
        <v>775</v>
      </c>
      <c r="G678">
        <v>750</v>
      </c>
      <c r="H678" s="2">
        <v>1</v>
      </c>
      <c r="I678" s="2" t="s">
        <v>750</v>
      </c>
      <c r="J678">
        <v>10</v>
      </c>
      <c r="K678" s="2" t="s">
        <v>751</v>
      </c>
    </row>
    <row r="679" spans="1:11" x14ac:dyDescent="0.25">
      <c r="A679">
        <v>818</v>
      </c>
      <c r="B679" s="2">
        <v>1</v>
      </c>
      <c r="C679" s="2" t="s">
        <v>776</v>
      </c>
      <c r="D679">
        <v>10</v>
      </c>
      <c r="E679" s="2" t="s">
        <v>777</v>
      </c>
      <c r="G679">
        <v>750</v>
      </c>
      <c r="H679" s="2">
        <v>1</v>
      </c>
      <c r="I679" s="2" t="s">
        <v>750</v>
      </c>
      <c r="J679">
        <v>20</v>
      </c>
      <c r="K679" s="2" t="s">
        <v>752</v>
      </c>
    </row>
    <row r="680" spans="1:11" x14ac:dyDescent="0.25">
      <c r="A680">
        <v>820</v>
      </c>
      <c r="B680" s="2">
        <v>1</v>
      </c>
      <c r="C680" s="2" t="s">
        <v>778</v>
      </c>
      <c r="D680">
        <v>1</v>
      </c>
      <c r="E680" s="2" t="s">
        <v>779</v>
      </c>
      <c r="G680">
        <v>682</v>
      </c>
      <c r="H680" s="2">
        <v>1</v>
      </c>
      <c r="I680" s="2" t="s">
        <v>667</v>
      </c>
      <c r="J680">
        <v>10</v>
      </c>
      <c r="K680" s="2" t="s">
        <v>668</v>
      </c>
    </row>
    <row r="681" spans="1:11" x14ac:dyDescent="0.25">
      <c r="A681">
        <v>821</v>
      </c>
      <c r="B681" s="2">
        <v>1</v>
      </c>
      <c r="C681" s="2" t="s">
        <v>780</v>
      </c>
      <c r="D681">
        <v>10</v>
      </c>
      <c r="E681" s="2" t="s">
        <v>781</v>
      </c>
      <c r="G681">
        <v>690</v>
      </c>
      <c r="H681" s="2">
        <v>1</v>
      </c>
      <c r="I681" s="2" t="s">
        <v>667</v>
      </c>
      <c r="J681">
        <v>10</v>
      </c>
      <c r="K681" s="2" t="s">
        <v>668</v>
      </c>
    </row>
    <row r="682" spans="1:11" x14ac:dyDescent="0.25">
      <c r="A682">
        <v>829</v>
      </c>
      <c r="B682" s="2">
        <v>1</v>
      </c>
      <c r="C682" s="2" t="s">
        <v>782</v>
      </c>
      <c r="D682">
        <v>20</v>
      </c>
      <c r="E682" s="2" t="s">
        <v>783</v>
      </c>
      <c r="G682" s="2">
        <v>196</v>
      </c>
      <c r="H682" s="2">
        <v>1</v>
      </c>
      <c r="I682" s="2" t="s">
        <v>238</v>
      </c>
      <c r="J682" s="2">
        <v>712</v>
      </c>
      <c r="K682" s="2" t="s">
        <v>245</v>
      </c>
    </row>
    <row r="683" spans="1:11" x14ac:dyDescent="0.25">
      <c r="A683" s="7">
        <v>829</v>
      </c>
      <c r="B683" s="7">
        <v>1</v>
      </c>
      <c r="C683" s="7" t="s">
        <v>782</v>
      </c>
      <c r="D683" s="7">
        <v>40</v>
      </c>
      <c r="E683" s="7" t="s">
        <v>784</v>
      </c>
      <c r="G683" s="2">
        <v>196</v>
      </c>
      <c r="H683" s="2">
        <v>1</v>
      </c>
      <c r="I683" s="2" t="s">
        <v>238</v>
      </c>
      <c r="J683" s="2">
        <v>716</v>
      </c>
      <c r="K683" s="2" t="s">
        <v>248</v>
      </c>
    </row>
    <row r="684" spans="1:11" x14ac:dyDescent="0.25">
      <c r="A684">
        <v>831</v>
      </c>
      <c r="B684" s="2">
        <v>1</v>
      </c>
      <c r="C684" s="2" t="s">
        <v>785</v>
      </c>
      <c r="D684">
        <v>625</v>
      </c>
      <c r="E684" s="2" t="s">
        <v>786</v>
      </c>
      <c r="G684" s="2">
        <v>196</v>
      </c>
      <c r="H684" s="2">
        <v>1</v>
      </c>
      <c r="I684" s="2" t="s">
        <v>238</v>
      </c>
      <c r="J684" s="2">
        <v>710</v>
      </c>
      <c r="K684" s="2" t="s">
        <v>243</v>
      </c>
    </row>
    <row r="685" spans="1:11" x14ac:dyDescent="0.25">
      <c r="A685">
        <v>831</v>
      </c>
      <c r="B685" s="2">
        <v>1</v>
      </c>
      <c r="C685" s="2" t="s">
        <v>785</v>
      </c>
      <c r="D685">
        <v>626</v>
      </c>
      <c r="E685" s="2" t="s">
        <v>418</v>
      </c>
      <c r="G685" s="2">
        <v>196</v>
      </c>
      <c r="H685" s="2">
        <v>1</v>
      </c>
      <c r="I685" s="2" t="s">
        <v>238</v>
      </c>
      <c r="J685" s="2">
        <v>714</v>
      </c>
      <c r="K685" s="2" t="s">
        <v>247</v>
      </c>
    </row>
    <row r="686" spans="1:11" x14ac:dyDescent="0.25">
      <c r="A686">
        <v>831</v>
      </c>
      <c r="B686" s="2">
        <v>1</v>
      </c>
      <c r="C686" s="2" t="s">
        <v>785</v>
      </c>
      <c r="D686">
        <v>627</v>
      </c>
      <c r="E686" s="2" t="s">
        <v>787</v>
      </c>
      <c r="G686" s="2">
        <v>196</v>
      </c>
      <c r="H686" s="2">
        <v>1</v>
      </c>
      <c r="I686" s="2" t="s">
        <v>238</v>
      </c>
      <c r="J686" s="2">
        <v>764</v>
      </c>
      <c r="K686" s="2" t="s">
        <v>253</v>
      </c>
    </row>
    <row r="687" spans="1:11" x14ac:dyDescent="0.25">
      <c r="A687">
        <v>831</v>
      </c>
      <c r="B687" s="2">
        <v>1</v>
      </c>
      <c r="C687" s="2" t="s">
        <v>785</v>
      </c>
      <c r="D687">
        <v>628</v>
      </c>
      <c r="E687" s="2" t="s">
        <v>788</v>
      </c>
      <c r="G687" s="2">
        <v>196</v>
      </c>
      <c r="H687" s="2">
        <v>1</v>
      </c>
      <c r="I687" s="2" t="s">
        <v>238</v>
      </c>
      <c r="J687" s="2">
        <v>711</v>
      </c>
      <c r="K687" s="2" t="s">
        <v>244</v>
      </c>
    </row>
    <row r="688" spans="1:11" x14ac:dyDescent="0.25">
      <c r="A688">
        <v>831</v>
      </c>
      <c r="B688" s="2">
        <v>1</v>
      </c>
      <c r="C688" s="2" t="s">
        <v>785</v>
      </c>
      <c r="D688">
        <v>629</v>
      </c>
      <c r="E688" s="2" t="s">
        <v>789</v>
      </c>
      <c r="G688" s="2">
        <v>196</v>
      </c>
      <c r="H688" s="2">
        <v>1</v>
      </c>
      <c r="I688" s="2" t="s">
        <v>238</v>
      </c>
      <c r="J688" s="2">
        <v>715</v>
      </c>
      <c r="K688" s="2" t="s">
        <v>87</v>
      </c>
    </row>
    <row r="689" spans="1:11" x14ac:dyDescent="0.25">
      <c r="A689">
        <v>831</v>
      </c>
      <c r="B689" s="2">
        <v>1</v>
      </c>
      <c r="C689" s="2" t="s">
        <v>785</v>
      </c>
      <c r="D689">
        <v>630</v>
      </c>
      <c r="E689" s="2" t="s">
        <v>790</v>
      </c>
      <c r="G689" s="2">
        <v>196</v>
      </c>
      <c r="H689" s="2">
        <v>1</v>
      </c>
      <c r="I689" s="2" t="s">
        <v>238</v>
      </c>
      <c r="J689" s="2">
        <v>706</v>
      </c>
      <c r="K689" s="2" t="s">
        <v>240</v>
      </c>
    </row>
    <row r="690" spans="1:11" x14ac:dyDescent="0.25">
      <c r="A690">
        <v>831</v>
      </c>
      <c r="B690" s="2">
        <v>1</v>
      </c>
      <c r="C690" s="2" t="s">
        <v>785</v>
      </c>
      <c r="D690">
        <v>631</v>
      </c>
      <c r="E690" s="2" t="s">
        <v>791</v>
      </c>
      <c r="G690" s="2">
        <v>196</v>
      </c>
      <c r="H690" s="2">
        <v>1</v>
      </c>
      <c r="I690" s="2" t="s">
        <v>238</v>
      </c>
      <c r="J690" s="2">
        <v>720</v>
      </c>
      <c r="K690" s="2" t="s">
        <v>252</v>
      </c>
    </row>
    <row r="691" spans="1:11" x14ac:dyDescent="0.25">
      <c r="A691">
        <v>831</v>
      </c>
      <c r="B691" s="2">
        <v>1</v>
      </c>
      <c r="C691" s="2" t="s">
        <v>785</v>
      </c>
      <c r="D691">
        <v>633</v>
      </c>
      <c r="E691" s="2" t="s">
        <v>792</v>
      </c>
      <c r="G691" s="2">
        <v>196</v>
      </c>
      <c r="H691" s="2">
        <v>1</v>
      </c>
      <c r="I691" s="2" t="s">
        <v>238</v>
      </c>
      <c r="J691" s="2">
        <v>709</v>
      </c>
      <c r="K691" s="2" t="s">
        <v>242</v>
      </c>
    </row>
    <row r="692" spans="1:11" x14ac:dyDescent="0.25">
      <c r="A692">
        <v>832</v>
      </c>
      <c r="B692" s="2">
        <v>1</v>
      </c>
      <c r="C692" s="2" t="s">
        <v>793</v>
      </c>
      <c r="D692">
        <v>10</v>
      </c>
      <c r="E692" s="2" t="s">
        <v>794</v>
      </c>
      <c r="G692">
        <v>196</v>
      </c>
      <c r="H692" s="2">
        <v>1</v>
      </c>
      <c r="I692" s="2" t="s">
        <v>238</v>
      </c>
      <c r="J692">
        <v>718</v>
      </c>
      <c r="K692" s="2" t="s">
        <v>250</v>
      </c>
    </row>
    <row r="693" spans="1:11" x14ac:dyDescent="0.25">
      <c r="A693">
        <v>833</v>
      </c>
      <c r="B693" s="2">
        <v>1</v>
      </c>
      <c r="C693" s="2" t="s">
        <v>795</v>
      </c>
      <c r="D693">
        <v>30</v>
      </c>
      <c r="E693" s="2" t="s">
        <v>796</v>
      </c>
      <c r="G693" s="2">
        <v>196</v>
      </c>
      <c r="H693" s="2">
        <v>1</v>
      </c>
      <c r="I693" s="2" t="s">
        <v>238</v>
      </c>
      <c r="J693" s="2">
        <v>765</v>
      </c>
      <c r="K693" s="2" t="s">
        <v>254</v>
      </c>
    </row>
    <row r="694" spans="1:11" x14ac:dyDescent="0.25">
      <c r="A694">
        <v>833</v>
      </c>
      <c r="B694" s="2">
        <v>1</v>
      </c>
      <c r="C694" s="2" t="s">
        <v>795</v>
      </c>
      <c r="D694">
        <v>31</v>
      </c>
      <c r="E694" s="2" t="s">
        <v>797</v>
      </c>
      <c r="G694" s="2">
        <v>196</v>
      </c>
      <c r="H694" s="2">
        <v>1</v>
      </c>
      <c r="I694" s="2" t="s">
        <v>238</v>
      </c>
      <c r="J694" s="2">
        <v>705</v>
      </c>
      <c r="K694" s="2" t="s">
        <v>239</v>
      </c>
    </row>
    <row r="695" spans="1:11" x14ac:dyDescent="0.25">
      <c r="A695">
        <v>833</v>
      </c>
      <c r="B695" s="2">
        <v>1</v>
      </c>
      <c r="C695" s="2" t="s">
        <v>795</v>
      </c>
      <c r="D695">
        <v>32</v>
      </c>
      <c r="E695" s="2" t="s">
        <v>798</v>
      </c>
      <c r="G695" s="2">
        <v>196</v>
      </c>
      <c r="H695" s="2">
        <v>1</v>
      </c>
      <c r="I695" s="2" t="s">
        <v>238</v>
      </c>
      <c r="J695" s="2">
        <v>719</v>
      </c>
      <c r="K695" s="2" t="s">
        <v>251</v>
      </c>
    </row>
    <row r="696" spans="1:11" x14ac:dyDescent="0.25">
      <c r="A696">
        <v>833</v>
      </c>
      <c r="B696" s="2">
        <v>1</v>
      </c>
      <c r="C696" s="2" t="s">
        <v>795</v>
      </c>
      <c r="D696">
        <v>34</v>
      </c>
      <c r="E696" s="2" t="s">
        <v>799</v>
      </c>
      <c r="G696" s="2">
        <v>196</v>
      </c>
      <c r="H696" s="2">
        <v>1</v>
      </c>
      <c r="I696" s="2" t="s">
        <v>238</v>
      </c>
      <c r="J696" s="2">
        <v>708</v>
      </c>
      <c r="K696" s="2" t="s">
        <v>155</v>
      </c>
    </row>
    <row r="697" spans="1:11" x14ac:dyDescent="0.25">
      <c r="A697">
        <v>833</v>
      </c>
      <c r="B697" s="2">
        <v>1</v>
      </c>
      <c r="C697" s="2" t="s">
        <v>795</v>
      </c>
      <c r="D697">
        <v>36</v>
      </c>
      <c r="E697" s="2" t="s">
        <v>800</v>
      </c>
      <c r="G697" s="2">
        <v>196</v>
      </c>
      <c r="H697" s="2">
        <v>1</v>
      </c>
      <c r="I697" s="2" t="s">
        <v>238</v>
      </c>
      <c r="J697" s="2">
        <v>713</v>
      </c>
      <c r="K697" s="2" t="s">
        <v>246</v>
      </c>
    </row>
    <row r="698" spans="1:11" x14ac:dyDescent="0.25">
      <c r="A698">
        <v>833</v>
      </c>
      <c r="B698" s="2">
        <v>1</v>
      </c>
      <c r="C698" s="2" t="s">
        <v>795</v>
      </c>
      <c r="D698">
        <v>37</v>
      </c>
      <c r="E698" s="2" t="s">
        <v>801</v>
      </c>
      <c r="G698" s="2">
        <v>196</v>
      </c>
      <c r="H698" s="2">
        <v>1</v>
      </c>
      <c r="I698" s="2" t="s">
        <v>238</v>
      </c>
      <c r="J698" s="2">
        <v>707</v>
      </c>
      <c r="K698" s="2" t="s">
        <v>241</v>
      </c>
    </row>
    <row r="699" spans="1:11" x14ac:dyDescent="0.25">
      <c r="A699">
        <v>833</v>
      </c>
      <c r="B699" s="2">
        <v>1</v>
      </c>
      <c r="C699" s="2" t="s">
        <v>795</v>
      </c>
      <c r="D699">
        <v>38</v>
      </c>
      <c r="E699" s="2" t="s">
        <v>802</v>
      </c>
      <c r="G699" s="2">
        <v>196</v>
      </c>
      <c r="H699" s="2">
        <v>1</v>
      </c>
      <c r="I699" s="2" t="s">
        <v>238</v>
      </c>
      <c r="J699" s="2">
        <v>717</v>
      </c>
      <c r="K699" s="2" t="s">
        <v>249</v>
      </c>
    </row>
    <row r="700" spans="1:11" x14ac:dyDescent="0.25">
      <c r="A700">
        <v>833</v>
      </c>
      <c r="B700" s="2">
        <v>1</v>
      </c>
      <c r="C700" s="2" t="s">
        <v>795</v>
      </c>
      <c r="D700">
        <v>40</v>
      </c>
      <c r="E700" s="2" t="s">
        <v>803</v>
      </c>
      <c r="G700">
        <v>196</v>
      </c>
      <c r="H700">
        <v>1</v>
      </c>
      <c r="I700" t="s">
        <v>1180</v>
      </c>
      <c r="J700">
        <v>100</v>
      </c>
      <c r="K700" t="s">
        <v>1181</v>
      </c>
    </row>
    <row r="701" spans="1:11" x14ac:dyDescent="0.25">
      <c r="A701">
        <v>833</v>
      </c>
      <c r="B701" s="2">
        <v>1</v>
      </c>
      <c r="C701" s="2" t="s">
        <v>795</v>
      </c>
      <c r="D701">
        <v>41</v>
      </c>
      <c r="E701" s="2" t="s">
        <v>804</v>
      </c>
      <c r="G701">
        <v>623</v>
      </c>
      <c r="H701" s="2">
        <v>1</v>
      </c>
      <c r="I701" s="2" t="s">
        <v>589</v>
      </c>
      <c r="J701">
        <v>721</v>
      </c>
      <c r="K701" s="2" t="s">
        <v>591</v>
      </c>
    </row>
    <row r="702" spans="1:11" x14ac:dyDescent="0.25">
      <c r="A702">
        <v>833</v>
      </c>
      <c r="B702" s="2">
        <v>1</v>
      </c>
      <c r="C702" s="2" t="s">
        <v>795</v>
      </c>
      <c r="D702">
        <v>42</v>
      </c>
      <c r="E702" s="2" t="s">
        <v>805</v>
      </c>
      <c r="G702">
        <v>623</v>
      </c>
      <c r="H702" s="2">
        <v>1</v>
      </c>
      <c r="I702" s="2" t="s">
        <v>589</v>
      </c>
      <c r="J702">
        <v>722</v>
      </c>
      <c r="K702" s="2" t="s">
        <v>592</v>
      </c>
    </row>
    <row r="703" spans="1:11" x14ac:dyDescent="0.25">
      <c r="A703">
        <v>833</v>
      </c>
      <c r="B703" s="2">
        <v>1</v>
      </c>
      <c r="C703" s="2" t="s">
        <v>795</v>
      </c>
      <c r="D703">
        <v>43</v>
      </c>
      <c r="E703" s="2" t="s">
        <v>806</v>
      </c>
      <c r="G703">
        <v>623</v>
      </c>
      <c r="H703" s="2">
        <v>1</v>
      </c>
      <c r="I703" s="2" t="s">
        <v>589</v>
      </c>
      <c r="J703">
        <v>723</v>
      </c>
      <c r="K703" s="2" t="s">
        <v>562</v>
      </c>
    </row>
    <row r="704" spans="1:11" x14ac:dyDescent="0.25">
      <c r="A704">
        <v>833</v>
      </c>
      <c r="B704" s="2">
        <v>1</v>
      </c>
      <c r="C704" s="2" t="s">
        <v>795</v>
      </c>
      <c r="D704">
        <v>44</v>
      </c>
      <c r="E704" s="2" t="s">
        <v>807</v>
      </c>
      <c r="G704">
        <v>623</v>
      </c>
      <c r="H704" s="2">
        <v>1</v>
      </c>
      <c r="I704" s="2" t="s">
        <v>589</v>
      </c>
      <c r="J704">
        <v>724</v>
      </c>
      <c r="K704" s="2" t="s">
        <v>593</v>
      </c>
    </row>
    <row r="705" spans="1:11" x14ac:dyDescent="0.25">
      <c r="A705">
        <v>833</v>
      </c>
      <c r="B705" s="2">
        <v>1</v>
      </c>
      <c r="C705" s="2" t="s">
        <v>795</v>
      </c>
      <c r="D705">
        <v>45</v>
      </c>
      <c r="E705" s="2" t="s">
        <v>808</v>
      </c>
      <c r="G705">
        <v>623</v>
      </c>
      <c r="H705" s="2">
        <v>1</v>
      </c>
      <c r="I705" s="2" t="s">
        <v>589</v>
      </c>
      <c r="J705">
        <v>728</v>
      </c>
      <c r="K705" s="2" t="s">
        <v>594</v>
      </c>
    </row>
    <row r="706" spans="1:11" x14ac:dyDescent="0.25">
      <c r="A706">
        <v>833</v>
      </c>
      <c r="B706" s="2">
        <v>1</v>
      </c>
      <c r="C706" s="2" t="s">
        <v>795</v>
      </c>
      <c r="D706">
        <v>46</v>
      </c>
      <c r="E706" s="2" t="s">
        <v>809</v>
      </c>
      <c r="G706">
        <v>623</v>
      </c>
      <c r="H706" s="2">
        <v>1</v>
      </c>
      <c r="I706" s="2" t="s">
        <v>589</v>
      </c>
      <c r="J706">
        <v>73</v>
      </c>
      <c r="K706" s="2" t="s">
        <v>590</v>
      </c>
    </row>
    <row r="707" spans="1:11" x14ac:dyDescent="0.25">
      <c r="A707">
        <v>833</v>
      </c>
      <c r="B707" s="2">
        <v>1</v>
      </c>
      <c r="C707" s="2" t="s">
        <v>795</v>
      </c>
      <c r="D707">
        <v>47</v>
      </c>
      <c r="E707" s="2" t="s">
        <v>810</v>
      </c>
      <c r="G707">
        <v>623</v>
      </c>
      <c r="H707" s="2">
        <v>1</v>
      </c>
      <c r="I707" s="2" t="s">
        <v>589</v>
      </c>
      <c r="J707">
        <v>731</v>
      </c>
      <c r="K707" s="2" t="s">
        <v>595</v>
      </c>
    </row>
    <row r="708" spans="1:11" x14ac:dyDescent="0.25">
      <c r="A708">
        <v>834</v>
      </c>
      <c r="B708" s="2">
        <v>1</v>
      </c>
      <c r="C708" s="2" t="s">
        <v>811</v>
      </c>
      <c r="D708">
        <v>785</v>
      </c>
      <c r="E708" s="2" t="s">
        <v>812</v>
      </c>
      <c r="G708">
        <v>850</v>
      </c>
      <c r="H708" s="2">
        <v>1</v>
      </c>
      <c r="I708" s="2" t="s">
        <v>829</v>
      </c>
      <c r="J708">
        <v>10</v>
      </c>
      <c r="K708" s="2" t="s">
        <v>830</v>
      </c>
    </row>
    <row r="709" spans="1:11" x14ac:dyDescent="0.25">
      <c r="A709">
        <v>834</v>
      </c>
      <c r="B709" s="2">
        <v>1</v>
      </c>
      <c r="C709" s="2" t="s">
        <v>811</v>
      </c>
      <c r="D709">
        <v>786</v>
      </c>
      <c r="E709" s="2" t="s">
        <v>31</v>
      </c>
      <c r="G709" s="2">
        <v>485</v>
      </c>
      <c r="H709" s="2">
        <v>1</v>
      </c>
      <c r="I709" s="2" t="s">
        <v>491</v>
      </c>
      <c r="J709" s="2">
        <v>10</v>
      </c>
      <c r="K709" s="2" t="s">
        <v>492</v>
      </c>
    </row>
    <row r="710" spans="1:11" x14ac:dyDescent="0.25">
      <c r="A710">
        <v>834</v>
      </c>
      <c r="B710" s="2">
        <v>1</v>
      </c>
      <c r="C710" s="2" t="s">
        <v>811</v>
      </c>
      <c r="D710">
        <v>787</v>
      </c>
      <c r="E710" s="2" t="s">
        <v>813</v>
      </c>
      <c r="G710">
        <v>2902</v>
      </c>
      <c r="H710" s="2">
        <v>1</v>
      </c>
      <c r="I710" s="2" t="s">
        <v>1016</v>
      </c>
      <c r="J710">
        <v>100</v>
      </c>
      <c r="K710" s="2" t="s">
        <v>1017</v>
      </c>
    </row>
    <row r="711" spans="1:11" x14ac:dyDescent="0.25">
      <c r="A711">
        <v>834</v>
      </c>
      <c r="B711" s="2">
        <v>1</v>
      </c>
      <c r="C711" s="2" t="s">
        <v>811</v>
      </c>
      <c r="D711">
        <v>788</v>
      </c>
      <c r="E711" s="2" t="s">
        <v>814</v>
      </c>
      <c r="G711" s="2">
        <v>139</v>
      </c>
      <c r="H711" s="2">
        <v>1</v>
      </c>
      <c r="I711" s="2" t="s">
        <v>180</v>
      </c>
      <c r="J711" s="2">
        <v>10</v>
      </c>
      <c r="K711" s="2" t="s">
        <v>181</v>
      </c>
    </row>
    <row r="712" spans="1:11" x14ac:dyDescent="0.25">
      <c r="A712">
        <v>834</v>
      </c>
      <c r="B712" s="2">
        <v>1</v>
      </c>
      <c r="C712" s="2" t="s">
        <v>811</v>
      </c>
      <c r="D712">
        <v>789</v>
      </c>
      <c r="E712" s="2" t="s">
        <v>815</v>
      </c>
      <c r="G712" s="2">
        <v>239</v>
      </c>
      <c r="H712" s="2">
        <v>1</v>
      </c>
      <c r="I712" s="2" t="s">
        <v>288</v>
      </c>
      <c r="J712" s="2">
        <v>1</v>
      </c>
      <c r="K712" s="2" t="s">
        <v>289</v>
      </c>
    </row>
    <row r="713" spans="1:11" x14ac:dyDescent="0.25">
      <c r="A713">
        <v>834</v>
      </c>
      <c r="B713" s="2">
        <v>1</v>
      </c>
      <c r="C713" s="2" t="s">
        <v>811</v>
      </c>
      <c r="D713">
        <v>790</v>
      </c>
      <c r="E713" s="2" t="s">
        <v>816</v>
      </c>
      <c r="G713">
        <v>748</v>
      </c>
      <c r="H713" s="2">
        <v>1</v>
      </c>
      <c r="I713" s="2" t="s">
        <v>748</v>
      </c>
      <c r="J713">
        <v>60</v>
      </c>
      <c r="K713" s="2" t="s">
        <v>252</v>
      </c>
    </row>
    <row r="714" spans="1:11" x14ac:dyDescent="0.25">
      <c r="A714">
        <v>834</v>
      </c>
      <c r="B714" s="2">
        <v>1</v>
      </c>
      <c r="C714" s="2" t="s">
        <v>811</v>
      </c>
      <c r="D714">
        <v>792</v>
      </c>
      <c r="E714" s="2" t="s">
        <v>817</v>
      </c>
      <c r="G714">
        <v>748</v>
      </c>
      <c r="H714" s="2">
        <v>1</v>
      </c>
      <c r="I714" s="2" t="s">
        <v>748</v>
      </c>
      <c r="J714">
        <v>40</v>
      </c>
      <c r="K714" s="2" t="s">
        <v>749</v>
      </c>
    </row>
    <row r="715" spans="1:11" x14ac:dyDescent="0.25">
      <c r="A715">
        <v>834</v>
      </c>
      <c r="B715" s="2">
        <v>1</v>
      </c>
      <c r="C715" s="2" t="s">
        <v>811</v>
      </c>
      <c r="D715">
        <v>793</v>
      </c>
      <c r="E715" s="2" t="s">
        <v>818</v>
      </c>
      <c r="G715">
        <v>743</v>
      </c>
      <c r="H715" s="2">
        <v>1</v>
      </c>
      <c r="I715" s="2" t="s">
        <v>743</v>
      </c>
      <c r="J715">
        <v>10</v>
      </c>
      <c r="K715" s="2" t="s">
        <v>744</v>
      </c>
    </row>
    <row r="716" spans="1:11" x14ac:dyDescent="0.25">
      <c r="A716">
        <v>834</v>
      </c>
      <c r="B716" s="2">
        <v>1</v>
      </c>
      <c r="C716" s="2" t="s">
        <v>811</v>
      </c>
      <c r="D716">
        <v>804</v>
      </c>
      <c r="E716" s="2" t="s">
        <v>819</v>
      </c>
      <c r="G716" s="2">
        <v>47</v>
      </c>
      <c r="H716" s="2">
        <v>1</v>
      </c>
      <c r="I716" s="2" t="s">
        <v>120</v>
      </c>
      <c r="J716" s="2">
        <v>3</v>
      </c>
      <c r="K716" s="2" t="s">
        <v>121</v>
      </c>
    </row>
    <row r="717" spans="1:11" x14ac:dyDescent="0.25">
      <c r="A717">
        <v>836</v>
      </c>
      <c r="B717" s="2">
        <v>1</v>
      </c>
      <c r="C717" s="2" t="s">
        <v>820</v>
      </c>
      <c r="D717">
        <v>10</v>
      </c>
      <c r="E717" s="2" t="s">
        <v>821</v>
      </c>
      <c r="G717" s="2">
        <v>47</v>
      </c>
      <c r="H717" s="2">
        <v>1</v>
      </c>
      <c r="I717" s="2" t="s">
        <v>120</v>
      </c>
      <c r="J717" s="2">
        <v>7</v>
      </c>
      <c r="K717" s="2" t="s">
        <v>123</v>
      </c>
    </row>
    <row r="718" spans="1:11" x14ac:dyDescent="0.25">
      <c r="A718">
        <v>837</v>
      </c>
      <c r="B718" s="2">
        <v>1</v>
      </c>
      <c r="C718" s="2" t="s">
        <v>822</v>
      </c>
      <c r="D718">
        <v>10</v>
      </c>
      <c r="E718" s="2" t="s">
        <v>823</v>
      </c>
      <c r="G718" s="2">
        <v>47</v>
      </c>
      <c r="H718" s="2">
        <v>1</v>
      </c>
      <c r="I718" s="2" t="s">
        <v>120</v>
      </c>
      <c r="J718" s="2">
        <v>6</v>
      </c>
      <c r="K718" s="2" t="s">
        <v>122</v>
      </c>
    </row>
    <row r="719" spans="1:11" x14ac:dyDescent="0.25">
      <c r="A719">
        <v>840</v>
      </c>
      <c r="B719" s="2">
        <v>1</v>
      </c>
      <c r="C719" s="2" t="s">
        <v>824</v>
      </c>
      <c r="D719">
        <v>20</v>
      </c>
      <c r="E719" s="2" t="s">
        <v>825</v>
      </c>
      <c r="G719">
        <v>4058</v>
      </c>
      <c r="H719" s="2">
        <v>7</v>
      </c>
      <c r="I719" s="2" t="s">
        <v>1041</v>
      </c>
      <c r="J719">
        <v>10</v>
      </c>
      <c r="K719" s="2" t="s">
        <v>1041</v>
      </c>
    </row>
    <row r="720" spans="1:11" x14ac:dyDescent="0.25">
      <c r="A720" s="7">
        <v>840</v>
      </c>
      <c r="B720" s="7">
        <v>1</v>
      </c>
      <c r="C720" s="7" t="s">
        <v>824</v>
      </c>
      <c r="D720" s="7">
        <v>21</v>
      </c>
      <c r="E720" s="7" t="s">
        <v>826</v>
      </c>
      <c r="G720">
        <v>820</v>
      </c>
      <c r="H720" s="2">
        <v>1</v>
      </c>
      <c r="I720" s="2" t="s">
        <v>778</v>
      </c>
      <c r="J720">
        <v>1</v>
      </c>
      <c r="K720" s="2" t="s">
        <v>779</v>
      </c>
    </row>
    <row r="721" spans="1:11" x14ac:dyDescent="0.25">
      <c r="A721">
        <v>846</v>
      </c>
      <c r="B721" s="2">
        <v>1</v>
      </c>
      <c r="C721" s="2" t="s">
        <v>827</v>
      </c>
      <c r="D721">
        <v>10</v>
      </c>
      <c r="E721" s="2" t="s">
        <v>828</v>
      </c>
      <c r="G721">
        <v>4159</v>
      </c>
      <c r="H721" s="2">
        <v>7</v>
      </c>
      <c r="I721" s="2" t="s">
        <v>1075</v>
      </c>
      <c r="J721">
        <v>10</v>
      </c>
      <c r="K721" s="2" t="s">
        <v>1075</v>
      </c>
    </row>
    <row r="722" spans="1:11" x14ac:dyDescent="0.25">
      <c r="A722">
        <v>850</v>
      </c>
      <c r="B722" s="2">
        <v>1</v>
      </c>
      <c r="C722" s="2" t="s">
        <v>829</v>
      </c>
      <c r="D722">
        <v>10</v>
      </c>
      <c r="E722" s="2" t="s">
        <v>830</v>
      </c>
      <c r="G722">
        <v>720</v>
      </c>
      <c r="H722" s="2">
        <v>1</v>
      </c>
      <c r="I722" s="2" t="s">
        <v>708</v>
      </c>
      <c r="J722">
        <v>865</v>
      </c>
      <c r="K722" s="2" t="s">
        <v>713</v>
      </c>
    </row>
    <row r="723" spans="1:11" x14ac:dyDescent="0.25">
      <c r="A723">
        <v>852</v>
      </c>
      <c r="B723">
        <v>1</v>
      </c>
      <c r="C723" t="s">
        <v>831</v>
      </c>
      <c r="D723">
        <v>10</v>
      </c>
      <c r="E723" t="s">
        <v>1241</v>
      </c>
      <c r="G723">
        <v>720</v>
      </c>
      <c r="H723" s="2">
        <v>1</v>
      </c>
      <c r="I723" s="2" t="s">
        <v>708</v>
      </c>
      <c r="J723">
        <v>862</v>
      </c>
      <c r="K723" s="2" t="s">
        <v>711</v>
      </c>
    </row>
    <row r="724" spans="1:11" x14ac:dyDescent="0.25">
      <c r="A724">
        <v>857</v>
      </c>
      <c r="B724" s="2">
        <v>1</v>
      </c>
      <c r="C724" s="2" t="s">
        <v>832</v>
      </c>
      <c r="D724">
        <v>10</v>
      </c>
      <c r="E724" s="2" t="s">
        <v>833</v>
      </c>
      <c r="G724">
        <v>720</v>
      </c>
      <c r="H724" s="2">
        <v>1</v>
      </c>
      <c r="I724" s="2" t="s">
        <v>708</v>
      </c>
      <c r="J724">
        <v>864</v>
      </c>
      <c r="K724" s="2" t="s">
        <v>712</v>
      </c>
    </row>
    <row r="725" spans="1:11" x14ac:dyDescent="0.25">
      <c r="A725">
        <v>858</v>
      </c>
      <c r="B725" s="2">
        <v>1</v>
      </c>
      <c r="C725" s="2" t="s">
        <v>834</v>
      </c>
      <c r="D725">
        <v>2</v>
      </c>
      <c r="E725" s="2" t="s">
        <v>835</v>
      </c>
      <c r="G725">
        <v>720</v>
      </c>
      <c r="H725" s="2">
        <v>1</v>
      </c>
      <c r="I725" s="2" t="s">
        <v>708</v>
      </c>
      <c r="J725">
        <v>861</v>
      </c>
      <c r="K725" s="2" t="s">
        <v>710</v>
      </c>
    </row>
    <row r="726" spans="1:11" x14ac:dyDescent="0.25">
      <c r="A726">
        <v>861</v>
      </c>
      <c r="B726" s="2">
        <v>1</v>
      </c>
      <c r="C726" s="2" t="s">
        <v>836</v>
      </c>
      <c r="D726">
        <v>1</v>
      </c>
      <c r="E726" s="2" t="s">
        <v>110</v>
      </c>
      <c r="G726">
        <v>720</v>
      </c>
      <c r="H726" s="2">
        <v>1</v>
      </c>
      <c r="I726" s="2" t="s">
        <v>708</v>
      </c>
      <c r="J726">
        <v>860</v>
      </c>
      <c r="K726" s="2" t="s">
        <v>709</v>
      </c>
    </row>
    <row r="727" spans="1:11" x14ac:dyDescent="0.25">
      <c r="A727">
        <v>861</v>
      </c>
      <c r="B727" s="2">
        <v>1</v>
      </c>
      <c r="C727" s="2" t="s">
        <v>836</v>
      </c>
      <c r="D727">
        <v>2</v>
      </c>
      <c r="E727" s="2" t="s">
        <v>28</v>
      </c>
      <c r="G727">
        <v>2310</v>
      </c>
      <c r="H727" s="2">
        <v>1</v>
      </c>
      <c r="I727" s="2" t="s">
        <v>934</v>
      </c>
      <c r="J727">
        <v>1</v>
      </c>
      <c r="K727" s="2" t="s">
        <v>935</v>
      </c>
    </row>
    <row r="728" spans="1:11" x14ac:dyDescent="0.25">
      <c r="A728">
        <v>861</v>
      </c>
      <c r="B728" s="2">
        <v>1</v>
      </c>
      <c r="C728" s="2" t="s">
        <v>836</v>
      </c>
      <c r="D728">
        <v>4</v>
      </c>
      <c r="E728" s="2" t="s">
        <v>62</v>
      </c>
      <c r="G728">
        <v>2310</v>
      </c>
      <c r="H728" s="2">
        <v>1</v>
      </c>
      <c r="I728" s="2" t="s">
        <v>934</v>
      </c>
      <c r="J728">
        <v>10</v>
      </c>
      <c r="K728" s="2" t="s">
        <v>936</v>
      </c>
    </row>
    <row r="729" spans="1:11" x14ac:dyDescent="0.25">
      <c r="A729">
        <v>861</v>
      </c>
      <c r="B729">
        <v>1</v>
      </c>
      <c r="C729" t="s">
        <v>1242</v>
      </c>
      <c r="D729">
        <v>11</v>
      </c>
      <c r="E729" t="s">
        <v>1243</v>
      </c>
      <c r="G729" s="2">
        <v>84</v>
      </c>
      <c r="H729" s="2">
        <v>1</v>
      </c>
      <c r="I729" s="2" t="s">
        <v>134</v>
      </c>
      <c r="J729" s="2">
        <v>10</v>
      </c>
      <c r="K729" s="2" t="s">
        <v>135</v>
      </c>
    </row>
    <row r="730" spans="1:11" x14ac:dyDescent="0.25">
      <c r="A730">
        <v>861</v>
      </c>
      <c r="B730" s="2">
        <v>1</v>
      </c>
      <c r="C730" s="2" t="s">
        <v>836</v>
      </c>
      <c r="D730">
        <v>12</v>
      </c>
      <c r="E730" s="2" t="s">
        <v>71</v>
      </c>
      <c r="G730">
        <v>4038</v>
      </c>
      <c r="H730" s="2">
        <v>7</v>
      </c>
      <c r="I730" s="2" t="s">
        <v>1039</v>
      </c>
      <c r="J730">
        <v>10</v>
      </c>
      <c r="K730" s="2" t="s">
        <v>1039</v>
      </c>
    </row>
    <row r="731" spans="1:11" x14ac:dyDescent="0.25">
      <c r="A731">
        <v>861</v>
      </c>
      <c r="B731" s="2">
        <v>1</v>
      </c>
      <c r="C731" s="2" t="s">
        <v>836</v>
      </c>
      <c r="D731">
        <v>15</v>
      </c>
      <c r="E731" s="2" t="s">
        <v>837</v>
      </c>
      <c r="G731">
        <v>363</v>
      </c>
      <c r="H731">
        <v>1</v>
      </c>
      <c r="I731" t="s">
        <v>1188</v>
      </c>
      <c r="J731">
        <v>90</v>
      </c>
      <c r="K731" t="s">
        <v>1190</v>
      </c>
    </row>
    <row r="732" spans="1:11" x14ac:dyDescent="0.25">
      <c r="A732">
        <v>876</v>
      </c>
      <c r="B732" s="2">
        <v>1</v>
      </c>
      <c r="C732" s="2" t="s">
        <v>838</v>
      </c>
      <c r="D732">
        <v>1</v>
      </c>
      <c r="E732" s="2" t="s">
        <v>839</v>
      </c>
      <c r="G732">
        <v>363</v>
      </c>
      <c r="H732">
        <v>1</v>
      </c>
      <c r="I732" t="s">
        <v>1188</v>
      </c>
      <c r="J732">
        <v>80</v>
      </c>
      <c r="K732" t="s">
        <v>1189</v>
      </c>
    </row>
    <row r="733" spans="1:11" x14ac:dyDescent="0.25">
      <c r="A733">
        <v>877</v>
      </c>
      <c r="B733" s="2">
        <v>1</v>
      </c>
      <c r="C733" s="2" t="s">
        <v>840</v>
      </c>
      <c r="D733">
        <v>10</v>
      </c>
      <c r="E733" s="2" t="s">
        <v>841</v>
      </c>
      <c r="G733" s="2">
        <v>6</v>
      </c>
      <c r="H733" s="2">
        <v>3</v>
      </c>
      <c r="I733" s="2" t="s">
        <v>49</v>
      </c>
      <c r="J733" s="2">
        <v>737</v>
      </c>
      <c r="K733" s="2" t="s">
        <v>51</v>
      </c>
    </row>
    <row r="734" spans="1:11" x14ac:dyDescent="0.25">
      <c r="A734">
        <v>877</v>
      </c>
      <c r="B734" s="2">
        <v>1</v>
      </c>
      <c r="C734" s="2" t="s">
        <v>840</v>
      </c>
      <c r="D734">
        <v>20</v>
      </c>
      <c r="E734" s="2" t="s">
        <v>842</v>
      </c>
      <c r="G734" s="2">
        <v>6</v>
      </c>
      <c r="H734" s="2">
        <v>3</v>
      </c>
      <c r="I734" s="2" t="s">
        <v>49</v>
      </c>
      <c r="J734" s="2">
        <v>735</v>
      </c>
      <c r="K734" s="2" t="s">
        <v>50</v>
      </c>
    </row>
    <row r="735" spans="1:11" x14ac:dyDescent="0.25">
      <c r="A735">
        <v>877</v>
      </c>
      <c r="B735" s="2">
        <v>1</v>
      </c>
      <c r="C735" s="2" t="s">
        <v>840</v>
      </c>
      <c r="D735">
        <v>50</v>
      </c>
      <c r="E735" s="2" t="s">
        <v>843</v>
      </c>
      <c r="G735">
        <v>833</v>
      </c>
      <c r="H735" s="2">
        <v>1</v>
      </c>
      <c r="I735" s="2" t="s">
        <v>795</v>
      </c>
      <c r="J735">
        <v>30</v>
      </c>
      <c r="K735" s="2" t="s">
        <v>796</v>
      </c>
    </row>
    <row r="736" spans="1:11" x14ac:dyDescent="0.25">
      <c r="A736">
        <v>877</v>
      </c>
      <c r="B736" s="2">
        <v>1</v>
      </c>
      <c r="C736" s="2" t="s">
        <v>840</v>
      </c>
      <c r="D736">
        <v>60</v>
      </c>
      <c r="E736" s="2" t="s">
        <v>844</v>
      </c>
      <c r="G736">
        <v>833</v>
      </c>
      <c r="H736" s="2">
        <v>1</v>
      </c>
      <c r="I736" s="2" t="s">
        <v>795</v>
      </c>
      <c r="J736">
        <v>37</v>
      </c>
      <c r="K736" s="2" t="s">
        <v>801</v>
      </c>
    </row>
    <row r="737" spans="1:11" x14ac:dyDescent="0.25">
      <c r="A737">
        <v>877</v>
      </c>
      <c r="B737" s="2">
        <v>1</v>
      </c>
      <c r="C737" s="2" t="s">
        <v>840</v>
      </c>
      <c r="D737">
        <v>65</v>
      </c>
      <c r="E737" s="2" t="s">
        <v>845</v>
      </c>
      <c r="G737">
        <v>833</v>
      </c>
      <c r="H737" s="2">
        <v>1</v>
      </c>
      <c r="I737" s="2" t="s">
        <v>795</v>
      </c>
      <c r="J737">
        <v>32</v>
      </c>
      <c r="K737" s="2" t="s">
        <v>798</v>
      </c>
    </row>
    <row r="738" spans="1:11" x14ac:dyDescent="0.25">
      <c r="A738">
        <v>877</v>
      </c>
      <c r="B738" s="2">
        <v>1</v>
      </c>
      <c r="C738" s="2" t="s">
        <v>840</v>
      </c>
      <c r="D738">
        <v>70</v>
      </c>
      <c r="E738" s="2" t="s">
        <v>846</v>
      </c>
      <c r="G738">
        <v>833</v>
      </c>
      <c r="H738" s="2">
        <v>1</v>
      </c>
      <c r="I738" s="2" t="s">
        <v>795</v>
      </c>
      <c r="J738">
        <v>45</v>
      </c>
      <c r="K738" s="2" t="s">
        <v>808</v>
      </c>
    </row>
    <row r="739" spans="1:11" x14ac:dyDescent="0.25">
      <c r="A739">
        <v>879</v>
      </c>
      <c r="B739" s="2">
        <v>1</v>
      </c>
      <c r="C739" s="2" t="s">
        <v>847</v>
      </c>
      <c r="D739">
        <v>10</v>
      </c>
      <c r="E739" s="2" t="s">
        <v>848</v>
      </c>
      <c r="G739">
        <v>833</v>
      </c>
      <c r="H739" s="2">
        <v>1</v>
      </c>
      <c r="I739" s="2" t="s">
        <v>795</v>
      </c>
      <c r="J739">
        <v>34</v>
      </c>
      <c r="K739" s="2" t="s">
        <v>799</v>
      </c>
    </row>
    <row r="740" spans="1:11" x14ac:dyDescent="0.25">
      <c r="A740">
        <v>881</v>
      </c>
      <c r="B740" s="2">
        <v>1</v>
      </c>
      <c r="C740" s="2" t="s">
        <v>849</v>
      </c>
      <c r="D740">
        <v>10</v>
      </c>
      <c r="E740" s="2" t="s">
        <v>850</v>
      </c>
      <c r="G740">
        <v>833</v>
      </c>
      <c r="H740" s="2">
        <v>1</v>
      </c>
      <c r="I740" s="2" t="s">
        <v>795</v>
      </c>
      <c r="J740">
        <v>36</v>
      </c>
      <c r="K740" s="2" t="s">
        <v>800</v>
      </c>
    </row>
    <row r="741" spans="1:11" x14ac:dyDescent="0.25">
      <c r="A741">
        <v>882</v>
      </c>
      <c r="B741" s="2">
        <v>1</v>
      </c>
      <c r="C741" s="2" t="s">
        <v>851</v>
      </c>
      <c r="D741">
        <v>10</v>
      </c>
      <c r="E741" s="2" t="s">
        <v>250</v>
      </c>
      <c r="G741">
        <v>833</v>
      </c>
      <c r="H741" s="2">
        <v>1</v>
      </c>
      <c r="I741" s="2" t="s">
        <v>795</v>
      </c>
      <c r="J741">
        <v>41</v>
      </c>
      <c r="K741" s="2" t="s">
        <v>804</v>
      </c>
    </row>
    <row r="742" spans="1:11" x14ac:dyDescent="0.25">
      <c r="A742">
        <v>882</v>
      </c>
      <c r="B742" s="2">
        <v>1</v>
      </c>
      <c r="C742" s="2" t="s">
        <v>851</v>
      </c>
      <c r="D742">
        <v>50</v>
      </c>
      <c r="E742" s="2" t="s">
        <v>852</v>
      </c>
      <c r="G742">
        <v>833</v>
      </c>
      <c r="H742" s="2">
        <v>1</v>
      </c>
      <c r="I742" s="2" t="s">
        <v>795</v>
      </c>
      <c r="J742">
        <v>47</v>
      </c>
      <c r="K742" s="2" t="s">
        <v>810</v>
      </c>
    </row>
    <row r="743" spans="1:11" x14ac:dyDescent="0.25">
      <c r="A743">
        <v>883</v>
      </c>
      <c r="B743" s="2">
        <v>1</v>
      </c>
      <c r="C743" s="2" t="s">
        <v>853</v>
      </c>
      <c r="D743">
        <v>2</v>
      </c>
      <c r="E743" s="2" t="s">
        <v>854</v>
      </c>
      <c r="G743">
        <v>833</v>
      </c>
      <c r="H743" s="2">
        <v>1</v>
      </c>
      <c r="I743" s="2" t="s">
        <v>795</v>
      </c>
      <c r="J743">
        <v>38</v>
      </c>
      <c r="K743" s="2" t="s">
        <v>802</v>
      </c>
    </row>
    <row r="744" spans="1:11" x14ac:dyDescent="0.25">
      <c r="A744">
        <v>885</v>
      </c>
      <c r="B744" s="2">
        <v>1</v>
      </c>
      <c r="C744" s="2" t="s">
        <v>855</v>
      </c>
      <c r="D744">
        <v>40</v>
      </c>
      <c r="E744" s="2" t="s">
        <v>856</v>
      </c>
      <c r="G744">
        <v>833</v>
      </c>
      <c r="H744" s="2">
        <v>1</v>
      </c>
      <c r="I744" s="2" t="s">
        <v>795</v>
      </c>
      <c r="J744">
        <v>31</v>
      </c>
      <c r="K744" s="2" t="s">
        <v>797</v>
      </c>
    </row>
    <row r="745" spans="1:11" x14ac:dyDescent="0.25">
      <c r="A745">
        <v>885</v>
      </c>
      <c r="B745" s="2">
        <v>1</v>
      </c>
      <c r="C745" s="2" t="s">
        <v>855</v>
      </c>
      <c r="D745">
        <v>60</v>
      </c>
      <c r="E745" s="2" t="s">
        <v>857</v>
      </c>
      <c r="G745">
        <v>833</v>
      </c>
      <c r="H745" s="2">
        <v>1</v>
      </c>
      <c r="I745" s="2" t="s">
        <v>795</v>
      </c>
      <c r="J745">
        <v>40</v>
      </c>
      <c r="K745" s="2" t="s">
        <v>803</v>
      </c>
    </row>
    <row r="746" spans="1:11" x14ac:dyDescent="0.25">
      <c r="A746">
        <v>885</v>
      </c>
      <c r="B746" s="2">
        <v>1</v>
      </c>
      <c r="C746" s="2" t="s">
        <v>855</v>
      </c>
      <c r="D746">
        <v>70</v>
      </c>
      <c r="E746" s="2" t="s">
        <v>858</v>
      </c>
      <c r="G746">
        <v>833</v>
      </c>
      <c r="H746" s="2">
        <v>1</v>
      </c>
      <c r="I746" s="2" t="s">
        <v>795</v>
      </c>
      <c r="J746">
        <v>42</v>
      </c>
      <c r="K746" s="2" t="s">
        <v>805</v>
      </c>
    </row>
    <row r="747" spans="1:11" x14ac:dyDescent="0.25">
      <c r="A747">
        <v>891</v>
      </c>
      <c r="B747" s="2">
        <v>1</v>
      </c>
      <c r="C747" s="2" t="s">
        <v>859</v>
      </c>
      <c r="D747">
        <v>20</v>
      </c>
      <c r="E747" s="2" t="s">
        <v>860</v>
      </c>
      <c r="G747">
        <v>833</v>
      </c>
      <c r="H747" s="2">
        <v>1</v>
      </c>
      <c r="I747" s="2" t="s">
        <v>795</v>
      </c>
      <c r="J747">
        <v>43</v>
      </c>
      <c r="K747" s="2" t="s">
        <v>806</v>
      </c>
    </row>
    <row r="748" spans="1:11" x14ac:dyDescent="0.25">
      <c r="A748">
        <v>911</v>
      </c>
      <c r="B748" s="2">
        <v>1</v>
      </c>
      <c r="C748" s="2" t="s">
        <v>861</v>
      </c>
      <c r="D748">
        <v>103</v>
      </c>
      <c r="E748" s="2" t="s">
        <v>862</v>
      </c>
      <c r="G748">
        <v>833</v>
      </c>
      <c r="H748" s="2">
        <v>1</v>
      </c>
      <c r="I748" s="2" t="s">
        <v>795</v>
      </c>
      <c r="J748">
        <v>44</v>
      </c>
      <c r="K748" s="2" t="s">
        <v>807</v>
      </c>
    </row>
    <row r="749" spans="1:11" x14ac:dyDescent="0.25">
      <c r="A749">
        <v>911</v>
      </c>
      <c r="B749" s="2">
        <v>1</v>
      </c>
      <c r="C749" s="2" t="s">
        <v>861</v>
      </c>
      <c r="D749">
        <v>201</v>
      </c>
      <c r="E749" s="2" t="s">
        <v>863</v>
      </c>
      <c r="G749">
        <v>833</v>
      </c>
      <c r="H749" s="2">
        <v>1</v>
      </c>
      <c r="I749" s="2" t="s">
        <v>795</v>
      </c>
      <c r="J749">
        <v>46</v>
      </c>
      <c r="K749" s="2" t="s">
        <v>809</v>
      </c>
    </row>
    <row r="750" spans="1:11" x14ac:dyDescent="0.25">
      <c r="A750">
        <v>911</v>
      </c>
      <c r="B750" s="2">
        <v>1</v>
      </c>
      <c r="C750" s="2" t="s">
        <v>861</v>
      </c>
      <c r="D750">
        <v>202</v>
      </c>
      <c r="E750" s="2" t="s">
        <v>864</v>
      </c>
      <c r="G750" s="2">
        <v>500</v>
      </c>
      <c r="H750" s="2">
        <v>1</v>
      </c>
      <c r="I750" s="2" t="s">
        <v>508</v>
      </c>
      <c r="J750" s="2">
        <v>30</v>
      </c>
      <c r="K750" s="2" t="s">
        <v>509</v>
      </c>
    </row>
    <row r="751" spans="1:11" x14ac:dyDescent="0.25">
      <c r="A751">
        <v>912</v>
      </c>
      <c r="B751" s="2">
        <v>1</v>
      </c>
      <c r="C751" s="2" t="s">
        <v>865</v>
      </c>
      <c r="D751">
        <v>10</v>
      </c>
      <c r="E751" s="2" t="s">
        <v>866</v>
      </c>
      <c r="G751">
        <v>4162</v>
      </c>
      <c r="H751" s="2">
        <v>7</v>
      </c>
      <c r="I751" s="2" t="s">
        <v>1077</v>
      </c>
      <c r="J751">
        <v>10</v>
      </c>
      <c r="K751" s="2" t="s">
        <v>1077</v>
      </c>
    </row>
    <row r="752" spans="1:11" x14ac:dyDescent="0.25">
      <c r="A752">
        <v>914</v>
      </c>
      <c r="B752" s="2">
        <v>1</v>
      </c>
      <c r="C752" s="2" t="s">
        <v>867</v>
      </c>
      <c r="D752">
        <v>1</v>
      </c>
      <c r="E752" s="2" t="s">
        <v>868</v>
      </c>
      <c r="G752" s="2">
        <v>297</v>
      </c>
      <c r="H752" s="2">
        <v>1</v>
      </c>
      <c r="I752" s="2" t="s">
        <v>395</v>
      </c>
      <c r="J752" s="2">
        <v>10</v>
      </c>
      <c r="K752" s="2" t="s">
        <v>396</v>
      </c>
    </row>
    <row r="753" spans="1:11" x14ac:dyDescent="0.25">
      <c r="A753">
        <v>2071</v>
      </c>
      <c r="B753" s="2">
        <v>1</v>
      </c>
      <c r="C753" s="2" t="s">
        <v>869</v>
      </c>
      <c r="D753">
        <v>10</v>
      </c>
      <c r="E753" s="2" t="s">
        <v>870</v>
      </c>
      <c r="G753" s="2">
        <v>16</v>
      </c>
      <c r="H753" s="2">
        <v>1</v>
      </c>
      <c r="I753" s="2" t="s">
        <v>97</v>
      </c>
      <c r="J753" s="2">
        <v>772</v>
      </c>
      <c r="K753" s="2" t="s">
        <v>98</v>
      </c>
    </row>
    <row r="754" spans="1:11" x14ac:dyDescent="0.25">
      <c r="A754">
        <v>2125</v>
      </c>
      <c r="B754" s="2">
        <v>1</v>
      </c>
      <c r="C754" s="2" t="s">
        <v>871</v>
      </c>
      <c r="D754">
        <v>10</v>
      </c>
      <c r="E754" s="2" t="s">
        <v>872</v>
      </c>
      <c r="G754" s="2">
        <v>16</v>
      </c>
      <c r="H754" s="2">
        <v>1</v>
      </c>
      <c r="I754" s="2" t="s">
        <v>97</v>
      </c>
      <c r="J754" s="2">
        <v>775</v>
      </c>
      <c r="K754" s="2" t="s">
        <v>101</v>
      </c>
    </row>
    <row r="755" spans="1:11" x14ac:dyDescent="0.25">
      <c r="A755">
        <v>2134</v>
      </c>
      <c r="B755" s="2">
        <v>1</v>
      </c>
      <c r="C755" s="2" t="s">
        <v>873</v>
      </c>
      <c r="D755">
        <v>10</v>
      </c>
      <c r="E755" s="2" t="s">
        <v>874</v>
      </c>
      <c r="G755" s="7">
        <v>16</v>
      </c>
      <c r="H755" s="7">
        <v>1</v>
      </c>
      <c r="I755" s="7" t="s">
        <v>97</v>
      </c>
      <c r="J755" s="7">
        <v>773</v>
      </c>
      <c r="K755" s="7" t="s">
        <v>99</v>
      </c>
    </row>
    <row r="756" spans="1:11" x14ac:dyDescent="0.25">
      <c r="A756">
        <v>2135</v>
      </c>
      <c r="B756" s="2">
        <v>1</v>
      </c>
      <c r="C756" s="2" t="s">
        <v>875</v>
      </c>
      <c r="D756">
        <v>25</v>
      </c>
      <c r="E756" s="2" t="s">
        <v>876</v>
      </c>
      <c r="G756" s="2">
        <v>16</v>
      </c>
      <c r="H756" s="2">
        <v>1</v>
      </c>
      <c r="I756" s="2" t="s">
        <v>97</v>
      </c>
      <c r="J756" s="2">
        <v>774</v>
      </c>
      <c r="K756" s="2" t="s">
        <v>100</v>
      </c>
    </row>
    <row r="757" spans="1:11" x14ac:dyDescent="0.25">
      <c r="A757">
        <v>2135</v>
      </c>
      <c r="B757" s="2">
        <v>1</v>
      </c>
      <c r="C757" s="2" t="s">
        <v>875</v>
      </c>
      <c r="D757">
        <v>35</v>
      </c>
      <c r="E757" s="2" t="s">
        <v>877</v>
      </c>
      <c r="G757" s="2">
        <v>85</v>
      </c>
      <c r="H757" s="2">
        <v>1</v>
      </c>
      <c r="I757" s="2" t="s">
        <v>136</v>
      </c>
      <c r="J757" s="2">
        <v>2</v>
      </c>
      <c r="K757" s="2" t="s">
        <v>137</v>
      </c>
    </row>
    <row r="758" spans="1:11" x14ac:dyDescent="0.25">
      <c r="A758">
        <v>2137</v>
      </c>
      <c r="B758" s="2">
        <v>1</v>
      </c>
      <c r="C758" s="2" t="s">
        <v>878</v>
      </c>
      <c r="D758">
        <v>15</v>
      </c>
      <c r="E758" s="2" t="s">
        <v>879</v>
      </c>
      <c r="G758" s="2">
        <v>282</v>
      </c>
      <c r="H758" s="2">
        <v>1</v>
      </c>
      <c r="I758" s="2" t="s">
        <v>374</v>
      </c>
      <c r="J758" s="2">
        <v>40</v>
      </c>
      <c r="K758" s="2" t="s">
        <v>375</v>
      </c>
    </row>
    <row r="759" spans="1:11" x14ac:dyDescent="0.25">
      <c r="A759" s="8">
        <v>2137</v>
      </c>
      <c r="B759" s="8">
        <v>1</v>
      </c>
      <c r="C759" s="8" t="s">
        <v>878</v>
      </c>
      <c r="D759" s="8">
        <v>20</v>
      </c>
      <c r="E759" s="8" t="s">
        <v>880</v>
      </c>
      <c r="G759">
        <v>858</v>
      </c>
      <c r="H759" s="2">
        <v>1</v>
      </c>
      <c r="I759" s="2" t="s">
        <v>834</v>
      </c>
      <c r="J759">
        <v>2</v>
      </c>
      <c r="K759" s="2" t="s">
        <v>835</v>
      </c>
    </row>
    <row r="760" spans="1:11" x14ac:dyDescent="0.25">
      <c r="A760">
        <v>2142</v>
      </c>
      <c r="B760" s="2">
        <v>1</v>
      </c>
      <c r="C760" s="2" t="s">
        <v>881</v>
      </c>
      <c r="D760">
        <v>10</v>
      </c>
      <c r="E760" s="2" t="s">
        <v>882</v>
      </c>
      <c r="G760" s="2">
        <v>75</v>
      </c>
      <c r="H760" s="2">
        <v>1</v>
      </c>
      <c r="I760" s="2" t="s">
        <v>128</v>
      </c>
      <c r="J760" s="2">
        <v>10</v>
      </c>
      <c r="K760" s="2" t="s">
        <v>129</v>
      </c>
    </row>
    <row r="761" spans="1:11" x14ac:dyDescent="0.25">
      <c r="A761">
        <v>2142</v>
      </c>
      <c r="B761" s="2">
        <v>1</v>
      </c>
      <c r="C761" s="2" t="s">
        <v>881</v>
      </c>
      <c r="D761">
        <v>16</v>
      </c>
      <c r="E761" s="2" t="s">
        <v>883</v>
      </c>
      <c r="G761">
        <v>742</v>
      </c>
      <c r="H761" s="2">
        <v>1</v>
      </c>
      <c r="I761" s="2" t="s">
        <v>738</v>
      </c>
      <c r="J761">
        <v>16</v>
      </c>
      <c r="K761" s="2" t="s">
        <v>739</v>
      </c>
    </row>
    <row r="762" spans="1:11" x14ac:dyDescent="0.25">
      <c r="A762">
        <v>2142</v>
      </c>
      <c r="B762" s="2">
        <v>1</v>
      </c>
      <c r="C762" s="2" t="s">
        <v>881</v>
      </c>
      <c r="D762">
        <v>20</v>
      </c>
      <c r="E762" s="2" t="s">
        <v>884</v>
      </c>
      <c r="G762">
        <v>742</v>
      </c>
      <c r="H762" s="2">
        <v>1</v>
      </c>
      <c r="I762" s="2" t="s">
        <v>738</v>
      </c>
      <c r="J762">
        <v>35</v>
      </c>
      <c r="K762" s="2" t="s">
        <v>740</v>
      </c>
    </row>
    <row r="763" spans="1:11" x14ac:dyDescent="0.25">
      <c r="A763">
        <v>2142</v>
      </c>
      <c r="B763" s="2">
        <v>1</v>
      </c>
      <c r="C763" s="2" t="s">
        <v>881</v>
      </c>
      <c r="D763">
        <v>96</v>
      </c>
      <c r="E763" s="2" t="s">
        <v>885</v>
      </c>
      <c r="G763">
        <v>742</v>
      </c>
      <c r="H763" s="2">
        <v>1</v>
      </c>
      <c r="I763" s="2" t="s">
        <v>738</v>
      </c>
      <c r="J763">
        <v>25</v>
      </c>
      <c r="K763" s="2" t="s">
        <v>131</v>
      </c>
    </row>
    <row r="764" spans="1:11" x14ac:dyDescent="0.25">
      <c r="A764">
        <v>2142</v>
      </c>
      <c r="B764">
        <v>1</v>
      </c>
      <c r="C764" t="s">
        <v>1244</v>
      </c>
      <c r="D764">
        <v>100</v>
      </c>
      <c r="E764" t="s">
        <v>1245</v>
      </c>
      <c r="G764">
        <v>742</v>
      </c>
      <c r="H764" s="2">
        <v>1</v>
      </c>
      <c r="I764" s="2" t="s">
        <v>738</v>
      </c>
      <c r="J764">
        <v>28</v>
      </c>
      <c r="K764" s="2" t="s">
        <v>60</v>
      </c>
    </row>
    <row r="765" spans="1:11" x14ac:dyDescent="0.25">
      <c r="A765">
        <v>2142</v>
      </c>
      <c r="B765" s="2">
        <v>1</v>
      </c>
      <c r="C765" s="2" t="s">
        <v>881</v>
      </c>
      <c r="D765">
        <v>114</v>
      </c>
      <c r="E765" s="2" t="s">
        <v>886</v>
      </c>
      <c r="G765">
        <v>742</v>
      </c>
      <c r="H765" s="2">
        <v>1</v>
      </c>
      <c r="I765" s="2" t="s">
        <v>738</v>
      </c>
      <c r="J765">
        <v>31</v>
      </c>
      <c r="K765" s="2" t="s">
        <v>62</v>
      </c>
    </row>
    <row r="766" spans="1:11" x14ac:dyDescent="0.25">
      <c r="A766">
        <v>2142</v>
      </c>
      <c r="B766">
        <v>1</v>
      </c>
      <c r="C766" t="s">
        <v>1244</v>
      </c>
      <c r="D766">
        <v>142</v>
      </c>
      <c r="E766" t="s">
        <v>1246</v>
      </c>
      <c r="G766">
        <v>742</v>
      </c>
      <c r="H766" s="2">
        <v>1</v>
      </c>
      <c r="I766" s="2" t="s">
        <v>738</v>
      </c>
      <c r="J766">
        <v>51</v>
      </c>
      <c r="K766" s="2" t="s">
        <v>742</v>
      </c>
    </row>
    <row r="767" spans="1:11" x14ac:dyDescent="0.25">
      <c r="A767">
        <v>2143</v>
      </c>
      <c r="B767" s="2">
        <v>1</v>
      </c>
      <c r="C767" s="2" t="s">
        <v>887</v>
      </c>
      <c r="D767">
        <v>30</v>
      </c>
      <c r="E767" s="2" t="s">
        <v>888</v>
      </c>
      <c r="G767">
        <v>742</v>
      </c>
      <c r="H767" s="2">
        <v>1</v>
      </c>
      <c r="I767" s="2" t="s">
        <v>738</v>
      </c>
      <c r="J767">
        <v>36</v>
      </c>
      <c r="K767" s="2" t="s">
        <v>741</v>
      </c>
    </row>
    <row r="768" spans="1:11" x14ac:dyDescent="0.25">
      <c r="A768">
        <v>2144</v>
      </c>
      <c r="B768" s="2">
        <v>1</v>
      </c>
      <c r="C768" s="2" t="s">
        <v>889</v>
      </c>
      <c r="D768">
        <v>1</v>
      </c>
      <c r="E768" s="2" t="s">
        <v>890</v>
      </c>
      <c r="G768">
        <v>742</v>
      </c>
      <c r="H768" s="2">
        <v>1</v>
      </c>
      <c r="I768" s="2" t="s">
        <v>738</v>
      </c>
      <c r="J768">
        <v>40</v>
      </c>
      <c r="K768" s="2" t="s">
        <v>321</v>
      </c>
    </row>
    <row r="769" spans="1:11" x14ac:dyDescent="0.25">
      <c r="A769">
        <v>2144</v>
      </c>
      <c r="B769" s="2">
        <v>1</v>
      </c>
      <c r="C769" s="2" t="s">
        <v>889</v>
      </c>
      <c r="D769">
        <v>2</v>
      </c>
      <c r="E769" s="2" t="s">
        <v>891</v>
      </c>
      <c r="G769">
        <v>742</v>
      </c>
      <c r="H769">
        <v>1</v>
      </c>
      <c r="I769" t="s">
        <v>1233</v>
      </c>
      <c r="J769">
        <v>72</v>
      </c>
      <c r="K769" t="s">
        <v>1234</v>
      </c>
    </row>
    <row r="770" spans="1:11" x14ac:dyDescent="0.25">
      <c r="A770">
        <v>2144</v>
      </c>
      <c r="B770" s="2">
        <v>1</v>
      </c>
      <c r="C770" s="2" t="s">
        <v>889</v>
      </c>
      <c r="D770">
        <v>6</v>
      </c>
      <c r="E770" s="2" t="s">
        <v>892</v>
      </c>
      <c r="G770">
        <v>4120</v>
      </c>
      <c r="H770" s="2">
        <v>7</v>
      </c>
      <c r="I770" s="2" t="s">
        <v>1061</v>
      </c>
      <c r="J770">
        <v>10</v>
      </c>
      <c r="K770" s="2" t="s">
        <v>1061</v>
      </c>
    </row>
    <row r="771" spans="1:11" x14ac:dyDescent="0.25">
      <c r="A771">
        <v>2149</v>
      </c>
      <c r="B771" s="2">
        <v>1</v>
      </c>
      <c r="C771" s="2" t="s">
        <v>893</v>
      </c>
      <c r="D771">
        <v>70</v>
      </c>
      <c r="E771" s="2" t="s">
        <v>894</v>
      </c>
      <c r="G771">
        <v>4122</v>
      </c>
      <c r="H771" s="2">
        <v>7</v>
      </c>
      <c r="I771" s="2" t="s">
        <v>1061</v>
      </c>
      <c r="J771">
        <v>20</v>
      </c>
      <c r="K771" s="2" t="s">
        <v>1061</v>
      </c>
    </row>
    <row r="772" spans="1:11" x14ac:dyDescent="0.25">
      <c r="A772">
        <v>2149</v>
      </c>
      <c r="B772">
        <v>1</v>
      </c>
      <c r="C772" t="s">
        <v>1247</v>
      </c>
      <c r="D772">
        <v>101</v>
      </c>
      <c r="E772" t="s">
        <v>1248</v>
      </c>
      <c r="G772" s="2">
        <v>15</v>
      </c>
      <c r="H772" s="2">
        <v>1</v>
      </c>
      <c r="I772" s="2" t="s">
        <v>93</v>
      </c>
      <c r="J772" s="2">
        <v>784</v>
      </c>
      <c r="K772" s="2" t="s">
        <v>95</v>
      </c>
    </row>
    <row r="773" spans="1:11" x14ac:dyDescent="0.25">
      <c r="A773">
        <v>2154</v>
      </c>
      <c r="B773" s="2">
        <v>1</v>
      </c>
      <c r="C773" s="2" t="s">
        <v>895</v>
      </c>
      <c r="D773">
        <v>10</v>
      </c>
      <c r="E773" s="2" t="s">
        <v>56</v>
      </c>
      <c r="G773">
        <v>15</v>
      </c>
      <c r="H773" s="2">
        <v>1</v>
      </c>
      <c r="I773" s="2" t="s">
        <v>93</v>
      </c>
      <c r="J773">
        <v>848</v>
      </c>
      <c r="K773" s="2" t="s">
        <v>96</v>
      </c>
    </row>
    <row r="774" spans="1:11" x14ac:dyDescent="0.25">
      <c r="A774">
        <v>2154</v>
      </c>
      <c r="B774" s="2">
        <v>1</v>
      </c>
      <c r="C774" s="2" t="s">
        <v>895</v>
      </c>
      <c r="D774">
        <v>20</v>
      </c>
      <c r="E774" s="2" t="s">
        <v>896</v>
      </c>
      <c r="G774" s="2">
        <v>15</v>
      </c>
      <c r="H774" s="2">
        <v>1</v>
      </c>
      <c r="I774" s="2" t="s">
        <v>93</v>
      </c>
      <c r="J774" s="2">
        <v>782</v>
      </c>
      <c r="K774" s="2" t="s">
        <v>94</v>
      </c>
    </row>
    <row r="775" spans="1:11" x14ac:dyDescent="0.25">
      <c r="A775">
        <v>2155</v>
      </c>
      <c r="B775" s="2">
        <v>1</v>
      </c>
      <c r="C775" s="2" t="s">
        <v>897</v>
      </c>
      <c r="D775">
        <v>2</v>
      </c>
      <c r="E775" s="2" t="s">
        <v>898</v>
      </c>
      <c r="G775" s="7">
        <v>840</v>
      </c>
      <c r="H775" s="7">
        <v>1</v>
      </c>
      <c r="I775" s="7" t="s">
        <v>824</v>
      </c>
      <c r="J775" s="7">
        <v>21</v>
      </c>
      <c r="K775" s="7" t="s">
        <v>826</v>
      </c>
    </row>
    <row r="776" spans="1:11" x14ac:dyDescent="0.25">
      <c r="A776">
        <v>2159</v>
      </c>
      <c r="B776" s="2">
        <v>1</v>
      </c>
      <c r="C776" s="2" t="s">
        <v>899</v>
      </c>
      <c r="D776">
        <v>10</v>
      </c>
      <c r="E776" s="2" t="s">
        <v>900</v>
      </c>
      <c r="G776">
        <v>840</v>
      </c>
      <c r="H776" s="2">
        <v>1</v>
      </c>
      <c r="I776" s="2" t="s">
        <v>824</v>
      </c>
      <c r="J776">
        <v>20</v>
      </c>
      <c r="K776" s="2" t="s">
        <v>825</v>
      </c>
    </row>
    <row r="777" spans="1:11" x14ac:dyDescent="0.25">
      <c r="A777">
        <v>2164</v>
      </c>
      <c r="B777" s="2">
        <v>1</v>
      </c>
      <c r="C777" s="2" t="s">
        <v>901</v>
      </c>
      <c r="D777">
        <v>1</v>
      </c>
      <c r="E777" s="2" t="s">
        <v>902</v>
      </c>
      <c r="G777">
        <v>2142</v>
      </c>
      <c r="H777" s="2">
        <v>1</v>
      </c>
      <c r="I777" s="2" t="s">
        <v>881</v>
      </c>
      <c r="J777">
        <v>16</v>
      </c>
      <c r="K777" s="2" t="s">
        <v>883</v>
      </c>
    </row>
    <row r="778" spans="1:11" x14ac:dyDescent="0.25">
      <c r="A778">
        <v>2164</v>
      </c>
      <c r="B778" s="2">
        <v>1</v>
      </c>
      <c r="C778" s="2" t="s">
        <v>901</v>
      </c>
      <c r="D778">
        <v>2</v>
      </c>
      <c r="E778" s="2" t="s">
        <v>903</v>
      </c>
      <c r="G778">
        <v>2142</v>
      </c>
      <c r="H778" s="2">
        <v>1</v>
      </c>
      <c r="I778" s="2" t="s">
        <v>881</v>
      </c>
      <c r="J778">
        <v>10</v>
      </c>
      <c r="K778" s="2" t="s">
        <v>882</v>
      </c>
    </row>
    <row r="779" spans="1:11" x14ac:dyDescent="0.25">
      <c r="A779">
        <v>2165</v>
      </c>
      <c r="B779" s="2">
        <v>1</v>
      </c>
      <c r="C779" s="2" t="s">
        <v>904</v>
      </c>
      <c r="D779">
        <v>10</v>
      </c>
      <c r="E779" s="2" t="s">
        <v>905</v>
      </c>
      <c r="G779">
        <v>2142</v>
      </c>
      <c r="H779" s="2">
        <v>1</v>
      </c>
      <c r="I779" s="2" t="s">
        <v>881</v>
      </c>
      <c r="J779">
        <v>96</v>
      </c>
      <c r="K779" s="2" t="s">
        <v>885</v>
      </c>
    </row>
    <row r="780" spans="1:11" x14ac:dyDescent="0.25">
      <c r="A780">
        <v>2165</v>
      </c>
      <c r="B780" s="2">
        <v>1</v>
      </c>
      <c r="C780" s="2" t="s">
        <v>904</v>
      </c>
      <c r="D780">
        <v>30</v>
      </c>
      <c r="E780" s="2" t="s">
        <v>906</v>
      </c>
      <c r="G780">
        <v>2142</v>
      </c>
      <c r="H780" s="2">
        <v>1</v>
      </c>
      <c r="I780" s="2" t="s">
        <v>881</v>
      </c>
      <c r="J780">
        <v>114</v>
      </c>
      <c r="K780" s="2" t="s">
        <v>886</v>
      </c>
    </row>
    <row r="781" spans="1:11" x14ac:dyDescent="0.25">
      <c r="A781">
        <v>2167</v>
      </c>
      <c r="B781" s="2">
        <v>1</v>
      </c>
      <c r="C781" s="2" t="s">
        <v>907</v>
      </c>
      <c r="D781">
        <v>10</v>
      </c>
      <c r="E781" s="2" t="s">
        <v>233</v>
      </c>
      <c r="G781">
        <v>2142</v>
      </c>
      <c r="H781" s="2">
        <v>1</v>
      </c>
      <c r="I781" s="2" t="s">
        <v>881</v>
      </c>
      <c r="J781">
        <v>20</v>
      </c>
      <c r="K781" s="2" t="s">
        <v>884</v>
      </c>
    </row>
    <row r="782" spans="1:11" x14ac:dyDescent="0.25">
      <c r="A782">
        <v>2168</v>
      </c>
      <c r="B782" s="2">
        <v>1</v>
      </c>
      <c r="C782" s="2" t="s">
        <v>908</v>
      </c>
      <c r="D782">
        <v>10</v>
      </c>
      <c r="E782" s="2" t="s">
        <v>909</v>
      </c>
      <c r="G782">
        <v>2142</v>
      </c>
      <c r="H782">
        <v>1</v>
      </c>
      <c r="I782" t="s">
        <v>1244</v>
      </c>
      <c r="J782">
        <v>100</v>
      </c>
      <c r="K782" t="s">
        <v>1245</v>
      </c>
    </row>
    <row r="783" spans="1:11" x14ac:dyDescent="0.25">
      <c r="A783">
        <v>2169</v>
      </c>
      <c r="B783" s="2">
        <v>1</v>
      </c>
      <c r="C783" s="2" t="s">
        <v>910</v>
      </c>
      <c r="D783">
        <v>10</v>
      </c>
      <c r="E783" s="2" t="s">
        <v>911</v>
      </c>
      <c r="G783">
        <v>2142</v>
      </c>
      <c r="H783">
        <v>1</v>
      </c>
      <c r="I783" t="s">
        <v>1244</v>
      </c>
      <c r="J783">
        <v>142</v>
      </c>
      <c r="K783" t="s">
        <v>1246</v>
      </c>
    </row>
    <row r="784" spans="1:11" x14ac:dyDescent="0.25">
      <c r="A784">
        <v>2170</v>
      </c>
      <c r="B784" s="2">
        <v>1</v>
      </c>
      <c r="C784" s="2" t="s">
        <v>912</v>
      </c>
      <c r="D784">
        <v>10</v>
      </c>
      <c r="E784" s="2" t="s">
        <v>913</v>
      </c>
      <c r="G784" s="2">
        <v>283</v>
      </c>
      <c r="H784" s="2">
        <v>1</v>
      </c>
      <c r="I784" s="2" t="s">
        <v>376</v>
      </c>
      <c r="J784" s="2">
        <v>745</v>
      </c>
      <c r="K784" s="2" t="s">
        <v>377</v>
      </c>
    </row>
    <row r="785" spans="1:11" x14ac:dyDescent="0.25">
      <c r="A785">
        <v>2170</v>
      </c>
      <c r="B785" s="2">
        <v>1</v>
      </c>
      <c r="C785" s="2" t="s">
        <v>912</v>
      </c>
      <c r="D785">
        <v>30</v>
      </c>
      <c r="E785" s="2" t="s">
        <v>914</v>
      </c>
      <c r="G785" s="7">
        <v>283</v>
      </c>
      <c r="H785" s="7">
        <v>1</v>
      </c>
      <c r="I785" s="7" t="s">
        <v>376</v>
      </c>
      <c r="J785" s="7">
        <v>747</v>
      </c>
      <c r="K785" s="7" t="s">
        <v>378</v>
      </c>
    </row>
    <row r="786" spans="1:11" x14ac:dyDescent="0.25">
      <c r="A786">
        <v>2171</v>
      </c>
      <c r="B786" s="2">
        <v>1</v>
      </c>
      <c r="C786" s="2" t="s">
        <v>915</v>
      </c>
      <c r="D786">
        <v>15</v>
      </c>
      <c r="E786" s="2" t="s">
        <v>916</v>
      </c>
      <c r="G786">
        <v>283</v>
      </c>
      <c r="H786" s="2">
        <v>1</v>
      </c>
      <c r="I786" s="2" t="s">
        <v>376</v>
      </c>
      <c r="J786">
        <v>758</v>
      </c>
      <c r="K786" s="2" t="s">
        <v>381</v>
      </c>
    </row>
    <row r="787" spans="1:11" x14ac:dyDescent="0.25">
      <c r="A787">
        <v>2171</v>
      </c>
      <c r="B787">
        <v>1</v>
      </c>
      <c r="C787" t="s">
        <v>1249</v>
      </c>
      <c r="D787">
        <v>25</v>
      </c>
      <c r="E787" t="s">
        <v>1250</v>
      </c>
      <c r="G787" s="2">
        <v>283</v>
      </c>
      <c r="H787" s="2">
        <v>1</v>
      </c>
      <c r="I787" s="2" t="s">
        <v>376</v>
      </c>
      <c r="J787" s="2">
        <v>754</v>
      </c>
      <c r="K787" s="2" t="s">
        <v>379</v>
      </c>
    </row>
    <row r="788" spans="1:11" x14ac:dyDescent="0.25">
      <c r="A788">
        <v>2172</v>
      </c>
      <c r="B788" s="2">
        <v>1</v>
      </c>
      <c r="C788" s="2" t="s">
        <v>917</v>
      </c>
      <c r="D788">
        <v>10</v>
      </c>
      <c r="E788" s="2" t="s">
        <v>918</v>
      </c>
      <c r="G788" s="2">
        <v>283</v>
      </c>
      <c r="H788" s="2">
        <v>1</v>
      </c>
      <c r="I788" s="2" t="s">
        <v>376</v>
      </c>
      <c r="J788" s="2">
        <v>755</v>
      </c>
      <c r="K788" s="2" t="s">
        <v>380</v>
      </c>
    </row>
    <row r="789" spans="1:11" x14ac:dyDescent="0.25">
      <c r="A789">
        <v>2174</v>
      </c>
      <c r="B789" s="2">
        <v>1</v>
      </c>
      <c r="C789" s="2" t="s">
        <v>919</v>
      </c>
      <c r="D789">
        <v>10</v>
      </c>
      <c r="E789" s="2" t="s">
        <v>920</v>
      </c>
      <c r="G789">
        <v>885</v>
      </c>
      <c r="H789" s="2">
        <v>1</v>
      </c>
      <c r="I789" s="2" t="s">
        <v>855</v>
      </c>
      <c r="J789">
        <v>60</v>
      </c>
      <c r="K789" s="2" t="s">
        <v>857</v>
      </c>
    </row>
    <row r="790" spans="1:11" x14ac:dyDescent="0.25">
      <c r="A790">
        <v>2176</v>
      </c>
      <c r="B790" s="2">
        <v>1</v>
      </c>
      <c r="C790" s="2" t="s">
        <v>921</v>
      </c>
      <c r="D790">
        <v>10</v>
      </c>
      <c r="E790" s="2" t="s">
        <v>922</v>
      </c>
      <c r="G790">
        <v>885</v>
      </c>
      <c r="H790" s="2">
        <v>1</v>
      </c>
      <c r="I790" s="2" t="s">
        <v>855</v>
      </c>
      <c r="J790">
        <v>70</v>
      </c>
      <c r="K790" s="2" t="s">
        <v>858</v>
      </c>
    </row>
    <row r="791" spans="1:11" x14ac:dyDescent="0.25">
      <c r="A791">
        <v>2180</v>
      </c>
      <c r="B791" s="2">
        <v>1</v>
      </c>
      <c r="C791" s="2" t="s">
        <v>923</v>
      </c>
      <c r="D791">
        <v>2</v>
      </c>
      <c r="E791" s="2" t="s">
        <v>924</v>
      </c>
      <c r="G791">
        <v>885</v>
      </c>
      <c r="H791" s="2">
        <v>1</v>
      </c>
      <c r="I791" s="2" t="s">
        <v>855</v>
      </c>
      <c r="J791">
        <v>40</v>
      </c>
      <c r="K791" s="2" t="s">
        <v>856</v>
      </c>
    </row>
    <row r="792" spans="1:11" x14ac:dyDescent="0.25">
      <c r="A792">
        <v>2180</v>
      </c>
      <c r="B792" s="2">
        <v>1</v>
      </c>
      <c r="C792" s="2" t="s">
        <v>923</v>
      </c>
      <c r="D792">
        <v>10</v>
      </c>
      <c r="E792" s="2" t="s">
        <v>925</v>
      </c>
      <c r="G792">
        <v>625</v>
      </c>
      <c r="H792" s="2">
        <v>1</v>
      </c>
      <c r="I792" s="2" t="s">
        <v>603</v>
      </c>
      <c r="J792">
        <v>410</v>
      </c>
      <c r="K792" s="2" t="s">
        <v>606</v>
      </c>
    </row>
    <row r="793" spans="1:11" x14ac:dyDescent="0.25">
      <c r="A793">
        <v>2184</v>
      </c>
      <c r="B793" s="2">
        <v>1</v>
      </c>
      <c r="C793" s="2" t="s">
        <v>926</v>
      </c>
      <c r="D793">
        <v>2</v>
      </c>
      <c r="E793" s="2" t="s">
        <v>927</v>
      </c>
      <c r="G793">
        <v>625</v>
      </c>
      <c r="H793" s="2">
        <v>1</v>
      </c>
      <c r="I793" s="2" t="s">
        <v>603</v>
      </c>
      <c r="J793">
        <v>579</v>
      </c>
      <c r="K793" s="2" t="s">
        <v>652</v>
      </c>
    </row>
    <row r="794" spans="1:11" x14ac:dyDescent="0.25">
      <c r="A794">
        <v>2190</v>
      </c>
      <c r="B794" s="2">
        <v>1</v>
      </c>
      <c r="C794" s="2" t="s">
        <v>928</v>
      </c>
      <c r="D794">
        <v>10</v>
      </c>
      <c r="E794" s="2" t="s">
        <v>929</v>
      </c>
      <c r="G794">
        <v>625</v>
      </c>
      <c r="H794" s="2">
        <v>1</v>
      </c>
      <c r="I794" s="2" t="s">
        <v>603</v>
      </c>
      <c r="J794">
        <v>413</v>
      </c>
      <c r="K794" s="2" t="s">
        <v>607</v>
      </c>
    </row>
    <row r="795" spans="1:11" x14ac:dyDescent="0.25">
      <c r="A795">
        <v>2198</v>
      </c>
      <c r="B795" s="2">
        <v>1</v>
      </c>
      <c r="C795" s="2" t="s">
        <v>930</v>
      </c>
      <c r="D795">
        <v>10</v>
      </c>
      <c r="E795" s="2" t="s">
        <v>931</v>
      </c>
      <c r="G795">
        <v>625</v>
      </c>
      <c r="H795" s="2">
        <v>1</v>
      </c>
      <c r="I795" s="2" t="s">
        <v>603</v>
      </c>
      <c r="J795">
        <v>422</v>
      </c>
      <c r="K795" s="2" t="s">
        <v>609</v>
      </c>
    </row>
    <row r="796" spans="1:11" x14ac:dyDescent="0.25">
      <c r="A796">
        <v>2215</v>
      </c>
      <c r="B796" s="2">
        <v>1</v>
      </c>
      <c r="C796" s="2" t="s">
        <v>932</v>
      </c>
      <c r="D796">
        <v>10</v>
      </c>
      <c r="E796" s="2" t="s">
        <v>933</v>
      </c>
      <c r="G796">
        <v>625</v>
      </c>
      <c r="H796" s="2">
        <v>1</v>
      </c>
      <c r="I796" s="2" t="s">
        <v>603</v>
      </c>
      <c r="J796">
        <v>150</v>
      </c>
      <c r="K796" s="2" t="s">
        <v>605</v>
      </c>
    </row>
    <row r="797" spans="1:11" x14ac:dyDescent="0.25">
      <c r="A797">
        <v>2310</v>
      </c>
      <c r="B797" s="2">
        <v>1</v>
      </c>
      <c r="C797" s="2" t="s">
        <v>934</v>
      </c>
      <c r="D797">
        <v>1</v>
      </c>
      <c r="E797" s="2" t="s">
        <v>935</v>
      </c>
      <c r="G797">
        <v>625</v>
      </c>
      <c r="H797" s="2">
        <v>1</v>
      </c>
      <c r="I797" s="2" t="s">
        <v>603</v>
      </c>
      <c r="J797">
        <v>449</v>
      </c>
      <c r="K797" s="2" t="s">
        <v>616</v>
      </c>
    </row>
    <row r="798" spans="1:11" x14ac:dyDescent="0.25">
      <c r="A798">
        <v>2310</v>
      </c>
      <c r="B798" s="2">
        <v>1</v>
      </c>
      <c r="C798" s="2" t="s">
        <v>934</v>
      </c>
      <c r="D798">
        <v>10</v>
      </c>
      <c r="E798" s="2" t="s">
        <v>936</v>
      </c>
      <c r="G798">
        <v>625</v>
      </c>
      <c r="H798" s="2">
        <v>1</v>
      </c>
      <c r="I798" s="2" t="s">
        <v>603</v>
      </c>
      <c r="J798">
        <v>494</v>
      </c>
      <c r="K798" s="2" t="s">
        <v>631</v>
      </c>
    </row>
    <row r="799" spans="1:11" x14ac:dyDescent="0.25">
      <c r="A799">
        <v>2311</v>
      </c>
      <c r="B799" s="2">
        <v>1</v>
      </c>
      <c r="C799" s="2" t="s">
        <v>937</v>
      </c>
      <c r="D799">
        <v>10</v>
      </c>
      <c r="E799" s="2" t="s">
        <v>938</v>
      </c>
      <c r="G799">
        <v>625</v>
      </c>
      <c r="H799" s="2">
        <v>1</v>
      </c>
      <c r="I799" s="2" t="s">
        <v>603</v>
      </c>
      <c r="J799">
        <v>425</v>
      </c>
      <c r="K799" s="2" t="s">
        <v>610</v>
      </c>
    </row>
    <row r="800" spans="1:11" x14ac:dyDescent="0.25">
      <c r="A800">
        <v>2342</v>
      </c>
      <c r="B800" s="2">
        <v>1</v>
      </c>
      <c r="C800" s="2" t="s">
        <v>939</v>
      </c>
      <c r="D800">
        <v>1</v>
      </c>
      <c r="E800" s="2" t="s">
        <v>940</v>
      </c>
      <c r="G800">
        <v>625</v>
      </c>
      <c r="H800" s="2">
        <v>1</v>
      </c>
      <c r="I800" s="2" t="s">
        <v>603</v>
      </c>
      <c r="J800">
        <v>428</v>
      </c>
      <c r="K800" s="2" t="s">
        <v>611</v>
      </c>
    </row>
    <row r="801" spans="1:11" x14ac:dyDescent="0.25">
      <c r="A801">
        <v>2342</v>
      </c>
      <c r="B801" s="2">
        <v>1</v>
      </c>
      <c r="C801" s="2" t="s">
        <v>939</v>
      </c>
      <c r="D801">
        <v>2</v>
      </c>
      <c r="E801" s="2" t="s">
        <v>941</v>
      </c>
      <c r="G801">
        <v>625</v>
      </c>
      <c r="H801" s="2">
        <v>1</v>
      </c>
      <c r="I801" s="2" t="s">
        <v>603</v>
      </c>
      <c r="J801">
        <v>431</v>
      </c>
      <c r="K801" s="2" t="s">
        <v>612</v>
      </c>
    </row>
    <row r="802" spans="1:11" x14ac:dyDescent="0.25">
      <c r="A802">
        <v>2358</v>
      </c>
      <c r="B802" s="2">
        <v>1</v>
      </c>
      <c r="C802" s="2" t="s">
        <v>942</v>
      </c>
      <c r="D802">
        <v>10</v>
      </c>
      <c r="E802" s="2" t="s">
        <v>943</v>
      </c>
      <c r="G802">
        <v>625</v>
      </c>
      <c r="H802" s="2">
        <v>1</v>
      </c>
      <c r="I802" s="2" t="s">
        <v>603</v>
      </c>
      <c r="J802">
        <v>465</v>
      </c>
      <c r="K802" s="2" t="s">
        <v>623</v>
      </c>
    </row>
    <row r="803" spans="1:11" x14ac:dyDescent="0.25">
      <c r="A803">
        <v>2364</v>
      </c>
      <c r="B803" s="2">
        <v>1</v>
      </c>
      <c r="C803" s="2" t="s">
        <v>944</v>
      </c>
      <c r="D803">
        <v>1</v>
      </c>
      <c r="E803" s="2" t="s">
        <v>945</v>
      </c>
      <c r="G803">
        <v>625</v>
      </c>
      <c r="H803" s="2">
        <v>1</v>
      </c>
      <c r="I803" s="2" t="s">
        <v>603</v>
      </c>
      <c r="J803">
        <v>466</v>
      </c>
      <c r="K803" s="2" t="s">
        <v>624</v>
      </c>
    </row>
    <row r="804" spans="1:11" x14ac:dyDescent="0.25">
      <c r="A804">
        <v>2365</v>
      </c>
      <c r="B804" s="2">
        <v>1</v>
      </c>
      <c r="C804" s="2" t="s">
        <v>946</v>
      </c>
      <c r="D804">
        <v>1</v>
      </c>
      <c r="E804" s="2" t="s">
        <v>947</v>
      </c>
      <c r="G804">
        <v>625</v>
      </c>
      <c r="H804" s="2">
        <v>1</v>
      </c>
      <c r="I804" s="2" t="s">
        <v>603</v>
      </c>
      <c r="J804">
        <v>433</v>
      </c>
      <c r="K804" s="2" t="s">
        <v>613</v>
      </c>
    </row>
    <row r="805" spans="1:11" x14ac:dyDescent="0.25">
      <c r="A805">
        <v>2396</v>
      </c>
      <c r="B805" s="2">
        <v>1</v>
      </c>
      <c r="C805" s="2" t="s">
        <v>948</v>
      </c>
      <c r="D805">
        <v>100</v>
      </c>
      <c r="E805" s="2" t="s">
        <v>949</v>
      </c>
      <c r="G805">
        <v>625</v>
      </c>
      <c r="H805" s="2">
        <v>1</v>
      </c>
      <c r="I805" s="2" t="s">
        <v>603</v>
      </c>
      <c r="J805">
        <v>452</v>
      </c>
      <c r="K805" s="2" t="s">
        <v>617</v>
      </c>
    </row>
    <row r="806" spans="1:11" x14ac:dyDescent="0.25">
      <c r="A806">
        <v>2396</v>
      </c>
      <c r="B806" s="2">
        <v>1</v>
      </c>
      <c r="C806" s="2" t="s">
        <v>948</v>
      </c>
      <c r="D806">
        <v>200</v>
      </c>
      <c r="E806" s="2" t="s">
        <v>950</v>
      </c>
      <c r="G806">
        <v>625</v>
      </c>
      <c r="H806" s="2">
        <v>1</v>
      </c>
      <c r="I806" s="2" t="s">
        <v>603</v>
      </c>
      <c r="J806">
        <v>435</v>
      </c>
      <c r="K806" s="2" t="s">
        <v>614</v>
      </c>
    </row>
    <row r="807" spans="1:11" x14ac:dyDescent="0.25">
      <c r="A807">
        <v>2397</v>
      </c>
      <c r="B807" s="2">
        <v>1</v>
      </c>
      <c r="C807" s="2" t="s">
        <v>951</v>
      </c>
      <c r="D807">
        <v>10</v>
      </c>
      <c r="E807" s="2" t="s">
        <v>952</v>
      </c>
      <c r="G807">
        <v>625</v>
      </c>
      <c r="H807" s="2">
        <v>1</v>
      </c>
      <c r="I807" s="2" t="s">
        <v>603</v>
      </c>
      <c r="J807">
        <v>458</v>
      </c>
      <c r="K807" s="2" t="s">
        <v>618</v>
      </c>
    </row>
    <row r="808" spans="1:11" x14ac:dyDescent="0.25">
      <c r="A808">
        <v>2397</v>
      </c>
      <c r="B808">
        <v>1</v>
      </c>
      <c r="C808" t="s">
        <v>1251</v>
      </c>
      <c r="D808">
        <v>15</v>
      </c>
      <c r="E808" t="s">
        <v>1252</v>
      </c>
      <c r="G808">
        <v>625</v>
      </c>
      <c r="H808" s="2">
        <v>1</v>
      </c>
      <c r="I808" s="2" t="s">
        <v>603</v>
      </c>
      <c r="J808">
        <v>460</v>
      </c>
      <c r="K808" s="2" t="s">
        <v>619</v>
      </c>
    </row>
    <row r="809" spans="1:11" x14ac:dyDescent="0.25">
      <c r="A809">
        <v>2448</v>
      </c>
      <c r="B809" s="2">
        <v>1</v>
      </c>
      <c r="C809" s="2" t="s">
        <v>953</v>
      </c>
      <c r="D809">
        <v>10</v>
      </c>
      <c r="E809" s="2" t="s">
        <v>954</v>
      </c>
      <c r="G809">
        <v>625</v>
      </c>
      <c r="H809" s="2">
        <v>1</v>
      </c>
      <c r="I809" s="2" t="s">
        <v>603</v>
      </c>
      <c r="J809">
        <v>461</v>
      </c>
      <c r="K809" s="2" t="s">
        <v>620</v>
      </c>
    </row>
    <row r="810" spans="1:11" x14ac:dyDescent="0.25">
      <c r="A810">
        <v>2527</v>
      </c>
      <c r="B810" s="2">
        <v>1</v>
      </c>
      <c r="C810" s="2" t="s">
        <v>955</v>
      </c>
      <c r="D810">
        <v>1</v>
      </c>
      <c r="E810" s="2" t="s">
        <v>956</v>
      </c>
      <c r="G810">
        <v>625</v>
      </c>
      <c r="H810" s="2">
        <v>1</v>
      </c>
      <c r="I810" s="2" t="s">
        <v>603</v>
      </c>
      <c r="J810">
        <v>464</v>
      </c>
      <c r="K810" s="2" t="s">
        <v>622</v>
      </c>
    </row>
    <row r="811" spans="1:11" x14ac:dyDescent="0.25">
      <c r="A811">
        <v>2534</v>
      </c>
      <c r="B811" s="2">
        <v>1</v>
      </c>
      <c r="C811" s="2" t="s">
        <v>957</v>
      </c>
      <c r="D811">
        <v>15</v>
      </c>
      <c r="E811" s="2" t="s">
        <v>958</v>
      </c>
      <c r="G811">
        <v>625</v>
      </c>
      <c r="H811" s="2">
        <v>1</v>
      </c>
      <c r="I811" s="2" t="s">
        <v>603</v>
      </c>
      <c r="J811">
        <v>467</v>
      </c>
      <c r="K811" s="2" t="s">
        <v>625</v>
      </c>
    </row>
    <row r="812" spans="1:11" x14ac:dyDescent="0.25">
      <c r="A812">
        <v>2536</v>
      </c>
      <c r="B812">
        <v>1</v>
      </c>
      <c r="C812" t="s">
        <v>1253</v>
      </c>
      <c r="D812">
        <v>15</v>
      </c>
      <c r="E812" t="s">
        <v>1254</v>
      </c>
      <c r="G812">
        <v>625</v>
      </c>
      <c r="H812" s="2">
        <v>1</v>
      </c>
      <c r="I812" s="2" t="s">
        <v>603</v>
      </c>
      <c r="J812">
        <v>476</v>
      </c>
      <c r="K812" s="2" t="s">
        <v>626</v>
      </c>
    </row>
    <row r="813" spans="1:11" x14ac:dyDescent="0.25">
      <c r="A813">
        <v>2580</v>
      </c>
      <c r="B813" s="2">
        <v>1</v>
      </c>
      <c r="C813" s="2" t="s">
        <v>959</v>
      </c>
      <c r="D813">
        <v>10</v>
      </c>
      <c r="E813" s="2" t="s">
        <v>960</v>
      </c>
      <c r="G813">
        <v>625</v>
      </c>
      <c r="H813" s="2">
        <v>1</v>
      </c>
      <c r="I813" s="2" t="s">
        <v>603</v>
      </c>
      <c r="J813">
        <v>482</v>
      </c>
      <c r="K813" s="2" t="s">
        <v>627</v>
      </c>
    </row>
    <row r="814" spans="1:11" x14ac:dyDescent="0.25">
      <c r="A814">
        <v>2609</v>
      </c>
      <c r="B814" s="2">
        <v>1</v>
      </c>
      <c r="C814" s="2" t="s">
        <v>961</v>
      </c>
      <c r="D814">
        <v>10</v>
      </c>
      <c r="E814" s="2" t="s">
        <v>962</v>
      </c>
      <c r="G814">
        <v>625</v>
      </c>
      <c r="H814" s="2">
        <v>1</v>
      </c>
      <c r="I814" s="2" t="s">
        <v>603</v>
      </c>
      <c r="J814">
        <v>488</v>
      </c>
      <c r="K814" s="2" t="s">
        <v>628</v>
      </c>
    </row>
    <row r="815" spans="1:11" x14ac:dyDescent="0.25">
      <c r="A815">
        <v>2683</v>
      </c>
      <c r="B815" s="2">
        <v>1</v>
      </c>
      <c r="C815" s="2" t="s">
        <v>963</v>
      </c>
      <c r="D815">
        <v>10</v>
      </c>
      <c r="E815" s="2" t="s">
        <v>964</v>
      </c>
      <c r="G815">
        <v>625</v>
      </c>
      <c r="H815" s="2">
        <v>1</v>
      </c>
      <c r="I815" s="2" t="s">
        <v>603</v>
      </c>
      <c r="J815">
        <v>491</v>
      </c>
      <c r="K815" s="2" t="s">
        <v>629</v>
      </c>
    </row>
    <row r="816" spans="1:11" x14ac:dyDescent="0.25">
      <c r="A816">
        <v>2683</v>
      </c>
      <c r="B816" s="2">
        <v>1</v>
      </c>
      <c r="C816" s="2" t="s">
        <v>963</v>
      </c>
      <c r="D816">
        <v>11</v>
      </c>
      <c r="E816" s="2" t="s">
        <v>965</v>
      </c>
      <c r="G816">
        <v>625</v>
      </c>
      <c r="H816" s="2">
        <v>1</v>
      </c>
      <c r="I816" s="2" t="s">
        <v>603</v>
      </c>
      <c r="J816">
        <v>496</v>
      </c>
      <c r="K816" s="2" t="s">
        <v>632</v>
      </c>
    </row>
    <row r="817" spans="1:11" x14ac:dyDescent="0.25">
      <c r="A817">
        <v>2687</v>
      </c>
      <c r="B817" s="2">
        <v>1</v>
      </c>
      <c r="C817" s="2" t="s">
        <v>966</v>
      </c>
      <c r="D817">
        <v>1</v>
      </c>
      <c r="E817" s="2" t="s">
        <v>967</v>
      </c>
      <c r="G817">
        <v>625</v>
      </c>
      <c r="H817" s="2">
        <v>1</v>
      </c>
      <c r="I817" s="2" t="s">
        <v>603</v>
      </c>
      <c r="J817">
        <v>493</v>
      </c>
      <c r="K817" s="2" t="s">
        <v>630</v>
      </c>
    </row>
    <row r="818" spans="1:11" x14ac:dyDescent="0.25">
      <c r="A818">
        <v>2687</v>
      </c>
      <c r="B818" s="2">
        <v>1</v>
      </c>
      <c r="C818" s="2" t="s">
        <v>966</v>
      </c>
      <c r="D818">
        <v>3</v>
      </c>
      <c r="E818" s="2" t="s">
        <v>968</v>
      </c>
      <c r="G818">
        <v>625</v>
      </c>
      <c r="H818" s="2">
        <v>1</v>
      </c>
      <c r="I818" s="2" t="s">
        <v>603</v>
      </c>
      <c r="J818">
        <v>500</v>
      </c>
      <c r="K818" s="2" t="s">
        <v>634</v>
      </c>
    </row>
    <row r="819" spans="1:11" x14ac:dyDescent="0.25">
      <c r="A819">
        <v>2689</v>
      </c>
      <c r="B819" s="2">
        <v>1</v>
      </c>
      <c r="C819" s="2" t="s">
        <v>969</v>
      </c>
      <c r="D819">
        <v>3</v>
      </c>
      <c r="E819" s="2" t="s">
        <v>970</v>
      </c>
      <c r="G819">
        <v>625</v>
      </c>
      <c r="H819" s="2">
        <v>1</v>
      </c>
      <c r="I819" s="2" t="s">
        <v>603</v>
      </c>
      <c r="J819">
        <v>415</v>
      </c>
      <c r="K819" s="2" t="s">
        <v>608</v>
      </c>
    </row>
    <row r="820" spans="1:11" x14ac:dyDescent="0.25">
      <c r="A820">
        <v>2689</v>
      </c>
      <c r="B820">
        <v>1</v>
      </c>
      <c r="C820" t="s">
        <v>1255</v>
      </c>
      <c r="D820">
        <v>6</v>
      </c>
      <c r="E820" t="s">
        <v>1256</v>
      </c>
      <c r="G820">
        <v>625</v>
      </c>
      <c r="H820" s="2">
        <v>1</v>
      </c>
      <c r="I820" s="2" t="s">
        <v>603</v>
      </c>
      <c r="J820">
        <v>462</v>
      </c>
      <c r="K820" s="2" t="s">
        <v>621</v>
      </c>
    </row>
    <row r="821" spans="1:11" x14ac:dyDescent="0.25">
      <c r="A821">
        <v>2711</v>
      </c>
      <c r="B821" s="2">
        <v>1</v>
      </c>
      <c r="C821" s="2" t="s">
        <v>971</v>
      </c>
      <c r="D821">
        <v>10</v>
      </c>
      <c r="E821" s="2" t="s">
        <v>972</v>
      </c>
      <c r="G821">
        <v>625</v>
      </c>
      <c r="H821" s="2">
        <v>1</v>
      </c>
      <c r="I821" s="2" t="s">
        <v>603</v>
      </c>
      <c r="J821">
        <v>510</v>
      </c>
      <c r="K821" s="2" t="s">
        <v>635</v>
      </c>
    </row>
    <row r="822" spans="1:11" x14ac:dyDescent="0.25">
      <c r="A822">
        <v>2752</v>
      </c>
      <c r="B822" s="2">
        <v>1</v>
      </c>
      <c r="C822" s="2" t="s">
        <v>973</v>
      </c>
      <c r="D822">
        <v>50</v>
      </c>
      <c r="E822" s="2" t="s">
        <v>974</v>
      </c>
      <c r="G822" s="5">
        <v>625</v>
      </c>
      <c r="H822" s="5">
        <v>1</v>
      </c>
      <c r="I822" t="s">
        <v>603</v>
      </c>
      <c r="J822" s="5">
        <v>512</v>
      </c>
      <c r="K822" s="6" t="s">
        <v>636</v>
      </c>
    </row>
    <row r="823" spans="1:11" x14ac:dyDescent="0.25">
      <c r="A823">
        <v>2753</v>
      </c>
      <c r="B823" s="2">
        <v>1</v>
      </c>
      <c r="C823" s="2" t="s">
        <v>975</v>
      </c>
      <c r="D823">
        <v>10</v>
      </c>
      <c r="E823" s="2" t="s">
        <v>976</v>
      </c>
      <c r="G823">
        <v>625</v>
      </c>
      <c r="H823" s="2">
        <v>1</v>
      </c>
      <c r="I823" s="2" t="s">
        <v>603</v>
      </c>
      <c r="J823">
        <v>518</v>
      </c>
      <c r="K823" s="2" t="s">
        <v>637</v>
      </c>
    </row>
    <row r="824" spans="1:11" x14ac:dyDescent="0.25">
      <c r="A824">
        <v>2754</v>
      </c>
      <c r="B824" s="2">
        <v>1</v>
      </c>
      <c r="C824" s="2" t="s">
        <v>977</v>
      </c>
      <c r="D824">
        <v>1</v>
      </c>
      <c r="E824" s="2" t="s">
        <v>978</v>
      </c>
      <c r="G824">
        <v>625</v>
      </c>
      <c r="H824" s="2">
        <v>1</v>
      </c>
      <c r="I824" s="2" t="s">
        <v>603</v>
      </c>
      <c r="J824">
        <v>524</v>
      </c>
      <c r="K824" s="2" t="s">
        <v>638</v>
      </c>
    </row>
    <row r="825" spans="1:11" x14ac:dyDescent="0.25">
      <c r="A825">
        <v>2759</v>
      </c>
      <c r="B825" s="2">
        <v>1</v>
      </c>
      <c r="C825" s="2" t="s">
        <v>979</v>
      </c>
      <c r="D825">
        <v>10</v>
      </c>
      <c r="E825" s="2" t="s">
        <v>980</v>
      </c>
      <c r="G825">
        <v>625</v>
      </c>
      <c r="H825" s="2">
        <v>1</v>
      </c>
      <c r="I825" s="2" t="s">
        <v>603</v>
      </c>
      <c r="J825">
        <v>527</v>
      </c>
      <c r="K825" s="2" t="s">
        <v>639</v>
      </c>
    </row>
    <row r="826" spans="1:11" x14ac:dyDescent="0.25">
      <c r="A826">
        <v>2805</v>
      </c>
      <c r="B826" s="2">
        <v>1</v>
      </c>
      <c r="C826" s="2" t="s">
        <v>981</v>
      </c>
      <c r="D826">
        <v>1</v>
      </c>
      <c r="E826" s="2" t="s">
        <v>982</v>
      </c>
      <c r="G826" s="7">
        <v>625</v>
      </c>
      <c r="H826" s="7">
        <v>1</v>
      </c>
      <c r="I826" s="7" t="s">
        <v>603</v>
      </c>
      <c r="J826" s="7">
        <v>528</v>
      </c>
      <c r="K826" s="7" t="s">
        <v>640</v>
      </c>
    </row>
    <row r="827" spans="1:11" x14ac:dyDescent="0.25">
      <c r="A827" s="7">
        <v>2835</v>
      </c>
      <c r="B827" s="7">
        <v>1</v>
      </c>
      <c r="C827" s="7" t="s">
        <v>983</v>
      </c>
      <c r="D827" s="7">
        <v>1</v>
      </c>
      <c r="E827" s="7" t="s">
        <v>984</v>
      </c>
      <c r="G827">
        <v>625</v>
      </c>
      <c r="H827" s="2">
        <v>1</v>
      </c>
      <c r="I827" s="2" t="s">
        <v>603</v>
      </c>
      <c r="J827">
        <v>438</v>
      </c>
      <c r="K827" s="2" t="s">
        <v>615</v>
      </c>
    </row>
    <row r="828" spans="1:11" x14ac:dyDescent="0.25">
      <c r="A828">
        <v>2835</v>
      </c>
      <c r="B828" s="2">
        <v>1</v>
      </c>
      <c r="C828" s="2" t="s">
        <v>983</v>
      </c>
      <c r="D828">
        <v>10</v>
      </c>
      <c r="E828" s="2" t="s">
        <v>985</v>
      </c>
      <c r="G828">
        <v>625</v>
      </c>
      <c r="H828" s="2">
        <v>1</v>
      </c>
      <c r="I828" s="2" t="s">
        <v>603</v>
      </c>
      <c r="J828">
        <v>533</v>
      </c>
      <c r="K828" s="2" t="s">
        <v>642</v>
      </c>
    </row>
    <row r="829" spans="1:11" x14ac:dyDescent="0.25">
      <c r="A829">
        <v>2853</v>
      </c>
      <c r="B829" s="2">
        <v>1</v>
      </c>
      <c r="C829" s="2" t="s">
        <v>986</v>
      </c>
      <c r="D829">
        <v>10</v>
      </c>
      <c r="E829" s="2" t="s">
        <v>987</v>
      </c>
      <c r="G829">
        <v>625</v>
      </c>
      <c r="H829" s="2">
        <v>1</v>
      </c>
      <c r="I829" s="2" t="s">
        <v>603</v>
      </c>
      <c r="J829">
        <v>536</v>
      </c>
      <c r="K829" s="2" t="s">
        <v>643</v>
      </c>
    </row>
    <row r="830" spans="1:11" x14ac:dyDescent="0.25">
      <c r="A830">
        <v>2853</v>
      </c>
      <c r="B830" s="2">
        <v>1</v>
      </c>
      <c r="C830" s="2" t="s">
        <v>986</v>
      </c>
      <c r="D830">
        <v>20</v>
      </c>
      <c r="E830" s="2" t="s">
        <v>988</v>
      </c>
      <c r="G830">
        <v>625</v>
      </c>
      <c r="H830" s="2">
        <v>1</v>
      </c>
      <c r="I830" s="2" t="s">
        <v>603</v>
      </c>
      <c r="J830">
        <v>552</v>
      </c>
      <c r="K830" s="2" t="s">
        <v>648</v>
      </c>
    </row>
    <row r="831" spans="1:11" x14ac:dyDescent="0.25">
      <c r="A831">
        <v>2854</v>
      </c>
      <c r="B831" s="2">
        <v>1</v>
      </c>
      <c r="C831" s="2" t="s">
        <v>989</v>
      </c>
      <c r="D831">
        <v>10</v>
      </c>
      <c r="E831" s="2" t="s">
        <v>990</v>
      </c>
      <c r="G831">
        <v>625</v>
      </c>
      <c r="H831" s="2">
        <v>1</v>
      </c>
      <c r="I831" s="2" t="s">
        <v>603</v>
      </c>
      <c r="J831">
        <v>541</v>
      </c>
      <c r="K831" s="2" t="s">
        <v>644</v>
      </c>
    </row>
    <row r="832" spans="1:11" x14ac:dyDescent="0.25">
      <c r="A832">
        <v>2856</v>
      </c>
      <c r="B832" s="2">
        <v>1</v>
      </c>
      <c r="C832" s="2" t="s">
        <v>991</v>
      </c>
      <c r="D832">
        <v>20</v>
      </c>
      <c r="E832" s="2" t="s">
        <v>992</v>
      </c>
      <c r="G832">
        <v>625</v>
      </c>
      <c r="H832" s="2">
        <v>1</v>
      </c>
      <c r="I832" s="2" t="s">
        <v>603</v>
      </c>
      <c r="J832">
        <v>542</v>
      </c>
      <c r="K832" s="2" t="s">
        <v>645</v>
      </c>
    </row>
    <row r="833" spans="1:11" x14ac:dyDescent="0.25">
      <c r="A833">
        <v>2859</v>
      </c>
      <c r="B833" s="2">
        <v>1</v>
      </c>
      <c r="C833" s="2" t="s">
        <v>993</v>
      </c>
      <c r="D833">
        <v>30</v>
      </c>
      <c r="E833" s="2" t="s">
        <v>891</v>
      </c>
      <c r="G833">
        <v>625</v>
      </c>
      <c r="H833" s="2">
        <v>1</v>
      </c>
      <c r="I833" s="2" t="s">
        <v>603</v>
      </c>
      <c r="J833">
        <v>545</v>
      </c>
      <c r="K833" s="2" t="s">
        <v>646</v>
      </c>
    </row>
    <row r="834" spans="1:11" x14ac:dyDescent="0.25">
      <c r="A834">
        <v>2860</v>
      </c>
      <c r="B834" s="2">
        <v>1</v>
      </c>
      <c r="C834" s="2" t="s">
        <v>994</v>
      </c>
      <c r="D834">
        <v>10</v>
      </c>
      <c r="E834" s="2" t="s">
        <v>995</v>
      </c>
      <c r="G834">
        <v>625</v>
      </c>
      <c r="H834" s="2">
        <v>1</v>
      </c>
      <c r="I834" s="2" t="s">
        <v>603</v>
      </c>
      <c r="J834">
        <v>551</v>
      </c>
      <c r="K834" s="2" t="s">
        <v>647</v>
      </c>
    </row>
    <row r="835" spans="1:11" x14ac:dyDescent="0.25">
      <c r="A835">
        <v>2860</v>
      </c>
      <c r="B835" s="2">
        <v>1</v>
      </c>
      <c r="C835" s="2" t="s">
        <v>994</v>
      </c>
      <c r="D835">
        <v>40</v>
      </c>
      <c r="E835" s="2" t="s">
        <v>996</v>
      </c>
      <c r="G835" s="5">
        <v>625</v>
      </c>
      <c r="H835" s="5">
        <v>1</v>
      </c>
      <c r="I835" t="s">
        <v>603</v>
      </c>
      <c r="J835" s="5">
        <v>554</v>
      </c>
      <c r="K835" s="6" t="s">
        <v>649</v>
      </c>
    </row>
    <row r="836" spans="1:11" x14ac:dyDescent="0.25">
      <c r="A836">
        <v>2884</v>
      </c>
      <c r="B836" s="2">
        <v>1</v>
      </c>
      <c r="C836" s="2" t="s">
        <v>997</v>
      </c>
      <c r="D836">
        <v>30</v>
      </c>
      <c r="E836" s="2" t="s">
        <v>998</v>
      </c>
      <c r="G836">
        <v>625</v>
      </c>
      <c r="H836" s="2">
        <v>1</v>
      </c>
      <c r="I836" s="2" t="s">
        <v>603</v>
      </c>
      <c r="J836">
        <v>563</v>
      </c>
      <c r="K836" s="2" t="s">
        <v>23</v>
      </c>
    </row>
    <row r="837" spans="1:11" x14ac:dyDescent="0.25">
      <c r="A837">
        <v>2886</v>
      </c>
      <c r="B837" s="2">
        <v>1</v>
      </c>
      <c r="C837" s="2" t="s">
        <v>999</v>
      </c>
      <c r="D837">
        <v>100</v>
      </c>
      <c r="E837" s="2" t="s">
        <v>1000</v>
      </c>
      <c r="G837">
        <v>625</v>
      </c>
      <c r="H837" s="2">
        <v>1</v>
      </c>
      <c r="I837" s="2" t="s">
        <v>603</v>
      </c>
      <c r="J837">
        <v>557</v>
      </c>
      <c r="K837" s="2" t="s">
        <v>650</v>
      </c>
    </row>
    <row r="838" spans="1:11" x14ac:dyDescent="0.25">
      <c r="A838">
        <v>2888</v>
      </c>
      <c r="B838" s="2">
        <v>1</v>
      </c>
      <c r="C838" s="2" t="s">
        <v>1001</v>
      </c>
      <c r="D838">
        <v>1</v>
      </c>
      <c r="E838" s="2" t="s">
        <v>1002</v>
      </c>
      <c r="G838">
        <v>625</v>
      </c>
      <c r="H838" s="2">
        <v>1</v>
      </c>
      <c r="I838" s="2" t="s">
        <v>603</v>
      </c>
      <c r="J838">
        <v>50</v>
      </c>
      <c r="K838" s="2" t="s">
        <v>604</v>
      </c>
    </row>
    <row r="839" spans="1:11" x14ac:dyDescent="0.25">
      <c r="A839">
        <v>2888</v>
      </c>
      <c r="B839">
        <v>1</v>
      </c>
      <c r="C839" t="s">
        <v>1257</v>
      </c>
      <c r="D839">
        <v>4</v>
      </c>
      <c r="E839" t="s">
        <v>1258</v>
      </c>
      <c r="G839">
        <v>625</v>
      </c>
      <c r="H839" s="2">
        <v>1</v>
      </c>
      <c r="I839" s="2" t="s">
        <v>603</v>
      </c>
      <c r="J839">
        <v>578</v>
      </c>
      <c r="K839" s="2" t="s">
        <v>651</v>
      </c>
    </row>
    <row r="840" spans="1:11" x14ac:dyDescent="0.25">
      <c r="A840">
        <v>2888</v>
      </c>
      <c r="B840">
        <v>1</v>
      </c>
      <c r="C840" t="s">
        <v>1257</v>
      </c>
      <c r="D840">
        <v>6</v>
      </c>
      <c r="E840" t="s">
        <v>1259</v>
      </c>
      <c r="G840">
        <v>625</v>
      </c>
      <c r="H840" s="2">
        <v>1</v>
      </c>
      <c r="I840" s="2" t="s">
        <v>603</v>
      </c>
      <c r="J840">
        <v>530</v>
      </c>
      <c r="K840" s="2" t="s">
        <v>641</v>
      </c>
    </row>
    <row r="841" spans="1:11" x14ac:dyDescent="0.25">
      <c r="A841">
        <v>2889</v>
      </c>
      <c r="B841" s="2">
        <v>1</v>
      </c>
      <c r="C841" s="2" t="s">
        <v>1003</v>
      </c>
      <c r="D841">
        <v>10</v>
      </c>
      <c r="E841" s="2" t="s">
        <v>1004</v>
      </c>
      <c r="G841">
        <v>625</v>
      </c>
      <c r="H841">
        <v>1</v>
      </c>
      <c r="I841" t="s">
        <v>1211</v>
      </c>
      <c r="J841">
        <v>39</v>
      </c>
      <c r="K841" t="s">
        <v>1212</v>
      </c>
    </row>
    <row r="842" spans="1:11" x14ac:dyDescent="0.25">
      <c r="A842">
        <v>2890</v>
      </c>
      <c r="B842" s="2">
        <v>1</v>
      </c>
      <c r="C842" s="2" t="s">
        <v>1005</v>
      </c>
      <c r="D842">
        <v>1</v>
      </c>
      <c r="E842" s="2" t="s">
        <v>1006</v>
      </c>
      <c r="G842">
        <v>625</v>
      </c>
      <c r="H842">
        <v>1</v>
      </c>
      <c r="I842" t="s">
        <v>1211</v>
      </c>
      <c r="J842">
        <v>654</v>
      </c>
      <c r="K842" t="s">
        <v>1220</v>
      </c>
    </row>
    <row r="843" spans="1:11" x14ac:dyDescent="0.25">
      <c r="A843">
        <v>2895</v>
      </c>
      <c r="B843" s="2">
        <v>1</v>
      </c>
      <c r="C843" s="2" t="s">
        <v>1007</v>
      </c>
      <c r="D843">
        <v>10</v>
      </c>
      <c r="E843" s="2" t="s">
        <v>1008</v>
      </c>
      <c r="G843">
        <v>625</v>
      </c>
      <c r="H843">
        <v>1</v>
      </c>
      <c r="I843" t="s">
        <v>1211</v>
      </c>
      <c r="J843">
        <v>432</v>
      </c>
      <c r="K843" t="s">
        <v>1218</v>
      </c>
    </row>
    <row r="844" spans="1:11" x14ac:dyDescent="0.25">
      <c r="A844">
        <v>2895</v>
      </c>
      <c r="B844" s="2">
        <v>1</v>
      </c>
      <c r="C844" s="2" t="s">
        <v>1007</v>
      </c>
      <c r="D844">
        <v>112</v>
      </c>
      <c r="E844" s="2" t="s">
        <v>204</v>
      </c>
      <c r="G844">
        <v>625</v>
      </c>
      <c r="H844">
        <v>1</v>
      </c>
      <c r="I844" t="s">
        <v>1211</v>
      </c>
      <c r="J844">
        <v>90</v>
      </c>
      <c r="K844" t="s">
        <v>1217</v>
      </c>
    </row>
    <row r="845" spans="1:11" x14ac:dyDescent="0.25">
      <c r="A845">
        <v>2897</v>
      </c>
      <c r="B845" s="2">
        <v>1</v>
      </c>
      <c r="C845" s="2" t="s">
        <v>1009</v>
      </c>
      <c r="D845">
        <v>2</v>
      </c>
      <c r="E845" s="2" t="s">
        <v>1010</v>
      </c>
      <c r="G845">
        <v>625</v>
      </c>
      <c r="H845">
        <v>1</v>
      </c>
      <c r="I845" t="s">
        <v>1211</v>
      </c>
      <c r="J845">
        <v>49</v>
      </c>
      <c r="K845" t="s">
        <v>1216</v>
      </c>
    </row>
    <row r="846" spans="1:11" x14ac:dyDescent="0.25">
      <c r="A846">
        <v>2898</v>
      </c>
      <c r="B846" s="2">
        <v>1</v>
      </c>
      <c r="C846" s="2" t="s">
        <v>1011</v>
      </c>
      <c r="D846">
        <v>15</v>
      </c>
      <c r="E846" s="2" t="s">
        <v>1012</v>
      </c>
      <c r="G846">
        <v>625</v>
      </c>
      <c r="H846">
        <v>1</v>
      </c>
      <c r="I846" t="s">
        <v>1211</v>
      </c>
      <c r="J846">
        <v>45</v>
      </c>
      <c r="K846" t="s">
        <v>1214</v>
      </c>
    </row>
    <row r="847" spans="1:11" x14ac:dyDescent="0.25">
      <c r="A847">
        <v>2899</v>
      </c>
      <c r="B847" s="2">
        <v>1</v>
      </c>
      <c r="C847" s="2" t="s">
        <v>1013</v>
      </c>
      <c r="D847">
        <v>10</v>
      </c>
      <c r="E847" s="2" t="s">
        <v>1014</v>
      </c>
      <c r="G847">
        <v>625</v>
      </c>
      <c r="H847">
        <v>1</v>
      </c>
      <c r="I847" t="s">
        <v>1211</v>
      </c>
      <c r="J847">
        <v>41</v>
      </c>
      <c r="K847" t="s">
        <v>1213</v>
      </c>
    </row>
    <row r="848" spans="1:11" x14ac:dyDescent="0.25">
      <c r="A848" s="7">
        <v>2899</v>
      </c>
      <c r="B848" s="7">
        <v>1</v>
      </c>
      <c r="C848" s="7" t="s">
        <v>1013</v>
      </c>
      <c r="D848" s="7">
        <v>20</v>
      </c>
      <c r="E848" s="7" t="s">
        <v>1015</v>
      </c>
      <c r="G848">
        <v>625</v>
      </c>
      <c r="H848">
        <v>1</v>
      </c>
      <c r="I848" t="s">
        <v>1211</v>
      </c>
      <c r="J848">
        <v>607</v>
      </c>
      <c r="K848" t="s">
        <v>1219</v>
      </c>
    </row>
    <row r="849" spans="1:11" x14ac:dyDescent="0.25">
      <c r="A849">
        <v>2902</v>
      </c>
      <c r="B849" s="2">
        <v>1</v>
      </c>
      <c r="C849" s="2" t="s">
        <v>1016</v>
      </c>
      <c r="D849">
        <v>100</v>
      </c>
      <c r="E849" s="2" t="s">
        <v>1017</v>
      </c>
      <c r="G849">
        <v>625</v>
      </c>
      <c r="H849">
        <v>1</v>
      </c>
      <c r="I849" t="s">
        <v>1211</v>
      </c>
      <c r="J849">
        <v>47</v>
      </c>
      <c r="K849" t="s">
        <v>1215</v>
      </c>
    </row>
    <row r="850" spans="1:11" x14ac:dyDescent="0.25">
      <c r="A850">
        <v>2903</v>
      </c>
      <c r="B850" s="2">
        <v>1</v>
      </c>
      <c r="C850" s="2" t="s">
        <v>1018</v>
      </c>
      <c r="D850">
        <v>10</v>
      </c>
      <c r="E850" s="2" t="s">
        <v>127</v>
      </c>
      <c r="G850">
        <v>508</v>
      </c>
      <c r="H850" s="2">
        <v>1</v>
      </c>
      <c r="I850" s="2" t="s">
        <v>514</v>
      </c>
      <c r="J850">
        <v>30</v>
      </c>
      <c r="K850" s="2" t="s">
        <v>515</v>
      </c>
    </row>
    <row r="851" spans="1:11" x14ac:dyDescent="0.25">
      <c r="A851">
        <v>2904</v>
      </c>
      <c r="B851" s="2">
        <v>1</v>
      </c>
      <c r="C851" s="2" t="s">
        <v>1019</v>
      </c>
      <c r="D851">
        <v>2</v>
      </c>
      <c r="E851" s="2" t="s">
        <v>459</v>
      </c>
      <c r="G851">
        <v>2170</v>
      </c>
      <c r="H851" s="2">
        <v>1</v>
      </c>
      <c r="I851" s="2" t="s">
        <v>912</v>
      </c>
      <c r="J851">
        <v>10</v>
      </c>
      <c r="K851" s="2" t="s">
        <v>913</v>
      </c>
    </row>
    <row r="852" spans="1:11" x14ac:dyDescent="0.25">
      <c r="A852">
        <v>4001</v>
      </c>
      <c r="B852" s="2">
        <v>7</v>
      </c>
      <c r="C852" s="2" t="s">
        <v>1020</v>
      </c>
      <c r="D852">
        <v>10</v>
      </c>
      <c r="E852" s="2" t="s">
        <v>1020</v>
      </c>
      <c r="G852">
        <v>2170</v>
      </c>
      <c r="H852" s="2">
        <v>1</v>
      </c>
      <c r="I852" s="2" t="s">
        <v>912</v>
      </c>
      <c r="J852">
        <v>30</v>
      </c>
      <c r="K852" s="2" t="s">
        <v>914</v>
      </c>
    </row>
    <row r="853" spans="1:11" x14ac:dyDescent="0.25">
      <c r="A853">
        <v>4003</v>
      </c>
      <c r="B853">
        <v>7</v>
      </c>
      <c r="C853" t="s">
        <v>1260</v>
      </c>
      <c r="D853">
        <v>10</v>
      </c>
      <c r="E853" t="s">
        <v>1260</v>
      </c>
      <c r="G853">
        <v>2856</v>
      </c>
      <c r="H853" s="2">
        <v>1</v>
      </c>
      <c r="I853" s="2" t="s">
        <v>991</v>
      </c>
      <c r="J853">
        <v>20</v>
      </c>
      <c r="K853" s="2" t="s">
        <v>992</v>
      </c>
    </row>
    <row r="854" spans="1:11" x14ac:dyDescent="0.25">
      <c r="A854">
        <v>4004</v>
      </c>
      <c r="B854" s="2">
        <v>7</v>
      </c>
      <c r="C854" s="2" t="s">
        <v>1021</v>
      </c>
      <c r="D854">
        <v>10</v>
      </c>
      <c r="E854" s="2" t="s">
        <v>1021</v>
      </c>
      <c r="G854">
        <v>534</v>
      </c>
      <c r="H854" s="2">
        <v>1</v>
      </c>
      <c r="I854" s="2" t="s">
        <v>526</v>
      </c>
      <c r="J854">
        <v>11</v>
      </c>
      <c r="K854" s="2" t="s">
        <v>527</v>
      </c>
    </row>
    <row r="855" spans="1:11" x14ac:dyDescent="0.25">
      <c r="A855">
        <v>4005</v>
      </c>
      <c r="B855">
        <v>7</v>
      </c>
      <c r="C855" t="s">
        <v>1261</v>
      </c>
      <c r="D855">
        <v>10</v>
      </c>
      <c r="E855" t="s">
        <v>1261</v>
      </c>
      <c r="G855" s="7">
        <v>534</v>
      </c>
      <c r="H855" s="7">
        <v>1</v>
      </c>
      <c r="I855" s="7" t="s">
        <v>526</v>
      </c>
      <c r="J855" s="7">
        <v>10</v>
      </c>
      <c r="K855" s="7" t="s">
        <v>110</v>
      </c>
    </row>
    <row r="856" spans="1:11" x14ac:dyDescent="0.25">
      <c r="A856">
        <v>4008</v>
      </c>
      <c r="B856" s="2">
        <v>7</v>
      </c>
      <c r="C856" s="2" t="s">
        <v>1022</v>
      </c>
      <c r="D856">
        <v>10</v>
      </c>
      <c r="E856" s="2" t="s">
        <v>1022</v>
      </c>
      <c r="G856">
        <v>834</v>
      </c>
      <c r="H856" s="2">
        <v>1</v>
      </c>
      <c r="I856" s="2" t="s">
        <v>811</v>
      </c>
      <c r="J856">
        <v>785</v>
      </c>
      <c r="K856" s="2" t="s">
        <v>812</v>
      </c>
    </row>
    <row r="857" spans="1:11" x14ac:dyDescent="0.25">
      <c r="A857">
        <v>4011</v>
      </c>
      <c r="B857" s="2">
        <v>7</v>
      </c>
      <c r="C857" s="2" t="s">
        <v>1023</v>
      </c>
      <c r="D857">
        <v>10</v>
      </c>
      <c r="E857" s="2" t="s">
        <v>1023</v>
      </c>
      <c r="G857">
        <v>834</v>
      </c>
      <c r="H857" s="2">
        <v>1</v>
      </c>
      <c r="I857" s="2" t="s">
        <v>811</v>
      </c>
      <c r="J857">
        <v>786</v>
      </c>
      <c r="K857" s="2" t="s">
        <v>31</v>
      </c>
    </row>
    <row r="858" spans="1:11" x14ac:dyDescent="0.25">
      <c r="A858">
        <v>4012</v>
      </c>
      <c r="B858">
        <v>7</v>
      </c>
      <c r="C858" t="s">
        <v>1262</v>
      </c>
      <c r="D858">
        <v>10</v>
      </c>
      <c r="E858" t="s">
        <v>1262</v>
      </c>
      <c r="G858">
        <v>834</v>
      </c>
      <c r="H858" s="2">
        <v>1</v>
      </c>
      <c r="I858" s="2" t="s">
        <v>811</v>
      </c>
      <c r="J858">
        <v>787</v>
      </c>
      <c r="K858" s="2" t="s">
        <v>813</v>
      </c>
    </row>
    <row r="859" spans="1:11" x14ac:dyDescent="0.25">
      <c r="A859">
        <v>4015</v>
      </c>
      <c r="B859" s="2">
        <v>7</v>
      </c>
      <c r="C859" s="2" t="s">
        <v>1024</v>
      </c>
      <c r="D859">
        <v>10</v>
      </c>
      <c r="E859" s="2" t="s">
        <v>1024</v>
      </c>
      <c r="G859">
        <v>834</v>
      </c>
      <c r="H859" s="2">
        <v>1</v>
      </c>
      <c r="I859" s="2" t="s">
        <v>811</v>
      </c>
      <c r="J859">
        <v>788</v>
      </c>
      <c r="K859" s="2" t="s">
        <v>814</v>
      </c>
    </row>
    <row r="860" spans="1:11" x14ac:dyDescent="0.25">
      <c r="A860">
        <v>4016</v>
      </c>
      <c r="B860" s="2">
        <v>7</v>
      </c>
      <c r="C860" s="2" t="s">
        <v>1025</v>
      </c>
      <c r="D860">
        <v>10</v>
      </c>
      <c r="E860" s="2" t="s">
        <v>1025</v>
      </c>
      <c r="G860">
        <v>834</v>
      </c>
      <c r="H860" s="2">
        <v>1</v>
      </c>
      <c r="I860" s="2" t="s">
        <v>811</v>
      </c>
      <c r="J860">
        <v>789</v>
      </c>
      <c r="K860" s="2" t="s">
        <v>815</v>
      </c>
    </row>
    <row r="861" spans="1:11" x14ac:dyDescent="0.25">
      <c r="A861">
        <v>4017</v>
      </c>
      <c r="B861">
        <v>7</v>
      </c>
      <c r="C861" t="s">
        <v>1263</v>
      </c>
      <c r="D861">
        <v>10</v>
      </c>
      <c r="E861" t="s">
        <v>1264</v>
      </c>
      <c r="G861">
        <v>834</v>
      </c>
      <c r="H861" s="2">
        <v>1</v>
      </c>
      <c r="I861" s="2" t="s">
        <v>811</v>
      </c>
      <c r="J861">
        <v>790</v>
      </c>
      <c r="K861" s="2" t="s">
        <v>816</v>
      </c>
    </row>
    <row r="862" spans="1:11" x14ac:dyDescent="0.25">
      <c r="A862">
        <v>4017</v>
      </c>
      <c r="B862" s="2">
        <v>7</v>
      </c>
      <c r="C862" s="2" t="s">
        <v>1026</v>
      </c>
      <c r="D862">
        <v>17</v>
      </c>
      <c r="E862" s="2" t="s">
        <v>1027</v>
      </c>
      <c r="G862">
        <v>834</v>
      </c>
      <c r="H862" s="2">
        <v>1</v>
      </c>
      <c r="I862" s="2" t="s">
        <v>811</v>
      </c>
      <c r="J862">
        <v>804</v>
      </c>
      <c r="K862" s="2" t="s">
        <v>819</v>
      </c>
    </row>
    <row r="863" spans="1:11" x14ac:dyDescent="0.25">
      <c r="A863">
        <v>4017</v>
      </c>
      <c r="B863" s="2">
        <v>7</v>
      </c>
      <c r="C863" s="2" t="s">
        <v>1026</v>
      </c>
      <c r="D863">
        <v>18</v>
      </c>
      <c r="E863" s="2" t="s">
        <v>1028</v>
      </c>
      <c r="G863">
        <v>834</v>
      </c>
      <c r="H863" s="2">
        <v>1</v>
      </c>
      <c r="I863" s="2" t="s">
        <v>811</v>
      </c>
      <c r="J863">
        <v>793</v>
      </c>
      <c r="K863" s="2" t="s">
        <v>818</v>
      </c>
    </row>
    <row r="864" spans="1:11" x14ac:dyDescent="0.25">
      <c r="A864">
        <v>4018</v>
      </c>
      <c r="B864" s="2">
        <v>7</v>
      </c>
      <c r="C864" s="2" t="s">
        <v>1029</v>
      </c>
      <c r="D864">
        <v>10</v>
      </c>
      <c r="E864" s="2" t="s">
        <v>1029</v>
      </c>
      <c r="G864">
        <v>834</v>
      </c>
      <c r="H864" s="2">
        <v>1</v>
      </c>
      <c r="I864" s="2" t="s">
        <v>811</v>
      </c>
      <c r="J864">
        <v>792</v>
      </c>
      <c r="K864" s="2" t="s">
        <v>817</v>
      </c>
    </row>
    <row r="865" spans="1:11" x14ac:dyDescent="0.25">
      <c r="A865">
        <v>4020</v>
      </c>
      <c r="B865" s="2">
        <v>7</v>
      </c>
      <c r="C865" s="2" t="s">
        <v>1030</v>
      </c>
      <c r="D865">
        <v>10</v>
      </c>
      <c r="E865" s="2" t="s">
        <v>1031</v>
      </c>
      <c r="G865">
        <v>4169</v>
      </c>
      <c r="H865" s="2">
        <v>7</v>
      </c>
      <c r="I865" s="2" t="s">
        <v>1080</v>
      </c>
      <c r="J865">
        <v>10</v>
      </c>
      <c r="K865" s="2" t="s">
        <v>1080</v>
      </c>
    </row>
    <row r="866" spans="1:11" x14ac:dyDescent="0.25">
      <c r="A866">
        <v>4020</v>
      </c>
      <c r="B866" s="2">
        <v>7</v>
      </c>
      <c r="C866" s="2" t="s">
        <v>1030</v>
      </c>
      <c r="D866">
        <v>40</v>
      </c>
      <c r="E866" s="2" t="s">
        <v>1032</v>
      </c>
      <c r="G866">
        <v>4142</v>
      </c>
      <c r="H866" s="2">
        <v>7</v>
      </c>
      <c r="I866" s="2" t="s">
        <v>1070</v>
      </c>
      <c r="J866">
        <v>10</v>
      </c>
      <c r="K866" s="2" t="s">
        <v>1070</v>
      </c>
    </row>
    <row r="867" spans="1:11" x14ac:dyDescent="0.25">
      <c r="A867">
        <v>4025</v>
      </c>
      <c r="B867">
        <v>7</v>
      </c>
      <c r="C867" t="s">
        <v>1265</v>
      </c>
      <c r="D867">
        <v>10</v>
      </c>
      <c r="E867" t="s">
        <v>1265</v>
      </c>
      <c r="G867">
        <v>4137</v>
      </c>
      <c r="H867" s="2">
        <v>7</v>
      </c>
      <c r="I867" s="2" t="s">
        <v>1066</v>
      </c>
      <c r="J867">
        <v>10</v>
      </c>
      <c r="K867" s="2" t="s">
        <v>1066</v>
      </c>
    </row>
    <row r="868" spans="1:11" x14ac:dyDescent="0.25">
      <c r="A868">
        <v>4026</v>
      </c>
      <c r="B868">
        <v>7</v>
      </c>
      <c r="C868" t="s">
        <v>1266</v>
      </c>
      <c r="D868">
        <v>10</v>
      </c>
      <c r="E868" t="s">
        <v>1266</v>
      </c>
      <c r="G868" s="2">
        <v>486</v>
      </c>
      <c r="H868" s="2">
        <v>1</v>
      </c>
      <c r="I868" s="2" t="s">
        <v>493</v>
      </c>
      <c r="J868" s="2">
        <v>10</v>
      </c>
      <c r="K868" s="2" t="s">
        <v>494</v>
      </c>
    </row>
    <row r="869" spans="1:11" x14ac:dyDescent="0.25">
      <c r="A869">
        <v>4027</v>
      </c>
      <c r="B869" s="2">
        <v>7</v>
      </c>
      <c r="C869" s="2" t="s">
        <v>1033</v>
      </c>
      <c r="D869">
        <v>10</v>
      </c>
      <c r="E869" s="2" t="s">
        <v>1033</v>
      </c>
      <c r="G869">
        <v>4099</v>
      </c>
      <c r="H869" s="2">
        <v>7</v>
      </c>
      <c r="I869" s="2" t="s">
        <v>1055</v>
      </c>
      <c r="J869">
        <v>10</v>
      </c>
      <c r="K869" s="2" t="s">
        <v>1055</v>
      </c>
    </row>
    <row r="870" spans="1:11" x14ac:dyDescent="0.25">
      <c r="A870">
        <v>4029</v>
      </c>
      <c r="B870" s="2">
        <v>7</v>
      </c>
      <c r="C870" s="2" t="s">
        <v>1034</v>
      </c>
      <c r="D870">
        <v>10</v>
      </c>
      <c r="E870" s="2" t="s">
        <v>1035</v>
      </c>
      <c r="G870">
        <v>4099</v>
      </c>
      <c r="H870" s="2">
        <v>7</v>
      </c>
      <c r="I870" s="2" t="s">
        <v>1055</v>
      </c>
      <c r="J870">
        <v>20</v>
      </c>
      <c r="K870" s="2" t="s">
        <v>1056</v>
      </c>
    </row>
    <row r="871" spans="1:11" x14ac:dyDescent="0.25">
      <c r="A871">
        <v>4030</v>
      </c>
      <c r="B871" s="2">
        <v>7</v>
      </c>
      <c r="C871" s="2" t="s">
        <v>1036</v>
      </c>
      <c r="D871">
        <v>10</v>
      </c>
      <c r="E871" s="2" t="s">
        <v>1036</v>
      </c>
      <c r="G871">
        <v>4127</v>
      </c>
      <c r="H871" s="2">
        <v>7</v>
      </c>
      <c r="I871" s="2" t="s">
        <v>1064</v>
      </c>
      <c r="J871">
        <v>10</v>
      </c>
      <c r="K871" s="2" t="s">
        <v>1064</v>
      </c>
    </row>
    <row r="872" spans="1:11" x14ac:dyDescent="0.25">
      <c r="A872">
        <v>4032</v>
      </c>
      <c r="B872" s="2">
        <v>7</v>
      </c>
      <c r="C872" s="2" t="s">
        <v>1037</v>
      </c>
      <c r="D872">
        <v>10</v>
      </c>
      <c r="E872" s="2" t="s">
        <v>1037</v>
      </c>
      <c r="G872">
        <v>564</v>
      </c>
      <c r="H872" s="2">
        <v>1</v>
      </c>
      <c r="I872" s="2" t="s">
        <v>555</v>
      </c>
      <c r="J872">
        <v>31</v>
      </c>
      <c r="K872" s="2" t="s">
        <v>556</v>
      </c>
    </row>
    <row r="873" spans="1:11" x14ac:dyDescent="0.25">
      <c r="A873">
        <v>4035</v>
      </c>
      <c r="B873" s="2">
        <v>7</v>
      </c>
      <c r="C873" s="2" t="s">
        <v>1038</v>
      </c>
      <c r="D873">
        <v>10</v>
      </c>
      <c r="E873" s="2" t="s">
        <v>1038</v>
      </c>
      <c r="G873">
        <v>2904</v>
      </c>
      <c r="H873" s="2">
        <v>1</v>
      </c>
      <c r="I873" s="2" t="s">
        <v>1019</v>
      </c>
      <c r="J873">
        <v>2</v>
      </c>
      <c r="K873" s="2" t="s">
        <v>459</v>
      </c>
    </row>
    <row r="874" spans="1:11" x14ac:dyDescent="0.25">
      <c r="A874">
        <v>4038</v>
      </c>
      <c r="B874" s="2">
        <v>7</v>
      </c>
      <c r="C874" s="2" t="s">
        <v>1039</v>
      </c>
      <c r="D874">
        <v>10</v>
      </c>
      <c r="E874" s="2" t="s">
        <v>1039</v>
      </c>
      <c r="G874">
        <v>2358</v>
      </c>
      <c r="H874" s="2">
        <v>1</v>
      </c>
      <c r="I874" s="2" t="s">
        <v>942</v>
      </c>
      <c r="J874">
        <v>10</v>
      </c>
      <c r="K874" s="2" t="s">
        <v>943</v>
      </c>
    </row>
    <row r="875" spans="1:11" x14ac:dyDescent="0.25">
      <c r="A875">
        <v>4050</v>
      </c>
      <c r="B875">
        <v>7</v>
      </c>
      <c r="C875" t="s">
        <v>1267</v>
      </c>
      <c r="D875">
        <v>10</v>
      </c>
      <c r="E875" t="s">
        <v>1267</v>
      </c>
      <c r="G875">
        <v>2125</v>
      </c>
      <c r="H875" s="2">
        <v>1</v>
      </c>
      <c r="I875" s="2" t="s">
        <v>871</v>
      </c>
      <c r="J875">
        <v>10</v>
      </c>
      <c r="K875" s="2" t="s">
        <v>872</v>
      </c>
    </row>
    <row r="876" spans="1:11" x14ac:dyDescent="0.25">
      <c r="A876">
        <v>4050</v>
      </c>
      <c r="B876">
        <v>7</v>
      </c>
      <c r="C876" t="s">
        <v>1267</v>
      </c>
      <c r="D876">
        <v>20</v>
      </c>
      <c r="E876" t="s">
        <v>1268</v>
      </c>
      <c r="G876" s="2">
        <v>458</v>
      </c>
      <c r="H876" s="2">
        <v>1</v>
      </c>
      <c r="I876" s="2" t="s">
        <v>471</v>
      </c>
      <c r="J876" s="2">
        <v>10</v>
      </c>
      <c r="K876" s="2" t="s">
        <v>472</v>
      </c>
    </row>
    <row r="877" spans="1:11" x14ac:dyDescent="0.25">
      <c r="A877">
        <v>4054</v>
      </c>
      <c r="B877">
        <v>7</v>
      </c>
      <c r="C877" t="s">
        <v>1269</v>
      </c>
      <c r="D877">
        <v>10</v>
      </c>
      <c r="E877" t="s">
        <v>1269</v>
      </c>
      <c r="G877">
        <v>4152</v>
      </c>
      <c r="H877" s="2">
        <v>7</v>
      </c>
      <c r="I877" s="2" t="s">
        <v>1073</v>
      </c>
      <c r="J877">
        <v>10</v>
      </c>
      <c r="K877" s="2" t="s">
        <v>1073</v>
      </c>
    </row>
    <row r="878" spans="1:11" x14ac:dyDescent="0.25">
      <c r="A878">
        <v>4055</v>
      </c>
      <c r="B878" s="2">
        <v>7</v>
      </c>
      <c r="C878" s="2" t="s">
        <v>1040</v>
      </c>
      <c r="D878">
        <v>10</v>
      </c>
      <c r="E878" s="2" t="s">
        <v>1040</v>
      </c>
      <c r="G878">
        <v>4077</v>
      </c>
      <c r="H878" s="2">
        <v>7</v>
      </c>
      <c r="I878" s="2" t="s">
        <v>1046</v>
      </c>
      <c r="J878">
        <v>10</v>
      </c>
      <c r="K878" s="2" t="s">
        <v>1046</v>
      </c>
    </row>
    <row r="879" spans="1:11" x14ac:dyDescent="0.25">
      <c r="A879">
        <v>4058</v>
      </c>
      <c r="B879" s="2">
        <v>7</v>
      </c>
      <c r="C879" s="2" t="s">
        <v>1041</v>
      </c>
      <c r="D879">
        <v>10</v>
      </c>
      <c r="E879" s="2" t="s">
        <v>1041</v>
      </c>
      <c r="G879">
        <v>914</v>
      </c>
      <c r="H879" s="2">
        <v>1</v>
      </c>
      <c r="I879" s="2" t="s">
        <v>867</v>
      </c>
      <c r="J879">
        <v>1</v>
      </c>
      <c r="K879" s="2" t="s">
        <v>868</v>
      </c>
    </row>
    <row r="880" spans="1:11" x14ac:dyDescent="0.25">
      <c r="A880">
        <v>4059</v>
      </c>
      <c r="B880">
        <v>7</v>
      </c>
      <c r="C880" t="s">
        <v>1270</v>
      </c>
      <c r="D880">
        <v>10</v>
      </c>
      <c r="E880" t="s">
        <v>1270</v>
      </c>
      <c r="G880">
        <v>550</v>
      </c>
      <c r="H880" s="2">
        <v>1</v>
      </c>
      <c r="I880" s="2" t="s">
        <v>551</v>
      </c>
      <c r="J880">
        <v>10</v>
      </c>
      <c r="K880" s="2" t="s">
        <v>552</v>
      </c>
    </row>
    <row r="881" spans="1:11" x14ac:dyDescent="0.25">
      <c r="A881">
        <v>4064</v>
      </c>
      <c r="B881">
        <v>7</v>
      </c>
      <c r="C881" t="s">
        <v>1271</v>
      </c>
      <c r="D881">
        <v>10</v>
      </c>
      <c r="E881" t="s">
        <v>1271</v>
      </c>
      <c r="G881">
        <v>2134</v>
      </c>
      <c r="H881" s="2">
        <v>1</v>
      </c>
      <c r="I881" s="2" t="s">
        <v>873</v>
      </c>
      <c r="J881">
        <v>10</v>
      </c>
      <c r="K881" s="2" t="s">
        <v>874</v>
      </c>
    </row>
    <row r="882" spans="1:11" x14ac:dyDescent="0.25">
      <c r="A882">
        <v>4067</v>
      </c>
      <c r="B882" s="2">
        <v>7</v>
      </c>
      <c r="C882" s="2" t="s">
        <v>1042</v>
      </c>
      <c r="D882">
        <v>10</v>
      </c>
      <c r="E882" s="2" t="s">
        <v>1042</v>
      </c>
      <c r="G882" s="2">
        <v>487</v>
      </c>
      <c r="H882" s="2">
        <v>1</v>
      </c>
      <c r="I882" s="2" t="s">
        <v>495</v>
      </c>
      <c r="J882" s="2">
        <v>10</v>
      </c>
      <c r="K882" s="2" t="s">
        <v>496</v>
      </c>
    </row>
    <row r="883" spans="1:11" x14ac:dyDescent="0.25">
      <c r="A883">
        <v>4068</v>
      </c>
      <c r="B883" s="2">
        <v>7</v>
      </c>
      <c r="C883" s="2" t="s">
        <v>1043</v>
      </c>
      <c r="D883">
        <v>10</v>
      </c>
      <c r="E883" s="2" t="s">
        <v>1043</v>
      </c>
      <c r="G883">
        <v>4088</v>
      </c>
      <c r="H883" s="2">
        <v>7</v>
      </c>
      <c r="I883" s="2" t="s">
        <v>1051</v>
      </c>
      <c r="J883">
        <v>10</v>
      </c>
      <c r="K883" s="2" t="s">
        <v>1051</v>
      </c>
    </row>
    <row r="884" spans="1:11" x14ac:dyDescent="0.25">
      <c r="A884">
        <v>4070</v>
      </c>
      <c r="B884" s="2">
        <v>7</v>
      </c>
      <c r="C884" s="2" t="s">
        <v>1044</v>
      </c>
      <c r="D884">
        <v>10</v>
      </c>
      <c r="E884" s="2" t="s">
        <v>1044</v>
      </c>
      <c r="G884">
        <v>818</v>
      </c>
      <c r="H884" s="2">
        <v>1</v>
      </c>
      <c r="I884" s="2" t="s">
        <v>776</v>
      </c>
      <c r="J884">
        <v>10</v>
      </c>
      <c r="K884" s="2" t="s">
        <v>777</v>
      </c>
    </row>
    <row r="885" spans="1:11" x14ac:dyDescent="0.25">
      <c r="A885">
        <v>4073</v>
      </c>
      <c r="B885" s="2">
        <v>7</v>
      </c>
      <c r="C885" s="2" t="s">
        <v>1045</v>
      </c>
      <c r="D885">
        <v>10</v>
      </c>
      <c r="E885" s="2" t="s">
        <v>1045</v>
      </c>
      <c r="G885">
        <v>706</v>
      </c>
      <c r="H885" s="2">
        <v>1</v>
      </c>
      <c r="I885" s="2" t="s">
        <v>684</v>
      </c>
      <c r="J885">
        <v>112</v>
      </c>
      <c r="K885" s="2" t="s">
        <v>242</v>
      </c>
    </row>
    <row r="886" spans="1:11" x14ac:dyDescent="0.25">
      <c r="A886">
        <v>4077</v>
      </c>
      <c r="B886" s="2">
        <v>7</v>
      </c>
      <c r="C886" s="2" t="s">
        <v>1046</v>
      </c>
      <c r="D886">
        <v>10</v>
      </c>
      <c r="E886" s="2" t="s">
        <v>1046</v>
      </c>
      <c r="G886" s="7">
        <v>706</v>
      </c>
      <c r="H886" s="7">
        <v>1</v>
      </c>
      <c r="I886" s="7" t="s">
        <v>684</v>
      </c>
      <c r="J886" s="7">
        <v>30</v>
      </c>
      <c r="K886" s="7" t="s">
        <v>104</v>
      </c>
    </row>
    <row r="887" spans="1:11" x14ac:dyDescent="0.25">
      <c r="A887">
        <v>4079</v>
      </c>
      <c r="B887">
        <v>7</v>
      </c>
      <c r="C887" t="s">
        <v>1047</v>
      </c>
      <c r="D887">
        <v>10</v>
      </c>
      <c r="E887" t="s">
        <v>1047</v>
      </c>
      <c r="G887">
        <v>811</v>
      </c>
      <c r="H887" s="2">
        <v>1</v>
      </c>
      <c r="I887" s="2" t="s">
        <v>772</v>
      </c>
      <c r="J887">
        <v>30</v>
      </c>
      <c r="K887" s="2" t="s">
        <v>773</v>
      </c>
    </row>
    <row r="888" spans="1:11" x14ac:dyDescent="0.25">
      <c r="A888">
        <v>4083</v>
      </c>
      <c r="B888" s="2">
        <v>7</v>
      </c>
      <c r="C888" s="2" t="s">
        <v>1048</v>
      </c>
      <c r="D888">
        <v>10</v>
      </c>
      <c r="E888" s="2" t="s">
        <v>1048</v>
      </c>
      <c r="G888">
        <v>640</v>
      </c>
      <c r="H888" s="2">
        <v>1</v>
      </c>
      <c r="I888" s="2" t="s">
        <v>657</v>
      </c>
      <c r="J888">
        <v>10</v>
      </c>
      <c r="K888" s="2" t="s">
        <v>658</v>
      </c>
    </row>
    <row r="889" spans="1:11" x14ac:dyDescent="0.25">
      <c r="A889">
        <v>4084</v>
      </c>
      <c r="B889" s="2">
        <v>7</v>
      </c>
      <c r="C889" s="2" t="s">
        <v>1049</v>
      </c>
      <c r="D889">
        <v>10</v>
      </c>
      <c r="E889" s="2" t="s">
        <v>1049</v>
      </c>
      <c r="G889">
        <v>640</v>
      </c>
      <c r="H889">
        <v>1</v>
      </c>
      <c r="I889" t="s">
        <v>1221</v>
      </c>
      <c r="J889">
        <v>30</v>
      </c>
      <c r="K889" t="s">
        <v>1222</v>
      </c>
    </row>
    <row r="890" spans="1:11" x14ac:dyDescent="0.25">
      <c r="A890">
        <v>4086</v>
      </c>
      <c r="B890" s="2">
        <v>7</v>
      </c>
      <c r="C890" s="2" t="s">
        <v>1050</v>
      </c>
      <c r="D890">
        <v>10</v>
      </c>
      <c r="E890" s="2" t="s">
        <v>1050</v>
      </c>
      <c r="G890" s="2">
        <v>110</v>
      </c>
      <c r="H890" s="2">
        <v>1</v>
      </c>
      <c r="I890" s="2" t="s">
        <v>154</v>
      </c>
      <c r="J890" s="2">
        <v>120</v>
      </c>
      <c r="K890" s="2" t="s">
        <v>156</v>
      </c>
    </row>
    <row r="891" spans="1:11" x14ac:dyDescent="0.25">
      <c r="A891">
        <v>4088</v>
      </c>
      <c r="B891" s="2">
        <v>7</v>
      </c>
      <c r="C891" s="2" t="s">
        <v>1051</v>
      </c>
      <c r="D891">
        <v>10</v>
      </c>
      <c r="E891" s="2" t="s">
        <v>1051</v>
      </c>
      <c r="G891" s="2">
        <v>110</v>
      </c>
      <c r="H891" s="2">
        <v>1</v>
      </c>
      <c r="I891" s="2" t="s">
        <v>154</v>
      </c>
      <c r="J891" s="2">
        <v>110</v>
      </c>
      <c r="K891" s="2" t="s">
        <v>155</v>
      </c>
    </row>
    <row r="892" spans="1:11" x14ac:dyDescent="0.25">
      <c r="A892">
        <v>4089</v>
      </c>
      <c r="B892">
        <v>7</v>
      </c>
      <c r="C892" t="s">
        <v>1272</v>
      </c>
      <c r="D892">
        <v>10</v>
      </c>
      <c r="E892" t="s">
        <v>1272</v>
      </c>
      <c r="G892">
        <v>2155</v>
      </c>
      <c r="H892" s="2">
        <v>1</v>
      </c>
      <c r="I892" s="2" t="s">
        <v>897</v>
      </c>
      <c r="J892">
        <v>2</v>
      </c>
      <c r="K892" s="2" t="s">
        <v>898</v>
      </c>
    </row>
    <row r="893" spans="1:11" x14ac:dyDescent="0.25">
      <c r="A893">
        <v>4090</v>
      </c>
      <c r="B893" s="2">
        <v>7</v>
      </c>
      <c r="C893" s="2" t="s">
        <v>1052</v>
      </c>
      <c r="D893">
        <v>10</v>
      </c>
      <c r="E893" s="2" t="s">
        <v>1052</v>
      </c>
      <c r="G893" s="2">
        <v>113</v>
      </c>
      <c r="H893" s="2">
        <v>1</v>
      </c>
      <c r="I893" s="2" t="s">
        <v>167</v>
      </c>
      <c r="J893" s="2">
        <v>10</v>
      </c>
      <c r="K893" s="2" t="s">
        <v>168</v>
      </c>
    </row>
    <row r="894" spans="1:11" x14ac:dyDescent="0.25">
      <c r="A894">
        <v>4097</v>
      </c>
      <c r="B894" s="2">
        <v>7</v>
      </c>
      <c r="C894" s="2" t="s">
        <v>1053</v>
      </c>
      <c r="D894">
        <v>10</v>
      </c>
      <c r="E894" s="2" t="s">
        <v>1053</v>
      </c>
      <c r="G894">
        <v>2176</v>
      </c>
      <c r="H894" s="2">
        <v>1</v>
      </c>
      <c r="I894" s="2" t="s">
        <v>921</v>
      </c>
      <c r="J894">
        <v>10</v>
      </c>
      <c r="K894" s="2" t="s">
        <v>922</v>
      </c>
    </row>
    <row r="895" spans="1:11" x14ac:dyDescent="0.25">
      <c r="A895">
        <v>4098</v>
      </c>
      <c r="B895" s="2">
        <v>7</v>
      </c>
      <c r="C895" s="2" t="s">
        <v>1054</v>
      </c>
      <c r="D895">
        <v>10</v>
      </c>
      <c r="E895" s="2" t="s">
        <v>1054</v>
      </c>
      <c r="G895">
        <v>690</v>
      </c>
      <c r="H895" s="2">
        <v>1</v>
      </c>
      <c r="I895" s="2" t="s">
        <v>669</v>
      </c>
      <c r="J895">
        <v>60</v>
      </c>
      <c r="K895" s="2" t="s">
        <v>670</v>
      </c>
    </row>
    <row r="896" spans="1:11" x14ac:dyDescent="0.25">
      <c r="A896">
        <v>4099</v>
      </c>
      <c r="B896" s="2">
        <v>7</v>
      </c>
      <c r="C896" s="2" t="s">
        <v>1055</v>
      </c>
      <c r="D896">
        <v>10</v>
      </c>
      <c r="E896" s="2" t="s">
        <v>1055</v>
      </c>
      <c r="G896">
        <v>690</v>
      </c>
      <c r="H896">
        <v>1</v>
      </c>
      <c r="I896" t="s">
        <v>1223</v>
      </c>
      <c r="J896">
        <v>20</v>
      </c>
      <c r="K896" t="s">
        <v>1224</v>
      </c>
    </row>
    <row r="897" spans="1:11" x14ac:dyDescent="0.25">
      <c r="A897">
        <v>4099</v>
      </c>
      <c r="B897" s="2">
        <v>7</v>
      </c>
      <c r="C897" s="2" t="s">
        <v>1055</v>
      </c>
      <c r="D897">
        <v>20</v>
      </c>
      <c r="E897" s="2" t="s">
        <v>1056</v>
      </c>
      <c r="G897">
        <v>829</v>
      </c>
      <c r="H897" s="2">
        <v>1</v>
      </c>
      <c r="I897" s="2" t="s">
        <v>782</v>
      </c>
      <c r="J897">
        <v>20</v>
      </c>
      <c r="K897" s="2" t="s">
        <v>783</v>
      </c>
    </row>
    <row r="898" spans="1:11" x14ac:dyDescent="0.25">
      <c r="A898">
        <v>4100</v>
      </c>
      <c r="B898">
        <v>7</v>
      </c>
      <c r="C898" t="s">
        <v>1273</v>
      </c>
      <c r="D898">
        <v>10</v>
      </c>
      <c r="E898" t="s">
        <v>1273</v>
      </c>
      <c r="G898" s="7">
        <v>829</v>
      </c>
      <c r="H898" s="7">
        <v>1</v>
      </c>
      <c r="I898" s="7" t="s">
        <v>782</v>
      </c>
      <c r="J898" s="7">
        <v>40</v>
      </c>
      <c r="K898" s="7" t="s">
        <v>784</v>
      </c>
    </row>
    <row r="899" spans="1:11" x14ac:dyDescent="0.25">
      <c r="A899">
        <v>4103</v>
      </c>
      <c r="B899" s="2">
        <v>7</v>
      </c>
      <c r="C899" s="2" t="s">
        <v>1057</v>
      </c>
      <c r="D899">
        <v>20</v>
      </c>
      <c r="E899" s="2" t="s">
        <v>1058</v>
      </c>
      <c r="G899" s="2">
        <v>111</v>
      </c>
      <c r="H899" s="2">
        <v>1</v>
      </c>
      <c r="I899" s="2" t="s">
        <v>157</v>
      </c>
      <c r="J899" s="2">
        <v>839</v>
      </c>
      <c r="K899" s="2" t="s">
        <v>158</v>
      </c>
    </row>
    <row r="900" spans="1:11" x14ac:dyDescent="0.25">
      <c r="A900">
        <v>4113</v>
      </c>
      <c r="B900">
        <v>7</v>
      </c>
      <c r="C900" t="s">
        <v>1274</v>
      </c>
      <c r="D900">
        <v>10</v>
      </c>
      <c r="E900" t="s">
        <v>1274</v>
      </c>
      <c r="G900">
        <v>2143</v>
      </c>
      <c r="H900" s="2">
        <v>1</v>
      </c>
      <c r="I900" s="2" t="s">
        <v>887</v>
      </c>
      <c r="J900">
        <v>30</v>
      </c>
      <c r="K900" s="2" t="s">
        <v>888</v>
      </c>
    </row>
    <row r="901" spans="1:11" x14ac:dyDescent="0.25">
      <c r="A901">
        <v>4116</v>
      </c>
      <c r="B901" s="2">
        <v>7</v>
      </c>
      <c r="C901" s="2" t="s">
        <v>1059</v>
      </c>
      <c r="D901">
        <v>10</v>
      </c>
      <c r="E901" s="2" t="s">
        <v>1059</v>
      </c>
      <c r="G901" s="2">
        <v>435</v>
      </c>
      <c r="H901" s="2">
        <v>1</v>
      </c>
      <c r="I901" s="2" t="s">
        <v>466</v>
      </c>
      <c r="J901" s="2">
        <v>20</v>
      </c>
      <c r="K901" s="2" t="s">
        <v>467</v>
      </c>
    </row>
    <row r="902" spans="1:11" x14ac:dyDescent="0.25">
      <c r="A902">
        <v>4118</v>
      </c>
      <c r="B902" s="2">
        <v>7</v>
      </c>
      <c r="C902" s="2" t="s">
        <v>1060</v>
      </c>
      <c r="D902">
        <v>10</v>
      </c>
      <c r="E902" s="2" t="s">
        <v>1060</v>
      </c>
      <c r="G902" s="2">
        <v>284</v>
      </c>
      <c r="H902" s="2">
        <v>1</v>
      </c>
      <c r="I902" s="2" t="s">
        <v>382</v>
      </c>
      <c r="J902" s="2">
        <v>804</v>
      </c>
      <c r="K902" s="2" t="s">
        <v>383</v>
      </c>
    </row>
    <row r="903" spans="1:11" x14ac:dyDescent="0.25">
      <c r="A903">
        <v>4120</v>
      </c>
      <c r="B903" s="2">
        <v>7</v>
      </c>
      <c r="C903" s="2" t="s">
        <v>1061</v>
      </c>
      <c r="D903">
        <v>10</v>
      </c>
      <c r="E903" s="2" t="s">
        <v>1061</v>
      </c>
      <c r="G903" s="2">
        <v>284</v>
      </c>
      <c r="H903" s="2">
        <v>1</v>
      </c>
      <c r="I903" s="2" t="s">
        <v>382</v>
      </c>
      <c r="J903" s="2">
        <v>811</v>
      </c>
      <c r="K903" s="2" t="s">
        <v>388</v>
      </c>
    </row>
    <row r="904" spans="1:11" x14ac:dyDescent="0.25">
      <c r="A904">
        <v>4122</v>
      </c>
      <c r="B904" s="2">
        <v>7</v>
      </c>
      <c r="C904" s="2" t="s">
        <v>1061</v>
      </c>
      <c r="D904">
        <v>20</v>
      </c>
      <c r="E904" s="2" t="s">
        <v>1061</v>
      </c>
      <c r="G904" s="2">
        <v>284</v>
      </c>
      <c r="H904" s="2">
        <v>1</v>
      </c>
      <c r="I904" s="2" t="s">
        <v>382</v>
      </c>
      <c r="J904" s="2">
        <v>806</v>
      </c>
      <c r="K904" s="2" t="s">
        <v>384</v>
      </c>
    </row>
    <row r="905" spans="1:11" x14ac:dyDescent="0.25">
      <c r="A905">
        <v>4123</v>
      </c>
      <c r="B905">
        <v>7</v>
      </c>
      <c r="C905" t="s">
        <v>1275</v>
      </c>
      <c r="D905">
        <v>10</v>
      </c>
      <c r="E905" t="s">
        <v>1275</v>
      </c>
      <c r="G905" s="2">
        <v>284</v>
      </c>
      <c r="H905" s="2">
        <v>1</v>
      </c>
      <c r="I905" s="2" t="s">
        <v>382</v>
      </c>
      <c r="J905" s="2">
        <v>812</v>
      </c>
      <c r="K905" s="2" t="s">
        <v>389</v>
      </c>
    </row>
    <row r="906" spans="1:11" x14ac:dyDescent="0.25">
      <c r="A906">
        <v>4124</v>
      </c>
      <c r="B906" s="2">
        <v>7</v>
      </c>
      <c r="C906" s="2" t="s">
        <v>1062</v>
      </c>
      <c r="D906">
        <v>10</v>
      </c>
      <c r="E906" s="2" t="s">
        <v>1062</v>
      </c>
      <c r="G906">
        <v>284</v>
      </c>
      <c r="H906" s="2">
        <v>1</v>
      </c>
      <c r="I906" s="2" t="s">
        <v>382</v>
      </c>
      <c r="J906">
        <v>807</v>
      </c>
      <c r="K906" s="2" t="s">
        <v>385</v>
      </c>
    </row>
    <row r="907" spans="1:11" x14ac:dyDescent="0.25">
      <c r="A907">
        <v>4125</v>
      </c>
      <c r="B907">
        <v>7</v>
      </c>
      <c r="C907" t="s">
        <v>1276</v>
      </c>
      <c r="D907">
        <v>10</v>
      </c>
      <c r="E907" t="s">
        <v>1276</v>
      </c>
      <c r="G907" s="2">
        <v>284</v>
      </c>
      <c r="H907" s="2">
        <v>1</v>
      </c>
      <c r="I907" s="2" t="s">
        <v>382</v>
      </c>
      <c r="J907" s="2">
        <v>810</v>
      </c>
      <c r="K907" s="2" t="s">
        <v>387</v>
      </c>
    </row>
    <row r="908" spans="1:11" x14ac:dyDescent="0.25">
      <c r="A908">
        <v>4126</v>
      </c>
      <c r="B908" s="2">
        <v>7</v>
      </c>
      <c r="C908" s="2" t="s">
        <v>1063</v>
      </c>
      <c r="D908">
        <v>10</v>
      </c>
      <c r="E908" s="2" t="s">
        <v>1063</v>
      </c>
      <c r="G908" s="2">
        <v>284</v>
      </c>
      <c r="H908" s="2">
        <v>1</v>
      </c>
      <c r="I908" s="2" t="s">
        <v>382</v>
      </c>
      <c r="J908" s="2">
        <v>808</v>
      </c>
      <c r="K908" s="2" t="s">
        <v>386</v>
      </c>
    </row>
    <row r="909" spans="1:11" x14ac:dyDescent="0.25">
      <c r="A909">
        <v>4127</v>
      </c>
      <c r="B909" s="2">
        <v>7</v>
      </c>
      <c r="C909" s="2" t="s">
        <v>1064</v>
      </c>
      <c r="D909">
        <v>10</v>
      </c>
      <c r="E909" s="2" t="s">
        <v>1064</v>
      </c>
      <c r="G909">
        <v>2342</v>
      </c>
      <c r="H909" s="2">
        <v>1</v>
      </c>
      <c r="I909" s="2" t="s">
        <v>939</v>
      </c>
      <c r="J909">
        <v>1</v>
      </c>
      <c r="K909" s="2" t="s">
        <v>940</v>
      </c>
    </row>
    <row r="910" spans="1:11" x14ac:dyDescent="0.25">
      <c r="A910">
        <v>4135</v>
      </c>
      <c r="B910" s="2">
        <v>7</v>
      </c>
      <c r="C910" s="2" t="s">
        <v>1065</v>
      </c>
      <c r="D910">
        <v>10</v>
      </c>
      <c r="E910" s="2" t="s">
        <v>1065</v>
      </c>
      <c r="G910">
        <v>2342</v>
      </c>
      <c r="H910" s="2">
        <v>1</v>
      </c>
      <c r="I910" s="2" t="s">
        <v>939</v>
      </c>
      <c r="J910">
        <v>2</v>
      </c>
      <c r="K910" s="2" t="s">
        <v>941</v>
      </c>
    </row>
    <row r="911" spans="1:11" x14ac:dyDescent="0.25">
      <c r="A911">
        <v>4137</v>
      </c>
      <c r="B911" s="2">
        <v>7</v>
      </c>
      <c r="C911" s="2" t="s">
        <v>1066</v>
      </c>
      <c r="D911">
        <v>10</v>
      </c>
      <c r="E911" s="2" t="s">
        <v>1066</v>
      </c>
      <c r="G911" s="2">
        <v>197</v>
      </c>
      <c r="H911" s="2">
        <v>1</v>
      </c>
      <c r="I911" s="2" t="s">
        <v>255</v>
      </c>
      <c r="J911" s="2">
        <v>817</v>
      </c>
      <c r="K911" s="2" t="s">
        <v>258</v>
      </c>
    </row>
    <row r="912" spans="1:11" x14ac:dyDescent="0.25">
      <c r="A912">
        <v>4138</v>
      </c>
      <c r="B912">
        <v>7</v>
      </c>
      <c r="C912" t="s">
        <v>1277</v>
      </c>
      <c r="D912">
        <v>10</v>
      </c>
      <c r="E912" t="s">
        <v>1277</v>
      </c>
      <c r="G912" s="2">
        <v>197</v>
      </c>
      <c r="H912" s="2">
        <v>1</v>
      </c>
      <c r="I912" s="2" t="s">
        <v>255</v>
      </c>
      <c r="J912" s="2">
        <v>816</v>
      </c>
      <c r="K912" s="2" t="s">
        <v>257</v>
      </c>
    </row>
    <row r="913" spans="1:11" x14ac:dyDescent="0.25">
      <c r="A913">
        <v>4139</v>
      </c>
      <c r="B913" s="2">
        <v>7</v>
      </c>
      <c r="C913" s="2" t="s">
        <v>1067</v>
      </c>
      <c r="D913">
        <v>10</v>
      </c>
      <c r="E913" s="2" t="s">
        <v>1067</v>
      </c>
      <c r="G913" s="2">
        <v>197</v>
      </c>
      <c r="H913" s="2">
        <v>1</v>
      </c>
      <c r="I913" s="2" t="s">
        <v>255</v>
      </c>
      <c r="J913" s="2">
        <v>815</v>
      </c>
      <c r="K913" s="2" t="s">
        <v>256</v>
      </c>
    </row>
    <row r="914" spans="1:11" x14ac:dyDescent="0.25">
      <c r="A914">
        <v>4140</v>
      </c>
      <c r="B914" s="2">
        <v>7</v>
      </c>
      <c r="C914" s="2" t="s">
        <v>1068</v>
      </c>
      <c r="D914">
        <v>10</v>
      </c>
      <c r="E914" s="2" t="s">
        <v>1068</v>
      </c>
      <c r="G914" s="2">
        <v>197</v>
      </c>
      <c r="H914" s="2">
        <v>1</v>
      </c>
      <c r="I914" s="2" t="s">
        <v>255</v>
      </c>
      <c r="J914" s="2">
        <v>820</v>
      </c>
      <c r="K914" s="2" t="s">
        <v>260</v>
      </c>
    </row>
    <row r="915" spans="1:11" x14ac:dyDescent="0.25">
      <c r="A915">
        <v>4141</v>
      </c>
      <c r="B915" s="2">
        <v>7</v>
      </c>
      <c r="C915" s="2" t="s">
        <v>1069</v>
      </c>
      <c r="D915">
        <v>10</v>
      </c>
      <c r="E915" s="2" t="s">
        <v>1069</v>
      </c>
      <c r="G915" s="2">
        <v>197</v>
      </c>
      <c r="H915" s="2">
        <v>1</v>
      </c>
      <c r="I915" s="2" t="s">
        <v>255</v>
      </c>
      <c r="J915" s="2">
        <v>819</v>
      </c>
      <c r="K915" s="2" t="s">
        <v>259</v>
      </c>
    </row>
    <row r="916" spans="1:11" x14ac:dyDescent="0.25">
      <c r="A916">
        <v>4142</v>
      </c>
      <c r="B916" s="2">
        <v>7</v>
      </c>
      <c r="C916" s="2" t="s">
        <v>1070</v>
      </c>
      <c r="D916">
        <v>10</v>
      </c>
      <c r="E916" s="2" t="s">
        <v>1070</v>
      </c>
      <c r="G916">
        <v>2898</v>
      </c>
      <c r="H916" s="2">
        <v>1</v>
      </c>
      <c r="I916" s="2" t="s">
        <v>1011</v>
      </c>
      <c r="J916">
        <v>15</v>
      </c>
      <c r="K916" s="2" t="s">
        <v>1012</v>
      </c>
    </row>
    <row r="917" spans="1:11" x14ac:dyDescent="0.25">
      <c r="A917">
        <v>4143</v>
      </c>
      <c r="B917" s="2">
        <v>7</v>
      </c>
      <c r="C917" s="2" t="s">
        <v>1071</v>
      </c>
      <c r="D917">
        <v>10</v>
      </c>
      <c r="E917" s="2" t="s">
        <v>1072</v>
      </c>
      <c r="G917" s="2">
        <v>277</v>
      </c>
      <c r="H917" s="2">
        <v>1</v>
      </c>
      <c r="I917" s="2" t="s">
        <v>342</v>
      </c>
      <c r="J917" s="2">
        <v>616</v>
      </c>
      <c r="K917" s="2" t="s">
        <v>344</v>
      </c>
    </row>
    <row r="918" spans="1:11" x14ac:dyDescent="0.25">
      <c r="A918">
        <v>4144</v>
      </c>
      <c r="B918">
        <v>7</v>
      </c>
      <c r="C918" t="s">
        <v>1278</v>
      </c>
      <c r="D918">
        <v>10</v>
      </c>
      <c r="E918" t="s">
        <v>1278</v>
      </c>
      <c r="G918" s="2">
        <v>277</v>
      </c>
      <c r="H918" s="2">
        <v>1</v>
      </c>
      <c r="I918" s="2" t="s">
        <v>342</v>
      </c>
      <c r="J918" s="2">
        <v>615</v>
      </c>
      <c r="K918" s="2" t="s">
        <v>343</v>
      </c>
    </row>
    <row r="919" spans="1:11" x14ac:dyDescent="0.25">
      <c r="A919">
        <v>4145</v>
      </c>
      <c r="B919">
        <v>7</v>
      </c>
      <c r="C919" t="s">
        <v>1279</v>
      </c>
      <c r="D919">
        <v>10</v>
      </c>
      <c r="E919" t="s">
        <v>1279</v>
      </c>
      <c r="G919">
        <v>803</v>
      </c>
      <c r="H919" s="2">
        <v>1</v>
      </c>
      <c r="I919" s="2" t="s">
        <v>771</v>
      </c>
      <c r="J919">
        <v>1</v>
      </c>
      <c r="K919" s="2" t="s">
        <v>711</v>
      </c>
    </row>
    <row r="920" spans="1:11" x14ac:dyDescent="0.25">
      <c r="A920">
        <v>4152</v>
      </c>
      <c r="B920" s="2">
        <v>7</v>
      </c>
      <c r="C920" s="2" t="s">
        <v>1073</v>
      </c>
      <c r="D920">
        <v>10</v>
      </c>
      <c r="E920" s="2" t="s">
        <v>1073</v>
      </c>
      <c r="G920">
        <v>624</v>
      </c>
      <c r="H920" s="2">
        <v>1</v>
      </c>
      <c r="I920" s="2" t="s">
        <v>596</v>
      </c>
      <c r="J920">
        <v>827</v>
      </c>
      <c r="K920" s="2" t="s">
        <v>598</v>
      </c>
    </row>
    <row r="921" spans="1:11" x14ac:dyDescent="0.25">
      <c r="A921">
        <v>4153</v>
      </c>
      <c r="B921" s="2">
        <v>7</v>
      </c>
      <c r="C921" s="2" t="s">
        <v>1074</v>
      </c>
      <c r="D921">
        <v>10</v>
      </c>
      <c r="E921" s="2" t="s">
        <v>1074</v>
      </c>
      <c r="G921">
        <v>624</v>
      </c>
      <c r="H921" s="2">
        <v>1</v>
      </c>
      <c r="I921" s="2" t="s">
        <v>596</v>
      </c>
      <c r="J921">
        <v>831</v>
      </c>
      <c r="K921" s="2" t="s">
        <v>600</v>
      </c>
    </row>
    <row r="922" spans="1:11" x14ac:dyDescent="0.25">
      <c r="A922">
        <v>4155</v>
      </c>
      <c r="B922">
        <v>7</v>
      </c>
      <c r="C922" t="s">
        <v>1280</v>
      </c>
      <c r="D922">
        <v>10</v>
      </c>
      <c r="E922" t="s">
        <v>1280</v>
      </c>
      <c r="G922">
        <v>624</v>
      </c>
      <c r="H922" s="2">
        <v>1</v>
      </c>
      <c r="I922" s="2" t="s">
        <v>596</v>
      </c>
      <c r="J922">
        <v>832</v>
      </c>
      <c r="K922" s="2" t="s">
        <v>60</v>
      </c>
    </row>
    <row r="923" spans="1:11" x14ac:dyDescent="0.25">
      <c r="A923">
        <v>4159</v>
      </c>
      <c r="B923" s="2">
        <v>7</v>
      </c>
      <c r="C923" s="2" t="s">
        <v>1075</v>
      </c>
      <c r="D923">
        <v>10</v>
      </c>
      <c r="E923" s="2" t="s">
        <v>1075</v>
      </c>
      <c r="G923">
        <v>624</v>
      </c>
      <c r="H923" s="2">
        <v>1</v>
      </c>
      <c r="I923" s="2" t="s">
        <v>596</v>
      </c>
      <c r="J923">
        <v>824</v>
      </c>
      <c r="K923" s="2" t="s">
        <v>597</v>
      </c>
    </row>
    <row r="924" spans="1:11" x14ac:dyDescent="0.25">
      <c r="A924">
        <v>4161</v>
      </c>
      <c r="B924" s="2">
        <v>7</v>
      </c>
      <c r="C924" s="2" t="s">
        <v>1076</v>
      </c>
      <c r="D924">
        <v>10</v>
      </c>
      <c r="E924" s="2" t="s">
        <v>1076</v>
      </c>
      <c r="G924">
        <v>624</v>
      </c>
      <c r="H924" s="2">
        <v>1</v>
      </c>
      <c r="I924" s="2" t="s">
        <v>596</v>
      </c>
      <c r="J924">
        <v>828</v>
      </c>
      <c r="K924" s="2" t="s">
        <v>599</v>
      </c>
    </row>
    <row r="925" spans="1:11" x14ac:dyDescent="0.25">
      <c r="A925">
        <v>4162</v>
      </c>
      <c r="B925" s="2">
        <v>7</v>
      </c>
      <c r="C925" s="2" t="s">
        <v>1077</v>
      </c>
      <c r="D925">
        <v>10</v>
      </c>
      <c r="E925" s="2" t="s">
        <v>1077</v>
      </c>
      <c r="G925">
        <v>624</v>
      </c>
      <c r="H925" s="2">
        <v>1</v>
      </c>
      <c r="I925" s="2" t="s">
        <v>596</v>
      </c>
      <c r="J925">
        <v>833</v>
      </c>
      <c r="K925" s="2" t="s">
        <v>242</v>
      </c>
    </row>
    <row r="926" spans="1:11" x14ac:dyDescent="0.25">
      <c r="A926">
        <v>4163</v>
      </c>
      <c r="B926" s="2">
        <v>7</v>
      </c>
      <c r="C926" s="2" t="s">
        <v>1078</v>
      </c>
      <c r="D926">
        <v>10</v>
      </c>
      <c r="E926" s="2" t="s">
        <v>1078</v>
      </c>
      <c r="G926">
        <v>624</v>
      </c>
      <c r="H926" s="2">
        <v>1</v>
      </c>
      <c r="I926" s="2" t="s">
        <v>596</v>
      </c>
      <c r="J926">
        <v>834</v>
      </c>
      <c r="K926" s="2" t="s">
        <v>601</v>
      </c>
    </row>
    <row r="927" spans="1:11" x14ac:dyDescent="0.25">
      <c r="A927">
        <v>4167</v>
      </c>
      <c r="B927" s="2">
        <v>7</v>
      </c>
      <c r="C927" s="2" t="s">
        <v>1079</v>
      </c>
      <c r="D927">
        <v>10</v>
      </c>
      <c r="E927" s="2" t="s">
        <v>1079</v>
      </c>
      <c r="G927">
        <v>624</v>
      </c>
      <c r="H927" s="2">
        <v>1</v>
      </c>
      <c r="I927" s="2" t="s">
        <v>596</v>
      </c>
      <c r="J927">
        <v>836</v>
      </c>
      <c r="K927" s="2" t="s">
        <v>602</v>
      </c>
    </row>
    <row r="928" spans="1:11" x14ac:dyDescent="0.25">
      <c r="A928">
        <v>4168</v>
      </c>
      <c r="B928">
        <v>7</v>
      </c>
      <c r="C928" t="s">
        <v>1281</v>
      </c>
      <c r="D928">
        <v>10</v>
      </c>
      <c r="E928" t="s">
        <v>1281</v>
      </c>
      <c r="G928" s="2">
        <v>347</v>
      </c>
      <c r="H928" s="2">
        <v>1</v>
      </c>
      <c r="I928" s="2" t="s">
        <v>431</v>
      </c>
      <c r="J928" s="2">
        <v>109</v>
      </c>
      <c r="K928" s="2" t="s">
        <v>131</v>
      </c>
    </row>
    <row r="929" spans="1:11" x14ac:dyDescent="0.25">
      <c r="A929">
        <v>4169</v>
      </c>
      <c r="B929" s="2">
        <v>7</v>
      </c>
      <c r="C929" s="2" t="s">
        <v>1080</v>
      </c>
      <c r="D929">
        <v>10</v>
      </c>
      <c r="E929" s="2" t="s">
        <v>1080</v>
      </c>
      <c r="G929" s="2">
        <v>347</v>
      </c>
      <c r="H929" s="2">
        <v>1</v>
      </c>
      <c r="I929" s="2" t="s">
        <v>431</v>
      </c>
      <c r="J929" s="2">
        <v>108</v>
      </c>
      <c r="K929" s="2" t="s">
        <v>104</v>
      </c>
    </row>
    <row r="930" spans="1:11" x14ac:dyDescent="0.25">
      <c r="A930">
        <v>4170</v>
      </c>
      <c r="B930" s="2">
        <v>7</v>
      </c>
      <c r="C930" s="2" t="s">
        <v>1081</v>
      </c>
      <c r="D930">
        <v>10</v>
      </c>
      <c r="E930" s="2" t="s">
        <v>1081</v>
      </c>
      <c r="G930">
        <v>577</v>
      </c>
      <c r="H930" s="2">
        <v>1</v>
      </c>
      <c r="I930" s="2" t="s">
        <v>557</v>
      </c>
      <c r="J930">
        <v>30</v>
      </c>
      <c r="K930" s="2" t="s">
        <v>558</v>
      </c>
    </row>
    <row r="931" spans="1:11" x14ac:dyDescent="0.25">
      <c r="A931">
        <v>4171</v>
      </c>
      <c r="B931" s="2">
        <v>7</v>
      </c>
      <c r="C931" s="2" t="s">
        <v>1082</v>
      </c>
      <c r="D931">
        <v>10</v>
      </c>
      <c r="E931" s="2" t="s">
        <v>1082</v>
      </c>
      <c r="G931" s="8">
        <v>177</v>
      </c>
      <c r="H931" s="8">
        <v>1</v>
      </c>
      <c r="I931" s="8" t="s">
        <v>196</v>
      </c>
      <c r="J931" s="8">
        <v>60</v>
      </c>
      <c r="K931" s="8" t="s">
        <v>198</v>
      </c>
    </row>
    <row r="932" spans="1:11" x14ac:dyDescent="0.25">
      <c r="A932">
        <v>4172</v>
      </c>
      <c r="B932">
        <v>7</v>
      </c>
      <c r="C932" t="s">
        <v>1282</v>
      </c>
      <c r="D932">
        <v>10</v>
      </c>
      <c r="E932" t="s">
        <v>1282</v>
      </c>
      <c r="G932" s="2">
        <v>177</v>
      </c>
      <c r="H932" s="2">
        <v>1</v>
      </c>
      <c r="I932" s="2" t="s">
        <v>196</v>
      </c>
      <c r="J932" s="2">
        <v>30</v>
      </c>
      <c r="K932" s="2" t="s">
        <v>197</v>
      </c>
    </row>
    <row r="933" spans="1:11" x14ac:dyDescent="0.25">
      <c r="A933">
        <v>4174</v>
      </c>
      <c r="B933">
        <v>7</v>
      </c>
      <c r="C933" t="s">
        <v>1283</v>
      </c>
      <c r="D933">
        <v>10</v>
      </c>
      <c r="E933" t="s">
        <v>1283</v>
      </c>
      <c r="G933">
        <v>2609</v>
      </c>
      <c r="H933" s="2">
        <v>1</v>
      </c>
      <c r="I933" s="2" t="s">
        <v>961</v>
      </c>
      <c r="J933">
        <v>10</v>
      </c>
      <c r="K933" s="2" t="s">
        <v>962</v>
      </c>
    </row>
    <row r="934" spans="1:11" x14ac:dyDescent="0.25">
      <c r="A934">
        <v>4177</v>
      </c>
      <c r="B934">
        <v>7</v>
      </c>
      <c r="C934" t="s">
        <v>1284</v>
      </c>
      <c r="D934">
        <v>10</v>
      </c>
      <c r="E934" t="s">
        <v>1284</v>
      </c>
      <c r="G934">
        <v>861</v>
      </c>
      <c r="H934" s="2">
        <v>1</v>
      </c>
      <c r="I934" s="2" t="s">
        <v>836</v>
      </c>
      <c r="J934">
        <v>1</v>
      </c>
      <c r="K934" s="2" t="s">
        <v>110</v>
      </c>
    </row>
    <row r="935" spans="1:11" x14ac:dyDescent="0.25">
      <c r="A935">
        <v>4180</v>
      </c>
      <c r="B935" s="2">
        <v>7</v>
      </c>
      <c r="C935" s="2" t="s">
        <v>1083</v>
      </c>
      <c r="D935">
        <v>10</v>
      </c>
      <c r="E935" s="2" t="s">
        <v>1083</v>
      </c>
      <c r="G935">
        <v>861</v>
      </c>
      <c r="H935" s="2">
        <v>1</v>
      </c>
      <c r="I935" s="2" t="s">
        <v>836</v>
      </c>
      <c r="J935">
        <v>15</v>
      </c>
      <c r="K935" s="2" t="s">
        <v>837</v>
      </c>
    </row>
    <row r="936" spans="1:11" x14ac:dyDescent="0.25">
      <c r="A936">
        <v>4181</v>
      </c>
      <c r="B936" s="2">
        <v>7</v>
      </c>
      <c r="C936" s="2" t="s">
        <v>1084</v>
      </c>
      <c r="D936">
        <v>10</v>
      </c>
      <c r="E936" s="2" t="s">
        <v>1084</v>
      </c>
      <c r="G936">
        <v>861</v>
      </c>
      <c r="H936" s="2">
        <v>1</v>
      </c>
      <c r="I936" s="2" t="s">
        <v>836</v>
      </c>
      <c r="J936">
        <v>2</v>
      </c>
      <c r="K936" s="2" t="s">
        <v>28</v>
      </c>
    </row>
    <row r="937" spans="1:11" x14ac:dyDescent="0.25">
      <c r="A937">
        <v>4184</v>
      </c>
      <c r="B937" s="2">
        <v>7</v>
      </c>
      <c r="C937" s="2" t="s">
        <v>1085</v>
      </c>
      <c r="D937">
        <v>10</v>
      </c>
      <c r="E937" s="2" t="s">
        <v>1085</v>
      </c>
      <c r="G937">
        <v>861</v>
      </c>
      <c r="H937" s="2">
        <v>1</v>
      </c>
      <c r="I937" s="2" t="s">
        <v>836</v>
      </c>
      <c r="J937">
        <v>4</v>
      </c>
      <c r="K937" s="2" t="s">
        <v>62</v>
      </c>
    </row>
    <row r="938" spans="1:11" x14ac:dyDescent="0.25">
      <c r="A938">
        <v>4185</v>
      </c>
      <c r="B938" s="2">
        <v>7</v>
      </c>
      <c r="C938" s="2" t="s">
        <v>1086</v>
      </c>
      <c r="D938">
        <v>10</v>
      </c>
      <c r="E938" s="2" t="s">
        <v>1086</v>
      </c>
      <c r="G938">
        <v>861</v>
      </c>
      <c r="H938" s="2">
        <v>1</v>
      </c>
      <c r="I938" s="2" t="s">
        <v>836</v>
      </c>
      <c r="J938">
        <v>12</v>
      </c>
      <c r="K938" s="2" t="s">
        <v>71</v>
      </c>
    </row>
    <row r="939" spans="1:11" x14ac:dyDescent="0.25">
      <c r="A939">
        <v>4186</v>
      </c>
      <c r="B939" s="2">
        <v>7</v>
      </c>
      <c r="C939" s="2" t="s">
        <v>1087</v>
      </c>
      <c r="D939">
        <v>10</v>
      </c>
      <c r="E939" s="2" t="s">
        <v>1087</v>
      </c>
      <c r="G939">
        <v>861</v>
      </c>
      <c r="H939">
        <v>1</v>
      </c>
      <c r="I939" t="s">
        <v>1242</v>
      </c>
      <c r="J939">
        <v>11</v>
      </c>
      <c r="K939" t="s">
        <v>1243</v>
      </c>
    </row>
    <row r="940" spans="1:11" x14ac:dyDescent="0.25">
      <c r="A940">
        <v>4187</v>
      </c>
      <c r="B940">
        <v>7</v>
      </c>
      <c r="C940" t="s">
        <v>1285</v>
      </c>
      <c r="D940">
        <v>10</v>
      </c>
      <c r="E940" t="s">
        <v>1285</v>
      </c>
      <c r="G940">
        <v>4086</v>
      </c>
      <c r="H940" s="2">
        <v>7</v>
      </c>
      <c r="I940" s="2" t="s">
        <v>1050</v>
      </c>
      <c r="J940">
        <v>10</v>
      </c>
      <c r="K940" s="2" t="s">
        <v>1050</v>
      </c>
    </row>
    <row r="941" spans="1:11" x14ac:dyDescent="0.25">
      <c r="A941">
        <v>4188</v>
      </c>
      <c r="B941" s="2">
        <v>7</v>
      </c>
      <c r="C941" s="2" t="s">
        <v>1088</v>
      </c>
      <c r="D941">
        <v>10</v>
      </c>
      <c r="E941" s="2" t="s">
        <v>1088</v>
      </c>
      <c r="G941">
        <v>4016</v>
      </c>
      <c r="H941" s="2">
        <v>7</v>
      </c>
      <c r="I941" s="2" t="s">
        <v>1025</v>
      </c>
      <c r="J941">
        <v>10</v>
      </c>
      <c r="K941" s="2" t="s">
        <v>1025</v>
      </c>
    </row>
    <row r="942" spans="1:11" x14ac:dyDescent="0.25">
      <c r="A942">
        <v>4189</v>
      </c>
      <c r="B942">
        <v>7</v>
      </c>
      <c r="C942" t="s">
        <v>1286</v>
      </c>
      <c r="D942">
        <v>10</v>
      </c>
      <c r="E942" t="s">
        <v>1286</v>
      </c>
      <c r="G942">
        <v>4125</v>
      </c>
      <c r="H942">
        <v>7</v>
      </c>
      <c r="I942" t="s">
        <v>1276</v>
      </c>
      <c r="J942">
        <v>10</v>
      </c>
      <c r="K942" t="s">
        <v>1276</v>
      </c>
    </row>
    <row r="943" spans="1:11" x14ac:dyDescent="0.25">
      <c r="A943">
        <v>4192</v>
      </c>
      <c r="B943" s="2">
        <v>7</v>
      </c>
      <c r="C943" s="2" t="s">
        <v>1089</v>
      </c>
      <c r="D943">
        <v>10</v>
      </c>
      <c r="E943" s="2" t="s">
        <v>1089</v>
      </c>
      <c r="G943">
        <v>518</v>
      </c>
      <c r="H943" s="2">
        <v>1</v>
      </c>
      <c r="I943" s="2" t="s">
        <v>520</v>
      </c>
      <c r="J943">
        <v>1</v>
      </c>
      <c r="K943" s="2" t="s">
        <v>521</v>
      </c>
    </row>
    <row r="944" spans="1:11" x14ac:dyDescent="0.25">
      <c r="A944">
        <v>4193</v>
      </c>
      <c r="B944" s="2">
        <v>7</v>
      </c>
      <c r="C944" s="2" t="s">
        <v>1090</v>
      </c>
      <c r="D944">
        <v>10</v>
      </c>
      <c r="E944" s="2" t="s">
        <v>1090</v>
      </c>
      <c r="G944" s="2">
        <v>100</v>
      </c>
      <c r="H944" s="2">
        <v>1</v>
      </c>
      <c r="I944" s="2" t="s">
        <v>151</v>
      </c>
      <c r="J944" s="2">
        <v>1</v>
      </c>
      <c r="K944" s="2" t="s">
        <v>152</v>
      </c>
    </row>
    <row r="945" spans="1:11" x14ac:dyDescent="0.25">
      <c r="A945">
        <v>4194</v>
      </c>
      <c r="B945" s="2">
        <v>7</v>
      </c>
      <c r="C945" s="2" t="s">
        <v>1091</v>
      </c>
      <c r="D945">
        <v>10</v>
      </c>
      <c r="E945" s="2" t="s">
        <v>1091</v>
      </c>
      <c r="G945">
        <v>2190</v>
      </c>
      <c r="H945" s="2">
        <v>1</v>
      </c>
      <c r="I945" s="2" t="s">
        <v>928</v>
      </c>
      <c r="J945">
        <v>10</v>
      </c>
      <c r="K945" s="2" t="s">
        <v>929</v>
      </c>
    </row>
    <row r="946" spans="1:11" x14ac:dyDescent="0.25">
      <c r="A946">
        <v>4195</v>
      </c>
      <c r="B946">
        <v>7</v>
      </c>
      <c r="C946" t="s">
        <v>1287</v>
      </c>
      <c r="D946">
        <v>10</v>
      </c>
      <c r="E946" t="s">
        <v>1287</v>
      </c>
      <c r="G946">
        <v>4140</v>
      </c>
      <c r="H946" s="2">
        <v>7</v>
      </c>
      <c r="I946" s="2" t="s">
        <v>1068</v>
      </c>
      <c r="J946">
        <v>10</v>
      </c>
      <c r="K946" s="2" t="s">
        <v>1068</v>
      </c>
    </row>
    <row r="947" spans="1:11" x14ac:dyDescent="0.25">
      <c r="A947">
        <v>4197</v>
      </c>
      <c r="B947">
        <v>7</v>
      </c>
      <c r="C947" t="s">
        <v>1288</v>
      </c>
      <c r="D947">
        <v>10</v>
      </c>
      <c r="E947" t="s">
        <v>1288</v>
      </c>
      <c r="G947">
        <v>2805</v>
      </c>
      <c r="H947" s="2">
        <v>1</v>
      </c>
      <c r="I947" s="2" t="s">
        <v>981</v>
      </c>
      <c r="J947">
        <v>1</v>
      </c>
      <c r="K947" s="2" t="s">
        <v>982</v>
      </c>
    </row>
  </sheetData>
  <sortState ref="G4:K948">
    <sortCondition ref="I4:I948"/>
    <sortCondition ref="K4:K94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978"/>
  <sheetViews>
    <sheetView zoomScaleNormal="100" workbookViewId="0">
      <pane ySplit="14" topLeftCell="A15" activePane="bottomLeft" state="frozen"/>
      <selection pane="bottomLeft"/>
    </sheetView>
  </sheetViews>
  <sheetFormatPr defaultRowHeight="15" x14ac:dyDescent="0.25"/>
  <cols>
    <col min="1" max="1" width="6.7109375" customWidth="1"/>
    <col min="2" max="2" width="4.7109375" customWidth="1"/>
    <col min="5" max="5" width="18" customWidth="1"/>
    <col min="6" max="6" width="10.7109375" customWidth="1"/>
    <col min="7" max="10" width="11.7109375" customWidth="1"/>
    <col min="11" max="12" width="9.7109375" customWidth="1"/>
    <col min="13" max="16" width="11.7109375" customWidth="1"/>
    <col min="17" max="20" width="12.7109375" customWidth="1"/>
    <col min="21" max="23" width="10.7109375" customWidth="1"/>
    <col min="24" max="27" width="12.7109375" customWidth="1"/>
    <col min="28" max="29" width="10.7109375" customWidth="1"/>
    <col min="30" max="32" width="12.7109375" customWidth="1"/>
  </cols>
  <sheetData>
    <row r="1" spans="1:50" x14ac:dyDescent="0.25">
      <c r="A1" t="s">
        <v>1312</v>
      </c>
      <c r="F1" t="s">
        <v>1351</v>
      </c>
      <c r="O1" s="2"/>
      <c r="P1" s="2"/>
      <c r="Q1" s="2"/>
    </row>
    <row r="2" spans="1:50" x14ac:dyDescent="0.25">
      <c r="F2" t="s">
        <v>1352</v>
      </c>
      <c r="O2" s="2"/>
      <c r="P2" s="3">
        <v>48585000</v>
      </c>
      <c r="Q2" s="2"/>
    </row>
    <row r="3" spans="1:50" x14ac:dyDescent="0.25">
      <c r="F3" t="s">
        <v>1353</v>
      </c>
      <c r="N3" s="1"/>
      <c r="O3" s="29"/>
      <c r="P3" s="29"/>
      <c r="Q3" s="29"/>
      <c r="R3" s="1"/>
      <c r="S3" s="1"/>
      <c r="T3" s="1"/>
      <c r="U3" s="1"/>
    </row>
    <row r="4" spans="1:50" x14ac:dyDescent="0.25">
      <c r="F4" t="s">
        <v>1354</v>
      </c>
      <c r="N4" s="1"/>
      <c r="O4" s="29"/>
      <c r="P4" s="29"/>
      <c r="Q4" s="29"/>
      <c r="R4" s="1"/>
      <c r="S4" s="1"/>
      <c r="T4" s="1"/>
      <c r="U4" s="1"/>
    </row>
    <row r="5" spans="1:50" x14ac:dyDescent="0.25">
      <c r="N5" s="1"/>
      <c r="O5" s="29"/>
      <c r="P5" s="29"/>
      <c r="Q5" s="29"/>
      <c r="R5" s="1"/>
      <c r="S5" s="1"/>
      <c r="T5" s="1"/>
      <c r="U5" s="1"/>
    </row>
    <row r="6" spans="1:50" x14ac:dyDescent="0.25">
      <c r="G6" s="1" t="s">
        <v>1094</v>
      </c>
      <c r="H6" s="1" t="s">
        <v>1095</v>
      </c>
      <c r="I6" s="1" t="s">
        <v>1096</v>
      </c>
      <c r="J6" s="1" t="s">
        <v>1097</v>
      </c>
      <c r="K6" s="1" t="s">
        <v>1098</v>
      </c>
      <c r="L6" s="1" t="s">
        <v>1099</v>
      </c>
      <c r="M6" s="1" t="s">
        <v>1100</v>
      </c>
      <c r="N6" s="1" t="s">
        <v>1101</v>
      </c>
      <c r="O6" s="29" t="s">
        <v>1102</v>
      </c>
      <c r="P6" s="29" t="s">
        <v>1103</v>
      </c>
      <c r="X6" s="1"/>
      <c r="Y6" s="1"/>
      <c r="Z6" s="1"/>
      <c r="AA6" s="1"/>
      <c r="AB6" s="1"/>
      <c r="AC6" s="1"/>
      <c r="AD6" s="1"/>
      <c r="AE6" s="1"/>
      <c r="AF6" s="29"/>
    </row>
    <row r="7" spans="1:50" x14ac:dyDescent="0.25">
      <c r="G7" s="1"/>
      <c r="H7" s="1"/>
      <c r="I7" s="1"/>
      <c r="J7" s="1"/>
      <c r="K7" s="1"/>
      <c r="L7" s="1"/>
      <c r="M7" s="1"/>
      <c r="N7" s="1"/>
      <c r="O7" s="29"/>
      <c r="P7" s="29"/>
      <c r="X7" s="1"/>
      <c r="Y7" s="1"/>
      <c r="Z7" s="1"/>
      <c r="AA7" s="1"/>
      <c r="AB7" s="1"/>
      <c r="AC7" s="1"/>
      <c r="AD7" s="1"/>
      <c r="AE7" s="1"/>
      <c r="AF7" s="29"/>
    </row>
    <row r="8" spans="1:50" x14ac:dyDescent="0.25">
      <c r="N8" s="1"/>
      <c r="O8" s="29" t="s">
        <v>1356</v>
      </c>
      <c r="P8" s="29" t="s">
        <v>1358</v>
      </c>
      <c r="AE8" s="1"/>
      <c r="AF8" s="29"/>
    </row>
    <row r="9" spans="1:50" x14ac:dyDescent="0.25">
      <c r="A9" t="s">
        <v>1349</v>
      </c>
      <c r="G9" s="28" t="s">
        <v>1311</v>
      </c>
      <c r="H9" s="28" t="s">
        <v>1311</v>
      </c>
      <c r="I9" s="1" t="s">
        <v>1138</v>
      </c>
      <c r="J9" s="1" t="s">
        <v>1092</v>
      </c>
      <c r="K9" s="28" t="s">
        <v>1289</v>
      </c>
      <c r="L9" s="28" t="s">
        <v>1289</v>
      </c>
      <c r="M9" s="1" t="s">
        <v>1138</v>
      </c>
      <c r="N9" s="1" t="s">
        <v>1092</v>
      </c>
      <c r="O9" s="29" t="s">
        <v>1139</v>
      </c>
      <c r="P9" s="29" t="s">
        <v>1292</v>
      </c>
      <c r="X9" s="28"/>
      <c r="Y9" s="28"/>
      <c r="Z9" s="1"/>
      <c r="AA9" s="1"/>
      <c r="AB9" s="28"/>
      <c r="AC9" s="28"/>
      <c r="AD9" s="1"/>
      <c r="AE9" s="1"/>
      <c r="AF9" s="29"/>
    </row>
    <row r="10" spans="1:50" x14ac:dyDescent="0.25">
      <c r="A10" t="s">
        <v>1357</v>
      </c>
      <c r="G10" s="1" t="s">
        <v>1138</v>
      </c>
      <c r="H10" s="1" t="s">
        <v>1092</v>
      </c>
      <c r="I10" s="1" t="s">
        <v>1310</v>
      </c>
      <c r="J10" s="1" t="s">
        <v>1310</v>
      </c>
      <c r="K10" s="1" t="s">
        <v>1093</v>
      </c>
      <c r="L10" s="1" t="s">
        <v>1093</v>
      </c>
      <c r="M10" s="1" t="s">
        <v>1292</v>
      </c>
      <c r="N10" s="1" t="s">
        <v>1292</v>
      </c>
      <c r="O10" s="1" t="s">
        <v>1292</v>
      </c>
      <c r="P10" s="1" t="str">
        <f>+"= "&amp;+O6&amp;" x"</f>
        <v>= I x</v>
      </c>
      <c r="X10" s="1"/>
      <c r="Y10" s="1"/>
      <c r="Z10" s="1"/>
      <c r="AA10" s="1"/>
      <c r="AB10" s="1"/>
      <c r="AC10" s="1"/>
      <c r="AD10" s="1"/>
      <c r="AE10" s="1"/>
      <c r="AF10" s="1"/>
    </row>
    <row r="11" spans="1:50" x14ac:dyDescent="0.25">
      <c r="A11" t="s">
        <v>1350</v>
      </c>
      <c r="F11" s="1" t="s">
        <v>1148</v>
      </c>
      <c r="G11" s="1" t="s">
        <v>1291</v>
      </c>
      <c r="H11" s="1" t="s">
        <v>1291</v>
      </c>
      <c r="I11" s="1" t="str">
        <f>+"= $535 X "&amp;+G6</f>
        <v>= $535 X A</v>
      </c>
      <c r="J11" s="1" t="str">
        <f>+"= $535 X "&amp;+H6</f>
        <v>= $535 X B</v>
      </c>
      <c r="K11" s="1" t="s">
        <v>1114</v>
      </c>
      <c r="L11" s="1" t="s">
        <v>1290</v>
      </c>
      <c r="M11" s="1" t="str">
        <f>+"= "&amp;+I6&amp;" X "&amp;+K6</f>
        <v>= C X E</v>
      </c>
      <c r="N11" s="1" t="str">
        <f>+"= "&amp;+J6&amp;" X "&amp;+L6</f>
        <v>= D X F</v>
      </c>
      <c r="O11" s="1" t="str">
        <f>+"= "&amp;+M6&amp;"+"&amp;+N6</f>
        <v>= G+H</v>
      </c>
      <c r="P11" s="34">
        <v>0.95577976076391657</v>
      </c>
      <c r="Q11" s="1"/>
      <c r="X11" s="1"/>
      <c r="Y11" s="1"/>
      <c r="Z11" s="1"/>
      <c r="AA11" s="1"/>
      <c r="AB11" s="1"/>
      <c r="AC11" s="1"/>
      <c r="AD11" s="1"/>
      <c r="AE11" s="1"/>
      <c r="AF11" s="1"/>
    </row>
    <row r="12" spans="1:50" x14ac:dyDescent="0.25">
      <c r="O12" s="2"/>
      <c r="P12" s="2"/>
      <c r="Q12" s="2"/>
      <c r="R12" s="2"/>
    </row>
    <row r="13" spans="1:50" x14ac:dyDescent="0.25">
      <c r="C13" t="s">
        <v>1137</v>
      </c>
      <c r="G13" s="30" t="s">
        <v>1129</v>
      </c>
      <c r="H13" s="30" t="s">
        <v>1129</v>
      </c>
      <c r="I13" s="30" t="s">
        <v>1129</v>
      </c>
      <c r="J13" s="30" t="s">
        <v>1129</v>
      </c>
      <c r="K13" s="3">
        <f>SUBTOTAL(9,K15:K974)</f>
        <v>61966</v>
      </c>
      <c r="L13" s="3">
        <f>SUBTOTAL(9,L15:L974)</f>
        <v>60492</v>
      </c>
      <c r="M13" s="30" t="s">
        <v>1129</v>
      </c>
      <c r="N13" s="30" t="s">
        <v>1129</v>
      </c>
      <c r="O13" s="3">
        <f>SUBTOTAL(9,O15:O974)</f>
        <v>50832840.320000067</v>
      </c>
      <c r="P13" s="3">
        <f>SUBTOTAL(9,P15:P974)</f>
        <v>48585000.169999987</v>
      </c>
      <c r="Q13" s="3"/>
      <c r="R13" s="3"/>
      <c r="S13" s="3"/>
      <c r="T13" s="3"/>
      <c r="U13" s="3"/>
      <c r="Z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25">
      <c r="G14" s="30"/>
      <c r="H14" s="30"/>
      <c r="I14" s="30"/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U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x14ac:dyDescent="0.25">
      <c r="A15" s="2">
        <v>1</v>
      </c>
      <c r="B15" s="2">
        <v>1</v>
      </c>
      <c r="C15" s="2" t="s">
        <v>0</v>
      </c>
      <c r="D15" s="2">
        <v>2</v>
      </c>
      <c r="E15" s="2" t="s">
        <v>1</v>
      </c>
      <c r="F15" s="29">
        <v>0</v>
      </c>
      <c r="G15" s="30">
        <v>0.76494023904382469</v>
      </c>
      <c r="H15" s="30">
        <v>0.7321428571428571</v>
      </c>
      <c r="I15" s="37">
        <v>405.42</v>
      </c>
      <c r="J15" s="37">
        <v>388.04</v>
      </c>
      <c r="K15" s="32">
        <v>102</v>
      </c>
      <c r="L15" s="32">
        <v>67</v>
      </c>
      <c r="M15" s="32">
        <v>41352.839999999997</v>
      </c>
      <c r="N15" s="32">
        <v>25998.68</v>
      </c>
      <c r="O15" s="32">
        <v>67351.51999999999</v>
      </c>
      <c r="P15" s="32">
        <f>ROUND(O15*P$11,2)</f>
        <v>64373.22</v>
      </c>
      <c r="Q15" s="32"/>
      <c r="R15" s="32"/>
      <c r="S15" s="2"/>
      <c r="T15" s="2"/>
      <c r="U15" s="2"/>
      <c r="V15" s="2"/>
      <c r="W15" s="2"/>
      <c r="X15" s="30"/>
      <c r="Y15" s="30"/>
      <c r="Z15" s="32"/>
      <c r="AA15" s="32"/>
      <c r="AB15" s="32"/>
      <c r="AC15" s="32"/>
      <c r="AD15" s="32"/>
      <c r="AE15" s="32"/>
      <c r="AF15" s="32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x14ac:dyDescent="0.25">
      <c r="A16">
        <v>1</v>
      </c>
      <c r="B16">
        <v>1</v>
      </c>
      <c r="C16" t="s">
        <v>1151</v>
      </c>
      <c r="D16">
        <v>3</v>
      </c>
      <c r="E16" t="s">
        <v>1152</v>
      </c>
      <c r="F16" s="1">
        <v>1</v>
      </c>
      <c r="G16" s="30" t="s">
        <v>1328</v>
      </c>
      <c r="H16" s="30" t="s">
        <v>1328</v>
      </c>
      <c r="I16" s="37" t="s">
        <v>1328</v>
      </c>
      <c r="J16" s="37" t="s">
        <v>1328</v>
      </c>
      <c r="K16" s="32">
        <v>7</v>
      </c>
      <c r="L16" s="32">
        <v>5</v>
      </c>
      <c r="M16" s="32" t="s">
        <v>1328</v>
      </c>
      <c r="N16" s="32" t="s">
        <v>1328</v>
      </c>
      <c r="O16" s="32">
        <v>4975.3999999999996</v>
      </c>
      <c r="P16" s="32">
        <f t="shared" ref="P16:P79" si="0">ROUND(O16*P$11,2)</f>
        <v>4755.3900000000003</v>
      </c>
      <c r="Q16" s="32"/>
      <c r="R16" s="32"/>
      <c r="W16" s="2"/>
      <c r="X16" s="30"/>
      <c r="Y16" s="30"/>
      <c r="Z16" s="32"/>
      <c r="AA16" s="32"/>
      <c r="AB16" s="32"/>
      <c r="AC16" s="32"/>
      <c r="AD16" s="32"/>
      <c r="AE16" s="32"/>
      <c r="AF16" s="32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x14ac:dyDescent="0.25">
      <c r="A17" s="4">
        <v>1.2</v>
      </c>
      <c r="B17" s="2">
        <v>3</v>
      </c>
      <c r="C17" s="2" t="s">
        <v>2</v>
      </c>
      <c r="D17" s="2">
        <v>103</v>
      </c>
      <c r="E17" s="2" t="s">
        <v>3</v>
      </c>
      <c r="F17" s="29">
        <v>0</v>
      </c>
      <c r="G17" s="30">
        <v>0.83771929824561409</v>
      </c>
      <c r="H17" s="30">
        <v>0.85326086956521741</v>
      </c>
      <c r="I17" s="37">
        <v>443.99</v>
      </c>
      <c r="J17" s="37">
        <v>452.23</v>
      </c>
      <c r="K17" s="32">
        <v>80</v>
      </c>
      <c r="L17" s="32">
        <v>74</v>
      </c>
      <c r="M17" s="32">
        <v>35519.199999999997</v>
      </c>
      <c r="N17" s="32">
        <v>33465.019999999997</v>
      </c>
      <c r="O17" s="32">
        <v>68984.22</v>
      </c>
      <c r="P17" s="32">
        <f t="shared" si="0"/>
        <v>65933.72</v>
      </c>
      <c r="Q17" s="32"/>
      <c r="R17" s="32"/>
      <c r="S17" s="2"/>
      <c r="T17" s="2"/>
      <c r="U17" s="2"/>
      <c r="V17" s="2"/>
      <c r="W17" s="2"/>
      <c r="X17" s="30"/>
      <c r="Y17" s="30"/>
      <c r="Z17" s="32"/>
      <c r="AA17" s="32"/>
      <c r="AB17" s="32"/>
      <c r="AC17" s="32"/>
      <c r="AD17" s="32"/>
      <c r="AE17" s="32"/>
      <c r="AF17" s="32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25">
      <c r="A18" s="4">
        <v>1.2</v>
      </c>
      <c r="B18" s="2">
        <v>3</v>
      </c>
      <c r="C18" s="2" t="s">
        <v>2</v>
      </c>
      <c r="D18" s="2">
        <v>105</v>
      </c>
      <c r="E18" s="2" t="s">
        <v>4</v>
      </c>
      <c r="F18" s="29">
        <v>0</v>
      </c>
      <c r="G18" s="30">
        <v>0.35164835164835168</v>
      </c>
      <c r="H18" s="30">
        <v>0.68072289156626509</v>
      </c>
      <c r="I18" s="37">
        <v>186.37</v>
      </c>
      <c r="J18" s="37">
        <v>360.78</v>
      </c>
      <c r="K18" s="32">
        <v>55</v>
      </c>
      <c r="L18" s="32">
        <v>74</v>
      </c>
      <c r="M18" s="32">
        <v>10250.35</v>
      </c>
      <c r="N18" s="32">
        <v>26697.72</v>
      </c>
      <c r="O18" s="32">
        <v>36948.07</v>
      </c>
      <c r="P18" s="32">
        <f t="shared" si="0"/>
        <v>35314.22</v>
      </c>
      <c r="Q18" s="32"/>
      <c r="R18" s="32"/>
      <c r="S18" s="2"/>
      <c r="T18" s="2"/>
      <c r="U18" s="2"/>
      <c r="V18" s="2"/>
      <c r="W18" s="2"/>
      <c r="X18" s="30"/>
      <c r="Y18" s="30"/>
      <c r="Z18" s="32"/>
      <c r="AA18" s="32"/>
      <c r="AB18" s="32"/>
      <c r="AC18" s="32"/>
      <c r="AD18" s="32"/>
      <c r="AE18" s="32"/>
      <c r="AF18" s="32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x14ac:dyDescent="0.25">
      <c r="A19" s="4">
        <v>1.2</v>
      </c>
      <c r="B19" s="2">
        <v>3</v>
      </c>
      <c r="C19" s="2" t="s">
        <v>2</v>
      </c>
      <c r="D19" s="2">
        <v>106</v>
      </c>
      <c r="E19" s="2" t="s">
        <v>5</v>
      </c>
      <c r="F19" s="29">
        <v>0</v>
      </c>
      <c r="G19" s="30">
        <v>0.86307053941908718</v>
      </c>
      <c r="H19" s="30">
        <v>0.83333333333333337</v>
      </c>
      <c r="I19" s="37">
        <v>457.43</v>
      </c>
      <c r="J19" s="37">
        <v>441.67</v>
      </c>
      <c r="K19" s="32">
        <v>81</v>
      </c>
      <c r="L19" s="32">
        <v>80</v>
      </c>
      <c r="M19" s="32">
        <v>37051.83</v>
      </c>
      <c r="N19" s="32">
        <v>35333.599999999999</v>
      </c>
      <c r="O19" s="32">
        <v>72385.429999999993</v>
      </c>
      <c r="P19" s="32">
        <f t="shared" si="0"/>
        <v>69184.53</v>
      </c>
      <c r="Q19" s="32"/>
      <c r="R19" s="32"/>
      <c r="S19" s="2"/>
      <c r="T19" s="2"/>
      <c r="U19" s="2"/>
      <c r="V19" s="2"/>
      <c r="W19" s="2"/>
      <c r="X19" s="30"/>
      <c r="Y19" s="30"/>
      <c r="Z19" s="32"/>
      <c r="AA19" s="32"/>
      <c r="AB19" s="32"/>
      <c r="AC19" s="32"/>
      <c r="AD19" s="32"/>
      <c r="AE19" s="32"/>
      <c r="AF19" s="32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x14ac:dyDescent="0.25">
      <c r="A20" s="4">
        <v>1.2</v>
      </c>
      <c r="B20" s="2">
        <v>3</v>
      </c>
      <c r="C20" s="2" t="s">
        <v>2</v>
      </c>
      <c r="D20" s="2">
        <v>107</v>
      </c>
      <c r="E20" s="2" t="s">
        <v>6</v>
      </c>
      <c r="F20" s="29">
        <v>0</v>
      </c>
      <c r="G20" s="30">
        <v>0.33552631578947367</v>
      </c>
      <c r="H20" s="30">
        <v>0.62</v>
      </c>
      <c r="I20" s="37">
        <v>177.83</v>
      </c>
      <c r="J20" s="37">
        <v>328.6</v>
      </c>
      <c r="K20" s="32">
        <v>43</v>
      </c>
      <c r="L20" s="32">
        <v>55</v>
      </c>
      <c r="M20" s="32">
        <v>7646.69</v>
      </c>
      <c r="N20" s="32">
        <v>18073</v>
      </c>
      <c r="O20" s="32">
        <v>25719.69</v>
      </c>
      <c r="P20" s="32">
        <f t="shared" si="0"/>
        <v>24582.36</v>
      </c>
      <c r="Q20" s="32"/>
      <c r="R20" s="32"/>
      <c r="S20" s="2"/>
      <c r="T20" s="2"/>
      <c r="U20" s="2"/>
      <c r="V20" s="2"/>
      <c r="W20" s="2"/>
      <c r="X20" s="30"/>
      <c r="Y20" s="30"/>
      <c r="Z20" s="32"/>
      <c r="AA20" s="32"/>
      <c r="AB20" s="32"/>
      <c r="AC20" s="32"/>
      <c r="AD20" s="32"/>
      <c r="AE20" s="32"/>
      <c r="AF20" s="32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x14ac:dyDescent="0.25">
      <c r="A21" s="4">
        <v>1.2</v>
      </c>
      <c r="B21" s="2">
        <v>3</v>
      </c>
      <c r="C21" s="2" t="s">
        <v>2</v>
      </c>
      <c r="D21" s="2">
        <v>110</v>
      </c>
      <c r="E21" s="2" t="s">
        <v>7</v>
      </c>
      <c r="F21" s="29">
        <v>0</v>
      </c>
      <c r="G21" s="30">
        <v>0.8671679197994987</v>
      </c>
      <c r="H21" s="30">
        <v>0.89014084507042257</v>
      </c>
      <c r="I21" s="37">
        <v>459.6</v>
      </c>
      <c r="J21" s="37">
        <v>471.77</v>
      </c>
      <c r="K21" s="32">
        <v>146</v>
      </c>
      <c r="L21" s="32">
        <v>125</v>
      </c>
      <c r="M21" s="32">
        <v>67101.600000000006</v>
      </c>
      <c r="N21" s="32">
        <v>58971.25</v>
      </c>
      <c r="O21" s="32">
        <v>126072.85</v>
      </c>
      <c r="P21" s="32">
        <f t="shared" si="0"/>
        <v>120497.88</v>
      </c>
      <c r="Q21" s="32"/>
      <c r="R21" s="32"/>
      <c r="S21" s="2"/>
      <c r="T21" s="2"/>
      <c r="U21" s="2"/>
      <c r="V21" s="2"/>
      <c r="W21" s="2"/>
      <c r="X21" s="30"/>
      <c r="Y21" s="30"/>
      <c r="Z21" s="32"/>
      <c r="AA21" s="32"/>
      <c r="AB21" s="32"/>
      <c r="AC21" s="32"/>
      <c r="AD21" s="32"/>
      <c r="AE21" s="32"/>
      <c r="AF21" s="32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x14ac:dyDescent="0.25">
      <c r="A22" s="4">
        <v>1.2</v>
      </c>
      <c r="B22" s="2">
        <v>3</v>
      </c>
      <c r="C22" s="2" t="s">
        <v>2</v>
      </c>
      <c r="D22" s="2">
        <v>121</v>
      </c>
      <c r="E22" s="2" t="s">
        <v>8</v>
      </c>
      <c r="F22" s="29">
        <v>0</v>
      </c>
      <c r="G22" s="30">
        <v>0.94117647058823528</v>
      </c>
      <c r="H22" s="30">
        <v>0.83750000000000002</v>
      </c>
      <c r="I22" s="37">
        <v>498.82</v>
      </c>
      <c r="J22" s="37">
        <v>443.88</v>
      </c>
      <c r="K22" s="32">
        <v>128</v>
      </c>
      <c r="L22" s="32">
        <v>111</v>
      </c>
      <c r="M22" s="32">
        <v>63848.959999999999</v>
      </c>
      <c r="N22" s="32">
        <v>49270.68</v>
      </c>
      <c r="O22" s="32">
        <v>113119.64</v>
      </c>
      <c r="P22" s="32">
        <f t="shared" si="0"/>
        <v>108117.46</v>
      </c>
      <c r="Q22" s="32"/>
      <c r="R22" s="32"/>
      <c r="S22" s="2"/>
      <c r="T22" s="2"/>
      <c r="U22" s="2"/>
      <c r="V22" s="2"/>
      <c r="W22" s="2"/>
      <c r="X22" s="30"/>
      <c r="Y22" s="30"/>
      <c r="Z22" s="32"/>
      <c r="AA22" s="32"/>
      <c r="AB22" s="32"/>
      <c r="AC22" s="32"/>
      <c r="AD22" s="32"/>
      <c r="AE22" s="32"/>
      <c r="AF22" s="32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x14ac:dyDescent="0.25">
      <c r="A23" s="4">
        <v>1.2</v>
      </c>
      <c r="B23" s="2">
        <v>3</v>
      </c>
      <c r="C23" s="2" t="s">
        <v>2</v>
      </c>
      <c r="D23">
        <v>123</v>
      </c>
      <c r="E23" s="2" t="s">
        <v>9</v>
      </c>
      <c r="F23" s="29">
        <v>0</v>
      </c>
      <c r="G23" s="30">
        <v>0.88390501319261217</v>
      </c>
      <c r="H23" s="30">
        <v>0.80434782608695654</v>
      </c>
      <c r="I23" s="37">
        <v>468.47</v>
      </c>
      <c r="J23" s="37">
        <v>426.3</v>
      </c>
      <c r="K23" s="32">
        <v>135</v>
      </c>
      <c r="L23" s="32">
        <v>123</v>
      </c>
      <c r="M23" s="32">
        <v>63243.45</v>
      </c>
      <c r="N23" s="32">
        <v>52434.9</v>
      </c>
      <c r="O23" s="32">
        <v>115678.35</v>
      </c>
      <c r="P23" s="32">
        <f t="shared" si="0"/>
        <v>110563.03</v>
      </c>
      <c r="Q23" s="32"/>
      <c r="R23" s="32"/>
      <c r="S23" s="2"/>
      <c r="T23" s="2"/>
      <c r="V23" s="2"/>
      <c r="W23" s="2"/>
      <c r="X23" s="30"/>
      <c r="Y23" s="30"/>
      <c r="Z23" s="32"/>
      <c r="AA23" s="32"/>
      <c r="AB23" s="32"/>
      <c r="AC23" s="32"/>
      <c r="AD23" s="32"/>
      <c r="AE23" s="32"/>
      <c r="AF23" s="32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25">
      <c r="A24" s="4">
        <v>1.2</v>
      </c>
      <c r="B24" s="2">
        <v>3</v>
      </c>
      <c r="C24" s="2" t="s">
        <v>2</v>
      </c>
      <c r="D24" s="2">
        <v>124</v>
      </c>
      <c r="E24" s="2" t="s">
        <v>10</v>
      </c>
      <c r="F24" s="29">
        <v>1</v>
      </c>
      <c r="G24" s="30" t="s">
        <v>1328</v>
      </c>
      <c r="H24" s="30" t="s">
        <v>1328</v>
      </c>
      <c r="I24" s="37" t="s">
        <v>1328</v>
      </c>
      <c r="J24" s="37" t="s">
        <v>1328</v>
      </c>
      <c r="K24" s="32">
        <v>0</v>
      </c>
      <c r="L24" s="32">
        <v>0</v>
      </c>
      <c r="M24" s="32" t="s">
        <v>1328</v>
      </c>
      <c r="N24" s="32" t="s">
        <v>1328</v>
      </c>
      <c r="O24" s="32">
        <v>0</v>
      </c>
      <c r="P24" s="32">
        <f t="shared" si="0"/>
        <v>0</v>
      </c>
      <c r="Q24" s="32"/>
      <c r="R24" s="32"/>
      <c r="S24" s="2"/>
      <c r="T24" s="2"/>
      <c r="U24" s="2"/>
      <c r="V24" s="2"/>
      <c r="W24" s="2"/>
      <c r="X24" s="30"/>
      <c r="Y24" s="30"/>
      <c r="Z24" s="32"/>
      <c r="AA24" s="32"/>
      <c r="AB24" s="32"/>
      <c r="AC24" s="32"/>
      <c r="AD24" s="32"/>
      <c r="AE24" s="32"/>
      <c r="AF24" s="32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25">
      <c r="A25" s="4">
        <v>1.2</v>
      </c>
      <c r="B25" s="7">
        <v>3</v>
      </c>
      <c r="C25" s="7" t="s">
        <v>2</v>
      </c>
      <c r="D25" s="7">
        <v>130</v>
      </c>
      <c r="E25" s="7" t="s">
        <v>11</v>
      </c>
      <c r="F25" s="38">
        <v>0</v>
      </c>
      <c r="G25" s="30">
        <v>0.55797101449275366</v>
      </c>
      <c r="H25" s="30">
        <v>0.84745762711864403</v>
      </c>
      <c r="I25" s="37">
        <v>295.72000000000003</v>
      </c>
      <c r="J25" s="37">
        <v>449.15</v>
      </c>
      <c r="K25" s="32">
        <v>43</v>
      </c>
      <c r="L25" s="32">
        <v>51</v>
      </c>
      <c r="M25" s="32">
        <v>12715.96</v>
      </c>
      <c r="N25" s="32">
        <v>22906.65</v>
      </c>
      <c r="O25" s="32">
        <v>35622.61</v>
      </c>
      <c r="P25" s="32">
        <f t="shared" si="0"/>
        <v>34047.370000000003</v>
      </c>
      <c r="Q25" s="32"/>
      <c r="R25" s="32"/>
      <c r="S25" s="7"/>
      <c r="T25" s="7"/>
      <c r="U25" s="7"/>
      <c r="V25" s="7"/>
      <c r="W25" s="2"/>
      <c r="X25" s="30"/>
      <c r="Y25" s="30"/>
      <c r="Z25" s="32"/>
      <c r="AA25" s="32"/>
      <c r="AB25" s="32"/>
      <c r="AC25" s="32"/>
      <c r="AD25" s="32"/>
      <c r="AE25" s="32"/>
      <c r="AF25" s="32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x14ac:dyDescent="0.25">
      <c r="A26" s="4">
        <v>1.2</v>
      </c>
      <c r="B26" s="2">
        <v>3</v>
      </c>
      <c r="C26" s="2" t="s">
        <v>2</v>
      </c>
      <c r="D26" s="2">
        <v>134</v>
      </c>
      <c r="E26" s="2" t="s">
        <v>12</v>
      </c>
      <c r="F26" s="29">
        <v>1</v>
      </c>
      <c r="G26" s="30" t="s">
        <v>1328</v>
      </c>
      <c r="H26" s="30" t="s">
        <v>1328</v>
      </c>
      <c r="I26" s="37" t="s">
        <v>1328</v>
      </c>
      <c r="J26" s="37" t="s">
        <v>1328</v>
      </c>
      <c r="K26" s="32">
        <v>0</v>
      </c>
      <c r="L26" s="32">
        <v>64</v>
      </c>
      <c r="M26" s="32" t="s">
        <v>1328</v>
      </c>
      <c r="N26" s="32" t="s">
        <v>1328</v>
      </c>
      <c r="O26" s="32">
        <v>23560.959999999999</v>
      </c>
      <c r="P26" s="32">
        <f t="shared" si="0"/>
        <v>22519.09</v>
      </c>
      <c r="Q26" s="32"/>
      <c r="R26" s="32"/>
      <c r="S26" s="2"/>
      <c r="T26" s="2"/>
      <c r="U26" s="2"/>
      <c r="V26" s="2"/>
      <c r="W26" s="2"/>
      <c r="X26" s="30"/>
      <c r="Y26" s="30"/>
      <c r="Z26" s="32"/>
      <c r="AA26" s="32"/>
      <c r="AB26" s="32"/>
      <c r="AC26" s="32"/>
      <c r="AD26" s="32"/>
      <c r="AE26" s="32"/>
      <c r="AF26" s="32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x14ac:dyDescent="0.25">
      <c r="A27" s="4">
        <v>1.2</v>
      </c>
      <c r="B27" s="2">
        <v>3</v>
      </c>
      <c r="C27" s="2" t="s">
        <v>2</v>
      </c>
      <c r="D27" s="2">
        <v>135</v>
      </c>
      <c r="E27" s="2" t="s">
        <v>13</v>
      </c>
      <c r="F27" s="29">
        <v>0</v>
      </c>
      <c r="G27" s="30">
        <v>0.7651006711409396</v>
      </c>
      <c r="H27" s="30">
        <v>0.72</v>
      </c>
      <c r="I27" s="37">
        <v>405.5</v>
      </c>
      <c r="J27" s="37">
        <v>381.6</v>
      </c>
      <c r="K27" s="32">
        <v>54</v>
      </c>
      <c r="L27" s="32">
        <v>54</v>
      </c>
      <c r="M27" s="32">
        <v>21897</v>
      </c>
      <c r="N27" s="32">
        <v>20606.400000000001</v>
      </c>
      <c r="O27" s="32">
        <v>42503.4</v>
      </c>
      <c r="P27" s="32">
        <f t="shared" si="0"/>
        <v>40623.89</v>
      </c>
      <c r="Q27" s="32"/>
      <c r="R27" s="32"/>
      <c r="S27" s="2"/>
      <c r="T27" s="2"/>
      <c r="U27" s="2"/>
      <c r="V27" s="2"/>
      <c r="W27" s="2"/>
      <c r="X27" s="30"/>
      <c r="Y27" s="30"/>
      <c r="Z27" s="32"/>
      <c r="AA27" s="32"/>
      <c r="AB27" s="32"/>
      <c r="AC27" s="32"/>
      <c r="AD27" s="32"/>
      <c r="AE27" s="32"/>
      <c r="AF27" s="32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x14ac:dyDescent="0.25">
      <c r="A28" s="4">
        <v>1.2</v>
      </c>
      <c r="B28" s="2">
        <v>3</v>
      </c>
      <c r="C28" s="2" t="s">
        <v>2</v>
      </c>
      <c r="D28" s="2">
        <v>136</v>
      </c>
      <c r="E28" s="2" t="s">
        <v>14</v>
      </c>
      <c r="F28" s="29">
        <v>0</v>
      </c>
      <c r="G28" s="30">
        <v>0.859375</v>
      </c>
      <c r="H28" s="30">
        <v>0.82352941176470584</v>
      </c>
      <c r="I28" s="37">
        <v>455.47</v>
      </c>
      <c r="J28" s="37">
        <v>436.47</v>
      </c>
      <c r="K28" s="32">
        <v>79</v>
      </c>
      <c r="L28" s="32">
        <v>71</v>
      </c>
      <c r="M28" s="32">
        <v>35982.129999999997</v>
      </c>
      <c r="N28" s="32">
        <v>30989.37</v>
      </c>
      <c r="O28" s="32">
        <v>66971.5</v>
      </c>
      <c r="P28" s="32">
        <f t="shared" si="0"/>
        <v>64010</v>
      </c>
      <c r="Q28" s="32"/>
      <c r="R28" s="32"/>
      <c r="S28" s="2"/>
      <c r="T28" s="2"/>
      <c r="U28" s="2"/>
      <c r="V28" s="2"/>
      <c r="W28" s="2"/>
      <c r="X28" s="30"/>
      <c r="Y28" s="30"/>
      <c r="Z28" s="32"/>
      <c r="AA28" s="32"/>
      <c r="AB28" s="32"/>
      <c r="AC28" s="32"/>
      <c r="AD28" s="32"/>
      <c r="AE28" s="32"/>
      <c r="AF28" s="32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25">
      <c r="A29" s="4">
        <v>1.2</v>
      </c>
      <c r="B29" s="2">
        <v>3</v>
      </c>
      <c r="C29" s="2" t="s">
        <v>2</v>
      </c>
      <c r="D29" s="2">
        <v>139</v>
      </c>
      <c r="E29" s="2" t="s">
        <v>15</v>
      </c>
      <c r="F29" s="29">
        <v>1</v>
      </c>
      <c r="G29" s="30" t="s">
        <v>1328</v>
      </c>
      <c r="H29" s="30" t="s">
        <v>1328</v>
      </c>
      <c r="I29" s="37" t="s">
        <v>1328</v>
      </c>
      <c r="J29" s="37" t="s">
        <v>1328</v>
      </c>
      <c r="K29" s="32">
        <v>0</v>
      </c>
      <c r="L29" s="32">
        <v>0</v>
      </c>
      <c r="M29" s="32" t="s">
        <v>1328</v>
      </c>
      <c r="N29" s="32" t="s">
        <v>1328</v>
      </c>
      <c r="O29" s="32">
        <v>0</v>
      </c>
      <c r="P29" s="32">
        <f t="shared" si="0"/>
        <v>0</v>
      </c>
      <c r="Q29" s="32"/>
      <c r="R29" s="32"/>
      <c r="S29" s="2"/>
      <c r="T29" s="2"/>
      <c r="U29" s="2"/>
      <c r="V29" s="2"/>
      <c r="W29" s="2"/>
      <c r="X29" s="30"/>
      <c r="Y29" s="30"/>
      <c r="Z29" s="32"/>
      <c r="AA29" s="32"/>
      <c r="AB29" s="32"/>
      <c r="AC29" s="32"/>
      <c r="AD29" s="32"/>
      <c r="AE29" s="32"/>
      <c r="AF29" s="32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25">
      <c r="A30" s="4">
        <v>1.2</v>
      </c>
      <c r="B30" s="2">
        <v>3</v>
      </c>
      <c r="C30" s="2" t="s">
        <v>2</v>
      </c>
      <c r="D30" s="2">
        <v>140</v>
      </c>
      <c r="E30" s="2" t="s">
        <v>16</v>
      </c>
      <c r="F30" s="29">
        <v>0</v>
      </c>
      <c r="G30" s="30">
        <v>0.6512820512820513</v>
      </c>
      <c r="H30" s="30">
        <v>0.73652694610778446</v>
      </c>
      <c r="I30" s="37">
        <v>345.18</v>
      </c>
      <c r="J30" s="37">
        <v>390.36</v>
      </c>
      <c r="K30" s="32">
        <v>57</v>
      </c>
      <c r="L30" s="32">
        <v>64</v>
      </c>
      <c r="M30" s="32">
        <v>19675.259999999998</v>
      </c>
      <c r="N30" s="32">
        <v>24983.040000000001</v>
      </c>
      <c r="O30" s="32">
        <v>44658.3</v>
      </c>
      <c r="P30" s="32">
        <f t="shared" si="0"/>
        <v>42683.5</v>
      </c>
      <c r="Q30" s="32"/>
      <c r="R30" s="32"/>
      <c r="S30" s="2"/>
      <c r="T30" s="2"/>
      <c r="U30" s="2"/>
      <c r="V30" s="2"/>
      <c r="W30" s="2"/>
      <c r="X30" s="30"/>
      <c r="Y30" s="30"/>
      <c r="Z30" s="32"/>
      <c r="AA30" s="32"/>
      <c r="AB30" s="32"/>
      <c r="AC30" s="32"/>
      <c r="AD30" s="32"/>
      <c r="AE30" s="32"/>
      <c r="AF30" s="32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x14ac:dyDescent="0.25">
      <c r="A31" s="4">
        <v>1.2</v>
      </c>
      <c r="B31" s="2">
        <v>3</v>
      </c>
      <c r="C31" s="2" t="s">
        <v>2</v>
      </c>
      <c r="D31" s="2">
        <v>144</v>
      </c>
      <c r="E31" s="2" t="s">
        <v>17</v>
      </c>
      <c r="F31" s="29">
        <v>0</v>
      </c>
      <c r="G31" s="30">
        <v>0.53038674033149169</v>
      </c>
      <c r="H31" s="30">
        <v>0.78472222222222221</v>
      </c>
      <c r="I31" s="37">
        <v>281.10000000000002</v>
      </c>
      <c r="J31" s="37">
        <v>415.9</v>
      </c>
      <c r="K31" s="32">
        <v>65</v>
      </c>
      <c r="L31" s="32">
        <v>68</v>
      </c>
      <c r="M31" s="32">
        <v>18271.5</v>
      </c>
      <c r="N31" s="32">
        <v>28281.200000000001</v>
      </c>
      <c r="O31" s="32">
        <v>46552.7</v>
      </c>
      <c r="P31" s="32">
        <f t="shared" si="0"/>
        <v>44494.13</v>
      </c>
      <c r="Q31" s="32"/>
      <c r="R31" s="32"/>
      <c r="S31" s="2"/>
      <c r="T31" s="2"/>
      <c r="U31" s="2"/>
      <c r="V31" s="2"/>
      <c r="W31" s="2"/>
      <c r="X31" s="30"/>
      <c r="Y31" s="30"/>
      <c r="Z31" s="32"/>
      <c r="AA31" s="32"/>
      <c r="AB31" s="32"/>
      <c r="AC31" s="32"/>
      <c r="AD31" s="32"/>
      <c r="AE31" s="32"/>
      <c r="AF31" s="32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x14ac:dyDescent="0.25">
      <c r="A32" s="4">
        <v>1.2</v>
      </c>
      <c r="B32" s="2">
        <v>3</v>
      </c>
      <c r="C32" s="2" t="s">
        <v>2</v>
      </c>
      <c r="D32" s="2">
        <v>151</v>
      </c>
      <c r="E32" s="2" t="s">
        <v>18</v>
      </c>
      <c r="F32" s="29">
        <v>0</v>
      </c>
      <c r="G32" s="30">
        <v>0.46460176991150443</v>
      </c>
      <c r="H32" s="30">
        <v>0.75845410628019327</v>
      </c>
      <c r="I32" s="37">
        <v>246.24</v>
      </c>
      <c r="J32" s="37">
        <v>401.98</v>
      </c>
      <c r="K32" s="32">
        <v>78</v>
      </c>
      <c r="L32" s="32">
        <v>79</v>
      </c>
      <c r="M32" s="32">
        <v>19206.72</v>
      </c>
      <c r="N32" s="32">
        <v>31756.42</v>
      </c>
      <c r="O32" s="32">
        <v>50963.14</v>
      </c>
      <c r="P32" s="32">
        <f t="shared" si="0"/>
        <v>48709.54</v>
      </c>
      <c r="Q32" s="32"/>
      <c r="R32" s="32"/>
      <c r="S32" s="2"/>
      <c r="T32" s="2"/>
      <c r="U32" s="2"/>
      <c r="V32" s="2"/>
      <c r="W32" s="2"/>
      <c r="X32" s="30"/>
      <c r="Y32" s="30"/>
      <c r="Z32" s="32"/>
      <c r="AA32" s="32"/>
      <c r="AB32" s="32"/>
      <c r="AC32" s="32"/>
      <c r="AD32" s="32"/>
      <c r="AE32" s="32"/>
      <c r="AF32" s="32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x14ac:dyDescent="0.25">
      <c r="A33" s="4">
        <v>1.2</v>
      </c>
      <c r="B33" s="2">
        <v>3</v>
      </c>
      <c r="C33" s="2" t="s">
        <v>2</v>
      </c>
      <c r="D33" s="2">
        <v>152</v>
      </c>
      <c r="E33" s="2" t="s">
        <v>19</v>
      </c>
      <c r="F33" s="29">
        <v>0</v>
      </c>
      <c r="G33" s="30">
        <v>0.51871657754010692</v>
      </c>
      <c r="H33" s="30">
        <v>0.82558139534883723</v>
      </c>
      <c r="I33" s="37">
        <v>274.92</v>
      </c>
      <c r="J33" s="37">
        <v>437.56</v>
      </c>
      <c r="K33" s="32">
        <v>54</v>
      </c>
      <c r="L33" s="32">
        <v>57</v>
      </c>
      <c r="M33" s="32">
        <v>14845.68</v>
      </c>
      <c r="N33" s="32">
        <v>24940.92</v>
      </c>
      <c r="O33" s="32">
        <v>39786.6</v>
      </c>
      <c r="P33" s="32">
        <f t="shared" si="0"/>
        <v>38027.230000000003</v>
      </c>
      <c r="Q33" s="32"/>
      <c r="R33" s="32"/>
      <c r="S33" s="2"/>
      <c r="T33" s="2"/>
      <c r="U33" s="2"/>
      <c r="V33" s="2"/>
      <c r="W33" s="2"/>
      <c r="X33" s="30"/>
      <c r="Y33" s="30"/>
      <c r="Z33" s="32"/>
      <c r="AA33" s="32"/>
      <c r="AB33" s="32"/>
      <c r="AC33" s="32"/>
      <c r="AD33" s="32"/>
      <c r="AE33" s="32"/>
      <c r="AF33" s="32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x14ac:dyDescent="0.25">
      <c r="A34" s="4">
        <v>1.2</v>
      </c>
      <c r="B34" s="2">
        <v>3</v>
      </c>
      <c r="C34" s="2" t="s">
        <v>2</v>
      </c>
      <c r="D34" s="2">
        <v>155</v>
      </c>
      <c r="E34" s="2" t="s">
        <v>20</v>
      </c>
      <c r="F34" s="29">
        <v>0</v>
      </c>
      <c r="G34" s="30">
        <v>0.51526717557251911</v>
      </c>
      <c r="H34" s="30">
        <v>0.76525821596244137</v>
      </c>
      <c r="I34" s="37">
        <v>273.08999999999997</v>
      </c>
      <c r="J34" s="37">
        <v>405.59</v>
      </c>
      <c r="K34" s="32">
        <v>94</v>
      </c>
      <c r="L34" s="32">
        <v>87</v>
      </c>
      <c r="M34" s="32">
        <v>25670.46</v>
      </c>
      <c r="N34" s="32">
        <v>35286.33</v>
      </c>
      <c r="O34" s="32">
        <v>60956.79</v>
      </c>
      <c r="P34" s="32">
        <f t="shared" si="0"/>
        <v>58261.27</v>
      </c>
      <c r="Q34" s="32"/>
      <c r="R34" s="32"/>
      <c r="S34" s="2"/>
      <c r="T34" s="2"/>
      <c r="U34" s="2"/>
      <c r="V34" s="2"/>
      <c r="W34" s="2"/>
      <c r="X34" s="30"/>
      <c r="Y34" s="30"/>
      <c r="Z34" s="32"/>
      <c r="AA34" s="32"/>
      <c r="AB34" s="32"/>
      <c r="AC34" s="32"/>
      <c r="AD34" s="32"/>
      <c r="AE34" s="32"/>
      <c r="AF34" s="32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x14ac:dyDescent="0.25">
      <c r="A35" s="4">
        <v>1.2</v>
      </c>
      <c r="B35" s="2">
        <v>3</v>
      </c>
      <c r="C35" s="2" t="s">
        <v>2</v>
      </c>
      <c r="D35" s="2">
        <v>156</v>
      </c>
      <c r="E35" s="2" t="s">
        <v>21</v>
      </c>
      <c r="F35" s="29">
        <v>0</v>
      </c>
      <c r="G35" s="30">
        <v>0.4925373134328358</v>
      </c>
      <c r="H35" s="30">
        <v>0.85185185185185186</v>
      </c>
      <c r="I35" s="37">
        <v>261.04000000000002</v>
      </c>
      <c r="J35" s="37">
        <v>451.48</v>
      </c>
      <c r="K35" s="32">
        <v>23</v>
      </c>
      <c r="L35" s="32">
        <v>22</v>
      </c>
      <c r="M35" s="32">
        <v>6003.92</v>
      </c>
      <c r="N35" s="32">
        <v>9932.56</v>
      </c>
      <c r="O35" s="32">
        <v>15936.48</v>
      </c>
      <c r="P35" s="32">
        <f t="shared" si="0"/>
        <v>15231.77</v>
      </c>
      <c r="Q35" s="32"/>
      <c r="R35" s="32"/>
      <c r="S35" s="2"/>
      <c r="T35" s="2"/>
      <c r="U35" s="2"/>
      <c r="V35" s="2"/>
      <c r="W35" s="2"/>
      <c r="X35" s="30"/>
      <c r="Y35" s="30"/>
      <c r="Z35" s="32"/>
      <c r="AA35" s="32"/>
      <c r="AB35" s="32"/>
      <c r="AC35" s="32"/>
      <c r="AD35" s="32"/>
      <c r="AE35" s="32"/>
      <c r="AF35" s="32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x14ac:dyDescent="0.25">
      <c r="A36" s="4">
        <v>1.2</v>
      </c>
      <c r="B36" s="2">
        <v>3</v>
      </c>
      <c r="C36" s="2" t="s">
        <v>2</v>
      </c>
      <c r="D36">
        <v>160</v>
      </c>
      <c r="E36" s="2" t="s">
        <v>22</v>
      </c>
      <c r="F36" s="29">
        <v>0</v>
      </c>
      <c r="G36" s="30">
        <v>0.75272727272727269</v>
      </c>
      <c r="H36" s="30">
        <v>0.76515151515151514</v>
      </c>
      <c r="I36" s="37">
        <v>398.95</v>
      </c>
      <c r="J36" s="37">
        <v>405.53</v>
      </c>
      <c r="K36" s="32">
        <v>92</v>
      </c>
      <c r="L36" s="32">
        <v>96</v>
      </c>
      <c r="M36" s="32">
        <v>36703.4</v>
      </c>
      <c r="N36" s="32">
        <v>38930.879999999997</v>
      </c>
      <c r="O36" s="32">
        <v>75634.28</v>
      </c>
      <c r="P36" s="32">
        <f t="shared" si="0"/>
        <v>72289.710000000006</v>
      </c>
      <c r="Q36" s="32"/>
      <c r="R36" s="32"/>
      <c r="S36" s="2"/>
      <c r="T36" s="2"/>
      <c r="V36" s="2"/>
      <c r="W36" s="2"/>
      <c r="X36" s="30"/>
      <c r="Y36" s="30"/>
      <c r="Z36" s="32"/>
      <c r="AA36" s="32"/>
      <c r="AB36" s="32"/>
      <c r="AC36" s="32"/>
      <c r="AD36" s="32"/>
      <c r="AE36" s="32"/>
      <c r="AF36" s="32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x14ac:dyDescent="0.25">
      <c r="A37" s="4">
        <v>1.2</v>
      </c>
      <c r="B37" s="2">
        <v>3</v>
      </c>
      <c r="C37" s="2" t="s">
        <v>2</v>
      </c>
      <c r="D37" s="2">
        <v>161</v>
      </c>
      <c r="E37" s="2" t="s">
        <v>23</v>
      </c>
      <c r="F37" s="29">
        <v>0</v>
      </c>
      <c r="G37" s="30">
        <v>0.3081761006289308</v>
      </c>
      <c r="H37" s="30">
        <v>0.68461538461538463</v>
      </c>
      <c r="I37" s="37">
        <v>163.33000000000001</v>
      </c>
      <c r="J37" s="37">
        <v>362.85</v>
      </c>
      <c r="K37" s="32">
        <v>55</v>
      </c>
      <c r="L37" s="32">
        <v>62</v>
      </c>
      <c r="M37" s="32">
        <v>8983.15</v>
      </c>
      <c r="N37" s="32">
        <v>22496.7</v>
      </c>
      <c r="O37" s="32">
        <v>31479.85</v>
      </c>
      <c r="P37" s="32">
        <f t="shared" si="0"/>
        <v>30087.8</v>
      </c>
      <c r="Q37" s="32"/>
      <c r="R37" s="32"/>
      <c r="S37" s="2"/>
      <c r="T37" s="2"/>
      <c r="U37" s="2"/>
      <c r="V37" s="2"/>
      <c r="W37" s="2"/>
      <c r="X37" s="30"/>
      <c r="Y37" s="30"/>
      <c r="Z37" s="32"/>
      <c r="AA37" s="32"/>
      <c r="AB37" s="32"/>
      <c r="AC37" s="32"/>
      <c r="AD37" s="32"/>
      <c r="AE37" s="32"/>
      <c r="AF37" s="32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x14ac:dyDescent="0.25">
      <c r="A38" s="4">
        <v>1.2</v>
      </c>
      <c r="B38" s="2">
        <v>3</v>
      </c>
      <c r="C38" s="2" t="s">
        <v>2</v>
      </c>
      <c r="D38" s="2">
        <v>165</v>
      </c>
      <c r="E38" s="2" t="s">
        <v>24</v>
      </c>
      <c r="F38" s="29">
        <v>0</v>
      </c>
      <c r="G38" s="30">
        <v>0.64516129032258063</v>
      </c>
      <c r="H38" s="30">
        <v>0.78048780487804881</v>
      </c>
      <c r="I38" s="37">
        <v>341.94</v>
      </c>
      <c r="J38" s="37">
        <v>413.66</v>
      </c>
      <c r="K38" s="32">
        <v>69</v>
      </c>
      <c r="L38" s="32">
        <v>75</v>
      </c>
      <c r="M38" s="32">
        <v>23593.86</v>
      </c>
      <c r="N38" s="32">
        <v>31024.5</v>
      </c>
      <c r="O38" s="32">
        <v>54618.36</v>
      </c>
      <c r="P38" s="32">
        <f t="shared" si="0"/>
        <v>52203.12</v>
      </c>
      <c r="Q38" s="32"/>
      <c r="R38" s="32"/>
      <c r="S38" s="2"/>
      <c r="T38" s="2"/>
      <c r="U38" s="2"/>
      <c r="V38" s="2"/>
      <c r="W38" s="2"/>
      <c r="X38" s="30"/>
      <c r="Y38" s="30"/>
      <c r="Z38" s="32"/>
      <c r="AA38" s="32"/>
      <c r="AB38" s="32"/>
      <c r="AC38" s="32"/>
      <c r="AD38" s="32"/>
      <c r="AE38" s="32"/>
      <c r="AF38" s="32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x14ac:dyDescent="0.25">
      <c r="A39" s="4">
        <v>1.2</v>
      </c>
      <c r="B39" s="2">
        <v>3</v>
      </c>
      <c r="C39" s="2" t="s">
        <v>2</v>
      </c>
      <c r="D39" s="2">
        <v>167</v>
      </c>
      <c r="E39" s="2" t="s">
        <v>25</v>
      </c>
      <c r="F39" s="29">
        <v>1</v>
      </c>
      <c r="G39" s="30" t="s">
        <v>1328</v>
      </c>
      <c r="H39" s="30" t="s">
        <v>1328</v>
      </c>
      <c r="I39" s="37" t="s">
        <v>1328</v>
      </c>
      <c r="J39" s="37" t="s">
        <v>1328</v>
      </c>
      <c r="K39" s="32">
        <v>68</v>
      </c>
      <c r="L39" s="32">
        <v>0</v>
      </c>
      <c r="M39" s="32" t="s">
        <v>1328</v>
      </c>
      <c r="N39" s="32" t="s">
        <v>1328</v>
      </c>
      <c r="O39" s="32">
        <v>26395.56</v>
      </c>
      <c r="P39" s="32">
        <f t="shared" si="0"/>
        <v>25228.34</v>
      </c>
      <c r="Q39" s="32"/>
      <c r="R39" s="32"/>
      <c r="S39" s="2"/>
      <c r="T39" s="2"/>
      <c r="U39" s="2"/>
      <c r="V39" s="2"/>
      <c r="W39" s="2"/>
      <c r="X39" s="30"/>
      <c r="Y39" s="30"/>
      <c r="Z39" s="32"/>
      <c r="AA39" s="32"/>
      <c r="AB39" s="32"/>
      <c r="AC39" s="32"/>
      <c r="AD39" s="32"/>
      <c r="AE39" s="32"/>
      <c r="AF39" s="32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x14ac:dyDescent="0.25">
      <c r="A40" s="4">
        <v>1.2</v>
      </c>
      <c r="B40" s="2">
        <v>3</v>
      </c>
      <c r="C40" s="2" t="s">
        <v>2</v>
      </c>
      <c r="D40" s="2">
        <v>170</v>
      </c>
      <c r="E40" s="2" t="s">
        <v>26</v>
      </c>
      <c r="F40" s="29">
        <v>0</v>
      </c>
      <c r="G40" s="30">
        <v>0.54054054054054057</v>
      </c>
      <c r="H40" s="30">
        <v>0.9098360655737705</v>
      </c>
      <c r="I40" s="37">
        <v>286.49</v>
      </c>
      <c r="J40" s="37">
        <v>482.21</v>
      </c>
      <c r="K40" s="32">
        <v>60</v>
      </c>
      <c r="L40" s="32">
        <v>46</v>
      </c>
      <c r="M40" s="32">
        <v>17189.400000000001</v>
      </c>
      <c r="N40" s="32">
        <v>22181.66</v>
      </c>
      <c r="O40" s="32">
        <v>39371.06</v>
      </c>
      <c r="P40" s="32">
        <f t="shared" si="0"/>
        <v>37630.06</v>
      </c>
      <c r="Q40" s="32"/>
      <c r="R40" s="32"/>
      <c r="S40" s="2"/>
      <c r="T40" s="2"/>
      <c r="U40" s="2"/>
      <c r="V40" s="2"/>
      <c r="W40" s="2"/>
      <c r="X40" s="30"/>
      <c r="Y40" s="30"/>
      <c r="Z40" s="32"/>
      <c r="AA40" s="32"/>
      <c r="AB40" s="32"/>
      <c r="AC40" s="32"/>
      <c r="AD40" s="32"/>
      <c r="AE40" s="32"/>
      <c r="AF40" s="32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x14ac:dyDescent="0.25">
      <c r="A41" s="4">
        <v>1.2</v>
      </c>
      <c r="B41" s="2">
        <v>3</v>
      </c>
      <c r="C41" s="2" t="s">
        <v>2</v>
      </c>
      <c r="D41" s="2">
        <v>175</v>
      </c>
      <c r="E41" s="2" t="s">
        <v>27</v>
      </c>
      <c r="F41" s="29">
        <v>0</v>
      </c>
      <c r="G41" s="30">
        <v>0.48648648648648651</v>
      </c>
      <c r="H41" s="30">
        <v>0.67399267399267404</v>
      </c>
      <c r="I41" s="37">
        <v>257.83999999999997</v>
      </c>
      <c r="J41" s="37">
        <v>357.22</v>
      </c>
      <c r="K41" s="32">
        <v>111</v>
      </c>
      <c r="L41" s="32">
        <v>106</v>
      </c>
      <c r="M41" s="32">
        <v>28620.240000000002</v>
      </c>
      <c r="N41" s="32">
        <v>37865.32</v>
      </c>
      <c r="O41" s="32">
        <v>66485.56</v>
      </c>
      <c r="P41" s="32">
        <f t="shared" si="0"/>
        <v>63545.55</v>
      </c>
      <c r="Q41" s="32"/>
      <c r="R41" s="32"/>
      <c r="S41" s="2"/>
      <c r="T41" s="2"/>
      <c r="U41" s="2"/>
      <c r="V41" s="2"/>
      <c r="W41" s="2"/>
      <c r="X41" s="30"/>
      <c r="Y41" s="30"/>
      <c r="Z41" s="32"/>
      <c r="AA41" s="32"/>
      <c r="AB41" s="32"/>
      <c r="AC41" s="32"/>
      <c r="AD41" s="32"/>
      <c r="AE41" s="32"/>
      <c r="AF41" s="32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x14ac:dyDescent="0.25">
      <c r="A42" s="4">
        <v>1.2</v>
      </c>
      <c r="B42" s="2">
        <v>3</v>
      </c>
      <c r="C42" s="2" t="s">
        <v>2</v>
      </c>
      <c r="D42" s="2">
        <v>179</v>
      </c>
      <c r="E42" s="2" t="s">
        <v>28</v>
      </c>
      <c r="F42" s="29">
        <v>0</v>
      </c>
      <c r="G42" s="30">
        <v>0.35795454545454547</v>
      </c>
      <c r="H42" s="30">
        <v>0.77118644067796616</v>
      </c>
      <c r="I42" s="37">
        <v>189.72</v>
      </c>
      <c r="J42" s="37">
        <v>408.73</v>
      </c>
      <c r="K42" s="32">
        <v>73</v>
      </c>
      <c r="L42" s="32">
        <v>61</v>
      </c>
      <c r="M42" s="32">
        <v>13849.56</v>
      </c>
      <c r="N42" s="32">
        <v>24932.53</v>
      </c>
      <c r="O42" s="32">
        <v>38782.089999999997</v>
      </c>
      <c r="P42" s="32">
        <f t="shared" si="0"/>
        <v>37067.14</v>
      </c>
      <c r="Q42" s="32"/>
      <c r="R42" s="32"/>
      <c r="S42" s="2"/>
      <c r="T42" s="2"/>
      <c r="U42" s="2"/>
      <c r="V42" s="2"/>
      <c r="W42" s="2"/>
      <c r="X42" s="30"/>
      <c r="Y42" s="30"/>
      <c r="Z42" s="32"/>
      <c r="AA42" s="32"/>
      <c r="AB42" s="32"/>
      <c r="AC42" s="32"/>
      <c r="AD42" s="32"/>
      <c r="AE42" s="32"/>
      <c r="AF42" s="32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x14ac:dyDescent="0.25">
      <c r="A43" s="4">
        <v>1.2</v>
      </c>
      <c r="B43" s="2">
        <v>3</v>
      </c>
      <c r="C43" s="2" t="s">
        <v>2</v>
      </c>
      <c r="D43" s="2">
        <v>180</v>
      </c>
      <c r="E43" s="2" t="s">
        <v>29</v>
      </c>
      <c r="F43" s="29">
        <v>0</v>
      </c>
      <c r="G43" s="30">
        <v>0.87068965517241381</v>
      </c>
      <c r="H43" s="30">
        <v>0.70909090909090911</v>
      </c>
      <c r="I43" s="37">
        <v>461.47</v>
      </c>
      <c r="J43" s="37">
        <v>375.82</v>
      </c>
      <c r="K43" s="32">
        <v>86</v>
      </c>
      <c r="L43" s="32">
        <v>83</v>
      </c>
      <c r="M43" s="32">
        <v>39686.42</v>
      </c>
      <c r="N43" s="32">
        <v>31193.06</v>
      </c>
      <c r="O43" s="32">
        <v>70879.48</v>
      </c>
      <c r="P43" s="32">
        <f t="shared" si="0"/>
        <v>67745.17</v>
      </c>
      <c r="Q43" s="32"/>
      <c r="R43" s="32"/>
      <c r="S43" s="2"/>
      <c r="T43" s="2"/>
      <c r="U43" s="2"/>
      <c r="V43" s="2"/>
      <c r="W43" s="2"/>
      <c r="X43" s="30"/>
      <c r="Y43" s="30"/>
      <c r="Z43" s="32"/>
      <c r="AA43" s="32"/>
      <c r="AB43" s="32"/>
      <c r="AC43" s="32"/>
      <c r="AD43" s="32"/>
      <c r="AE43" s="32"/>
      <c r="AF43" s="32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x14ac:dyDescent="0.25">
      <c r="A44" s="4">
        <v>1.2</v>
      </c>
      <c r="B44" s="2">
        <v>3</v>
      </c>
      <c r="C44" s="2" t="s">
        <v>2</v>
      </c>
      <c r="D44" s="2">
        <v>190</v>
      </c>
      <c r="E44" s="2" t="s">
        <v>30</v>
      </c>
      <c r="F44" s="29">
        <v>0</v>
      </c>
      <c r="G44" s="30">
        <v>0.29198966408268734</v>
      </c>
      <c r="H44" s="30">
        <v>0.73650793650793656</v>
      </c>
      <c r="I44" s="37">
        <v>154.75</v>
      </c>
      <c r="J44" s="37">
        <v>390.35</v>
      </c>
      <c r="K44" s="32">
        <v>120</v>
      </c>
      <c r="L44" s="32">
        <v>131</v>
      </c>
      <c r="M44" s="32">
        <v>18570</v>
      </c>
      <c r="N44" s="32">
        <v>51135.85</v>
      </c>
      <c r="O44" s="32">
        <v>69705.850000000006</v>
      </c>
      <c r="P44" s="32">
        <f t="shared" si="0"/>
        <v>66623.44</v>
      </c>
      <c r="Q44" s="32"/>
      <c r="R44" s="32"/>
      <c r="S44" s="2"/>
      <c r="T44" s="2"/>
      <c r="U44" s="2"/>
      <c r="V44" s="2"/>
      <c r="W44" s="2"/>
      <c r="X44" s="30"/>
      <c r="Y44" s="30"/>
      <c r="Z44" s="32"/>
      <c r="AA44" s="32"/>
      <c r="AB44" s="32"/>
      <c r="AC44" s="32"/>
      <c r="AD44" s="32"/>
      <c r="AE44" s="32"/>
      <c r="AF44" s="32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x14ac:dyDescent="0.25">
      <c r="A45" s="4">
        <v>1.2</v>
      </c>
      <c r="B45" s="2">
        <v>3</v>
      </c>
      <c r="C45" s="2" t="s">
        <v>2</v>
      </c>
      <c r="D45" s="2">
        <v>193</v>
      </c>
      <c r="E45" s="2" t="s">
        <v>32</v>
      </c>
      <c r="F45" s="29">
        <v>0</v>
      </c>
      <c r="G45" s="30">
        <v>0.37195121951219512</v>
      </c>
      <c r="H45" s="30">
        <v>0.7416666666666667</v>
      </c>
      <c r="I45" s="37">
        <v>197.13</v>
      </c>
      <c r="J45" s="37">
        <v>393.08</v>
      </c>
      <c r="K45" s="32">
        <v>60</v>
      </c>
      <c r="L45" s="32">
        <v>54</v>
      </c>
      <c r="M45" s="32">
        <v>11827.8</v>
      </c>
      <c r="N45" s="32">
        <v>21226.32</v>
      </c>
      <c r="O45" s="32">
        <v>33054.119999999995</v>
      </c>
      <c r="P45" s="32">
        <f t="shared" si="0"/>
        <v>31592.46</v>
      </c>
      <c r="Q45" s="32"/>
      <c r="R45" s="32"/>
      <c r="S45" s="2"/>
      <c r="T45" s="2"/>
      <c r="U45" s="2"/>
      <c r="V45" s="2"/>
      <c r="W45" s="2"/>
      <c r="X45" s="30"/>
      <c r="Y45" s="30"/>
      <c r="Z45" s="32"/>
      <c r="AA45" s="32"/>
      <c r="AB45" s="32"/>
      <c r="AC45" s="32"/>
      <c r="AD45" s="32"/>
      <c r="AE45" s="32"/>
      <c r="AF45" s="32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x14ac:dyDescent="0.25">
      <c r="A46" s="4">
        <v>1.2</v>
      </c>
      <c r="B46" s="2">
        <v>3</v>
      </c>
      <c r="C46" s="2" t="s">
        <v>2</v>
      </c>
      <c r="D46">
        <v>210</v>
      </c>
      <c r="E46" s="2" t="s">
        <v>33</v>
      </c>
      <c r="F46" s="29">
        <v>1</v>
      </c>
      <c r="G46" s="30" t="s">
        <v>1328</v>
      </c>
      <c r="H46" s="30" t="s">
        <v>1328</v>
      </c>
      <c r="I46" s="37" t="s">
        <v>1328</v>
      </c>
      <c r="J46" s="37" t="s">
        <v>1328</v>
      </c>
      <c r="K46" s="32">
        <v>0</v>
      </c>
      <c r="L46" s="32">
        <v>0</v>
      </c>
      <c r="M46" s="32" t="s">
        <v>1328</v>
      </c>
      <c r="N46" s="32" t="s">
        <v>1328</v>
      </c>
      <c r="O46" s="32">
        <v>0</v>
      </c>
      <c r="P46" s="32">
        <f t="shared" si="0"/>
        <v>0</v>
      </c>
      <c r="Q46" s="32"/>
      <c r="R46" s="32"/>
      <c r="S46" s="2"/>
      <c r="T46" s="2"/>
      <c r="V46" s="2"/>
      <c r="W46" s="2"/>
      <c r="X46" s="30"/>
      <c r="Y46" s="30"/>
      <c r="Z46" s="32"/>
      <c r="AA46" s="32"/>
      <c r="AB46" s="32"/>
      <c r="AC46" s="32"/>
      <c r="AD46" s="32"/>
      <c r="AE46" s="32"/>
      <c r="AF46" s="32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x14ac:dyDescent="0.25">
      <c r="A47" s="4">
        <v>1.2</v>
      </c>
      <c r="B47" s="2">
        <v>3</v>
      </c>
      <c r="C47" s="2" t="s">
        <v>2</v>
      </c>
      <c r="D47" s="2">
        <v>225</v>
      </c>
      <c r="E47" s="2" t="s">
        <v>34</v>
      </c>
      <c r="F47" s="29">
        <v>0</v>
      </c>
      <c r="G47" s="30">
        <v>0.30252100840336132</v>
      </c>
      <c r="H47" s="30">
        <v>0.67647058823529416</v>
      </c>
      <c r="I47" s="37">
        <v>160.34</v>
      </c>
      <c r="J47" s="37">
        <v>358.53</v>
      </c>
      <c r="K47" s="32">
        <v>41</v>
      </c>
      <c r="L47" s="32">
        <v>40</v>
      </c>
      <c r="M47" s="32">
        <v>6573.94</v>
      </c>
      <c r="N47" s="32">
        <v>14341.2</v>
      </c>
      <c r="O47" s="32">
        <v>20915.14</v>
      </c>
      <c r="P47" s="32">
        <f t="shared" si="0"/>
        <v>19990.27</v>
      </c>
      <c r="Q47" s="32"/>
      <c r="R47" s="32"/>
      <c r="S47" s="2"/>
      <c r="T47" s="2"/>
      <c r="U47" s="2"/>
      <c r="V47" s="2"/>
      <c r="W47" s="2"/>
      <c r="X47" s="30"/>
      <c r="Y47" s="30"/>
      <c r="Z47" s="32"/>
      <c r="AA47" s="32"/>
      <c r="AB47" s="32"/>
      <c r="AC47" s="32"/>
      <c r="AD47" s="32"/>
      <c r="AE47" s="32"/>
      <c r="AF47" s="32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x14ac:dyDescent="0.25">
      <c r="A48" s="4">
        <v>1.2</v>
      </c>
      <c r="B48" s="2">
        <v>3</v>
      </c>
      <c r="C48" s="2" t="s">
        <v>2</v>
      </c>
      <c r="D48" s="2">
        <v>226</v>
      </c>
      <c r="E48" s="2" t="s">
        <v>35</v>
      </c>
      <c r="F48" s="29">
        <v>0</v>
      </c>
      <c r="G48" s="30">
        <v>0.74054054054054053</v>
      </c>
      <c r="H48" s="30">
        <v>0.70481927710843373</v>
      </c>
      <c r="I48" s="37">
        <v>392.49</v>
      </c>
      <c r="J48" s="37">
        <v>373.55</v>
      </c>
      <c r="K48" s="32">
        <v>66</v>
      </c>
      <c r="L48" s="32">
        <v>59</v>
      </c>
      <c r="M48" s="32">
        <v>25904.34</v>
      </c>
      <c r="N48" s="32">
        <v>22039.45</v>
      </c>
      <c r="O48" s="32">
        <v>47943.79</v>
      </c>
      <c r="P48" s="32">
        <f t="shared" si="0"/>
        <v>45823.7</v>
      </c>
      <c r="Q48" s="32"/>
      <c r="R48" s="32"/>
      <c r="S48" s="2"/>
      <c r="T48" s="2"/>
      <c r="U48" s="2"/>
      <c r="V48" s="2"/>
      <c r="W48" s="2"/>
      <c r="X48" s="30"/>
      <c r="Y48" s="30"/>
      <c r="Z48" s="32"/>
      <c r="AA48" s="32"/>
      <c r="AB48" s="32"/>
      <c r="AC48" s="32"/>
      <c r="AD48" s="32"/>
      <c r="AE48" s="32"/>
      <c r="AF48" s="32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x14ac:dyDescent="0.25">
      <c r="A49" s="4">
        <v>1.2</v>
      </c>
      <c r="B49" s="2">
        <v>3</v>
      </c>
      <c r="C49" s="2" t="s">
        <v>2</v>
      </c>
      <c r="D49" s="2">
        <v>249</v>
      </c>
      <c r="E49" s="2" t="s">
        <v>36</v>
      </c>
      <c r="F49" s="29">
        <v>0</v>
      </c>
      <c r="G49" s="30">
        <v>0.47643979057591623</v>
      </c>
      <c r="H49" s="30">
        <v>0.70967741935483875</v>
      </c>
      <c r="I49" s="37">
        <v>252.51</v>
      </c>
      <c r="J49" s="37">
        <v>376.13</v>
      </c>
      <c r="K49" s="32">
        <v>56</v>
      </c>
      <c r="L49" s="32">
        <v>64</v>
      </c>
      <c r="M49" s="32">
        <v>14140.56</v>
      </c>
      <c r="N49" s="32">
        <v>24072.32</v>
      </c>
      <c r="O49" s="32">
        <v>38212.879999999997</v>
      </c>
      <c r="P49" s="32">
        <f t="shared" si="0"/>
        <v>36523.1</v>
      </c>
      <c r="Q49" s="32"/>
      <c r="R49" s="32"/>
      <c r="S49" s="2"/>
      <c r="T49" s="2"/>
      <c r="U49" s="2"/>
      <c r="V49" s="2"/>
      <c r="W49" s="2"/>
      <c r="X49" s="30"/>
      <c r="Y49" s="30"/>
      <c r="Z49" s="32"/>
      <c r="AA49" s="32"/>
      <c r="AB49" s="32"/>
      <c r="AC49" s="32"/>
      <c r="AD49" s="32"/>
      <c r="AE49" s="32"/>
      <c r="AF49" s="32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x14ac:dyDescent="0.25">
      <c r="A50" s="4">
        <v>1.2</v>
      </c>
      <c r="B50" s="2">
        <v>3</v>
      </c>
      <c r="C50" s="2" t="s">
        <v>2</v>
      </c>
      <c r="D50" s="2">
        <v>256</v>
      </c>
      <c r="E50" s="2" t="s">
        <v>37</v>
      </c>
      <c r="F50" s="29">
        <v>0</v>
      </c>
      <c r="G50" s="30">
        <v>0.3125</v>
      </c>
      <c r="H50" s="30">
        <v>0.69182389937106914</v>
      </c>
      <c r="I50" s="37">
        <v>165.63</v>
      </c>
      <c r="J50" s="37">
        <v>366.67</v>
      </c>
      <c r="K50" s="32">
        <v>56</v>
      </c>
      <c r="L50" s="32">
        <v>75</v>
      </c>
      <c r="M50" s="32">
        <v>9275.2800000000007</v>
      </c>
      <c r="N50" s="32">
        <v>27500.25</v>
      </c>
      <c r="O50" s="32">
        <v>36775.53</v>
      </c>
      <c r="P50" s="32">
        <f t="shared" si="0"/>
        <v>35149.31</v>
      </c>
      <c r="Q50" s="32"/>
      <c r="R50" s="32"/>
      <c r="S50" s="2"/>
      <c r="T50" s="2"/>
      <c r="U50" s="2"/>
      <c r="V50" s="2"/>
      <c r="W50" s="2"/>
      <c r="X50" s="30"/>
      <c r="Y50" s="30"/>
      <c r="Z50" s="32"/>
      <c r="AA50" s="32"/>
      <c r="AB50" s="32"/>
      <c r="AC50" s="32"/>
      <c r="AD50" s="32"/>
      <c r="AE50" s="32"/>
      <c r="AF50" s="32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x14ac:dyDescent="0.25">
      <c r="A51" s="4">
        <v>1.2</v>
      </c>
      <c r="B51" s="2">
        <v>3</v>
      </c>
      <c r="C51" s="2" t="s">
        <v>2</v>
      </c>
      <c r="D51" s="2">
        <v>260</v>
      </c>
      <c r="E51" s="2" t="s">
        <v>38</v>
      </c>
      <c r="F51" s="29">
        <v>0</v>
      </c>
      <c r="G51" s="30">
        <v>0.50828729281767959</v>
      </c>
      <c r="H51" s="30">
        <v>0.74193548387096775</v>
      </c>
      <c r="I51" s="37">
        <v>269.39</v>
      </c>
      <c r="J51" s="37">
        <v>393.23</v>
      </c>
      <c r="K51" s="32">
        <v>64</v>
      </c>
      <c r="L51" s="32">
        <v>56</v>
      </c>
      <c r="M51" s="32">
        <v>17240.96</v>
      </c>
      <c r="N51" s="32">
        <v>22020.880000000001</v>
      </c>
      <c r="O51" s="32">
        <v>39261.839999999997</v>
      </c>
      <c r="P51" s="32">
        <f t="shared" si="0"/>
        <v>37525.67</v>
      </c>
      <c r="Q51" s="32"/>
      <c r="R51" s="32"/>
      <c r="S51" s="2"/>
      <c r="T51" s="2"/>
      <c r="U51" s="2"/>
      <c r="V51" s="2"/>
      <c r="W51" s="2"/>
      <c r="X51" s="30"/>
      <c r="Y51" s="30"/>
      <c r="Z51" s="32"/>
      <c r="AA51" s="32"/>
      <c r="AB51" s="32"/>
      <c r="AC51" s="32"/>
      <c r="AD51" s="32"/>
      <c r="AE51" s="32"/>
      <c r="AF51" s="32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x14ac:dyDescent="0.25">
      <c r="A52" s="4">
        <v>1.2</v>
      </c>
      <c r="B52" s="2">
        <v>3</v>
      </c>
      <c r="C52" s="2" t="s">
        <v>2</v>
      </c>
      <c r="D52" s="2">
        <v>282</v>
      </c>
      <c r="E52" s="2" t="s">
        <v>39</v>
      </c>
      <c r="F52" s="29">
        <v>0</v>
      </c>
      <c r="G52" s="30">
        <v>0.34911242603550297</v>
      </c>
      <c r="H52" s="30">
        <v>0.66187050359712229</v>
      </c>
      <c r="I52" s="37">
        <v>185.03</v>
      </c>
      <c r="J52" s="37">
        <v>350.79</v>
      </c>
      <c r="K52" s="32">
        <v>65</v>
      </c>
      <c r="L52" s="32">
        <v>66</v>
      </c>
      <c r="M52" s="32">
        <v>12026.95</v>
      </c>
      <c r="N52" s="32">
        <v>23152.14</v>
      </c>
      <c r="O52" s="32">
        <v>35179.089999999997</v>
      </c>
      <c r="P52" s="32">
        <f t="shared" si="0"/>
        <v>33623.46</v>
      </c>
      <c r="Q52" s="32"/>
      <c r="R52" s="32"/>
      <c r="S52" s="2"/>
      <c r="T52" s="2"/>
      <c r="U52" s="2"/>
      <c r="V52" s="2"/>
      <c r="W52" s="2"/>
      <c r="X52" s="30"/>
      <c r="Y52" s="30"/>
      <c r="Z52" s="32"/>
      <c r="AA52" s="32"/>
      <c r="AB52" s="32"/>
      <c r="AC52" s="32"/>
      <c r="AD52" s="32"/>
      <c r="AE52" s="32"/>
      <c r="AF52" s="32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x14ac:dyDescent="0.25">
      <c r="A53" s="4">
        <v>1.2</v>
      </c>
      <c r="B53" s="2">
        <v>3</v>
      </c>
      <c r="C53" s="2" t="s">
        <v>1153</v>
      </c>
      <c r="D53" s="2">
        <v>283</v>
      </c>
      <c r="E53" s="2" t="s">
        <v>1154</v>
      </c>
      <c r="F53" s="29">
        <v>1</v>
      </c>
      <c r="G53" s="30" t="s">
        <v>1328</v>
      </c>
      <c r="H53" s="30" t="s">
        <v>1328</v>
      </c>
      <c r="I53" s="37" t="s">
        <v>1328</v>
      </c>
      <c r="J53" s="37" t="s">
        <v>1328</v>
      </c>
      <c r="K53" s="32">
        <v>0</v>
      </c>
      <c r="L53" s="32">
        <v>0</v>
      </c>
      <c r="M53" s="32" t="s">
        <v>1328</v>
      </c>
      <c r="N53" s="32" t="s">
        <v>1328</v>
      </c>
      <c r="O53" s="32">
        <v>0</v>
      </c>
      <c r="P53" s="32">
        <f t="shared" si="0"/>
        <v>0</v>
      </c>
      <c r="Q53" s="32"/>
      <c r="R53" s="32"/>
      <c r="S53" s="2"/>
      <c r="T53" s="2"/>
      <c r="U53" s="2"/>
      <c r="V53" s="2"/>
      <c r="W53" s="2"/>
      <c r="X53" s="30"/>
      <c r="Y53" s="30"/>
      <c r="Z53" s="32"/>
      <c r="AA53" s="32"/>
      <c r="AB53" s="32"/>
      <c r="AC53" s="32"/>
      <c r="AD53" s="32"/>
      <c r="AE53" s="32"/>
      <c r="AF53" s="32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x14ac:dyDescent="0.25">
      <c r="A54" s="4">
        <v>1.2</v>
      </c>
      <c r="B54" s="2">
        <v>3</v>
      </c>
      <c r="C54" s="2" t="s">
        <v>2</v>
      </c>
      <c r="D54" s="2">
        <v>287</v>
      </c>
      <c r="E54" s="2" t="s">
        <v>40</v>
      </c>
      <c r="F54" s="29">
        <v>0</v>
      </c>
      <c r="G54" s="30">
        <v>0.41860465116279072</v>
      </c>
      <c r="H54" s="30">
        <v>0.70588235294117652</v>
      </c>
      <c r="I54" s="37">
        <v>221.86</v>
      </c>
      <c r="J54" s="37">
        <v>374.12</v>
      </c>
      <c r="K54" s="32">
        <v>62</v>
      </c>
      <c r="L54" s="32">
        <v>57</v>
      </c>
      <c r="M54" s="32">
        <v>13755.32</v>
      </c>
      <c r="N54" s="32">
        <v>21324.84</v>
      </c>
      <c r="O54" s="32">
        <v>35080.160000000003</v>
      </c>
      <c r="P54" s="32">
        <f t="shared" si="0"/>
        <v>33528.910000000003</v>
      </c>
      <c r="Q54" s="32"/>
      <c r="R54" s="32"/>
      <c r="S54" s="2"/>
      <c r="T54" s="2"/>
      <c r="U54" s="2"/>
      <c r="V54" s="2"/>
      <c r="W54" s="2"/>
      <c r="X54" s="30"/>
      <c r="Y54" s="30"/>
      <c r="Z54" s="32"/>
      <c r="AA54" s="32"/>
      <c r="AB54" s="32"/>
      <c r="AC54" s="32"/>
      <c r="AD54" s="32"/>
      <c r="AE54" s="32"/>
      <c r="AF54" s="32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x14ac:dyDescent="0.25">
      <c r="A55" s="4">
        <v>1.2</v>
      </c>
      <c r="B55">
        <v>3</v>
      </c>
      <c r="C55" t="s">
        <v>2</v>
      </c>
      <c r="D55">
        <v>288</v>
      </c>
      <c r="E55" t="s">
        <v>41</v>
      </c>
      <c r="F55" s="1">
        <v>0</v>
      </c>
      <c r="G55" s="30">
        <v>0.40254237288135591</v>
      </c>
      <c r="H55" s="30">
        <v>0.70108695652173914</v>
      </c>
      <c r="I55" s="37">
        <v>213.35</v>
      </c>
      <c r="J55" s="37">
        <v>371.58</v>
      </c>
      <c r="K55" s="32">
        <v>84</v>
      </c>
      <c r="L55" s="32">
        <v>86</v>
      </c>
      <c r="M55" s="32">
        <v>17921.400000000001</v>
      </c>
      <c r="N55" s="32">
        <v>31955.88</v>
      </c>
      <c r="O55" s="32">
        <v>49877.279999999999</v>
      </c>
      <c r="P55" s="32">
        <f t="shared" si="0"/>
        <v>47671.69</v>
      </c>
      <c r="Q55" s="32"/>
      <c r="R55" s="32"/>
      <c r="W55" s="2"/>
      <c r="X55" s="30"/>
      <c r="Y55" s="30"/>
      <c r="Z55" s="32"/>
      <c r="AA55" s="32"/>
      <c r="AB55" s="32"/>
      <c r="AC55" s="32"/>
      <c r="AD55" s="32"/>
      <c r="AE55" s="32"/>
      <c r="AF55" s="32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x14ac:dyDescent="0.25">
      <c r="A56" s="4">
        <v>1.2</v>
      </c>
      <c r="B56" s="2">
        <v>3</v>
      </c>
      <c r="C56" s="2" t="s">
        <v>2</v>
      </c>
      <c r="D56" s="2">
        <v>289</v>
      </c>
      <c r="E56" s="2" t="s">
        <v>42</v>
      </c>
      <c r="F56" s="29">
        <v>0</v>
      </c>
      <c r="G56" s="30">
        <v>0.59507042253521125</v>
      </c>
      <c r="H56" s="30">
        <v>0.76255707762557079</v>
      </c>
      <c r="I56" s="37">
        <v>315.39</v>
      </c>
      <c r="J56" s="37">
        <v>404.16</v>
      </c>
      <c r="K56" s="32">
        <v>102</v>
      </c>
      <c r="L56" s="32">
        <v>97</v>
      </c>
      <c r="M56" s="32">
        <v>32169.78</v>
      </c>
      <c r="N56" s="32">
        <v>39203.519999999997</v>
      </c>
      <c r="O56" s="32">
        <v>71373.299999999988</v>
      </c>
      <c r="P56" s="32">
        <f t="shared" si="0"/>
        <v>68217.16</v>
      </c>
      <c r="Q56" s="32"/>
      <c r="R56" s="32"/>
      <c r="S56" s="2"/>
      <c r="T56" s="2"/>
      <c r="U56" s="2"/>
      <c r="V56" s="2"/>
      <c r="W56" s="2"/>
      <c r="X56" s="30"/>
      <c r="Y56" s="30"/>
      <c r="Z56" s="32"/>
      <c r="AA56" s="32"/>
      <c r="AB56" s="32"/>
      <c r="AC56" s="32"/>
      <c r="AD56" s="32"/>
      <c r="AE56" s="32"/>
      <c r="AF56" s="32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x14ac:dyDescent="0.25">
      <c r="A57" s="4">
        <v>1.2</v>
      </c>
      <c r="B57" s="2">
        <v>3</v>
      </c>
      <c r="C57" s="2" t="s">
        <v>2</v>
      </c>
      <c r="D57" s="2">
        <v>290</v>
      </c>
      <c r="E57" s="2" t="s">
        <v>43</v>
      </c>
      <c r="F57" s="29">
        <v>1</v>
      </c>
      <c r="G57" s="30" t="s">
        <v>1328</v>
      </c>
      <c r="H57" s="30" t="s">
        <v>1328</v>
      </c>
      <c r="I57" s="37" t="s">
        <v>1328</v>
      </c>
      <c r="J57" s="37" t="s">
        <v>1328</v>
      </c>
      <c r="K57" s="32">
        <v>8</v>
      </c>
      <c r="L57" s="32">
        <v>7</v>
      </c>
      <c r="M57" s="32" t="s">
        <v>1328</v>
      </c>
      <c r="N57" s="32" t="s">
        <v>1328</v>
      </c>
      <c r="O57" s="32">
        <v>4000.59</v>
      </c>
      <c r="P57" s="32">
        <f t="shared" si="0"/>
        <v>3823.68</v>
      </c>
      <c r="Q57" s="32"/>
      <c r="R57" s="32"/>
      <c r="S57" s="2"/>
      <c r="T57" s="2"/>
      <c r="U57" s="2"/>
      <c r="V57" s="2"/>
      <c r="W57" s="2"/>
      <c r="X57" s="30"/>
      <c r="Y57" s="30"/>
      <c r="Z57" s="32"/>
      <c r="AA57" s="32"/>
      <c r="AB57" s="32"/>
      <c r="AC57" s="32"/>
      <c r="AD57" s="32"/>
      <c r="AE57" s="32"/>
      <c r="AF57" s="32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x14ac:dyDescent="0.25">
      <c r="A58" s="4">
        <v>1.2</v>
      </c>
      <c r="B58" s="2">
        <v>3</v>
      </c>
      <c r="C58" s="2" t="s">
        <v>2</v>
      </c>
      <c r="D58" s="2">
        <v>291</v>
      </c>
      <c r="E58" s="2" t="s">
        <v>44</v>
      </c>
      <c r="F58" s="29">
        <v>0</v>
      </c>
      <c r="G58" s="30">
        <v>0.22413793103448276</v>
      </c>
      <c r="H58" s="30">
        <v>0.68831168831168832</v>
      </c>
      <c r="I58" s="37">
        <v>118.79</v>
      </c>
      <c r="J58" s="37">
        <v>364.81</v>
      </c>
      <c r="K58" s="32">
        <v>47</v>
      </c>
      <c r="L58" s="32">
        <v>34</v>
      </c>
      <c r="M58" s="32">
        <v>5583.13</v>
      </c>
      <c r="N58" s="32">
        <v>12403.54</v>
      </c>
      <c r="O58" s="32">
        <v>17986.670000000002</v>
      </c>
      <c r="P58" s="32">
        <f t="shared" si="0"/>
        <v>17191.3</v>
      </c>
      <c r="Q58" s="32"/>
      <c r="R58" s="32"/>
      <c r="S58" s="2"/>
      <c r="T58" s="2"/>
      <c r="U58" s="2"/>
      <c r="V58" s="2"/>
      <c r="W58" s="2"/>
      <c r="X58" s="30"/>
      <c r="Y58" s="30"/>
      <c r="Z58" s="32"/>
      <c r="AA58" s="32"/>
      <c r="AB58" s="32"/>
      <c r="AC58" s="32"/>
      <c r="AD58" s="32"/>
      <c r="AE58" s="32"/>
      <c r="AF58" s="32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x14ac:dyDescent="0.25">
      <c r="A59" s="4">
        <v>1.2</v>
      </c>
      <c r="B59" s="2">
        <v>3</v>
      </c>
      <c r="C59" s="2" t="s">
        <v>1153</v>
      </c>
      <c r="D59" s="2">
        <v>311</v>
      </c>
      <c r="E59" s="2" t="s">
        <v>1155</v>
      </c>
      <c r="F59" s="29">
        <v>1</v>
      </c>
      <c r="G59" s="30" t="s">
        <v>1328</v>
      </c>
      <c r="H59" s="30" t="s">
        <v>1328</v>
      </c>
      <c r="I59" s="37" t="s">
        <v>1328</v>
      </c>
      <c r="J59" s="37" t="s">
        <v>1328</v>
      </c>
      <c r="K59" s="32">
        <v>6</v>
      </c>
      <c r="L59" s="32">
        <v>7</v>
      </c>
      <c r="M59" s="32" t="s">
        <v>1328</v>
      </c>
      <c r="N59" s="32" t="s">
        <v>1328</v>
      </c>
      <c r="O59" s="32">
        <v>2755.98</v>
      </c>
      <c r="P59" s="32">
        <f t="shared" si="0"/>
        <v>2634.11</v>
      </c>
      <c r="Q59" s="32"/>
      <c r="R59" s="32"/>
      <c r="S59" s="2"/>
      <c r="T59" s="2"/>
      <c r="U59" s="2"/>
      <c r="V59" s="2"/>
      <c r="W59" s="2"/>
      <c r="X59" s="30"/>
      <c r="Y59" s="30"/>
      <c r="Z59" s="32"/>
      <c r="AA59" s="32"/>
      <c r="AB59" s="32"/>
      <c r="AC59" s="32"/>
      <c r="AD59" s="32"/>
      <c r="AE59" s="32"/>
      <c r="AF59" s="32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x14ac:dyDescent="0.25">
      <c r="A60" s="4">
        <v>1.2</v>
      </c>
      <c r="B60" s="2">
        <v>3</v>
      </c>
      <c r="C60" s="2" t="s">
        <v>1153</v>
      </c>
      <c r="D60" s="2">
        <v>401</v>
      </c>
      <c r="E60" s="2" t="s">
        <v>1156</v>
      </c>
      <c r="F60" s="29">
        <v>1</v>
      </c>
      <c r="G60" s="30" t="s">
        <v>1328</v>
      </c>
      <c r="H60" s="30" t="s">
        <v>1328</v>
      </c>
      <c r="I60" s="37" t="s">
        <v>1328</v>
      </c>
      <c r="J60" s="37" t="s">
        <v>1328</v>
      </c>
      <c r="K60" s="32">
        <v>0</v>
      </c>
      <c r="L60" s="32">
        <v>1</v>
      </c>
      <c r="M60" s="32" t="s">
        <v>1328</v>
      </c>
      <c r="N60" s="32" t="s">
        <v>1328</v>
      </c>
      <c r="O60" s="32">
        <v>0</v>
      </c>
      <c r="P60" s="32">
        <f t="shared" si="0"/>
        <v>0</v>
      </c>
      <c r="Q60" s="32"/>
      <c r="R60" s="32"/>
      <c r="S60" s="2"/>
      <c r="T60" s="2"/>
      <c r="U60" s="2"/>
      <c r="V60" s="2"/>
      <c r="W60" s="2"/>
      <c r="X60" s="30"/>
      <c r="Y60" s="30"/>
      <c r="Z60" s="32"/>
      <c r="AA60" s="32"/>
      <c r="AB60" s="32"/>
      <c r="AC60" s="32"/>
      <c r="AD60" s="32"/>
      <c r="AE60" s="32"/>
      <c r="AF60" s="32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x14ac:dyDescent="0.25">
      <c r="A61" s="4">
        <v>1.2</v>
      </c>
      <c r="B61" s="2">
        <v>3</v>
      </c>
      <c r="C61" s="2" t="s">
        <v>1153</v>
      </c>
      <c r="D61" s="2">
        <v>405</v>
      </c>
      <c r="E61" s="2" t="s">
        <v>1157</v>
      </c>
      <c r="F61" s="29">
        <v>1</v>
      </c>
      <c r="G61" s="30" t="s">
        <v>1328</v>
      </c>
      <c r="H61" s="30" t="s">
        <v>1328</v>
      </c>
      <c r="I61" s="37" t="s">
        <v>1328</v>
      </c>
      <c r="J61" s="37" t="s">
        <v>1328</v>
      </c>
      <c r="K61" s="32">
        <v>11</v>
      </c>
      <c r="L61" s="32">
        <v>8</v>
      </c>
      <c r="M61" s="32" t="s">
        <v>1328</v>
      </c>
      <c r="N61" s="32" t="s">
        <v>1328</v>
      </c>
      <c r="O61" s="32">
        <v>5690.65</v>
      </c>
      <c r="P61" s="32">
        <f t="shared" si="0"/>
        <v>5439.01</v>
      </c>
      <c r="Q61" s="32"/>
      <c r="R61" s="32"/>
      <c r="S61" s="2"/>
      <c r="T61" s="2"/>
      <c r="U61" s="2"/>
      <c r="V61" s="2"/>
      <c r="W61" s="2"/>
      <c r="X61" s="30"/>
      <c r="Y61" s="30"/>
      <c r="Z61" s="32"/>
      <c r="AA61" s="32"/>
      <c r="AB61" s="32"/>
      <c r="AC61" s="32"/>
      <c r="AD61" s="32"/>
      <c r="AE61" s="32"/>
      <c r="AF61" s="32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x14ac:dyDescent="0.25">
      <c r="A62" s="4">
        <v>1.2</v>
      </c>
      <c r="B62" s="2">
        <v>3</v>
      </c>
      <c r="C62" s="2" t="s">
        <v>1153</v>
      </c>
      <c r="D62" s="2">
        <v>418</v>
      </c>
      <c r="E62" s="2" t="s">
        <v>1158</v>
      </c>
      <c r="F62" s="29">
        <v>1</v>
      </c>
      <c r="G62" s="30" t="s">
        <v>1328</v>
      </c>
      <c r="H62" s="30" t="s">
        <v>1328</v>
      </c>
      <c r="I62" s="37" t="s">
        <v>1328</v>
      </c>
      <c r="J62" s="37" t="s">
        <v>1328</v>
      </c>
      <c r="K62" s="32">
        <v>5</v>
      </c>
      <c r="L62" s="32">
        <v>0</v>
      </c>
      <c r="M62" s="32" t="s">
        <v>1328</v>
      </c>
      <c r="N62" s="32" t="s">
        <v>1328</v>
      </c>
      <c r="O62" s="32">
        <v>331.25</v>
      </c>
      <c r="P62" s="32">
        <f t="shared" si="0"/>
        <v>316.60000000000002</v>
      </c>
      <c r="Q62" s="32"/>
      <c r="R62" s="32"/>
      <c r="S62" s="2"/>
      <c r="T62" s="2"/>
      <c r="U62" s="2"/>
      <c r="V62" s="2"/>
      <c r="W62" s="2"/>
      <c r="X62" s="30"/>
      <c r="Y62" s="30"/>
      <c r="Z62" s="32"/>
      <c r="AA62" s="32"/>
      <c r="AB62" s="32"/>
      <c r="AC62" s="32"/>
      <c r="AD62" s="32"/>
      <c r="AE62" s="32"/>
      <c r="AF62" s="32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x14ac:dyDescent="0.25">
      <c r="A63" s="4">
        <v>1.2</v>
      </c>
      <c r="B63" s="2">
        <v>3</v>
      </c>
      <c r="C63" s="2" t="s">
        <v>1153</v>
      </c>
      <c r="D63" s="2">
        <v>625</v>
      </c>
      <c r="E63" s="2" t="s">
        <v>1159</v>
      </c>
      <c r="F63" s="29">
        <v>1</v>
      </c>
      <c r="G63" s="30" t="s">
        <v>1328</v>
      </c>
      <c r="H63" s="30" t="s">
        <v>1328</v>
      </c>
      <c r="I63" s="37" t="s">
        <v>1328</v>
      </c>
      <c r="J63" s="37" t="s">
        <v>1328</v>
      </c>
      <c r="K63" s="32">
        <v>9</v>
      </c>
      <c r="L63" s="32">
        <v>10</v>
      </c>
      <c r="M63" s="32" t="s">
        <v>1328</v>
      </c>
      <c r="N63" s="32" t="s">
        <v>1328</v>
      </c>
      <c r="O63" s="32">
        <v>4655.6900000000005</v>
      </c>
      <c r="P63" s="32">
        <f t="shared" si="0"/>
        <v>4449.8100000000004</v>
      </c>
      <c r="Q63" s="32"/>
      <c r="R63" s="32"/>
      <c r="S63" s="2"/>
      <c r="T63" s="2"/>
      <c r="U63" s="2"/>
      <c r="V63" s="2"/>
      <c r="W63" s="2"/>
      <c r="X63" s="30"/>
      <c r="Y63" s="30"/>
      <c r="Z63" s="32"/>
      <c r="AA63" s="32"/>
      <c r="AB63" s="32"/>
      <c r="AC63" s="32"/>
      <c r="AD63" s="32"/>
      <c r="AE63" s="32"/>
      <c r="AF63" s="32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x14ac:dyDescent="0.25">
      <c r="A64" s="4">
        <v>1.2</v>
      </c>
      <c r="B64" s="2">
        <v>3</v>
      </c>
      <c r="C64" s="2" t="s">
        <v>1153</v>
      </c>
      <c r="D64" s="2">
        <v>689</v>
      </c>
      <c r="E64" s="2" t="s">
        <v>1160</v>
      </c>
      <c r="F64" s="29">
        <v>1</v>
      </c>
      <c r="G64" s="30" t="s">
        <v>1328</v>
      </c>
      <c r="H64" s="30" t="s">
        <v>1328</v>
      </c>
      <c r="I64" s="37" t="s">
        <v>1328</v>
      </c>
      <c r="J64" s="37" t="s">
        <v>1328</v>
      </c>
      <c r="K64" s="32">
        <v>5</v>
      </c>
      <c r="L64" s="32">
        <v>9</v>
      </c>
      <c r="M64" s="32" t="s">
        <v>1328</v>
      </c>
      <c r="N64" s="32" t="s">
        <v>1328</v>
      </c>
      <c r="O64" s="32">
        <v>3107.75</v>
      </c>
      <c r="P64" s="32">
        <f t="shared" si="0"/>
        <v>2970.32</v>
      </c>
      <c r="Q64" s="32"/>
      <c r="R64" s="32"/>
      <c r="S64" s="2"/>
      <c r="T64" s="2"/>
      <c r="U64" s="2"/>
      <c r="V64" s="2"/>
      <c r="W64" s="2"/>
      <c r="X64" s="30"/>
      <c r="Y64" s="30"/>
      <c r="Z64" s="32"/>
      <c r="AA64" s="32"/>
      <c r="AB64" s="32"/>
      <c r="AC64" s="32"/>
      <c r="AD64" s="32"/>
      <c r="AE64" s="32"/>
      <c r="AF64" s="32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x14ac:dyDescent="0.25">
      <c r="A65" s="2">
        <v>2</v>
      </c>
      <c r="B65" s="2">
        <v>1</v>
      </c>
      <c r="C65" s="2" t="s">
        <v>45</v>
      </c>
      <c r="D65" s="2">
        <v>1</v>
      </c>
      <c r="E65" s="2" t="s">
        <v>46</v>
      </c>
      <c r="F65" s="29">
        <v>0</v>
      </c>
      <c r="G65" s="30">
        <v>0.73469387755102045</v>
      </c>
      <c r="H65" s="30">
        <v>0.75471698113207553</v>
      </c>
      <c r="I65" s="37">
        <v>389.39</v>
      </c>
      <c r="J65" s="37">
        <v>400</v>
      </c>
      <c r="K65" s="32">
        <v>15</v>
      </c>
      <c r="L65" s="32">
        <v>20</v>
      </c>
      <c r="M65" s="32">
        <v>5840.85</v>
      </c>
      <c r="N65" s="32">
        <v>8000</v>
      </c>
      <c r="O65" s="32">
        <v>13840.85</v>
      </c>
      <c r="P65" s="32">
        <f t="shared" si="0"/>
        <v>13228.8</v>
      </c>
      <c r="Q65" s="32"/>
      <c r="R65" s="32"/>
      <c r="S65" s="2"/>
      <c r="T65" s="2"/>
      <c r="U65" s="2"/>
      <c r="V65" s="2"/>
      <c r="W65" s="2"/>
      <c r="X65" s="30"/>
      <c r="Y65" s="30"/>
      <c r="Z65" s="32"/>
      <c r="AA65" s="32"/>
      <c r="AB65" s="32"/>
      <c r="AC65" s="32"/>
      <c r="AD65" s="32"/>
      <c r="AE65" s="32"/>
      <c r="AF65" s="32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x14ac:dyDescent="0.25">
      <c r="A66" s="2">
        <v>4</v>
      </c>
      <c r="B66" s="2">
        <v>1</v>
      </c>
      <c r="C66" s="2" t="s">
        <v>47</v>
      </c>
      <c r="D66" s="2">
        <v>10</v>
      </c>
      <c r="E66" s="2" t="s">
        <v>48</v>
      </c>
      <c r="F66" s="29">
        <v>0</v>
      </c>
      <c r="G66" s="30">
        <v>0.73493975903614461</v>
      </c>
      <c r="H66" s="30">
        <v>0.75</v>
      </c>
      <c r="I66" s="37">
        <v>389.52</v>
      </c>
      <c r="J66" s="37">
        <v>397.5</v>
      </c>
      <c r="K66" s="32">
        <v>33</v>
      </c>
      <c r="L66" s="32">
        <v>37</v>
      </c>
      <c r="M66" s="32">
        <v>12854.16</v>
      </c>
      <c r="N66" s="32">
        <v>14707.5</v>
      </c>
      <c r="O66" s="32">
        <v>27561.66</v>
      </c>
      <c r="P66" s="32">
        <f t="shared" si="0"/>
        <v>26342.880000000001</v>
      </c>
      <c r="Q66" s="32"/>
      <c r="R66" s="32"/>
      <c r="S66" s="2"/>
      <c r="T66" s="2"/>
      <c r="U66" s="2"/>
      <c r="V66" s="2"/>
      <c r="W66" s="2"/>
      <c r="X66" s="30"/>
      <c r="Y66" s="30"/>
      <c r="Z66" s="32"/>
      <c r="AA66" s="32"/>
      <c r="AB66" s="32"/>
      <c r="AC66" s="32"/>
      <c r="AD66" s="32"/>
      <c r="AE66" s="32"/>
      <c r="AF66" s="32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x14ac:dyDescent="0.25">
      <c r="A67" s="2">
        <v>6</v>
      </c>
      <c r="B67" s="2">
        <v>3</v>
      </c>
      <c r="C67" s="2" t="s">
        <v>49</v>
      </c>
      <c r="D67" s="2">
        <v>735</v>
      </c>
      <c r="E67" s="2" t="s">
        <v>50</v>
      </c>
      <c r="F67" s="29">
        <v>0</v>
      </c>
      <c r="G67" s="30">
        <v>0.71250000000000002</v>
      </c>
      <c r="H67" s="30">
        <v>0.80108991825613074</v>
      </c>
      <c r="I67" s="37">
        <v>377.63</v>
      </c>
      <c r="J67" s="37">
        <v>424.58</v>
      </c>
      <c r="K67" s="32">
        <v>149</v>
      </c>
      <c r="L67" s="32">
        <v>137</v>
      </c>
      <c r="M67" s="32">
        <v>56266.87</v>
      </c>
      <c r="N67" s="32">
        <v>58167.46</v>
      </c>
      <c r="O67" s="32">
        <v>114434.33</v>
      </c>
      <c r="P67" s="32">
        <f t="shared" si="0"/>
        <v>109374.02</v>
      </c>
      <c r="Q67" s="32"/>
      <c r="R67" s="32"/>
      <c r="S67" s="2"/>
      <c r="T67" s="2"/>
      <c r="U67" s="2"/>
      <c r="V67" s="2"/>
      <c r="W67" s="2"/>
      <c r="X67" s="30"/>
      <c r="Y67" s="30"/>
      <c r="Z67" s="32"/>
      <c r="AA67" s="32"/>
      <c r="AB67" s="32"/>
      <c r="AC67" s="32"/>
      <c r="AD67" s="32"/>
      <c r="AE67" s="32"/>
      <c r="AF67" s="32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x14ac:dyDescent="0.25">
      <c r="A68" s="2">
        <v>6</v>
      </c>
      <c r="B68" s="2">
        <v>3</v>
      </c>
      <c r="C68" s="2" t="s">
        <v>49</v>
      </c>
      <c r="D68" s="2">
        <v>737</v>
      </c>
      <c r="E68" s="2" t="s">
        <v>51</v>
      </c>
      <c r="F68" s="29">
        <v>0</v>
      </c>
      <c r="G68" s="30">
        <v>0.79941860465116277</v>
      </c>
      <c r="H68" s="30">
        <v>0.67092651757188504</v>
      </c>
      <c r="I68" s="37">
        <v>423.69</v>
      </c>
      <c r="J68" s="37">
        <v>355.59</v>
      </c>
      <c r="K68" s="32">
        <v>107</v>
      </c>
      <c r="L68" s="32">
        <v>119</v>
      </c>
      <c r="M68" s="32">
        <v>45334.83</v>
      </c>
      <c r="N68" s="32">
        <v>42315.21</v>
      </c>
      <c r="O68" s="32">
        <v>87650.040000000008</v>
      </c>
      <c r="P68" s="32">
        <f t="shared" si="0"/>
        <v>83774.13</v>
      </c>
      <c r="Q68" s="32"/>
      <c r="R68" s="32"/>
      <c r="S68" s="2"/>
      <c r="T68" s="2"/>
      <c r="U68" s="2"/>
      <c r="V68" s="2"/>
      <c r="W68" s="2"/>
      <c r="X68" s="30"/>
      <c r="Y68" s="30"/>
      <c r="Z68" s="32"/>
      <c r="AA68" s="32"/>
      <c r="AB68" s="32"/>
      <c r="AC68" s="32"/>
      <c r="AD68" s="32"/>
      <c r="AE68" s="32"/>
      <c r="AF68" s="32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x14ac:dyDescent="0.25">
      <c r="A69" s="2">
        <v>11</v>
      </c>
      <c r="B69" s="2">
        <v>1</v>
      </c>
      <c r="C69" s="2" t="s">
        <v>52</v>
      </c>
      <c r="D69" s="2">
        <v>400</v>
      </c>
      <c r="E69" s="2" t="s">
        <v>53</v>
      </c>
      <c r="F69" s="29">
        <v>0</v>
      </c>
      <c r="G69" s="30">
        <v>0.76987447698744771</v>
      </c>
      <c r="H69" s="30">
        <v>0.78082191780821919</v>
      </c>
      <c r="I69" s="37">
        <v>408.03</v>
      </c>
      <c r="J69" s="37">
        <v>413.84</v>
      </c>
      <c r="K69" s="32">
        <v>80</v>
      </c>
      <c r="L69" s="32">
        <v>82</v>
      </c>
      <c r="M69" s="32">
        <v>32642.400000000001</v>
      </c>
      <c r="N69" s="32">
        <v>33934.879999999997</v>
      </c>
      <c r="O69" s="32">
        <v>66577.279999999999</v>
      </c>
      <c r="P69" s="32">
        <f t="shared" si="0"/>
        <v>63633.22</v>
      </c>
      <c r="Q69" s="32"/>
      <c r="R69" s="32"/>
      <c r="S69" s="2"/>
      <c r="T69" s="2"/>
      <c r="U69" s="2"/>
      <c r="V69" s="2"/>
      <c r="W69" s="2"/>
      <c r="X69" s="30"/>
      <c r="Y69" s="30"/>
      <c r="Z69" s="32"/>
      <c r="AA69" s="32"/>
      <c r="AB69" s="32"/>
      <c r="AC69" s="32"/>
      <c r="AD69" s="32"/>
      <c r="AE69" s="32"/>
      <c r="AF69" s="32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x14ac:dyDescent="0.25">
      <c r="A70" s="2">
        <v>11</v>
      </c>
      <c r="B70" s="2">
        <v>1</v>
      </c>
      <c r="C70" s="2" t="s">
        <v>52</v>
      </c>
      <c r="D70" s="2">
        <v>401</v>
      </c>
      <c r="E70" s="2" t="s">
        <v>54</v>
      </c>
      <c r="F70" s="29">
        <v>1</v>
      </c>
      <c r="G70" s="30" t="s">
        <v>1328</v>
      </c>
      <c r="H70" s="30" t="s">
        <v>1328</v>
      </c>
      <c r="I70" s="37" t="s">
        <v>1328</v>
      </c>
      <c r="J70" s="37" t="s">
        <v>1328</v>
      </c>
      <c r="K70" s="32">
        <v>0</v>
      </c>
      <c r="L70" s="32">
        <v>0</v>
      </c>
      <c r="M70" s="32" t="s">
        <v>1328</v>
      </c>
      <c r="N70" s="32" t="s">
        <v>1328</v>
      </c>
      <c r="O70" s="32">
        <v>0</v>
      </c>
      <c r="P70" s="32">
        <f t="shared" si="0"/>
        <v>0</v>
      </c>
      <c r="Q70" s="32"/>
      <c r="R70" s="32"/>
      <c r="S70" s="2"/>
      <c r="T70" s="2"/>
      <c r="U70" s="2"/>
      <c r="V70" s="2"/>
      <c r="W70" s="2"/>
      <c r="X70" s="30"/>
      <c r="Y70" s="30"/>
      <c r="Z70" s="32"/>
      <c r="AA70" s="32"/>
      <c r="AB70" s="32"/>
      <c r="AC70" s="32"/>
      <c r="AD70" s="32"/>
      <c r="AE70" s="32"/>
      <c r="AF70" s="32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x14ac:dyDescent="0.25">
      <c r="A71" s="2">
        <v>11</v>
      </c>
      <c r="B71" s="2">
        <v>1</v>
      </c>
      <c r="C71" s="2" t="s">
        <v>52</v>
      </c>
      <c r="D71" s="2">
        <v>402</v>
      </c>
      <c r="E71" s="2" t="s">
        <v>55</v>
      </c>
      <c r="F71" s="29">
        <v>0</v>
      </c>
      <c r="G71" s="30">
        <v>0.88043478260869568</v>
      </c>
      <c r="H71" s="30">
        <v>0.72222222222222221</v>
      </c>
      <c r="I71" s="37">
        <v>466.63</v>
      </c>
      <c r="J71" s="37">
        <v>382.78</v>
      </c>
      <c r="K71" s="32">
        <v>96</v>
      </c>
      <c r="L71" s="32">
        <v>74</v>
      </c>
      <c r="M71" s="32">
        <v>44796.480000000003</v>
      </c>
      <c r="N71" s="32">
        <v>28325.72</v>
      </c>
      <c r="O71" s="32">
        <v>73122.200000000012</v>
      </c>
      <c r="P71" s="32">
        <f t="shared" si="0"/>
        <v>69888.72</v>
      </c>
      <c r="Q71" s="32"/>
      <c r="R71" s="32"/>
      <c r="S71" s="2"/>
      <c r="T71" s="2"/>
      <c r="U71" s="2"/>
      <c r="V71" s="2"/>
      <c r="W71" s="2"/>
      <c r="X71" s="30"/>
      <c r="Y71" s="30"/>
      <c r="Z71" s="32"/>
      <c r="AA71" s="32"/>
      <c r="AB71" s="32"/>
      <c r="AC71" s="32"/>
      <c r="AD71" s="32"/>
      <c r="AE71" s="32"/>
      <c r="AF71" s="32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x14ac:dyDescent="0.25">
      <c r="A72" s="2">
        <v>11</v>
      </c>
      <c r="B72" s="2">
        <v>1</v>
      </c>
      <c r="C72" s="2" t="s">
        <v>52</v>
      </c>
      <c r="D72" s="2">
        <v>403</v>
      </c>
      <c r="E72" s="2" t="s">
        <v>56</v>
      </c>
      <c r="F72" s="29">
        <v>0</v>
      </c>
      <c r="G72" s="30">
        <v>0.78414096916299558</v>
      </c>
      <c r="H72" s="30">
        <v>0.7710280373831776</v>
      </c>
      <c r="I72" s="37">
        <v>415.59</v>
      </c>
      <c r="J72" s="37">
        <v>408.64</v>
      </c>
      <c r="K72" s="32">
        <v>77</v>
      </c>
      <c r="L72" s="32">
        <v>86</v>
      </c>
      <c r="M72" s="32">
        <v>32000.43</v>
      </c>
      <c r="N72" s="32">
        <v>35143.040000000001</v>
      </c>
      <c r="O72" s="32">
        <v>67143.47</v>
      </c>
      <c r="P72" s="32">
        <f t="shared" si="0"/>
        <v>64174.37</v>
      </c>
      <c r="Q72" s="32"/>
      <c r="R72" s="32"/>
      <c r="S72" s="2"/>
      <c r="T72" s="2"/>
      <c r="U72" s="2"/>
      <c r="V72" s="2"/>
      <c r="W72" s="2"/>
      <c r="X72" s="30"/>
      <c r="Y72" s="30"/>
      <c r="Z72" s="32"/>
      <c r="AA72" s="32"/>
      <c r="AB72" s="32"/>
      <c r="AC72" s="32"/>
      <c r="AD72" s="32"/>
      <c r="AE72" s="32"/>
      <c r="AF72" s="32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x14ac:dyDescent="0.25">
      <c r="A73" s="2">
        <v>11</v>
      </c>
      <c r="B73" s="2">
        <v>1</v>
      </c>
      <c r="C73" s="2" t="s">
        <v>52</v>
      </c>
      <c r="D73" s="2">
        <v>404</v>
      </c>
      <c r="E73" s="2" t="s">
        <v>57</v>
      </c>
      <c r="F73" s="29">
        <v>0</v>
      </c>
      <c r="G73" s="30">
        <v>0.70967741935483875</v>
      </c>
      <c r="H73" s="30">
        <v>0.71859296482412061</v>
      </c>
      <c r="I73" s="37">
        <v>376.13</v>
      </c>
      <c r="J73" s="37">
        <v>380.85</v>
      </c>
      <c r="K73" s="32">
        <v>60</v>
      </c>
      <c r="L73" s="32">
        <v>67</v>
      </c>
      <c r="M73" s="32">
        <v>22567.8</v>
      </c>
      <c r="N73" s="32">
        <v>25516.95</v>
      </c>
      <c r="O73" s="32">
        <v>48084.75</v>
      </c>
      <c r="P73" s="32">
        <f t="shared" si="0"/>
        <v>45958.43</v>
      </c>
      <c r="Q73" s="32"/>
      <c r="R73" s="32"/>
      <c r="S73" s="2"/>
      <c r="T73" s="2"/>
      <c r="U73" s="2"/>
      <c r="V73" s="2"/>
      <c r="W73" s="2"/>
      <c r="X73" s="30"/>
      <c r="Y73" s="30"/>
      <c r="Z73" s="32"/>
      <c r="AA73" s="32"/>
      <c r="AB73" s="32"/>
      <c r="AC73" s="32"/>
      <c r="AD73" s="32"/>
      <c r="AE73" s="32"/>
      <c r="AF73" s="32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x14ac:dyDescent="0.25">
      <c r="A74" s="2">
        <v>11</v>
      </c>
      <c r="B74" s="2">
        <v>1</v>
      </c>
      <c r="C74" s="2" t="s">
        <v>52</v>
      </c>
      <c r="D74" s="2">
        <v>405</v>
      </c>
      <c r="E74" s="2" t="s">
        <v>58</v>
      </c>
      <c r="F74" s="29">
        <v>0</v>
      </c>
      <c r="G74" s="30">
        <v>0.74898785425101211</v>
      </c>
      <c r="H74" s="30">
        <v>0.77777777777777779</v>
      </c>
      <c r="I74" s="37">
        <v>396.96</v>
      </c>
      <c r="J74" s="37">
        <v>412.22</v>
      </c>
      <c r="K74" s="32">
        <v>89</v>
      </c>
      <c r="L74" s="32">
        <v>87</v>
      </c>
      <c r="M74" s="32">
        <v>35329.440000000002</v>
      </c>
      <c r="N74" s="32">
        <v>35863.14</v>
      </c>
      <c r="O74" s="32">
        <v>71192.58</v>
      </c>
      <c r="P74" s="32">
        <f t="shared" si="0"/>
        <v>68044.429999999993</v>
      </c>
      <c r="Q74" s="32"/>
      <c r="R74" s="32"/>
      <c r="S74" s="2"/>
      <c r="T74" s="2"/>
      <c r="U74" s="2"/>
      <c r="V74" s="2"/>
      <c r="W74" s="2"/>
      <c r="X74" s="30"/>
      <c r="Y74" s="30"/>
      <c r="Z74" s="32"/>
      <c r="AA74" s="32"/>
      <c r="AB74" s="32"/>
      <c r="AC74" s="32"/>
      <c r="AD74" s="32"/>
      <c r="AE74" s="32"/>
      <c r="AF74" s="32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x14ac:dyDescent="0.25">
      <c r="A75" s="2">
        <v>11</v>
      </c>
      <c r="B75" s="2">
        <v>1</v>
      </c>
      <c r="C75" s="2" t="s">
        <v>52</v>
      </c>
      <c r="D75" s="2">
        <v>406</v>
      </c>
      <c r="E75" s="2" t="s">
        <v>28</v>
      </c>
      <c r="F75" s="29">
        <v>0</v>
      </c>
      <c r="G75" s="30">
        <v>0.80113636363636365</v>
      </c>
      <c r="H75" s="30">
        <v>0.76393442622950825</v>
      </c>
      <c r="I75" s="37">
        <v>424.6</v>
      </c>
      <c r="J75" s="37">
        <v>404.89</v>
      </c>
      <c r="K75" s="32">
        <v>121</v>
      </c>
      <c r="L75" s="32">
        <v>121</v>
      </c>
      <c r="M75" s="32">
        <v>51376.6</v>
      </c>
      <c r="N75" s="32">
        <v>48991.69</v>
      </c>
      <c r="O75" s="32">
        <v>100368.29000000001</v>
      </c>
      <c r="P75" s="32">
        <f t="shared" si="0"/>
        <v>95929.98</v>
      </c>
      <c r="Q75" s="32"/>
      <c r="R75" s="32"/>
      <c r="S75" s="2"/>
      <c r="T75" s="2"/>
      <c r="U75" s="2"/>
      <c r="V75" s="2"/>
      <c r="W75" s="2"/>
      <c r="X75" s="30"/>
      <c r="Y75" s="30"/>
      <c r="Z75" s="32"/>
      <c r="AA75" s="32"/>
      <c r="AB75" s="32"/>
      <c r="AC75" s="32"/>
      <c r="AD75" s="32"/>
      <c r="AE75" s="32"/>
      <c r="AF75" s="32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x14ac:dyDescent="0.25">
      <c r="A76" s="2">
        <v>11</v>
      </c>
      <c r="B76" s="2">
        <v>1</v>
      </c>
      <c r="C76" s="2" t="s">
        <v>52</v>
      </c>
      <c r="D76" s="2">
        <v>407</v>
      </c>
      <c r="E76" s="2" t="s">
        <v>59</v>
      </c>
      <c r="F76" s="29">
        <v>0</v>
      </c>
      <c r="G76" s="30">
        <v>0.86376811594202896</v>
      </c>
      <c r="H76" s="30">
        <v>0.75244299674267101</v>
      </c>
      <c r="I76" s="37">
        <v>457.8</v>
      </c>
      <c r="J76" s="37">
        <v>398.79</v>
      </c>
      <c r="K76" s="32">
        <v>120</v>
      </c>
      <c r="L76" s="32">
        <v>110</v>
      </c>
      <c r="M76" s="32">
        <v>54936</v>
      </c>
      <c r="N76" s="32">
        <v>43866.9</v>
      </c>
      <c r="O76" s="32">
        <v>98802.9</v>
      </c>
      <c r="P76" s="32">
        <f t="shared" si="0"/>
        <v>94433.81</v>
      </c>
      <c r="Q76" s="32"/>
      <c r="R76" s="32"/>
      <c r="S76" s="2"/>
      <c r="T76" s="2"/>
      <c r="U76" s="2"/>
      <c r="V76" s="2"/>
      <c r="W76" s="2"/>
      <c r="X76" s="30"/>
      <c r="Y76" s="30"/>
      <c r="Z76" s="32"/>
      <c r="AA76" s="32"/>
      <c r="AB76" s="32"/>
      <c r="AC76" s="32"/>
      <c r="AD76" s="32"/>
      <c r="AE76" s="32"/>
      <c r="AF76" s="32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x14ac:dyDescent="0.25">
      <c r="A77" s="2">
        <v>11</v>
      </c>
      <c r="B77" s="2">
        <v>1</v>
      </c>
      <c r="C77" s="2" t="s">
        <v>52</v>
      </c>
      <c r="D77" s="2">
        <v>408</v>
      </c>
      <c r="E77" s="2" t="s">
        <v>60</v>
      </c>
      <c r="F77" s="29">
        <v>0</v>
      </c>
      <c r="G77" s="30">
        <v>0.74757281553398058</v>
      </c>
      <c r="H77" s="30">
        <v>0.75268817204301075</v>
      </c>
      <c r="I77" s="37">
        <v>396.21</v>
      </c>
      <c r="J77" s="37">
        <v>398.92</v>
      </c>
      <c r="K77" s="32">
        <v>64</v>
      </c>
      <c r="L77" s="32">
        <v>72</v>
      </c>
      <c r="M77" s="32">
        <v>25357.439999999999</v>
      </c>
      <c r="N77" s="32">
        <v>28722.240000000002</v>
      </c>
      <c r="O77" s="32">
        <v>54079.68</v>
      </c>
      <c r="P77" s="32">
        <f t="shared" si="0"/>
        <v>51688.26</v>
      </c>
      <c r="Q77" s="32"/>
      <c r="R77" s="32"/>
      <c r="S77" s="2"/>
      <c r="T77" s="2"/>
      <c r="U77" s="2"/>
      <c r="V77" s="2"/>
      <c r="W77" s="2"/>
      <c r="X77" s="30"/>
      <c r="Y77" s="30"/>
      <c r="Z77" s="32"/>
      <c r="AA77" s="32"/>
      <c r="AB77" s="32"/>
      <c r="AC77" s="32"/>
      <c r="AD77" s="32"/>
      <c r="AE77" s="32"/>
      <c r="AF77" s="32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x14ac:dyDescent="0.25">
      <c r="A78" s="2">
        <v>11</v>
      </c>
      <c r="B78" s="2">
        <v>1</v>
      </c>
      <c r="C78" s="2" t="s">
        <v>52</v>
      </c>
      <c r="D78" s="2">
        <v>409</v>
      </c>
      <c r="E78" s="2" t="s">
        <v>61</v>
      </c>
      <c r="F78" s="29">
        <v>1</v>
      </c>
      <c r="G78" s="30" t="s">
        <v>1328</v>
      </c>
      <c r="H78" s="30" t="s">
        <v>1328</v>
      </c>
      <c r="I78" s="37" t="s">
        <v>1328</v>
      </c>
      <c r="J78" s="37" t="s">
        <v>1328</v>
      </c>
      <c r="K78" s="32">
        <v>0</v>
      </c>
      <c r="L78" s="32">
        <v>0</v>
      </c>
      <c r="M78" s="32" t="s">
        <v>1328</v>
      </c>
      <c r="N78" s="32" t="s">
        <v>1328</v>
      </c>
      <c r="O78" s="32">
        <v>0</v>
      </c>
      <c r="P78" s="32">
        <f t="shared" si="0"/>
        <v>0</v>
      </c>
      <c r="Q78" s="32"/>
      <c r="R78" s="32"/>
      <c r="S78" s="2"/>
      <c r="T78" s="2"/>
      <c r="U78" s="2"/>
      <c r="V78" s="2"/>
      <c r="W78" s="2"/>
      <c r="X78" s="30"/>
      <c r="Y78" s="30"/>
      <c r="Z78" s="32"/>
      <c r="AA78" s="32"/>
      <c r="AB78" s="32"/>
      <c r="AC78" s="32"/>
      <c r="AD78" s="32"/>
      <c r="AE78" s="32"/>
      <c r="AF78" s="32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x14ac:dyDescent="0.25">
      <c r="A79" s="2">
        <v>11</v>
      </c>
      <c r="B79" s="2">
        <v>1</v>
      </c>
      <c r="C79" s="2" t="s">
        <v>52</v>
      </c>
      <c r="D79" s="2">
        <v>410</v>
      </c>
      <c r="E79" s="2" t="s">
        <v>62</v>
      </c>
      <c r="F79" s="29">
        <v>0</v>
      </c>
      <c r="G79" s="30">
        <v>0.74708171206225682</v>
      </c>
      <c r="H79" s="30">
        <v>0.88617886178861793</v>
      </c>
      <c r="I79" s="37">
        <v>395.95</v>
      </c>
      <c r="J79" s="37">
        <v>469.67</v>
      </c>
      <c r="K79" s="32">
        <v>95</v>
      </c>
      <c r="L79" s="32">
        <v>95</v>
      </c>
      <c r="M79" s="32">
        <v>37615.25</v>
      </c>
      <c r="N79" s="32">
        <v>44618.65</v>
      </c>
      <c r="O79" s="32">
        <v>82233.899999999994</v>
      </c>
      <c r="P79" s="32">
        <f t="shared" si="0"/>
        <v>78597.5</v>
      </c>
      <c r="Q79" s="32"/>
      <c r="R79" s="32"/>
      <c r="S79" s="2"/>
      <c r="T79" s="2"/>
      <c r="U79" s="2"/>
      <c r="V79" s="2"/>
      <c r="W79" s="2"/>
      <c r="X79" s="30"/>
      <c r="Y79" s="30"/>
      <c r="Z79" s="32"/>
      <c r="AA79" s="32"/>
      <c r="AB79" s="32"/>
      <c r="AC79" s="32"/>
      <c r="AD79" s="32"/>
      <c r="AE79" s="32"/>
      <c r="AF79" s="32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x14ac:dyDescent="0.25">
      <c r="A80" s="2">
        <v>11</v>
      </c>
      <c r="B80" s="2">
        <v>1</v>
      </c>
      <c r="C80" s="2" t="s">
        <v>52</v>
      </c>
      <c r="D80" s="2">
        <v>411</v>
      </c>
      <c r="E80" s="2" t="s">
        <v>63</v>
      </c>
      <c r="F80" s="29">
        <v>0</v>
      </c>
      <c r="G80" s="30">
        <v>0.81979695431472077</v>
      </c>
      <c r="H80" s="30">
        <v>0.89795918367346939</v>
      </c>
      <c r="I80" s="37">
        <v>434.49</v>
      </c>
      <c r="J80" s="37">
        <v>475.92</v>
      </c>
      <c r="K80" s="32">
        <v>134</v>
      </c>
      <c r="L80" s="32">
        <v>128</v>
      </c>
      <c r="M80" s="32">
        <v>58221.66</v>
      </c>
      <c r="N80" s="32">
        <v>60917.760000000002</v>
      </c>
      <c r="O80" s="32">
        <v>119139.42000000001</v>
      </c>
      <c r="P80" s="32">
        <f t="shared" ref="P80:P143" si="1">ROUND(O80*P$11,2)</f>
        <v>113871.05</v>
      </c>
      <c r="Q80" s="32"/>
      <c r="R80" s="32"/>
      <c r="S80" s="2"/>
      <c r="T80" s="2"/>
      <c r="U80" s="2"/>
      <c r="V80" s="2"/>
      <c r="W80" s="2"/>
      <c r="X80" s="30"/>
      <c r="Y80" s="30"/>
      <c r="Z80" s="32"/>
      <c r="AA80" s="32"/>
      <c r="AB80" s="32"/>
      <c r="AC80" s="32"/>
      <c r="AD80" s="32"/>
      <c r="AE80" s="32"/>
      <c r="AF80" s="32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x14ac:dyDescent="0.25">
      <c r="A81" s="2">
        <v>11</v>
      </c>
      <c r="B81" s="2">
        <v>1</v>
      </c>
      <c r="C81" s="2" t="s">
        <v>52</v>
      </c>
      <c r="D81" s="2">
        <v>412</v>
      </c>
      <c r="E81" s="2" t="s">
        <v>64</v>
      </c>
      <c r="F81" s="29">
        <v>0</v>
      </c>
      <c r="G81" s="30">
        <v>0.68085106382978722</v>
      </c>
      <c r="H81" s="30">
        <v>0.78082191780821919</v>
      </c>
      <c r="I81" s="37">
        <v>360.85</v>
      </c>
      <c r="J81" s="37">
        <v>413.84</v>
      </c>
      <c r="K81" s="32">
        <v>82</v>
      </c>
      <c r="L81" s="32">
        <v>84</v>
      </c>
      <c r="M81" s="32">
        <v>29589.7</v>
      </c>
      <c r="N81" s="32">
        <v>34762.559999999998</v>
      </c>
      <c r="O81" s="32">
        <v>64352.259999999995</v>
      </c>
      <c r="P81" s="32">
        <f t="shared" si="1"/>
        <v>61506.59</v>
      </c>
      <c r="Q81" s="32"/>
      <c r="R81" s="32"/>
      <c r="S81" s="2"/>
      <c r="T81" s="2"/>
      <c r="U81" s="2"/>
      <c r="V81" s="2"/>
      <c r="W81" s="2"/>
      <c r="X81" s="30"/>
      <c r="Y81" s="30"/>
      <c r="Z81" s="32"/>
      <c r="AA81" s="32"/>
      <c r="AB81" s="32"/>
      <c r="AC81" s="32"/>
      <c r="AD81" s="32"/>
      <c r="AE81" s="32"/>
      <c r="AF81" s="32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x14ac:dyDescent="0.25">
      <c r="A82" s="2">
        <v>11</v>
      </c>
      <c r="B82" s="2">
        <v>1</v>
      </c>
      <c r="C82" s="2" t="s">
        <v>52</v>
      </c>
      <c r="D82" s="2">
        <v>413</v>
      </c>
      <c r="E82" s="2" t="s">
        <v>65</v>
      </c>
      <c r="F82" s="29">
        <v>0</v>
      </c>
      <c r="G82" s="30">
        <v>0.80237154150197632</v>
      </c>
      <c r="H82" s="30">
        <v>0.86238532110091748</v>
      </c>
      <c r="I82" s="37">
        <v>425.26</v>
      </c>
      <c r="J82" s="37">
        <v>457.06</v>
      </c>
      <c r="K82" s="32">
        <v>74</v>
      </c>
      <c r="L82" s="32">
        <v>89</v>
      </c>
      <c r="M82" s="32">
        <v>31469.24</v>
      </c>
      <c r="N82" s="32">
        <v>40678.339999999997</v>
      </c>
      <c r="O82" s="32">
        <v>72147.58</v>
      </c>
      <c r="P82" s="32">
        <f t="shared" si="1"/>
        <v>68957.2</v>
      </c>
      <c r="Q82" s="32"/>
      <c r="R82" s="32"/>
      <c r="S82" s="2"/>
      <c r="T82" s="2"/>
      <c r="U82" s="2"/>
      <c r="V82" s="2"/>
      <c r="W82" s="2"/>
      <c r="X82" s="30"/>
      <c r="Y82" s="30"/>
      <c r="Z82" s="32"/>
      <c r="AA82" s="32"/>
      <c r="AB82" s="32"/>
      <c r="AC82" s="32"/>
      <c r="AD82" s="32"/>
      <c r="AE82" s="32"/>
      <c r="AF82" s="32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x14ac:dyDescent="0.25">
      <c r="A83" s="2">
        <v>11</v>
      </c>
      <c r="B83" s="2">
        <v>1</v>
      </c>
      <c r="C83" s="2" t="s">
        <v>52</v>
      </c>
      <c r="D83" s="2">
        <v>414</v>
      </c>
      <c r="E83" s="2" t="s">
        <v>66</v>
      </c>
      <c r="F83" s="29">
        <v>0</v>
      </c>
      <c r="G83" s="30">
        <v>0.82868525896414347</v>
      </c>
      <c r="H83" s="30">
        <v>0.75630252100840334</v>
      </c>
      <c r="I83" s="37">
        <v>439.2</v>
      </c>
      <c r="J83" s="37">
        <v>400.84</v>
      </c>
      <c r="K83" s="32">
        <v>98</v>
      </c>
      <c r="L83" s="32">
        <v>89</v>
      </c>
      <c r="M83" s="32">
        <v>43041.599999999999</v>
      </c>
      <c r="N83" s="32">
        <v>35674.76</v>
      </c>
      <c r="O83" s="32">
        <v>78716.36</v>
      </c>
      <c r="P83" s="32">
        <f t="shared" si="1"/>
        <v>75235.5</v>
      </c>
      <c r="Q83" s="32"/>
      <c r="R83" s="32"/>
      <c r="S83" s="2"/>
      <c r="T83" s="2"/>
      <c r="U83" s="2"/>
      <c r="V83" s="2"/>
      <c r="W83" s="2"/>
      <c r="X83" s="30"/>
      <c r="Y83" s="30"/>
      <c r="Z83" s="32"/>
      <c r="AA83" s="32"/>
      <c r="AB83" s="32"/>
      <c r="AC83" s="32"/>
      <c r="AD83" s="32"/>
      <c r="AE83" s="32"/>
      <c r="AF83" s="32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x14ac:dyDescent="0.25">
      <c r="A84">
        <v>11</v>
      </c>
      <c r="B84">
        <v>1</v>
      </c>
      <c r="C84" t="s">
        <v>52</v>
      </c>
      <c r="D84">
        <v>415</v>
      </c>
      <c r="E84" t="s">
        <v>67</v>
      </c>
      <c r="F84" s="1">
        <v>1</v>
      </c>
      <c r="G84" s="30" t="s">
        <v>1328</v>
      </c>
      <c r="H84" s="30" t="s">
        <v>1328</v>
      </c>
      <c r="I84" s="37" t="s">
        <v>1328</v>
      </c>
      <c r="J84" s="37" t="s">
        <v>1328</v>
      </c>
      <c r="K84" s="32">
        <v>0</v>
      </c>
      <c r="L84" s="32">
        <v>0</v>
      </c>
      <c r="M84" s="32" t="s">
        <v>1328</v>
      </c>
      <c r="N84" s="32" t="s">
        <v>1328</v>
      </c>
      <c r="O84" s="32">
        <v>0</v>
      </c>
      <c r="P84" s="32">
        <f t="shared" si="1"/>
        <v>0</v>
      </c>
      <c r="Q84" s="32"/>
      <c r="R84" s="32"/>
      <c r="W84" s="2"/>
      <c r="X84" s="30"/>
      <c r="Y84" s="30"/>
      <c r="Z84" s="32"/>
      <c r="AA84" s="32"/>
      <c r="AB84" s="32"/>
      <c r="AC84" s="32"/>
      <c r="AD84" s="32"/>
      <c r="AE84" s="32"/>
      <c r="AF84" s="32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x14ac:dyDescent="0.25">
      <c r="A85" s="2">
        <v>11</v>
      </c>
      <c r="B85" s="2">
        <v>1</v>
      </c>
      <c r="C85" s="2" t="s">
        <v>52</v>
      </c>
      <c r="D85" s="2">
        <v>416</v>
      </c>
      <c r="E85" s="2" t="s">
        <v>68</v>
      </c>
      <c r="F85" s="29">
        <v>1</v>
      </c>
      <c r="G85" s="30" t="s">
        <v>1328</v>
      </c>
      <c r="H85" s="30" t="s">
        <v>1328</v>
      </c>
      <c r="I85" s="37" t="s">
        <v>1328</v>
      </c>
      <c r="J85" s="37" t="s">
        <v>1328</v>
      </c>
      <c r="K85" s="32">
        <v>0</v>
      </c>
      <c r="L85" s="32">
        <v>0</v>
      </c>
      <c r="M85" s="32" t="s">
        <v>1328</v>
      </c>
      <c r="N85" s="32" t="s">
        <v>1328</v>
      </c>
      <c r="O85" s="32">
        <v>0</v>
      </c>
      <c r="P85" s="32">
        <f t="shared" si="1"/>
        <v>0</v>
      </c>
      <c r="Q85" s="32"/>
      <c r="R85" s="32"/>
      <c r="S85" s="2"/>
      <c r="T85" s="2"/>
      <c r="U85" s="2"/>
      <c r="V85" s="2"/>
      <c r="W85" s="2"/>
      <c r="X85" s="30"/>
      <c r="Y85" s="30"/>
      <c r="Z85" s="32"/>
      <c r="AA85" s="32"/>
      <c r="AB85" s="32"/>
      <c r="AC85" s="32"/>
      <c r="AD85" s="32"/>
      <c r="AE85" s="32"/>
      <c r="AF85" s="32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x14ac:dyDescent="0.25">
      <c r="A86" s="2">
        <v>11</v>
      </c>
      <c r="B86" s="2">
        <v>1</v>
      </c>
      <c r="C86" s="2" t="s">
        <v>52</v>
      </c>
      <c r="D86" s="2">
        <v>417</v>
      </c>
      <c r="E86" s="2" t="s">
        <v>69</v>
      </c>
      <c r="F86" s="29">
        <v>0</v>
      </c>
      <c r="G86" s="30">
        <v>0.79940119760479045</v>
      </c>
      <c r="H86" s="30">
        <v>0.86261980830670926</v>
      </c>
      <c r="I86" s="37">
        <v>423.68</v>
      </c>
      <c r="J86" s="37">
        <v>457.19</v>
      </c>
      <c r="K86" s="32">
        <v>114</v>
      </c>
      <c r="L86" s="32">
        <v>114</v>
      </c>
      <c r="M86" s="32">
        <v>48299.519999999997</v>
      </c>
      <c r="N86" s="32">
        <v>52119.66</v>
      </c>
      <c r="O86" s="32">
        <v>100419.18</v>
      </c>
      <c r="P86" s="32">
        <f t="shared" si="1"/>
        <v>95978.62</v>
      </c>
      <c r="Q86" s="32"/>
      <c r="R86" s="32"/>
      <c r="S86" s="2"/>
      <c r="T86" s="2"/>
      <c r="U86" s="2"/>
      <c r="V86" s="2"/>
      <c r="W86" s="2"/>
      <c r="X86" s="30"/>
      <c r="Y86" s="30"/>
      <c r="Z86" s="32"/>
      <c r="AA86" s="32"/>
      <c r="AB86" s="32"/>
      <c r="AC86" s="32"/>
      <c r="AD86" s="32"/>
      <c r="AE86" s="32"/>
      <c r="AF86" s="32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x14ac:dyDescent="0.25">
      <c r="A87" s="2">
        <v>11</v>
      </c>
      <c r="B87" s="2">
        <v>1</v>
      </c>
      <c r="C87" s="2" t="s">
        <v>52</v>
      </c>
      <c r="D87" s="2">
        <v>418</v>
      </c>
      <c r="E87" s="2" t="s">
        <v>70</v>
      </c>
      <c r="F87" s="29">
        <v>0</v>
      </c>
      <c r="G87" s="30">
        <v>0.63529411764705879</v>
      </c>
      <c r="H87" s="30">
        <v>0.7767857142857143</v>
      </c>
      <c r="I87" s="37">
        <v>336.71</v>
      </c>
      <c r="J87" s="37">
        <v>411.7</v>
      </c>
      <c r="K87" s="32">
        <v>86</v>
      </c>
      <c r="L87" s="32">
        <v>79</v>
      </c>
      <c r="M87" s="32">
        <v>28957.06</v>
      </c>
      <c r="N87" s="32">
        <v>32524.3</v>
      </c>
      <c r="O87" s="32">
        <v>61481.36</v>
      </c>
      <c r="P87" s="32">
        <f t="shared" si="1"/>
        <v>58762.64</v>
      </c>
      <c r="Q87" s="32"/>
      <c r="R87" s="32"/>
      <c r="S87" s="2"/>
      <c r="T87" s="2"/>
      <c r="U87" s="2"/>
      <c r="V87" s="2"/>
      <c r="W87" s="2"/>
      <c r="X87" s="30"/>
      <c r="Y87" s="30"/>
      <c r="Z87" s="32"/>
      <c r="AA87" s="32"/>
      <c r="AB87" s="32"/>
      <c r="AC87" s="32"/>
      <c r="AD87" s="32"/>
      <c r="AE87" s="32"/>
      <c r="AF87" s="32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x14ac:dyDescent="0.25">
      <c r="A88" s="2">
        <v>11</v>
      </c>
      <c r="B88" s="2">
        <v>1</v>
      </c>
      <c r="C88" s="2" t="s">
        <v>52</v>
      </c>
      <c r="D88" s="2">
        <v>419</v>
      </c>
      <c r="E88" s="2" t="s">
        <v>71</v>
      </c>
      <c r="F88" s="29">
        <v>1</v>
      </c>
      <c r="G88" s="30" t="s">
        <v>1328</v>
      </c>
      <c r="H88" s="30" t="s">
        <v>1328</v>
      </c>
      <c r="I88" s="37" t="s">
        <v>1328</v>
      </c>
      <c r="J88" s="37" t="s">
        <v>1328</v>
      </c>
      <c r="K88" s="32">
        <v>0</v>
      </c>
      <c r="L88" s="32">
        <v>0</v>
      </c>
      <c r="M88" s="32" t="s">
        <v>1328</v>
      </c>
      <c r="N88" s="32" t="s">
        <v>1328</v>
      </c>
      <c r="O88" s="32">
        <v>0</v>
      </c>
      <c r="P88" s="32">
        <f t="shared" si="1"/>
        <v>0</v>
      </c>
      <c r="Q88" s="32"/>
      <c r="R88" s="32"/>
      <c r="S88" s="2"/>
      <c r="T88" s="2"/>
      <c r="U88" s="2"/>
      <c r="V88" s="2"/>
      <c r="W88" s="2"/>
      <c r="X88" s="30"/>
      <c r="Y88" s="30"/>
      <c r="Z88" s="32"/>
      <c r="AA88" s="32"/>
      <c r="AB88" s="32"/>
      <c r="AC88" s="32"/>
      <c r="AD88" s="32"/>
      <c r="AE88" s="32"/>
      <c r="AF88" s="32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x14ac:dyDescent="0.25">
      <c r="A89" s="2">
        <v>11</v>
      </c>
      <c r="B89" s="2">
        <v>1</v>
      </c>
      <c r="C89" s="2" t="s">
        <v>52</v>
      </c>
      <c r="D89" s="2">
        <v>420</v>
      </c>
      <c r="E89" s="2" t="s">
        <v>72</v>
      </c>
      <c r="F89" s="29">
        <v>0</v>
      </c>
      <c r="G89" s="30">
        <v>0.75886524822695034</v>
      </c>
      <c r="H89" s="30">
        <v>0.77935943060498225</v>
      </c>
      <c r="I89" s="37">
        <v>402.2</v>
      </c>
      <c r="J89" s="37">
        <v>413.06</v>
      </c>
      <c r="K89" s="32">
        <v>93</v>
      </c>
      <c r="L89" s="32">
        <v>94</v>
      </c>
      <c r="M89" s="32">
        <v>37404.6</v>
      </c>
      <c r="N89" s="32">
        <v>38827.64</v>
      </c>
      <c r="O89" s="32">
        <v>76232.239999999991</v>
      </c>
      <c r="P89" s="32">
        <f t="shared" si="1"/>
        <v>72861.23</v>
      </c>
      <c r="Q89" s="32"/>
      <c r="R89" s="32"/>
      <c r="S89" s="2"/>
      <c r="T89" s="2"/>
      <c r="U89" s="2"/>
      <c r="V89" s="2"/>
      <c r="W89" s="2"/>
      <c r="X89" s="30"/>
      <c r="Y89" s="30"/>
      <c r="Z89" s="32"/>
      <c r="AA89" s="32"/>
      <c r="AB89" s="32"/>
      <c r="AC89" s="32"/>
      <c r="AD89" s="32"/>
      <c r="AE89" s="32"/>
      <c r="AF89" s="32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x14ac:dyDescent="0.25">
      <c r="A90" s="2">
        <v>11</v>
      </c>
      <c r="B90" s="2">
        <v>1</v>
      </c>
      <c r="C90" s="2" t="s">
        <v>52</v>
      </c>
      <c r="D90" s="2">
        <v>421</v>
      </c>
      <c r="E90" s="2" t="s">
        <v>73</v>
      </c>
      <c r="F90" s="29">
        <v>0</v>
      </c>
      <c r="G90" s="30">
        <v>0.56277056277056281</v>
      </c>
      <c r="H90" s="30">
        <v>0.80373831775700932</v>
      </c>
      <c r="I90" s="37">
        <v>298.27</v>
      </c>
      <c r="J90" s="37">
        <v>425.98</v>
      </c>
      <c r="K90" s="32">
        <v>83</v>
      </c>
      <c r="L90" s="32">
        <v>85</v>
      </c>
      <c r="M90" s="32">
        <v>24756.41</v>
      </c>
      <c r="N90" s="32">
        <v>36208.300000000003</v>
      </c>
      <c r="O90" s="32">
        <v>60964.710000000006</v>
      </c>
      <c r="P90" s="32">
        <f t="shared" si="1"/>
        <v>58268.84</v>
      </c>
      <c r="Q90" s="32"/>
      <c r="R90" s="32"/>
      <c r="S90" s="2"/>
      <c r="T90" s="2"/>
      <c r="U90" s="2"/>
      <c r="V90" s="2"/>
      <c r="W90" s="2"/>
      <c r="X90" s="30"/>
      <c r="Y90" s="30"/>
      <c r="Z90" s="32"/>
      <c r="AA90" s="32"/>
      <c r="AB90" s="32"/>
      <c r="AC90" s="32"/>
      <c r="AD90" s="32"/>
      <c r="AE90" s="32"/>
      <c r="AF90" s="32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x14ac:dyDescent="0.25">
      <c r="A91" s="2">
        <v>11</v>
      </c>
      <c r="B91" s="2">
        <v>1</v>
      </c>
      <c r="C91" s="2" t="s">
        <v>52</v>
      </c>
      <c r="D91" s="2">
        <v>422</v>
      </c>
      <c r="E91" s="2" t="s">
        <v>74</v>
      </c>
      <c r="F91" s="29">
        <v>0</v>
      </c>
      <c r="G91" s="30">
        <v>0.78277153558052437</v>
      </c>
      <c r="H91" s="30">
        <v>0.85062240663900412</v>
      </c>
      <c r="I91" s="37">
        <v>414.87</v>
      </c>
      <c r="J91" s="37">
        <v>450.83</v>
      </c>
      <c r="K91" s="32">
        <v>108</v>
      </c>
      <c r="L91" s="32">
        <v>99</v>
      </c>
      <c r="M91" s="32">
        <v>44805.96</v>
      </c>
      <c r="N91" s="32">
        <v>44632.17</v>
      </c>
      <c r="O91" s="32">
        <v>89438.13</v>
      </c>
      <c r="P91" s="32">
        <f t="shared" si="1"/>
        <v>85483.15</v>
      </c>
      <c r="Q91" s="32"/>
      <c r="R91" s="32"/>
      <c r="S91" s="2"/>
      <c r="T91" s="2"/>
      <c r="U91" s="2"/>
      <c r="V91" s="2"/>
      <c r="W91" s="2"/>
      <c r="X91" s="30"/>
      <c r="Y91" s="30"/>
      <c r="Z91" s="32"/>
      <c r="AA91" s="32"/>
      <c r="AB91" s="32"/>
      <c r="AC91" s="32"/>
      <c r="AD91" s="32"/>
      <c r="AE91" s="32"/>
      <c r="AF91" s="32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x14ac:dyDescent="0.25">
      <c r="A92">
        <v>11</v>
      </c>
      <c r="B92" s="2">
        <v>1</v>
      </c>
      <c r="C92" s="2" t="s">
        <v>52</v>
      </c>
      <c r="D92">
        <v>423</v>
      </c>
      <c r="E92" s="2" t="s">
        <v>75</v>
      </c>
      <c r="F92" s="29">
        <v>0</v>
      </c>
      <c r="G92" s="30">
        <v>0.83892617449664431</v>
      </c>
      <c r="H92" s="30">
        <v>0.81305114638447973</v>
      </c>
      <c r="I92" s="37">
        <v>444.63</v>
      </c>
      <c r="J92" s="37">
        <v>430.92</v>
      </c>
      <c r="K92" s="32">
        <v>207</v>
      </c>
      <c r="L92" s="32">
        <v>175</v>
      </c>
      <c r="M92" s="32">
        <v>92038.41</v>
      </c>
      <c r="N92" s="32">
        <v>75411</v>
      </c>
      <c r="O92" s="32">
        <v>167449.41</v>
      </c>
      <c r="P92" s="32">
        <f t="shared" si="1"/>
        <v>160044.76</v>
      </c>
      <c r="Q92" s="32"/>
      <c r="R92" s="32"/>
      <c r="S92" s="2"/>
      <c r="T92" s="2"/>
      <c r="V92" s="2"/>
      <c r="W92" s="2"/>
      <c r="X92" s="30"/>
      <c r="Y92" s="30"/>
      <c r="Z92" s="32"/>
      <c r="AA92" s="32"/>
      <c r="AB92" s="32"/>
      <c r="AC92" s="32"/>
      <c r="AD92" s="32"/>
      <c r="AE92" s="32"/>
      <c r="AF92" s="32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x14ac:dyDescent="0.25">
      <c r="A93" s="2">
        <v>11</v>
      </c>
      <c r="B93" s="2">
        <v>1</v>
      </c>
      <c r="C93" s="2" t="s">
        <v>52</v>
      </c>
      <c r="D93" s="2">
        <v>424</v>
      </c>
      <c r="E93" s="2" t="s">
        <v>76</v>
      </c>
      <c r="F93" s="29">
        <v>0</v>
      </c>
      <c r="G93" s="30">
        <v>0.77112676056338025</v>
      </c>
      <c r="H93" s="30">
        <v>0.90228013029315957</v>
      </c>
      <c r="I93" s="37">
        <v>408.7</v>
      </c>
      <c r="J93" s="37">
        <v>478.21</v>
      </c>
      <c r="K93" s="32">
        <v>87</v>
      </c>
      <c r="L93" s="32">
        <v>86</v>
      </c>
      <c r="M93" s="32">
        <v>35556.9</v>
      </c>
      <c r="N93" s="32">
        <v>41126.06</v>
      </c>
      <c r="O93" s="32">
        <v>76682.959999999992</v>
      </c>
      <c r="P93" s="32">
        <f t="shared" si="1"/>
        <v>73292.02</v>
      </c>
      <c r="Q93" s="32"/>
      <c r="R93" s="32"/>
      <c r="S93" s="2"/>
      <c r="T93" s="2"/>
      <c r="U93" s="2"/>
      <c r="V93" s="2"/>
      <c r="W93" s="2"/>
      <c r="X93" s="30"/>
      <c r="Y93" s="30"/>
      <c r="Z93" s="32"/>
      <c r="AA93" s="32"/>
      <c r="AB93" s="32"/>
      <c r="AC93" s="32"/>
      <c r="AD93" s="32"/>
      <c r="AE93" s="32"/>
      <c r="AF93" s="32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x14ac:dyDescent="0.25">
      <c r="A94" s="2">
        <v>11</v>
      </c>
      <c r="B94" s="2">
        <v>1</v>
      </c>
      <c r="C94" s="2" t="s">
        <v>52</v>
      </c>
      <c r="D94" s="2">
        <v>425</v>
      </c>
      <c r="E94" s="2" t="s">
        <v>77</v>
      </c>
      <c r="F94" s="29">
        <v>0</v>
      </c>
      <c r="G94" s="30">
        <v>0.83510638297872342</v>
      </c>
      <c r="H94" s="30">
        <v>0.78816793893129766</v>
      </c>
      <c r="I94" s="37">
        <v>442.61</v>
      </c>
      <c r="J94" s="37">
        <v>417.73</v>
      </c>
      <c r="K94" s="32">
        <v>202</v>
      </c>
      <c r="L94" s="32">
        <v>196</v>
      </c>
      <c r="M94" s="32">
        <v>89407.22</v>
      </c>
      <c r="N94" s="32">
        <v>81875.08</v>
      </c>
      <c r="O94" s="32">
        <v>171282.3</v>
      </c>
      <c r="P94" s="32">
        <f t="shared" si="1"/>
        <v>163708.16</v>
      </c>
      <c r="Q94" s="32"/>
      <c r="R94" s="32"/>
      <c r="S94" s="2"/>
      <c r="T94" s="2"/>
      <c r="U94" s="2"/>
      <c r="V94" s="2"/>
      <c r="W94" s="2"/>
      <c r="X94" s="30"/>
      <c r="Y94" s="30"/>
      <c r="Z94" s="32"/>
      <c r="AA94" s="32"/>
      <c r="AB94" s="32"/>
      <c r="AC94" s="32"/>
      <c r="AD94" s="32"/>
      <c r="AE94" s="32"/>
      <c r="AF94" s="32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x14ac:dyDescent="0.25">
      <c r="A95" s="2">
        <v>11</v>
      </c>
      <c r="B95" s="2">
        <v>1</v>
      </c>
      <c r="C95" s="2" t="s">
        <v>52</v>
      </c>
      <c r="D95" s="2">
        <v>426</v>
      </c>
      <c r="E95" s="2" t="s">
        <v>78</v>
      </c>
      <c r="F95" s="29">
        <v>0</v>
      </c>
      <c r="G95" s="30">
        <v>0.81311018131101809</v>
      </c>
      <c r="H95" s="30">
        <v>0.77291960507757407</v>
      </c>
      <c r="I95" s="37">
        <v>430.95</v>
      </c>
      <c r="J95" s="37">
        <v>409.65</v>
      </c>
      <c r="K95" s="32">
        <v>235</v>
      </c>
      <c r="L95" s="32">
        <v>247</v>
      </c>
      <c r="M95" s="32">
        <v>101273.25</v>
      </c>
      <c r="N95" s="32">
        <v>101183.55</v>
      </c>
      <c r="O95" s="32">
        <v>202456.8</v>
      </c>
      <c r="P95" s="32">
        <f t="shared" si="1"/>
        <v>193504.11</v>
      </c>
      <c r="Q95" s="32"/>
      <c r="R95" s="32"/>
      <c r="S95" s="2"/>
      <c r="T95" s="2"/>
      <c r="U95" s="2"/>
      <c r="V95" s="2"/>
      <c r="W95" s="2"/>
      <c r="X95" s="30"/>
      <c r="Y95" s="30"/>
      <c r="Z95" s="32"/>
      <c r="AA95" s="32"/>
      <c r="AB95" s="32"/>
      <c r="AC95" s="32"/>
      <c r="AD95" s="32"/>
      <c r="AE95" s="32"/>
      <c r="AF95" s="32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x14ac:dyDescent="0.25">
      <c r="A96" s="2">
        <v>11</v>
      </c>
      <c r="B96" s="2">
        <v>1</v>
      </c>
      <c r="C96" s="2" t="s">
        <v>52</v>
      </c>
      <c r="D96" s="2">
        <v>427</v>
      </c>
      <c r="E96" s="2" t="s">
        <v>79</v>
      </c>
      <c r="F96" s="29">
        <v>0</v>
      </c>
      <c r="G96" s="30">
        <v>0.84817813765182182</v>
      </c>
      <c r="H96" s="30">
        <v>0.82128514056224899</v>
      </c>
      <c r="I96" s="37">
        <v>449.53</v>
      </c>
      <c r="J96" s="37">
        <v>435.28</v>
      </c>
      <c r="K96" s="32">
        <v>167</v>
      </c>
      <c r="L96" s="32">
        <v>171</v>
      </c>
      <c r="M96" s="32">
        <v>75071.509999999995</v>
      </c>
      <c r="N96" s="32">
        <v>74432.88</v>
      </c>
      <c r="O96" s="32">
        <v>149504.39000000001</v>
      </c>
      <c r="P96" s="32">
        <f t="shared" si="1"/>
        <v>142893.26999999999</v>
      </c>
      <c r="Q96" s="32"/>
      <c r="R96" s="32"/>
      <c r="S96" s="2"/>
      <c r="T96" s="2"/>
      <c r="U96" s="2"/>
      <c r="V96" s="2"/>
      <c r="W96" s="2"/>
      <c r="X96" s="30"/>
      <c r="Y96" s="30"/>
      <c r="Z96" s="32"/>
      <c r="AA96" s="32"/>
      <c r="AB96" s="32"/>
      <c r="AC96" s="32"/>
      <c r="AD96" s="32"/>
      <c r="AE96" s="32"/>
      <c r="AF96" s="32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x14ac:dyDescent="0.25">
      <c r="A97">
        <v>11</v>
      </c>
      <c r="B97" s="2">
        <v>1</v>
      </c>
      <c r="C97" s="2" t="s">
        <v>52</v>
      </c>
      <c r="D97">
        <v>430</v>
      </c>
      <c r="E97" s="2" t="s">
        <v>79</v>
      </c>
      <c r="F97" s="29">
        <v>0</v>
      </c>
      <c r="G97" s="30">
        <v>0.81468531468531469</v>
      </c>
      <c r="H97" s="30">
        <v>0.90196078431372551</v>
      </c>
      <c r="I97" s="37">
        <v>431.78</v>
      </c>
      <c r="J97" s="37">
        <v>478.04</v>
      </c>
      <c r="K97" s="32">
        <v>148</v>
      </c>
      <c r="L97" s="32">
        <v>138</v>
      </c>
      <c r="M97" s="32">
        <v>63903.44</v>
      </c>
      <c r="N97" s="32">
        <v>65969.52</v>
      </c>
      <c r="O97" s="32">
        <v>129872.96000000001</v>
      </c>
      <c r="P97" s="32">
        <f t="shared" si="1"/>
        <v>124129.95</v>
      </c>
      <c r="Q97" s="32"/>
      <c r="R97" s="32"/>
      <c r="S97" s="2"/>
      <c r="T97" s="2"/>
      <c r="V97" s="2"/>
      <c r="W97" s="2"/>
      <c r="X97" s="30"/>
      <c r="Y97" s="30"/>
      <c r="Z97" s="32"/>
      <c r="AA97" s="32"/>
      <c r="AB97" s="32"/>
      <c r="AC97" s="32"/>
      <c r="AD97" s="32"/>
      <c r="AE97" s="32"/>
      <c r="AF97" s="32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x14ac:dyDescent="0.25">
      <c r="A98" s="2">
        <v>11</v>
      </c>
      <c r="B98" s="2">
        <v>1</v>
      </c>
      <c r="C98" s="2" t="s">
        <v>1161</v>
      </c>
      <c r="D98" s="2">
        <v>440</v>
      </c>
      <c r="E98" s="2" t="s">
        <v>1162</v>
      </c>
      <c r="F98" s="29">
        <v>1</v>
      </c>
      <c r="G98" s="30" t="s">
        <v>1328</v>
      </c>
      <c r="H98" s="30" t="s">
        <v>1328</v>
      </c>
      <c r="I98" s="37" t="s">
        <v>1328</v>
      </c>
      <c r="J98" s="37" t="s">
        <v>1328</v>
      </c>
      <c r="K98" s="32">
        <v>1</v>
      </c>
      <c r="L98" s="32">
        <v>1</v>
      </c>
      <c r="M98" s="32" t="s">
        <v>1328</v>
      </c>
      <c r="N98" s="32" t="s">
        <v>1328</v>
      </c>
      <c r="O98" s="32">
        <v>530</v>
      </c>
      <c r="P98" s="32">
        <f t="shared" si="1"/>
        <v>506.56</v>
      </c>
      <c r="Q98" s="32"/>
      <c r="R98" s="32"/>
      <c r="S98" s="2"/>
      <c r="T98" s="2"/>
      <c r="U98" s="2"/>
      <c r="V98" s="2"/>
      <c r="W98" s="2"/>
      <c r="X98" s="30"/>
      <c r="Y98" s="30"/>
      <c r="Z98" s="32"/>
      <c r="AA98" s="32"/>
      <c r="AB98" s="32"/>
      <c r="AC98" s="32"/>
      <c r="AD98" s="32"/>
      <c r="AE98" s="32"/>
      <c r="AF98" s="32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x14ac:dyDescent="0.25">
      <c r="A99" s="7">
        <v>11</v>
      </c>
      <c r="B99" s="7">
        <v>1</v>
      </c>
      <c r="C99" s="7" t="s">
        <v>1161</v>
      </c>
      <c r="D99" s="7">
        <v>467</v>
      </c>
      <c r="E99" s="7" t="s">
        <v>1163</v>
      </c>
      <c r="F99" s="38">
        <v>1</v>
      </c>
      <c r="G99" s="30" t="s">
        <v>1328</v>
      </c>
      <c r="H99" s="30" t="s">
        <v>1328</v>
      </c>
      <c r="I99" s="37" t="s">
        <v>1328</v>
      </c>
      <c r="J99" s="37" t="s">
        <v>1328</v>
      </c>
      <c r="K99" s="32">
        <v>6</v>
      </c>
      <c r="L99" s="32">
        <v>2</v>
      </c>
      <c r="M99" s="32" t="s">
        <v>1328</v>
      </c>
      <c r="N99" s="32" t="s">
        <v>1328</v>
      </c>
      <c r="O99" s="32">
        <v>1696.02</v>
      </c>
      <c r="P99" s="32">
        <f t="shared" si="1"/>
        <v>1621.02</v>
      </c>
      <c r="Q99" s="32"/>
      <c r="R99" s="32"/>
      <c r="S99" s="7"/>
      <c r="T99" s="7"/>
      <c r="U99" s="7"/>
      <c r="V99" s="7"/>
      <c r="W99" s="2"/>
      <c r="X99" s="30"/>
      <c r="Y99" s="30"/>
      <c r="Z99" s="32"/>
      <c r="AA99" s="32"/>
      <c r="AB99" s="32"/>
      <c r="AC99" s="32"/>
      <c r="AD99" s="32"/>
      <c r="AE99" s="32"/>
      <c r="AF99" s="32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x14ac:dyDescent="0.25">
      <c r="A100" s="2">
        <v>12</v>
      </c>
      <c r="B100" s="2">
        <v>1</v>
      </c>
      <c r="C100" s="2" t="s">
        <v>80</v>
      </c>
      <c r="D100" s="2">
        <v>510</v>
      </c>
      <c r="E100" s="2" t="s">
        <v>81</v>
      </c>
      <c r="F100" s="29">
        <v>0</v>
      </c>
      <c r="G100" s="30">
        <v>0.81434599156118148</v>
      </c>
      <c r="H100" s="30">
        <v>0.85589519650655022</v>
      </c>
      <c r="I100" s="37">
        <v>431.6</v>
      </c>
      <c r="J100" s="37">
        <v>453.62</v>
      </c>
      <c r="K100" s="32">
        <v>77</v>
      </c>
      <c r="L100" s="32">
        <v>85</v>
      </c>
      <c r="M100" s="32">
        <v>33233.199999999997</v>
      </c>
      <c r="N100" s="32">
        <v>38557.699999999997</v>
      </c>
      <c r="O100" s="32">
        <v>71790.899999999994</v>
      </c>
      <c r="P100" s="32">
        <f t="shared" si="1"/>
        <v>68616.289999999994</v>
      </c>
      <c r="Q100" s="32"/>
      <c r="R100" s="32"/>
      <c r="S100" s="2"/>
      <c r="T100" s="2"/>
      <c r="U100" s="2"/>
      <c r="V100" s="2"/>
      <c r="W100" s="2"/>
      <c r="X100" s="30"/>
      <c r="Y100" s="30"/>
      <c r="Z100" s="32"/>
      <c r="AA100" s="32"/>
      <c r="AB100" s="32"/>
      <c r="AC100" s="32"/>
      <c r="AD100" s="32"/>
      <c r="AE100" s="32"/>
      <c r="AF100" s="32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x14ac:dyDescent="0.25">
      <c r="A101" s="2">
        <v>12</v>
      </c>
      <c r="B101" s="2">
        <v>1</v>
      </c>
      <c r="C101" s="2" t="s">
        <v>80</v>
      </c>
      <c r="D101" s="2">
        <v>511</v>
      </c>
      <c r="E101" s="2" t="s">
        <v>82</v>
      </c>
      <c r="F101" s="29">
        <v>0</v>
      </c>
      <c r="G101" s="30">
        <v>0.91973244147157196</v>
      </c>
      <c r="H101" s="30">
        <v>0.88560885608856088</v>
      </c>
      <c r="I101" s="37">
        <v>487.46</v>
      </c>
      <c r="J101" s="37">
        <v>469.37</v>
      </c>
      <c r="K101" s="32">
        <v>108</v>
      </c>
      <c r="L101" s="32">
        <v>101</v>
      </c>
      <c r="M101" s="32">
        <v>52645.68</v>
      </c>
      <c r="N101" s="32">
        <v>47406.37</v>
      </c>
      <c r="O101" s="32">
        <v>100052.05</v>
      </c>
      <c r="P101" s="32">
        <f t="shared" si="1"/>
        <v>95627.72</v>
      </c>
      <c r="Q101" s="32"/>
      <c r="R101" s="32"/>
      <c r="S101" s="2"/>
      <c r="T101" s="2"/>
      <c r="U101" s="2"/>
      <c r="V101" s="2"/>
      <c r="W101" s="2"/>
      <c r="X101" s="30"/>
      <c r="Y101" s="30"/>
      <c r="Z101" s="32"/>
      <c r="AA101" s="32"/>
      <c r="AB101" s="32"/>
      <c r="AC101" s="32"/>
      <c r="AD101" s="32"/>
      <c r="AE101" s="32"/>
      <c r="AF101" s="32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x14ac:dyDescent="0.25">
      <c r="A102" s="2">
        <v>12</v>
      </c>
      <c r="B102" s="2">
        <v>1</v>
      </c>
      <c r="C102" s="2" t="s">
        <v>80</v>
      </c>
      <c r="D102" s="2">
        <v>512</v>
      </c>
      <c r="E102" s="2" t="s">
        <v>83</v>
      </c>
      <c r="F102" s="29">
        <v>0</v>
      </c>
      <c r="G102" s="30">
        <v>0.88481675392670156</v>
      </c>
      <c r="H102" s="30">
        <v>0.83536585365853655</v>
      </c>
      <c r="I102" s="37">
        <v>468.95</v>
      </c>
      <c r="J102" s="37">
        <v>442.74</v>
      </c>
      <c r="K102" s="32">
        <v>71</v>
      </c>
      <c r="L102" s="32">
        <v>51</v>
      </c>
      <c r="M102" s="32">
        <v>33295.449999999997</v>
      </c>
      <c r="N102" s="32">
        <v>22579.74</v>
      </c>
      <c r="O102" s="32">
        <v>55875.19</v>
      </c>
      <c r="P102" s="32">
        <f t="shared" si="1"/>
        <v>53404.38</v>
      </c>
      <c r="Q102" s="32"/>
      <c r="R102" s="32"/>
      <c r="S102" s="2"/>
      <c r="T102" s="2"/>
      <c r="U102" s="2"/>
      <c r="V102" s="2"/>
      <c r="W102" s="2"/>
      <c r="X102" s="30"/>
      <c r="Y102" s="30"/>
      <c r="Z102" s="32"/>
      <c r="AA102" s="32"/>
      <c r="AB102" s="32"/>
      <c r="AC102" s="32"/>
      <c r="AD102" s="32"/>
      <c r="AE102" s="32"/>
      <c r="AF102" s="32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x14ac:dyDescent="0.25">
      <c r="A103" s="2">
        <v>12</v>
      </c>
      <c r="B103" s="2">
        <v>1</v>
      </c>
      <c r="C103" s="2" t="s">
        <v>80</v>
      </c>
      <c r="D103" s="2">
        <v>513</v>
      </c>
      <c r="E103" s="2" t="s">
        <v>84</v>
      </c>
      <c r="F103" s="29">
        <v>0</v>
      </c>
      <c r="G103" s="30">
        <v>0.875</v>
      </c>
      <c r="H103" s="30">
        <v>0.8225255972696246</v>
      </c>
      <c r="I103" s="37">
        <v>463.75</v>
      </c>
      <c r="J103" s="37">
        <v>435.94</v>
      </c>
      <c r="K103" s="32">
        <v>97</v>
      </c>
      <c r="L103" s="32">
        <v>107</v>
      </c>
      <c r="M103" s="32">
        <v>44983.75</v>
      </c>
      <c r="N103" s="32">
        <v>46645.58</v>
      </c>
      <c r="O103" s="32">
        <v>91629.33</v>
      </c>
      <c r="P103" s="32">
        <f t="shared" si="1"/>
        <v>87577.46</v>
      </c>
      <c r="Q103" s="32"/>
      <c r="R103" s="32"/>
      <c r="S103" s="2"/>
      <c r="T103" s="2"/>
      <c r="U103" s="2"/>
      <c r="V103" s="2"/>
      <c r="W103" s="2"/>
      <c r="X103" s="30"/>
      <c r="Y103" s="30"/>
      <c r="Z103" s="32"/>
      <c r="AA103" s="32"/>
      <c r="AB103" s="32"/>
      <c r="AC103" s="32"/>
      <c r="AD103" s="32"/>
      <c r="AE103" s="32"/>
      <c r="AF103" s="32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x14ac:dyDescent="0.25">
      <c r="A104" s="2">
        <v>12</v>
      </c>
      <c r="B104" s="2">
        <v>1</v>
      </c>
      <c r="C104" s="2" t="s">
        <v>80</v>
      </c>
      <c r="D104" s="2">
        <v>515</v>
      </c>
      <c r="E104" s="2" t="s">
        <v>85</v>
      </c>
      <c r="F104" s="29">
        <v>0</v>
      </c>
      <c r="G104" s="30">
        <v>0.85588235294117643</v>
      </c>
      <c r="H104" s="30">
        <v>0.79239766081871343</v>
      </c>
      <c r="I104" s="37">
        <v>453.62</v>
      </c>
      <c r="J104" s="37">
        <v>419.97</v>
      </c>
      <c r="K104" s="32">
        <v>117</v>
      </c>
      <c r="L104" s="32">
        <v>113</v>
      </c>
      <c r="M104" s="32">
        <v>53073.54</v>
      </c>
      <c r="N104" s="32">
        <v>47456.61</v>
      </c>
      <c r="O104" s="32">
        <v>100530.15</v>
      </c>
      <c r="P104" s="32">
        <f t="shared" si="1"/>
        <v>96084.68</v>
      </c>
      <c r="Q104" s="32"/>
      <c r="R104" s="32"/>
      <c r="S104" s="2"/>
      <c r="T104" s="2"/>
      <c r="U104" s="2"/>
      <c r="V104" s="2"/>
      <c r="W104" s="2"/>
      <c r="X104" s="30"/>
      <c r="Y104" s="30"/>
      <c r="Z104" s="32"/>
      <c r="AA104" s="32"/>
      <c r="AB104" s="32"/>
      <c r="AC104" s="32"/>
      <c r="AD104" s="32"/>
      <c r="AE104" s="32"/>
      <c r="AF104" s="32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x14ac:dyDescent="0.25">
      <c r="A105">
        <v>13</v>
      </c>
      <c r="B105">
        <v>1</v>
      </c>
      <c r="C105" t="s">
        <v>86</v>
      </c>
      <c r="D105">
        <v>515</v>
      </c>
      <c r="E105" t="s">
        <v>87</v>
      </c>
      <c r="F105" s="1">
        <v>0</v>
      </c>
      <c r="G105" s="30">
        <v>0.74509803921568629</v>
      </c>
      <c r="H105" s="30">
        <v>0.68452380952380953</v>
      </c>
      <c r="I105" s="37">
        <v>394.9</v>
      </c>
      <c r="J105" s="37">
        <v>362.8</v>
      </c>
      <c r="K105" s="32">
        <v>78</v>
      </c>
      <c r="L105" s="32">
        <v>74</v>
      </c>
      <c r="M105" s="32">
        <v>30802.2</v>
      </c>
      <c r="N105" s="32">
        <v>26847.200000000001</v>
      </c>
      <c r="O105" s="32">
        <v>57649.4</v>
      </c>
      <c r="P105" s="32">
        <f t="shared" si="1"/>
        <v>55100.13</v>
      </c>
      <c r="Q105" s="32"/>
      <c r="R105" s="32"/>
      <c r="W105" s="2"/>
      <c r="X105" s="30"/>
      <c r="Y105" s="30"/>
      <c r="Z105" s="32"/>
      <c r="AA105" s="32"/>
      <c r="AB105" s="32"/>
      <c r="AC105" s="32"/>
      <c r="AD105" s="32"/>
      <c r="AE105" s="32"/>
      <c r="AF105" s="32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x14ac:dyDescent="0.25">
      <c r="A106" s="2">
        <v>13</v>
      </c>
      <c r="B106" s="2">
        <v>1</v>
      </c>
      <c r="C106" s="2" t="s">
        <v>86</v>
      </c>
      <c r="D106" s="2">
        <v>517</v>
      </c>
      <c r="E106" s="2" t="s">
        <v>88</v>
      </c>
      <c r="F106" s="29">
        <v>0</v>
      </c>
      <c r="G106" s="30">
        <v>0.64976958525345618</v>
      </c>
      <c r="H106" s="30">
        <v>0.7225433526011561</v>
      </c>
      <c r="I106" s="37">
        <v>344.38</v>
      </c>
      <c r="J106" s="37">
        <v>382.95</v>
      </c>
      <c r="K106" s="32">
        <v>78</v>
      </c>
      <c r="L106" s="32">
        <v>69</v>
      </c>
      <c r="M106" s="32">
        <v>26861.64</v>
      </c>
      <c r="N106" s="32">
        <v>26423.55</v>
      </c>
      <c r="O106" s="32">
        <v>53285.19</v>
      </c>
      <c r="P106" s="32">
        <f t="shared" si="1"/>
        <v>50928.91</v>
      </c>
      <c r="Q106" s="32"/>
      <c r="R106" s="32"/>
      <c r="S106" s="2"/>
      <c r="T106" s="2"/>
      <c r="U106" s="2"/>
      <c r="V106" s="2"/>
      <c r="W106" s="2"/>
      <c r="X106" s="30"/>
      <c r="Y106" s="30"/>
      <c r="Z106" s="32"/>
      <c r="AA106" s="32"/>
      <c r="AB106" s="32"/>
      <c r="AC106" s="32"/>
      <c r="AD106" s="32"/>
      <c r="AE106" s="32"/>
      <c r="AF106" s="32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x14ac:dyDescent="0.25">
      <c r="A107" s="2">
        <v>13</v>
      </c>
      <c r="B107" s="2">
        <v>1</v>
      </c>
      <c r="C107" s="2" t="s">
        <v>86</v>
      </c>
      <c r="D107" s="2">
        <v>520</v>
      </c>
      <c r="E107" s="2" t="s">
        <v>89</v>
      </c>
      <c r="F107" s="29">
        <v>0</v>
      </c>
      <c r="G107" s="30">
        <v>0.73777777777777775</v>
      </c>
      <c r="H107" s="30">
        <v>0.64766839378238339</v>
      </c>
      <c r="I107" s="37">
        <v>391.02</v>
      </c>
      <c r="J107" s="37">
        <v>343.26</v>
      </c>
      <c r="K107" s="32">
        <v>68</v>
      </c>
      <c r="L107" s="32">
        <v>70</v>
      </c>
      <c r="M107" s="32">
        <v>26589.360000000001</v>
      </c>
      <c r="N107" s="32">
        <v>24028.2</v>
      </c>
      <c r="O107" s="32">
        <v>50617.56</v>
      </c>
      <c r="P107" s="32">
        <f t="shared" si="1"/>
        <v>48379.24</v>
      </c>
      <c r="Q107" s="32"/>
      <c r="R107" s="32"/>
      <c r="S107" s="2"/>
      <c r="T107" s="2"/>
      <c r="U107" s="2"/>
      <c r="V107" s="2"/>
      <c r="W107" s="2"/>
      <c r="X107" s="30"/>
      <c r="Y107" s="30"/>
      <c r="Z107" s="32"/>
      <c r="AA107" s="32"/>
      <c r="AB107" s="32"/>
      <c r="AC107" s="32"/>
      <c r="AD107" s="32"/>
      <c r="AE107" s="32"/>
      <c r="AF107" s="32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x14ac:dyDescent="0.25">
      <c r="A108" s="2">
        <v>14</v>
      </c>
      <c r="B108" s="2">
        <v>1</v>
      </c>
      <c r="C108" s="2" t="s">
        <v>90</v>
      </c>
      <c r="D108" s="2">
        <v>546</v>
      </c>
      <c r="E108" s="2" t="s">
        <v>91</v>
      </c>
      <c r="F108" s="29">
        <v>0</v>
      </c>
      <c r="G108" s="30">
        <v>0.73426573426573427</v>
      </c>
      <c r="H108" s="30">
        <v>0.81526104417670686</v>
      </c>
      <c r="I108" s="37">
        <v>389.16</v>
      </c>
      <c r="J108" s="37">
        <v>432.09</v>
      </c>
      <c r="K108" s="32">
        <v>91</v>
      </c>
      <c r="L108" s="32">
        <v>100</v>
      </c>
      <c r="M108" s="32">
        <v>35413.56</v>
      </c>
      <c r="N108" s="32">
        <v>43209</v>
      </c>
      <c r="O108" s="32">
        <v>78622.559999999998</v>
      </c>
      <c r="P108" s="32">
        <f t="shared" si="1"/>
        <v>75145.850000000006</v>
      </c>
      <c r="Q108" s="32"/>
      <c r="R108" s="32"/>
      <c r="S108" s="2"/>
      <c r="T108" s="2"/>
      <c r="U108" s="2"/>
      <c r="V108" s="2"/>
      <c r="W108" s="2"/>
      <c r="X108" s="30"/>
      <c r="Y108" s="30"/>
      <c r="Z108" s="32"/>
      <c r="AA108" s="32"/>
      <c r="AB108" s="32"/>
      <c r="AC108" s="32"/>
      <c r="AD108" s="32"/>
      <c r="AE108" s="32"/>
      <c r="AF108" s="32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x14ac:dyDescent="0.25">
      <c r="A109" s="2">
        <v>14</v>
      </c>
      <c r="B109" s="2">
        <v>1</v>
      </c>
      <c r="C109" s="2" t="s">
        <v>90</v>
      </c>
      <c r="D109" s="2">
        <v>550</v>
      </c>
      <c r="E109" s="2" t="s">
        <v>92</v>
      </c>
      <c r="F109" s="29">
        <v>0</v>
      </c>
      <c r="G109" s="30">
        <v>0.70754716981132071</v>
      </c>
      <c r="H109" s="30">
        <v>0.73929961089494167</v>
      </c>
      <c r="I109" s="37">
        <v>375</v>
      </c>
      <c r="J109" s="37">
        <v>391.83</v>
      </c>
      <c r="K109" s="32">
        <v>106</v>
      </c>
      <c r="L109" s="32">
        <v>112</v>
      </c>
      <c r="M109" s="32">
        <v>39750</v>
      </c>
      <c r="N109" s="32">
        <v>43884.959999999999</v>
      </c>
      <c r="O109" s="32">
        <v>83634.959999999992</v>
      </c>
      <c r="P109" s="32">
        <f t="shared" si="1"/>
        <v>79936.600000000006</v>
      </c>
      <c r="Q109" s="32"/>
      <c r="R109" s="32"/>
      <c r="S109" s="2"/>
      <c r="T109" s="2"/>
      <c r="U109" s="2"/>
      <c r="V109" s="2"/>
      <c r="W109" s="2"/>
      <c r="X109" s="30"/>
      <c r="Y109" s="30"/>
      <c r="Z109" s="32"/>
      <c r="AA109" s="32"/>
      <c r="AB109" s="32"/>
      <c r="AC109" s="32"/>
      <c r="AD109" s="32"/>
      <c r="AE109" s="32"/>
      <c r="AF109" s="32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x14ac:dyDescent="0.25">
      <c r="A110" s="2">
        <v>15</v>
      </c>
      <c r="B110" s="2">
        <v>1</v>
      </c>
      <c r="C110" s="2" t="s">
        <v>93</v>
      </c>
      <c r="D110" s="2">
        <v>782</v>
      </c>
      <c r="E110" s="2" t="s">
        <v>94</v>
      </c>
      <c r="F110" s="29">
        <v>0</v>
      </c>
      <c r="G110" s="30">
        <v>0.84593023255813948</v>
      </c>
      <c r="H110" s="30">
        <v>0.83532934131736525</v>
      </c>
      <c r="I110" s="37">
        <v>448.34</v>
      </c>
      <c r="J110" s="37">
        <v>442.72</v>
      </c>
      <c r="K110" s="32">
        <v>118</v>
      </c>
      <c r="L110" s="32">
        <v>118</v>
      </c>
      <c r="M110" s="32">
        <v>52904.12</v>
      </c>
      <c r="N110" s="32">
        <v>52240.959999999999</v>
      </c>
      <c r="O110" s="32">
        <v>105145.08</v>
      </c>
      <c r="P110" s="32">
        <f t="shared" si="1"/>
        <v>100495.54</v>
      </c>
      <c r="Q110" s="32"/>
      <c r="R110" s="32"/>
      <c r="S110" s="2"/>
      <c r="T110" s="2"/>
      <c r="U110" s="2"/>
      <c r="V110" s="2"/>
      <c r="W110" s="2"/>
      <c r="X110" s="30"/>
      <c r="Y110" s="30"/>
      <c r="Z110" s="32"/>
      <c r="AA110" s="32"/>
      <c r="AB110" s="32"/>
      <c r="AC110" s="32"/>
      <c r="AD110" s="32"/>
      <c r="AE110" s="32"/>
      <c r="AF110" s="32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x14ac:dyDescent="0.25">
      <c r="A111" s="2">
        <v>15</v>
      </c>
      <c r="B111" s="2">
        <v>1</v>
      </c>
      <c r="C111" s="2" t="s">
        <v>93</v>
      </c>
      <c r="D111" s="2">
        <v>784</v>
      </c>
      <c r="E111" s="2" t="s">
        <v>95</v>
      </c>
      <c r="F111" s="29">
        <v>0</v>
      </c>
      <c r="G111" s="30">
        <v>0.81438515081206497</v>
      </c>
      <c r="H111" s="30">
        <v>0.75</v>
      </c>
      <c r="I111" s="37">
        <v>431.62</v>
      </c>
      <c r="J111" s="37">
        <v>397.5</v>
      </c>
      <c r="K111" s="32">
        <v>142</v>
      </c>
      <c r="L111" s="32">
        <v>150</v>
      </c>
      <c r="M111" s="32">
        <v>61290.04</v>
      </c>
      <c r="N111" s="32">
        <v>59625</v>
      </c>
      <c r="O111" s="32">
        <v>120915.04000000001</v>
      </c>
      <c r="P111" s="32">
        <f t="shared" si="1"/>
        <v>115568.15</v>
      </c>
      <c r="Q111" s="32"/>
      <c r="R111" s="32"/>
      <c r="S111" s="2"/>
      <c r="T111" s="2"/>
      <c r="U111" s="2"/>
      <c r="V111" s="2"/>
      <c r="W111" s="2"/>
      <c r="X111" s="30"/>
      <c r="Y111" s="30"/>
      <c r="Z111" s="32"/>
      <c r="AA111" s="32"/>
      <c r="AB111" s="32"/>
      <c r="AC111" s="32"/>
      <c r="AD111" s="32"/>
      <c r="AE111" s="32"/>
      <c r="AF111" s="32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x14ac:dyDescent="0.25">
      <c r="A112" s="2">
        <v>15</v>
      </c>
      <c r="B112" s="2">
        <v>1</v>
      </c>
      <c r="C112" s="2" t="s">
        <v>93</v>
      </c>
      <c r="D112" s="2">
        <v>848</v>
      </c>
      <c r="E112" s="2" t="s">
        <v>96</v>
      </c>
      <c r="F112" s="29">
        <v>0</v>
      </c>
      <c r="G112" s="30">
        <v>0.82558139534883723</v>
      </c>
      <c r="H112" s="30">
        <v>0.69102990033222589</v>
      </c>
      <c r="I112" s="37">
        <v>437.56</v>
      </c>
      <c r="J112" s="37">
        <v>366.25</v>
      </c>
      <c r="K112" s="32">
        <v>117</v>
      </c>
      <c r="L112" s="32">
        <v>118</v>
      </c>
      <c r="M112" s="32">
        <v>51194.52</v>
      </c>
      <c r="N112" s="32">
        <v>43217.5</v>
      </c>
      <c r="O112" s="32">
        <v>94412.01999999999</v>
      </c>
      <c r="P112" s="32">
        <f t="shared" si="1"/>
        <v>90237.1</v>
      </c>
      <c r="Q112" s="32"/>
      <c r="R112" s="32"/>
      <c r="S112" s="2"/>
      <c r="T112" s="2"/>
      <c r="U112" s="2"/>
      <c r="V112" s="2"/>
      <c r="W112" s="2"/>
      <c r="X112" s="30"/>
      <c r="Y112" s="30"/>
      <c r="Z112" s="32"/>
      <c r="AA112" s="32"/>
      <c r="AB112" s="32"/>
      <c r="AC112" s="32"/>
      <c r="AD112" s="32"/>
      <c r="AE112" s="32"/>
      <c r="AF112" s="32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x14ac:dyDescent="0.25">
      <c r="A113" s="2">
        <v>16</v>
      </c>
      <c r="B113" s="2">
        <v>1</v>
      </c>
      <c r="C113" s="2" t="s">
        <v>97</v>
      </c>
      <c r="D113" s="2">
        <v>772</v>
      </c>
      <c r="E113" s="2" t="s">
        <v>98</v>
      </c>
      <c r="F113" s="29">
        <v>1</v>
      </c>
      <c r="G113" s="30" t="s">
        <v>1328</v>
      </c>
      <c r="H113" s="30" t="s">
        <v>1328</v>
      </c>
      <c r="I113" s="37" t="s">
        <v>1328</v>
      </c>
      <c r="J113" s="37" t="s">
        <v>1328</v>
      </c>
      <c r="K113" s="32">
        <v>183</v>
      </c>
      <c r="L113" s="32">
        <v>0</v>
      </c>
      <c r="M113" s="32" t="s">
        <v>1328</v>
      </c>
      <c r="N113" s="32" t="s">
        <v>1328</v>
      </c>
      <c r="O113" s="32">
        <v>83940.27</v>
      </c>
      <c r="P113" s="32">
        <f t="shared" si="1"/>
        <v>80228.41</v>
      </c>
      <c r="Q113" s="32"/>
      <c r="R113" s="32"/>
      <c r="S113" s="2"/>
      <c r="T113" s="2"/>
      <c r="U113" s="2"/>
      <c r="V113" s="2"/>
      <c r="W113" s="2"/>
      <c r="X113" s="30"/>
      <c r="Y113" s="30"/>
      <c r="Z113" s="32"/>
      <c r="AA113" s="32"/>
      <c r="AB113" s="32"/>
      <c r="AC113" s="32"/>
      <c r="AD113" s="32"/>
      <c r="AE113" s="32"/>
      <c r="AF113" s="32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x14ac:dyDescent="0.25">
      <c r="A114" s="2">
        <v>16</v>
      </c>
      <c r="B114" s="2">
        <v>1</v>
      </c>
      <c r="C114" s="2" t="s">
        <v>97</v>
      </c>
      <c r="D114" s="2">
        <v>773</v>
      </c>
      <c r="E114" s="2" t="s">
        <v>99</v>
      </c>
      <c r="F114" s="29">
        <v>1</v>
      </c>
      <c r="G114" s="30" t="s">
        <v>1328</v>
      </c>
      <c r="H114" s="30" t="s">
        <v>1328</v>
      </c>
      <c r="I114" s="37" t="s">
        <v>1328</v>
      </c>
      <c r="J114" s="37" t="s">
        <v>1328</v>
      </c>
      <c r="K114" s="32">
        <v>0</v>
      </c>
      <c r="L114" s="32">
        <v>370</v>
      </c>
      <c r="M114" s="32" t="s">
        <v>1328</v>
      </c>
      <c r="N114" s="32" t="s">
        <v>1328</v>
      </c>
      <c r="O114" s="32">
        <v>154826.5</v>
      </c>
      <c r="P114" s="32">
        <f t="shared" si="1"/>
        <v>147980.04</v>
      </c>
      <c r="Q114" s="32"/>
      <c r="R114" s="32"/>
      <c r="S114" s="2"/>
      <c r="T114" s="2"/>
      <c r="U114" s="2"/>
      <c r="V114" s="2"/>
      <c r="W114" s="2"/>
      <c r="X114" s="30"/>
      <c r="Y114" s="30"/>
      <c r="Z114" s="32"/>
      <c r="AA114" s="32"/>
      <c r="AB114" s="32"/>
      <c r="AC114" s="32"/>
      <c r="AD114" s="32"/>
      <c r="AE114" s="32"/>
      <c r="AF114" s="32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x14ac:dyDescent="0.25">
      <c r="A115" s="2">
        <v>16</v>
      </c>
      <c r="B115" s="2">
        <v>1</v>
      </c>
      <c r="C115" s="2" t="s">
        <v>97</v>
      </c>
      <c r="D115" s="2">
        <v>774</v>
      </c>
      <c r="E115" s="2" t="s">
        <v>100</v>
      </c>
      <c r="F115" s="29">
        <v>1</v>
      </c>
      <c r="G115" s="30" t="s">
        <v>1328</v>
      </c>
      <c r="H115" s="30" t="s">
        <v>1328</v>
      </c>
      <c r="I115" s="37" t="s">
        <v>1328</v>
      </c>
      <c r="J115" s="37" t="s">
        <v>1328</v>
      </c>
      <c r="K115" s="32">
        <v>91</v>
      </c>
      <c r="L115" s="32">
        <v>0</v>
      </c>
      <c r="M115" s="32" t="s">
        <v>1328</v>
      </c>
      <c r="N115" s="32" t="s">
        <v>1328</v>
      </c>
      <c r="O115" s="32">
        <v>36009.61</v>
      </c>
      <c r="P115" s="32">
        <f t="shared" si="1"/>
        <v>34417.26</v>
      </c>
      <c r="Q115" s="32"/>
      <c r="R115" s="32"/>
      <c r="S115" s="2"/>
      <c r="T115" s="2"/>
      <c r="U115" s="2"/>
      <c r="V115" s="2"/>
      <c r="W115" s="2"/>
      <c r="X115" s="30"/>
      <c r="Y115" s="30"/>
      <c r="Z115" s="32"/>
      <c r="AA115" s="32"/>
      <c r="AB115" s="32"/>
      <c r="AC115" s="32"/>
      <c r="AD115" s="32"/>
      <c r="AE115" s="32"/>
      <c r="AF115" s="32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x14ac:dyDescent="0.25">
      <c r="A116" s="2">
        <v>16</v>
      </c>
      <c r="B116" s="2">
        <v>1</v>
      </c>
      <c r="C116" s="2" t="s">
        <v>97</v>
      </c>
      <c r="D116" s="2">
        <v>775</v>
      </c>
      <c r="E116" s="2" t="s">
        <v>101</v>
      </c>
      <c r="F116" s="29">
        <v>1</v>
      </c>
      <c r="G116" s="30" t="s">
        <v>1328</v>
      </c>
      <c r="H116" s="30" t="s">
        <v>1328</v>
      </c>
      <c r="I116" s="37" t="s">
        <v>1328</v>
      </c>
      <c r="J116" s="37" t="s">
        <v>1328</v>
      </c>
      <c r="K116" s="32">
        <v>106</v>
      </c>
      <c r="L116" s="32">
        <v>0</v>
      </c>
      <c r="M116" s="32" t="s">
        <v>1328</v>
      </c>
      <c r="N116" s="32" t="s">
        <v>1328</v>
      </c>
      <c r="O116" s="32">
        <v>45164.480000000003</v>
      </c>
      <c r="P116" s="32">
        <f t="shared" si="1"/>
        <v>43167.3</v>
      </c>
      <c r="Q116" s="32"/>
      <c r="R116" s="32"/>
      <c r="S116" s="2"/>
      <c r="T116" s="2"/>
      <c r="U116" s="2"/>
      <c r="V116" s="2"/>
      <c r="W116" s="2"/>
      <c r="X116" s="30"/>
      <c r="Y116" s="30"/>
      <c r="Z116" s="32"/>
      <c r="AA116" s="32"/>
      <c r="AB116" s="32"/>
      <c r="AC116" s="32"/>
      <c r="AD116" s="32"/>
      <c r="AE116" s="32"/>
      <c r="AF116" s="32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x14ac:dyDescent="0.25">
      <c r="A117" s="2">
        <v>22</v>
      </c>
      <c r="B117" s="2">
        <v>1</v>
      </c>
      <c r="C117" s="2" t="s">
        <v>102</v>
      </c>
      <c r="D117" s="2">
        <v>10</v>
      </c>
      <c r="E117" s="2" t="s">
        <v>103</v>
      </c>
      <c r="F117" s="29">
        <v>0</v>
      </c>
      <c r="G117" s="30">
        <v>0.87412587412587417</v>
      </c>
      <c r="H117" s="30">
        <v>0.67910447761194026</v>
      </c>
      <c r="I117" s="37">
        <v>463.29</v>
      </c>
      <c r="J117" s="37">
        <v>359.93</v>
      </c>
      <c r="K117" s="32">
        <v>99</v>
      </c>
      <c r="L117" s="32">
        <v>95</v>
      </c>
      <c r="M117" s="32">
        <v>45865.71</v>
      </c>
      <c r="N117" s="32">
        <v>34193.35</v>
      </c>
      <c r="O117" s="32">
        <v>80059.06</v>
      </c>
      <c r="P117" s="32">
        <f t="shared" si="1"/>
        <v>76518.83</v>
      </c>
      <c r="Q117" s="32"/>
      <c r="R117" s="32"/>
      <c r="S117" s="2"/>
      <c r="T117" s="2"/>
      <c r="U117" s="2"/>
      <c r="V117" s="2"/>
      <c r="W117" s="2"/>
      <c r="X117" s="30"/>
      <c r="Y117" s="30"/>
      <c r="Z117" s="32"/>
      <c r="AA117" s="32"/>
      <c r="AB117" s="32"/>
      <c r="AC117" s="32"/>
      <c r="AD117" s="32"/>
      <c r="AE117" s="32"/>
      <c r="AF117" s="32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x14ac:dyDescent="0.25">
      <c r="A118" s="2">
        <v>22</v>
      </c>
      <c r="B118" s="2">
        <v>1</v>
      </c>
      <c r="C118" s="2" t="s">
        <v>102</v>
      </c>
      <c r="D118" s="2">
        <v>60</v>
      </c>
      <c r="E118" s="2" t="s">
        <v>104</v>
      </c>
      <c r="F118" s="29">
        <v>0</v>
      </c>
      <c r="G118" s="30">
        <v>0.82958199356913187</v>
      </c>
      <c r="H118" s="30">
        <v>0.72945205479452058</v>
      </c>
      <c r="I118" s="37">
        <v>439.68</v>
      </c>
      <c r="J118" s="37">
        <v>386.61</v>
      </c>
      <c r="K118" s="32">
        <v>117</v>
      </c>
      <c r="L118" s="32">
        <v>117</v>
      </c>
      <c r="M118" s="32">
        <v>51442.559999999998</v>
      </c>
      <c r="N118" s="32">
        <v>45233.37</v>
      </c>
      <c r="O118" s="32">
        <v>96675.93</v>
      </c>
      <c r="P118" s="32">
        <f t="shared" si="1"/>
        <v>92400.9</v>
      </c>
      <c r="Q118" s="32"/>
      <c r="R118" s="32"/>
      <c r="S118" s="2"/>
      <c r="T118" s="2"/>
      <c r="U118" s="2"/>
      <c r="V118" s="2"/>
      <c r="W118" s="2"/>
      <c r="X118" s="30"/>
      <c r="Y118" s="30"/>
      <c r="Z118" s="32"/>
      <c r="AA118" s="32"/>
      <c r="AB118" s="32"/>
      <c r="AC118" s="32"/>
      <c r="AD118" s="32"/>
      <c r="AE118" s="32"/>
      <c r="AF118" s="32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x14ac:dyDescent="0.25">
      <c r="A119" s="2">
        <v>23</v>
      </c>
      <c r="B119" s="2">
        <v>1</v>
      </c>
      <c r="C119" s="2" t="s">
        <v>105</v>
      </c>
      <c r="D119" s="2">
        <v>10</v>
      </c>
      <c r="E119" s="2" t="s">
        <v>106</v>
      </c>
      <c r="F119" s="29">
        <v>0</v>
      </c>
      <c r="G119" s="30">
        <v>0.86057692307692313</v>
      </c>
      <c r="H119" s="30">
        <v>0.78</v>
      </c>
      <c r="I119" s="37">
        <v>456.11</v>
      </c>
      <c r="J119" s="37">
        <v>413.4</v>
      </c>
      <c r="K119" s="32">
        <v>75</v>
      </c>
      <c r="L119" s="32">
        <v>73</v>
      </c>
      <c r="M119" s="32">
        <v>34208.25</v>
      </c>
      <c r="N119" s="32">
        <v>30178.2</v>
      </c>
      <c r="O119" s="32">
        <v>64386.45</v>
      </c>
      <c r="P119" s="32">
        <f t="shared" si="1"/>
        <v>61539.27</v>
      </c>
      <c r="Q119" s="32"/>
      <c r="R119" s="32"/>
      <c r="S119" s="2"/>
      <c r="T119" s="2"/>
      <c r="U119" s="2"/>
      <c r="V119" s="2"/>
      <c r="W119" s="2"/>
      <c r="X119" s="30"/>
      <c r="Y119" s="30"/>
      <c r="Z119" s="32"/>
      <c r="AA119" s="32"/>
      <c r="AB119" s="32"/>
      <c r="AC119" s="32"/>
      <c r="AD119" s="32"/>
      <c r="AE119" s="32"/>
      <c r="AF119" s="32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x14ac:dyDescent="0.25">
      <c r="A120" s="7">
        <v>25</v>
      </c>
      <c r="B120" s="7">
        <v>1</v>
      </c>
      <c r="C120" s="7" t="s">
        <v>1164</v>
      </c>
      <c r="D120" s="7">
        <v>70</v>
      </c>
      <c r="E120" s="7" t="s">
        <v>1165</v>
      </c>
      <c r="F120" s="38">
        <v>1</v>
      </c>
      <c r="G120" s="30" t="s">
        <v>1328</v>
      </c>
      <c r="H120" s="30" t="s">
        <v>1328</v>
      </c>
      <c r="I120" s="37" t="s">
        <v>1328</v>
      </c>
      <c r="J120" s="37" t="s">
        <v>1328</v>
      </c>
      <c r="K120" s="32">
        <v>9</v>
      </c>
      <c r="L120" s="32">
        <v>5</v>
      </c>
      <c r="M120" s="32" t="s">
        <v>1328</v>
      </c>
      <c r="N120" s="32" t="s">
        <v>1328</v>
      </c>
      <c r="O120" s="32">
        <v>4129.33</v>
      </c>
      <c r="P120" s="32">
        <f t="shared" si="1"/>
        <v>3946.73</v>
      </c>
      <c r="Q120" s="32"/>
      <c r="R120" s="32"/>
      <c r="S120" s="7"/>
      <c r="T120" s="7"/>
      <c r="U120" s="7"/>
      <c r="V120" s="7"/>
      <c r="W120" s="2"/>
      <c r="X120" s="30"/>
      <c r="Y120" s="30"/>
      <c r="Z120" s="32"/>
      <c r="AA120" s="32"/>
      <c r="AB120" s="32"/>
      <c r="AC120" s="32"/>
      <c r="AD120" s="32"/>
      <c r="AE120" s="32"/>
      <c r="AF120" s="32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x14ac:dyDescent="0.25">
      <c r="A121" s="2">
        <v>31</v>
      </c>
      <c r="B121" s="2">
        <v>1</v>
      </c>
      <c r="C121" s="2" t="s">
        <v>107</v>
      </c>
      <c r="D121" s="2">
        <v>16</v>
      </c>
      <c r="E121" s="2" t="s">
        <v>108</v>
      </c>
      <c r="F121" s="29">
        <v>0</v>
      </c>
      <c r="G121" s="30">
        <v>0.8</v>
      </c>
      <c r="H121" s="30">
        <v>0.71641791044776115</v>
      </c>
      <c r="I121" s="37">
        <v>424</v>
      </c>
      <c r="J121" s="37">
        <v>379.7</v>
      </c>
      <c r="K121" s="32">
        <v>93</v>
      </c>
      <c r="L121" s="32">
        <v>110</v>
      </c>
      <c r="M121" s="32">
        <v>39432</v>
      </c>
      <c r="N121" s="32">
        <v>41767</v>
      </c>
      <c r="O121" s="32">
        <v>81199</v>
      </c>
      <c r="P121" s="32">
        <f t="shared" si="1"/>
        <v>77608.36</v>
      </c>
      <c r="Q121" s="32"/>
      <c r="R121" s="32"/>
      <c r="S121" s="2"/>
      <c r="T121" s="2"/>
      <c r="U121" s="2"/>
      <c r="V121" s="2"/>
      <c r="W121" s="2"/>
      <c r="X121" s="30"/>
      <c r="Y121" s="30"/>
      <c r="Z121" s="32"/>
      <c r="AA121" s="32"/>
      <c r="AB121" s="32"/>
      <c r="AC121" s="32"/>
      <c r="AD121" s="32"/>
      <c r="AE121" s="32"/>
      <c r="AF121" s="32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1:50" x14ac:dyDescent="0.25">
      <c r="A122" s="2">
        <v>31</v>
      </c>
      <c r="B122" s="2">
        <v>1</v>
      </c>
      <c r="C122" s="2" t="s">
        <v>107</v>
      </c>
      <c r="D122" s="2">
        <v>40</v>
      </c>
      <c r="E122" s="2" t="s">
        <v>109</v>
      </c>
      <c r="F122" s="29">
        <v>0</v>
      </c>
      <c r="G122" s="30">
        <v>0.81132075471698117</v>
      </c>
      <c r="H122" s="30">
        <v>0.72307692307692306</v>
      </c>
      <c r="I122" s="37">
        <v>430</v>
      </c>
      <c r="J122" s="37">
        <v>383.23</v>
      </c>
      <c r="K122" s="32">
        <v>50</v>
      </c>
      <c r="L122" s="32">
        <v>52</v>
      </c>
      <c r="M122" s="32">
        <v>21500</v>
      </c>
      <c r="N122" s="32">
        <v>19927.96</v>
      </c>
      <c r="O122" s="32">
        <v>41427.96</v>
      </c>
      <c r="P122" s="32">
        <f t="shared" si="1"/>
        <v>39596.01</v>
      </c>
      <c r="Q122" s="32"/>
      <c r="R122" s="32"/>
      <c r="S122" s="2"/>
      <c r="T122" s="2"/>
      <c r="U122" s="2"/>
      <c r="V122" s="2"/>
      <c r="W122" s="2"/>
      <c r="X122" s="30"/>
      <c r="Y122" s="30"/>
      <c r="Z122" s="32"/>
      <c r="AA122" s="32"/>
      <c r="AB122" s="32"/>
      <c r="AC122" s="32"/>
      <c r="AD122" s="32"/>
      <c r="AE122" s="32"/>
      <c r="AF122" s="32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x14ac:dyDescent="0.25">
      <c r="A123" s="2">
        <v>31</v>
      </c>
      <c r="B123" s="2">
        <v>1</v>
      </c>
      <c r="C123" s="2" t="s">
        <v>107</v>
      </c>
      <c r="D123" s="2">
        <v>50</v>
      </c>
      <c r="E123" s="2" t="s">
        <v>110</v>
      </c>
      <c r="F123" s="29">
        <v>0</v>
      </c>
      <c r="G123" s="30">
        <v>0.71052631578947367</v>
      </c>
      <c r="H123" s="30">
        <v>0.76923076923076927</v>
      </c>
      <c r="I123" s="37">
        <v>376.58</v>
      </c>
      <c r="J123" s="37">
        <v>407.69</v>
      </c>
      <c r="K123" s="32">
        <v>23</v>
      </c>
      <c r="L123" s="32">
        <v>24</v>
      </c>
      <c r="M123" s="32">
        <v>8661.34</v>
      </c>
      <c r="N123" s="32">
        <v>9784.56</v>
      </c>
      <c r="O123" s="32">
        <v>18445.900000000001</v>
      </c>
      <c r="P123" s="32">
        <f t="shared" si="1"/>
        <v>17630.22</v>
      </c>
      <c r="Q123" s="32"/>
      <c r="R123" s="32"/>
      <c r="S123" s="2"/>
      <c r="T123" s="2"/>
      <c r="U123" s="2"/>
      <c r="V123" s="2"/>
      <c r="W123" s="2"/>
      <c r="X123" s="30"/>
      <c r="Y123" s="30"/>
      <c r="Z123" s="32"/>
      <c r="AA123" s="32"/>
      <c r="AB123" s="32"/>
      <c r="AC123" s="32"/>
      <c r="AD123" s="32"/>
      <c r="AE123" s="32"/>
      <c r="AF123" s="32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x14ac:dyDescent="0.25">
      <c r="A124" s="2">
        <v>31</v>
      </c>
      <c r="B124" s="2">
        <v>1</v>
      </c>
      <c r="C124" s="2" t="s">
        <v>107</v>
      </c>
      <c r="D124" s="2">
        <v>60</v>
      </c>
      <c r="E124" s="2" t="s">
        <v>60</v>
      </c>
      <c r="F124" s="29">
        <v>0</v>
      </c>
      <c r="G124" s="30">
        <v>0.78214285714285714</v>
      </c>
      <c r="H124" s="30">
        <v>0.72941176470588232</v>
      </c>
      <c r="I124" s="37">
        <v>414.54</v>
      </c>
      <c r="J124" s="37">
        <v>386.59</v>
      </c>
      <c r="K124" s="32">
        <v>102</v>
      </c>
      <c r="L124" s="32">
        <v>94</v>
      </c>
      <c r="M124" s="32">
        <v>42283.08</v>
      </c>
      <c r="N124" s="32">
        <v>36339.46</v>
      </c>
      <c r="O124" s="32">
        <v>78622.540000000008</v>
      </c>
      <c r="P124" s="32">
        <f t="shared" si="1"/>
        <v>75145.83</v>
      </c>
      <c r="Q124" s="32"/>
      <c r="R124" s="32"/>
      <c r="S124" s="2"/>
      <c r="T124" s="2"/>
      <c r="U124" s="2"/>
      <c r="V124" s="2"/>
      <c r="W124" s="2"/>
      <c r="X124" s="30"/>
      <c r="Y124" s="30"/>
      <c r="Z124" s="32"/>
      <c r="AA124" s="32"/>
      <c r="AB124" s="32"/>
      <c r="AC124" s="32"/>
      <c r="AD124" s="32"/>
      <c r="AE124" s="32"/>
      <c r="AF124" s="32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x14ac:dyDescent="0.25">
      <c r="A125" s="2">
        <v>31</v>
      </c>
      <c r="B125" s="2">
        <v>1</v>
      </c>
      <c r="C125" s="2" t="s">
        <v>107</v>
      </c>
      <c r="D125" s="2">
        <v>80</v>
      </c>
      <c r="E125" s="2" t="s">
        <v>111</v>
      </c>
      <c r="F125" s="29">
        <v>0</v>
      </c>
      <c r="G125" s="30">
        <v>0.82524271844660191</v>
      </c>
      <c r="H125" s="30">
        <v>0.78048780487804881</v>
      </c>
      <c r="I125" s="37">
        <v>437.38</v>
      </c>
      <c r="J125" s="37">
        <v>413.66</v>
      </c>
      <c r="K125" s="32">
        <v>42</v>
      </c>
      <c r="L125" s="32">
        <v>34</v>
      </c>
      <c r="M125" s="32">
        <v>18369.96</v>
      </c>
      <c r="N125" s="32">
        <v>14064.44</v>
      </c>
      <c r="O125" s="32">
        <v>32434.400000000001</v>
      </c>
      <c r="P125" s="32">
        <f t="shared" si="1"/>
        <v>31000.14</v>
      </c>
      <c r="Q125" s="32"/>
      <c r="R125" s="32"/>
      <c r="S125" s="2"/>
      <c r="T125" s="2"/>
      <c r="U125" s="2"/>
      <c r="V125" s="2"/>
      <c r="W125" s="2"/>
      <c r="X125" s="30"/>
      <c r="Y125" s="30"/>
      <c r="Z125" s="32"/>
      <c r="AA125" s="32"/>
      <c r="AB125" s="32"/>
      <c r="AC125" s="32"/>
      <c r="AD125" s="32"/>
      <c r="AE125" s="32"/>
      <c r="AF125" s="32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x14ac:dyDescent="0.25">
      <c r="A126" s="2">
        <v>31</v>
      </c>
      <c r="B126" s="2">
        <v>1</v>
      </c>
      <c r="C126" s="2" t="s">
        <v>107</v>
      </c>
      <c r="D126" s="2">
        <v>100</v>
      </c>
      <c r="E126" s="2" t="s">
        <v>112</v>
      </c>
      <c r="F126" s="29">
        <v>0</v>
      </c>
      <c r="G126" s="30">
        <v>0.76470588235294112</v>
      </c>
      <c r="H126" s="30">
        <v>0.76410256410256405</v>
      </c>
      <c r="I126" s="37">
        <v>405.29</v>
      </c>
      <c r="J126" s="37">
        <v>404.97</v>
      </c>
      <c r="K126" s="32">
        <v>86</v>
      </c>
      <c r="L126" s="32">
        <v>70</v>
      </c>
      <c r="M126" s="32">
        <v>34854.94</v>
      </c>
      <c r="N126" s="32">
        <v>28347.9</v>
      </c>
      <c r="O126" s="32">
        <v>63202.840000000004</v>
      </c>
      <c r="P126" s="32">
        <f t="shared" si="1"/>
        <v>60408</v>
      </c>
      <c r="Q126" s="32"/>
      <c r="R126" s="32"/>
      <c r="S126" s="2"/>
      <c r="T126" s="2"/>
      <c r="U126" s="2"/>
      <c r="V126" s="2"/>
      <c r="W126" s="2"/>
      <c r="X126" s="30"/>
      <c r="Y126" s="30"/>
      <c r="Z126" s="32"/>
      <c r="AA126" s="32"/>
      <c r="AB126" s="32"/>
      <c r="AC126" s="32"/>
      <c r="AD126" s="32"/>
      <c r="AE126" s="32"/>
      <c r="AF126" s="32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x14ac:dyDescent="0.25">
      <c r="A127" s="2">
        <v>32</v>
      </c>
      <c r="B127" s="2">
        <v>1</v>
      </c>
      <c r="C127" s="2" t="s">
        <v>113</v>
      </c>
      <c r="D127" s="2">
        <v>10</v>
      </c>
      <c r="E127" s="2" t="s">
        <v>114</v>
      </c>
      <c r="F127" s="29">
        <v>0</v>
      </c>
      <c r="G127" s="30">
        <v>0.92753623188405798</v>
      </c>
      <c r="H127" s="30">
        <v>0.7421875</v>
      </c>
      <c r="I127" s="37">
        <v>491.59</v>
      </c>
      <c r="J127" s="37">
        <v>393.36</v>
      </c>
      <c r="K127" s="32">
        <v>42</v>
      </c>
      <c r="L127" s="32">
        <v>43</v>
      </c>
      <c r="M127" s="32">
        <v>20646.78</v>
      </c>
      <c r="N127" s="32">
        <v>16914.48</v>
      </c>
      <c r="O127" s="32">
        <v>37561.259999999995</v>
      </c>
      <c r="P127" s="32">
        <f t="shared" si="1"/>
        <v>35900.29</v>
      </c>
      <c r="Q127" s="32"/>
      <c r="R127" s="32"/>
      <c r="S127" s="2"/>
      <c r="T127" s="2"/>
      <c r="U127" s="2"/>
      <c r="V127" s="2"/>
      <c r="W127" s="2"/>
      <c r="X127" s="30"/>
      <c r="Y127" s="30"/>
      <c r="Z127" s="32"/>
      <c r="AA127" s="32"/>
      <c r="AB127" s="32"/>
      <c r="AC127" s="32"/>
      <c r="AD127" s="32"/>
      <c r="AE127" s="32"/>
      <c r="AF127" s="32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x14ac:dyDescent="0.25">
      <c r="A128" s="2">
        <v>36</v>
      </c>
      <c r="B128" s="2">
        <v>1</v>
      </c>
      <c r="C128" s="2" t="s">
        <v>115</v>
      </c>
      <c r="D128" s="2">
        <v>10</v>
      </c>
      <c r="E128" s="2" t="s">
        <v>116</v>
      </c>
      <c r="F128" s="29">
        <v>0</v>
      </c>
      <c r="G128" s="30">
        <v>0.64583333333333337</v>
      </c>
      <c r="H128" s="30">
        <v>0.72727272727272729</v>
      </c>
      <c r="I128" s="37">
        <v>342.29</v>
      </c>
      <c r="J128" s="37">
        <v>385.45</v>
      </c>
      <c r="K128" s="32">
        <v>18</v>
      </c>
      <c r="L128" s="32">
        <v>17</v>
      </c>
      <c r="M128" s="32">
        <v>6161.22</v>
      </c>
      <c r="N128" s="32">
        <v>6552.65</v>
      </c>
      <c r="O128" s="32">
        <v>12713.869999999999</v>
      </c>
      <c r="P128" s="32">
        <f t="shared" si="1"/>
        <v>12151.66</v>
      </c>
      <c r="Q128" s="32"/>
      <c r="R128" s="32"/>
      <c r="S128" s="2"/>
      <c r="T128" s="2"/>
      <c r="U128" s="2"/>
      <c r="V128" s="2"/>
      <c r="W128" s="2"/>
      <c r="X128" s="30"/>
      <c r="Y128" s="30"/>
      <c r="Z128" s="32"/>
      <c r="AA128" s="32"/>
      <c r="AB128" s="32"/>
      <c r="AC128" s="32"/>
      <c r="AD128" s="32"/>
      <c r="AE128" s="32"/>
      <c r="AF128" s="32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x14ac:dyDescent="0.25">
      <c r="A129" s="2">
        <v>38</v>
      </c>
      <c r="B129" s="2">
        <v>1</v>
      </c>
      <c r="C129" s="2" t="s">
        <v>117</v>
      </c>
      <c r="D129" s="2">
        <v>10</v>
      </c>
      <c r="E129" s="2" t="s">
        <v>118</v>
      </c>
      <c r="F129" s="29">
        <v>0</v>
      </c>
      <c r="G129" s="30">
        <v>0.56338028169014087</v>
      </c>
      <c r="H129" s="30">
        <v>0.61276595744680851</v>
      </c>
      <c r="I129" s="37">
        <v>298.58999999999997</v>
      </c>
      <c r="J129" s="37">
        <v>324.77</v>
      </c>
      <c r="K129" s="32">
        <v>106</v>
      </c>
      <c r="L129" s="32">
        <v>78</v>
      </c>
      <c r="M129" s="32">
        <v>31650.54</v>
      </c>
      <c r="N129" s="32">
        <v>25332.06</v>
      </c>
      <c r="O129" s="32">
        <v>56982.600000000006</v>
      </c>
      <c r="P129" s="32">
        <f t="shared" si="1"/>
        <v>54462.82</v>
      </c>
      <c r="Q129" s="32"/>
      <c r="R129" s="32"/>
      <c r="S129" s="2"/>
      <c r="T129" s="2"/>
      <c r="U129" s="2"/>
      <c r="V129" s="2"/>
      <c r="W129" s="2"/>
      <c r="X129" s="30"/>
      <c r="Y129" s="30"/>
      <c r="Z129" s="32"/>
      <c r="AA129" s="32"/>
      <c r="AB129" s="32"/>
      <c r="AC129" s="32"/>
      <c r="AD129" s="32"/>
      <c r="AE129" s="32"/>
      <c r="AF129" s="32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x14ac:dyDescent="0.25">
      <c r="A130" s="2">
        <v>38</v>
      </c>
      <c r="B130" s="2">
        <v>1</v>
      </c>
      <c r="C130" s="2" t="s">
        <v>117</v>
      </c>
      <c r="D130" s="2">
        <v>20</v>
      </c>
      <c r="E130" s="2" t="s">
        <v>119</v>
      </c>
      <c r="F130" s="29">
        <v>0</v>
      </c>
      <c r="G130" s="30">
        <v>0.27027027027027029</v>
      </c>
      <c r="H130" s="30">
        <v>0.74137931034482762</v>
      </c>
      <c r="I130" s="37">
        <v>143.24</v>
      </c>
      <c r="J130" s="37">
        <v>392.93</v>
      </c>
      <c r="K130" s="32">
        <v>27</v>
      </c>
      <c r="L130" s="32">
        <v>17</v>
      </c>
      <c r="M130" s="32">
        <v>3867.48</v>
      </c>
      <c r="N130" s="32">
        <v>6679.81</v>
      </c>
      <c r="O130" s="32">
        <v>10547.29</v>
      </c>
      <c r="P130" s="32">
        <f t="shared" si="1"/>
        <v>10080.89</v>
      </c>
      <c r="Q130" s="32"/>
      <c r="R130" s="32"/>
      <c r="S130" s="2"/>
      <c r="T130" s="2"/>
      <c r="U130" s="2"/>
      <c r="V130" s="2"/>
      <c r="W130" s="2"/>
      <c r="X130" s="30"/>
      <c r="Y130" s="30"/>
      <c r="Z130" s="32"/>
      <c r="AA130" s="32"/>
      <c r="AB130" s="32"/>
      <c r="AC130" s="32"/>
      <c r="AD130" s="32"/>
      <c r="AE130" s="32"/>
      <c r="AF130" s="32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x14ac:dyDescent="0.25">
      <c r="A131" s="2">
        <v>47</v>
      </c>
      <c r="B131" s="2">
        <v>1</v>
      </c>
      <c r="C131" s="2" t="s">
        <v>120</v>
      </c>
      <c r="D131" s="2">
        <v>3</v>
      </c>
      <c r="E131" s="2" t="s">
        <v>121</v>
      </c>
      <c r="F131" s="29">
        <v>0</v>
      </c>
      <c r="G131" s="30">
        <v>0.83689839572192515</v>
      </c>
      <c r="H131" s="30">
        <v>0.76601671309192199</v>
      </c>
      <c r="I131" s="37">
        <v>443.56</v>
      </c>
      <c r="J131" s="37">
        <v>405.99</v>
      </c>
      <c r="K131" s="32">
        <v>125</v>
      </c>
      <c r="L131" s="32">
        <v>125</v>
      </c>
      <c r="M131" s="32">
        <v>55445</v>
      </c>
      <c r="N131" s="32">
        <v>50748.75</v>
      </c>
      <c r="O131" s="32">
        <v>106193.75</v>
      </c>
      <c r="P131" s="32">
        <f t="shared" si="1"/>
        <v>101497.84</v>
      </c>
      <c r="Q131" s="32"/>
      <c r="R131" s="32"/>
      <c r="S131" s="2"/>
      <c r="T131" s="2"/>
      <c r="U131" s="2"/>
      <c r="V131" s="2"/>
      <c r="W131" s="2"/>
      <c r="X131" s="30"/>
      <c r="Y131" s="30"/>
      <c r="Z131" s="32"/>
      <c r="AA131" s="32"/>
      <c r="AB131" s="32"/>
      <c r="AC131" s="32"/>
      <c r="AD131" s="32"/>
      <c r="AE131" s="32"/>
      <c r="AF131" s="32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 x14ac:dyDescent="0.25">
      <c r="A132">
        <v>47</v>
      </c>
      <c r="B132">
        <v>1</v>
      </c>
      <c r="C132" t="s">
        <v>120</v>
      </c>
      <c r="D132">
        <v>6</v>
      </c>
      <c r="E132" t="s">
        <v>122</v>
      </c>
      <c r="F132" s="1">
        <v>0</v>
      </c>
      <c r="G132" s="30">
        <v>0.80645161290322576</v>
      </c>
      <c r="H132" s="30">
        <v>0.67938931297709926</v>
      </c>
      <c r="I132" s="37">
        <v>427.42</v>
      </c>
      <c r="J132" s="37">
        <v>360.08</v>
      </c>
      <c r="K132" s="32">
        <v>71</v>
      </c>
      <c r="L132" s="32">
        <v>44</v>
      </c>
      <c r="M132" s="32">
        <v>30346.82</v>
      </c>
      <c r="N132" s="32">
        <v>15843.52</v>
      </c>
      <c r="O132" s="32">
        <v>46190.34</v>
      </c>
      <c r="P132" s="32">
        <f t="shared" si="1"/>
        <v>44147.79</v>
      </c>
      <c r="Q132" s="32"/>
      <c r="R132" s="32"/>
      <c r="W132" s="2"/>
      <c r="X132" s="30"/>
      <c r="Y132" s="30"/>
      <c r="Z132" s="32"/>
      <c r="AA132" s="32"/>
      <c r="AB132" s="32"/>
      <c r="AC132" s="32"/>
      <c r="AD132" s="32"/>
      <c r="AE132" s="32"/>
      <c r="AF132" s="32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x14ac:dyDescent="0.25">
      <c r="A133" s="2">
        <v>47</v>
      </c>
      <c r="B133" s="2">
        <v>1</v>
      </c>
      <c r="C133" s="2" t="s">
        <v>120</v>
      </c>
      <c r="D133" s="2">
        <v>7</v>
      </c>
      <c r="E133" s="2" t="s">
        <v>123</v>
      </c>
      <c r="F133" s="29">
        <v>0</v>
      </c>
      <c r="G133" s="30">
        <v>0.80068728522336774</v>
      </c>
      <c r="H133" s="30">
        <v>0.72363636363636363</v>
      </c>
      <c r="I133" s="37">
        <v>424.36</v>
      </c>
      <c r="J133" s="37">
        <v>383.53</v>
      </c>
      <c r="K133" s="32">
        <v>102</v>
      </c>
      <c r="L133" s="32">
        <v>110</v>
      </c>
      <c r="M133" s="32">
        <v>43284.72</v>
      </c>
      <c r="N133" s="32">
        <v>42188.3</v>
      </c>
      <c r="O133" s="32">
        <v>85473.02</v>
      </c>
      <c r="P133" s="32">
        <f t="shared" si="1"/>
        <v>81693.38</v>
      </c>
      <c r="Q133" s="32"/>
      <c r="R133" s="32"/>
      <c r="S133" s="2"/>
      <c r="T133" s="2"/>
      <c r="U133" s="2"/>
      <c r="V133" s="2"/>
      <c r="W133" s="2"/>
      <c r="X133" s="30"/>
      <c r="Y133" s="30"/>
      <c r="Z133" s="32"/>
      <c r="AA133" s="32"/>
      <c r="AB133" s="32"/>
      <c r="AC133" s="32"/>
      <c r="AD133" s="32"/>
      <c r="AE133" s="32"/>
      <c r="AF133" s="32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x14ac:dyDescent="0.25">
      <c r="A134" s="2">
        <v>51</v>
      </c>
      <c r="B134" s="2">
        <v>1</v>
      </c>
      <c r="C134" s="2" t="s">
        <v>124</v>
      </c>
      <c r="D134" s="2">
        <v>10</v>
      </c>
      <c r="E134" s="2" t="s">
        <v>125</v>
      </c>
      <c r="F134" s="29">
        <v>1</v>
      </c>
      <c r="G134" s="30" t="s">
        <v>1328</v>
      </c>
      <c r="H134" s="30" t="s">
        <v>1328</v>
      </c>
      <c r="I134" s="37" t="s">
        <v>1328</v>
      </c>
      <c r="J134" s="37" t="s">
        <v>1328</v>
      </c>
      <c r="K134" s="32">
        <v>158</v>
      </c>
      <c r="L134" s="32">
        <v>0</v>
      </c>
      <c r="M134" s="32" t="s">
        <v>1328</v>
      </c>
      <c r="N134" s="32" t="s">
        <v>1328</v>
      </c>
      <c r="O134" s="32">
        <v>71272.22</v>
      </c>
      <c r="P134" s="32">
        <f t="shared" si="1"/>
        <v>68120.55</v>
      </c>
      <c r="Q134" s="32"/>
      <c r="R134" s="32"/>
      <c r="S134" s="2"/>
      <c r="T134" s="2"/>
      <c r="U134" s="2"/>
      <c r="V134" s="2"/>
      <c r="W134" s="2"/>
      <c r="X134" s="30"/>
      <c r="Y134" s="30"/>
      <c r="Z134" s="32"/>
      <c r="AA134" s="32"/>
      <c r="AB134" s="32"/>
      <c r="AC134" s="32"/>
      <c r="AD134" s="32"/>
      <c r="AE134" s="32"/>
      <c r="AF134" s="32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x14ac:dyDescent="0.25">
      <c r="A135" s="2">
        <v>51</v>
      </c>
      <c r="B135" s="2">
        <v>1</v>
      </c>
      <c r="C135" s="2" t="s">
        <v>124</v>
      </c>
      <c r="D135" s="2">
        <v>30</v>
      </c>
      <c r="E135" s="2" t="s">
        <v>126</v>
      </c>
      <c r="F135" s="29">
        <v>1</v>
      </c>
      <c r="G135" s="30" t="s">
        <v>1328</v>
      </c>
      <c r="H135" s="30" t="s">
        <v>1328</v>
      </c>
      <c r="I135" s="37" t="s">
        <v>1328</v>
      </c>
      <c r="J135" s="37" t="s">
        <v>1328</v>
      </c>
      <c r="K135" s="32">
        <v>0</v>
      </c>
      <c r="L135" s="32">
        <v>118</v>
      </c>
      <c r="M135" s="32" t="s">
        <v>1328</v>
      </c>
      <c r="N135" s="32" t="s">
        <v>1328</v>
      </c>
      <c r="O135" s="32">
        <v>47732.18</v>
      </c>
      <c r="P135" s="32">
        <f t="shared" si="1"/>
        <v>45621.45</v>
      </c>
      <c r="Q135" s="32"/>
      <c r="R135" s="32"/>
      <c r="S135" s="2"/>
      <c r="T135" s="2"/>
      <c r="U135" s="2"/>
      <c r="V135" s="2"/>
      <c r="W135" s="2"/>
      <c r="X135" s="30"/>
      <c r="Y135" s="30"/>
      <c r="Z135" s="32"/>
      <c r="AA135" s="32"/>
      <c r="AB135" s="32"/>
      <c r="AC135" s="32"/>
      <c r="AD135" s="32"/>
      <c r="AE135" s="32"/>
      <c r="AF135" s="32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 x14ac:dyDescent="0.25">
      <c r="A136" s="7">
        <v>75</v>
      </c>
      <c r="B136" s="7">
        <v>1</v>
      </c>
      <c r="C136" s="7" t="s">
        <v>128</v>
      </c>
      <c r="D136" s="7">
        <v>10</v>
      </c>
      <c r="E136" s="7" t="s">
        <v>129</v>
      </c>
      <c r="F136" s="38">
        <v>0</v>
      </c>
      <c r="G136" s="30">
        <v>0.86614173228346458</v>
      </c>
      <c r="H136" s="30">
        <v>0.75806451612903225</v>
      </c>
      <c r="I136" s="37">
        <v>459.06</v>
      </c>
      <c r="J136" s="37">
        <v>401.77</v>
      </c>
      <c r="K136" s="32">
        <v>44</v>
      </c>
      <c r="L136" s="32">
        <v>32</v>
      </c>
      <c r="M136" s="32">
        <v>20198.64</v>
      </c>
      <c r="N136" s="32">
        <v>12856.64</v>
      </c>
      <c r="O136" s="32">
        <v>33055.279999999999</v>
      </c>
      <c r="P136" s="32">
        <f t="shared" si="1"/>
        <v>31593.57</v>
      </c>
      <c r="Q136" s="32"/>
      <c r="R136" s="32"/>
      <c r="S136" s="7"/>
      <c r="T136" s="7"/>
      <c r="U136" s="7"/>
      <c r="V136" s="7"/>
      <c r="W136" s="2"/>
      <c r="X136" s="30"/>
      <c r="Y136" s="30"/>
      <c r="Z136" s="32"/>
      <c r="AA136" s="32"/>
      <c r="AB136" s="32"/>
      <c r="AC136" s="32"/>
      <c r="AD136" s="32"/>
      <c r="AE136" s="32"/>
      <c r="AF136" s="32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x14ac:dyDescent="0.25">
      <c r="A137" s="2">
        <v>77</v>
      </c>
      <c r="B137" s="2">
        <v>1</v>
      </c>
      <c r="C137" s="2" t="s">
        <v>130</v>
      </c>
      <c r="D137" s="2">
        <v>10</v>
      </c>
      <c r="E137" s="2" t="s">
        <v>131</v>
      </c>
      <c r="F137" s="29">
        <v>0</v>
      </c>
      <c r="G137" s="30">
        <v>0.82051282051282048</v>
      </c>
      <c r="H137" s="30">
        <v>0.8737373737373737</v>
      </c>
      <c r="I137" s="37">
        <v>434.87</v>
      </c>
      <c r="J137" s="37">
        <v>463.08</v>
      </c>
      <c r="K137" s="32">
        <v>57</v>
      </c>
      <c r="L137" s="32">
        <v>63</v>
      </c>
      <c r="M137" s="32">
        <v>24787.59</v>
      </c>
      <c r="N137" s="32">
        <v>29174.04</v>
      </c>
      <c r="O137" s="32">
        <v>53961.630000000005</v>
      </c>
      <c r="P137" s="32">
        <f t="shared" si="1"/>
        <v>51575.43</v>
      </c>
      <c r="Q137" s="32"/>
      <c r="R137" s="32"/>
      <c r="S137" s="2"/>
      <c r="T137" s="2"/>
      <c r="U137" s="2"/>
      <c r="V137" s="2"/>
      <c r="W137" s="2"/>
      <c r="X137" s="30"/>
      <c r="Y137" s="30"/>
      <c r="Z137" s="32"/>
      <c r="AA137" s="32"/>
      <c r="AB137" s="32"/>
      <c r="AC137" s="32"/>
      <c r="AD137" s="32"/>
      <c r="AE137" s="32"/>
      <c r="AF137" s="32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1:50" x14ac:dyDescent="0.25">
      <c r="A138" s="2">
        <v>77</v>
      </c>
      <c r="B138" s="2">
        <v>1</v>
      </c>
      <c r="C138" s="2" t="s">
        <v>130</v>
      </c>
      <c r="D138" s="2">
        <v>20</v>
      </c>
      <c r="E138" s="2" t="s">
        <v>58</v>
      </c>
      <c r="F138" s="29">
        <v>0</v>
      </c>
      <c r="G138" s="30">
        <v>0.88</v>
      </c>
      <c r="H138" s="30">
        <v>0.81673306772908372</v>
      </c>
      <c r="I138" s="37">
        <v>466.4</v>
      </c>
      <c r="J138" s="37">
        <v>432.87</v>
      </c>
      <c r="K138" s="32">
        <v>100</v>
      </c>
      <c r="L138" s="32">
        <v>94</v>
      </c>
      <c r="M138" s="32">
        <v>46640</v>
      </c>
      <c r="N138" s="32">
        <v>40689.78</v>
      </c>
      <c r="O138" s="32">
        <v>87329.78</v>
      </c>
      <c r="P138" s="32">
        <f t="shared" si="1"/>
        <v>83468.039999999994</v>
      </c>
      <c r="Q138" s="32"/>
      <c r="R138" s="32"/>
      <c r="S138" s="2"/>
      <c r="T138" s="2"/>
      <c r="U138" s="2"/>
      <c r="V138" s="2"/>
      <c r="W138" s="2"/>
      <c r="X138" s="30"/>
      <c r="Y138" s="30"/>
      <c r="Z138" s="32"/>
      <c r="AA138" s="32"/>
      <c r="AB138" s="32"/>
      <c r="AC138" s="32"/>
      <c r="AD138" s="32"/>
      <c r="AE138" s="32"/>
      <c r="AF138" s="32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x14ac:dyDescent="0.25">
      <c r="A139" s="2">
        <v>77</v>
      </c>
      <c r="B139" s="2">
        <v>1</v>
      </c>
      <c r="C139" s="2" t="s">
        <v>130</v>
      </c>
      <c r="D139" s="2">
        <v>30</v>
      </c>
      <c r="E139" s="2" t="s">
        <v>28</v>
      </c>
      <c r="F139" s="29">
        <v>0</v>
      </c>
      <c r="G139" s="30">
        <v>0.83064516129032262</v>
      </c>
      <c r="H139" s="30">
        <v>0.88596491228070173</v>
      </c>
      <c r="I139" s="37">
        <v>440.24</v>
      </c>
      <c r="J139" s="37">
        <v>469.56</v>
      </c>
      <c r="K139" s="32">
        <v>46</v>
      </c>
      <c r="L139" s="32">
        <v>44</v>
      </c>
      <c r="M139" s="32">
        <v>20251.04</v>
      </c>
      <c r="N139" s="32">
        <v>20660.64</v>
      </c>
      <c r="O139" s="32">
        <v>40911.68</v>
      </c>
      <c r="P139" s="32">
        <f t="shared" si="1"/>
        <v>39102.559999999998</v>
      </c>
      <c r="Q139" s="32"/>
      <c r="R139" s="32"/>
      <c r="S139" s="2"/>
      <c r="T139" s="2"/>
      <c r="U139" s="2"/>
      <c r="V139" s="2"/>
      <c r="W139" s="2"/>
      <c r="X139" s="30"/>
      <c r="Y139" s="30"/>
      <c r="Z139" s="32"/>
      <c r="AA139" s="32"/>
      <c r="AB139" s="32"/>
      <c r="AC139" s="32"/>
      <c r="AD139" s="32"/>
      <c r="AE139" s="32"/>
      <c r="AF139" s="32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1:50" x14ac:dyDescent="0.25">
      <c r="A140" s="2">
        <v>77</v>
      </c>
      <c r="B140" s="2">
        <v>1</v>
      </c>
      <c r="C140" s="2" t="s">
        <v>130</v>
      </c>
      <c r="D140" s="2">
        <v>40</v>
      </c>
      <c r="E140" s="2" t="s">
        <v>65</v>
      </c>
      <c r="F140" s="29">
        <v>0</v>
      </c>
      <c r="G140" s="30">
        <v>0.892018779342723</v>
      </c>
      <c r="H140" s="30">
        <v>0.83944954128440363</v>
      </c>
      <c r="I140" s="37">
        <v>472.77</v>
      </c>
      <c r="J140" s="37">
        <v>444.91</v>
      </c>
      <c r="K140" s="32">
        <v>63</v>
      </c>
      <c r="L140" s="32">
        <v>66</v>
      </c>
      <c r="M140" s="32">
        <v>29784.51</v>
      </c>
      <c r="N140" s="32">
        <v>29364.06</v>
      </c>
      <c r="O140" s="32">
        <v>59148.57</v>
      </c>
      <c r="P140" s="32">
        <f t="shared" si="1"/>
        <v>56533.01</v>
      </c>
      <c r="Q140" s="32"/>
      <c r="R140" s="32"/>
      <c r="S140" s="2"/>
      <c r="T140" s="2"/>
      <c r="U140" s="2"/>
      <c r="V140" s="2"/>
      <c r="W140" s="2"/>
      <c r="X140" s="30"/>
      <c r="Y140" s="30"/>
      <c r="Z140" s="32"/>
      <c r="AA140" s="32"/>
      <c r="AB140" s="32"/>
      <c r="AC140" s="32"/>
      <c r="AD140" s="32"/>
      <c r="AE140" s="32"/>
      <c r="AF140" s="32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1:50" x14ac:dyDescent="0.25">
      <c r="A141" s="2">
        <v>77</v>
      </c>
      <c r="B141" s="2">
        <v>1</v>
      </c>
      <c r="C141" s="2" t="s">
        <v>130</v>
      </c>
      <c r="D141" s="2">
        <v>50</v>
      </c>
      <c r="E141" s="2" t="s">
        <v>104</v>
      </c>
      <c r="F141" s="29">
        <v>0</v>
      </c>
      <c r="G141" s="30">
        <v>0.86010362694300513</v>
      </c>
      <c r="H141" s="30">
        <v>0.69374999999999998</v>
      </c>
      <c r="I141" s="37">
        <v>455.85</v>
      </c>
      <c r="J141" s="37">
        <v>367.69</v>
      </c>
      <c r="K141" s="32">
        <v>69</v>
      </c>
      <c r="L141" s="32">
        <v>48</v>
      </c>
      <c r="M141" s="32">
        <v>31453.65</v>
      </c>
      <c r="N141" s="32">
        <v>17649.12</v>
      </c>
      <c r="O141" s="32">
        <v>49102.770000000004</v>
      </c>
      <c r="P141" s="32">
        <f t="shared" si="1"/>
        <v>46931.43</v>
      </c>
      <c r="Q141" s="32"/>
      <c r="R141" s="32"/>
      <c r="S141" s="2"/>
      <c r="T141" s="2"/>
      <c r="U141" s="2"/>
      <c r="V141" s="2"/>
      <c r="W141" s="2"/>
      <c r="X141" s="30"/>
      <c r="Y141" s="30"/>
      <c r="Z141" s="32"/>
      <c r="AA141" s="32"/>
      <c r="AB141" s="32"/>
      <c r="AC141" s="32"/>
      <c r="AD141" s="32"/>
      <c r="AE141" s="32"/>
      <c r="AF141" s="32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1:50" x14ac:dyDescent="0.25">
      <c r="A142" s="2">
        <v>77</v>
      </c>
      <c r="B142" s="2">
        <v>1</v>
      </c>
      <c r="C142" s="2" t="s">
        <v>130</v>
      </c>
      <c r="D142" s="2">
        <v>60</v>
      </c>
      <c r="E142" s="2" t="s">
        <v>132</v>
      </c>
      <c r="F142" s="29">
        <v>0</v>
      </c>
      <c r="G142" s="30">
        <v>0.93650793650793651</v>
      </c>
      <c r="H142" s="30">
        <v>0.88888888888888884</v>
      </c>
      <c r="I142" s="37">
        <v>496.35</v>
      </c>
      <c r="J142" s="37">
        <v>471.11</v>
      </c>
      <c r="K142" s="32">
        <v>22</v>
      </c>
      <c r="L142" s="32">
        <v>23</v>
      </c>
      <c r="M142" s="32">
        <v>10919.7</v>
      </c>
      <c r="N142" s="32">
        <v>10835.53</v>
      </c>
      <c r="O142" s="32">
        <v>21755.230000000003</v>
      </c>
      <c r="P142" s="32">
        <f t="shared" si="1"/>
        <v>20793.21</v>
      </c>
      <c r="Q142" s="32"/>
      <c r="R142" s="32"/>
      <c r="S142" s="2"/>
      <c r="T142" s="2"/>
      <c r="U142" s="2"/>
      <c r="V142" s="2"/>
      <c r="W142" s="2"/>
      <c r="X142" s="30"/>
      <c r="Y142" s="30"/>
      <c r="Z142" s="32"/>
      <c r="AA142" s="32"/>
      <c r="AB142" s="32"/>
      <c r="AC142" s="32"/>
      <c r="AD142" s="32"/>
      <c r="AE142" s="32"/>
      <c r="AF142" s="32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x14ac:dyDescent="0.25">
      <c r="A143" s="2">
        <v>77</v>
      </c>
      <c r="B143" s="2">
        <v>1</v>
      </c>
      <c r="C143" s="2" t="s">
        <v>130</v>
      </c>
      <c r="D143" s="2">
        <v>70</v>
      </c>
      <c r="E143" s="2" t="s">
        <v>132</v>
      </c>
      <c r="F143" s="29">
        <v>0</v>
      </c>
      <c r="G143" s="30">
        <v>0.8</v>
      </c>
      <c r="H143" s="30">
        <v>0.8529411764705882</v>
      </c>
      <c r="I143" s="37">
        <v>424</v>
      </c>
      <c r="J143" s="37">
        <v>452.06</v>
      </c>
      <c r="K143" s="32">
        <v>46</v>
      </c>
      <c r="L143" s="32">
        <v>59</v>
      </c>
      <c r="M143" s="32">
        <v>19504</v>
      </c>
      <c r="N143" s="32">
        <v>26671.54</v>
      </c>
      <c r="O143" s="32">
        <v>46175.54</v>
      </c>
      <c r="P143" s="32">
        <f t="shared" si="1"/>
        <v>44133.65</v>
      </c>
      <c r="Q143" s="32"/>
      <c r="R143" s="32"/>
      <c r="S143" s="2"/>
      <c r="T143" s="2"/>
      <c r="U143" s="2"/>
      <c r="V143" s="2"/>
      <c r="W143" s="2"/>
      <c r="X143" s="30"/>
      <c r="Y143" s="30"/>
      <c r="Z143" s="32"/>
      <c r="AA143" s="32"/>
      <c r="AB143" s="32"/>
      <c r="AC143" s="32"/>
      <c r="AD143" s="32"/>
      <c r="AE143" s="32"/>
      <c r="AF143" s="32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1:50" x14ac:dyDescent="0.25">
      <c r="A144" s="2">
        <v>77</v>
      </c>
      <c r="B144" s="2">
        <v>1</v>
      </c>
      <c r="C144" s="2" t="s">
        <v>130</v>
      </c>
      <c r="D144" s="2">
        <v>80</v>
      </c>
      <c r="E144" s="2" t="s">
        <v>71</v>
      </c>
      <c r="F144" s="29">
        <v>0</v>
      </c>
      <c r="G144" s="30">
        <v>0.79591836734693877</v>
      </c>
      <c r="H144" s="30">
        <v>0.91616766467065869</v>
      </c>
      <c r="I144" s="37">
        <v>421.84</v>
      </c>
      <c r="J144" s="37">
        <v>485.57</v>
      </c>
      <c r="K144" s="32">
        <v>60</v>
      </c>
      <c r="L144" s="32">
        <v>61</v>
      </c>
      <c r="M144" s="32">
        <v>25310.400000000001</v>
      </c>
      <c r="N144" s="32">
        <v>29619.77</v>
      </c>
      <c r="O144" s="32">
        <v>54930.17</v>
      </c>
      <c r="P144" s="32">
        <f t="shared" ref="P144:P207" si="2">ROUND(O144*P$11,2)</f>
        <v>52501.14</v>
      </c>
      <c r="Q144" s="32"/>
      <c r="R144" s="32"/>
      <c r="S144" s="2"/>
      <c r="T144" s="2"/>
      <c r="U144" s="2"/>
      <c r="V144" s="2"/>
      <c r="W144" s="2"/>
      <c r="X144" s="30"/>
      <c r="Y144" s="30"/>
      <c r="Z144" s="32"/>
      <c r="AA144" s="32"/>
      <c r="AB144" s="32"/>
      <c r="AC144" s="32"/>
      <c r="AD144" s="32"/>
      <c r="AE144" s="32"/>
      <c r="AF144" s="32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x14ac:dyDescent="0.25">
      <c r="A145" s="2">
        <v>77</v>
      </c>
      <c r="B145" s="2">
        <v>1</v>
      </c>
      <c r="C145" s="2" t="s">
        <v>130</v>
      </c>
      <c r="D145" s="2">
        <v>90</v>
      </c>
      <c r="E145" s="2" t="s">
        <v>56</v>
      </c>
      <c r="F145" s="29">
        <v>0</v>
      </c>
      <c r="G145" s="30">
        <v>0.83886255924170616</v>
      </c>
      <c r="H145" s="30">
        <v>0.6470588235294118</v>
      </c>
      <c r="I145" s="37">
        <v>444.6</v>
      </c>
      <c r="J145" s="37">
        <v>342.94</v>
      </c>
      <c r="K145" s="32">
        <v>63</v>
      </c>
      <c r="L145" s="32">
        <v>68</v>
      </c>
      <c r="M145" s="32">
        <v>28009.8</v>
      </c>
      <c r="N145" s="32">
        <v>23319.919999999998</v>
      </c>
      <c r="O145" s="32">
        <v>51329.72</v>
      </c>
      <c r="P145" s="32">
        <f t="shared" si="2"/>
        <v>49059.91</v>
      </c>
      <c r="Q145" s="32"/>
      <c r="R145" s="32"/>
      <c r="S145" s="2"/>
      <c r="T145" s="2"/>
      <c r="U145" s="2"/>
      <c r="V145" s="2"/>
      <c r="W145" s="2"/>
      <c r="X145" s="30"/>
      <c r="Y145" s="30"/>
      <c r="Z145" s="32"/>
      <c r="AA145" s="32"/>
      <c r="AB145" s="32"/>
      <c r="AC145" s="32"/>
      <c r="AD145" s="32"/>
      <c r="AE145" s="32"/>
      <c r="AF145" s="32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1:50" x14ac:dyDescent="0.25">
      <c r="A146" s="2">
        <v>77</v>
      </c>
      <c r="B146" s="2">
        <v>1</v>
      </c>
      <c r="C146" s="2" t="s">
        <v>130</v>
      </c>
      <c r="D146" s="2">
        <v>150</v>
      </c>
      <c r="E146" s="2" t="s">
        <v>133</v>
      </c>
      <c r="F146" s="29">
        <v>0</v>
      </c>
      <c r="G146" s="30">
        <v>0.90322580645161288</v>
      </c>
      <c r="H146" s="30">
        <v>0.85</v>
      </c>
      <c r="I146" s="37">
        <v>478.71</v>
      </c>
      <c r="J146" s="37">
        <v>450.5</v>
      </c>
      <c r="K146" s="32">
        <v>47</v>
      </c>
      <c r="L146" s="32">
        <v>55</v>
      </c>
      <c r="M146" s="32">
        <v>22499.37</v>
      </c>
      <c r="N146" s="32">
        <v>24777.5</v>
      </c>
      <c r="O146" s="32">
        <v>47276.869999999995</v>
      </c>
      <c r="P146" s="32">
        <f t="shared" si="2"/>
        <v>45186.28</v>
      </c>
      <c r="Q146" s="32"/>
      <c r="R146" s="32"/>
      <c r="S146" s="2"/>
      <c r="T146" s="2"/>
      <c r="U146" s="2"/>
      <c r="V146" s="2"/>
      <c r="W146" s="2"/>
      <c r="X146" s="30"/>
      <c r="Y146" s="30"/>
      <c r="Z146" s="32"/>
      <c r="AA146" s="32"/>
      <c r="AB146" s="32"/>
      <c r="AC146" s="32"/>
      <c r="AD146" s="32"/>
      <c r="AE146" s="32"/>
      <c r="AF146" s="32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1:50" x14ac:dyDescent="0.25">
      <c r="A147" s="2">
        <v>77</v>
      </c>
      <c r="B147" s="2">
        <v>1</v>
      </c>
      <c r="C147" s="2" t="s">
        <v>1166</v>
      </c>
      <c r="D147" s="2">
        <v>370</v>
      </c>
      <c r="E147" s="2" t="s">
        <v>1167</v>
      </c>
      <c r="F147" s="29">
        <v>1</v>
      </c>
      <c r="G147" s="30" t="s">
        <v>1328</v>
      </c>
      <c r="H147" s="30" t="s">
        <v>1328</v>
      </c>
      <c r="I147" s="37" t="s">
        <v>1328</v>
      </c>
      <c r="J147" s="37" t="s">
        <v>1328</v>
      </c>
      <c r="K147" s="32">
        <v>0</v>
      </c>
      <c r="L147" s="32">
        <v>0</v>
      </c>
      <c r="M147" s="32" t="s">
        <v>1328</v>
      </c>
      <c r="N147" s="32" t="s">
        <v>1328</v>
      </c>
      <c r="O147" s="32">
        <v>0</v>
      </c>
      <c r="P147" s="32">
        <f t="shared" si="2"/>
        <v>0</v>
      </c>
      <c r="Q147" s="32"/>
      <c r="R147" s="32"/>
      <c r="S147" s="2"/>
      <c r="T147" s="2"/>
      <c r="U147" s="2"/>
      <c r="V147" s="2"/>
      <c r="W147" s="2"/>
      <c r="X147" s="30"/>
      <c r="Y147" s="30"/>
      <c r="Z147" s="32"/>
      <c r="AA147" s="32"/>
      <c r="AB147" s="32"/>
      <c r="AC147" s="32"/>
      <c r="AD147" s="32"/>
      <c r="AE147" s="32"/>
      <c r="AF147" s="32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 x14ac:dyDescent="0.25">
      <c r="A148" s="2">
        <v>81</v>
      </c>
      <c r="B148" s="2">
        <v>1</v>
      </c>
      <c r="C148" s="2" t="s">
        <v>1168</v>
      </c>
      <c r="D148" s="2">
        <v>10</v>
      </c>
      <c r="E148" s="2" t="s">
        <v>1169</v>
      </c>
      <c r="F148" s="29">
        <v>0</v>
      </c>
      <c r="G148" s="30">
        <v>0.67500000000000004</v>
      </c>
      <c r="H148" s="30">
        <v>0.84848484848484851</v>
      </c>
      <c r="I148" s="37">
        <v>357.75</v>
      </c>
      <c r="J148" s="37">
        <v>449.7</v>
      </c>
      <c r="K148" s="32">
        <v>15</v>
      </c>
      <c r="L148" s="32">
        <v>11</v>
      </c>
      <c r="M148" s="32">
        <v>5366.25</v>
      </c>
      <c r="N148" s="32">
        <v>4946.7</v>
      </c>
      <c r="O148" s="32">
        <v>10312.950000000001</v>
      </c>
      <c r="P148" s="32">
        <f t="shared" si="2"/>
        <v>9856.91</v>
      </c>
      <c r="Q148" s="32"/>
      <c r="R148" s="32"/>
      <c r="S148" s="2"/>
      <c r="T148" s="2"/>
      <c r="U148" s="2"/>
      <c r="V148" s="2"/>
      <c r="W148" s="2"/>
      <c r="X148" s="30"/>
      <c r="Y148" s="30"/>
      <c r="Z148" s="32"/>
      <c r="AA148" s="32"/>
      <c r="AB148" s="32"/>
      <c r="AC148" s="32"/>
      <c r="AD148" s="32"/>
      <c r="AE148" s="32"/>
      <c r="AF148" s="32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x14ac:dyDescent="0.25">
      <c r="A149" s="2">
        <v>84</v>
      </c>
      <c r="B149" s="2">
        <v>1</v>
      </c>
      <c r="C149" s="2" t="s">
        <v>134</v>
      </c>
      <c r="D149" s="2">
        <v>10</v>
      </c>
      <c r="E149" s="2" t="s">
        <v>135</v>
      </c>
      <c r="F149" s="29">
        <v>0</v>
      </c>
      <c r="G149" s="30">
        <v>0.82905982905982911</v>
      </c>
      <c r="H149" s="30">
        <v>0.90082644628099173</v>
      </c>
      <c r="I149" s="37">
        <v>439.4</v>
      </c>
      <c r="J149" s="37">
        <v>477.44</v>
      </c>
      <c r="K149" s="32">
        <v>43</v>
      </c>
      <c r="L149" s="32">
        <v>51</v>
      </c>
      <c r="M149" s="32">
        <v>18894.2</v>
      </c>
      <c r="N149" s="32">
        <v>24349.439999999999</v>
      </c>
      <c r="O149" s="32">
        <v>43243.64</v>
      </c>
      <c r="P149" s="32">
        <f t="shared" si="2"/>
        <v>41331.4</v>
      </c>
      <c r="Q149" s="32"/>
      <c r="R149" s="32"/>
      <c r="S149" s="2"/>
      <c r="T149" s="2"/>
      <c r="U149" s="2"/>
      <c r="V149" s="2"/>
      <c r="W149" s="2"/>
      <c r="X149" s="30"/>
      <c r="Y149" s="30"/>
      <c r="Z149" s="32"/>
      <c r="AA149" s="32"/>
      <c r="AB149" s="32"/>
      <c r="AC149" s="32"/>
      <c r="AD149" s="32"/>
      <c r="AE149" s="32"/>
      <c r="AF149" s="32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1:50" x14ac:dyDescent="0.25">
      <c r="A150" s="2">
        <v>85</v>
      </c>
      <c r="B150" s="2">
        <v>1</v>
      </c>
      <c r="C150" s="2" t="s">
        <v>136</v>
      </c>
      <c r="D150" s="2">
        <v>2</v>
      </c>
      <c r="E150" s="2" t="s">
        <v>137</v>
      </c>
      <c r="F150" s="29">
        <v>0</v>
      </c>
      <c r="G150" s="30">
        <v>0.88596491228070173</v>
      </c>
      <c r="H150" s="30">
        <v>0.85585585585585588</v>
      </c>
      <c r="I150" s="37">
        <v>469.56</v>
      </c>
      <c r="J150" s="37">
        <v>453.6</v>
      </c>
      <c r="K150" s="32">
        <v>45</v>
      </c>
      <c r="L150" s="32">
        <v>40</v>
      </c>
      <c r="M150" s="32">
        <v>21130.2</v>
      </c>
      <c r="N150" s="32">
        <v>18144</v>
      </c>
      <c r="O150" s="32">
        <v>39274.199999999997</v>
      </c>
      <c r="P150" s="32">
        <f t="shared" si="2"/>
        <v>37537.49</v>
      </c>
      <c r="Q150" s="32"/>
      <c r="R150" s="32"/>
      <c r="S150" s="2"/>
      <c r="T150" s="2"/>
      <c r="U150" s="2"/>
      <c r="V150" s="2"/>
      <c r="W150" s="2"/>
      <c r="X150" s="30"/>
      <c r="Y150" s="30"/>
      <c r="Z150" s="32"/>
      <c r="AA150" s="32"/>
      <c r="AB150" s="32"/>
      <c r="AC150" s="32"/>
      <c r="AD150" s="32"/>
      <c r="AE150" s="32"/>
      <c r="AF150" s="32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1:50" x14ac:dyDescent="0.25">
      <c r="A151" s="2">
        <v>88</v>
      </c>
      <c r="B151" s="2">
        <v>1</v>
      </c>
      <c r="C151" s="2" t="s">
        <v>138</v>
      </c>
      <c r="D151" s="2">
        <v>20</v>
      </c>
      <c r="E151" s="2" t="s">
        <v>28</v>
      </c>
      <c r="F151" s="29">
        <v>1</v>
      </c>
      <c r="G151" s="30" t="s">
        <v>1328</v>
      </c>
      <c r="H151" s="30" t="s">
        <v>1328</v>
      </c>
      <c r="I151" s="37" t="s">
        <v>1328</v>
      </c>
      <c r="J151" s="37" t="s">
        <v>1328</v>
      </c>
      <c r="K151" s="32">
        <v>143</v>
      </c>
      <c r="L151" s="32">
        <v>0</v>
      </c>
      <c r="M151" s="32" t="s">
        <v>1328</v>
      </c>
      <c r="N151" s="32" t="s">
        <v>1328</v>
      </c>
      <c r="O151" s="32">
        <v>60737.82</v>
      </c>
      <c r="P151" s="32">
        <f t="shared" si="2"/>
        <v>58051.98</v>
      </c>
      <c r="Q151" s="32"/>
      <c r="R151" s="32"/>
      <c r="S151" s="2"/>
      <c r="T151" s="2"/>
      <c r="U151" s="2"/>
      <c r="V151" s="2"/>
      <c r="W151" s="2"/>
      <c r="X151" s="30"/>
      <c r="Y151" s="30"/>
      <c r="Z151" s="32"/>
      <c r="AA151" s="32"/>
      <c r="AB151" s="32"/>
      <c r="AC151" s="32"/>
      <c r="AD151" s="32"/>
      <c r="AE151" s="32"/>
      <c r="AF151" s="32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1:50" x14ac:dyDescent="0.25">
      <c r="A152" s="2">
        <v>88</v>
      </c>
      <c r="B152" s="2">
        <v>1</v>
      </c>
      <c r="C152" s="2" t="s">
        <v>138</v>
      </c>
      <c r="D152" s="2">
        <v>30</v>
      </c>
      <c r="E152" s="2" t="s">
        <v>71</v>
      </c>
      <c r="F152" s="29">
        <v>1</v>
      </c>
      <c r="G152" s="30" t="s">
        <v>1328</v>
      </c>
      <c r="H152" s="30" t="s">
        <v>1328</v>
      </c>
      <c r="I152" s="37" t="s">
        <v>1328</v>
      </c>
      <c r="J152" s="37" t="s">
        <v>1328</v>
      </c>
      <c r="K152" s="32">
        <v>0</v>
      </c>
      <c r="L152" s="32">
        <v>146</v>
      </c>
      <c r="M152" s="32" t="s">
        <v>1328</v>
      </c>
      <c r="N152" s="32" t="s">
        <v>1328</v>
      </c>
      <c r="O152" s="32">
        <v>56547.26</v>
      </c>
      <c r="P152" s="32">
        <f t="shared" si="2"/>
        <v>54046.73</v>
      </c>
      <c r="Q152" s="32"/>
      <c r="R152" s="32"/>
      <c r="S152" s="2"/>
      <c r="T152" s="2"/>
      <c r="U152" s="2"/>
      <c r="V152" s="2"/>
      <c r="W152" s="2"/>
      <c r="X152" s="30"/>
      <c r="Y152" s="30"/>
      <c r="Z152" s="32"/>
      <c r="AA152" s="32"/>
      <c r="AB152" s="32"/>
      <c r="AC152" s="32"/>
      <c r="AD152" s="32"/>
      <c r="AE152" s="32"/>
      <c r="AF152" s="32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1:50" x14ac:dyDescent="0.25">
      <c r="A153" s="2">
        <v>91</v>
      </c>
      <c r="B153" s="2">
        <v>1</v>
      </c>
      <c r="C153" s="2" t="s">
        <v>139</v>
      </c>
      <c r="D153" s="2">
        <v>1</v>
      </c>
      <c r="E153" s="2" t="s">
        <v>140</v>
      </c>
      <c r="F153" s="29">
        <v>0</v>
      </c>
      <c r="G153" s="30">
        <v>0.81818181818181823</v>
      </c>
      <c r="H153" s="30">
        <v>0.72928176795580113</v>
      </c>
      <c r="I153" s="37">
        <v>433.64</v>
      </c>
      <c r="J153" s="37">
        <v>386.52</v>
      </c>
      <c r="K153" s="32">
        <v>66</v>
      </c>
      <c r="L153" s="32">
        <v>61</v>
      </c>
      <c r="M153" s="32">
        <v>28620.240000000002</v>
      </c>
      <c r="N153" s="32">
        <v>23577.72</v>
      </c>
      <c r="O153" s="32">
        <v>52197.960000000006</v>
      </c>
      <c r="P153" s="32">
        <f t="shared" si="2"/>
        <v>49889.75</v>
      </c>
      <c r="Q153" s="32"/>
      <c r="R153" s="32"/>
      <c r="S153" s="2"/>
      <c r="T153" s="2"/>
      <c r="U153" s="2"/>
      <c r="V153" s="2"/>
      <c r="W153" s="2"/>
      <c r="X153" s="30"/>
      <c r="Y153" s="30"/>
      <c r="Z153" s="32"/>
      <c r="AA153" s="32"/>
      <c r="AB153" s="32"/>
      <c r="AC153" s="32"/>
      <c r="AD153" s="32"/>
      <c r="AE153" s="32"/>
      <c r="AF153" s="32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 x14ac:dyDescent="0.25">
      <c r="A154" s="2">
        <v>93</v>
      </c>
      <c r="B154" s="2">
        <v>1</v>
      </c>
      <c r="C154" s="2" t="s">
        <v>141</v>
      </c>
      <c r="D154" s="2">
        <v>2</v>
      </c>
      <c r="E154" s="2" t="s">
        <v>142</v>
      </c>
      <c r="F154" s="29">
        <v>0</v>
      </c>
      <c r="G154" s="30">
        <v>0.84126984126984128</v>
      </c>
      <c r="H154" s="30">
        <v>0.76146788990825687</v>
      </c>
      <c r="I154" s="37">
        <v>445.87</v>
      </c>
      <c r="J154" s="37">
        <v>403.58</v>
      </c>
      <c r="K154" s="32">
        <v>41</v>
      </c>
      <c r="L154" s="32">
        <v>48</v>
      </c>
      <c r="M154" s="32">
        <v>18280.669999999998</v>
      </c>
      <c r="N154" s="32">
        <v>19371.84</v>
      </c>
      <c r="O154" s="32">
        <v>37652.509999999995</v>
      </c>
      <c r="P154" s="32">
        <f t="shared" si="2"/>
        <v>35987.51</v>
      </c>
      <c r="Q154" s="32"/>
      <c r="R154" s="32"/>
      <c r="S154" s="2"/>
      <c r="T154" s="2"/>
      <c r="U154" s="2"/>
      <c r="V154" s="2"/>
      <c r="W154" s="2"/>
      <c r="X154" s="30"/>
      <c r="Y154" s="30"/>
      <c r="Z154" s="32"/>
      <c r="AA154" s="32"/>
      <c r="AB154" s="32"/>
      <c r="AC154" s="32"/>
      <c r="AD154" s="32"/>
      <c r="AE154" s="32"/>
      <c r="AF154" s="32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1:50" x14ac:dyDescent="0.25">
      <c r="A155" s="2">
        <v>94</v>
      </c>
      <c r="B155" s="2">
        <v>1</v>
      </c>
      <c r="C155" s="2" t="s">
        <v>143</v>
      </c>
      <c r="D155" s="2">
        <v>101</v>
      </c>
      <c r="E155" s="2" t="s">
        <v>144</v>
      </c>
      <c r="F155" s="29">
        <v>0</v>
      </c>
      <c r="G155" s="30">
        <v>0.95495495495495497</v>
      </c>
      <c r="H155" s="30">
        <v>0.72398190045248867</v>
      </c>
      <c r="I155" s="37">
        <v>506.13</v>
      </c>
      <c r="J155" s="37">
        <v>383.71</v>
      </c>
      <c r="K155" s="32">
        <v>79</v>
      </c>
      <c r="L155" s="32">
        <v>82</v>
      </c>
      <c r="M155" s="32">
        <v>39984.269999999997</v>
      </c>
      <c r="N155" s="32">
        <v>31464.22</v>
      </c>
      <c r="O155" s="32">
        <v>71448.489999999991</v>
      </c>
      <c r="P155" s="32">
        <f t="shared" si="2"/>
        <v>68289.02</v>
      </c>
      <c r="Q155" s="32"/>
      <c r="R155" s="32"/>
      <c r="S155" s="2"/>
      <c r="T155" s="2"/>
      <c r="U155" s="2"/>
      <c r="V155" s="2"/>
      <c r="W155" s="2"/>
      <c r="X155" s="30"/>
      <c r="Y155" s="30"/>
      <c r="Z155" s="32"/>
      <c r="AA155" s="32"/>
      <c r="AB155" s="32"/>
      <c r="AC155" s="32"/>
      <c r="AD155" s="32"/>
      <c r="AE155" s="32"/>
      <c r="AF155" s="32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1:50" x14ac:dyDescent="0.25">
      <c r="A156" s="2">
        <v>94</v>
      </c>
      <c r="B156" s="2">
        <v>1</v>
      </c>
      <c r="C156" s="2" t="s">
        <v>143</v>
      </c>
      <c r="D156" s="2">
        <v>105</v>
      </c>
      <c r="E156" s="2" t="s">
        <v>71</v>
      </c>
      <c r="F156" s="29">
        <v>0</v>
      </c>
      <c r="G156" s="30">
        <v>0.84320557491289194</v>
      </c>
      <c r="H156" s="30">
        <v>0.69140625</v>
      </c>
      <c r="I156" s="37">
        <v>446.9</v>
      </c>
      <c r="J156" s="37">
        <v>366.45</v>
      </c>
      <c r="K156" s="32">
        <v>101</v>
      </c>
      <c r="L156" s="32">
        <v>107</v>
      </c>
      <c r="M156" s="32">
        <v>45136.9</v>
      </c>
      <c r="N156" s="32">
        <v>39210.15</v>
      </c>
      <c r="O156" s="32">
        <v>84347.05</v>
      </c>
      <c r="P156" s="32">
        <f t="shared" si="2"/>
        <v>80617.2</v>
      </c>
      <c r="Q156" s="32"/>
      <c r="R156" s="32"/>
      <c r="S156" s="2"/>
      <c r="T156" s="2"/>
      <c r="U156" s="2"/>
      <c r="V156" s="2"/>
      <c r="W156" s="2"/>
      <c r="X156" s="30"/>
      <c r="Y156" s="30"/>
      <c r="Z156" s="32"/>
      <c r="AA156" s="32"/>
      <c r="AB156" s="32"/>
      <c r="AC156" s="32"/>
      <c r="AD156" s="32"/>
      <c r="AE156" s="32"/>
      <c r="AF156" s="32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0" x14ac:dyDescent="0.25">
      <c r="A157" s="2">
        <v>94</v>
      </c>
      <c r="B157" s="2">
        <v>1</v>
      </c>
      <c r="C157" s="2" t="s">
        <v>1170</v>
      </c>
      <c r="D157" s="2">
        <v>109</v>
      </c>
      <c r="E157" s="2" t="s">
        <v>1171</v>
      </c>
      <c r="F157" s="29">
        <v>1</v>
      </c>
      <c r="G157" s="30" t="s">
        <v>1328</v>
      </c>
      <c r="H157" s="30" t="s">
        <v>1328</v>
      </c>
      <c r="I157" s="37" t="s">
        <v>1328</v>
      </c>
      <c r="J157" s="37" t="s">
        <v>1328</v>
      </c>
      <c r="K157" s="32">
        <v>3</v>
      </c>
      <c r="L157" s="32">
        <v>1</v>
      </c>
      <c r="M157" s="32" t="s">
        <v>1328</v>
      </c>
      <c r="N157" s="32" t="s">
        <v>1328</v>
      </c>
      <c r="O157" s="32">
        <v>636</v>
      </c>
      <c r="P157" s="32">
        <f t="shared" si="2"/>
        <v>607.88</v>
      </c>
      <c r="Q157" s="32"/>
      <c r="R157" s="32"/>
      <c r="S157" s="2"/>
      <c r="T157" s="2"/>
      <c r="U157" s="2"/>
      <c r="V157" s="2"/>
      <c r="W157" s="2"/>
      <c r="X157" s="30"/>
      <c r="Y157" s="30"/>
      <c r="Z157" s="32"/>
      <c r="AA157" s="32"/>
      <c r="AB157" s="32"/>
      <c r="AC157" s="32"/>
      <c r="AD157" s="32"/>
      <c r="AE157" s="32"/>
      <c r="AF157" s="32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1:50" x14ac:dyDescent="0.25">
      <c r="A158" s="2">
        <v>95</v>
      </c>
      <c r="B158" s="2">
        <v>1</v>
      </c>
      <c r="C158" s="2" t="s">
        <v>145</v>
      </c>
      <c r="D158" s="2">
        <v>10</v>
      </c>
      <c r="E158" s="2" t="s">
        <v>146</v>
      </c>
      <c r="F158" s="29">
        <v>0</v>
      </c>
      <c r="G158" s="30">
        <v>0.86153846153846159</v>
      </c>
      <c r="H158" s="30">
        <v>0.76190476190476186</v>
      </c>
      <c r="I158" s="37">
        <v>456.62</v>
      </c>
      <c r="J158" s="37">
        <v>403.81</v>
      </c>
      <c r="K158" s="32">
        <v>15</v>
      </c>
      <c r="L158" s="32">
        <v>22</v>
      </c>
      <c r="M158" s="32">
        <v>6849.3</v>
      </c>
      <c r="N158" s="32">
        <v>8883.82</v>
      </c>
      <c r="O158" s="32">
        <v>15733.119999999999</v>
      </c>
      <c r="P158" s="32">
        <f t="shared" si="2"/>
        <v>15037.4</v>
      </c>
      <c r="Q158" s="32"/>
      <c r="R158" s="32"/>
      <c r="S158" s="2"/>
      <c r="T158" s="2"/>
      <c r="U158" s="2"/>
      <c r="V158" s="2"/>
      <c r="W158" s="2"/>
      <c r="X158" s="30"/>
      <c r="Y158" s="30"/>
      <c r="Z158" s="32"/>
      <c r="AA158" s="32"/>
      <c r="AB158" s="32"/>
      <c r="AC158" s="32"/>
      <c r="AD158" s="32"/>
      <c r="AE158" s="32"/>
      <c r="AF158" s="32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x14ac:dyDescent="0.25">
      <c r="A159" s="2">
        <v>97</v>
      </c>
      <c r="B159" s="2">
        <v>1</v>
      </c>
      <c r="C159" s="2" t="s">
        <v>147</v>
      </c>
      <c r="D159" s="2">
        <v>20</v>
      </c>
      <c r="E159" s="2" t="s">
        <v>148</v>
      </c>
      <c r="F159" s="29">
        <v>0</v>
      </c>
      <c r="G159" s="30">
        <v>0.79104477611940294</v>
      </c>
      <c r="H159" s="30">
        <v>0.70270270270270274</v>
      </c>
      <c r="I159" s="37">
        <v>419.25</v>
      </c>
      <c r="J159" s="37">
        <v>372.43</v>
      </c>
      <c r="K159" s="32">
        <v>34</v>
      </c>
      <c r="L159" s="32">
        <v>48</v>
      </c>
      <c r="M159" s="32">
        <v>14254.5</v>
      </c>
      <c r="N159" s="32">
        <v>17876.64</v>
      </c>
      <c r="O159" s="32">
        <v>32131.14</v>
      </c>
      <c r="P159" s="32">
        <f t="shared" si="2"/>
        <v>30710.29</v>
      </c>
      <c r="Q159" s="32"/>
      <c r="R159" s="32"/>
      <c r="S159" s="2"/>
      <c r="T159" s="2"/>
      <c r="U159" s="2"/>
      <c r="V159" s="2"/>
      <c r="W159" s="2"/>
      <c r="X159" s="30"/>
      <c r="Y159" s="30"/>
      <c r="Z159" s="32"/>
      <c r="AA159" s="32"/>
      <c r="AB159" s="32"/>
      <c r="AC159" s="32"/>
      <c r="AD159" s="32"/>
      <c r="AE159" s="32"/>
      <c r="AF159" s="32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spans="1:50" x14ac:dyDescent="0.25">
      <c r="A160">
        <v>99</v>
      </c>
      <c r="B160" s="2">
        <v>1</v>
      </c>
      <c r="C160" s="2" t="s">
        <v>149</v>
      </c>
      <c r="D160">
        <v>30</v>
      </c>
      <c r="E160" s="2" t="s">
        <v>150</v>
      </c>
      <c r="F160" s="29">
        <v>0</v>
      </c>
      <c r="G160" s="30">
        <v>0.90157480314960625</v>
      </c>
      <c r="H160" s="30">
        <v>0.77200000000000002</v>
      </c>
      <c r="I160" s="37">
        <v>477.83</v>
      </c>
      <c r="J160" s="37">
        <v>409.16</v>
      </c>
      <c r="K160" s="32">
        <v>92</v>
      </c>
      <c r="L160" s="32">
        <v>85</v>
      </c>
      <c r="M160" s="32">
        <v>43960.36</v>
      </c>
      <c r="N160" s="32">
        <v>34778.6</v>
      </c>
      <c r="O160" s="32">
        <v>78738.959999999992</v>
      </c>
      <c r="P160" s="32">
        <f t="shared" si="2"/>
        <v>75257.100000000006</v>
      </c>
      <c r="Q160" s="32"/>
      <c r="R160" s="32"/>
      <c r="S160" s="2"/>
      <c r="T160" s="2"/>
      <c r="V160" s="2"/>
      <c r="W160" s="2"/>
      <c r="X160" s="30"/>
      <c r="Y160" s="30"/>
      <c r="Z160" s="32"/>
      <c r="AA160" s="32"/>
      <c r="AB160" s="32"/>
      <c r="AC160" s="32"/>
      <c r="AD160" s="32"/>
      <c r="AE160" s="32"/>
      <c r="AF160" s="32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x14ac:dyDescent="0.25">
      <c r="A161" s="2">
        <v>100</v>
      </c>
      <c r="B161" s="2">
        <v>1</v>
      </c>
      <c r="C161" s="2" t="s">
        <v>151</v>
      </c>
      <c r="D161" s="2">
        <v>1</v>
      </c>
      <c r="E161" s="2" t="s">
        <v>152</v>
      </c>
      <c r="F161" s="29">
        <v>0</v>
      </c>
      <c r="G161" s="30">
        <v>0.72727272727272729</v>
      </c>
      <c r="H161" s="30">
        <v>0.79710144927536231</v>
      </c>
      <c r="I161" s="37">
        <v>385.45</v>
      </c>
      <c r="J161" s="37">
        <v>422.46</v>
      </c>
      <c r="K161" s="32">
        <v>26</v>
      </c>
      <c r="L161" s="32">
        <v>21</v>
      </c>
      <c r="M161" s="32">
        <v>10021.700000000001</v>
      </c>
      <c r="N161" s="32">
        <v>8871.66</v>
      </c>
      <c r="O161" s="32">
        <v>18893.36</v>
      </c>
      <c r="P161" s="32">
        <f t="shared" si="2"/>
        <v>18057.89</v>
      </c>
      <c r="Q161" s="32"/>
      <c r="R161" s="32"/>
      <c r="S161" s="2"/>
      <c r="T161" s="2"/>
      <c r="U161" s="2"/>
      <c r="V161" s="2"/>
      <c r="W161" s="2"/>
      <c r="X161" s="30"/>
      <c r="Y161" s="30"/>
      <c r="Z161" s="32"/>
      <c r="AA161" s="32"/>
      <c r="AB161" s="32"/>
      <c r="AC161" s="32"/>
      <c r="AD161" s="32"/>
      <c r="AE161" s="32"/>
      <c r="AF161" s="32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spans="1:50" x14ac:dyDescent="0.25">
      <c r="A162">
        <v>108</v>
      </c>
      <c r="B162">
        <v>1</v>
      </c>
      <c r="C162" t="s">
        <v>153</v>
      </c>
      <c r="D162">
        <v>40</v>
      </c>
      <c r="E162" t="s">
        <v>110</v>
      </c>
      <c r="F162" s="1">
        <v>0</v>
      </c>
      <c r="G162" s="30">
        <v>0.7722772277227723</v>
      </c>
      <c r="H162" s="30">
        <v>0.86868686868686873</v>
      </c>
      <c r="I162" s="37">
        <v>409.31</v>
      </c>
      <c r="J162" s="37">
        <v>460.4</v>
      </c>
      <c r="K162" s="32">
        <v>71</v>
      </c>
      <c r="L162" s="32">
        <v>72</v>
      </c>
      <c r="M162" s="32">
        <v>29061.01</v>
      </c>
      <c r="N162" s="32">
        <v>33148.800000000003</v>
      </c>
      <c r="O162" s="32">
        <v>62209.81</v>
      </c>
      <c r="P162" s="32">
        <f t="shared" si="2"/>
        <v>59458.879999999997</v>
      </c>
      <c r="Q162" s="32"/>
      <c r="R162" s="32"/>
      <c r="W162" s="2"/>
      <c r="X162" s="30"/>
      <c r="Y162" s="30"/>
      <c r="Z162" s="32"/>
      <c r="AA162" s="32"/>
      <c r="AB162" s="32"/>
      <c r="AC162" s="32"/>
      <c r="AD162" s="32"/>
      <c r="AE162" s="32"/>
      <c r="AF162" s="32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1:50" x14ac:dyDescent="0.25">
      <c r="A163" s="2">
        <v>110</v>
      </c>
      <c r="B163" s="2">
        <v>1</v>
      </c>
      <c r="C163" s="2" t="s">
        <v>154</v>
      </c>
      <c r="D163" s="2">
        <v>110</v>
      </c>
      <c r="E163" s="2" t="s">
        <v>155</v>
      </c>
      <c r="F163" s="29">
        <v>0</v>
      </c>
      <c r="G163" s="30">
        <v>0.92525773195876293</v>
      </c>
      <c r="H163" s="30">
        <v>0.82920110192837471</v>
      </c>
      <c r="I163" s="37">
        <v>490.39</v>
      </c>
      <c r="J163" s="37">
        <v>439.48</v>
      </c>
      <c r="K163" s="32">
        <v>114</v>
      </c>
      <c r="L163" s="32">
        <v>129</v>
      </c>
      <c r="M163" s="32">
        <v>55904.46</v>
      </c>
      <c r="N163" s="32">
        <v>56692.92</v>
      </c>
      <c r="O163" s="32">
        <v>112597.38</v>
      </c>
      <c r="P163" s="32">
        <f t="shared" si="2"/>
        <v>107618.3</v>
      </c>
      <c r="Q163" s="32"/>
      <c r="R163" s="32"/>
      <c r="S163" s="2"/>
      <c r="T163" s="2"/>
      <c r="U163" s="2"/>
      <c r="V163" s="2"/>
      <c r="W163" s="2"/>
      <c r="X163" s="30"/>
      <c r="Y163" s="30"/>
      <c r="Z163" s="32"/>
      <c r="AA163" s="32"/>
      <c r="AB163" s="32"/>
      <c r="AC163" s="32"/>
      <c r="AD163" s="32"/>
      <c r="AE163" s="32"/>
      <c r="AF163" s="32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1:50" x14ac:dyDescent="0.25">
      <c r="A164" s="2">
        <v>110</v>
      </c>
      <c r="B164" s="2">
        <v>1</v>
      </c>
      <c r="C164" s="2" t="s">
        <v>154</v>
      </c>
      <c r="D164" s="2">
        <v>120</v>
      </c>
      <c r="E164" s="2" t="s">
        <v>156</v>
      </c>
      <c r="F164" s="29">
        <v>0</v>
      </c>
      <c r="G164" s="30">
        <v>0.91747572815533984</v>
      </c>
      <c r="H164" s="30">
        <v>0.8571428571428571</v>
      </c>
      <c r="I164" s="37">
        <v>486.26</v>
      </c>
      <c r="J164" s="37">
        <v>454.29</v>
      </c>
      <c r="K164" s="32">
        <v>147</v>
      </c>
      <c r="L164" s="32">
        <v>141</v>
      </c>
      <c r="M164" s="32">
        <v>71480.22</v>
      </c>
      <c r="N164" s="32">
        <v>64054.89</v>
      </c>
      <c r="O164" s="32">
        <v>135535.10999999999</v>
      </c>
      <c r="P164" s="32">
        <f t="shared" si="2"/>
        <v>129541.72</v>
      </c>
      <c r="Q164" s="32"/>
      <c r="R164" s="32"/>
      <c r="S164" s="2"/>
      <c r="T164" s="2"/>
      <c r="U164" s="2"/>
      <c r="V164" s="2"/>
      <c r="W164" s="2"/>
      <c r="X164" s="30"/>
      <c r="Y164" s="30"/>
      <c r="Z164" s="32"/>
      <c r="AA164" s="32"/>
      <c r="AB164" s="32"/>
      <c r="AC164" s="32"/>
      <c r="AD164" s="32"/>
      <c r="AE164" s="32"/>
      <c r="AF164" s="32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x14ac:dyDescent="0.25">
      <c r="A165" s="2">
        <v>111</v>
      </c>
      <c r="B165" s="2">
        <v>1</v>
      </c>
      <c r="C165" s="2" t="s">
        <v>157</v>
      </c>
      <c r="D165" s="2">
        <v>839</v>
      </c>
      <c r="E165" s="2" t="s">
        <v>158</v>
      </c>
      <c r="F165" s="29">
        <v>0</v>
      </c>
      <c r="G165" s="30">
        <v>0.77008310249307477</v>
      </c>
      <c r="H165" s="30">
        <v>0.81016042780748665</v>
      </c>
      <c r="I165" s="37">
        <v>408.14</v>
      </c>
      <c r="J165" s="37">
        <v>429.39</v>
      </c>
      <c r="K165" s="32">
        <v>118</v>
      </c>
      <c r="L165" s="32">
        <v>143</v>
      </c>
      <c r="M165" s="32">
        <v>48160.52</v>
      </c>
      <c r="N165" s="32">
        <v>61402.77</v>
      </c>
      <c r="O165" s="32">
        <v>109563.29</v>
      </c>
      <c r="P165" s="32">
        <f t="shared" si="2"/>
        <v>104718.38</v>
      </c>
      <c r="Q165" s="32"/>
      <c r="R165" s="32"/>
      <c r="S165" s="2"/>
      <c r="T165" s="2"/>
      <c r="U165" s="2"/>
      <c r="V165" s="2"/>
      <c r="W165" s="2"/>
      <c r="X165" s="30"/>
      <c r="Y165" s="30"/>
      <c r="Z165" s="32"/>
      <c r="AA165" s="32"/>
      <c r="AB165" s="32"/>
      <c r="AC165" s="32"/>
      <c r="AD165" s="32"/>
      <c r="AE165" s="32"/>
      <c r="AF165" s="32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1:50" x14ac:dyDescent="0.25">
      <c r="A166">
        <v>112</v>
      </c>
      <c r="B166">
        <v>1</v>
      </c>
      <c r="C166" t="s">
        <v>159</v>
      </c>
      <c r="D166">
        <v>505</v>
      </c>
      <c r="E166" t="s">
        <v>160</v>
      </c>
      <c r="F166" s="1">
        <v>0</v>
      </c>
      <c r="G166" s="30">
        <v>0.87832699619771859</v>
      </c>
      <c r="H166" s="30">
        <v>0.71024734982332161</v>
      </c>
      <c r="I166" s="37">
        <v>465.51</v>
      </c>
      <c r="J166" s="37">
        <v>376.43</v>
      </c>
      <c r="K166" s="32">
        <v>83</v>
      </c>
      <c r="L166" s="32">
        <v>88</v>
      </c>
      <c r="M166" s="32">
        <v>38637.33</v>
      </c>
      <c r="N166" s="32">
        <v>33125.839999999997</v>
      </c>
      <c r="O166" s="32">
        <v>71763.17</v>
      </c>
      <c r="P166" s="32">
        <f t="shared" si="2"/>
        <v>68589.789999999994</v>
      </c>
      <c r="Q166" s="32"/>
      <c r="R166" s="32"/>
      <c r="W166" s="2"/>
      <c r="X166" s="30"/>
      <c r="Y166" s="30"/>
      <c r="Z166" s="32"/>
      <c r="AA166" s="32"/>
      <c r="AB166" s="32"/>
      <c r="AC166" s="32"/>
      <c r="AD166" s="32"/>
      <c r="AE166" s="32"/>
      <c r="AF166" s="32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x14ac:dyDescent="0.25">
      <c r="A167" s="2">
        <v>112</v>
      </c>
      <c r="B167" s="2">
        <v>1</v>
      </c>
      <c r="C167" s="2" t="s">
        <v>159</v>
      </c>
      <c r="D167" s="2">
        <v>506</v>
      </c>
      <c r="E167" s="2" t="s">
        <v>161</v>
      </c>
      <c r="F167" s="29">
        <v>0</v>
      </c>
      <c r="G167" s="30">
        <v>0.90909090909090906</v>
      </c>
      <c r="H167" s="30">
        <v>0.77850162866449513</v>
      </c>
      <c r="I167" s="37">
        <v>481.82</v>
      </c>
      <c r="J167" s="37">
        <v>412.61</v>
      </c>
      <c r="K167" s="32">
        <v>76</v>
      </c>
      <c r="L167" s="32">
        <v>103</v>
      </c>
      <c r="M167" s="32">
        <v>36618.32</v>
      </c>
      <c r="N167" s="32">
        <v>42498.83</v>
      </c>
      <c r="O167" s="32">
        <v>79117.149999999994</v>
      </c>
      <c r="P167" s="32">
        <f t="shared" si="2"/>
        <v>75618.570000000007</v>
      </c>
      <c r="Q167" s="32"/>
      <c r="R167" s="32"/>
      <c r="S167" s="2"/>
      <c r="T167" s="2"/>
      <c r="U167" s="2"/>
      <c r="V167" s="2"/>
      <c r="W167" s="2"/>
      <c r="X167" s="30"/>
      <c r="Y167" s="30"/>
      <c r="Z167" s="32"/>
      <c r="AA167" s="32"/>
      <c r="AB167" s="32"/>
      <c r="AC167" s="32"/>
      <c r="AD167" s="32"/>
      <c r="AE167" s="32"/>
      <c r="AF167" s="32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1:50" x14ac:dyDescent="0.25">
      <c r="A168" s="2">
        <v>112</v>
      </c>
      <c r="B168" s="2">
        <v>1</v>
      </c>
      <c r="C168" s="2" t="s">
        <v>159</v>
      </c>
      <c r="D168" s="2">
        <v>507</v>
      </c>
      <c r="E168" s="2" t="s">
        <v>162</v>
      </c>
      <c r="F168" s="29">
        <v>0</v>
      </c>
      <c r="G168" s="30">
        <v>0.875</v>
      </c>
      <c r="H168" s="30">
        <v>0.79207920792079212</v>
      </c>
      <c r="I168" s="37">
        <v>463.75</v>
      </c>
      <c r="J168" s="37">
        <v>419.8</v>
      </c>
      <c r="K168" s="32">
        <v>37</v>
      </c>
      <c r="L168" s="32">
        <v>43</v>
      </c>
      <c r="M168" s="32">
        <v>17158.75</v>
      </c>
      <c r="N168" s="32">
        <v>18051.400000000001</v>
      </c>
      <c r="O168" s="32">
        <v>35210.15</v>
      </c>
      <c r="P168" s="32">
        <f t="shared" si="2"/>
        <v>33653.15</v>
      </c>
      <c r="Q168" s="32"/>
      <c r="R168" s="32"/>
      <c r="S168" s="2"/>
      <c r="T168" s="2"/>
      <c r="U168" s="2"/>
      <c r="V168" s="2"/>
      <c r="W168" s="2"/>
      <c r="X168" s="30"/>
      <c r="Y168" s="30"/>
      <c r="Z168" s="32"/>
      <c r="AA168" s="32"/>
      <c r="AB168" s="32"/>
      <c r="AC168" s="32"/>
      <c r="AD168" s="32"/>
      <c r="AE168" s="32"/>
      <c r="AF168" s="32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x14ac:dyDescent="0.25">
      <c r="A169" s="2">
        <v>112</v>
      </c>
      <c r="B169" s="2">
        <v>1</v>
      </c>
      <c r="C169" s="2" t="s">
        <v>159</v>
      </c>
      <c r="D169" s="2">
        <v>510</v>
      </c>
      <c r="E169" s="2" t="s">
        <v>163</v>
      </c>
      <c r="F169" s="29">
        <v>0</v>
      </c>
      <c r="G169" s="30">
        <v>0.89855072463768115</v>
      </c>
      <c r="H169" s="30">
        <v>0.80851063829787229</v>
      </c>
      <c r="I169" s="37">
        <v>476.23</v>
      </c>
      <c r="J169" s="37">
        <v>428.51</v>
      </c>
      <c r="K169" s="32">
        <v>86</v>
      </c>
      <c r="L169" s="32">
        <v>102</v>
      </c>
      <c r="M169" s="32">
        <v>40955.78</v>
      </c>
      <c r="N169" s="32">
        <v>43708.02</v>
      </c>
      <c r="O169" s="32">
        <v>84663.799999999988</v>
      </c>
      <c r="P169" s="32">
        <f t="shared" si="2"/>
        <v>80919.95</v>
      </c>
      <c r="Q169" s="32"/>
      <c r="R169" s="32"/>
      <c r="S169" s="2"/>
      <c r="T169" s="2"/>
      <c r="U169" s="2"/>
      <c r="V169" s="2"/>
      <c r="W169" s="2"/>
      <c r="X169" s="30"/>
      <c r="Y169" s="30"/>
      <c r="Z169" s="32"/>
      <c r="AA169" s="32"/>
      <c r="AB169" s="32"/>
      <c r="AC169" s="32"/>
      <c r="AD169" s="32"/>
      <c r="AE169" s="32"/>
      <c r="AF169" s="32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1:50" x14ac:dyDescent="0.25">
      <c r="A170" s="2">
        <v>112</v>
      </c>
      <c r="B170" s="2">
        <v>1</v>
      </c>
      <c r="C170" s="2" t="s">
        <v>159</v>
      </c>
      <c r="D170" s="2">
        <v>511</v>
      </c>
      <c r="E170" s="2" t="s">
        <v>164</v>
      </c>
      <c r="F170" s="29">
        <v>0</v>
      </c>
      <c r="G170" s="30">
        <v>0.91084337349397593</v>
      </c>
      <c r="H170" s="30">
        <v>0.80862533692722371</v>
      </c>
      <c r="I170" s="37">
        <v>482.75</v>
      </c>
      <c r="J170" s="37">
        <v>428.57</v>
      </c>
      <c r="K170" s="32">
        <v>145</v>
      </c>
      <c r="L170" s="32">
        <v>124</v>
      </c>
      <c r="M170" s="32">
        <v>69998.75</v>
      </c>
      <c r="N170" s="32">
        <v>53142.68</v>
      </c>
      <c r="O170" s="32">
        <v>123141.43</v>
      </c>
      <c r="P170" s="32">
        <f t="shared" si="2"/>
        <v>117696.09</v>
      </c>
      <c r="Q170" s="32"/>
      <c r="R170" s="32"/>
      <c r="S170" s="2"/>
      <c r="T170" s="2"/>
      <c r="U170" s="2"/>
      <c r="V170" s="2"/>
      <c r="W170" s="2"/>
      <c r="X170" s="30"/>
      <c r="Y170" s="30"/>
      <c r="Z170" s="32"/>
      <c r="AA170" s="32"/>
      <c r="AB170" s="32"/>
      <c r="AC170" s="32"/>
      <c r="AD170" s="32"/>
      <c r="AE170" s="32"/>
      <c r="AF170" s="32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x14ac:dyDescent="0.25">
      <c r="A171" s="2">
        <v>112</v>
      </c>
      <c r="B171" s="2">
        <v>1</v>
      </c>
      <c r="C171" s="2" t="s">
        <v>159</v>
      </c>
      <c r="D171" s="2">
        <v>512</v>
      </c>
      <c r="E171" s="2" t="s">
        <v>165</v>
      </c>
      <c r="F171" s="29">
        <v>0</v>
      </c>
      <c r="G171" s="30">
        <v>0.86885245901639341</v>
      </c>
      <c r="H171" s="30">
        <v>0.74220963172804533</v>
      </c>
      <c r="I171" s="37">
        <v>460.49</v>
      </c>
      <c r="J171" s="37">
        <v>393.37</v>
      </c>
      <c r="K171" s="32">
        <v>119</v>
      </c>
      <c r="L171" s="32">
        <v>116</v>
      </c>
      <c r="M171" s="32">
        <v>54798.31</v>
      </c>
      <c r="N171" s="32">
        <v>45630.92</v>
      </c>
      <c r="O171" s="32">
        <v>100429.23</v>
      </c>
      <c r="P171" s="32">
        <f t="shared" si="2"/>
        <v>95988.23</v>
      </c>
      <c r="Q171" s="32"/>
      <c r="R171" s="32"/>
      <c r="S171" s="2"/>
      <c r="T171" s="2"/>
      <c r="U171" s="2"/>
      <c r="V171" s="2"/>
      <c r="W171" s="2"/>
      <c r="X171" s="30"/>
      <c r="Y171" s="30"/>
      <c r="Z171" s="32"/>
      <c r="AA171" s="32"/>
      <c r="AB171" s="32"/>
      <c r="AC171" s="32"/>
      <c r="AD171" s="32"/>
      <c r="AE171" s="32"/>
      <c r="AF171" s="32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1:50" x14ac:dyDescent="0.25">
      <c r="A172" s="2">
        <v>112</v>
      </c>
      <c r="B172" s="2">
        <v>1</v>
      </c>
      <c r="C172" s="2" t="s">
        <v>159</v>
      </c>
      <c r="D172" s="2">
        <v>513</v>
      </c>
      <c r="E172" s="2" t="s">
        <v>166</v>
      </c>
      <c r="F172" s="29">
        <v>0</v>
      </c>
      <c r="G172" s="30">
        <v>0.86440677966101698</v>
      </c>
      <c r="H172" s="30">
        <v>0.78723404255319152</v>
      </c>
      <c r="I172" s="37">
        <v>458.14</v>
      </c>
      <c r="J172" s="37">
        <v>417.23</v>
      </c>
      <c r="K172" s="32">
        <v>90</v>
      </c>
      <c r="L172" s="32">
        <v>100</v>
      </c>
      <c r="M172" s="32">
        <v>41232.6</v>
      </c>
      <c r="N172" s="32">
        <v>41723</v>
      </c>
      <c r="O172" s="32">
        <v>82955.600000000006</v>
      </c>
      <c r="P172" s="32">
        <f t="shared" si="2"/>
        <v>79287.28</v>
      </c>
      <c r="Q172" s="32"/>
      <c r="R172" s="32"/>
      <c r="S172" s="2"/>
      <c r="T172" s="2"/>
      <c r="U172" s="2"/>
      <c r="V172" s="2"/>
      <c r="W172" s="2"/>
      <c r="X172" s="30"/>
      <c r="Y172" s="30"/>
      <c r="Z172" s="32"/>
      <c r="AA172" s="32"/>
      <c r="AB172" s="32"/>
      <c r="AC172" s="32"/>
      <c r="AD172" s="32"/>
      <c r="AE172" s="32"/>
      <c r="AF172" s="32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x14ac:dyDescent="0.25">
      <c r="A173" s="2">
        <v>113</v>
      </c>
      <c r="B173" s="2">
        <v>1</v>
      </c>
      <c r="C173" s="2" t="s">
        <v>167</v>
      </c>
      <c r="D173" s="2">
        <v>10</v>
      </c>
      <c r="E173" s="2" t="s">
        <v>168</v>
      </c>
      <c r="F173" s="29">
        <v>0</v>
      </c>
      <c r="G173" s="30">
        <v>0.64921465968586389</v>
      </c>
      <c r="H173" s="30">
        <v>0.76836158192090398</v>
      </c>
      <c r="I173" s="37">
        <v>344.08</v>
      </c>
      <c r="J173" s="37">
        <v>407.23</v>
      </c>
      <c r="K173" s="32">
        <v>73</v>
      </c>
      <c r="L173" s="32">
        <v>61</v>
      </c>
      <c r="M173" s="32">
        <v>25117.84</v>
      </c>
      <c r="N173" s="32">
        <v>24841.03</v>
      </c>
      <c r="O173" s="32">
        <v>49958.869999999995</v>
      </c>
      <c r="P173" s="32">
        <f t="shared" si="2"/>
        <v>47749.68</v>
      </c>
      <c r="Q173" s="32"/>
      <c r="R173" s="32"/>
      <c r="S173" s="2"/>
      <c r="T173" s="2"/>
      <c r="U173" s="2"/>
      <c r="V173" s="2"/>
      <c r="W173" s="2"/>
      <c r="X173" s="30"/>
      <c r="Y173" s="30"/>
      <c r="Z173" s="32"/>
      <c r="AA173" s="32"/>
      <c r="AB173" s="32"/>
      <c r="AC173" s="32"/>
      <c r="AD173" s="32"/>
      <c r="AE173" s="32"/>
      <c r="AF173" s="32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1:50" x14ac:dyDescent="0.25">
      <c r="A174" s="8">
        <v>115</v>
      </c>
      <c r="B174" s="8">
        <v>1</v>
      </c>
      <c r="C174" s="8" t="s">
        <v>169</v>
      </c>
      <c r="D174" s="8">
        <v>10</v>
      </c>
      <c r="E174" s="8" t="s">
        <v>170</v>
      </c>
      <c r="F174" s="39">
        <v>0</v>
      </c>
      <c r="G174" s="30">
        <v>0.58974358974358976</v>
      </c>
      <c r="H174" s="30">
        <v>0.70238095238095233</v>
      </c>
      <c r="I174" s="37">
        <v>312.56</v>
      </c>
      <c r="J174" s="37">
        <v>372.26</v>
      </c>
      <c r="K174" s="32">
        <v>96</v>
      </c>
      <c r="L174" s="32">
        <v>95</v>
      </c>
      <c r="M174" s="32">
        <v>30005.759999999998</v>
      </c>
      <c r="N174" s="32">
        <v>35364.699999999997</v>
      </c>
      <c r="O174" s="32">
        <v>65370.459999999992</v>
      </c>
      <c r="P174" s="32">
        <f t="shared" si="2"/>
        <v>62479.76</v>
      </c>
      <c r="Q174" s="32"/>
      <c r="R174" s="32"/>
      <c r="S174" s="8"/>
      <c r="T174" s="8"/>
      <c r="U174" s="8"/>
      <c r="V174" s="8"/>
      <c r="W174" s="2"/>
      <c r="X174" s="30"/>
      <c r="Y174" s="30"/>
      <c r="Z174" s="32"/>
      <c r="AA174" s="32"/>
      <c r="AB174" s="32"/>
      <c r="AC174" s="32"/>
      <c r="AD174" s="32"/>
      <c r="AE174" s="32"/>
      <c r="AF174" s="32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x14ac:dyDescent="0.25">
      <c r="A175" s="2">
        <v>116</v>
      </c>
      <c r="B175" s="2">
        <v>1</v>
      </c>
      <c r="C175" s="2" t="s">
        <v>171</v>
      </c>
      <c r="D175" s="2">
        <v>10</v>
      </c>
      <c r="E175" s="2" t="s">
        <v>172</v>
      </c>
      <c r="F175" s="29">
        <v>0</v>
      </c>
      <c r="G175" s="30">
        <v>0.79670329670329665</v>
      </c>
      <c r="H175" s="30">
        <v>0.82183908045977017</v>
      </c>
      <c r="I175" s="37">
        <v>422.25</v>
      </c>
      <c r="J175" s="37">
        <v>435.57</v>
      </c>
      <c r="K175" s="32">
        <v>61</v>
      </c>
      <c r="L175" s="32">
        <v>68</v>
      </c>
      <c r="M175" s="32">
        <v>25757.25</v>
      </c>
      <c r="N175" s="32">
        <v>29618.76</v>
      </c>
      <c r="O175" s="32">
        <v>55376.009999999995</v>
      </c>
      <c r="P175" s="32">
        <f t="shared" si="2"/>
        <v>52927.27</v>
      </c>
      <c r="Q175" s="32"/>
      <c r="R175" s="32"/>
      <c r="S175" s="2"/>
      <c r="T175" s="2"/>
      <c r="U175" s="2"/>
      <c r="V175" s="2"/>
      <c r="W175" s="2"/>
      <c r="X175" s="30"/>
      <c r="Y175" s="30"/>
      <c r="Z175" s="32"/>
      <c r="AA175" s="32"/>
      <c r="AB175" s="32"/>
      <c r="AC175" s="32"/>
      <c r="AD175" s="32"/>
      <c r="AE175" s="32"/>
      <c r="AF175" s="32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1:50" x14ac:dyDescent="0.25">
      <c r="A176" s="2">
        <v>118</v>
      </c>
      <c r="B176" s="2">
        <v>1</v>
      </c>
      <c r="C176" s="2" t="s">
        <v>173</v>
      </c>
      <c r="D176" s="2">
        <v>10</v>
      </c>
      <c r="E176" s="2" t="s">
        <v>174</v>
      </c>
      <c r="F176" s="29">
        <v>0</v>
      </c>
      <c r="G176" s="30">
        <v>0.83076923076923082</v>
      </c>
      <c r="H176" s="30">
        <v>0.63492063492063489</v>
      </c>
      <c r="I176" s="37">
        <v>440.31</v>
      </c>
      <c r="J176" s="37">
        <v>336.51</v>
      </c>
      <c r="K176" s="32">
        <v>22</v>
      </c>
      <c r="L176" s="32">
        <v>26</v>
      </c>
      <c r="M176" s="32">
        <v>9686.82</v>
      </c>
      <c r="N176" s="32">
        <v>8749.26</v>
      </c>
      <c r="O176" s="32">
        <v>18436.080000000002</v>
      </c>
      <c r="P176" s="32">
        <f t="shared" si="2"/>
        <v>17620.830000000002</v>
      </c>
      <c r="Q176" s="32"/>
      <c r="R176" s="32"/>
      <c r="S176" s="2"/>
      <c r="T176" s="2"/>
      <c r="U176" s="2"/>
      <c r="V176" s="2"/>
      <c r="W176" s="2"/>
      <c r="X176" s="30"/>
      <c r="Y176" s="30"/>
      <c r="Z176" s="32"/>
      <c r="AA176" s="32"/>
      <c r="AB176" s="32"/>
      <c r="AC176" s="32"/>
      <c r="AD176" s="32"/>
      <c r="AE176" s="32"/>
      <c r="AF176" s="32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x14ac:dyDescent="0.25">
      <c r="A177" s="2">
        <v>118</v>
      </c>
      <c r="B177" s="2">
        <v>1</v>
      </c>
      <c r="C177" s="2" t="s">
        <v>173</v>
      </c>
      <c r="D177" s="2">
        <v>30</v>
      </c>
      <c r="E177" s="2" t="s">
        <v>175</v>
      </c>
      <c r="F177" s="29">
        <v>1</v>
      </c>
      <c r="G177" s="30" t="s">
        <v>1328</v>
      </c>
      <c r="H177" s="30" t="s">
        <v>1328</v>
      </c>
      <c r="I177" s="37" t="s">
        <v>1328</v>
      </c>
      <c r="J177" s="37" t="s">
        <v>1328</v>
      </c>
      <c r="K177" s="32">
        <v>0</v>
      </c>
      <c r="L177" s="32">
        <v>0</v>
      </c>
      <c r="M177" s="32" t="s">
        <v>1328</v>
      </c>
      <c r="N177" s="32" t="s">
        <v>1328</v>
      </c>
      <c r="O177" s="32">
        <v>0</v>
      </c>
      <c r="P177" s="32">
        <f t="shared" si="2"/>
        <v>0</v>
      </c>
      <c r="Q177" s="32"/>
      <c r="R177" s="32"/>
      <c r="S177" s="2"/>
      <c r="T177" s="2"/>
      <c r="U177" s="2"/>
      <c r="V177" s="2"/>
      <c r="W177" s="2"/>
      <c r="X177" s="30"/>
      <c r="Y177" s="30"/>
      <c r="Z177" s="32"/>
      <c r="AA177" s="32"/>
      <c r="AB177" s="32"/>
      <c r="AC177" s="32"/>
      <c r="AD177" s="32"/>
      <c r="AE177" s="32"/>
      <c r="AF177" s="32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1:50" x14ac:dyDescent="0.25">
      <c r="A178" s="2">
        <v>129</v>
      </c>
      <c r="B178" s="2">
        <v>1</v>
      </c>
      <c r="C178" s="2" t="s">
        <v>176</v>
      </c>
      <c r="D178" s="2">
        <v>10</v>
      </c>
      <c r="E178" s="2" t="s">
        <v>75</v>
      </c>
      <c r="F178" s="29">
        <v>1</v>
      </c>
      <c r="G178" s="30" t="s">
        <v>1328</v>
      </c>
      <c r="H178" s="30" t="s">
        <v>1328</v>
      </c>
      <c r="I178" s="37" t="s">
        <v>1328</v>
      </c>
      <c r="J178" s="37" t="s">
        <v>1328</v>
      </c>
      <c r="K178" s="32">
        <v>83</v>
      </c>
      <c r="L178" s="32">
        <v>0</v>
      </c>
      <c r="M178" s="32" t="s">
        <v>1328</v>
      </c>
      <c r="N178" s="32" t="s">
        <v>1328</v>
      </c>
      <c r="O178" s="32">
        <v>32926.93</v>
      </c>
      <c r="P178" s="32">
        <f t="shared" si="2"/>
        <v>31470.89</v>
      </c>
      <c r="Q178" s="32"/>
      <c r="R178" s="32"/>
      <c r="S178" s="2"/>
      <c r="T178" s="2"/>
      <c r="U178" s="2"/>
      <c r="V178" s="2"/>
      <c r="W178" s="2"/>
      <c r="X178" s="30"/>
      <c r="Y178" s="30"/>
      <c r="Z178" s="32"/>
      <c r="AA178" s="32"/>
      <c r="AB178" s="32"/>
      <c r="AC178" s="32"/>
      <c r="AD178" s="32"/>
      <c r="AE178" s="32"/>
      <c r="AF178" s="32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x14ac:dyDescent="0.25">
      <c r="A179" s="2">
        <v>129</v>
      </c>
      <c r="B179" s="2">
        <v>1</v>
      </c>
      <c r="C179" s="2" t="s">
        <v>176</v>
      </c>
      <c r="D179" s="2">
        <v>20</v>
      </c>
      <c r="E179" s="2" t="s">
        <v>177</v>
      </c>
      <c r="F179" s="29">
        <v>1</v>
      </c>
      <c r="G179" s="30" t="s">
        <v>1328</v>
      </c>
      <c r="H179" s="30" t="s">
        <v>1328</v>
      </c>
      <c r="I179" s="37" t="s">
        <v>1328</v>
      </c>
      <c r="J179" s="37" t="s">
        <v>1328</v>
      </c>
      <c r="K179" s="32">
        <v>0</v>
      </c>
      <c r="L179" s="32">
        <v>0</v>
      </c>
      <c r="M179" s="32" t="s">
        <v>1328</v>
      </c>
      <c r="N179" s="32" t="s">
        <v>1328</v>
      </c>
      <c r="O179" s="32">
        <v>0</v>
      </c>
      <c r="P179" s="32">
        <f t="shared" si="2"/>
        <v>0</v>
      </c>
      <c r="Q179" s="32"/>
      <c r="R179" s="32"/>
      <c r="S179" s="2"/>
      <c r="T179" s="2"/>
      <c r="U179" s="2"/>
      <c r="V179" s="2"/>
      <c r="W179" s="2"/>
      <c r="X179" s="30"/>
      <c r="Y179" s="30"/>
      <c r="Z179" s="32"/>
      <c r="AA179" s="32"/>
      <c r="AB179" s="32"/>
      <c r="AC179" s="32"/>
      <c r="AD179" s="32"/>
      <c r="AE179" s="32"/>
      <c r="AF179" s="32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 x14ac:dyDescent="0.25">
      <c r="A180" s="2">
        <v>129</v>
      </c>
      <c r="B180" s="2">
        <v>1</v>
      </c>
      <c r="C180" s="2" t="s">
        <v>1364</v>
      </c>
      <c r="D180" s="2">
        <v>30</v>
      </c>
      <c r="E180" s="2" t="s">
        <v>1365</v>
      </c>
      <c r="F180" s="29">
        <v>1</v>
      </c>
      <c r="G180" s="30" t="s">
        <v>1328</v>
      </c>
      <c r="H180" s="30" t="s">
        <v>1328</v>
      </c>
      <c r="I180" s="37" t="s">
        <v>1328</v>
      </c>
      <c r="J180" s="37" t="s">
        <v>1328</v>
      </c>
      <c r="K180" s="32">
        <v>0</v>
      </c>
      <c r="L180" s="32">
        <v>91</v>
      </c>
      <c r="M180" s="32" t="s">
        <v>1328</v>
      </c>
      <c r="N180" s="32" t="s">
        <v>1328</v>
      </c>
      <c r="O180" s="32">
        <v>38703.21</v>
      </c>
      <c r="P180" s="32">
        <f t="shared" si="2"/>
        <v>36991.74</v>
      </c>
      <c r="Q180" s="32"/>
      <c r="R180" s="32"/>
      <c r="S180" s="3"/>
      <c r="T180" s="3"/>
      <c r="V180" s="27"/>
      <c r="W180" s="2"/>
      <c r="X180" s="30"/>
      <c r="Y180" s="30"/>
      <c r="Z180" s="32"/>
      <c r="AA180" s="32"/>
      <c r="AB180" s="32"/>
      <c r="AC180" s="32"/>
      <c r="AD180" s="32"/>
      <c r="AE180" s="32"/>
      <c r="AF180" s="32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x14ac:dyDescent="0.25">
      <c r="A181">
        <v>138</v>
      </c>
      <c r="B181">
        <v>1</v>
      </c>
      <c r="C181" t="s">
        <v>178</v>
      </c>
      <c r="D181">
        <v>45</v>
      </c>
      <c r="E181" t="s">
        <v>179</v>
      </c>
      <c r="F181" s="1">
        <v>0</v>
      </c>
      <c r="G181" s="30">
        <v>0.86141304347826086</v>
      </c>
      <c r="H181" s="30">
        <v>0.81392045454545459</v>
      </c>
      <c r="I181" s="37">
        <v>456.55</v>
      </c>
      <c r="J181" s="37">
        <v>431.38</v>
      </c>
      <c r="K181" s="32">
        <v>243</v>
      </c>
      <c r="L181" s="32">
        <v>235</v>
      </c>
      <c r="M181" s="32">
        <v>110941.65</v>
      </c>
      <c r="N181" s="32">
        <v>101374.3</v>
      </c>
      <c r="O181" s="32">
        <v>212315.95</v>
      </c>
      <c r="P181" s="32">
        <f t="shared" si="2"/>
        <v>202927.29</v>
      </c>
      <c r="Q181" s="32"/>
      <c r="R181" s="32"/>
      <c r="S181" s="2"/>
      <c r="T181" s="2"/>
      <c r="U181" s="2"/>
      <c r="V181" s="2"/>
      <c r="W181" s="2"/>
      <c r="X181" s="30"/>
      <c r="Y181" s="30"/>
      <c r="Z181" s="32"/>
      <c r="AA181" s="32"/>
      <c r="AB181" s="32"/>
      <c r="AC181" s="32"/>
      <c r="AD181" s="32"/>
      <c r="AE181" s="32"/>
      <c r="AF181" s="32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 x14ac:dyDescent="0.25">
      <c r="A182" s="2">
        <v>138</v>
      </c>
      <c r="B182" s="2">
        <v>1</v>
      </c>
      <c r="C182" s="2" t="s">
        <v>1172</v>
      </c>
      <c r="D182" s="2">
        <v>70</v>
      </c>
      <c r="E182" s="2" t="s">
        <v>1173</v>
      </c>
      <c r="F182" s="29">
        <v>1</v>
      </c>
      <c r="G182" s="30" t="s">
        <v>1328</v>
      </c>
      <c r="H182" s="30" t="s">
        <v>1328</v>
      </c>
      <c r="I182" s="37" t="s">
        <v>1328</v>
      </c>
      <c r="J182" s="37" t="s">
        <v>1328</v>
      </c>
      <c r="K182" s="32">
        <v>1</v>
      </c>
      <c r="L182" s="32">
        <v>1</v>
      </c>
      <c r="M182" s="32" t="s">
        <v>1328</v>
      </c>
      <c r="N182" s="32" t="s">
        <v>1328</v>
      </c>
      <c r="O182" s="32">
        <v>1060</v>
      </c>
      <c r="P182" s="32">
        <f t="shared" si="2"/>
        <v>1013.13</v>
      </c>
      <c r="Q182" s="32"/>
      <c r="R182" s="32"/>
      <c r="W182" s="2"/>
      <c r="X182" s="30"/>
      <c r="Y182" s="30"/>
      <c r="Z182" s="32"/>
      <c r="AA182" s="32"/>
      <c r="AB182" s="32"/>
      <c r="AC182" s="32"/>
      <c r="AD182" s="32"/>
      <c r="AE182" s="32"/>
      <c r="AF182" s="32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x14ac:dyDescent="0.25">
      <c r="A183" s="2">
        <v>139</v>
      </c>
      <c r="B183" s="2">
        <v>1</v>
      </c>
      <c r="C183" s="2" t="s">
        <v>180</v>
      </c>
      <c r="D183" s="2">
        <v>10</v>
      </c>
      <c r="E183" s="2" t="s">
        <v>181</v>
      </c>
      <c r="F183" s="29">
        <v>0</v>
      </c>
      <c r="G183" s="30">
        <v>0.86082474226804129</v>
      </c>
      <c r="H183" s="30">
        <v>0.57377049180327866</v>
      </c>
      <c r="I183" s="37">
        <v>456.24</v>
      </c>
      <c r="J183" s="37">
        <v>304.10000000000002</v>
      </c>
      <c r="K183" s="32">
        <v>72</v>
      </c>
      <c r="L183" s="32">
        <v>61</v>
      </c>
      <c r="M183" s="32">
        <v>32849.279999999999</v>
      </c>
      <c r="N183" s="32">
        <v>18550.099999999999</v>
      </c>
      <c r="O183" s="32">
        <v>51399.38</v>
      </c>
      <c r="P183" s="32">
        <f t="shared" si="2"/>
        <v>49126.49</v>
      </c>
      <c r="Q183" s="32"/>
      <c r="R183" s="32"/>
      <c r="S183" s="2"/>
      <c r="T183" s="2"/>
      <c r="U183" s="2"/>
      <c r="V183" s="2"/>
      <c r="W183" s="2"/>
      <c r="X183" s="30"/>
      <c r="Y183" s="30"/>
      <c r="Z183" s="32"/>
      <c r="AA183" s="32"/>
      <c r="AB183" s="32"/>
      <c r="AC183" s="32"/>
      <c r="AD183" s="32"/>
      <c r="AE183" s="32"/>
      <c r="AF183" s="32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 x14ac:dyDescent="0.25">
      <c r="A184" s="2">
        <v>146</v>
      </c>
      <c r="B184" s="2">
        <v>1</v>
      </c>
      <c r="C184" s="2" t="s">
        <v>182</v>
      </c>
      <c r="D184" s="2">
        <v>10</v>
      </c>
      <c r="E184" s="2" t="s">
        <v>183</v>
      </c>
      <c r="F184" s="29">
        <v>0</v>
      </c>
      <c r="G184" s="30">
        <v>0.8729281767955801</v>
      </c>
      <c r="H184" s="30">
        <v>0.81142857142857139</v>
      </c>
      <c r="I184" s="37">
        <v>462.65</v>
      </c>
      <c r="J184" s="37">
        <v>430.06</v>
      </c>
      <c r="K184" s="32">
        <v>71</v>
      </c>
      <c r="L184" s="32">
        <v>58</v>
      </c>
      <c r="M184" s="32">
        <v>32848.15</v>
      </c>
      <c r="N184" s="32">
        <v>24943.48</v>
      </c>
      <c r="O184" s="32">
        <v>57791.630000000005</v>
      </c>
      <c r="P184" s="32">
        <f t="shared" si="2"/>
        <v>55236.07</v>
      </c>
      <c r="Q184" s="32"/>
      <c r="R184" s="32"/>
      <c r="S184" s="2"/>
      <c r="T184" s="2"/>
      <c r="U184" s="2"/>
      <c r="V184" s="2"/>
      <c r="W184" s="2"/>
      <c r="X184" s="30"/>
      <c r="Y184" s="30"/>
      <c r="Z184" s="32"/>
      <c r="AA184" s="32"/>
      <c r="AB184" s="32"/>
      <c r="AC184" s="32"/>
      <c r="AD184" s="32"/>
      <c r="AE184" s="32"/>
      <c r="AF184" s="32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x14ac:dyDescent="0.25">
      <c r="A185" s="2">
        <v>150</v>
      </c>
      <c r="B185" s="2">
        <v>1</v>
      </c>
      <c r="C185" s="2" t="s">
        <v>184</v>
      </c>
      <c r="D185" s="2">
        <v>10</v>
      </c>
      <c r="E185" s="2" t="s">
        <v>185</v>
      </c>
      <c r="F185" s="29">
        <v>0</v>
      </c>
      <c r="G185" s="30">
        <v>0.87437185929648242</v>
      </c>
      <c r="H185" s="30">
        <v>0.65625</v>
      </c>
      <c r="I185" s="37">
        <v>463.42</v>
      </c>
      <c r="J185" s="37">
        <v>347.81</v>
      </c>
      <c r="K185" s="32">
        <v>66</v>
      </c>
      <c r="L185" s="32">
        <v>64</v>
      </c>
      <c r="M185" s="32">
        <v>30585.72</v>
      </c>
      <c r="N185" s="32">
        <v>22259.84</v>
      </c>
      <c r="O185" s="32">
        <v>52845.56</v>
      </c>
      <c r="P185" s="32">
        <f t="shared" si="2"/>
        <v>50508.72</v>
      </c>
      <c r="Q185" s="32"/>
      <c r="R185" s="32"/>
      <c r="S185" s="2"/>
      <c r="T185" s="2"/>
      <c r="U185" s="2"/>
      <c r="V185" s="2"/>
      <c r="W185" s="2"/>
      <c r="X185" s="30"/>
      <c r="Y185" s="30"/>
      <c r="Z185" s="32"/>
      <c r="AA185" s="32"/>
      <c r="AB185" s="32"/>
      <c r="AC185" s="32"/>
      <c r="AD185" s="32"/>
      <c r="AE185" s="32"/>
      <c r="AF185" s="32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1:50" x14ac:dyDescent="0.25">
      <c r="A186" s="2">
        <v>150</v>
      </c>
      <c r="B186" s="2">
        <v>1</v>
      </c>
      <c r="C186" s="2" t="s">
        <v>1174</v>
      </c>
      <c r="D186" s="2">
        <v>11</v>
      </c>
      <c r="E186" s="2" t="s">
        <v>1175</v>
      </c>
      <c r="F186" s="29">
        <v>1</v>
      </c>
      <c r="G186" s="30" t="s">
        <v>1328</v>
      </c>
      <c r="H186" s="30" t="s">
        <v>1328</v>
      </c>
      <c r="I186" s="37" t="s">
        <v>1328</v>
      </c>
      <c r="J186" s="37" t="s">
        <v>1328</v>
      </c>
      <c r="K186" s="32">
        <v>6</v>
      </c>
      <c r="L186" s="32">
        <v>3</v>
      </c>
      <c r="M186" s="32" t="s">
        <v>1328</v>
      </c>
      <c r="N186" s="32" t="s">
        <v>1328</v>
      </c>
      <c r="O186" s="32">
        <v>3057.7200000000003</v>
      </c>
      <c r="P186" s="32">
        <f t="shared" si="2"/>
        <v>2922.51</v>
      </c>
      <c r="Q186" s="32"/>
      <c r="R186" s="32"/>
      <c r="S186" s="2"/>
      <c r="T186" s="2"/>
      <c r="U186" s="2"/>
      <c r="V186" s="2"/>
      <c r="W186" s="2"/>
      <c r="X186" s="30"/>
      <c r="Y186" s="30"/>
      <c r="Z186" s="32"/>
      <c r="AA186" s="32"/>
      <c r="AB186" s="32"/>
      <c r="AC186" s="32"/>
      <c r="AD186" s="32"/>
      <c r="AE186" s="32"/>
      <c r="AF186" s="32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x14ac:dyDescent="0.25">
      <c r="A187" s="2">
        <v>152</v>
      </c>
      <c r="B187" s="2">
        <v>1</v>
      </c>
      <c r="C187" s="2" t="s">
        <v>186</v>
      </c>
      <c r="D187" s="2">
        <v>187</v>
      </c>
      <c r="E187" s="2" t="s">
        <v>187</v>
      </c>
      <c r="F187" s="29">
        <v>0</v>
      </c>
      <c r="G187" s="30">
        <v>0.70437017994858608</v>
      </c>
      <c r="H187" s="30">
        <v>0.82336956521739135</v>
      </c>
      <c r="I187" s="37">
        <v>373.32</v>
      </c>
      <c r="J187" s="37">
        <v>436.39</v>
      </c>
      <c r="K187" s="32">
        <v>133</v>
      </c>
      <c r="L187" s="32">
        <v>122</v>
      </c>
      <c r="M187" s="32">
        <v>49651.56</v>
      </c>
      <c r="N187" s="32">
        <v>53239.58</v>
      </c>
      <c r="O187" s="32">
        <v>102891.14</v>
      </c>
      <c r="P187" s="32">
        <f t="shared" si="2"/>
        <v>98341.27</v>
      </c>
      <c r="Q187" s="32"/>
      <c r="R187" s="32"/>
      <c r="S187" s="2"/>
      <c r="T187" s="2"/>
      <c r="U187" s="2"/>
      <c r="V187" s="2"/>
      <c r="W187" s="2"/>
      <c r="X187" s="30"/>
      <c r="Y187" s="30"/>
      <c r="Z187" s="32"/>
      <c r="AA187" s="32"/>
      <c r="AB187" s="32"/>
      <c r="AC187" s="32"/>
      <c r="AD187" s="32"/>
      <c r="AE187" s="32"/>
      <c r="AF187" s="32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1:50" x14ac:dyDescent="0.25">
      <c r="A188" s="2">
        <v>152</v>
      </c>
      <c r="B188" s="2">
        <v>1</v>
      </c>
      <c r="C188" s="2" t="s">
        <v>186</v>
      </c>
      <c r="D188" s="2">
        <v>188</v>
      </c>
      <c r="E188" s="2" t="s">
        <v>188</v>
      </c>
      <c r="F188" s="29">
        <v>0</v>
      </c>
      <c r="G188" s="30">
        <v>0.74083769633507857</v>
      </c>
      <c r="H188" s="30">
        <v>0.76851851851851849</v>
      </c>
      <c r="I188" s="37">
        <v>392.64</v>
      </c>
      <c r="J188" s="37">
        <v>407.31</v>
      </c>
      <c r="K188" s="32">
        <v>140</v>
      </c>
      <c r="L188" s="32">
        <v>126</v>
      </c>
      <c r="M188" s="32">
        <v>54969.599999999999</v>
      </c>
      <c r="N188" s="32">
        <v>51321.06</v>
      </c>
      <c r="O188" s="32">
        <v>106290.66</v>
      </c>
      <c r="P188" s="32">
        <f t="shared" si="2"/>
        <v>101590.46</v>
      </c>
      <c r="Q188" s="32"/>
      <c r="R188" s="32"/>
      <c r="S188" s="2"/>
      <c r="T188" s="2"/>
      <c r="U188" s="2"/>
      <c r="V188" s="2"/>
      <c r="W188" s="2"/>
      <c r="X188" s="30"/>
      <c r="Y188" s="30"/>
      <c r="Z188" s="32"/>
      <c r="AA188" s="32"/>
      <c r="AB188" s="32"/>
      <c r="AC188" s="32"/>
      <c r="AD188" s="32"/>
      <c r="AE188" s="32"/>
      <c r="AF188" s="32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x14ac:dyDescent="0.25">
      <c r="A189" s="2">
        <v>152</v>
      </c>
      <c r="B189" s="2">
        <v>1</v>
      </c>
      <c r="C189" s="2" t="s">
        <v>186</v>
      </c>
      <c r="D189" s="2">
        <v>189</v>
      </c>
      <c r="E189" s="2" t="s">
        <v>189</v>
      </c>
      <c r="F189" s="29">
        <v>0</v>
      </c>
      <c r="G189" s="30">
        <v>0.76508620689655171</v>
      </c>
      <c r="H189" s="30">
        <v>0.823943661971831</v>
      </c>
      <c r="I189" s="37">
        <v>405.5</v>
      </c>
      <c r="J189" s="37">
        <v>436.69</v>
      </c>
      <c r="K189" s="32">
        <v>149</v>
      </c>
      <c r="L189" s="32">
        <v>155</v>
      </c>
      <c r="M189" s="32">
        <v>60419.5</v>
      </c>
      <c r="N189" s="32">
        <v>67686.95</v>
      </c>
      <c r="O189" s="32">
        <v>128106.45</v>
      </c>
      <c r="P189" s="32">
        <f t="shared" si="2"/>
        <v>122441.55</v>
      </c>
      <c r="Q189" s="32"/>
      <c r="R189" s="32"/>
      <c r="S189" s="2"/>
      <c r="T189" s="2"/>
      <c r="U189" s="2"/>
      <c r="V189" s="2"/>
      <c r="W189" s="2"/>
      <c r="X189" s="30"/>
      <c r="Y189" s="30"/>
      <c r="Z189" s="32"/>
      <c r="AA189" s="32"/>
      <c r="AB189" s="32"/>
      <c r="AC189" s="32"/>
      <c r="AD189" s="32"/>
      <c r="AE189" s="32"/>
      <c r="AF189" s="32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1:50" x14ac:dyDescent="0.25">
      <c r="A190" s="2">
        <v>162</v>
      </c>
      <c r="B190" s="2">
        <v>1</v>
      </c>
      <c r="C190" s="2" t="s">
        <v>190</v>
      </c>
      <c r="D190" s="2">
        <v>10</v>
      </c>
      <c r="E190" s="2" t="s">
        <v>191</v>
      </c>
      <c r="F190" s="29">
        <v>0</v>
      </c>
      <c r="G190" s="30">
        <v>0.66009852216748766</v>
      </c>
      <c r="H190" s="30">
        <v>0.66502463054187189</v>
      </c>
      <c r="I190" s="37">
        <v>349.85</v>
      </c>
      <c r="J190" s="37">
        <v>352.46</v>
      </c>
      <c r="K190" s="32">
        <v>70</v>
      </c>
      <c r="L190" s="32">
        <v>66</v>
      </c>
      <c r="M190" s="32">
        <v>24489.5</v>
      </c>
      <c r="N190" s="32">
        <v>23262.36</v>
      </c>
      <c r="O190" s="32">
        <v>47751.86</v>
      </c>
      <c r="P190" s="32">
        <f t="shared" si="2"/>
        <v>45640.26</v>
      </c>
      <c r="Q190" s="32"/>
      <c r="R190" s="32"/>
      <c r="S190" s="2"/>
      <c r="T190" s="2"/>
      <c r="U190" s="2"/>
      <c r="V190" s="2"/>
      <c r="W190" s="2"/>
      <c r="X190" s="30"/>
      <c r="Y190" s="30"/>
      <c r="Z190" s="32"/>
      <c r="AA190" s="32"/>
      <c r="AB190" s="32"/>
      <c r="AC190" s="32"/>
      <c r="AD190" s="32"/>
      <c r="AE190" s="32"/>
      <c r="AF190" s="32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x14ac:dyDescent="0.25">
      <c r="A191" s="2">
        <v>166</v>
      </c>
      <c r="B191" s="2">
        <v>1</v>
      </c>
      <c r="C191" s="2" t="s">
        <v>192</v>
      </c>
      <c r="D191" s="2">
        <v>60</v>
      </c>
      <c r="E191" s="2" t="s">
        <v>193</v>
      </c>
      <c r="F191" s="29">
        <v>0</v>
      </c>
      <c r="G191" s="30">
        <v>0.75609756097560976</v>
      </c>
      <c r="H191" s="30">
        <v>0.83333333333333337</v>
      </c>
      <c r="I191" s="37">
        <v>400.73</v>
      </c>
      <c r="J191" s="37">
        <v>441.67</v>
      </c>
      <c r="K191" s="32">
        <v>23</v>
      </c>
      <c r="L191" s="32">
        <v>24</v>
      </c>
      <c r="M191" s="32">
        <v>9216.7900000000009</v>
      </c>
      <c r="N191" s="32">
        <v>10600.08</v>
      </c>
      <c r="O191" s="32">
        <v>19816.870000000003</v>
      </c>
      <c r="P191" s="32">
        <f t="shared" si="2"/>
        <v>18940.560000000001</v>
      </c>
      <c r="Q191" s="32"/>
      <c r="R191" s="32"/>
      <c r="S191" s="2"/>
      <c r="T191" s="2"/>
      <c r="U191" s="2"/>
      <c r="V191" s="2"/>
      <c r="W191" s="2"/>
      <c r="X191" s="30"/>
      <c r="Y191" s="30"/>
      <c r="Z191" s="32"/>
      <c r="AA191" s="32"/>
      <c r="AB191" s="32"/>
      <c r="AC191" s="32"/>
      <c r="AD191" s="32"/>
      <c r="AE191" s="32"/>
      <c r="AF191" s="32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1:50" x14ac:dyDescent="0.25">
      <c r="A192" s="2">
        <v>173</v>
      </c>
      <c r="B192" s="2">
        <v>1</v>
      </c>
      <c r="C192" s="2" t="s">
        <v>194</v>
      </c>
      <c r="D192" s="2">
        <v>10</v>
      </c>
      <c r="E192" s="2" t="s">
        <v>195</v>
      </c>
      <c r="F192" s="29">
        <v>0</v>
      </c>
      <c r="G192" s="30">
        <v>0.83653846153846156</v>
      </c>
      <c r="H192" s="30">
        <v>0.89090909090909087</v>
      </c>
      <c r="I192" s="37">
        <v>443.37</v>
      </c>
      <c r="J192" s="37">
        <v>472.18</v>
      </c>
      <c r="K192" s="32">
        <v>27</v>
      </c>
      <c r="L192" s="32">
        <v>40</v>
      </c>
      <c r="M192" s="32">
        <v>11970.99</v>
      </c>
      <c r="N192" s="32">
        <v>18887.2</v>
      </c>
      <c r="O192" s="32">
        <v>30858.190000000002</v>
      </c>
      <c r="P192" s="32">
        <f t="shared" si="2"/>
        <v>29493.63</v>
      </c>
      <c r="Q192" s="32"/>
      <c r="R192" s="32"/>
      <c r="S192" s="2"/>
      <c r="T192" s="2"/>
      <c r="U192" s="2"/>
      <c r="V192" s="2"/>
      <c r="W192" s="2"/>
      <c r="X192" s="30"/>
      <c r="Y192" s="30"/>
      <c r="Z192" s="32"/>
      <c r="AA192" s="32"/>
      <c r="AB192" s="32"/>
      <c r="AC192" s="32"/>
      <c r="AD192" s="32"/>
      <c r="AE192" s="32"/>
      <c r="AF192" s="32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x14ac:dyDescent="0.25">
      <c r="A193" s="2">
        <v>177</v>
      </c>
      <c r="B193" s="2">
        <v>1</v>
      </c>
      <c r="C193" s="2" t="s">
        <v>196</v>
      </c>
      <c r="D193" s="2">
        <v>30</v>
      </c>
      <c r="E193" s="2" t="s">
        <v>197</v>
      </c>
      <c r="F193" s="29">
        <v>1</v>
      </c>
      <c r="G193" s="30" t="s">
        <v>1328</v>
      </c>
      <c r="H193" s="30" t="s">
        <v>1328</v>
      </c>
      <c r="I193" s="37" t="s">
        <v>1328</v>
      </c>
      <c r="J193" s="37" t="s">
        <v>1328</v>
      </c>
      <c r="K193" s="32">
        <v>79</v>
      </c>
      <c r="L193" s="32">
        <v>0</v>
      </c>
      <c r="M193" s="32" t="s">
        <v>1328</v>
      </c>
      <c r="N193" s="32" t="s">
        <v>1328</v>
      </c>
      <c r="O193" s="32">
        <v>31909.68</v>
      </c>
      <c r="P193" s="32">
        <f t="shared" si="2"/>
        <v>30498.63</v>
      </c>
      <c r="Q193" s="32"/>
      <c r="R193" s="32"/>
      <c r="S193" s="2"/>
      <c r="T193" s="2"/>
      <c r="U193" s="2"/>
      <c r="V193" s="2"/>
      <c r="W193" s="2"/>
      <c r="X193" s="30"/>
      <c r="Y193" s="30"/>
      <c r="Z193" s="32"/>
      <c r="AA193" s="32"/>
      <c r="AB193" s="32"/>
      <c r="AC193" s="32"/>
      <c r="AD193" s="32"/>
      <c r="AE193" s="32"/>
      <c r="AF193" s="32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1:50" x14ac:dyDescent="0.25">
      <c r="A194" s="2">
        <v>177</v>
      </c>
      <c r="B194" s="2">
        <v>1</v>
      </c>
      <c r="C194" s="2" t="s">
        <v>196</v>
      </c>
      <c r="D194" s="2">
        <v>60</v>
      </c>
      <c r="E194" s="2" t="s">
        <v>198</v>
      </c>
      <c r="F194" s="29">
        <v>1</v>
      </c>
      <c r="G194" s="30" t="s">
        <v>1328</v>
      </c>
      <c r="H194" s="30" t="s">
        <v>1328</v>
      </c>
      <c r="I194" s="37" t="s">
        <v>1328</v>
      </c>
      <c r="J194" s="37" t="s">
        <v>1328</v>
      </c>
      <c r="K194" s="32">
        <v>0</v>
      </c>
      <c r="L194" s="32">
        <v>77</v>
      </c>
      <c r="M194" s="32" t="s">
        <v>1328</v>
      </c>
      <c r="N194" s="32" t="s">
        <v>1328</v>
      </c>
      <c r="O194" s="32">
        <v>33409.53</v>
      </c>
      <c r="P194" s="32">
        <f t="shared" si="2"/>
        <v>31932.15</v>
      </c>
      <c r="Q194" s="32"/>
      <c r="R194" s="32"/>
      <c r="S194" s="2"/>
      <c r="T194" s="2"/>
      <c r="U194" s="2"/>
      <c r="V194" s="2"/>
      <c r="W194" s="2"/>
      <c r="X194" s="30"/>
      <c r="Y194" s="30"/>
      <c r="Z194" s="32"/>
      <c r="AA194" s="32"/>
      <c r="AB194" s="32"/>
      <c r="AC194" s="32"/>
      <c r="AD194" s="32"/>
      <c r="AE194" s="32"/>
      <c r="AF194" s="32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x14ac:dyDescent="0.25">
      <c r="A195" s="2">
        <v>181</v>
      </c>
      <c r="B195" s="2">
        <v>1</v>
      </c>
      <c r="C195" s="2" t="s">
        <v>199</v>
      </c>
      <c r="D195" s="2">
        <v>4</v>
      </c>
      <c r="E195" s="2" t="s">
        <v>200</v>
      </c>
      <c r="F195" s="29">
        <v>0</v>
      </c>
      <c r="G195" s="30">
        <v>0.9242902208201893</v>
      </c>
      <c r="H195" s="30">
        <v>0.81612903225806455</v>
      </c>
      <c r="I195" s="37">
        <v>489.87</v>
      </c>
      <c r="J195" s="37">
        <v>432.55</v>
      </c>
      <c r="K195" s="32">
        <v>108</v>
      </c>
      <c r="L195" s="32">
        <v>105</v>
      </c>
      <c r="M195" s="32">
        <v>52905.96</v>
      </c>
      <c r="N195" s="32">
        <v>45417.75</v>
      </c>
      <c r="O195" s="32">
        <v>98323.709999999992</v>
      </c>
      <c r="P195" s="32">
        <f t="shared" si="2"/>
        <v>93975.81</v>
      </c>
      <c r="Q195" s="32"/>
      <c r="R195" s="32"/>
      <c r="S195" s="2"/>
      <c r="T195" s="2"/>
      <c r="U195" s="2"/>
      <c r="V195" s="2"/>
      <c r="W195" s="2"/>
      <c r="X195" s="30"/>
      <c r="Y195" s="30"/>
      <c r="Z195" s="32"/>
      <c r="AA195" s="32"/>
      <c r="AB195" s="32"/>
      <c r="AC195" s="32"/>
      <c r="AD195" s="32"/>
      <c r="AE195" s="32"/>
      <c r="AF195" s="32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1:50" x14ac:dyDescent="0.25">
      <c r="A196" s="2">
        <v>181</v>
      </c>
      <c r="B196" s="2">
        <v>1</v>
      </c>
      <c r="C196" s="2" t="s">
        <v>199</v>
      </c>
      <c r="D196" s="2">
        <v>8</v>
      </c>
      <c r="E196" s="2" t="s">
        <v>201</v>
      </c>
      <c r="F196" s="29">
        <v>0</v>
      </c>
      <c r="G196" s="30">
        <v>0.81512605042016806</v>
      </c>
      <c r="H196" s="30">
        <v>0.81938325991189431</v>
      </c>
      <c r="I196" s="37">
        <v>432.02</v>
      </c>
      <c r="J196" s="37">
        <v>434.27</v>
      </c>
      <c r="K196" s="32">
        <v>84</v>
      </c>
      <c r="L196" s="32">
        <v>76</v>
      </c>
      <c r="M196" s="32">
        <v>36289.68</v>
      </c>
      <c r="N196" s="32">
        <v>33004.519999999997</v>
      </c>
      <c r="O196" s="32">
        <v>69294.2</v>
      </c>
      <c r="P196" s="32">
        <f t="shared" si="2"/>
        <v>66229.990000000005</v>
      </c>
      <c r="Q196" s="32"/>
      <c r="R196" s="32"/>
      <c r="S196" s="2"/>
      <c r="T196" s="2"/>
      <c r="U196" s="2"/>
      <c r="V196" s="2"/>
      <c r="W196" s="2"/>
      <c r="X196" s="30"/>
      <c r="Y196" s="30"/>
      <c r="Z196" s="32"/>
      <c r="AA196" s="32"/>
      <c r="AB196" s="32"/>
      <c r="AC196" s="32"/>
      <c r="AD196" s="32"/>
      <c r="AE196" s="32"/>
      <c r="AF196" s="32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x14ac:dyDescent="0.25">
      <c r="A197" s="2">
        <v>181</v>
      </c>
      <c r="B197" s="2">
        <v>1</v>
      </c>
      <c r="C197" s="2" t="s">
        <v>199</v>
      </c>
      <c r="D197" s="2">
        <v>9</v>
      </c>
      <c r="E197" s="2" t="s">
        <v>202</v>
      </c>
      <c r="F197" s="29">
        <v>0</v>
      </c>
      <c r="G197" s="30">
        <v>0.87050359712230219</v>
      </c>
      <c r="H197" s="30">
        <v>0.717741935483871</v>
      </c>
      <c r="I197" s="37">
        <v>461.37</v>
      </c>
      <c r="J197" s="37">
        <v>380.4</v>
      </c>
      <c r="K197" s="32">
        <v>39</v>
      </c>
      <c r="L197" s="32">
        <v>53</v>
      </c>
      <c r="M197" s="32">
        <v>17993.43</v>
      </c>
      <c r="N197" s="32">
        <v>20161.2</v>
      </c>
      <c r="O197" s="32">
        <v>38154.630000000005</v>
      </c>
      <c r="P197" s="32">
        <f t="shared" si="2"/>
        <v>36467.42</v>
      </c>
      <c r="Q197" s="32"/>
      <c r="R197" s="32"/>
      <c r="S197" s="2"/>
      <c r="T197" s="2"/>
      <c r="U197" s="2"/>
      <c r="V197" s="2"/>
      <c r="W197" s="2"/>
      <c r="X197" s="30"/>
      <c r="Y197" s="30"/>
      <c r="Z197" s="32"/>
      <c r="AA197" s="32"/>
      <c r="AB197" s="32"/>
      <c r="AC197" s="32"/>
      <c r="AD197" s="32"/>
      <c r="AE197" s="32"/>
      <c r="AF197" s="32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1:50" x14ac:dyDescent="0.25">
      <c r="A198" s="2">
        <v>181</v>
      </c>
      <c r="B198" s="2">
        <v>1</v>
      </c>
      <c r="C198" s="2" t="s">
        <v>199</v>
      </c>
      <c r="D198" s="2">
        <v>11</v>
      </c>
      <c r="E198" s="2" t="s">
        <v>203</v>
      </c>
      <c r="F198" s="29">
        <v>0</v>
      </c>
      <c r="G198" s="30">
        <v>0.88157894736842102</v>
      </c>
      <c r="H198" s="30">
        <v>0.8595744680851064</v>
      </c>
      <c r="I198" s="37">
        <v>467.24</v>
      </c>
      <c r="J198" s="37">
        <v>455.57</v>
      </c>
      <c r="K198" s="32">
        <v>74</v>
      </c>
      <c r="L198" s="32">
        <v>84</v>
      </c>
      <c r="M198" s="32">
        <v>34575.760000000002</v>
      </c>
      <c r="N198" s="32">
        <v>38267.879999999997</v>
      </c>
      <c r="O198" s="32">
        <v>72843.64</v>
      </c>
      <c r="P198" s="32">
        <f t="shared" si="2"/>
        <v>69622.48</v>
      </c>
      <c r="Q198" s="32"/>
      <c r="R198" s="32"/>
      <c r="S198" s="2"/>
      <c r="T198" s="2"/>
      <c r="U198" s="2"/>
      <c r="V198" s="2"/>
      <c r="W198" s="2"/>
      <c r="X198" s="30"/>
      <c r="Y198" s="30"/>
      <c r="Z198" s="32"/>
      <c r="AA198" s="32"/>
      <c r="AB198" s="32"/>
      <c r="AC198" s="32"/>
      <c r="AD198" s="32"/>
      <c r="AE198" s="32"/>
      <c r="AF198" s="32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x14ac:dyDescent="0.25">
      <c r="A199" s="2">
        <v>181</v>
      </c>
      <c r="B199" s="2">
        <v>1</v>
      </c>
      <c r="C199" s="2" t="s">
        <v>199</v>
      </c>
      <c r="D199" s="2">
        <v>12</v>
      </c>
      <c r="E199" s="2" t="s">
        <v>204</v>
      </c>
      <c r="F199" s="29">
        <v>0</v>
      </c>
      <c r="G199" s="30">
        <v>0.82282282282282282</v>
      </c>
      <c r="H199" s="30">
        <v>0.7448275862068966</v>
      </c>
      <c r="I199" s="37">
        <v>436.1</v>
      </c>
      <c r="J199" s="37">
        <v>394.76</v>
      </c>
      <c r="K199" s="32">
        <v>105</v>
      </c>
      <c r="L199" s="32">
        <v>120</v>
      </c>
      <c r="M199" s="32">
        <v>45790.5</v>
      </c>
      <c r="N199" s="32">
        <v>47371.199999999997</v>
      </c>
      <c r="O199" s="32">
        <v>93161.7</v>
      </c>
      <c r="P199" s="32">
        <f t="shared" si="2"/>
        <v>89042.07</v>
      </c>
      <c r="Q199" s="32"/>
      <c r="R199" s="32"/>
      <c r="S199" s="2"/>
      <c r="T199" s="2"/>
      <c r="U199" s="2"/>
      <c r="V199" s="2"/>
      <c r="W199" s="2"/>
      <c r="X199" s="30"/>
      <c r="Y199" s="30"/>
      <c r="Z199" s="32"/>
      <c r="AA199" s="32"/>
      <c r="AB199" s="32"/>
      <c r="AC199" s="32"/>
      <c r="AD199" s="32"/>
      <c r="AE199" s="32"/>
      <c r="AF199" s="32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1:50" x14ac:dyDescent="0.25">
      <c r="A200" s="2">
        <v>181</v>
      </c>
      <c r="B200" s="2">
        <v>1</v>
      </c>
      <c r="C200" s="2" t="s">
        <v>199</v>
      </c>
      <c r="D200" s="2">
        <v>15</v>
      </c>
      <c r="E200" s="2" t="s">
        <v>205</v>
      </c>
      <c r="F200" s="29">
        <v>0</v>
      </c>
      <c r="G200" s="30">
        <v>0.83892617449664431</v>
      </c>
      <c r="H200" s="30">
        <v>0.78911564625850339</v>
      </c>
      <c r="I200" s="37">
        <v>444.63</v>
      </c>
      <c r="J200" s="37">
        <v>418.23</v>
      </c>
      <c r="K200" s="32">
        <v>47</v>
      </c>
      <c r="L200" s="32">
        <v>60</v>
      </c>
      <c r="M200" s="32">
        <v>20897.61</v>
      </c>
      <c r="N200" s="32">
        <v>25093.8</v>
      </c>
      <c r="O200" s="32">
        <v>45991.41</v>
      </c>
      <c r="P200" s="32">
        <f t="shared" si="2"/>
        <v>43957.66</v>
      </c>
      <c r="Q200" s="32"/>
      <c r="R200" s="32"/>
      <c r="S200" s="2"/>
      <c r="T200" s="2"/>
      <c r="U200" s="2"/>
      <c r="V200" s="2"/>
      <c r="W200" s="2"/>
      <c r="X200" s="30"/>
      <c r="Y200" s="30"/>
      <c r="Z200" s="32"/>
      <c r="AA200" s="32"/>
      <c r="AB200" s="32"/>
      <c r="AC200" s="32"/>
      <c r="AD200" s="32"/>
      <c r="AE200" s="32"/>
      <c r="AF200" s="32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x14ac:dyDescent="0.25">
      <c r="A201" s="2">
        <v>181</v>
      </c>
      <c r="B201" s="2">
        <v>1</v>
      </c>
      <c r="C201" s="2" t="s">
        <v>1176</v>
      </c>
      <c r="D201" s="2">
        <v>17</v>
      </c>
      <c r="E201" s="2" t="s">
        <v>1177</v>
      </c>
      <c r="F201" s="29">
        <v>1</v>
      </c>
      <c r="G201" s="30" t="s">
        <v>1328</v>
      </c>
      <c r="H201" s="30" t="s">
        <v>1328</v>
      </c>
      <c r="I201" s="37" t="s">
        <v>1328</v>
      </c>
      <c r="J201" s="37" t="s">
        <v>1328</v>
      </c>
      <c r="K201" s="32">
        <v>0</v>
      </c>
      <c r="L201" s="32">
        <v>1</v>
      </c>
      <c r="M201" s="32" t="s">
        <v>1328</v>
      </c>
      <c r="N201" s="32" t="s">
        <v>1328</v>
      </c>
      <c r="O201" s="32">
        <v>265</v>
      </c>
      <c r="P201" s="32">
        <f t="shared" si="2"/>
        <v>253.28</v>
      </c>
      <c r="Q201" s="32"/>
      <c r="R201" s="32"/>
      <c r="S201" s="2"/>
      <c r="T201" s="2"/>
      <c r="U201" s="2"/>
      <c r="V201" s="2"/>
      <c r="W201" s="2"/>
      <c r="X201" s="30"/>
      <c r="Y201" s="30"/>
      <c r="Z201" s="32"/>
      <c r="AA201" s="32"/>
      <c r="AB201" s="32"/>
      <c r="AC201" s="32"/>
      <c r="AD201" s="32"/>
      <c r="AE201" s="32"/>
      <c r="AF201" s="32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spans="1:50" x14ac:dyDescent="0.25">
      <c r="A202" s="2">
        <v>182</v>
      </c>
      <c r="B202" s="2">
        <v>1</v>
      </c>
      <c r="C202" s="2" t="s">
        <v>206</v>
      </c>
      <c r="D202" s="2">
        <v>6</v>
      </c>
      <c r="E202" s="2" t="s">
        <v>207</v>
      </c>
      <c r="F202" s="29">
        <v>0</v>
      </c>
      <c r="G202" s="30">
        <v>0.63601532567049812</v>
      </c>
      <c r="H202" s="30">
        <v>0.75847457627118642</v>
      </c>
      <c r="I202" s="37">
        <v>337.09</v>
      </c>
      <c r="J202" s="37">
        <v>401.99</v>
      </c>
      <c r="K202" s="32">
        <v>93</v>
      </c>
      <c r="L202" s="32">
        <v>88</v>
      </c>
      <c r="M202" s="32">
        <v>31349.37</v>
      </c>
      <c r="N202" s="32">
        <v>35375.120000000003</v>
      </c>
      <c r="O202" s="32">
        <v>66724.490000000005</v>
      </c>
      <c r="P202" s="32">
        <f t="shared" si="2"/>
        <v>63773.919999999998</v>
      </c>
      <c r="Q202" s="32"/>
      <c r="R202" s="32"/>
      <c r="S202" s="2"/>
      <c r="T202" s="2"/>
      <c r="U202" s="2"/>
      <c r="V202" s="2"/>
      <c r="W202" s="2"/>
      <c r="X202" s="30"/>
      <c r="Y202" s="30"/>
      <c r="Z202" s="32"/>
      <c r="AA202" s="32"/>
      <c r="AB202" s="32"/>
      <c r="AC202" s="32"/>
      <c r="AD202" s="32"/>
      <c r="AE202" s="32"/>
      <c r="AF202" s="32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 x14ac:dyDescent="0.25">
      <c r="A203" s="2">
        <v>186</v>
      </c>
      <c r="B203" s="2">
        <v>1</v>
      </c>
      <c r="C203" s="2" t="s">
        <v>208</v>
      </c>
      <c r="D203" s="2">
        <v>10</v>
      </c>
      <c r="E203" s="2" t="s">
        <v>209</v>
      </c>
      <c r="F203" s="29">
        <v>0</v>
      </c>
      <c r="G203" s="30">
        <v>0.85344827586206895</v>
      </c>
      <c r="H203" s="30">
        <v>0.7643504531722054</v>
      </c>
      <c r="I203" s="37">
        <v>452.33</v>
      </c>
      <c r="J203" s="37">
        <v>405.11</v>
      </c>
      <c r="K203" s="32">
        <v>120</v>
      </c>
      <c r="L203" s="32">
        <v>119</v>
      </c>
      <c r="M203" s="32">
        <v>54279.6</v>
      </c>
      <c r="N203" s="32">
        <v>48208.09</v>
      </c>
      <c r="O203" s="32">
        <v>102487.69</v>
      </c>
      <c r="P203" s="32">
        <f t="shared" si="2"/>
        <v>97955.66</v>
      </c>
      <c r="Q203" s="32"/>
      <c r="R203" s="32"/>
      <c r="S203" s="2"/>
      <c r="T203" s="2"/>
      <c r="U203" s="2"/>
      <c r="V203" s="2"/>
      <c r="W203" s="2"/>
      <c r="X203" s="30"/>
      <c r="Y203" s="30"/>
      <c r="Z203" s="32"/>
      <c r="AA203" s="32"/>
      <c r="AB203" s="32"/>
      <c r="AC203" s="32"/>
      <c r="AD203" s="32"/>
      <c r="AE203" s="32"/>
      <c r="AF203" s="32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spans="1:50" x14ac:dyDescent="0.25">
      <c r="A204" s="2">
        <v>191</v>
      </c>
      <c r="B204" s="2">
        <v>1</v>
      </c>
      <c r="C204" s="2" t="s">
        <v>210</v>
      </c>
      <c r="D204" s="2">
        <v>482</v>
      </c>
      <c r="E204" s="2" t="s">
        <v>211</v>
      </c>
      <c r="F204" s="29">
        <v>0</v>
      </c>
      <c r="G204" s="30">
        <v>0.73333333333333328</v>
      </c>
      <c r="H204" s="30">
        <v>0.89261744966442957</v>
      </c>
      <c r="I204" s="37">
        <v>388.67</v>
      </c>
      <c r="J204" s="37">
        <v>473.09</v>
      </c>
      <c r="K204" s="32">
        <v>66</v>
      </c>
      <c r="L204" s="32">
        <v>57</v>
      </c>
      <c r="M204" s="32">
        <v>25652.22</v>
      </c>
      <c r="N204" s="32">
        <v>26966.13</v>
      </c>
      <c r="O204" s="32">
        <v>52618.350000000006</v>
      </c>
      <c r="P204" s="32">
        <f t="shared" si="2"/>
        <v>50291.55</v>
      </c>
      <c r="Q204" s="32"/>
      <c r="R204" s="32"/>
      <c r="S204" s="2"/>
      <c r="T204" s="2"/>
      <c r="U204" s="2"/>
      <c r="V204" s="2"/>
      <c r="W204" s="2"/>
      <c r="X204" s="30"/>
      <c r="Y204" s="30"/>
      <c r="Z204" s="32"/>
      <c r="AA204" s="32"/>
      <c r="AB204" s="32"/>
      <c r="AC204" s="32"/>
      <c r="AD204" s="32"/>
      <c r="AE204" s="32"/>
      <c r="AF204" s="32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 x14ac:dyDescent="0.25">
      <c r="A205" s="2">
        <v>191</v>
      </c>
      <c r="B205" s="2">
        <v>1</v>
      </c>
      <c r="C205" s="2" t="s">
        <v>210</v>
      </c>
      <c r="D205" s="2">
        <v>483</v>
      </c>
      <c r="E205" s="2" t="s">
        <v>212</v>
      </c>
      <c r="F205" s="29">
        <v>0</v>
      </c>
      <c r="G205" s="30">
        <v>0.72891566265060237</v>
      </c>
      <c r="H205" s="30">
        <v>0.76923076923076927</v>
      </c>
      <c r="I205" s="37">
        <v>386.33</v>
      </c>
      <c r="J205" s="37">
        <v>407.69</v>
      </c>
      <c r="K205" s="32">
        <v>51</v>
      </c>
      <c r="L205" s="32">
        <v>66</v>
      </c>
      <c r="M205" s="32">
        <v>19702.830000000002</v>
      </c>
      <c r="N205" s="32">
        <v>26907.54</v>
      </c>
      <c r="O205" s="32">
        <v>46610.37</v>
      </c>
      <c r="P205" s="32">
        <f t="shared" si="2"/>
        <v>44549.25</v>
      </c>
      <c r="Q205" s="32"/>
      <c r="R205" s="32"/>
      <c r="S205" s="2"/>
      <c r="T205" s="2"/>
      <c r="U205" s="2"/>
      <c r="V205" s="2"/>
      <c r="W205" s="2"/>
      <c r="X205" s="30"/>
      <c r="Y205" s="30"/>
      <c r="Z205" s="32"/>
      <c r="AA205" s="32"/>
      <c r="AB205" s="32"/>
      <c r="AC205" s="32"/>
      <c r="AD205" s="32"/>
      <c r="AE205" s="32"/>
      <c r="AF205" s="32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spans="1:50" x14ac:dyDescent="0.25">
      <c r="A206">
        <v>191</v>
      </c>
      <c r="B206" s="2">
        <v>1</v>
      </c>
      <c r="C206" s="2" t="s">
        <v>210</v>
      </c>
      <c r="D206">
        <v>484</v>
      </c>
      <c r="E206" s="2" t="s">
        <v>213</v>
      </c>
      <c r="F206" s="29">
        <v>0</v>
      </c>
      <c r="G206" s="30">
        <v>0.7455357142857143</v>
      </c>
      <c r="H206" s="30">
        <v>0.90816326530612246</v>
      </c>
      <c r="I206" s="37">
        <v>395.13</v>
      </c>
      <c r="J206" s="37">
        <v>481.33</v>
      </c>
      <c r="K206" s="32">
        <v>81</v>
      </c>
      <c r="L206" s="32">
        <v>75</v>
      </c>
      <c r="M206" s="32">
        <v>32005.53</v>
      </c>
      <c r="N206" s="32">
        <v>36099.75</v>
      </c>
      <c r="O206" s="32">
        <v>68105.279999999999</v>
      </c>
      <c r="P206" s="32">
        <f t="shared" si="2"/>
        <v>65093.65</v>
      </c>
      <c r="Q206" s="32"/>
      <c r="R206" s="32"/>
      <c r="S206" s="2"/>
      <c r="T206" s="2"/>
      <c r="U206" s="2"/>
      <c r="V206" s="2"/>
      <c r="W206" s="2"/>
      <c r="X206" s="30"/>
      <c r="Y206" s="30"/>
      <c r="Z206" s="32"/>
      <c r="AA206" s="32"/>
      <c r="AB206" s="32"/>
      <c r="AC206" s="32"/>
      <c r="AD206" s="32"/>
      <c r="AE206" s="32"/>
      <c r="AF206" s="32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 x14ac:dyDescent="0.25">
      <c r="A207" s="2">
        <v>191</v>
      </c>
      <c r="B207" s="2">
        <v>1</v>
      </c>
      <c r="C207" s="2" t="s">
        <v>210</v>
      </c>
      <c r="D207" s="2">
        <v>485</v>
      </c>
      <c r="E207" s="2" t="s">
        <v>214</v>
      </c>
      <c r="F207" s="29">
        <v>0</v>
      </c>
      <c r="G207" s="30">
        <v>0.85064935064935066</v>
      </c>
      <c r="H207" s="30">
        <v>0.84967320261437906</v>
      </c>
      <c r="I207" s="37">
        <v>450.84</v>
      </c>
      <c r="J207" s="37">
        <v>450.33</v>
      </c>
      <c r="K207" s="32">
        <v>49</v>
      </c>
      <c r="L207" s="32">
        <v>45</v>
      </c>
      <c r="M207" s="32">
        <v>22091.16</v>
      </c>
      <c r="N207" s="32">
        <v>20264.849999999999</v>
      </c>
      <c r="O207" s="32">
        <v>42356.009999999995</v>
      </c>
      <c r="P207" s="32">
        <f t="shared" si="2"/>
        <v>40483.019999999997</v>
      </c>
      <c r="Q207" s="32"/>
      <c r="R207" s="32"/>
      <c r="S207" s="2"/>
      <c r="T207" s="2"/>
      <c r="V207" s="2"/>
      <c r="W207" s="2"/>
      <c r="X207" s="30"/>
      <c r="Y207" s="30"/>
      <c r="Z207" s="32"/>
      <c r="AA207" s="32"/>
      <c r="AB207" s="32"/>
      <c r="AC207" s="32"/>
      <c r="AD207" s="32"/>
      <c r="AE207" s="32"/>
      <c r="AF207" s="32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spans="1:50" x14ac:dyDescent="0.25">
      <c r="A208" s="2">
        <v>191</v>
      </c>
      <c r="B208" s="2">
        <v>1</v>
      </c>
      <c r="C208" s="2" t="s">
        <v>210</v>
      </c>
      <c r="D208" s="2">
        <v>486</v>
      </c>
      <c r="E208" s="2" t="s">
        <v>215</v>
      </c>
      <c r="F208" s="29">
        <v>0</v>
      </c>
      <c r="G208" s="30">
        <v>0.6649746192893401</v>
      </c>
      <c r="H208" s="30">
        <v>0.87573964497041423</v>
      </c>
      <c r="I208" s="37">
        <v>352.44</v>
      </c>
      <c r="J208" s="37">
        <v>464.14</v>
      </c>
      <c r="K208" s="32">
        <v>61</v>
      </c>
      <c r="L208" s="32">
        <v>65</v>
      </c>
      <c r="M208" s="32">
        <v>21498.84</v>
      </c>
      <c r="N208" s="32">
        <v>30169.1</v>
      </c>
      <c r="O208" s="32">
        <v>51667.94</v>
      </c>
      <c r="P208" s="32">
        <f t="shared" ref="P208:P271" si="3">ROUND(O208*P$11,2)</f>
        <v>49383.17</v>
      </c>
      <c r="Q208" s="32"/>
      <c r="R208" s="32"/>
      <c r="S208" s="2"/>
      <c r="T208" s="2"/>
      <c r="U208" s="2"/>
      <c r="V208" s="2"/>
      <c r="W208" s="2"/>
      <c r="X208" s="30"/>
      <c r="Y208" s="30"/>
      <c r="Z208" s="32"/>
      <c r="AA208" s="32"/>
      <c r="AB208" s="32"/>
      <c r="AC208" s="32"/>
      <c r="AD208" s="32"/>
      <c r="AE208" s="32"/>
      <c r="AF208" s="32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 x14ac:dyDescent="0.25">
      <c r="A209" s="2">
        <v>191</v>
      </c>
      <c r="B209" s="2">
        <v>1</v>
      </c>
      <c r="C209" s="2" t="s">
        <v>210</v>
      </c>
      <c r="D209" s="2">
        <v>487</v>
      </c>
      <c r="E209" s="2" t="s">
        <v>216</v>
      </c>
      <c r="F209" s="29">
        <v>0</v>
      </c>
      <c r="G209" s="30">
        <v>0.74117647058823533</v>
      </c>
      <c r="H209" s="30">
        <v>0.82727272727272727</v>
      </c>
      <c r="I209" s="37">
        <v>392.82</v>
      </c>
      <c r="J209" s="37">
        <v>438.45</v>
      </c>
      <c r="K209" s="32">
        <v>87</v>
      </c>
      <c r="L209" s="32">
        <v>75</v>
      </c>
      <c r="M209" s="32">
        <v>34175.339999999997</v>
      </c>
      <c r="N209" s="32">
        <v>32883.75</v>
      </c>
      <c r="O209" s="32">
        <v>67059.09</v>
      </c>
      <c r="P209" s="32">
        <f t="shared" si="3"/>
        <v>64093.72</v>
      </c>
      <c r="Q209" s="32"/>
      <c r="R209" s="32"/>
      <c r="S209" s="2"/>
      <c r="T209" s="2"/>
      <c r="U209" s="2"/>
      <c r="V209" s="2"/>
      <c r="W209" s="2"/>
      <c r="X209" s="30"/>
      <c r="Y209" s="30"/>
      <c r="Z209" s="32"/>
      <c r="AA209" s="32"/>
      <c r="AB209" s="32"/>
      <c r="AC209" s="32"/>
      <c r="AD209" s="32"/>
      <c r="AE209" s="32"/>
      <c r="AF209" s="32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spans="1:50" x14ac:dyDescent="0.25">
      <c r="A210" s="2">
        <v>191</v>
      </c>
      <c r="B210" s="2">
        <v>1</v>
      </c>
      <c r="C210" s="2" t="s">
        <v>210</v>
      </c>
      <c r="D210" s="2">
        <v>488</v>
      </c>
      <c r="E210" s="2" t="s">
        <v>217</v>
      </c>
      <c r="F210" s="29">
        <v>0</v>
      </c>
      <c r="G210" s="30">
        <v>0.71875</v>
      </c>
      <c r="H210" s="30">
        <v>0.72661870503597126</v>
      </c>
      <c r="I210" s="37">
        <v>380.94</v>
      </c>
      <c r="J210" s="37">
        <v>385.11</v>
      </c>
      <c r="K210" s="32">
        <v>50</v>
      </c>
      <c r="L210" s="32">
        <v>56</v>
      </c>
      <c r="M210" s="32">
        <v>19047</v>
      </c>
      <c r="N210" s="32">
        <v>21566.16</v>
      </c>
      <c r="O210" s="32">
        <v>40613.160000000003</v>
      </c>
      <c r="P210" s="32">
        <f t="shared" si="3"/>
        <v>38817.24</v>
      </c>
      <c r="Q210" s="32"/>
      <c r="R210" s="32"/>
      <c r="S210" s="2"/>
      <c r="T210" s="2"/>
      <c r="U210" s="2"/>
      <c r="V210" s="2"/>
      <c r="W210" s="2"/>
      <c r="X210" s="30"/>
      <c r="Y210" s="30"/>
      <c r="Z210" s="32"/>
      <c r="AA210" s="32"/>
      <c r="AB210" s="32"/>
      <c r="AC210" s="32"/>
      <c r="AD210" s="32"/>
      <c r="AE210" s="32"/>
      <c r="AF210" s="32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 x14ac:dyDescent="0.25">
      <c r="A211" s="2">
        <v>191</v>
      </c>
      <c r="B211" s="2">
        <v>1</v>
      </c>
      <c r="C211" s="2" t="s">
        <v>210</v>
      </c>
      <c r="D211" s="2">
        <v>489</v>
      </c>
      <c r="E211" s="2" t="s">
        <v>218</v>
      </c>
      <c r="F211" s="29">
        <v>0</v>
      </c>
      <c r="G211" s="30">
        <v>0.61847389558232935</v>
      </c>
      <c r="H211" s="30">
        <v>0.78680203045685282</v>
      </c>
      <c r="I211" s="37">
        <v>327.79</v>
      </c>
      <c r="J211" s="37">
        <v>417.01</v>
      </c>
      <c r="K211" s="32">
        <v>93</v>
      </c>
      <c r="L211" s="32">
        <v>82</v>
      </c>
      <c r="M211" s="32">
        <v>30484.47</v>
      </c>
      <c r="N211" s="32">
        <v>34194.82</v>
      </c>
      <c r="O211" s="32">
        <v>64679.29</v>
      </c>
      <c r="P211" s="32">
        <f t="shared" si="3"/>
        <v>61819.16</v>
      </c>
      <c r="Q211" s="32"/>
      <c r="R211" s="32"/>
      <c r="S211" s="2"/>
      <c r="T211" s="2"/>
      <c r="U211" s="2"/>
      <c r="V211" s="2"/>
      <c r="W211" s="2"/>
      <c r="X211" s="30"/>
      <c r="Y211" s="30"/>
      <c r="Z211" s="32"/>
      <c r="AA211" s="32"/>
      <c r="AB211" s="32"/>
      <c r="AC211" s="32"/>
      <c r="AD211" s="32"/>
      <c r="AE211" s="32"/>
      <c r="AF211" s="32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spans="1:50" x14ac:dyDescent="0.25">
      <c r="A212" s="2">
        <v>191</v>
      </c>
      <c r="B212" s="2">
        <v>1</v>
      </c>
      <c r="C212" s="2" t="s">
        <v>210</v>
      </c>
      <c r="D212" s="2">
        <v>490</v>
      </c>
      <c r="E212" s="2" t="s">
        <v>219</v>
      </c>
      <c r="F212" s="29">
        <v>0</v>
      </c>
      <c r="G212" s="30">
        <v>0.69402985074626866</v>
      </c>
      <c r="H212" s="30">
        <v>0.75308641975308643</v>
      </c>
      <c r="I212" s="37">
        <v>367.84</v>
      </c>
      <c r="J212" s="37">
        <v>399.14</v>
      </c>
      <c r="K212" s="32">
        <v>87</v>
      </c>
      <c r="L212" s="32">
        <v>84</v>
      </c>
      <c r="M212" s="32">
        <v>32002.080000000002</v>
      </c>
      <c r="N212" s="32">
        <v>33527.760000000002</v>
      </c>
      <c r="O212" s="32">
        <v>65529.840000000004</v>
      </c>
      <c r="P212" s="32">
        <f t="shared" si="3"/>
        <v>62632.09</v>
      </c>
      <c r="Q212" s="32"/>
      <c r="R212" s="32"/>
      <c r="S212" s="2"/>
      <c r="T212" s="2"/>
      <c r="U212" s="2"/>
      <c r="V212" s="2"/>
      <c r="W212" s="2"/>
      <c r="X212" s="30"/>
      <c r="Y212" s="30"/>
      <c r="Z212" s="32"/>
      <c r="AA212" s="32"/>
      <c r="AB212" s="32"/>
      <c r="AC212" s="32"/>
      <c r="AD212" s="32"/>
      <c r="AE212" s="32"/>
      <c r="AF212" s="32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 x14ac:dyDescent="0.25">
      <c r="A213" s="2">
        <v>191</v>
      </c>
      <c r="B213" s="2">
        <v>1</v>
      </c>
      <c r="C213" s="2" t="s">
        <v>210</v>
      </c>
      <c r="D213" s="2">
        <v>491</v>
      </c>
      <c r="E213" s="2" t="s">
        <v>220</v>
      </c>
      <c r="F213" s="29">
        <v>0</v>
      </c>
      <c r="G213" s="30">
        <v>0.87197231833910038</v>
      </c>
      <c r="H213" s="30">
        <v>0.81180811808118081</v>
      </c>
      <c r="I213" s="37">
        <v>462.15</v>
      </c>
      <c r="J213" s="37">
        <v>430.26</v>
      </c>
      <c r="K213" s="32">
        <v>99</v>
      </c>
      <c r="L213" s="32">
        <v>92</v>
      </c>
      <c r="M213" s="32">
        <v>45752.85</v>
      </c>
      <c r="N213" s="32">
        <v>39583.919999999998</v>
      </c>
      <c r="O213" s="32">
        <v>85336.76999999999</v>
      </c>
      <c r="P213" s="32">
        <f t="shared" si="3"/>
        <v>81563.16</v>
      </c>
      <c r="Q213" s="32"/>
      <c r="R213" s="32"/>
      <c r="S213" s="2"/>
      <c r="T213" s="2"/>
      <c r="U213" s="2"/>
      <c r="V213" s="2"/>
      <c r="W213" s="2"/>
      <c r="X213" s="30"/>
      <c r="Y213" s="30"/>
      <c r="Z213" s="32"/>
      <c r="AA213" s="32"/>
      <c r="AB213" s="32"/>
      <c r="AC213" s="32"/>
      <c r="AD213" s="32"/>
      <c r="AE213" s="32"/>
      <c r="AF213" s="32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spans="1:50" x14ac:dyDescent="0.25">
      <c r="A214" s="2">
        <v>191</v>
      </c>
      <c r="B214" s="2">
        <v>1</v>
      </c>
      <c r="C214" s="2" t="s">
        <v>1178</v>
      </c>
      <c r="D214" s="2">
        <v>509</v>
      </c>
      <c r="E214" s="2" t="s">
        <v>1179</v>
      </c>
      <c r="F214" s="29">
        <v>1</v>
      </c>
      <c r="G214" s="30" t="s">
        <v>1328</v>
      </c>
      <c r="H214" s="30" t="s">
        <v>1328</v>
      </c>
      <c r="I214" s="37" t="s">
        <v>1328</v>
      </c>
      <c r="J214" s="37" t="s">
        <v>1328</v>
      </c>
      <c r="K214" s="32">
        <v>0</v>
      </c>
      <c r="L214" s="32">
        <v>0</v>
      </c>
      <c r="M214" s="32" t="s">
        <v>1328</v>
      </c>
      <c r="N214" s="32" t="s">
        <v>1328</v>
      </c>
      <c r="O214" s="32">
        <v>0</v>
      </c>
      <c r="P214" s="32">
        <f t="shared" si="3"/>
        <v>0</v>
      </c>
      <c r="Q214" s="32"/>
      <c r="R214" s="32"/>
      <c r="S214" s="2"/>
      <c r="T214" s="2"/>
      <c r="U214" s="2"/>
      <c r="V214" s="2"/>
      <c r="W214" s="2"/>
      <c r="X214" s="30"/>
      <c r="Y214" s="30"/>
      <c r="Z214" s="32"/>
      <c r="AA214" s="32"/>
      <c r="AB214" s="32"/>
      <c r="AC214" s="32"/>
      <c r="AD214" s="32"/>
      <c r="AE214" s="32"/>
      <c r="AF214" s="32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 x14ac:dyDescent="0.25">
      <c r="A215" s="2">
        <v>192</v>
      </c>
      <c r="B215" s="2">
        <v>1</v>
      </c>
      <c r="C215" s="2" t="s">
        <v>221</v>
      </c>
      <c r="D215" s="2">
        <v>10</v>
      </c>
      <c r="E215" s="2" t="s">
        <v>222</v>
      </c>
      <c r="F215" s="29">
        <v>0</v>
      </c>
      <c r="G215" s="30">
        <v>0.79794520547945202</v>
      </c>
      <c r="H215" s="30">
        <v>0.80078125</v>
      </c>
      <c r="I215" s="37">
        <v>422.91</v>
      </c>
      <c r="J215" s="37">
        <v>424.41</v>
      </c>
      <c r="K215" s="32">
        <v>114</v>
      </c>
      <c r="L215" s="32">
        <v>98</v>
      </c>
      <c r="M215" s="32">
        <v>48211.74</v>
      </c>
      <c r="N215" s="32">
        <v>41592.18</v>
      </c>
      <c r="O215" s="32">
        <v>89803.92</v>
      </c>
      <c r="P215" s="32">
        <f t="shared" si="3"/>
        <v>85832.77</v>
      </c>
      <c r="Q215" s="32"/>
      <c r="R215" s="32"/>
      <c r="S215" s="2"/>
      <c r="T215" s="2"/>
      <c r="U215" s="2"/>
      <c r="V215" s="2"/>
      <c r="W215" s="2"/>
      <c r="X215" s="30"/>
      <c r="Y215" s="30"/>
      <c r="Z215" s="32"/>
      <c r="AA215" s="32"/>
      <c r="AB215" s="32"/>
      <c r="AC215" s="32"/>
      <c r="AD215" s="32"/>
      <c r="AE215" s="32"/>
      <c r="AF215" s="32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spans="1:50" x14ac:dyDescent="0.25">
      <c r="A216" s="2">
        <v>192</v>
      </c>
      <c r="B216" s="2">
        <v>1</v>
      </c>
      <c r="C216" s="2" t="s">
        <v>221</v>
      </c>
      <c r="D216" s="2">
        <v>40</v>
      </c>
      <c r="E216" s="2" t="s">
        <v>223</v>
      </c>
      <c r="F216" s="29">
        <v>0</v>
      </c>
      <c r="G216" s="30">
        <v>0.86144578313253017</v>
      </c>
      <c r="H216" s="30">
        <v>0.79870129870129869</v>
      </c>
      <c r="I216" s="37">
        <v>456.57</v>
      </c>
      <c r="J216" s="37">
        <v>423.31</v>
      </c>
      <c r="K216" s="32">
        <v>124</v>
      </c>
      <c r="L216" s="32">
        <v>103</v>
      </c>
      <c r="M216" s="32">
        <v>56614.68</v>
      </c>
      <c r="N216" s="32">
        <v>43600.93</v>
      </c>
      <c r="O216" s="32">
        <v>100215.61</v>
      </c>
      <c r="P216" s="32">
        <f t="shared" si="3"/>
        <v>95784.05</v>
      </c>
      <c r="Q216" s="32"/>
      <c r="R216" s="32"/>
      <c r="S216" s="2"/>
      <c r="T216" s="2"/>
      <c r="U216" s="2"/>
      <c r="V216" s="2"/>
      <c r="W216" s="2"/>
      <c r="X216" s="30"/>
      <c r="Y216" s="30"/>
      <c r="Z216" s="32"/>
      <c r="AA216" s="32"/>
      <c r="AB216" s="32"/>
      <c r="AC216" s="32"/>
      <c r="AD216" s="32"/>
      <c r="AE216" s="32"/>
      <c r="AF216" s="32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 x14ac:dyDescent="0.25">
      <c r="A217" s="2">
        <v>192</v>
      </c>
      <c r="B217" s="2">
        <v>1</v>
      </c>
      <c r="C217" s="2" t="s">
        <v>221</v>
      </c>
      <c r="D217" s="2">
        <v>80</v>
      </c>
      <c r="E217" s="2" t="s">
        <v>224</v>
      </c>
      <c r="F217" s="29">
        <v>0</v>
      </c>
      <c r="G217" s="30">
        <v>0.90634441087613293</v>
      </c>
      <c r="H217" s="30">
        <v>0.7697160883280757</v>
      </c>
      <c r="I217" s="37">
        <v>480.36</v>
      </c>
      <c r="J217" s="37">
        <v>407.95</v>
      </c>
      <c r="K217" s="32">
        <v>112</v>
      </c>
      <c r="L217" s="32">
        <v>106</v>
      </c>
      <c r="M217" s="32">
        <v>53800.32</v>
      </c>
      <c r="N217" s="32">
        <v>43242.7</v>
      </c>
      <c r="O217" s="32">
        <v>97043.01999999999</v>
      </c>
      <c r="P217" s="32">
        <f t="shared" si="3"/>
        <v>92751.75</v>
      </c>
      <c r="Q217" s="32"/>
      <c r="R217" s="32"/>
      <c r="S217" s="2"/>
      <c r="T217" s="2"/>
      <c r="U217" s="2"/>
      <c r="V217" s="2"/>
      <c r="W217" s="2"/>
      <c r="X217" s="30"/>
      <c r="Y217" s="30"/>
      <c r="Z217" s="32"/>
      <c r="AA217" s="32"/>
      <c r="AB217" s="32"/>
      <c r="AC217" s="32"/>
      <c r="AD217" s="32"/>
      <c r="AE217" s="32"/>
      <c r="AF217" s="32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spans="1:50" x14ac:dyDescent="0.25">
      <c r="A218" s="2">
        <v>192</v>
      </c>
      <c r="B218" s="2">
        <v>1</v>
      </c>
      <c r="C218" s="2" t="s">
        <v>221</v>
      </c>
      <c r="D218" s="2">
        <v>100</v>
      </c>
      <c r="E218" s="2" t="s">
        <v>225</v>
      </c>
      <c r="F218" s="29">
        <v>0</v>
      </c>
      <c r="G218" s="30">
        <v>0.80716253443526176</v>
      </c>
      <c r="H218" s="30">
        <v>0.69155844155844159</v>
      </c>
      <c r="I218" s="37">
        <v>427.8</v>
      </c>
      <c r="J218" s="37">
        <v>366.53</v>
      </c>
      <c r="K218" s="32">
        <v>133</v>
      </c>
      <c r="L218" s="32">
        <v>127</v>
      </c>
      <c r="M218" s="32">
        <v>56897.4</v>
      </c>
      <c r="N218" s="32">
        <v>46549.31</v>
      </c>
      <c r="O218" s="32">
        <v>103446.70999999999</v>
      </c>
      <c r="P218" s="32">
        <f t="shared" si="3"/>
        <v>98872.27</v>
      </c>
      <c r="Q218" s="32"/>
      <c r="R218" s="32"/>
      <c r="S218" s="2"/>
      <c r="T218" s="2"/>
      <c r="U218" s="2"/>
      <c r="V218" s="2"/>
      <c r="W218" s="2"/>
      <c r="X218" s="30"/>
      <c r="Y218" s="30"/>
      <c r="Z218" s="32"/>
      <c r="AA218" s="32"/>
      <c r="AB218" s="32"/>
      <c r="AC218" s="32"/>
      <c r="AD218" s="32"/>
      <c r="AE218" s="32"/>
      <c r="AF218" s="32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 x14ac:dyDescent="0.25">
      <c r="A219" s="2">
        <v>192</v>
      </c>
      <c r="B219" s="2">
        <v>1</v>
      </c>
      <c r="C219" s="2" t="s">
        <v>221</v>
      </c>
      <c r="D219" s="2">
        <v>621</v>
      </c>
      <c r="E219" s="2" t="s">
        <v>226</v>
      </c>
      <c r="F219" s="29">
        <v>0</v>
      </c>
      <c r="G219" s="30">
        <v>0.78164556962025311</v>
      </c>
      <c r="H219" s="30">
        <v>0.75</v>
      </c>
      <c r="I219" s="37">
        <v>414.27</v>
      </c>
      <c r="J219" s="37">
        <v>397.5</v>
      </c>
      <c r="K219" s="32">
        <v>103</v>
      </c>
      <c r="L219" s="32">
        <v>117</v>
      </c>
      <c r="M219" s="32">
        <v>42669.81</v>
      </c>
      <c r="N219" s="32">
        <v>46507.5</v>
      </c>
      <c r="O219" s="32">
        <v>89177.31</v>
      </c>
      <c r="P219" s="32">
        <f t="shared" si="3"/>
        <v>85233.87</v>
      </c>
      <c r="Q219" s="32"/>
      <c r="R219" s="32"/>
      <c r="S219" s="2"/>
      <c r="T219" s="2"/>
      <c r="U219" s="2"/>
      <c r="V219" s="2"/>
      <c r="W219" s="2"/>
      <c r="X219" s="30"/>
      <c r="Y219" s="30"/>
      <c r="Z219" s="32"/>
      <c r="AA219" s="32"/>
      <c r="AB219" s="32"/>
      <c r="AC219" s="32"/>
      <c r="AD219" s="32"/>
      <c r="AE219" s="32"/>
      <c r="AF219" s="32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1:50" x14ac:dyDescent="0.25">
      <c r="A220" s="2">
        <v>194</v>
      </c>
      <c r="B220" s="2">
        <v>1</v>
      </c>
      <c r="C220" s="2" t="s">
        <v>227</v>
      </c>
      <c r="D220" s="2">
        <v>591</v>
      </c>
      <c r="E220" s="2" t="s">
        <v>131</v>
      </c>
      <c r="F220" s="29">
        <v>0</v>
      </c>
      <c r="G220" s="30">
        <v>0.91095890410958902</v>
      </c>
      <c r="H220" s="30">
        <v>0.78776978417266186</v>
      </c>
      <c r="I220" s="37">
        <v>482.81</v>
      </c>
      <c r="J220" s="37">
        <v>417.52</v>
      </c>
      <c r="K220" s="32">
        <v>98</v>
      </c>
      <c r="L220" s="32">
        <v>89</v>
      </c>
      <c r="M220" s="32">
        <v>47315.38</v>
      </c>
      <c r="N220" s="32">
        <v>37159.279999999999</v>
      </c>
      <c r="O220" s="32">
        <v>84474.66</v>
      </c>
      <c r="P220" s="32">
        <f t="shared" si="3"/>
        <v>80739.17</v>
      </c>
      <c r="Q220" s="32"/>
      <c r="R220" s="32"/>
      <c r="S220" s="2"/>
      <c r="T220" s="2"/>
      <c r="U220" s="2"/>
      <c r="V220" s="2"/>
      <c r="W220" s="2"/>
      <c r="X220" s="30"/>
      <c r="Y220" s="30"/>
      <c r="Z220" s="32"/>
      <c r="AA220" s="32"/>
      <c r="AB220" s="32"/>
      <c r="AC220" s="32"/>
      <c r="AD220" s="32"/>
      <c r="AE220" s="32"/>
      <c r="AF220" s="32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 x14ac:dyDescent="0.25">
      <c r="A221">
        <v>194</v>
      </c>
      <c r="B221" s="2">
        <v>1</v>
      </c>
      <c r="C221" s="2" t="s">
        <v>227</v>
      </c>
      <c r="D221">
        <v>592</v>
      </c>
      <c r="E221" s="2" t="s">
        <v>228</v>
      </c>
      <c r="F221" s="29">
        <v>0</v>
      </c>
      <c r="G221" s="30">
        <v>0.85648148148148151</v>
      </c>
      <c r="H221" s="30">
        <v>0.80102040816326525</v>
      </c>
      <c r="I221" s="37">
        <v>453.94</v>
      </c>
      <c r="J221" s="37">
        <v>424.54</v>
      </c>
      <c r="K221" s="32">
        <v>101</v>
      </c>
      <c r="L221" s="32">
        <v>80</v>
      </c>
      <c r="M221" s="32">
        <v>45847.94</v>
      </c>
      <c r="N221" s="32">
        <v>33963.199999999997</v>
      </c>
      <c r="O221" s="32">
        <v>79811.14</v>
      </c>
      <c r="P221" s="32">
        <f t="shared" si="3"/>
        <v>76281.87</v>
      </c>
      <c r="Q221" s="32"/>
      <c r="R221" s="32"/>
      <c r="S221" s="2"/>
      <c r="T221" s="2"/>
      <c r="U221" s="2"/>
      <c r="V221" s="2"/>
      <c r="W221" s="2"/>
      <c r="X221" s="30"/>
      <c r="Y221" s="30"/>
      <c r="Z221" s="32"/>
      <c r="AA221" s="32"/>
      <c r="AB221" s="32"/>
      <c r="AC221" s="32"/>
      <c r="AD221" s="32"/>
      <c r="AE221" s="32"/>
      <c r="AF221" s="32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1:50" x14ac:dyDescent="0.25">
      <c r="A222" s="2">
        <v>194</v>
      </c>
      <c r="B222" s="2">
        <v>1</v>
      </c>
      <c r="C222" s="2" t="s">
        <v>227</v>
      </c>
      <c r="D222" s="2">
        <v>593</v>
      </c>
      <c r="E222" s="2" t="s">
        <v>229</v>
      </c>
      <c r="F222" s="29">
        <v>0</v>
      </c>
      <c r="G222" s="30">
        <v>0.93779904306220097</v>
      </c>
      <c r="H222" s="30">
        <v>0.81313131313131315</v>
      </c>
      <c r="I222" s="37">
        <v>497.03</v>
      </c>
      <c r="J222" s="37">
        <v>430.96</v>
      </c>
      <c r="K222" s="32">
        <v>84</v>
      </c>
      <c r="L222" s="32">
        <v>89</v>
      </c>
      <c r="M222" s="32">
        <v>41750.519999999997</v>
      </c>
      <c r="N222" s="32">
        <v>38355.440000000002</v>
      </c>
      <c r="O222" s="32">
        <v>80105.959999999992</v>
      </c>
      <c r="P222" s="32">
        <f t="shared" si="3"/>
        <v>76563.66</v>
      </c>
      <c r="Q222" s="32"/>
      <c r="R222" s="32"/>
      <c r="S222" s="2"/>
      <c r="T222" s="2"/>
      <c r="V222" s="2"/>
      <c r="W222" s="2"/>
      <c r="X222" s="30"/>
      <c r="Y222" s="30"/>
      <c r="Z222" s="32"/>
      <c r="AA222" s="32"/>
      <c r="AB222" s="32"/>
      <c r="AC222" s="32"/>
      <c r="AD222" s="32"/>
      <c r="AE222" s="32"/>
      <c r="AF222" s="32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 x14ac:dyDescent="0.25">
      <c r="A223" s="2">
        <v>194</v>
      </c>
      <c r="B223" s="2">
        <v>1</v>
      </c>
      <c r="C223" s="2" t="s">
        <v>227</v>
      </c>
      <c r="D223" s="2">
        <v>594</v>
      </c>
      <c r="E223" s="2" t="s">
        <v>230</v>
      </c>
      <c r="F223" s="29">
        <v>1</v>
      </c>
      <c r="G223" s="30" t="s">
        <v>1328</v>
      </c>
      <c r="H223" s="30" t="s">
        <v>1328</v>
      </c>
      <c r="I223" s="37" t="s">
        <v>1328</v>
      </c>
      <c r="J223" s="37" t="s">
        <v>1328</v>
      </c>
      <c r="K223" s="32">
        <v>0</v>
      </c>
      <c r="L223" s="32">
        <v>0</v>
      </c>
      <c r="M223" s="32" t="s">
        <v>1328</v>
      </c>
      <c r="N223" s="32" t="s">
        <v>1328</v>
      </c>
      <c r="O223" s="32">
        <v>0</v>
      </c>
      <c r="P223" s="32">
        <f t="shared" si="3"/>
        <v>0</v>
      </c>
      <c r="Q223" s="32"/>
      <c r="R223" s="32"/>
      <c r="S223" s="2"/>
      <c r="T223" s="2"/>
      <c r="U223" s="2"/>
      <c r="V223" s="2"/>
      <c r="W223" s="2"/>
      <c r="X223" s="30"/>
      <c r="Y223" s="30"/>
      <c r="Z223" s="32"/>
      <c r="AA223" s="32"/>
      <c r="AB223" s="32"/>
      <c r="AC223" s="32"/>
      <c r="AD223" s="32"/>
      <c r="AE223" s="32"/>
      <c r="AF223" s="32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1:50" x14ac:dyDescent="0.25">
      <c r="A224" s="2">
        <v>194</v>
      </c>
      <c r="B224" s="2">
        <v>1</v>
      </c>
      <c r="C224" s="2" t="s">
        <v>227</v>
      </c>
      <c r="D224" s="2">
        <v>595</v>
      </c>
      <c r="E224" s="2" t="s">
        <v>231</v>
      </c>
      <c r="F224" s="29">
        <v>0</v>
      </c>
      <c r="G224" s="30">
        <v>0.90878378378378377</v>
      </c>
      <c r="H224" s="30">
        <v>0.81205673758865249</v>
      </c>
      <c r="I224" s="37">
        <v>481.66</v>
      </c>
      <c r="J224" s="37">
        <v>430.39</v>
      </c>
      <c r="K224" s="32">
        <v>86</v>
      </c>
      <c r="L224" s="32">
        <v>98</v>
      </c>
      <c r="M224" s="32">
        <v>41422.76</v>
      </c>
      <c r="N224" s="32">
        <v>42178.22</v>
      </c>
      <c r="O224" s="32">
        <v>83600.98000000001</v>
      </c>
      <c r="P224" s="32">
        <f t="shared" si="3"/>
        <v>79904.12</v>
      </c>
      <c r="Q224" s="32"/>
      <c r="R224" s="32"/>
      <c r="S224" s="2"/>
      <c r="T224" s="2"/>
      <c r="U224" s="2"/>
      <c r="V224" s="2"/>
      <c r="W224" s="2"/>
      <c r="X224" s="30"/>
      <c r="Y224" s="30"/>
      <c r="Z224" s="32"/>
      <c r="AA224" s="32"/>
      <c r="AB224" s="32"/>
      <c r="AC224" s="32"/>
      <c r="AD224" s="32"/>
      <c r="AE224" s="32"/>
      <c r="AF224" s="32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 x14ac:dyDescent="0.25">
      <c r="A225" s="2">
        <v>194</v>
      </c>
      <c r="B225" s="2">
        <v>1</v>
      </c>
      <c r="C225" s="2" t="s">
        <v>227</v>
      </c>
      <c r="D225" s="2">
        <v>596</v>
      </c>
      <c r="E225" s="2" t="s">
        <v>232</v>
      </c>
      <c r="F225" s="29">
        <v>0</v>
      </c>
      <c r="G225" s="30">
        <v>0.9464285714285714</v>
      </c>
      <c r="H225" s="30">
        <v>0.77659574468085102</v>
      </c>
      <c r="I225" s="37">
        <v>501.61</v>
      </c>
      <c r="J225" s="37">
        <v>411.6</v>
      </c>
      <c r="K225" s="32">
        <v>85</v>
      </c>
      <c r="L225" s="32">
        <v>104</v>
      </c>
      <c r="M225" s="32">
        <v>42636.85</v>
      </c>
      <c r="N225" s="32">
        <v>42806.400000000001</v>
      </c>
      <c r="O225" s="32">
        <v>85443.25</v>
      </c>
      <c r="P225" s="32">
        <f t="shared" si="3"/>
        <v>81664.929999999993</v>
      </c>
      <c r="Q225" s="32"/>
      <c r="R225" s="32"/>
      <c r="S225" s="2"/>
      <c r="T225" s="2"/>
      <c r="U225" s="2"/>
      <c r="V225" s="2"/>
      <c r="W225" s="2"/>
      <c r="X225" s="30"/>
      <c r="Y225" s="30"/>
      <c r="Z225" s="32"/>
      <c r="AA225" s="32"/>
      <c r="AB225" s="32"/>
      <c r="AC225" s="32"/>
      <c r="AD225" s="32"/>
      <c r="AE225" s="32"/>
      <c r="AF225" s="32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1:50" x14ac:dyDescent="0.25">
      <c r="A226">
        <v>194</v>
      </c>
      <c r="B226">
        <v>1</v>
      </c>
      <c r="C226" t="s">
        <v>227</v>
      </c>
      <c r="D226">
        <v>597</v>
      </c>
      <c r="E226" t="s">
        <v>233</v>
      </c>
      <c r="F226" s="1">
        <v>0</v>
      </c>
      <c r="G226" s="30">
        <v>0.95873015873015877</v>
      </c>
      <c r="H226" s="30">
        <v>0.83828382838283833</v>
      </c>
      <c r="I226" s="37">
        <v>508.13</v>
      </c>
      <c r="J226" s="37">
        <v>444.29</v>
      </c>
      <c r="K226" s="32">
        <v>109</v>
      </c>
      <c r="L226" s="32">
        <v>93</v>
      </c>
      <c r="M226" s="32">
        <v>55386.17</v>
      </c>
      <c r="N226" s="32">
        <v>41318.97</v>
      </c>
      <c r="O226" s="32">
        <v>96705.14</v>
      </c>
      <c r="P226" s="32">
        <f t="shared" si="3"/>
        <v>92428.82</v>
      </c>
      <c r="Q226" s="32"/>
      <c r="R226" s="32"/>
      <c r="S226" s="2"/>
      <c r="T226" s="2"/>
      <c r="U226" s="2"/>
      <c r="V226" s="2"/>
      <c r="W226" s="2"/>
      <c r="X226" s="30"/>
      <c r="Y226" s="30"/>
      <c r="Z226" s="32"/>
      <c r="AA226" s="32"/>
      <c r="AB226" s="32"/>
      <c r="AC226" s="32"/>
      <c r="AD226" s="32"/>
      <c r="AE226" s="32"/>
      <c r="AF226" s="32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 x14ac:dyDescent="0.25">
      <c r="A227" s="2">
        <v>194</v>
      </c>
      <c r="B227" s="2">
        <v>1</v>
      </c>
      <c r="C227" s="2" t="s">
        <v>227</v>
      </c>
      <c r="D227" s="2">
        <v>598</v>
      </c>
      <c r="E227" s="2" t="s">
        <v>234</v>
      </c>
      <c r="F227" s="29">
        <v>0</v>
      </c>
      <c r="G227" s="30">
        <v>0.88741721854304634</v>
      </c>
      <c r="H227" s="30">
        <v>0.80696202531645567</v>
      </c>
      <c r="I227" s="37">
        <v>470.33</v>
      </c>
      <c r="J227" s="37">
        <v>427.69</v>
      </c>
      <c r="K227" s="32">
        <v>96</v>
      </c>
      <c r="L227" s="32">
        <v>115</v>
      </c>
      <c r="M227" s="32">
        <v>45151.68</v>
      </c>
      <c r="N227" s="32">
        <v>49184.35</v>
      </c>
      <c r="O227" s="32">
        <v>94336.03</v>
      </c>
      <c r="P227" s="32">
        <f t="shared" si="3"/>
        <v>90164.47</v>
      </c>
      <c r="Q227" s="32"/>
      <c r="R227" s="32"/>
      <c r="W227" s="2"/>
      <c r="X227" s="30"/>
      <c r="Y227" s="30"/>
      <c r="Z227" s="32"/>
      <c r="AA227" s="32"/>
      <c r="AB227" s="32"/>
      <c r="AC227" s="32"/>
      <c r="AD227" s="32"/>
      <c r="AE227" s="32"/>
      <c r="AF227" s="32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spans="1:50" x14ac:dyDescent="0.25">
      <c r="A228" s="2">
        <v>194</v>
      </c>
      <c r="B228" s="2">
        <v>1</v>
      </c>
      <c r="C228" s="2" t="s">
        <v>227</v>
      </c>
      <c r="D228" s="2">
        <v>599</v>
      </c>
      <c r="E228" s="2" t="s">
        <v>235</v>
      </c>
      <c r="F228" s="29">
        <v>0</v>
      </c>
      <c r="G228" s="30">
        <v>0.89090909090909087</v>
      </c>
      <c r="H228" s="30">
        <v>0.76603773584905666</v>
      </c>
      <c r="I228" s="37">
        <v>472.18</v>
      </c>
      <c r="J228" s="37">
        <v>406</v>
      </c>
      <c r="K228" s="32">
        <v>127</v>
      </c>
      <c r="L228" s="32">
        <v>121</v>
      </c>
      <c r="M228" s="32">
        <v>59966.86</v>
      </c>
      <c r="N228" s="32">
        <v>49126</v>
      </c>
      <c r="O228" s="32">
        <v>109092.86</v>
      </c>
      <c r="P228" s="32">
        <f t="shared" si="3"/>
        <v>104268.75</v>
      </c>
      <c r="Q228" s="32"/>
      <c r="R228" s="32"/>
      <c r="S228" s="2"/>
      <c r="T228" s="2"/>
      <c r="U228" s="2"/>
      <c r="V228" s="2"/>
      <c r="W228" s="2"/>
      <c r="X228" s="30"/>
      <c r="Y228" s="30"/>
      <c r="Z228" s="32"/>
      <c r="AA228" s="32"/>
      <c r="AB228" s="32"/>
      <c r="AC228" s="32"/>
      <c r="AD228" s="32"/>
      <c r="AE228" s="32"/>
      <c r="AF228" s="32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x14ac:dyDescent="0.25">
      <c r="A229" s="2">
        <v>195</v>
      </c>
      <c r="B229" s="2">
        <v>1</v>
      </c>
      <c r="C229" s="2" t="s">
        <v>236</v>
      </c>
      <c r="D229" s="2">
        <v>10</v>
      </c>
      <c r="E229" s="2" t="s">
        <v>237</v>
      </c>
      <c r="F229" s="29">
        <v>0</v>
      </c>
      <c r="G229" s="30">
        <v>0.93650793650793651</v>
      </c>
      <c r="H229" s="30">
        <v>0.61739130434782608</v>
      </c>
      <c r="I229" s="37">
        <v>496.35</v>
      </c>
      <c r="J229" s="37">
        <v>327.22000000000003</v>
      </c>
      <c r="K229" s="32">
        <v>56</v>
      </c>
      <c r="L229" s="32">
        <v>34</v>
      </c>
      <c r="M229" s="32">
        <v>27795.599999999999</v>
      </c>
      <c r="N229" s="32">
        <v>11125.48</v>
      </c>
      <c r="O229" s="32">
        <v>38921.08</v>
      </c>
      <c r="P229" s="32">
        <f t="shared" si="3"/>
        <v>37199.980000000003</v>
      </c>
      <c r="Q229" s="32"/>
      <c r="R229" s="32"/>
      <c r="S229" s="2"/>
      <c r="T229" s="2"/>
      <c r="U229" s="2"/>
      <c r="V229" s="2"/>
      <c r="W229" s="2"/>
      <c r="X229" s="30"/>
      <c r="Y229" s="30"/>
      <c r="Z229" s="32"/>
      <c r="AA229" s="32"/>
      <c r="AB229" s="32"/>
      <c r="AC229" s="32"/>
      <c r="AD229" s="32"/>
      <c r="AE229" s="32"/>
      <c r="AF229" s="32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1:50" x14ac:dyDescent="0.25">
      <c r="A230" s="2">
        <v>196</v>
      </c>
      <c r="B230" s="2">
        <v>1</v>
      </c>
      <c r="C230" s="2" t="s">
        <v>1180</v>
      </c>
      <c r="D230" s="2">
        <v>100</v>
      </c>
      <c r="E230" s="2" t="s">
        <v>1181</v>
      </c>
      <c r="F230" s="29">
        <v>1</v>
      </c>
      <c r="G230" s="30" t="s">
        <v>1328</v>
      </c>
      <c r="H230" s="30" t="s">
        <v>1328</v>
      </c>
      <c r="I230" s="37" t="s">
        <v>1328</v>
      </c>
      <c r="J230" s="37" t="s">
        <v>1328</v>
      </c>
      <c r="K230" s="32">
        <v>2</v>
      </c>
      <c r="L230" s="32">
        <v>3</v>
      </c>
      <c r="M230" s="32" t="s">
        <v>1328</v>
      </c>
      <c r="N230" s="32" t="s">
        <v>1328</v>
      </c>
      <c r="O230" s="32">
        <v>1501.67</v>
      </c>
      <c r="P230" s="32">
        <f t="shared" si="3"/>
        <v>1435.27</v>
      </c>
      <c r="Q230" s="32"/>
      <c r="R230" s="32"/>
      <c r="S230" s="2"/>
      <c r="T230" s="2"/>
      <c r="U230" s="2"/>
      <c r="V230" s="2"/>
      <c r="W230" s="2"/>
      <c r="X230" s="30"/>
      <c r="Y230" s="30"/>
      <c r="Z230" s="32"/>
      <c r="AA230" s="32"/>
      <c r="AB230" s="32"/>
      <c r="AC230" s="32"/>
      <c r="AD230" s="32"/>
      <c r="AE230" s="32"/>
      <c r="AF230" s="32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 x14ac:dyDescent="0.25">
      <c r="A231" s="2">
        <v>196</v>
      </c>
      <c r="B231" s="2">
        <v>1</v>
      </c>
      <c r="C231" s="2" t="s">
        <v>238</v>
      </c>
      <c r="D231" s="2">
        <v>705</v>
      </c>
      <c r="E231" s="2" t="s">
        <v>239</v>
      </c>
      <c r="F231" s="29">
        <v>0</v>
      </c>
      <c r="G231" s="30">
        <v>0.85230769230769232</v>
      </c>
      <c r="H231" s="30">
        <v>0.80655737704918029</v>
      </c>
      <c r="I231" s="37">
        <v>451.72</v>
      </c>
      <c r="J231" s="37">
        <v>427.48</v>
      </c>
      <c r="K231" s="32">
        <v>116</v>
      </c>
      <c r="L231" s="32">
        <v>93</v>
      </c>
      <c r="M231" s="32">
        <v>52399.519999999997</v>
      </c>
      <c r="N231" s="32">
        <v>39755.64</v>
      </c>
      <c r="O231" s="32">
        <v>92155.16</v>
      </c>
      <c r="P231" s="32">
        <f t="shared" si="3"/>
        <v>88080.04</v>
      </c>
      <c r="Q231" s="32"/>
      <c r="R231" s="32"/>
      <c r="S231" s="2"/>
      <c r="T231" s="2"/>
      <c r="U231" s="2"/>
      <c r="V231" s="2"/>
      <c r="W231" s="2"/>
      <c r="X231" s="30"/>
      <c r="Y231" s="30"/>
      <c r="Z231" s="32"/>
      <c r="AA231" s="32"/>
      <c r="AB231" s="32"/>
      <c r="AC231" s="32"/>
      <c r="AD231" s="32"/>
      <c r="AE231" s="32"/>
      <c r="AF231" s="32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1:50" x14ac:dyDescent="0.25">
      <c r="A232" s="2">
        <v>196</v>
      </c>
      <c r="B232" s="2">
        <v>1</v>
      </c>
      <c r="C232" s="2" t="s">
        <v>238</v>
      </c>
      <c r="D232" s="2">
        <v>706</v>
      </c>
      <c r="E232" s="2" t="s">
        <v>240</v>
      </c>
      <c r="F232" s="29">
        <v>0</v>
      </c>
      <c r="G232" s="30">
        <v>0.87441860465116283</v>
      </c>
      <c r="H232" s="30">
        <v>0.79735682819383258</v>
      </c>
      <c r="I232" s="37">
        <v>463.44</v>
      </c>
      <c r="J232" s="37">
        <v>422.6</v>
      </c>
      <c r="K232" s="32">
        <v>70</v>
      </c>
      <c r="L232" s="32">
        <v>64</v>
      </c>
      <c r="M232" s="32">
        <v>32440.799999999999</v>
      </c>
      <c r="N232" s="32">
        <v>27046.400000000001</v>
      </c>
      <c r="O232" s="32">
        <v>59487.199999999997</v>
      </c>
      <c r="P232" s="32">
        <f t="shared" si="3"/>
        <v>56856.66</v>
      </c>
      <c r="Q232" s="32"/>
      <c r="R232" s="32"/>
      <c r="S232" s="2"/>
      <c r="T232" s="2"/>
      <c r="U232" s="2"/>
      <c r="V232" s="2"/>
      <c r="W232" s="2"/>
      <c r="X232" s="30"/>
      <c r="Y232" s="30"/>
      <c r="Z232" s="32"/>
      <c r="AA232" s="32"/>
      <c r="AB232" s="32"/>
      <c r="AC232" s="32"/>
      <c r="AD232" s="32"/>
      <c r="AE232" s="32"/>
      <c r="AF232" s="32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 x14ac:dyDescent="0.25">
      <c r="A233" s="2">
        <v>196</v>
      </c>
      <c r="B233" s="2">
        <v>1</v>
      </c>
      <c r="C233" s="2" t="s">
        <v>238</v>
      </c>
      <c r="D233" s="2">
        <v>707</v>
      </c>
      <c r="E233" s="2" t="s">
        <v>241</v>
      </c>
      <c r="F233" s="29">
        <v>0</v>
      </c>
      <c r="G233" s="30">
        <v>0.8112449799196787</v>
      </c>
      <c r="H233" s="30">
        <v>0.79338842975206614</v>
      </c>
      <c r="I233" s="37">
        <v>429.96</v>
      </c>
      <c r="J233" s="37">
        <v>420.5</v>
      </c>
      <c r="K233" s="32">
        <v>83</v>
      </c>
      <c r="L233" s="32">
        <v>72</v>
      </c>
      <c r="M233" s="32">
        <v>35686.68</v>
      </c>
      <c r="N233" s="32">
        <v>30276</v>
      </c>
      <c r="O233" s="32">
        <v>65962.679999999993</v>
      </c>
      <c r="P233" s="32">
        <f t="shared" si="3"/>
        <v>63045.79</v>
      </c>
      <c r="Q233" s="32"/>
      <c r="R233" s="32"/>
      <c r="S233" s="2"/>
      <c r="T233" s="2"/>
      <c r="U233" s="2"/>
      <c r="V233" s="2"/>
      <c r="W233" s="2"/>
      <c r="X233" s="30"/>
      <c r="Y233" s="30"/>
      <c r="Z233" s="32"/>
      <c r="AA233" s="32"/>
      <c r="AB233" s="32"/>
      <c r="AC233" s="32"/>
      <c r="AD233" s="32"/>
      <c r="AE233" s="32"/>
      <c r="AF233" s="32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spans="1:50" x14ac:dyDescent="0.25">
      <c r="A234" s="2">
        <v>196</v>
      </c>
      <c r="B234" s="2">
        <v>1</v>
      </c>
      <c r="C234" s="2" t="s">
        <v>238</v>
      </c>
      <c r="D234" s="2">
        <v>708</v>
      </c>
      <c r="E234" s="2" t="s">
        <v>155</v>
      </c>
      <c r="F234" s="29">
        <v>0</v>
      </c>
      <c r="G234" s="30">
        <v>0.91746031746031742</v>
      </c>
      <c r="H234" s="30">
        <v>0.8152866242038217</v>
      </c>
      <c r="I234" s="37">
        <v>486.25</v>
      </c>
      <c r="J234" s="37">
        <v>432.1</v>
      </c>
      <c r="K234" s="32">
        <v>110</v>
      </c>
      <c r="L234" s="32">
        <v>112</v>
      </c>
      <c r="M234" s="32">
        <v>53487.5</v>
      </c>
      <c r="N234" s="32">
        <v>48395.199999999997</v>
      </c>
      <c r="O234" s="32">
        <v>101882.7</v>
      </c>
      <c r="P234" s="32">
        <f t="shared" si="3"/>
        <v>97377.42</v>
      </c>
      <c r="Q234" s="32"/>
      <c r="R234" s="32"/>
      <c r="S234" s="2"/>
      <c r="T234" s="2"/>
      <c r="U234" s="2"/>
      <c r="V234" s="2"/>
      <c r="W234" s="2"/>
      <c r="X234" s="30"/>
      <c r="Y234" s="30"/>
      <c r="Z234" s="32"/>
      <c r="AA234" s="32"/>
      <c r="AB234" s="32"/>
      <c r="AC234" s="32"/>
      <c r="AD234" s="32"/>
      <c r="AE234" s="32"/>
      <c r="AF234" s="32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 x14ac:dyDescent="0.25">
      <c r="A235" s="2">
        <v>196</v>
      </c>
      <c r="B235" s="2">
        <v>1</v>
      </c>
      <c r="C235" s="2" t="s">
        <v>238</v>
      </c>
      <c r="D235" s="2">
        <v>709</v>
      </c>
      <c r="E235" s="2" t="s">
        <v>242</v>
      </c>
      <c r="F235" s="29">
        <v>0</v>
      </c>
      <c r="G235" s="30">
        <v>0.79695431472081213</v>
      </c>
      <c r="H235" s="30">
        <v>0.81147540983606559</v>
      </c>
      <c r="I235" s="37">
        <v>422.39</v>
      </c>
      <c r="J235" s="37">
        <v>430.08</v>
      </c>
      <c r="K235" s="32">
        <v>140</v>
      </c>
      <c r="L235" s="32">
        <v>134</v>
      </c>
      <c r="M235" s="32">
        <v>59134.6</v>
      </c>
      <c r="N235" s="32">
        <v>57630.720000000001</v>
      </c>
      <c r="O235" s="32">
        <v>116765.32</v>
      </c>
      <c r="P235" s="32">
        <f t="shared" si="3"/>
        <v>111601.93</v>
      </c>
      <c r="Q235" s="32"/>
      <c r="R235" s="32"/>
      <c r="S235" s="2"/>
      <c r="T235" s="2"/>
      <c r="U235" s="2"/>
      <c r="V235" s="2"/>
      <c r="W235" s="2"/>
      <c r="X235" s="30"/>
      <c r="Y235" s="30"/>
      <c r="Z235" s="32"/>
      <c r="AA235" s="32"/>
      <c r="AB235" s="32"/>
      <c r="AC235" s="32"/>
      <c r="AD235" s="32"/>
      <c r="AE235" s="32"/>
      <c r="AF235" s="32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spans="1:50" x14ac:dyDescent="0.25">
      <c r="A236" s="2">
        <v>196</v>
      </c>
      <c r="B236" s="2">
        <v>1</v>
      </c>
      <c r="C236" s="2" t="s">
        <v>238</v>
      </c>
      <c r="D236" s="2">
        <v>710</v>
      </c>
      <c r="E236" s="2" t="s">
        <v>243</v>
      </c>
      <c r="F236" s="29">
        <v>0</v>
      </c>
      <c r="G236" s="30">
        <v>0.86458333333333337</v>
      </c>
      <c r="H236" s="30">
        <v>0.74022346368715086</v>
      </c>
      <c r="I236" s="37">
        <v>458.23</v>
      </c>
      <c r="J236" s="37">
        <v>392.32</v>
      </c>
      <c r="K236" s="32">
        <v>140</v>
      </c>
      <c r="L236" s="32">
        <v>140</v>
      </c>
      <c r="M236" s="32">
        <v>64152.2</v>
      </c>
      <c r="N236" s="32">
        <v>54924.800000000003</v>
      </c>
      <c r="O236" s="32">
        <v>119077</v>
      </c>
      <c r="P236" s="32">
        <f t="shared" si="3"/>
        <v>113811.39</v>
      </c>
      <c r="Q236" s="32"/>
      <c r="R236" s="32"/>
      <c r="S236" s="2"/>
      <c r="T236" s="2"/>
      <c r="U236" s="2"/>
      <c r="V236" s="2"/>
      <c r="W236" s="2"/>
      <c r="X236" s="30"/>
      <c r="Y236" s="30"/>
      <c r="Z236" s="32"/>
      <c r="AA236" s="32"/>
      <c r="AB236" s="32"/>
      <c r="AC236" s="32"/>
      <c r="AD236" s="32"/>
      <c r="AE236" s="32"/>
      <c r="AF236" s="32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 x14ac:dyDescent="0.25">
      <c r="A237" s="2">
        <v>196</v>
      </c>
      <c r="B237" s="2">
        <v>1</v>
      </c>
      <c r="C237" s="2" t="s">
        <v>238</v>
      </c>
      <c r="D237" s="2">
        <v>711</v>
      </c>
      <c r="E237" s="2" t="s">
        <v>244</v>
      </c>
      <c r="F237" s="29">
        <v>0</v>
      </c>
      <c r="G237" s="30">
        <v>0.86529680365296802</v>
      </c>
      <c r="H237" s="30">
        <v>0.82254196642685851</v>
      </c>
      <c r="I237" s="37">
        <v>458.61</v>
      </c>
      <c r="J237" s="37">
        <v>435.95</v>
      </c>
      <c r="K237" s="32">
        <v>162</v>
      </c>
      <c r="L237" s="32">
        <v>128</v>
      </c>
      <c r="M237" s="32">
        <v>74294.820000000007</v>
      </c>
      <c r="N237" s="32">
        <v>55801.599999999999</v>
      </c>
      <c r="O237" s="32">
        <v>130096.42000000001</v>
      </c>
      <c r="P237" s="32">
        <f t="shared" si="3"/>
        <v>124343.53</v>
      </c>
      <c r="Q237" s="32"/>
      <c r="R237" s="32"/>
      <c r="S237" s="2"/>
      <c r="T237" s="2"/>
      <c r="U237" s="2"/>
      <c r="V237" s="2"/>
      <c r="W237" s="2"/>
      <c r="X237" s="30"/>
      <c r="Y237" s="30"/>
      <c r="Z237" s="32"/>
      <c r="AA237" s="32"/>
      <c r="AB237" s="32"/>
      <c r="AC237" s="32"/>
      <c r="AD237" s="32"/>
      <c r="AE237" s="32"/>
      <c r="AF237" s="32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1:50" x14ac:dyDescent="0.25">
      <c r="A238" s="2">
        <v>196</v>
      </c>
      <c r="B238" s="2">
        <v>1</v>
      </c>
      <c r="C238" s="2" t="s">
        <v>238</v>
      </c>
      <c r="D238" s="2">
        <v>712</v>
      </c>
      <c r="E238" s="2" t="s">
        <v>245</v>
      </c>
      <c r="F238" s="29">
        <v>0</v>
      </c>
      <c r="G238" s="30">
        <v>0.80064308681672025</v>
      </c>
      <c r="H238" s="30">
        <v>0.73076923076923073</v>
      </c>
      <c r="I238" s="37">
        <v>424.34</v>
      </c>
      <c r="J238" s="37">
        <v>387.31</v>
      </c>
      <c r="K238" s="32">
        <v>103</v>
      </c>
      <c r="L238" s="32">
        <v>106</v>
      </c>
      <c r="M238" s="32">
        <v>43707.02</v>
      </c>
      <c r="N238" s="32">
        <v>41054.86</v>
      </c>
      <c r="O238" s="32">
        <v>84761.88</v>
      </c>
      <c r="P238" s="32">
        <f t="shared" si="3"/>
        <v>81013.69</v>
      </c>
      <c r="Q238" s="32"/>
      <c r="R238" s="32"/>
      <c r="S238" s="2"/>
      <c r="T238" s="2"/>
      <c r="U238" s="2"/>
      <c r="V238" s="2"/>
      <c r="W238" s="2"/>
      <c r="X238" s="30"/>
      <c r="Y238" s="30"/>
      <c r="Z238" s="32"/>
      <c r="AA238" s="32"/>
      <c r="AB238" s="32"/>
      <c r="AC238" s="32"/>
      <c r="AD238" s="32"/>
      <c r="AE238" s="32"/>
      <c r="AF238" s="32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 x14ac:dyDescent="0.25">
      <c r="A239" s="2">
        <v>196</v>
      </c>
      <c r="B239" s="2">
        <v>1</v>
      </c>
      <c r="C239" s="2" t="s">
        <v>238</v>
      </c>
      <c r="D239" s="2">
        <v>713</v>
      </c>
      <c r="E239" s="2" t="s">
        <v>246</v>
      </c>
      <c r="F239" s="29">
        <v>0</v>
      </c>
      <c r="G239" s="30">
        <v>0.88405797101449279</v>
      </c>
      <c r="H239" s="30">
        <v>0.85</v>
      </c>
      <c r="I239" s="37">
        <v>468.55</v>
      </c>
      <c r="J239" s="37">
        <v>450.5</v>
      </c>
      <c r="K239" s="32">
        <v>78</v>
      </c>
      <c r="L239" s="32">
        <v>55</v>
      </c>
      <c r="M239" s="32">
        <v>36546.9</v>
      </c>
      <c r="N239" s="32">
        <v>24777.5</v>
      </c>
      <c r="O239" s="32">
        <v>61324.4</v>
      </c>
      <c r="P239" s="32">
        <f t="shared" si="3"/>
        <v>58612.62</v>
      </c>
      <c r="Q239" s="32"/>
      <c r="R239" s="32"/>
      <c r="S239" s="2"/>
      <c r="T239" s="2"/>
      <c r="U239" s="2"/>
      <c r="V239" s="2"/>
      <c r="W239" s="2"/>
      <c r="X239" s="30"/>
      <c r="Y239" s="30"/>
      <c r="Z239" s="32"/>
      <c r="AA239" s="32"/>
      <c r="AB239" s="32"/>
      <c r="AC239" s="32"/>
      <c r="AD239" s="32"/>
      <c r="AE239" s="32"/>
      <c r="AF239" s="32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spans="1:50" x14ac:dyDescent="0.25">
      <c r="A240" s="7">
        <v>196</v>
      </c>
      <c r="B240" s="7">
        <v>1</v>
      </c>
      <c r="C240" s="7" t="s">
        <v>238</v>
      </c>
      <c r="D240" s="7">
        <v>714</v>
      </c>
      <c r="E240" s="7" t="s">
        <v>247</v>
      </c>
      <c r="F240" s="38">
        <v>0</v>
      </c>
      <c r="G240" s="30">
        <v>0.84164222873900296</v>
      </c>
      <c r="H240" s="30">
        <v>0.7528089887640449</v>
      </c>
      <c r="I240" s="37">
        <v>446.07</v>
      </c>
      <c r="J240" s="37">
        <v>398.99</v>
      </c>
      <c r="K240" s="32">
        <v>101</v>
      </c>
      <c r="L240" s="32">
        <v>130</v>
      </c>
      <c r="M240" s="32">
        <v>45053.07</v>
      </c>
      <c r="N240" s="32">
        <v>51868.7</v>
      </c>
      <c r="O240" s="32">
        <v>96921.76999999999</v>
      </c>
      <c r="P240" s="32">
        <f t="shared" si="3"/>
        <v>92635.87</v>
      </c>
      <c r="Q240" s="32"/>
      <c r="R240" s="32"/>
      <c r="S240" s="2"/>
      <c r="T240" s="2"/>
      <c r="U240" s="2"/>
      <c r="V240" s="2"/>
      <c r="W240" s="2"/>
      <c r="X240" s="30"/>
      <c r="Y240" s="30"/>
      <c r="Z240" s="32"/>
      <c r="AA240" s="32"/>
      <c r="AB240" s="32"/>
      <c r="AC240" s="32"/>
      <c r="AD240" s="32"/>
      <c r="AE240" s="32"/>
      <c r="AF240" s="32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 x14ac:dyDescent="0.25">
      <c r="A241" s="2">
        <v>196</v>
      </c>
      <c r="B241" s="2">
        <v>1</v>
      </c>
      <c r="C241" s="2" t="s">
        <v>238</v>
      </c>
      <c r="D241" s="2">
        <v>715</v>
      </c>
      <c r="E241" s="2" t="s">
        <v>87</v>
      </c>
      <c r="F241" s="29">
        <v>0</v>
      </c>
      <c r="G241" s="30">
        <v>0.86274509803921573</v>
      </c>
      <c r="H241" s="30">
        <v>0.8825503355704698</v>
      </c>
      <c r="I241" s="37">
        <v>457.25</v>
      </c>
      <c r="J241" s="37">
        <v>467.75</v>
      </c>
      <c r="K241" s="32">
        <v>112</v>
      </c>
      <c r="L241" s="32">
        <v>106</v>
      </c>
      <c r="M241" s="32">
        <v>51212</v>
      </c>
      <c r="N241" s="32">
        <v>49581.5</v>
      </c>
      <c r="O241" s="32">
        <v>100793.5</v>
      </c>
      <c r="P241" s="32">
        <f t="shared" si="3"/>
        <v>96336.39</v>
      </c>
      <c r="Q241" s="32"/>
      <c r="R241" s="32"/>
      <c r="S241" s="7"/>
      <c r="T241" s="7"/>
      <c r="U241" s="7"/>
      <c r="V241" s="7"/>
      <c r="W241" s="2"/>
      <c r="X241" s="30"/>
      <c r="Y241" s="30"/>
      <c r="Z241" s="32"/>
      <c r="AA241" s="32"/>
      <c r="AB241" s="32"/>
      <c r="AC241" s="32"/>
      <c r="AD241" s="32"/>
      <c r="AE241" s="32"/>
      <c r="AF241" s="32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spans="1:50" x14ac:dyDescent="0.25">
      <c r="A242" s="2">
        <v>196</v>
      </c>
      <c r="B242" s="2">
        <v>1</v>
      </c>
      <c r="C242" s="2" t="s">
        <v>238</v>
      </c>
      <c r="D242" s="2">
        <v>716</v>
      </c>
      <c r="E242" s="2" t="s">
        <v>248</v>
      </c>
      <c r="F242" s="29">
        <v>0</v>
      </c>
      <c r="G242" s="30">
        <v>0.87545787545787546</v>
      </c>
      <c r="H242" s="30">
        <v>0.90677966101694918</v>
      </c>
      <c r="I242" s="37">
        <v>463.99</v>
      </c>
      <c r="J242" s="37">
        <v>480.59</v>
      </c>
      <c r="K242" s="32">
        <v>107</v>
      </c>
      <c r="L242" s="32">
        <v>92</v>
      </c>
      <c r="M242" s="32">
        <v>49646.93</v>
      </c>
      <c r="N242" s="32">
        <v>44214.28</v>
      </c>
      <c r="O242" s="32">
        <v>93861.209999999992</v>
      </c>
      <c r="P242" s="32">
        <f t="shared" si="3"/>
        <v>89710.64</v>
      </c>
      <c r="Q242" s="32"/>
      <c r="R242" s="32"/>
      <c r="S242" s="2"/>
      <c r="T242" s="2"/>
      <c r="U242" s="2"/>
      <c r="V242" s="2"/>
      <c r="W242" s="2"/>
      <c r="X242" s="30"/>
      <c r="Y242" s="30"/>
      <c r="Z242" s="32"/>
      <c r="AA242" s="32"/>
      <c r="AB242" s="32"/>
      <c r="AC242" s="32"/>
      <c r="AD242" s="32"/>
      <c r="AE242" s="32"/>
      <c r="AF242" s="32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 x14ac:dyDescent="0.25">
      <c r="A243" s="2">
        <v>196</v>
      </c>
      <c r="B243" s="2">
        <v>1</v>
      </c>
      <c r="C243" s="2" t="s">
        <v>238</v>
      </c>
      <c r="D243" s="2">
        <v>717</v>
      </c>
      <c r="E243" s="2" t="s">
        <v>249</v>
      </c>
      <c r="F243" s="29">
        <v>0</v>
      </c>
      <c r="G243" s="30">
        <v>0.85317460317460314</v>
      </c>
      <c r="H243" s="30">
        <v>0.80722891566265065</v>
      </c>
      <c r="I243" s="37">
        <v>452.18</v>
      </c>
      <c r="J243" s="37">
        <v>427.83</v>
      </c>
      <c r="K243" s="32">
        <v>79</v>
      </c>
      <c r="L243" s="32">
        <v>82</v>
      </c>
      <c r="M243" s="32">
        <v>35722.22</v>
      </c>
      <c r="N243" s="32">
        <v>35082.06</v>
      </c>
      <c r="O243" s="32">
        <v>70804.28</v>
      </c>
      <c r="P243" s="32">
        <f t="shared" si="3"/>
        <v>67673.3</v>
      </c>
      <c r="Q243" s="32"/>
      <c r="R243" s="32"/>
      <c r="S243" s="2"/>
      <c r="T243" s="2"/>
      <c r="U243" s="2"/>
      <c r="V243" s="2"/>
      <c r="W243" s="2"/>
      <c r="X243" s="30"/>
      <c r="Y243" s="30"/>
      <c r="Z243" s="32"/>
      <c r="AA243" s="32"/>
      <c r="AB243" s="32"/>
      <c r="AC243" s="32"/>
      <c r="AD243" s="32"/>
      <c r="AE243" s="32"/>
      <c r="AF243" s="32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1:50" x14ac:dyDescent="0.25">
      <c r="A244" s="2">
        <v>196</v>
      </c>
      <c r="B244" s="2">
        <v>1</v>
      </c>
      <c r="C244" s="2" t="s">
        <v>238</v>
      </c>
      <c r="D244" s="2">
        <v>718</v>
      </c>
      <c r="E244" s="2" t="s">
        <v>250</v>
      </c>
      <c r="F244" s="29">
        <v>0</v>
      </c>
      <c r="G244" s="30">
        <v>0.90935672514619881</v>
      </c>
      <c r="H244" s="30">
        <v>0.84411764705882353</v>
      </c>
      <c r="I244" s="37">
        <v>481.96</v>
      </c>
      <c r="J244" s="37">
        <v>447.38</v>
      </c>
      <c r="K244" s="32">
        <v>117</v>
      </c>
      <c r="L244" s="32">
        <v>105</v>
      </c>
      <c r="M244" s="32">
        <v>56389.32</v>
      </c>
      <c r="N244" s="32">
        <v>46974.9</v>
      </c>
      <c r="O244" s="32">
        <v>103364.22</v>
      </c>
      <c r="P244" s="32">
        <f t="shared" si="3"/>
        <v>98793.43</v>
      </c>
      <c r="Q244" s="32"/>
      <c r="R244" s="32"/>
      <c r="S244" s="2"/>
      <c r="T244" s="2"/>
      <c r="U244" s="2"/>
      <c r="V244" s="2"/>
      <c r="W244" s="2"/>
      <c r="X244" s="30"/>
      <c r="Y244" s="30"/>
      <c r="Z244" s="32"/>
      <c r="AA244" s="32"/>
      <c r="AB244" s="32"/>
      <c r="AC244" s="32"/>
      <c r="AD244" s="32"/>
      <c r="AE244" s="32"/>
      <c r="AF244" s="32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 x14ac:dyDescent="0.25">
      <c r="A245" s="2">
        <v>196</v>
      </c>
      <c r="B245" s="2">
        <v>1</v>
      </c>
      <c r="C245" s="2" t="s">
        <v>238</v>
      </c>
      <c r="D245" s="2">
        <v>719</v>
      </c>
      <c r="E245" s="2" t="s">
        <v>251</v>
      </c>
      <c r="F245" s="29">
        <v>0</v>
      </c>
      <c r="G245" s="30">
        <v>0.87765957446808507</v>
      </c>
      <c r="H245" s="30">
        <v>0.89945652173913049</v>
      </c>
      <c r="I245" s="37">
        <v>465.16</v>
      </c>
      <c r="J245" s="37">
        <v>476.71</v>
      </c>
      <c r="K245" s="32">
        <v>129</v>
      </c>
      <c r="L245" s="32">
        <v>127</v>
      </c>
      <c r="M245" s="32">
        <v>60005.64</v>
      </c>
      <c r="N245" s="32">
        <v>60542.17</v>
      </c>
      <c r="O245" s="32">
        <v>120547.81</v>
      </c>
      <c r="P245" s="32">
        <f t="shared" si="3"/>
        <v>115217.16</v>
      </c>
      <c r="Q245" s="32"/>
      <c r="R245" s="32"/>
      <c r="S245" s="2"/>
      <c r="T245" s="2"/>
      <c r="U245" s="2"/>
      <c r="V245" s="2"/>
      <c r="W245" s="2"/>
      <c r="X245" s="30"/>
      <c r="Y245" s="30"/>
      <c r="Z245" s="32"/>
      <c r="AA245" s="32"/>
      <c r="AB245" s="32"/>
      <c r="AC245" s="32"/>
      <c r="AD245" s="32"/>
      <c r="AE245" s="32"/>
      <c r="AF245" s="32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1:50" x14ac:dyDescent="0.25">
      <c r="A246" s="2">
        <v>196</v>
      </c>
      <c r="B246" s="2">
        <v>1</v>
      </c>
      <c r="C246" s="2" t="s">
        <v>238</v>
      </c>
      <c r="D246" s="2">
        <v>720</v>
      </c>
      <c r="E246" s="2" t="s">
        <v>252</v>
      </c>
      <c r="F246" s="29">
        <v>0</v>
      </c>
      <c r="G246" s="30">
        <v>0.80743243243243246</v>
      </c>
      <c r="H246" s="30">
        <v>0.84320557491289194</v>
      </c>
      <c r="I246" s="37">
        <v>427.94</v>
      </c>
      <c r="J246" s="37">
        <v>446.9</v>
      </c>
      <c r="K246" s="32">
        <v>98</v>
      </c>
      <c r="L246" s="32">
        <v>102</v>
      </c>
      <c r="M246" s="32">
        <v>41938.120000000003</v>
      </c>
      <c r="N246" s="32">
        <v>45583.8</v>
      </c>
      <c r="O246" s="32">
        <v>87521.920000000013</v>
      </c>
      <c r="P246" s="32">
        <f t="shared" si="3"/>
        <v>83651.679999999993</v>
      </c>
      <c r="Q246" s="32"/>
      <c r="R246" s="32"/>
      <c r="S246" s="2"/>
      <c r="T246" s="2"/>
      <c r="U246" s="2"/>
      <c r="V246" s="2"/>
      <c r="W246" s="2"/>
      <c r="X246" s="30"/>
      <c r="Y246" s="30"/>
      <c r="Z246" s="32"/>
      <c r="AA246" s="32"/>
      <c r="AB246" s="32"/>
      <c r="AC246" s="32"/>
      <c r="AD246" s="32"/>
      <c r="AE246" s="32"/>
      <c r="AF246" s="32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 x14ac:dyDescent="0.25">
      <c r="A247" s="2">
        <v>196</v>
      </c>
      <c r="B247" s="2">
        <v>1</v>
      </c>
      <c r="C247" s="2" t="s">
        <v>238</v>
      </c>
      <c r="D247" s="2">
        <v>764</v>
      </c>
      <c r="E247" s="2" t="s">
        <v>253</v>
      </c>
      <c r="F247" s="29">
        <v>0</v>
      </c>
      <c r="G247" s="30">
        <v>0.87813620071684584</v>
      </c>
      <c r="H247" s="30">
        <v>0.85321100917431192</v>
      </c>
      <c r="I247" s="37">
        <v>465.41</v>
      </c>
      <c r="J247" s="37">
        <v>452.2</v>
      </c>
      <c r="K247" s="32">
        <v>120</v>
      </c>
      <c r="L247" s="32">
        <v>83</v>
      </c>
      <c r="M247" s="32">
        <v>55849.2</v>
      </c>
      <c r="N247" s="32">
        <v>37532.6</v>
      </c>
      <c r="O247" s="32">
        <v>93381.799999999988</v>
      </c>
      <c r="P247" s="32">
        <f t="shared" si="3"/>
        <v>89252.43</v>
      </c>
      <c r="Q247" s="32"/>
      <c r="R247" s="32"/>
      <c r="S247" s="2"/>
      <c r="T247" s="2"/>
      <c r="U247" s="2"/>
      <c r="V247" s="2"/>
      <c r="W247" s="2"/>
      <c r="X247" s="30"/>
      <c r="Y247" s="30"/>
      <c r="Z247" s="32"/>
      <c r="AA247" s="32"/>
      <c r="AB247" s="32"/>
      <c r="AC247" s="32"/>
      <c r="AD247" s="32"/>
      <c r="AE247" s="32"/>
      <c r="AF247" s="32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spans="1:50" x14ac:dyDescent="0.25">
      <c r="A248">
        <v>196</v>
      </c>
      <c r="B248" s="2">
        <v>1</v>
      </c>
      <c r="C248" s="2" t="s">
        <v>238</v>
      </c>
      <c r="D248">
        <v>765</v>
      </c>
      <c r="E248" s="2" t="s">
        <v>254</v>
      </c>
      <c r="F248" s="29">
        <v>0</v>
      </c>
      <c r="G248" s="30">
        <v>0.87117903930131002</v>
      </c>
      <c r="H248" s="30">
        <v>0.84175824175824177</v>
      </c>
      <c r="I248" s="37">
        <v>461.72</v>
      </c>
      <c r="J248" s="37">
        <v>446.13</v>
      </c>
      <c r="K248" s="32">
        <v>167</v>
      </c>
      <c r="L248" s="32">
        <v>143</v>
      </c>
      <c r="M248" s="32">
        <v>77107.240000000005</v>
      </c>
      <c r="N248" s="32">
        <v>63796.59</v>
      </c>
      <c r="O248" s="32">
        <v>140903.83000000002</v>
      </c>
      <c r="P248" s="32">
        <f t="shared" si="3"/>
        <v>134673.03</v>
      </c>
      <c r="Q248" s="32"/>
      <c r="R248" s="32"/>
      <c r="S248" s="2"/>
      <c r="T248" s="2"/>
      <c r="U248" s="2"/>
      <c r="V248" s="2"/>
      <c r="W248" s="2"/>
      <c r="X248" s="30"/>
      <c r="Y248" s="30"/>
      <c r="Z248" s="32"/>
      <c r="AA248" s="32"/>
      <c r="AB248" s="32"/>
      <c r="AC248" s="32"/>
      <c r="AD248" s="32"/>
      <c r="AE248" s="32"/>
      <c r="AF248" s="32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 x14ac:dyDescent="0.25">
      <c r="A249">
        <v>197</v>
      </c>
      <c r="B249">
        <v>1</v>
      </c>
      <c r="C249" t="s">
        <v>255</v>
      </c>
      <c r="D249">
        <v>815</v>
      </c>
      <c r="E249" t="s">
        <v>256</v>
      </c>
      <c r="F249" s="1">
        <v>0</v>
      </c>
      <c r="G249" s="30">
        <v>0.64646464646464652</v>
      </c>
      <c r="H249" s="30">
        <v>0.77966101694915257</v>
      </c>
      <c r="I249" s="37">
        <v>342.63</v>
      </c>
      <c r="J249" s="37">
        <v>413.22</v>
      </c>
      <c r="K249" s="32">
        <v>77</v>
      </c>
      <c r="L249" s="32">
        <v>60</v>
      </c>
      <c r="M249" s="32">
        <v>26382.51</v>
      </c>
      <c r="N249" s="32">
        <v>24793.200000000001</v>
      </c>
      <c r="O249" s="32">
        <v>51175.71</v>
      </c>
      <c r="P249" s="32">
        <f t="shared" si="3"/>
        <v>48912.71</v>
      </c>
      <c r="Q249" s="32"/>
      <c r="R249" s="32"/>
      <c r="S249" s="2"/>
      <c r="T249" s="2"/>
      <c r="V249" s="2"/>
      <c r="W249" s="2"/>
      <c r="X249" s="30"/>
      <c r="Y249" s="30"/>
      <c r="Z249" s="32"/>
      <c r="AA249" s="32"/>
      <c r="AB249" s="32"/>
      <c r="AC249" s="32"/>
      <c r="AD249" s="32"/>
      <c r="AE249" s="32"/>
      <c r="AF249" s="32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spans="1:50" x14ac:dyDescent="0.25">
      <c r="A250" s="2">
        <v>197</v>
      </c>
      <c r="B250" s="2">
        <v>1</v>
      </c>
      <c r="C250" s="2" t="s">
        <v>255</v>
      </c>
      <c r="D250" s="2">
        <v>816</v>
      </c>
      <c r="E250" s="2" t="s">
        <v>257</v>
      </c>
      <c r="F250" s="29">
        <v>0</v>
      </c>
      <c r="G250" s="30">
        <v>0.89080459770114939</v>
      </c>
      <c r="H250" s="30">
        <v>0.80748663101604279</v>
      </c>
      <c r="I250" s="37">
        <v>472.13</v>
      </c>
      <c r="J250" s="37">
        <v>427.97</v>
      </c>
      <c r="K250" s="32">
        <v>50</v>
      </c>
      <c r="L250" s="32">
        <v>64</v>
      </c>
      <c r="M250" s="32">
        <v>23606.5</v>
      </c>
      <c r="N250" s="32">
        <v>27390.080000000002</v>
      </c>
      <c r="O250" s="32">
        <v>50996.58</v>
      </c>
      <c r="P250" s="32">
        <f t="shared" si="3"/>
        <v>48741.5</v>
      </c>
      <c r="Q250" s="32"/>
      <c r="R250" s="32"/>
      <c r="W250" s="2"/>
      <c r="X250" s="30"/>
      <c r="Y250" s="30"/>
      <c r="Z250" s="32"/>
      <c r="AA250" s="32"/>
      <c r="AB250" s="32"/>
      <c r="AC250" s="32"/>
      <c r="AD250" s="32"/>
      <c r="AE250" s="32"/>
      <c r="AF250" s="32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 x14ac:dyDescent="0.25">
      <c r="A251" s="2">
        <v>197</v>
      </c>
      <c r="B251" s="2">
        <v>1</v>
      </c>
      <c r="C251" s="2" t="s">
        <v>255</v>
      </c>
      <c r="D251" s="2">
        <v>817</v>
      </c>
      <c r="E251" s="2" t="s">
        <v>258</v>
      </c>
      <c r="F251" s="29">
        <v>0</v>
      </c>
      <c r="G251" s="30">
        <v>0.57641921397379914</v>
      </c>
      <c r="H251" s="30">
        <v>0.71808510638297873</v>
      </c>
      <c r="I251" s="37">
        <v>305.5</v>
      </c>
      <c r="J251" s="37">
        <v>380.59</v>
      </c>
      <c r="K251" s="32">
        <v>87</v>
      </c>
      <c r="L251" s="32">
        <v>81</v>
      </c>
      <c r="M251" s="32">
        <v>26578.5</v>
      </c>
      <c r="N251" s="32">
        <v>30827.79</v>
      </c>
      <c r="O251" s="32">
        <v>57406.29</v>
      </c>
      <c r="P251" s="32">
        <f t="shared" si="3"/>
        <v>54867.77</v>
      </c>
      <c r="Q251" s="32"/>
      <c r="R251" s="32"/>
      <c r="S251" s="2"/>
      <c r="T251" s="2"/>
      <c r="U251" s="2"/>
      <c r="V251" s="2"/>
      <c r="W251" s="2"/>
      <c r="X251" s="30"/>
      <c r="Y251" s="30"/>
      <c r="Z251" s="32"/>
      <c r="AA251" s="32"/>
      <c r="AB251" s="32"/>
      <c r="AC251" s="32"/>
      <c r="AD251" s="32"/>
      <c r="AE251" s="32"/>
      <c r="AF251" s="32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1:50" x14ac:dyDescent="0.25">
      <c r="A252" s="2">
        <v>197</v>
      </c>
      <c r="B252" s="2">
        <v>1</v>
      </c>
      <c r="C252" s="2" t="s">
        <v>255</v>
      </c>
      <c r="D252" s="2">
        <v>819</v>
      </c>
      <c r="E252" s="2" t="s">
        <v>259</v>
      </c>
      <c r="F252" s="29">
        <v>0</v>
      </c>
      <c r="G252" s="30">
        <v>0.95515695067264572</v>
      </c>
      <c r="H252" s="30">
        <v>0.80952380952380953</v>
      </c>
      <c r="I252" s="37">
        <v>506.23</v>
      </c>
      <c r="J252" s="37">
        <v>429.05</v>
      </c>
      <c r="K252" s="32">
        <v>74</v>
      </c>
      <c r="L252" s="32">
        <v>81</v>
      </c>
      <c r="M252" s="32">
        <v>37461.019999999997</v>
      </c>
      <c r="N252" s="32">
        <v>34753.050000000003</v>
      </c>
      <c r="O252" s="32">
        <v>72214.070000000007</v>
      </c>
      <c r="P252" s="32">
        <f t="shared" si="3"/>
        <v>69020.75</v>
      </c>
      <c r="Q252" s="32"/>
      <c r="R252" s="32"/>
      <c r="S252" s="2"/>
      <c r="T252" s="2"/>
      <c r="U252" s="2"/>
      <c r="V252" s="2"/>
      <c r="W252" s="2"/>
      <c r="X252" s="30"/>
      <c r="Y252" s="30"/>
      <c r="Z252" s="32"/>
      <c r="AA252" s="32"/>
      <c r="AB252" s="32"/>
      <c r="AC252" s="32"/>
      <c r="AD252" s="32"/>
      <c r="AE252" s="32"/>
      <c r="AF252" s="32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1:50" x14ac:dyDescent="0.25">
      <c r="A253" s="2">
        <v>197</v>
      </c>
      <c r="B253" s="2">
        <v>1</v>
      </c>
      <c r="C253" s="2" t="s">
        <v>255</v>
      </c>
      <c r="D253" s="2">
        <v>820</v>
      </c>
      <c r="E253" s="2" t="s">
        <v>260</v>
      </c>
      <c r="F253" s="29">
        <v>0</v>
      </c>
      <c r="G253" s="30">
        <v>0.80952380952380953</v>
      </c>
      <c r="H253" s="30">
        <v>0.76190476190476186</v>
      </c>
      <c r="I253" s="37">
        <v>429.05</v>
      </c>
      <c r="J253" s="37">
        <v>403.81</v>
      </c>
      <c r="K253" s="32">
        <v>52</v>
      </c>
      <c r="L253" s="32">
        <v>58</v>
      </c>
      <c r="M253" s="32">
        <v>22310.6</v>
      </c>
      <c r="N253" s="32">
        <v>23420.98</v>
      </c>
      <c r="O253" s="32">
        <v>45731.58</v>
      </c>
      <c r="P253" s="32">
        <f t="shared" si="3"/>
        <v>43709.32</v>
      </c>
      <c r="Q253" s="32"/>
      <c r="R253" s="32"/>
      <c r="S253" s="2"/>
      <c r="T253" s="2"/>
      <c r="U253" s="2"/>
      <c r="V253" s="2"/>
      <c r="W253" s="2"/>
      <c r="X253" s="30"/>
      <c r="Y253" s="30"/>
      <c r="Z253" s="32"/>
      <c r="AA253" s="32"/>
      <c r="AB253" s="32"/>
      <c r="AC253" s="32"/>
      <c r="AD253" s="32"/>
      <c r="AE253" s="32"/>
      <c r="AF253" s="32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spans="1:50" x14ac:dyDescent="0.25">
      <c r="A254" s="2">
        <v>199</v>
      </c>
      <c r="B254" s="2">
        <v>1</v>
      </c>
      <c r="C254" s="2" t="s">
        <v>261</v>
      </c>
      <c r="D254" s="2">
        <v>574</v>
      </c>
      <c r="E254" s="2" t="s">
        <v>262</v>
      </c>
      <c r="F254" s="29">
        <v>0</v>
      </c>
      <c r="G254" s="30">
        <v>0.98958333333333337</v>
      </c>
      <c r="H254" s="30">
        <v>0.92222222222222228</v>
      </c>
      <c r="I254" s="37">
        <v>524.48</v>
      </c>
      <c r="J254" s="37">
        <v>488.78</v>
      </c>
      <c r="K254" s="32">
        <v>32</v>
      </c>
      <c r="L254" s="32">
        <v>27</v>
      </c>
      <c r="M254" s="32">
        <v>16783.36</v>
      </c>
      <c r="N254" s="32">
        <v>13197.06</v>
      </c>
      <c r="O254" s="32">
        <v>29980.42</v>
      </c>
      <c r="P254" s="32">
        <f t="shared" si="3"/>
        <v>28654.68</v>
      </c>
      <c r="Q254" s="32"/>
      <c r="R254" s="32"/>
      <c r="S254" s="2"/>
      <c r="T254" s="2"/>
      <c r="U254" s="2"/>
      <c r="V254" s="2"/>
      <c r="W254" s="2"/>
      <c r="X254" s="30"/>
      <c r="Y254" s="30"/>
      <c r="Z254" s="32"/>
      <c r="AA254" s="32"/>
      <c r="AB254" s="32"/>
      <c r="AC254" s="32"/>
      <c r="AD254" s="32"/>
      <c r="AE254" s="32"/>
      <c r="AF254" s="32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1:50" x14ac:dyDescent="0.25">
      <c r="A255" s="2">
        <v>199</v>
      </c>
      <c r="B255" s="2">
        <v>1</v>
      </c>
      <c r="C255" s="2" t="s">
        <v>261</v>
      </c>
      <c r="D255" s="2">
        <v>575</v>
      </c>
      <c r="E255" s="2" t="s">
        <v>263</v>
      </c>
      <c r="F255" s="29">
        <v>0</v>
      </c>
      <c r="G255" s="30">
        <v>0.7665615141955836</v>
      </c>
      <c r="H255" s="30">
        <v>0.79220779220779225</v>
      </c>
      <c r="I255" s="37">
        <v>406.28</v>
      </c>
      <c r="J255" s="37">
        <v>419.87</v>
      </c>
      <c r="K255" s="32">
        <v>112</v>
      </c>
      <c r="L255" s="32">
        <v>123</v>
      </c>
      <c r="M255" s="32">
        <v>45503.360000000001</v>
      </c>
      <c r="N255" s="32">
        <v>51644.01</v>
      </c>
      <c r="O255" s="32">
        <v>97147.37</v>
      </c>
      <c r="P255" s="32">
        <f t="shared" si="3"/>
        <v>92851.49</v>
      </c>
      <c r="Q255" s="32"/>
      <c r="R255" s="32"/>
      <c r="S255" s="2"/>
      <c r="T255" s="2"/>
      <c r="U255" s="2"/>
      <c r="V255" s="2"/>
      <c r="W255" s="2"/>
      <c r="X255" s="30"/>
      <c r="Y255" s="30"/>
      <c r="Z255" s="32"/>
      <c r="AA255" s="32"/>
      <c r="AB255" s="32"/>
      <c r="AC255" s="32"/>
      <c r="AD255" s="32"/>
      <c r="AE255" s="32"/>
      <c r="AF255" s="32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spans="1:50" x14ac:dyDescent="0.25">
      <c r="A256" s="2">
        <v>199</v>
      </c>
      <c r="B256" s="2">
        <v>1</v>
      </c>
      <c r="C256" s="2" t="s">
        <v>261</v>
      </c>
      <c r="D256" s="2">
        <v>577</v>
      </c>
      <c r="E256" s="2" t="s">
        <v>264</v>
      </c>
      <c r="F256" s="29">
        <v>0</v>
      </c>
      <c r="G256" s="30">
        <v>0.78682170542635654</v>
      </c>
      <c r="H256" s="30">
        <v>0.84645669291338588</v>
      </c>
      <c r="I256" s="37">
        <v>417.02</v>
      </c>
      <c r="J256" s="37">
        <v>448.62</v>
      </c>
      <c r="K256" s="32">
        <v>91</v>
      </c>
      <c r="L256" s="32">
        <v>92</v>
      </c>
      <c r="M256" s="32">
        <v>37948.82</v>
      </c>
      <c r="N256" s="32">
        <v>41273.040000000001</v>
      </c>
      <c r="O256" s="32">
        <v>79221.86</v>
      </c>
      <c r="P256" s="32">
        <f t="shared" si="3"/>
        <v>75718.649999999994</v>
      </c>
      <c r="Q256" s="32"/>
      <c r="R256" s="32"/>
      <c r="S256" s="2"/>
      <c r="T256" s="2"/>
      <c r="U256" s="2"/>
      <c r="V256" s="2"/>
      <c r="W256" s="2"/>
      <c r="X256" s="30"/>
      <c r="Y256" s="30"/>
      <c r="Z256" s="32"/>
      <c r="AA256" s="32"/>
      <c r="AB256" s="32"/>
      <c r="AC256" s="32"/>
      <c r="AD256" s="32"/>
      <c r="AE256" s="32"/>
      <c r="AF256" s="32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1:50" x14ac:dyDescent="0.25">
      <c r="A257" s="2">
        <v>199</v>
      </c>
      <c r="B257" s="2">
        <v>1</v>
      </c>
      <c r="C257" s="2" t="s">
        <v>261</v>
      </c>
      <c r="D257" s="2">
        <v>578</v>
      </c>
      <c r="E257" s="2" t="s">
        <v>265</v>
      </c>
      <c r="F257" s="29">
        <v>0</v>
      </c>
      <c r="G257" s="30">
        <v>0.67469879518072284</v>
      </c>
      <c r="H257" s="30">
        <v>0.8380281690140845</v>
      </c>
      <c r="I257" s="37">
        <v>357.59</v>
      </c>
      <c r="J257" s="37">
        <v>444.15</v>
      </c>
      <c r="K257" s="32">
        <v>54</v>
      </c>
      <c r="L257" s="32">
        <v>50</v>
      </c>
      <c r="M257" s="32">
        <v>19309.86</v>
      </c>
      <c r="N257" s="32">
        <v>22207.5</v>
      </c>
      <c r="O257" s="32">
        <v>41517.360000000001</v>
      </c>
      <c r="P257" s="32">
        <f t="shared" si="3"/>
        <v>39681.449999999997</v>
      </c>
      <c r="Q257" s="32"/>
      <c r="R257" s="32"/>
      <c r="S257" s="2"/>
      <c r="T257" s="2"/>
      <c r="U257" s="2"/>
      <c r="V257" s="2"/>
      <c r="W257" s="2"/>
      <c r="X257" s="30"/>
      <c r="Y257" s="30"/>
      <c r="Z257" s="32"/>
      <c r="AA257" s="32"/>
      <c r="AB257" s="32"/>
      <c r="AC257" s="32"/>
      <c r="AD257" s="32"/>
      <c r="AE257" s="32"/>
      <c r="AF257" s="32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spans="1:50" x14ac:dyDescent="0.25">
      <c r="A258">
        <v>200</v>
      </c>
      <c r="B258" s="2">
        <v>1</v>
      </c>
      <c r="C258" s="2" t="s">
        <v>266</v>
      </c>
      <c r="D258">
        <v>609</v>
      </c>
      <c r="E258" s="2" t="s">
        <v>131</v>
      </c>
      <c r="F258" s="29">
        <v>0</v>
      </c>
      <c r="G258" s="30">
        <v>0.8</v>
      </c>
      <c r="H258" s="30">
        <v>0.72924187725631773</v>
      </c>
      <c r="I258" s="37">
        <v>424</v>
      </c>
      <c r="J258" s="37">
        <v>386.5</v>
      </c>
      <c r="K258" s="32">
        <v>103</v>
      </c>
      <c r="L258" s="32">
        <v>96</v>
      </c>
      <c r="M258" s="32">
        <v>43672</v>
      </c>
      <c r="N258" s="32">
        <v>37104</v>
      </c>
      <c r="O258" s="32">
        <v>80776</v>
      </c>
      <c r="P258" s="32">
        <f t="shared" si="3"/>
        <v>77204.070000000007</v>
      </c>
      <c r="Q258" s="32"/>
      <c r="R258" s="32"/>
      <c r="S258" s="2"/>
      <c r="T258" s="2"/>
      <c r="U258" s="2"/>
      <c r="V258" s="2"/>
      <c r="W258" s="2"/>
      <c r="X258" s="30"/>
      <c r="Y258" s="30"/>
      <c r="Z258" s="32"/>
      <c r="AA258" s="32"/>
      <c r="AB258" s="32"/>
      <c r="AC258" s="32"/>
      <c r="AD258" s="32"/>
      <c r="AE258" s="32"/>
      <c r="AF258" s="32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1:50" x14ac:dyDescent="0.25">
      <c r="A259" s="2">
        <v>200</v>
      </c>
      <c r="B259" s="2">
        <v>1</v>
      </c>
      <c r="C259" s="2" t="s">
        <v>266</v>
      </c>
      <c r="D259" s="2">
        <v>610</v>
      </c>
      <c r="E259" s="2" t="s">
        <v>267</v>
      </c>
      <c r="F259" s="29">
        <v>0</v>
      </c>
      <c r="G259" s="30">
        <v>0.81512605042016806</v>
      </c>
      <c r="H259" s="30">
        <v>0.73652694610778446</v>
      </c>
      <c r="I259" s="37">
        <v>432.02</v>
      </c>
      <c r="J259" s="37">
        <v>390.36</v>
      </c>
      <c r="K259" s="32">
        <v>106</v>
      </c>
      <c r="L259" s="32">
        <v>132</v>
      </c>
      <c r="M259" s="32">
        <v>45794.12</v>
      </c>
      <c r="N259" s="32">
        <v>51527.519999999997</v>
      </c>
      <c r="O259" s="32">
        <v>97321.64</v>
      </c>
      <c r="P259" s="32">
        <f t="shared" si="3"/>
        <v>93018.05</v>
      </c>
      <c r="Q259" s="32"/>
      <c r="R259" s="32"/>
      <c r="S259" s="2"/>
      <c r="T259" s="2"/>
      <c r="V259" s="2"/>
      <c r="W259" s="2"/>
      <c r="X259" s="30"/>
      <c r="Y259" s="30"/>
      <c r="Z259" s="32"/>
      <c r="AA259" s="32"/>
      <c r="AB259" s="32"/>
      <c r="AC259" s="32"/>
      <c r="AD259" s="32"/>
      <c r="AE259" s="32"/>
      <c r="AF259" s="32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spans="1:50" x14ac:dyDescent="0.25">
      <c r="A260" s="2">
        <v>200</v>
      </c>
      <c r="B260" s="2">
        <v>1</v>
      </c>
      <c r="C260" s="2" t="s">
        <v>266</v>
      </c>
      <c r="D260" s="2">
        <v>612</v>
      </c>
      <c r="E260" s="2" t="s">
        <v>268</v>
      </c>
      <c r="F260" s="29">
        <v>0</v>
      </c>
      <c r="G260" s="30">
        <v>0.85060975609756095</v>
      </c>
      <c r="H260" s="30">
        <v>0.78965517241379313</v>
      </c>
      <c r="I260" s="37">
        <v>450.82</v>
      </c>
      <c r="J260" s="37">
        <v>418.52</v>
      </c>
      <c r="K260" s="32">
        <v>120</v>
      </c>
      <c r="L260" s="32">
        <v>100</v>
      </c>
      <c r="M260" s="32">
        <v>54098.400000000001</v>
      </c>
      <c r="N260" s="32">
        <v>41852</v>
      </c>
      <c r="O260" s="32">
        <v>95950.399999999994</v>
      </c>
      <c r="P260" s="32">
        <f t="shared" si="3"/>
        <v>91707.45</v>
      </c>
      <c r="Q260" s="32"/>
      <c r="R260" s="32"/>
      <c r="S260" s="2"/>
      <c r="T260" s="2"/>
      <c r="U260" s="2"/>
      <c r="V260" s="2"/>
      <c r="W260" s="2"/>
      <c r="X260" s="30"/>
      <c r="Y260" s="30"/>
      <c r="Z260" s="32"/>
      <c r="AA260" s="32"/>
      <c r="AB260" s="32"/>
      <c r="AC260" s="32"/>
      <c r="AD260" s="32"/>
      <c r="AE260" s="32"/>
      <c r="AF260" s="32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1:50" x14ac:dyDescent="0.25">
      <c r="A261" s="2">
        <v>203</v>
      </c>
      <c r="B261" s="2">
        <v>1</v>
      </c>
      <c r="C261" s="2" t="s">
        <v>269</v>
      </c>
      <c r="D261" s="2">
        <v>2</v>
      </c>
      <c r="E261" s="2" t="s">
        <v>270</v>
      </c>
      <c r="F261" s="29">
        <v>1</v>
      </c>
      <c r="G261" s="30" t="s">
        <v>1328</v>
      </c>
      <c r="H261" s="30" t="s">
        <v>1328</v>
      </c>
      <c r="I261" s="37" t="s">
        <v>1328</v>
      </c>
      <c r="J261" s="37" t="s">
        <v>1328</v>
      </c>
      <c r="K261" s="32">
        <v>52</v>
      </c>
      <c r="L261" s="32">
        <v>0</v>
      </c>
      <c r="M261" s="32" t="s">
        <v>1328</v>
      </c>
      <c r="N261" s="32" t="s">
        <v>1328</v>
      </c>
      <c r="O261" s="32">
        <v>21150.48</v>
      </c>
      <c r="P261" s="32">
        <f t="shared" si="3"/>
        <v>20215.2</v>
      </c>
      <c r="Q261" s="32"/>
      <c r="R261" s="32"/>
      <c r="S261" s="2"/>
      <c r="T261" s="2"/>
      <c r="U261" s="2"/>
      <c r="V261" s="2"/>
      <c r="W261" s="2"/>
      <c r="X261" s="30"/>
      <c r="Y261" s="30"/>
      <c r="Z261" s="32"/>
      <c r="AA261" s="32"/>
      <c r="AB261" s="32"/>
      <c r="AC261" s="32"/>
      <c r="AD261" s="32"/>
      <c r="AE261" s="32"/>
      <c r="AF261" s="32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spans="1:50" x14ac:dyDescent="0.25">
      <c r="A262" s="2">
        <v>203</v>
      </c>
      <c r="B262" s="2">
        <v>1</v>
      </c>
      <c r="C262" s="2" t="s">
        <v>269</v>
      </c>
      <c r="D262" s="2">
        <v>3</v>
      </c>
      <c r="E262" s="2" t="s">
        <v>271</v>
      </c>
      <c r="F262" s="29">
        <v>1</v>
      </c>
      <c r="G262" s="30" t="s">
        <v>1328</v>
      </c>
      <c r="H262" s="30" t="s">
        <v>1328</v>
      </c>
      <c r="I262" s="37" t="s">
        <v>1328</v>
      </c>
      <c r="J262" s="37" t="s">
        <v>1328</v>
      </c>
      <c r="K262" s="32">
        <v>0</v>
      </c>
      <c r="L262" s="32">
        <v>64</v>
      </c>
      <c r="M262" s="32" t="s">
        <v>1328</v>
      </c>
      <c r="N262" s="32" t="s">
        <v>1328</v>
      </c>
      <c r="O262" s="32">
        <v>27024</v>
      </c>
      <c r="P262" s="32">
        <f t="shared" si="3"/>
        <v>25828.99</v>
      </c>
      <c r="Q262" s="32"/>
      <c r="R262" s="32"/>
      <c r="S262" s="2"/>
      <c r="T262" s="2"/>
      <c r="U262" s="2"/>
      <c r="V262" s="2"/>
      <c r="W262" s="2"/>
      <c r="X262" s="30"/>
      <c r="Y262" s="30"/>
      <c r="Z262" s="32"/>
      <c r="AA262" s="32"/>
      <c r="AB262" s="32"/>
      <c r="AC262" s="32"/>
      <c r="AD262" s="32"/>
      <c r="AE262" s="32"/>
      <c r="AF262" s="32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1:50" x14ac:dyDescent="0.25">
      <c r="A263" s="2">
        <v>204</v>
      </c>
      <c r="B263" s="2">
        <v>1</v>
      </c>
      <c r="C263" s="2" t="s">
        <v>272</v>
      </c>
      <c r="D263" s="2">
        <v>10</v>
      </c>
      <c r="E263" s="2" t="s">
        <v>273</v>
      </c>
      <c r="F263" s="29">
        <v>0</v>
      </c>
      <c r="G263" s="30">
        <v>0.88977955911823647</v>
      </c>
      <c r="H263" s="30">
        <v>0.85599999999999998</v>
      </c>
      <c r="I263" s="37">
        <v>471.58</v>
      </c>
      <c r="J263" s="37">
        <v>453.68</v>
      </c>
      <c r="K263" s="32">
        <v>154</v>
      </c>
      <c r="L263" s="32">
        <v>181</v>
      </c>
      <c r="M263" s="32">
        <v>72623.320000000007</v>
      </c>
      <c r="N263" s="32">
        <v>82116.08</v>
      </c>
      <c r="O263" s="32">
        <v>154739.40000000002</v>
      </c>
      <c r="P263" s="32">
        <f t="shared" si="3"/>
        <v>147896.79</v>
      </c>
      <c r="Q263" s="32"/>
      <c r="R263" s="32"/>
      <c r="S263" s="2"/>
      <c r="T263" s="2"/>
      <c r="U263" s="2"/>
      <c r="V263" s="2"/>
      <c r="W263" s="2"/>
      <c r="X263" s="30"/>
      <c r="Y263" s="30"/>
      <c r="Z263" s="32"/>
      <c r="AA263" s="32"/>
      <c r="AB263" s="32"/>
      <c r="AC263" s="32"/>
      <c r="AD263" s="32"/>
      <c r="AE263" s="32"/>
      <c r="AF263" s="32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spans="1:50" x14ac:dyDescent="0.25">
      <c r="A264" s="2">
        <v>206</v>
      </c>
      <c r="B264" s="2">
        <v>1</v>
      </c>
      <c r="C264" s="2" t="s">
        <v>274</v>
      </c>
      <c r="D264" s="2">
        <v>110</v>
      </c>
      <c r="E264" s="2" t="s">
        <v>275</v>
      </c>
      <c r="F264" s="29">
        <v>0</v>
      </c>
      <c r="G264" s="30">
        <v>0.95522388059701491</v>
      </c>
      <c r="H264" s="30">
        <v>0.86440677966101698</v>
      </c>
      <c r="I264" s="37">
        <v>506.27</v>
      </c>
      <c r="J264" s="37">
        <v>458.14</v>
      </c>
      <c r="K264" s="32">
        <v>21</v>
      </c>
      <c r="L264" s="32">
        <v>24</v>
      </c>
      <c r="M264" s="32">
        <v>10631.67</v>
      </c>
      <c r="N264" s="32">
        <v>10995.36</v>
      </c>
      <c r="O264" s="32">
        <v>21627.03</v>
      </c>
      <c r="P264" s="32">
        <f t="shared" si="3"/>
        <v>20670.68</v>
      </c>
      <c r="Q264" s="32"/>
      <c r="R264" s="32"/>
      <c r="S264" s="2"/>
      <c r="T264" s="2"/>
      <c r="U264" s="2"/>
      <c r="V264" s="2"/>
      <c r="W264" s="2"/>
      <c r="X264" s="30"/>
      <c r="Y264" s="30"/>
      <c r="Z264" s="32"/>
      <c r="AA264" s="32"/>
      <c r="AB264" s="32"/>
      <c r="AC264" s="32"/>
      <c r="AD264" s="32"/>
      <c r="AE264" s="32"/>
      <c r="AF264" s="32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1:50" x14ac:dyDescent="0.25">
      <c r="A265">
        <v>206</v>
      </c>
      <c r="B265">
        <v>1</v>
      </c>
      <c r="C265" t="s">
        <v>274</v>
      </c>
      <c r="D265">
        <v>120</v>
      </c>
      <c r="E265" t="s">
        <v>201</v>
      </c>
      <c r="F265" s="1">
        <v>0</v>
      </c>
      <c r="G265" s="30">
        <v>0.8529411764705882</v>
      </c>
      <c r="H265" s="30">
        <v>0.86153846153846159</v>
      </c>
      <c r="I265" s="37">
        <v>452.06</v>
      </c>
      <c r="J265" s="37">
        <v>456.62</v>
      </c>
      <c r="K265" s="32">
        <v>23</v>
      </c>
      <c r="L265" s="32">
        <v>26</v>
      </c>
      <c r="M265" s="32">
        <v>10397.379999999999</v>
      </c>
      <c r="N265" s="32">
        <v>11872.12</v>
      </c>
      <c r="O265" s="32">
        <v>22269.5</v>
      </c>
      <c r="P265" s="32">
        <f t="shared" si="3"/>
        <v>21284.74</v>
      </c>
      <c r="Q265" s="32"/>
      <c r="R265" s="32"/>
      <c r="S265" s="2"/>
      <c r="T265" s="2"/>
      <c r="U265" s="2"/>
      <c r="V265" s="2"/>
      <c r="W265" s="2"/>
      <c r="X265" s="30"/>
      <c r="Y265" s="30"/>
      <c r="Z265" s="32"/>
      <c r="AA265" s="32"/>
      <c r="AB265" s="32"/>
      <c r="AC265" s="32"/>
      <c r="AD265" s="32"/>
      <c r="AE265" s="32"/>
      <c r="AF265" s="32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spans="1:50" x14ac:dyDescent="0.25">
      <c r="A266" s="2">
        <v>206</v>
      </c>
      <c r="B266" s="2">
        <v>1</v>
      </c>
      <c r="C266" s="2" t="s">
        <v>274</v>
      </c>
      <c r="D266" s="2">
        <v>130</v>
      </c>
      <c r="E266" s="2" t="s">
        <v>60</v>
      </c>
      <c r="F266" s="29">
        <v>0</v>
      </c>
      <c r="G266" s="30">
        <v>0.8651162790697674</v>
      </c>
      <c r="H266" s="30">
        <v>0.79534883720930227</v>
      </c>
      <c r="I266" s="37">
        <v>458.51</v>
      </c>
      <c r="J266" s="37">
        <v>421.53</v>
      </c>
      <c r="K266" s="32">
        <v>69</v>
      </c>
      <c r="L266" s="32">
        <v>76</v>
      </c>
      <c r="M266" s="32">
        <v>31637.19</v>
      </c>
      <c r="N266" s="32">
        <v>32036.28</v>
      </c>
      <c r="O266" s="32">
        <v>63673.47</v>
      </c>
      <c r="P266" s="32">
        <f t="shared" si="3"/>
        <v>60857.81</v>
      </c>
      <c r="Q266" s="32"/>
      <c r="R266" s="32"/>
      <c r="W266" s="2"/>
      <c r="X266" s="30"/>
      <c r="Y266" s="30"/>
      <c r="Z266" s="32"/>
      <c r="AA266" s="32"/>
      <c r="AB266" s="32"/>
      <c r="AC266" s="32"/>
      <c r="AD266" s="32"/>
      <c r="AE266" s="32"/>
      <c r="AF266" s="32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1:50" x14ac:dyDescent="0.25">
      <c r="A267" s="2">
        <v>206</v>
      </c>
      <c r="B267" s="2">
        <v>1</v>
      </c>
      <c r="C267" s="2" t="s">
        <v>274</v>
      </c>
      <c r="D267" s="2">
        <v>140</v>
      </c>
      <c r="E267" s="2" t="s">
        <v>276</v>
      </c>
      <c r="F267" s="29">
        <v>0</v>
      </c>
      <c r="G267" s="30">
        <v>0.75</v>
      </c>
      <c r="H267" s="30">
        <v>0.85483870967741937</v>
      </c>
      <c r="I267" s="37">
        <v>397.5</v>
      </c>
      <c r="J267" s="37">
        <v>453.06</v>
      </c>
      <c r="K267" s="32">
        <v>25</v>
      </c>
      <c r="L267" s="32">
        <v>22</v>
      </c>
      <c r="M267" s="32">
        <v>9937.5</v>
      </c>
      <c r="N267" s="32">
        <v>9967.32</v>
      </c>
      <c r="O267" s="32">
        <v>19904.82</v>
      </c>
      <c r="P267" s="32">
        <f t="shared" si="3"/>
        <v>19024.62</v>
      </c>
      <c r="Q267" s="32"/>
      <c r="R267" s="32"/>
      <c r="S267" s="2"/>
      <c r="T267" s="2"/>
      <c r="U267" s="2"/>
      <c r="V267" s="2"/>
      <c r="W267" s="2"/>
      <c r="X267" s="30"/>
      <c r="Y267" s="30"/>
      <c r="Z267" s="32"/>
      <c r="AA267" s="32"/>
      <c r="AB267" s="32"/>
      <c r="AC267" s="32"/>
      <c r="AD267" s="32"/>
      <c r="AE267" s="32"/>
      <c r="AF267" s="32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spans="1:50" x14ac:dyDescent="0.25">
      <c r="A268" s="2">
        <v>206</v>
      </c>
      <c r="B268" s="2">
        <v>1</v>
      </c>
      <c r="C268" s="2" t="s">
        <v>274</v>
      </c>
      <c r="D268" s="2">
        <v>150</v>
      </c>
      <c r="E268" s="2" t="s">
        <v>71</v>
      </c>
      <c r="F268" s="29">
        <v>0</v>
      </c>
      <c r="G268" s="30">
        <v>0.82407407407407407</v>
      </c>
      <c r="H268" s="30">
        <v>0.76142131979695427</v>
      </c>
      <c r="I268" s="37">
        <v>436.76</v>
      </c>
      <c r="J268" s="37">
        <v>403.55</v>
      </c>
      <c r="K268" s="32">
        <v>77</v>
      </c>
      <c r="L268" s="32">
        <v>58</v>
      </c>
      <c r="M268" s="32">
        <v>33630.519999999997</v>
      </c>
      <c r="N268" s="32">
        <v>23405.9</v>
      </c>
      <c r="O268" s="32">
        <v>57036.42</v>
      </c>
      <c r="P268" s="32">
        <f t="shared" si="3"/>
        <v>54514.26</v>
      </c>
      <c r="Q268" s="32"/>
      <c r="R268" s="32"/>
      <c r="S268" s="2"/>
      <c r="T268" s="2"/>
      <c r="U268" s="2"/>
      <c r="V268" s="2"/>
      <c r="W268" s="2"/>
      <c r="X268" s="30"/>
      <c r="Y268" s="30"/>
      <c r="Z268" s="32"/>
      <c r="AA268" s="32"/>
      <c r="AB268" s="32"/>
      <c r="AC268" s="32"/>
      <c r="AD268" s="32"/>
      <c r="AE268" s="32"/>
      <c r="AF268" s="32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 x14ac:dyDescent="0.25">
      <c r="A269" s="2">
        <v>206</v>
      </c>
      <c r="B269" s="2">
        <v>1</v>
      </c>
      <c r="C269" s="2" t="s">
        <v>274</v>
      </c>
      <c r="D269" s="2">
        <v>160</v>
      </c>
      <c r="E269" s="2" t="s">
        <v>277</v>
      </c>
      <c r="F269" s="29">
        <v>0</v>
      </c>
      <c r="G269" s="30">
        <v>0.84951456310679607</v>
      </c>
      <c r="H269" s="30">
        <v>0.84782608695652173</v>
      </c>
      <c r="I269" s="37">
        <v>450.24</v>
      </c>
      <c r="J269" s="37">
        <v>449.35</v>
      </c>
      <c r="K269" s="32">
        <v>79</v>
      </c>
      <c r="L269" s="32">
        <v>62</v>
      </c>
      <c r="M269" s="32">
        <v>35568.959999999999</v>
      </c>
      <c r="N269" s="32">
        <v>27859.7</v>
      </c>
      <c r="O269" s="32">
        <v>63428.66</v>
      </c>
      <c r="P269" s="32">
        <f t="shared" si="3"/>
        <v>60623.83</v>
      </c>
      <c r="Q269" s="32"/>
      <c r="R269" s="32"/>
      <c r="S269" s="2"/>
      <c r="T269" s="2"/>
      <c r="U269" s="2"/>
      <c r="V269" s="2"/>
      <c r="W269" s="2"/>
      <c r="X269" s="30"/>
      <c r="Y269" s="30"/>
      <c r="Z269" s="32"/>
      <c r="AA269" s="32"/>
      <c r="AB269" s="32"/>
      <c r="AC269" s="32"/>
      <c r="AD269" s="32"/>
      <c r="AE269" s="32"/>
      <c r="AF269" s="32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spans="1:50" x14ac:dyDescent="0.25">
      <c r="A270">
        <v>207</v>
      </c>
      <c r="B270" s="2">
        <v>1</v>
      </c>
      <c r="C270" s="2" t="s">
        <v>278</v>
      </c>
      <c r="D270">
        <v>1</v>
      </c>
      <c r="E270" s="2" t="s">
        <v>279</v>
      </c>
      <c r="F270" s="29">
        <v>0</v>
      </c>
      <c r="G270" s="30">
        <v>0.875</v>
      </c>
      <c r="H270" s="30">
        <v>0.67924528301886788</v>
      </c>
      <c r="I270" s="37">
        <v>463.75</v>
      </c>
      <c r="J270" s="37">
        <v>360</v>
      </c>
      <c r="K270" s="32">
        <v>29</v>
      </c>
      <c r="L270" s="32">
        <v>19</v>
      </c>
      <c r="M270" s="32">
        <v>13448.75</v>
      </c>
      <c r="N270" s="32">
        <v>6840</v>
      </c>
      <c r="O270" s="32">
        <v>20288.75</v>
      </c>
      <c r="P270" s="32">
        <f t="shared" si="3"/>
        <v>19391.580000000002</v>
      </c>
      <c r="Q270" s="32"/>
      <c r="R270" s="32"/>
      <c r="S270" s="2"/>
      <c r="T270" s="2"/>
      <c r="U270" s="2"/>
      <c r="V270" s="2"/>
      <c r="W270" s="2"/>
      <c r="X270" s="30"/>
      <c r="Y270" s="30"/>
      <c r="Z270" s="32"/>
      <c r="AA270" s="32"/>
      <c r="AB270" s="32"/>
      <c r="AC270" s="32"/>
      <c r="AD270" s="32"/>
      <c r="AE270" s="32"/>
      <c r="AF270" s="32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1:50" x14ac:dyDescent="0.25">
      <c r="A271" s="2">
        <v>208</v>
      </c>
      <c r="B271" s="2">
        <v>1</v>
      </c>
      <c r="C271" s="2" t="s">
        <v>1182</v>
      </c>
      <c r="D271" s="2">
        <v>1</v>
      </c>
      <c r="E271" s="2" t="s">
        <v>1183</v>
      </c>
      <c r="F271" s="29">
        <v>1</v>
      </c>
      <c r="G271" s="30" t="s">
        <v>1328</v>
      </c>
      <c r="H271" s="30" t="s">
        <v>1328</v>
      </c>
      <c r="I271" s="37" t="s">
        <v>1328</v>
      </c>
      <c r="J271" s="37" t="s">
        <v>1328</v>
      </c>
      <c r="K271" s="32">
        <v>4</v>
      </c>
      <c r="L271" s="32">
        <v>11</v>
      </c>
      <c r="M271" s="32" t="s">
        <v>1328</v>
      </c>
      <c r="N271" s="32" t="s">
        <v>1328</v>
      </c>
      <c r="O271" s="32">
        <v>6693.85</v>
      </c>
      <c r="P271" s="32">
        <f t="shared" si="3"/>
        <v>6397.85</v>
      </c>
      <c r="Q271" s="32"/>
      <c r="R271" s="32"/>
      <c r="S271" s="2"/>
      <c r="T271" s="2"/>
      <c r="V271" s="2"/>
      <c r="W271" s="2"/>
      <c r="X271" s="30"/>
      <c r="Y271" s="30"/>
      <c r="Z271" s="32"/>
      <c r="AA271" s="32"/>
      <c r="AB271" s="32"/>
      <c r="AC271" s="32"/>
      <c r="AD271" s="32"/>
      <c r="AE271" s="32"/>
      <c r="AF271" s="32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spans="1:50" x14ac:dyDescent="0.25">
      <c r="A272" s="2">
        <v>213</v>
      </c>
      <c r="B272" s="2">
        <v>1</v>
      </c>
      <c r="C272" s="2" t="s">
        <v>280</v>
      </c>
      <c r="D272" s="2">
        <v>10</v>
      </c>
      <c r="E272" s="2" t="s">
        <v>281</v>
      </c>
      <c r="F272" s="29">
        <v>0</v>
      </c>
      <c r="G272" s="30">
        <v>0.86</v>
      </c>
      <c r="H272" s="30">
        <v>0.72413793103448276</v>
      </c>
      <c r="I272" s="37">
        <v>455.8</v>
      </c>
      <c r="J272" s="37">
        <v>383.79</v>
      </c>
      <c r="K272" s="32">
        <v>60</v>
      </c>
      <c r="L272" s="32">
        <v>51</v>
      </c>
      <c r="M272" s="32">
        <v>27348</v>
      </c>
      <c r="N272" s="32">
        <v>19573.29</v>
      </c>
      <c r="O272" s="32">
        <v>46921.29</v>
      </c>
      <c r="P272" s="32">
        <f t="shared" ref="P272:P335" si="4">ROUND(O272*P$11,2)</f>
        <v>44846.42</v>
      </c>
      <c r="Q272" s="32"/>
      <c r="R272" s="32"/>
      <c r="S272" s="2"/>
      <c r="T272" s="2"/>
      <c r="U272" s="2"/>
      <c r="V272" s="2"/>
      <c r="W272" s="2"/>
      <c r="X272" s="30"/>
      <c r="Y272" s="30"/>
      <c r="Z272" s="32"/>
      <c r="AA272" s="32"/>
      <c r="AB272" s="32"/>
      <c r="AC272" s="32"/>
      <c r="AD272" s="32"/>
      <c r="AE272" s="32"/>
      <c r="AF272" s="32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1:50" x14ac:dyDescent="0.25">
      <c r="A273" s="2">
        <v>227</v>
      </c>
      <c r="B273" s="2">
        <v>1</v>
      </c>
      <c r="C273" s="2" t="s">
        <v>282</v>
      </c>
      <c r="D273" s="2">
        <v>2</v>
      </c>
      <c r="E273" s="2" t="s">
        <v>283</v>
      </c>
      <c r="F273" s="29">
        <v>0</v>
      </c>
      <c r="G273" s="30">
        <v>0.68911917098445596</v>
      </c>
      <c r="H273" s="30">
        <v>0.83425414364640882</v>
      </c>
      <c r="I273" s="37">
        <v>365.23</v>
      </c>
      <c r="J273" s="37">
        <v>442.15</v>
      </c>
      <c r="K273" s="32">
        <v>68</v>
      </c>
      <c r="L273" s="32">
        <v>72</v>
      </c>
      <c r="M273" s="32">
        <v>24835.64</v>
      </c>
      <c r="N273" s="32">
        <v>31834.799999999999</v>
      </c>
      <c r="O273" s="32">
        <v>56670.44</v>
      </c>
      <c r="P273" s="32">
        <f t="shared" si="4"/>
        <v>54164.46</v>
      </c>
      <c r="Q273" s="32"/>
      <c r="R273" s="32"/>
      <c r="S273" s="2"/>
      <c r="T273" s="2"/>
      <c r="U273" s="2"/>
      <c r="V273" s="2"/>
      <c r="W273" s="2"/>
      <c r="X273" s="30"/>
      <c r="Y273" s="30"/>
      <c r="Z273" s="32"/>
      <c r="AA273" s="32"/>
      <c r="AB273" s="32"/>
      <c r="AC273" s="32"/>
      <c r="AD273" s="32"/>
      <c r="AE273" s="32"/>
      <c r="AF273" s="32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spans="1:50" x14ac:dyDescent="0.25">
      <c r="A274" s="2">
        <v>229</v>
      </c>
      <c r="B274" s="2">
        <v>1</v>
      </c>
      <c r="C274" s="2" t="s">
        <v>284</v>
      </c>
      <c r="D274" s="2">
        <v>10</v>
      </c>
      <c r="E274" s="2" t="s">
        <v>285</v>
      </c>
      <c r="F274" s="29">
        <v>0</v>
      </c>
      <c r="G274" s="30">
        <v>0.87179487179487181</v>
      </c>
      <c r="H274" s="30">
        <v>0.83333333333333337</v>
      </c>
      <c r="I274" s="37">
        <v>462.05</v>
      </c>
      <c r="J274" s="37">
        <v>441.67</v>
      </c>
      <c r="K274" s="32">
        <v>33</v>
      </c>
      <c r="L274" s="32">
        <v>20</v>
      </c>
      <c r="M274" s="32">
        <v>15247.65</v>
      </c>
      <c r="N274" s="32">
        <v>8833.4</v>
      </c>
      <c r="O274" s="32">
        <v>24081.05</v>
      </c>
      <c r="P274" s="32">
        <f t="shared" si="4"/>
        <v>23016.18</v>
      </c>
      <c r="Q274" s="32"/>
      <c r="R274" s="32"/>
      <c r="S274" s="2"/>
      <c r="T274" s="2"/>
      <c r="U274" s="2"/>
      <c r="V274" s="2"/>
      <c r="W274" s="2"/>
      <c r="X274" s="30"/>
      <c r="Y274" s="30"/>
      <c r="Z274" s="32"/>
      <c r="AA274" s="32"/>
      <c r="AB274" s="32"/>
      <c r="AC274" s="32"/>
      <c r="AD274" s="32"/>
      <c r="AE274" s="32"/>
      <c r="AF274" s="32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1:50" x14ac:dyDescent="0.25">
      <c r="A275" s="2">
        <v>238</v>
      </c>
      <c r="B275" s="2">
        <v>1</v>
      </c>
      <c r="C275" s="2" t="s">
        <v>286</v>
      </c>
      <c r="D275" s="2">
        <v>1</v>
      </c>
      <c r="E275" s="2" t="s">
        <v>287</v>
      </c>
      <c r="F275" s="29">
        <v>0</v>
      </c>
      <c r="G275" s="30">
        <v>0.67213114754098358</v>
      </c>
      <c r="H275" s="30">
        <v>0.81034482758620685</v>
      </c>
      <c r="I275" s="37">
        <v>356.23</v>
      </c>
      <c r="J275" s="37">
        <v>429.48</v>
      </c>
      <c r="K275" s="32">
        <v>27</v>
      </c>
      <c r="L275" s="32">
        <v>19</v>
      </c>
      <c r="M275" s="32">
        <v>9618.2099999999991</v>
      </c>
      <c r="N275" s="32">
        <v>8160.12</v>
      </c>
      <c r="O275" s="32">
        <v>17778.329999999998</v>
      </c>
      <c r="P275" s="32">
        <f t="shared" si="4"/>
        <v>16992.169999999998</v>
      </c>
      <c r="Q275" s="32"/>
      <c r="R275" s="32"/>
      <c r="S275" s="2"/>
      <c r="T275" s="2"/>
      <c r="U275" s="2"/>
      <c r="V275" s="2"/>
      <c r="W275" s="2"/>
      <c r="X275" s="30"/>
      <c r="Y275" s="30"/>
      <c r="Z275" s="32"/>
      <c r="AA275" s="32"/>
      <c r="AB275" s="32"/>
      <c r="AC275" s="32"/>
      <c r="AD275" s="32"/>
      <c r="AE275" s="32"/>
      <c r="AF275" s="32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spans="1:50" x14ac:dyDescent="0.25">
      <c r="A276">
        <v>239</v>
      </c>
      <c r="B276" s="2">
        <v>1</v>
      </c>
      <c r="C276" s="2" t="s">
        <v>288</v>
      </c>
      <c r="D276">
        <v>1</v>
      </c>
      <c r="E276" s="2" t="s">
        <v>289</v>
      </c>
      <c r="F276" s="29">
        <v>0</v>
      </c>
      <c r="G276" s="30">
        <v>0.88194444444444442</v>
      </c>
      <c r="H276" s="30">
        <v>0.81751824817518248</v>
      </c>
      <c r="I276" s="37">
        <v>467.43</v>
      </c>
      <c r="J276" s="37">
        <v>433.28</v>
      </c>
      <c r="K276" s="32">
        <v>42</v>
      </c>
      <c r="L276" s="32">
        <v>51</v>
      </c>
      <c r="M276" s="32">
        <v>19632.060000000001</v>
      </c>
      <c r="N276" s="32">
        <v>22097.279999999999</v>
      </c>
      <c r="O276" s="32">
        <v>41729.339999999997</v>
      </c>
      <c r="P276" s="32">
        <f t="shared" si="4"/>
        <v>39884.06</v>
      </c>
      <c r="Q276" s="32"/>
      <c r="R276" s="32"/>
      <c r="S276" s="2"/>
      <c r="T276" s="2"/>
      <c r="U276" s="2"/>
      <c r="V276" s="2"/>
      <c r="W276" s="2"/>
      <c r="X276" s="30"/>
      <c r="Y276" s="30"/>
      <c r="Z276" s="32"/>
      <c r="AA276" s="32"/>
      <c r="AB276" s="32"/>
      <c r="AC276" s="32"/>
      <c r="AD276" s="32"/>
      <c r="AE276" s="32"/>
      <c r="AF276" s="32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 x14ac:dyDescent="0.25">
      <c r="A277" s="2">
        <v>241</v>
      </c>
      <c r="B277" s="2">
        <v>1</v>
      </c>
      <c r="C277" s="2" t="s">
        <v>290</v>
      </c>
      <c r="D277" s="2">
        <v>110</v>
      </c>
      <c r="E277" s="2" t="s">
        <v>291</v>
      </c>
      <c r="F277" s="29">
        <v>0</v>
      </c>
      <c r="G277" s="30">
        <v>0.64473684210526316</v>
      </c>
      <c r="H277" s="30">
        <v>0.74850299401197606</v>
      </c>
      <c r="I277" s="37">
        <v>341.71</v>
      </c>
      <c r="J277" s="37">
        <v>396.71</v>
      </c>
      <c r="K277" s="32">
        <v>49</v>
      </c>
      <c r="L277" s="32">
        <v>58</v>
      </c>
      <c r="M277" s="32">
        <v>16743.79</v>
      </c>
      <c r="N277" s="32">
        <v>23009.18</v>
      </c>
      <c r="O277" s="32">
        <v>39752.97</v>
      </c>
      <c r="P277" s="32">
        <f t="shared" si="4"/>
        <v>37995.08</v>
      </c>
      <c r="Q277" s="32"/>
      <c r="R277" s="32"/>
      <c r="S277" s="2"/>
      <c r="T277" s="2"/>
      <c r="V277" s="2"/>
      <c r="W277" s="2"/>
      <c r="X277" s="30"/>
      <c r="Y277" s="30"/>
      <c r="Z277" s="32"/>
      <c r="AA277" s="32"/>
      <c r="AB277" s="32"/>
      <c r="AC277" s="32"/>
      <c r="AD277" s="32"/>
      <c r="AE277" s="32"/>
      <c r="AF277" s="32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spans="1:50" x14ac:dyDescent="0.25">
      <c r="A278" s="2">
        <v>241</v>
      </c>
      <c r="B278" s="2">
        <v>1</v>
      </c>
      <c r="C278" s="2" t="s">
        <v>290</v>
      </c>
      <c r="D278" s="2">
        <v>120</v>
      </c>
      <c r="E278" s="2" t="s">
        <v>292</v>
      </c>
      <c r="F278" s="29">
        <v>0</v>
      </c>
      <c r="G278" s="30">
        <v>0.68639053254437865</v>
      </c>
      <c r="H278" s="30">
        <v>0.73619631901840488</v>
      </c>
      <c r="I278" s="37">
        <v>363.79</v>
      </c>
      <c r="J278" s="37">
        <v>390.18</v>
      </c>
      <c r="K278" s="32">
        <v>50</v>
      </c>
      <c r="L278" s="32">
        <v>56</v>
      </c>
      <c r="M278" s="32">
        <v>18189.5</v>
      </c>
      <c r="N278" s="32">
        <v>21850.080000000002</v>
      </c>
      <c r="O278" s="32">
        <v>40039.58</v>
      </c>
      <c r="P278" s="32">
        <f t="shared" si="4"/>
        <v>38269.019999999997</v>
      </c>
      <c r="Q278" s="32"/>
      <c r="R278" s="32"/>
      <c r="S278" s="2"/>
      <c r="T278" s="2"/>
      <c r="U278" s="2"/>
      <c r="V278" s="2"/>
      <c r="W278" s="2"/>
      <c r="X278" s="30"/>
      <c r="Y278" s="30"/>
      <c r="Z278" s="32"/>
      <c r="AA278" s="32"/>
      <c r="AB278" s="32"/>
      <c r="AC278" s="32"/>
      <c r="AD278" s="32"/>
      <c r="AE278" s="32"/>
      <c r="AF278" s="32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1:50" x14ac:dyDescent="0.25">
      <c r="A279" s="2">
        <v>241</v>
      </c>
      <c r="B279" s="2">
        <v>1</v>
      </c>
      <c r="C279" s="2" t="s">
        <v>290</v>
      </c>
      <c r="D279" s="2">
        <v>130</v>
      </c>
      <c r="E279" s="2" t="s">
        <v>233</v>
      </c>
      <c r="F279" s="29">
        <v>0</v>
      </c>
      <c r="G279" s="30">
        <v>0.83333333333333337</v>
      </c>
      <c r="H279" s="30">
        <v>0.78021978021978022</v>
      </c>
      <c r="I279" s="37">
        <v>441.67</v>
      </c>
      <c r="J279" s="37">
        <v>413.52</v>
      </c>
      <c r="K279" s="32">
        <v>72</v>
      </c>
      <c r="L279" s="32">
        <v>83</v>
      </c>
      <c r="M279" s="32">
        <v>31800.240000000002</v>
      </c>
      <c r="N279" s="32">
        <v>34322.160000000003</v>
      </c>
      <c r="O279" s="32">
        <v>66122.400000000009</v>
      </c>
      <c r="P279" s="32">
        <f t="shared" si="4"/>
        <v>63198.45</v>
      </c>
      <c r="Q279" s="32"/>
      <c r="R279" s="32"/>
      <c r="S279" s="2"/>
      <c r="T279" s="2"/>
      <c r="U279" s="2"/>
      <c r="V279" s="2"/>
      <c r="W279" s="2"/>
      <c r="X279" s="30"/>
      <c r="Y279" s="30"/>
      <c r="Z279" s="32"/>
      <c r="AA279" s="32"/>
      <c r="AB279" s="32"/>
      <c r="AC279" s="32"/>
      <c r="AD279" s="32"/>
      <c r="AE279" s="32"/>
      <c r="AF279" s="32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spans="1:50" x14ac:dyDescent="0.25">
      <c r="A280" s="2">
        <v>241</v>
      </c>
      <c r="B280" s="2">
        <v>1</v>
      </c>
      <c r="C280" s="2" t="s">
        <v>290</v>
      </c>
      <c r="D280" s="2">
        <v>140</v>
      </c>
      <c r="E280" s="2" t="s">
        <v>293</v>
      </c>
      <c r="F280" s="29">
        <v>0</v>
      </c>
      <c r="G280" s="30">
        <v>0.67039106145251393</v>
      </c>
      <c r="H280" s="30">
        <v>0.8529411764705882</v>
      </c>
      <c r="I280" s="37">
        <v>355.31</v>
      </c>
      <c r="J280" s="37">
        <v>452.06</v>
      </c>
      <c r="K280" s="32">
        <v>62</v>
      </c>
      <c r="L280" s="32">
        <v>50</v>
      </c>
      <c r="M280" s="32">
        <v>22029.22</v>
      </c>
      <c r="N280" s="32">
        <v>22603</v>
      </c>
      <c r="O280" s="32">
        <v>44632.22</v>
      </c>
      <c r="P280" s="32">
        <f t="shared" si="4"/>
        <v>42658.57</v>
      </c>
      <c r="Q280" s="32"/>
      <c r="R280" s="32"/>
      <c r="S280" s="2"/>
      <c r="T280" s="2"/>
      <c r="U280" s="2"/>
      <c r="V280" s="2"/>
      <c r="W280" s="2"/>
      <c r="X280" s="30"/>
      <c r="Y280" s="30"/>
      <c r="Z280" s="32"/>
      <c r="AA280" s="32"/>
      <c r="AB280" s="32"/>
      <c r="AC280" s="32"/>
      <c r="AD280" s="32"/>
      <c r="AE280" s="32"/>
      <c r="AF280" s="32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1:50" x14ac:dyDescent="0.25">
      <c r="A281" s="2">
        <v>242</v>
      </c>
      <c r="B281" s="2">
        <v>1</v>
      </c>
      <c r="C281" s="2" t="s">
        <v>294</v>
      </c>
      <c r="D281" s="2">
        <v>2</v>
      </c>
      <c r="E281" s="2" t="s">
        <v>295</v>
      </c>
      <c r="F281" s="29">
        <v>0</v>
      </c>
      <c r="G281" s="30">
        <v>0.8110236220472441</v>
      </c>
      <c r="H281" s="30">
        <v>0.80198019801980203</v>
      </c>
      <c r="I281" s="37">
        <v>429.84</v>
      </c>
      <c r="J281" s="37">
        <v>425.05</v>
      </c>
      <c r="K281" s="32">
        <v>55</v>
      </c>
      <c r="L281" s="32">
        <v>38</v>
      </c>
      <c r="M281" s="32">
        <v>23641.200000000001</v>
      </c>
      <c r="N281" s="32">
        <v>16151.9</v>
      </c>
      <c r="O281" s="32">
        <v>39793.1</v>
      </c>
      <c r="P281" s="32">
        <f t="shared" si="4"/>
        <v>38033.440000000002</v>
      </c>
      <c r="Q281" s="32"/>
      <c r="R281" s="32"/>
      <c r="S281" s="2"/>
      <c r="T281" s="2"/>
      <c r="U281" s="2"/>
      <c r="V281" s="2"/>
      <c r="W281" s="2"/>
      <c r="X281" s="30"/>
      <c r="Y281" s="30"/>
      <c r="Z281" s="32"/>
      <c r="AA281" s="32"/>
      <c r="AB281" s="32"/>
      <c r="AC281" s="32"/>
      <c r="AD281" s="32"/>
      <c r="AE281" s="32"/>
      <c r="AF281" s="32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spans="1:50" x14ac:dyDescent="0.25">
      <c r="A282" s="2">
        <v>252</v>
      </c>
      <c r="B282" s="2">
        <v>1</v>
      </c>
      <c r="C282" s="2" t="s">
        <v>296</v>
      </c>
      <c r="D282" s="2">
        <v>1</v>
      </c>
      <c r="E282" s="2" t="s">
        <v>297</v>
      </c>
      <c r="F282" s="29">
        <v>0</v>
      </c>
      <c r="G282" s="30">
        <v>0.86852589641434264</v>
      </c>
      <c r="H282" s="30">
        <v>0.8340248962655602</v>
      </c>
      <c r="I282" s="37">
        <v>460.32</v>
      </c>
      <c r="J282" s="37">
        <v>442.03</v>
      </c>
      <c r="K282" s="32">
        <v>87</v>
      </c>
      <c r="L282" s="32">
        <v>86</v>
      </c>
      <c r="M282" s="32">
        <v>40047.839999999997</v>
      </c>
      <c r="N282" s="32">
        <v>38014.58</v>
      </c>
      <c r="O282" s="32">
        <v>78062.42</v>
      </c>
      <c r="P282" s="32">
        <f t="shared" si="4"/>
        <v>74610.48</v>
      </c>
      <c r="Q282" s="32"/>
      <c r="R282" s="32"/>
      <c r="S282" s="2"/>
      <c r="T282" s="2"/>
      <c r="U282" s="2"/>
      <c r="V282" s="2"/>
      <c r="W282" s="2"/>
      <c r="X282" s="30"/>
      <c r="Y282" s="30"/>
      <c r="Z282" s="32"/>
      <c r="AA282" s="32"/>
      <c r="AB282" s="32"/>
      <c r="AC282" s="32"/>
      <c r="AD282" s="32"/>
      <c r="AE282" s="32"/>
      <c r="AF282" s="32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1:50" x14ac:dyDescent="0.25">
      <c r="A283" s="2">
        <v>253</v>
      </c>
      <c r="B283" s="2">
        <v>1</v>
      </c>
      <c r="C283" s="2" t="s">
        <v>298</v>
      </c>
      <c r="D283" s="2">
        <v>1</v>
      </c>
      <c r="E283" s="2" t="s">
        <v>299</v>
      </c>
      <c r="F283" s="29">
        <v>0</v>
      </c>
      <c r="G283" s="30">
        <v>0.85401459854014594</v>
      </c>
      <c r="H283" s="30">
        <v>0.69166666666666665</v>
      </c>
      <c r="I283" s="37">
        <v>452.63</v>
      </c>
      <c r="J283" s="37">
        <v>366.58</v>
      </c>
      <c r="K283" s="32">
        <v>57</v>
      </c>
      <c r="L283" s="32">
        <v>38</v>
      </c>
      <c r="M283" s="32">
        <v>25799.91</v>
      </c>
      <c r="N283" s="32">
        <v>13930.04</v>
      </c>
      <c r="O283" s="32">
        <v>39729.949999999997</v>
      </c>
      <c r="P283" s="32">
        <f t="shared" si="4"/>
        <v>37973.08</v>
      </c>
      <c r="Q283" s="32"/>
      <c r="R283" s="32"/>
      <c r="S283" s="2"/>
      <c r="T283" s="2"/>
      <c r="U283" s="2"/>
      <c r="V283" s="2"/>
      <c r="W283" s="2"/>
      <c r="X283" s="30"/>
      <c r="Y283" s="30"/>
      <c r="Z283" s="32"/>
      <c r="AA283" s="32"/>
      <c r="AB283" s="32"/>
      <c r="AC283" s="32"/>
      <c r="AD283" s="32"/>
      <c r="AE283" s="32"/>
      <c r="AF283" s="32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spans="1:50" x14ac:dyDescent="0.25">
      <c r="A284" s="2">
        <v>255</v>
      </c>
      <c r="B284" s="2">
        <v>1</v>
      </c>
      <c r="C284" s="2" t="s">
        <v>300</v>
      </c>
      <c r="D284" s="2">
        <v>10</v>
      </c>
      <c r="E284" s="2" t="s">
        <v>301</v>
      </c>
      <c r="F284" s="29">
        <v>0</v>
      </c>
      <c r="G284" s="30">
        <v>0.86397058823529416</v>
      </c>
      <c r="H284" s="30">
        <v>0.68965517241379315</v>
      </c>
      <c r="I284" s="37">
        <v>457.9</v>
      </c>
      <c r="J284" s="37">
        <v>365.52</v>
      </c>
      <c r="K284" s="32">
        <v>98</v>
      </c>
      <c r="L284" s="32">
        <v>85</v>
      </c>
      <c r="M284" s="32">
        <v>44874.2</v>
      </c>
      <c r="N284" s="32">
        <v>31069.200000000001</v>
      </c>
      <c r="O284" s="32">
        <v>75943.399999999994</v>
      </c>
      <c r="P284" s="32">
        <f t="shared" si="4"/>
        <v>72585.16</v>
      </c>
      <c r="Q284" s="32"/>
      <c r="R284" s="32"/>
      <c r="S284" s="2"/>
      <c r="T284" s="2"/>
      <c r="U284" s="2"/>
      <c r="V284" s="2"/>
      <c r="W284" s="2"/>
      <c r="X284" s="30"/>
      <c r="Y284" s="30"/>
      <c r="Z284" s="32"/>
      <c r="AA284" s="32"/>
      <c r="AB284" s="32"/>
      <c r="AC284" s="32"/>
      <c r="AD284" s="32"/>
      <c r="AE284" s="32"/>
      <c r="AF284" s="32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1:50" x14ac:dyDescent="0.25">
      <c r="A285" s="2">
        <v>256</v>
      </c>
      <c r="B285" s="2">
        <v>1</v>
      </c>
      <c r="C285" s="2" t="s">
        <v>302</v>
      </c>
      <c r="D285" s="2">
        <v>537</v>
      </c>
      <c r="E285" s="2" t="s">
        <v>303</v>
      </c>
      <c r="F285" s="29">
        <v>0</v>
      </c>
      <c r="G285" s="30">
        <v>0.79629629629629628</v>
      </c>
      <c r="H285" s="30">
        <v>0.80145719489981782</v>
      </c>
      <c r="I285" s="37">
        <v>422.04</v>
      </c>
      <c r="J285" s="37">
        <v>424.77</v>
      </c>
      <c r="K285" s="32">
        <v>188</v>
      </c>
      <c r="L285" s="32">
        <v>214</v>
      </c>
      <c r="M285" s="32">
        <v>79343.520000000004</v>
      </c>
      <c r="N285" s="32">
        <v>90900.78</v>
      </c>
      <c r="O285" s="32">
        <v>170244.3</v>
      </c>
      <c r="P285" s="32">
        <f t="shared" si="4"/>
        <v>162716.06</v>
      </c>
      <c r="Q285" s="32"/>
      <c r="R285" s="32"/>
      <c r="S285" s="2"/>
      <c r="T285" s="2"/>
      <c r="U285" s="2"/>
      <c r="V285" s="2"/>
      <c r="W285" s="2"/>
      <c r="X285" s="30"/>
      <c r="Y285" s="30"/>
      <c r="Z285" s="32"/>
      <c r="AA285" s="32"/>
      <c r="AB285" s="32"/>
      <c r="AC285" s="32"/>
      <c r="AD285" s="32"/>
      <c r="AE285" s="32"/>
      <c r="AF285" s="32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spans="1:50" x14ac:dyDescent="0.25">
      <c r="A286" s="2">
        <v>261</v>
      </c>
      <c r="B286" s="2">
        <v>1</v>
      </c>
      <c r="C286" s="2" t="s">
        <v>304</v>
      </c>
      <c r="D286" s="2">
        <v>10</v>
      </c>
      <c r="E286" s="2" t="s">
        <v>305</v>
      </c>
      <c r="F286" s="29">
        <v>0</v>
      </c>
      <c r="G286" s="30">
        <v>0.80645161290322576</v>
      </c>
      <c r="H286" s="30">
        <v>0.7678571428571429</v>
      </c>
      <c r="I286" s="37">
        <v>427.42</v>
      </c>
      <c r="J286" s="37">
        <v>406.96</v>
      </c>
      <c r="K286" s="32">
        <v>23</v>
      </c>
      <c r="L286" s="32">
        <v>18</v>
      </c>
      <c r="M286" s="32">
        <v>9830.66</v>
      </c>
      <c r="N286" s="32">
        <v>7325.28</v>
      </c>
      <c r="O286" s="32">
        <v>17155.939999999999</v>
      </c>
      <c r="P286" s="32">
        <f t="shared" si="4"/>
        <v>16397.3</v>
      </c>
      <c r="Q286" s="32"/>
      <c r="R286" s="32"/>
      <c r="S286" s="2"/>
      <c r="T286" s="2"/>
      <c r="U286" s="2"/>
      <c r="V286" s="2"/>
      <c r="W286" s="2"/>
      <c r="X286" s="30"/>
      <c r="Y286" s="30"/>
      <c r="Z286" s="32"/>
      <c r="AA286" s="32"/>
      <c r="AB286" s="32"/>
      <c r="AC286" s="32"/>
      <c r="AD286" s="32"/>
      <c r="AE286" s="32"/>
      <c r="AF286" s="32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1:50" x14ac:dyDescent="0.25">
      <c r="A287" s="2">
        <v>264</v>
      </c>
      <c r="B287" s="2">
        <v>1</v>
      </c>
      <c r="C287" s="2" t="s">
        <v>1184</v>
      </c>
      <c r="D287" s="2">
        <v>1</v>
      </c>
      <c r="E287" s="2" t="s">
        <v>1185</v>
      </c>
      <c r="F287" s="29">
        <v>1</v>
      </c>
      <c r="G287" s="30" t="s">
        <v>1328</v>
      </c>
      <c r="H287" s="30" t="s">
        <v>1328</v>
      </c>
      <c r="I287" s="37" t="s">
        <v>1328</v>
      </c>
      <c r="J287" s="37" t="s">
        <v>1328</v>
      </c>
      <c r="K287" s="32">
        <v>4</v>
      </c>
      <c r="L287" s="32">
        <v>9</v>
      </c>
      <c r="M287" s="32" t="s">
        <v>1328</v>
      </c>
      <c r="N287" s="32" t="s">
        <v>1328</v>
      </c>
      <c r="O287" s="32">
        <v>4416.6099999999997</v>
      </c>
      <c r="P287" s="32">
        <f t="shared" si="4"/>
        <v>4221.3100000000004</v>
      </c>
      <c r="Q287" s="32"/>
      <c r="R287" s="32"/>
      <c r="S287" s="2"/>
      <c r="T287" s="2"/>
      <c r="U287" s="2"/>
      <c r="V287" s="2"/>
      <c r="W287" s="2"/>
      <c r="X287" s="30"/>
      <c r="Y287" s="30"/>
      <c r="Z287" s="32"/>
      <c r="AA287" s="32"/>
      <c r="AB287" s="32"/>
      <c r="AC287" s="32"/>
      <c r="AD287" s="32"/>
      <c r="AE287" s="32"/>
      <c r="AF287" s="32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spans="1:50" x14ac:dyDescent="0.25">
      <c r="A288" s="2">
        <v>270</v>
      </c>
      <c r="B288" s="2">
        <v>1</v>
      </c>
      <c r="C288" s="2" t="s">
        <v>306</v>
      </c>
      <c r="D288" s="2">
        <v>561</v>
      </c>
      <c r="E288" s="2" t="s">
        <v>307</v>
      </c>
      <c r="F288" s="29">
        <v>0</v>
      </c>
      <c r="G288" s="30">
        <v>0.67460317460317465</v>
      </c>
      <c r="H288" s="30">
        <v>0.66115702479338845</v>
      </c>
      <c r="I288" s="37">
        <v>357.54</v>
      </c>
      <c r="J288" s="37">
        <v>350.41</v>
      </c>
      <c r="K288" s="32">
        <v>68</v>
      </c>
      <c r="L288" s="32">
        <v>90</v>
      </c>
      <c r="M288" s="32">
        <v>24312.720000000001</v>
      </c>
      <c r="N288" s="32">
        <v>31536.9</v>
      </c>
      <c r="O288" s="32">
        <v>55849.62</v>
      </c>
      <c r="P288" s="32">
        <f t="shared" si="4"/>
        <v>53379.94</v>
      </c>
      <c r="Q288" s="32"/>
      <c r="R288" s="32"/>
      <c r="S288" s="2"/>
      <c r="T288" s="2"/>
      <c r="U288" s="2"/>
      <c r="V288" s="2"/>
      <c r="W288" s="2"/>
      <c r="X288" s="30"/>
      <c r="Y288" s="30"/>
      <c r="Z288" s="32"/>
      <c r="AA288" s="32"/>
      <c r="AB288" s="32"/>
      <c r="AC288" s="32"/>
      <c r="AD288" s="32"/>
      <c r="AE288" s="32"/>
      <c r="AF288" s="32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1:50" x14ac:dyDescent="0.25">
      <c r="A289" s="2">
        <v>270</v>
      </c>
      <c r="B289" s="2">
        <v>1</v>
      </c>
      <c r="C289" s="2" t="s">
        <v>306</v>
      </c>
      <c r="D289" s="2">
        <v>563</v>
      </c>
      <c r="E289" s="2" t="s">
        <v>308</v>
      </c>
      <c r="F289" s="29">
        <v>0</v>
      </c>
      <c r="G289" s="30">
        <v>0.88942307692307687</v>
      </c>
      <c r="H289" s="30">
        <v>0.74885844748858443</v>
      </c>
      <c r="I289" s="37">
        <v>471.39</v>
      </c>
      <c r="J289" s="37">
        <v>396.89</v>
      </c>
      <c r="K289" s="32">
        <v>72</v>
      </c>
      <c r="L289" s="32">
        <v>85</v>
      </c>
      <c r="M289" s="32">
        <v>33940.080000000002</v>
      </c>
      <c r="N289" s="32">
        <v>33735.65</v>
      </c>
      <c r="O289" s="32">
        <v>67675.73000000001</v>
      </c>
      <c r="P289" s="32">
        <f t="shared" si="4"/>
        <v>64683.09</v>
      </c>
      <c r="Q289" s="32"/>
      <c r="R289" s="32"/>
      <c r="S289" s="2"/>
      <c r="T289" s="2"/>
      <c r="U289" s="2"/>
      <c r="V289" s="2"/>
      <c r="W289" s="2"/>
      <c r="X289" s="30"/>
      <c r="Y289" s="30"/>
      <c r="Z289" s="32"/>
      <c r="AA289" s="32"/>
      <c r="AB289" s="32"/>
      <c r="AC289" s="32"/>
      <c r="AD289" s="32"/>
      <c r="AE289" s="32"/>
      <c r="AF289" s="32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spans="1:50" x14ac:dyDescent="0.25">
      <c r="A290" s="2">
        <v>270</v>
      </c>
      <c r="B290" s="2">
        <v>1</v>
      </c>
      <c r="C290" s="2" t="s">
        <v>306</v>
      </c>
      <c r="D290" s="2">
        <v>566</v>
      </c>
      <c r="E290" s="2" t="s">
        <v>74</v>
      </c>
      <c r="F290" s="29">
        <v>0</v>
      </c>
      <c r="G290" s="30">
        <v>0.6837349397590361</v>
      </c>
      <c r="H290" s="30">
        <v>0.82278481012658233</v>
      </c>
      <c r="I290" s="37">
        <v>362.38</v>
      </c>
      <c r="J290" s="37">
        <v>436.08</v>
      </c>
      <c r="K290" s="32">
        <v>135</v>
      </c>
      <c r="L290" s="32">
        <v>109</v>
      </c>
      <c r="M290" s="32">
        <v>48921.3</v>
      </c>
      <c r="N290" s="32">
        <v>47532.72</v>
      </c>
      <c r="O290" s="32">
        <v>96454.02</v>
      </c>
      <c r="P290" s="32">
        <f t="shared" si="4"/>
        <v>92188.800000000003</v>
      </c>
      <c r="Q290" s="32"/>
      <c r="R290" s="32"/>
      <c r="S290" s="2"/>
      <c r="T290" s="2"/>
      <c r="U290" s="2"/>
      <c r="V290" s="2"/>
      <c r="W290" s="2"/>
      <c r="X290" s="30"/>
      <c r="Y290" s="30"/>
      <c r="Z290" s="32"/>
      <c r="AA290" s="32"/>
      <c r="AB290" s="32"/>
      <c r="AC290" s="32"/>
      <c r="AD290" s="32"/>
      <c r="AE290" s="32"/>
      <c r="AF290" s="32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1:50" x14ac:dyDescent="0.25">
      <c r="A291">
        <v>270</v>
      </c>
      <c r="B291" s="2">
        <v>1</v>
      </c>
      <c r="C291" s="2" t="s">
        <v>306</v>
      </c>
      <c r="D291">
        <v>567</v>
      </c>
      <c r="E291" s="2" t="s">
        <v>309</v>
      </c>
      <c r="F291" s="29">
        <v>0</v>
      </c>
      <c r="G291" s="30">
        <v>0.76956521739130435</v>
      </c>
      <c r="H291" s="30">
        <v>0.71945701357466063</v>
      </c>
      <c r="I291" s="37">
        <v>407.87</v>
      </c>
      <c r="J291" s="37">
        <v>381.31</v>
      </c>
      <c r="K291" s="32">
        <v>69</v>
      </c>
      <c r="L291" s="32">
        <v>83</v>
      </c>
      <c r="M291" s="32">
        <v>28143.03</v>
      </c>
      <c r="N291" s="32">
        <v>31648.73</v>
      </c>
      <c r="O291" s="32">
        <v>59791.759999999995</v>
      </c>
      <c r="P291" s="32">
        <f t="shared" si="4"/>
        <v>57147.75</v>
      </c>
      <c r="Q291" s="32"/>
      <c r="R291" s="32"/>
      <c r="S291" s="2"/>
      <c r="T291" s="2"/>
      <c r="U291" s="2"/>
      <c r="V291" s="2"/>
      <c r="W291" s="2"/>
      <c r="X291" s="30"/>
      <c r="Y291" s="30"/>
      <c r="Z291" s="32"/>
      <c r="AA291" s="32"/>
      <c r="AB291" s="32"/>
      <c r="AC291" s="32"/>
      <c r="AD291" s="32"/>
      <c r="AE291" s="32"/>
      <c r="AF291" s="32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spans="1:50" x14ac:dyDescent="0.25">
      <c r="A292" s="2">
        <v>270</v>
      </c>
      <c r="B292" s="2">
        <v>1</v>
      </c>
      <c r="C292" s="2" t="s">
        <v>306</v>
      </c>
      <c r="D292" s="2">
        <v>569</v>
      </c>
      <c r="E292" s="2" t="s">
        <v>310</v>
      </c>
      <c r="F292" s="29">
        <v>0</v>
      </c>
      <c r="G292" s="30">
        <v>0.76394849785407726</v>
      </c>
      <c r="H292" s="30">
        <v>0.78155339805825241</v>
      </c>
      <c r="I292" s="37">
        <v>404.89</v>
      </c>
      <c r="J292" s="37">
        <v>414.22</v>
      </c>
      <c r="K292" s="32">
        <v>86</v>
      </c>
      <c r="L292" s="32">
        <v>59</v>
      </c>
      <c r="M292" s="32">
        <v>34820.54</v>
      </c>
      <c r="N292" s="32">
        <v>24438.98</v>
      </c>
      <c r="O292" s="32">
        <v>59259.520000000004</v>
      </c>
      <c r="P292" s="32">
        <f t="shared" si="4"/>
        <v>56639.05</v>
      </c>
      <c r="Q292" s="32"/>
      <c r="R292" s="32"/>
      <c r="S292" s="2"/>
      <c r="T292" s="2"/>
      <c r="V292" s="2"/>
      <c r="W292" s="2"/>
      <c r="X292" s="30"/>
      <c r="Y292" s="30"/>
      <c r="Z292" s="32"/>
      <c r="AA292" s="32"/>
      <c r="AB292" s="32"/>
      <c r="AC292" s="32"/>
      <c r="AD292" s="32"/>
      <c r="AE292" s="32"/>
      <c r="AF292" s="32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1:50" x14ac:dyDescent="0.25">
      <c r="A293" s="2">
        <v>270</v>
      </c>
      <c r="B293" s="2">
        <v>1</v>
      </c>
      <c r="C293" s="2" t="s">
        <v>306</v>
      </c>
      <c r="D293" s="2">
        <v>570</v>
      </c>
      <c r="E293" s="2" t="s">
        <v>311</v>
      </c>
      <c r="F293" s="29">
        <v>0</v>
      </c>
      <c r="G293" s="30">
        <v>0.87121212121212122</v>
      </c>
      <c r="H293" s="30">
        <v>0.82954545454545459</v>
      </c>
      <c r="I293" s="37">
        <v>461.74</v>
      </c>
      <c r="J293" s="37">
        <v>439.66</v>
      </c>
      <c r="K293" s="32">
        <v>82</v>
      </c>
      <c r="L293" s="32">
        <v>79</v>
      </c>
      <c r="M293" s="32">
        <v>37862.68</v>
      </c>
      <c r="N293" s="32">
        <v>34733.14</v>
      </c>
      <c r="O293" s="32">
        <v>72595.820000000007</v>
      </c>
      <c r="P293" s="32">
        <f t="shared" si="4"/>
        <v>69385.62</v>
      </c>
      <c r="Q293" s="32"/>
      <c r="R293" s="32"/>
      <c r="S293" s="2"/>
      <c r="T293" s="2"/>
      <c r="U293" s="2"/>
      <c r="V293" s="2"/>
      <c r="W293" s="2"/>
      <c r="X293" s="30"/>
      <c r="Y293" s="30"/>
      <c r="Z293" s="32"/>
      <c r="AA293" s="32"/>
      <c r="AB293" s="32"/>
      <c r="AC293" s="32"/>
      <c r="AD293" s="32"/>
      <c r="AE293" s="32"/>
      <c r="AF293" s="32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spans="1:50" x14ac:dyDescent="0.25">
      <c r="A294" s="2">
        <v>271</v>
      </c>
      <c r="B294" s="2">
        <v>1</v>
      </c>
      <c r="C294" s="2" t="s">
        <v>312</v>
      </c>
      <c r="D294" s="2">
        <v>432</v>
      </c>
      <c r="E294" s="2" t="s">
        <v>313</v>
      </c>
      <c r="F294" s="29">
        <v>0</v>
      </c>
      <c r="G294" s="30">
        <v>0.72123893805309736</v>
      </c>
      <c r="H294" s="30">
        <v>0.68018018018018023</v>
      </c>
      <c r="I294" s="37">
        <v>382.26</v>
      </c>
      <c r="J294" s="37">
        <v>360.5</v>
      </c>
      <c r="K294" s="32">
        <v>68</v>
      </c>
      <c r="L294" s="32">
        <v>70</v>
      </c>
      <c r="M294" s="32">
        <v>25993.68</v>
      </c>
      <c r="N294" s="32">
        <v>25235</v>
      </c>
      <c r="O294" s="32">
        <v>51228.68</v>
      </c>
      <c r="P294" s="32">
        <f t="shared" si="4"/>
        <v>48963.34</v>
      </c>
      <c r="Q294" s="32"/>
      <c r="R294" s="32"/>
      <c r="S294" s="2"/>
      <c r="T294" s="2"/>
      <c r="U294" s="2"/>
      <c r="V294" s="2"/>
      <c r="W294" s="2"/>
      <c r="X294" s="30"/>
      <c r="Y294" s="30"/>
      <c r="Z294" s="32"/>
      <c r="AA294" s="32"/>
      <c r="AB294" s="32"/>
      <c r="AC294" s="32"/>
      <c r="AD294" s="32"/>
      <c r="AE294" s="32"/>
      <c r="AF294" s="32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1:50" x14ac:dyDescent="0.25">
      <c r="A295" s="2">
        <v>271</v>
      </c>
      <c r="B295" s="2">
        <v>1</v>
      </c>
      <c r="C295" s="2" t="s">
        <v>312</v>
      </c>
      <c r="D295" s="2">
        <v>443</v>
      </c>
      <c r="E295" s="2" t="s">
        <v>314</v>
      </c>
      <c r="F295" s="29">
        <v>0</v>
      </c>
      <c r="G295" s="30">
        <v>0.89252336448598135</v>
      </c>
      <c r="H295" s="30">
        <v>0.83333333333333337</v>
      </c>
      <c r="I295" s="37">
        <v>473.04</v>
      </c>
      <c r="J295" s="37">
        <v>441.67</v>
      </c>
      <c r="K295" s="32">
        <v>80</v>
      </c>
      <c r="L295" s="32">
        <v>68</v>
      </c>
      <c r="M295" s="32">
        <v>37843.199999999997</v>
      </c>
      <c r="N295" s="32">
        <v>30033.56</v>
      </c>
      <c r="O295" s="32">
        <v>67876.759999999995</v>
      </c>
      <c r="P295" s="32">
        <f t="shared" si="4"/>
        <v>64875.23</v>
      </c>
      <c r="Q295" s="32"/>
      <c r="R295" s="32"/>
      <c r="S295" s="2"/>
      <c r="T295" s="2"/>
      <c r="U295" s="2"/>
      <c r="V295" s="2"/>
      <c r="W295" s="2"/>
      <c r="X295" s="30"/>
      <c r="Y295" s="30"/>
      <c r="Z295" s="32"/>
      <c r="AA295" s="32"/>
      <c r="AB295" s="32"/>
      <c r="AC295" s="32"/>
      <c r="AD295" s="32"/>
      <c r="AE295" s="32"/>
      <c r="AF295" s="32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spans="1:50" x14ac:dyDescent="0.25">
      <c r="A296" s="2">
        <v>271</v>
      </c>
      <c r="B296" s="2">
        <v>1</v>
      </c>
      <c r="C296" s="2" t="s">
        <v>312</v>
      </c>
      <c r="D296" s="2">
        <v>446</v>
      </c>
      <c r="E296" s="2" t="s">
        <v>315</v>
      </c>
      <c r="F296" s="29">
        <v>0</v>
      </c>
      <c r="G296" s="30">
        <v>0.671875</v>
      </c>
      <c r="H296" s="30">
        <v>0.81642512077294682</v>
      </c>
      <c r="I296" s="37">
        <v>356.09</v>
      </c>
      <c r="J296" s="37">
        <v>432.71</v>
      </c>
      <c r="K296" s="32">
        <v>52</v>
      </c>
      <c r="L296" s="32">
        <v>67</v>
      </c>
      <c r="M296" s="32">
        <v>18516.68</v>
      </c>
      <c r="N296" s="32">
        <v>28991.57</v>
      </c>
      <c r="O296" s="32">
        <v>47508.25</v>
      </c>
      <c r="P296" s="32">
        <f t="shared" si="4"/>
        <v>45407.42</v>
      </c>
      <c r="Q296" s="32"/>
      <c r="R296" s="32"/>
      <c r="S296" s="2"/>
      <c r="T296" s="2"/>
      <c r="U296" s="2"/>
      <c r="V296" s="2"/>
      <c r="W296" s="2"/>
      <c r="X296" s="30"/>
      <c r="Y296" s="30"/>
      <c r="Z296" s="32"/>
      <c r="AA296" s="32"/>
      <c r="AB296" s="32"/>
      <c r="AC296" s="32"/>
      <c r="AD296" s="32"/>
      <c r="AE296" s="32"/>
      <c r="AF296" s="32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1:50" x14ac:dyDescent="0.25">
      <c r="A297" s="2">
        <v>271</v>
      </c>
      <c r="B297" s="2">
        <v>1</v>
      </c>
      <c r="C297" s="2" t="s">
        <v>312</v>
      </c>
      <c r="D297" s="2">
        <v>447</v>
      </c>
      <c r="E297" s="2" t="s">
        <v>316</v>
      </c>
      <c r="F297" s="29">
        <v>0</v>
      </c>
      <c r="G297" s="30">
        <v>0.81599999999999995</v>
      </c>
      <c r="H297" s="30">
        <v>0.81404958677685946</v>
      </c>
      <c r="I297" s="37">
        <v>432.48</v>
      </c>
      <c r="J297" s="37">
        <v>431.45</v>
      </c>
      <c r="K297" s="32">
        <v>99</v>
      </c>
      <c r="L297" s="32">
        <v>100</v>
      </c>
      <c r="M297" s="32">
        <v>42815.519999999997</v>
      </c>
      <c r="N297" s="32">
        <v>43145</v>
      </c>
      <c r="O297" s="32">
        <v>85960.51999999999</v>
      </c>
      <c r="P297" s="32">
        <f t="shared" si="4"/>
        <v>82159.33</v>
      </c>
      <c r="Q297" s="32"/>
      <c r="R297" s="32"/>
      <c r="S297" s="2"/>
      <c r="T297" s="2"/>
      <c r="U297" s="2"/>
      <c r="V297" s="2"/>
      <c r="W297" s="2"/>
      <c r="X297" s="30"/>
      <c r="Y297" s="30"/>
      <c r="Z297" s="32"/>
      <c r="AA297" s="32"/>
      <c r="AB297" s="32"/>
      <c r="AC297" s="32"/>
      <c r="AD297" s="32"/>
      <c r="AE297" s="32"/>
      <c r="AF297" s="32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spans="1:50" x14ac:dyDescent="0.25">
      <c r="A298" s="2">
        <v>271</v>
      </c>
      <c r="B298" s="2">
        <v>1</v>
      </c>
      <c r="C298" s="2" t="s">
        <v>312</v>
      </c>
      <c r="D298" s="2">
        <v>448</v>
      </c>
      <c r="E298" s="2" t="s">
        <v>317</v>
      </c>
      <c r="F298" s="29">
        <v>0</v>
      </c>
      <c r="G298" s="30">
        <v>0.74774774774774777</v>
      </c>
      <c r="H298" s="30">
        <v>0.69506726457399104</v>
      </c>
      <c r="I298" s="37">
        <v>396.31</v>
      </c>
      <c r="J298" s="37">
        <v>368.39</v>
      </c>
      <c r="K298" s="32">
        <v>56</v>
      </c>
      <c r="L298" s="32">
        <v>72</v>
      </c>
      <c r="M298" s="32">
        <v>22193.360000000001</v>
      </c>
      <c r="N298" s="32">
        <v>26524.080000000002</v>
      </c>
      <c r="O298" s="32">
        <v>48717.440000000002</v>
      </c>
      <c r="P298" s="32">
        <f t="shared" si="4"/>
        <v>46563.14</v>
      </c>
      <c r="Q298" s="32"/>
      <c r="R298" s="32"/>
      <c r="S298" s="2"/>
      <c r="T298" s="2"/>
      <c r="U298" s="2"/>
      <c r="V298" s="2"/>
      <c r="W298" s="2"/>
      <c r="X298" s="30"/>
      <c r="Y298" s="30"/>
      <c r="Z298" s="32"/>
      <c r="AA298" s="32"/>
      <c r="AB298" s="32"/>
      <c r="AC298" s="32"/>
      <c r="AD298" s="32"/>
      <c r="AE298" s="32"/>
      <c r="AF298" s="32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1:50" x14ac:dyDescent="0.25">
      <c r="A299" s="2">
        <v>271</v>
      </c>
      <c r="B299" s="2">
        <v>1</v>
      </c>
      <c r="C299" s="2" t="s">
        <v>312</v>
      </c>
      <c r="D299" s="2">
        <v>450</v>
      </c>
      <c r="E299" s="2" t="s">
        <v>318</v>
      </c>
      <c r="F299" s="29">
        <v>0</v>
      </c>
      <c r="G299" s="30">
        <v>0.83524904214559392</v>
      </c>
      <c r="H299" s="30">
        <v>0.84399999999999997</v>
      </c>
      <c r="I299" s="37">
        <v>442.68</v>
      </c>
      <c r="J299" s="37">
        <v>447.32</v>
      </c>
      <c r="K299" s="32">
        <v>92</v>
      </c>
      <c r="L299" s="32">
        <v>95</v>
      </c>
      <c r="M299" s="32">
        <v>40726.559999999998</v>
      </c>
      <c r="N299" s="32">
        <v>42495.4</v>
      </c>
      <c r="O299" s="32">
        <v>83221.959999999992</v>
      </c>
      <c r="P299" s="32">
        <f t="shared" si="4"/>
        <v>79541.87</v>
      </c>
      <c r="Q299" s="32"/>
      <c r="R299" s="32"/>
      <c r="S299" s="2"/>
      <c r="T299" s="2"/>
      <c r="U299" s="2"/>
      <c r="V299" s="2"/>
      <c r="W299" s="2"/>
      <c r="X299" s="30"/>
      <c r="Y299" s="30"/>
      <c r="Z299" s="32"/>
      <c r="AA299" s="32"/>
      <c r="AB299" s="32"/>
      <c r="AC299" s="32"/>
      <c r="AD299" s="32"/>
      <c r="AE299" s="32"/>
      <c r="AF299" s="32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spans="1:50" x14ac:dyDescent="0.25">
      <c r="A300" s="2">
        <v>271</v>
      </c>
      <c r="B300" s="2">
        <v>1</v>
      </c>
      <c r="C300" s="2" t="s">
        <v>312</v>
      </c>
      <c r="D300" s="2">
        <v>454</v>
      </c>
      <c r="E300" s="2" t="s">
        <v>319</v>
      </c>
      <c r="F300" s="29">
        <v>0</v>
      </c>
      <c r="G300" s="30">
        <v>0.79187817258883253</v>
      </c>
      <c r="H300" s="30">
        <v>0.83425414364640882</v>
      </c>
      <c r="I300" s="37">
        <v>419.7</v>
      </c>
      <c r="J300" s="37">
        <v>442.15</v>
      </c>
      <c r="K300" s="32">
        <v>78</v>
      </c>
      <c r="L300" s="32">
        <v>66</v>
      </c>
      <c r="M300" s="32">
        <v>32736.6</v>
      </c>
      <c r="N300" s="32">
        <v>29181.9</v>
      </c>
      <c r="O300" s="32">
        <v>61918.5</v>
      </c>
      <c r="P300" s="32">
        <f t="shared" si="4"/>
        <v>59180.45</v>
      </c>
      <c r="Q300" s="32"/>
      <c r="R300" s="32"/>
      <c r="S300" s="2"/>
      <c r="T300" s="2"/>
      <c r="U300" s="2"/>
      <c r="V300" s="2"/>
      <c r="W300" s="2"/>
      <c r="X300" s="30"/>
      <c r="Y300" s="30"/>
      <c r="Z300" s="32"/>
      <c r="AA300" s="32"/>
      <c r="AB300" s="32"/>
      <c r="AC300" s="32"/>
      <c r="AD300" s="32"/>
      <c r="AE300" s="32"/>
      <c r="AF300" s="32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spans="1:50" x14ac:dyDescent="0.25">
      <c r="A301" s="2">
        <v>271</v>
      </c>
      <c r="B301" s="2">
        <v>1</v>
      </c>
      <c r="C301" s="2" t="s">
        <v>312</v>
      </c>
      <c r="D301" s="2">
        <v>455</v>
      </c>
      <c r="E301" s="2" t="s">
        <v>320</v>
      </c>
      <c r="F301" s="29">
        <v>0</v>
      </c>
      <c r="G301" s="30">
        <v>0.82524271844660191</v>
      </c>
      <c r="H301" s="30">
        <v>0.893719806763285</v>
      </c>
      <c r="I301" s="37">
        <v>437.38</v>
      </c>
      <c r="J301" s="37">
        <v>473.67</v>
      </c>
      <c r="K301" s="32">
        <v>68</v>
      </c>
      <c r="L301" s="32">
        <v>70</v>
      </c>
      <c r="M301" s="32">
        <v>29741.84</v>
      </c>
      <c r="N301" s="32">
        <v>33156.9</v>
      </c>
      <c r="O301" s="32">
        <v>62898.740000000005</v>
      </c>
      <c r="P301" s="32">
        <f t="shared" si="4"/>
        <v>60117.34</v>
      </c>
      <c r="Q301" s="32"/>
      <c r="R301" s="32"/>
      <c r="S301" s="2"/>
      <c r="T301" s="2"/>
      <c r="U301" s="2"/>
      <c r="V301" s="2"/>
      <c r="W301" s="2"/>
      <c r="X301" s="30"/>
      <c r="Y301" s="30"/>
      <c r="Z301" s="32"/>
      <c r="AA301" s="32"/>
      <c r="AB301" s="32"/>
      <c r="AC301" s="32"/>
      <c r="AD301" s="32"/>
      <c r="AE301" s="32"/>
      <c r="AF301" s="32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spans="1:50" x14ac:dyDescent="0.25">
      <c r="A302" s="2">
        <v>271</v>
      </c>
      <c r="B302" s="2">
        <v>1</v>
      </c>
      <c r="C302" s="2" t="s">
        <v>312</v>
      </c>
      <c r="D302" s="2">
        <v>459</v>
      </c>
      <c r="E302" s="2" t="s">
        <v>89</v>
      </c>
      <c r="F302" s="29">
        <v>0</v>
      </c>
      <c r="G302" s="30">
        <v>0.61347517730496459</v>
      </c>
      <c r="H302" s="30">
        <v>0.67647058823529416</v>
      </c>
      <c r="I302" s="37">
        <v>325.14</v>
      </c>
      <c r="J302" s="37">
        <v>358.53</v>
      </c>
      <c r="K302" s="32">
        <v>94</v>
      </c>
      <c r="L302" s="32">
        <v>83</v>
      </c>
      <c r="M302" s="32">
        <v>30563.16</v>
      </c>
      <c r="N302" s="32">
        <v>29757.99</v>
      </c>
      <c r="O302" s="32">
        <v>60321.15</v>
      </c>
      <c r="P302" s="32">
        <f t="shared" si="4"/>
        <v>57653.73</v>
      </c>
      <c r="Q302" s="32"/>
      <c r="R302" s="32"/>
      <c r="S302" s="2"/>
      <c r="T302" s="2"/>
      <c r="U302" s="2"/>
      <c r="V302" s="2"/>
      <c r="W302" s="2"/>
      <c r="X302" s="30"/>
      <c r="Y302" s="30"/>
      <c r="Z302" s="32"/>
      <c r="AA302" s="32"/>
      <c r="AB302" s="32"/>
      <c r="AC302" s="32"/>
      <c r="AD302" s="32"/>
      <c r="AE302" s="32"/>
      <c r="AF302" s="32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spans="1:50" x14ac:dyDescent="0.25">
      <c r="A303" s="2">
        <v>271</v>
      </c>
      <c r="B303" s="2">
        <v>1</v>
      </c>
      <c r="C303" s="2" t="s">
        <v>312</v>
      </c>
      <c r="D303" s="2">
        <v>461</v>
      </c>
      <c r="E303" s="2" t="s">
        <v>321</v>
      </c>
      <c r="F303" s="29">
        <v>0</v>
      </c>
      <c r="G303" s="30">
        <v>0.79041916167664672</v>
      </c>
      <c r="H303" s="30">
        <v>0.6987951807228916</v>
      </c>
      <c r="I303" s="37">
        <v>418.92</v>
      </c>
      <c r="J303" s="37">
        <v>370.36</v>
      </c>
      <c r="K303" s="32">
        <v>63</v>
      </c>
      <c r="L303" s="32">
        <v>67</v>
      </c>
      <c r="M303" s="32">
        <v>26391.96</v>
      </c>
      <c r="N303" s="32">
        <v>24814.12</v>
      </c>
      <c r="O303" s="32">
        <v>51206.080000000002</v>
      </c>
      <c r="P303" s="32">
        <f t="shared" si="4"/>
        <v>48941.73</v>
      </c>
      <c r="Q303" s="32"/>
      <c r="R303" s="32"/>
      <c r="S303" s="2"/>
      <c r="T303" s="2"/>
      <c r="U303" s="2"/>
      <c r="V303" s="2"/>
      <c r="W303" s="2"/>
      <c r="X303" s="30"/>
      <c r="Y303" s="30"/>
      <c r="Z303" s="32"/>
      <c r="AA303" s="32"/>
      <c r="AB303" s="32"/>
      <c r="AC303" s="32"/>
      <c r="AD303" s="32"/>
      <c r="AE303" s="32"/>
      <c r="AF303" s="32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spans="1:50" x14ac:dyDescent="0.25">
      <c r="A304" s="2">
        <v>272</v>
      </c>
      <c r="B304" s="2">
        <v>1</v>
      </c>
      <c r="C304" s="2" t="s">
        <v>322</v>
      </c>
      <c r="D304" s="2">
        <v>880</v>
      </c>
      <c r="E304" s="2" t="s">
        <v>1366</v>
      </c>
      <c r="F304" s="29">
        <v>0</v>
      </c>
      <c r="G304" s="30">
        <v>0.98039215686274506</v>
      </c>
      <c r="H304" s="30">
        <v>0.83064516129032262</v>
      </c>
      <c r="I304" s="37">
        <v>519.61</v>
      </c>
      <c r="J304" s="37">
        <v>440.24</v>
      </c>
      <c r="K304" s="32">
        <v>98</v>
      </c>
      <c r="L304" s="32">
        <v>135</v>
      </c>
      <c r="M304" s="32">
        <v>50921.78</v>
      </c>
      <c r="N304" s="32">
        <v>59432.4</v>
      </c>
      <c r="O304" s="32">
        <v>110354.18</v>
      </c>
      <c r="P304" s="32">
        <f t="shared" si="4"/>
        <v>105474.29</v>
      </c>
      <c r="Q304" s="32"/>
      <c r="R304" s="32"/>
      <c r="S304" s="3"/>
      <c r="T304" s="3"/>
      <c r="V304" s="27"/>
      <c r="W304" s="2"/>
      <c r="X304" s="30"/>
      <c r="Y304" s="30"/>
      <c r="Z304" s="32"/>
      <c r="AA304" s="32"/>
      <c r="AB304" s="32"/>
      <c r="AC304" s="32"/>
      <c r="AD304" s="32"/>
      <c r="AE304" s="32"/>
      <c r="AF304" s="32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spans="1:50" x14ac:dyDescent="0.25">
      <c r="A305" s="2">
        <v>272</v>
      </c>
      <c r="B305" s="2">
        <v>1</v>
      </c>
      <c r="C305" s="2" t="s">
        <v>322</v>
      </c>
      <c r="D305" s="2">
        <v>881</v>
      </c>
      <c r="E305" s="2" t="s">
        <v>323</v>
      </c>
      <c r="F305" s="29">
        <v>0</v>
      </c>
      <c r="G305" s="30">
        <v>0.8717201166180758</v>
      </c>
      <c r="H305" s="30">
        <v>0.80939226519337015</v>
      </c>
      <c r="I305" s="37">
        <v>462.01</v>
      </c>
      <c r="J305" s="37">
        <v>428.98</v>
      </c>
      <c r="K305" s="32">
        <v>103</v>
      </c>
      <c r="L305" s="32">
        <v>96</v>
      </c>
      <c r="M305" s="32">
        <v>47587.03</v>
      </c>
      <c r="N305" s="32">
        <v>41182.080000000002</v>
      </c>
      <c r="O305" s="32">
        <v>88769.11</v>
      </c>
      <c r="P305" s="32">
        <f t="shared" si="4"/>
        <v>84843.72</v>
      </c>
      <c r="Q305" s="32"/>
      <c r="R305" s="32"/>
      <c r="S305" s="2"/>
      <c r="T305" s="2"/>
      <c r="U305" s="2"/>
      <c r="V305" s="2"/>
      <c r="W305" s="2"/>
      <c r="X305" s="30"/>
      <c r="Y305" s="30"/>
      <c r="Z305" s="32"/>
      <c r="AA305" s="32"/>
      <c r="AB305" s="32"/>
      <c r="AC305" s="32"/>
      <c r="AD305" s="32"/>
      <c r="AE305" s="32"/>
      <c r="AF305" s="32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spans="1:50" x14ac:dyDescent="0.25">
      <c r="A306" s="2">
        <v>272</v>
      </c>
      <c r="B306" s="2">
        <v>1</v>
      </c>
      <c r="C306" s="2" t="s">
        <v>322</v>
      </c>
      <c r="D306" s="2">
        <v>882</v>
      </c>
      <c r="E306" s="2" t="s">
        <v>324</v>
      </c>
      <c r="F306" s="29">
        <v>0</v>
      </c>
      <c r="G306" s="30">
        <v>0.83040935672514615</v>
      </c>
      <c r="H306" s="30">
        <v>0.92666666666666664</v>
      </c>
      <c r="I306" s="37">
        <v>440.12</v>
      </c>
      <c r="J306" s="37">
        <v>491.13</v>
      </c>
      <c r="K306" s="32">
        <v>89</v>
      </c>
      <c r="L306" s="32">
        <v>95</v>
      </c>
      <c r="M306" s="32">
        <v>39170.68</v>
      </c>
      <c r="N306" s="32">
        <v>46657.35</v>
      </c>
      <c r="O306" s="32">
        <v>85828.03</v>
      </c>
      <c r="P306" s="32">
        <f t="shared" si="4"/>
        <v>82032.69</v>
      </c>
      <c r="Q306" s="32"/>
      <c r="R306" s="32"/>
      <c r="S306" s="2"/>
      <c r="T306" s="2"/>
      <c r="U306" s="2"/>
      <c r="V306" s="2"/>
      <c r="W306" s="2"/>
      <c r="X306" s="30"/>
      <c r="Y306" s="30"/>
      <c r="Z306" s="32"/>
      <c r="AA306" s="32"/>
      <c r="AB306" s="32"/>
      <c r="AC306" s="32"/>
      <c r="AD306" s="32"/>
      <c r="AE306" s="32"/>
      <c r="AF306" s="32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spans="1:50" x14ac:dyDescent="0.25">
      <c r="A307" s="2">
        <v>272</v>
      </c>
      <c r="B307" s="2">
        <v>1</v>
      </c>
      <c r="C307" s="2" t="s">
        <v>322</v>
      </c>
      <c r="D307" s="2">
        <v>883</v>
      </c>
      <c r="E307" s="2" t="s">
        <v>325</v>
      </c>
      <c r="F307" s="29">
        <v>0</v>
      </c>
      <c r="G307" s="30">
        <v>0.84407484407484412</v>
      </c>
      <c r="H307" s="30">
        <v>0.83484162895927605</v>
      </c>
      <c r="I307" s="37">
        <v>447.36</v>
      </c>
      <c r="J307" s="37">
        <v>442.47</v>
      </c>
      <c r="K307" s="32">
        <v>144</v>
      </c>
      <c r="L307" s="32">
        <v>129</v>
      </c>
      <c r="M307" s="32">
        <v>64419.839999999997</v>
      </c>
      <c r="N307" s="32">
        <v>57078.63</v>
      </c>
      <c r="O307" s="32">
        <v>121498.47</v>
      </c>
      <c r="P307" s="32">
        <f t="shared" si="4"/>
        <v>116125.78</v>
      </c>
      <c r="Q307" s="32"/>
      <c r="R307" s="32"/>
      <c r="S307" s="2"/>
      <c r="T307" s="2"/>
      <c r="U307" s="2"/>
      <c r="V307" s="2"/>
      <c r="W307" s="2"/>
      <c r="X307" s="30"/>
      <c r="Y307" s="30"/>
      <c r="Z307" s="32"/>
      <c r="AA307" s="32"/>
      <c r="AB307" s="32"/>
      <c r="AC307" s="32"/>
      <c r="AD307" s="32"/>
      <c r="AE307" s="32"/>
      <c r="AF307" s="32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spans="1:50" x14ac:dyDescent="0.25">
      <c r="A308" s="2">
        <v>272</v>
      </c>
      <c r="B308" s="2">
        <v>1</v>
      </c>
      <c r="C308" s="2" t="s">
        <v>322</v>
      </c>
      <c r="D308" s="2">
        <v>886</v>
      </c>
      <c r="E308" s="2" t="s">
        <v>326</v>
      </c>
      <c r="F308" s="29">
        <v>0</v>
      </c>
      <c r="G308" s="30">
        <v>0.88011695906432752</v>
      </c>
      <c r="H308" s="30">
        <v>0.85987261146496818</v>
      </c>
      <c r="I308" s="37">
        <v>466.46</v>
      </c>
      <c r="J308" s="37">
        <v>455.73</v>
      </c>
      <c r="K308" s="32">
        <v>106</v>
      </c>
      <c r="L308" s="32">
        <v>108</v>
      </c>
      <c r="M308" s="32">
        <v>49444.76</v>
      </c>
      <c r="N308" s="32">
        <v>49218.84</v>
      </c>
      <c r="O308" s="32">
        <v>98663.6</v>
      </c>
      <c r="P308" s="32">
        <f t="shared" si="4"/>
        <v>94300.67</v>
      </c>
      <c r="Q308" s="32"/>
      <c r="R308" s="32"/>
      <c r="S308" s="2"/>
      <c r="T308" s="2"/>
      <c r="U308" s="2"/>
      <c r="V308" s="2"/>
      <c r="W308" s="2"/>
      <c r="X308" s="30"/>
      <c r="Y308" s="30"/>
      <c r="Z308" s="32"/>
      <c r="AA308" s="32"/>
      <c r="AB308" s="32"/>
      <c r="AC308" s="32"/>
      <c r="AD308" s="32"/>
      <c r="AE308" s="32"/>
      <c r="AF308" s="32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spans="1:50" x14ac:dyDescent="0.25">
      <c r="A309" s="2">
        <v>272</v>
      </c>
      <c r="B309" s="2">
        <v>1</v>
      </c>
      <c r="C309" s="2" t="s">
        <v>322</v>
      </c>
      <c r="D309" s="2">
        <v>887</v>
      </c>
      <c r="E309" s="2" t="s">
        <v>327</v>
      </c>
      <c r="F309" s="29">
        <v>0</v>
      </c>
      <c r="G309" s="30">
        <v>0.89414414414414412</v>
      </c>
      <c r="H309" s="30">
        <v>0.80760095011876487</v>
      </c>
      <c r="I309" s="37">
        <v>473.9</v>
      </c>
      <c r="J309" s="37">
        <v>428.03</v>
      </c>
      <c r="K309" s="32">
        <v>111</v>
      </c>
      <c r="L309" s="32">
        <v>127</v>
      </c>
      <c r="M309" s="32">
        <v>52602.9</v>
      </c>
      <c r="N309" s="32">
        <v>54359.81</v>
      </c>
      <c r="O309" s="32">
        <v>106962.70999999999</v>
      </c>
      <c r="P309" s="32">
        <f t="shared" si="4"/>
        <v>102232.79</v>
      </c>
      <c r="Q309" s="32"/>
      <c r="R309" s="32"/>
      <c r="S309" s="2"/>
      <c r="T309" s="2"/>
      <c r="U309" s="2"/>
      <c r="V309" s="2"/>
      <c r="W309" s="2"/>
      <c r="X309" s="30"/>
      <c r="Y309" s="30"/>
      <c r="Z309" s="32"/>
      <c r="AA309" s="32"/>
      <c r="AB309" s="32"/>
      <c r="AC309" s="32"/>
      <c r="AD309" s="32"/>
      <c r="AE309" s="32"/>
      <c r="AF309" s="32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spans="1:50" x14ac:dyDescent="0.25">
      <c r="A310" s="2">
        <v>273</v>
      </c>
      <c r="B310" s="2">
        <v>1</v>
      </c>
      <c r="C310" s="2" t="s">
        <v>328</v>
      </c>
      <c r="D310" s="2">
        <v>526</v>
      </c>
      <c r="E310" s="2" t="s">
        <v>329</v>
      </c>
      <c r="F310" s="29">
        <v>0</v>
      </c>
      <c r="G310" s="30">
        <v>0.94010416666666663</v>
      </c>
      <c r="H310" s="30">
        <v>0.87601078167115898</v>
      </c>
      <c r="I310" s="37">
        <v>498.26</v>
      </c>
      <c r="J310" s="37">
        <v>464.29</v>
      </c>
      <c r="K310" s="32">
        <v>128</v>
      </c>
      <c r="L310" s="32">
        <v>133</v>
      </c>
      <c r="M310" s="32">
        <v>63777.279999999999</v>
      </c>
      <c r="N310" s="32">
        <v>61750.57</v>
      </c>
      <c r="O310" s="32">
        <v>125527.85</v>
      </c>
      <c r="P310" s="32">
        <f t="shared" si="4"/>
        <v>119976.98</v>
      </c>
      <c r="Q310" s="32"/>
      <c r="R310" s="32"/>
      <c r="S310" s="2"/>
      <c r="T310" s="2"/>
      <c r="U310" s="2"/>
      <c r="V310" s="2"/>
      <c r="W310" s="2"/>
      <c r="X310" s="30"/>
      <c r="Y310" s="30"/>
      <c r="Z310" s="32"/>
      <c r="AA310" s="32"/>
      <c r="AB310" s="32"/>
      <c r="AC310" s="32"/>
      <c r="AD310" s="32"/>
      <c r="AE310" s="32"/>
      <c r="AF310" s="32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spans="1:50" x14ac:dyDescent="0.25">
      <c r="A311" s="2">
        <v>273</v>
      </c>
      <c r="B311" s="2">
        <v>1</v>
      </c>
      <c r="C311" s="2" t="s">
        <v>328</v>
      </c>
      <c r="D311" s="2">
        <v>527</v>
      </c>
      <c r="E311" s="2" t="s">
        <v>330</v>
      </c>
      <c r="F311" s="29">
        <v>0</v>
      </c>
      <c r="G311" s="30">
        <v>0.88345864661654139</v>
      </c>
      <c r="H311" s="30">
        <v>0.83461538461538465</v>
      </c>
      <c r="I311" s="37">
        <v>468.23</v>
      </c>
      <c r="J311" s="37">
        <v>442.35</v>
      </c>
      <c r="K311" s="32">
        <v>90</v>
      </c>
      <c r="L311" s="32">
        <v>100</v>
      </c>
      <c r="M311" s="32">
        <v>42140.7</v>
      </c>
      <c r="N311" s="32">
        <v>44235</v>
      </c>
      <c r="O311" s="32">
        <v>86375.7</v>
      </c>
      <c r="P311" s="32">
        <f t="shared" si="4"/>
        <v>82556.149999999994</v>
      </c>
      <c r="Q311" s="32"/>
      <c r="R311" s="32"/>
      <c r="S311" s="2"/>
      <c r="T311" s="2"/>
      <c r="U311" s="2"/>
      <c r="V311" s="2"/>
      <c r="W311" s="2"/>
      <c r="X311" s="30"/>
      <c r="Y311" s="30"/>
      <c r="Z311" s="32"/>
      <c r="AA311" s="32"/>
      <c r="AB311" s="32"/>
      <c r="AC311" s="32"/>
      <c r="AD311" s="32"/>
      <c r="AE311" s="32"/>
      <c r="AF311" s="32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spans="1:50" x14ac:dyDescent="0.25">
      <c r="A312" s="2">
        <v>273</v>
      </c>
      <c r="B312" s="2">
        <v>1</v>
      </c>
      <c r="C312" s="2" t="s">
        <v>328</v>
      </c>
      <c r="D312" s="2">
        <v>528</v>
      </c>
      <c r="E312" s="2" t="s">
        <v>331</v>
      </c>
      <c r="F312" s="29">
        <v>0</v>
      </c>
      <c r="G312" s="30">
        <v>0.91205211726384361</v>
      </c>
      <c r="H312" s="30">
        <v>0.82059800664451832</v>
      </c>
      <c r="I312" s="37">
        <v>483.39</v>
      </c>
      <c r="J312" s="37">
        <v>434.92</v>
      </c>
      <c r="K312" s="32">
        <v>103</v>
      </c>
      <c r="L312" s="32">
        <v>104</v>
      </c>
      <c r="M312" s="32">
        <v>49789.17</v>
      </c>
      <c r="N312" s="32">
        <v>45231.68</v>
      </c>
      <c r="O312" s="32">
        <v>95020.85</v>
      </c>
      <c r="P312" s="32">
        <f t="shared" si="4"/>
        <v>90819.01</v>
      </c>
      <c r="Q312" s="32"/>
      <c r="R312" s="32"/>
      <c r="S312" s="2"/>
      <c r="T312" s="2"/>
      <c r="U312" s="2"/>
      <c r="V312" s="2"/>
      <c r="W312" s="2"/>
      <c r="X312" s="30"/>
      <c r="Y312" s="30"/>
      <c r="Z312" s="32"/>
      <c r="AA312" s="32"/>
      <c r="AB312" s="32"/>
      <c r="AC312" s="32"/>
      <c r="AD312" s="32"/>
      <c r="AE312" s="32"/>
      <c r="AF312" s="32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spans="1:50" x14ac:dyDescent="0.25">
      <c r="A313" s="2">
        <v>273</v>
      </c>
      <c r="B313" s="2">
        <v>1</v>
      </c>
      <c r="C313" s="2" t="s">
        <v>328</v>
      </c>
      <c r="D313" s="2">
        <v>529</v>
      </c>
      <c r="E313" s="2" t="s">
        <v>332</v>
      </c>
      <c r="F313" s="29">
        <v>0</v>
      </c>
      <c r="G313" s="30">
        <v>0.93501805054151621</v>
      </c>
      <c r="H313" s="30">
        <v>0.84587813620071683</v>
      </c>
      <c r="I313" s="37">
        <v>495.56</v>
      </c>
      <c r="J313" s="37">
        <v>448.32</v>
      </c>
      <c r="K313" s="32">
        <v>88</v>
      </c>
      <c r="L313" s="32">
        <v>96</v>
      </c>
      <c r="M313" s="32">
        <v>43609.279999999999</v>
      </c>
      <c r="N313" s="32">
        <v>43038.720000000001</v>
      </c>
      <c r="O313" s="32">
        <v>86648</v>
      </c>
      <c r="P313" s="32">
        <f t="shared" si="4"/>
        <v>82816.399999999994</v>
      </c>
      <c r="Q313" s="32"/>
      <c r="R313" s="32"/>
      <c r="S313" s="2"/>
      <c r="T313" s="2"/>
      <c r="U313" s="2"/>
      <c r="V313" s="2"/>
      <c r="W313" s="2"/>
      <c r="X313" s="30"/>
      <c r="Y313" s="30"/>
      <c r="Z313" s="32"/>
      <c r="AA313" s="32"/>
      <c r="AB313" s="32"/>
      <c r="AC313" s="32"/>
      <c r="AD313" s="32"/>
      <c r="AE313" s="32"/>
      <c r="AF313" s="32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spans="1:50" x14ac:dyDescent="0.25">
      <c r="A314" s="2">
        <v>273</v>
      </c>
      <c r="B314" s="2">
        <v>1</v>
      </c>
      <c r="C314" s="2" t="s">
        <v>328</v>
      </c>
      <c r="D314" s="2">
        <v>532</v>
      </c>
      <c r="E314" s="2" t="s">
        <v>333</v>
      </c>
      <c r="F314" s="29">
        <v>0</v>
      </c>
      <c r="G314" s="30">
        <v>0.92880258899676371</v>
      </c>
      <c r="H314" s="30">
        <v>0.77852348993288589</v>
      </c>
      <c r="I314" s="37">
        <v>492.27</v>
      </c>
      <c r="J314" s="37">
        <v>412.62</v>
      </c>
      <c r="K314" s="32">
        <v>115</v>
      </c>
      <c r="L314" s="32">
        <v>108</v>
      </c>
      <c r="M314" s="32">
        <v>56611.05</v>
      </c>
      <c r="N314" s="32">
        <v>44562.96</v>
      </c>
      <c r="O314" s="32">
        <v>101174.01000000001</v>
      </c>
      <c r="P314" s="32">
        <f t="shared" si="4"/>
        <v>96700.07</v>
      </c>
      <c r="Q314" s="32"/>
      <c r="R314" s="32"/>
      <c r="S314" s="2"/>
      <c r="T314" s="2"/>
      <c r="U314" s="2"/>
      <c r="V314" s="2"/>
      <c r="W314" s="2"/>
      <c r="X314" s="30"/>
      <c r="Y314" s="30"/>
      <c r="Z314" s="32"/>
      <c r="AA314" s="32"/>
      <c r="AB314" s="32"/>
      <c r="AC314" s="32"/>
      <c r="AD314" s="32"/>
      <c r="AE314" s="32"/>
      <c r="AF314" s="32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spans="1:50" x14ac:dyDescent="0.25">
      <c r="A315" s="2">
        <v>273</v>
      </c>
      <c r="B315" s="2">
        <v>1</v>
      </c>
      <c r="C315" s="2" t="s">
        <v>328</v>
      </c>
      <c r="D315" s="2">
        <v>533</v>
      </c>
      <c r="E315" s="2" t="s">
        <v>334</v>
      </c>
      <c r="F315" s="29">
        <v>0</v>
      </c>
      <c r="G315" s="30">
        <v>0.95409836065573772</v>
      </c>
      <c r="H315" s="30">
        <v>0.8571428571428571</v>
      </c>
      <c r="I315" s="37">
        <v>505.67</v>
      </c>
      <c r="J315" s="37">
        <v>454.29</v>
      </c>
      <c r="K315" s="32">
        <v>102</v>
      </c>
      <c r="L315" s="32">
        <v>97</v>
      </c>
      <c r="M315" s="32">
        <v>51578.34</v>
      </c>
      <c r="N315" s="32">
        <v>44066.13</v>
      </c>
      <c r="O315" s="32">
        <v>95644.47</v>
      </c>
      <c r="P315" s="32">
        <f t="shared" si="4"/>
        <v>91415.05</v>
      </c>
      <c r="Q315" s="32"/>
      <c r="R315" s="32"/>
      <c r="S315" s="2"/>
      <c r="T315" s="2"/>
      <c r="U315" s="2"/>
      <c r="V315" s="2"/>
      <c r="W315" s="2"/>
      <c r="X315" s="30"/>
      <c r="Y315" s="30"/>
      <c r="Z315" s="32"/>
      <c r="AA315" s="32"/>
      <c r="AB315" s="32"/>
      <c r="AC315" s="32"/>
      <c r="AD315" s="32"/>
      <c r="AE315" s="32"/>
      <c r="AF315" s="32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spans="1:50" x14ac:dyDescent="0.25">
      <c r="A316" s="2">
        <v>276</v>
      </c>
      <c r="B316" s="2">
        <v>1</v>
      </c>
      <c r="C316" s="2" t="s">
        <v>335</v>
      </c>
      <c r="D316" s="2">
        <v>601</v>
      </c>
      <c r="E316" s="2" t="s">
        <v>336</v>
      </c>
      <c r="F316" s="29">
        <v>0</v>
      </c>
      <c r="G316" s="30">
        <v>0.88813559322033897</v>
      </c>
      <c r="H316" s="30">
        <v>0.84883720930232553</v>
      </c>
      <c r="I316" s="37">
        <v>470.71</v>
      </c>
      <c r="J316" s="37">
        <v>449.88</v>
      </c>
      <c r="K316" s="32">
        <v>118</v>
      </c>
      <c r="L316" s="32">
        <v>82</v>
      </c>
      <c r="M316" s="32">
        <v>55543.78</v>
      </c>
      <c r="N316" s="32">
        <v>36890.160000000003</v>
      </c>
      <c r="O316" s="32">
        <v>92433.94</v>
      </c>
      <c r="P316" s="32">
        <f t="shared" si="4"/>
        <v>88346.49</v>
      </c>
      <c r="Q316" s="32"/>
      <c r="R316" s="32"/>
      <c r="S316" s="2"/>
      <c r="T316" s="2"/>
      <c r="U316" s="2"/>
      <c r="V316" s="2"/>
      <c r="W316" s="2"/>
      <c r="X316" s="30"/>
      <c r="Y316" s="30"/>
      <c r="Z316" s="32"/>
      <c r="AA316" s="32"/>
      <c r="AB316" s="32"/>
      <c r="AC316" s="32"/>
      <c r="AD316" s="32"/>
      <c r="AE316" s="32"/>
      <c r="AF316" s="32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spans="1:50" x14ac:dyDescent="0.25">
      <c r="A317" s="2">
        <v>276</v>
      </c>
      <c r="B317" s="2">
        <v>1</v>
      </c>
      <c r="C317" s="2" t="s">
        <v>335</v>
      </c>
      <c r="D317" s="2">
        <v>602</v>
      </c>
      <c r="E317" s="2" t="s">
        <v>337</v>
      </c>
      <c r="F317" s="29">
        <v>0</v>
      </c>
      <c r="G317" s="30">
        <v>0.94296577946768056</v>
      </c>
      <c r="H317" s="30">
        <v>0.8936170212765957</v>
      </c>
      <c r="I317" s="37">
        <v>499.77</v>
      </c>
      <c r="J317" s="37">
        <v>473.62</v>
      </c>
      <c r="K317" s="32">
        <v>96</v>
      </c>
      <c r="L317" s="32">
        <v>82</v>
      </c>
      <c r="M317" s="32">
        <v>47977.919999999998</v>
      </c>
      <c r="N317" s="32">
        <v>38836.839999999997</v>
      </c>
      <c r="O317" s="32">
        <v>86814.76</v>
      </c>
      <c r="P317" s="32">
        <f t="shared" si="4"/>
        <v>82975.789999999994</v>
      </c>
      <c r="Q317" s="32"/>
      <c r="R317" s="32"/>
      <c r="S317" s="2"/>
      <c r="T317" s="2"/>
      <c r="U317" s="2"/>
      <c r="V317" s="2"/>
      <c r="W317" s="2"/>
      <c r="X317" s="30"/>
      <c r="Y317" s="30"/>
      <c r="Z317" s="32"/>
      <c r="AA317" s="32"/>
      <c r="AB317" s="32"/>
      <c r="AC317" s="32"/>
      <c r="AD317" s="32"/>
      <c r="AE317" s="32"/>
      <c r="AF317" s="32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spans="1:50" x14ac:dyDescent="0.25">
      <c r="A318" s="7">
        <v>276</v>
      </c>
      <c r="B318" s="7">
        <v>1</v>
      </c>
      <c r="C318" s="7" t="s">
        <v>335</v>
      </c>
      <c r="D318" s="7">
        <v>603</v>
      </c>
      <c r="E318" s="7" t="s">
        <v>338</v>
      </c>
      <c r="F318" s="38">
        <v>0</v>
      </c>
      <c r="G318" s="30">
        <v>0.93606138107416881</v>
      </c>
      <c r="H318" s="30">
        <v>0.86422976501305482</v>
      </c>
      <c r="I318" s="37">
        <v>496.11</v>
      </c>
      <c r="J318" s="37">
        <v>458.04</v>
      </c>
      <c r="K318" s="32">
        <v>138</v>
      </c>
      <c r="L318" s="32">
        <v>146</v>
      </c>
      <c r="M318" s="32">
        <v>68463.179999999993</v>
      </c>
      <c r="N318" s="32">
        <v>66873.84</v>
      </c>
      <c r="O318" s="32">
        <v>135337.01999999999</v>
      </c>
      <c r="P318" s="32">
        <f t="shared" si="4"/>
        <v>129352.38</v>
      </c>
      <c r="Q318" s="32"/>
      <c r="R318" s="32"/>
      <c r="S318" s="2"/>
      <c r="T318" s="2"/>
      <c r="U318" s="2"/>
      <c r="V318" s="2"/>
      <c r="W318" s="2"/>
      <c r="X318" s="30"/>
      <c r="Y318" s="30"/>
      <c r="Z318" s="32"/>
      <c r="AA318" s="32"/>
      <c r="AB318" s="32"/>
      <c r="AC318" s="32"/>
      <c r="AD318" s="32"/>
      <c r="AE318" s="32"/>
      <c r="AF318" s="32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spans="1:50" x14ac:dyDescent="0.25">
      <c r="A319" s="2">
        <v>276</v>
      </c>
      <c r="B319" s="2">
        <v>1</v>
      </c>
      <c r="C319" s="2" t="s">
        <v>335</v>
      </c>
      <c r="D319" s="2">
        <v>604</v>
      </c>
      <c r="E319" s="2" t="s">
        <v>339</v>
      </c>
      <c r="F319" s="29">
        <v>0</v>
      </c>
      <c r="G319" s="30">
        <v>0.91843971631205679</v>
      </c>
      <c r="H319" s="30">
        <v>0.85074626865671643</v>
      </c>
      <c r="I319" s="37">
        <v>486.77</v>
      </c>
      <c r="J319" s="37">
        <v>450.9</v>
      </c>
      <c r="K319" s="32">
        <v>103</v>
      </c>
      <c r="L319" s="32">
        <v>106</v>
      </c>
      <c r="M319" s="32">
        <v>50137.31</v>
      </c>
      <c r="N319" s="32">
        <v>47795.4</v>
      </c>
      <c r="O319" s="32">
        <v>97932.709999999992</v>
      </c>
      <c r="P319" s="32">
        <f t="shared" si="4"/>
        <v>93602.1</v>
      </c>
      <c r="Q319" s="32"/>
      <c r="R319" s="32"/>
      <c r="S319" s="2"/>
      <c r="T319" s="2"/>
      <c r="U319" s="2"/>
      <c r="V319" s="2"/>
      <c r="W319" s="2"/>
      <c r="X319" s="30"/>
      <c r="Y319" s="30"/>
      <c r="Z319" s="32"/>
      <c r="AA319" s="32"/>
      <c r="AB319" s="32"/>
      <c r="AC319" s="32"/>
      <c r="AD319" s="32"/>
      <c r="AE319" s="32"/>
      <c r="AF319" s="32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spans="1:50" x14ac:dyDescent="0.25">
      <c r="A320" s="2">
        <v>276</v>
      </c>
      <c r="B320" s="2">
        <v>1</v>
      </c>
      <c r="C320" s="2" t="s">
        <v>335</v>
      </c>
      <c r="D320" s="2">
        <v>605</v>
      </c>
      <c r="E320" s="2" t="s">
        <v>340</v>
      </c>
      <c r="F320" s="29">
        <v>0</v>
      </c>
      <c r="G320" s="30">
        <v>0.90531177829099307</v>
      </c>
      <c r="H320" s="30">
        <v>0.77078085642317384</v>
      </c>
      <c r="I320" s="37">
        <v>479.82</v>
      </c>
      <c r="J320" s="37">
        <v>408.51</v>
      </c>
      <c r="K320" s="32">
        <v>147</v>
      </c>
      <c r="L320" s="32">
        <v>154</v>
      </c>
      <c r="M320" s="32">
        <v>70533.539999999994</v>
      </c>
      <c r="N320" s="32">
        <v>62910.54</v>
      </c>
      <c r="O320" s="32">
        <v>133444.07999999999</v>
      </c>
      <c r="P320" s="32">
        <f t="shared" si="4"/>
        <v>127543.15</v>
      </c>
      <c r="Q320" s="32"/>
      <c r="R320" s="32"/>
      <c r="S320" s="7"/>
      <c r="T320" s="7"/>
      <c r="U320" s="7"/>
      <c r="V320" s="7"/>
      <c r="W320" s="2"/>
      <c r="X320" s="30"/>
      <c r="Y320" s="30"/>
      <c r="Z320" s="32"/>
      <c r="AA320" s="32"/>
      <c r="AB320" s="32"/>
      <c r="AC320" s="32"/>
      <c r="AD320" s="32"/>
      <c r="AE320" s="32"/>
      <c r="AF320" s="32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spans="1:50" x14ac:dyDescent="0.25">
      <c r="A321" s="2">
        <v>276</v>
      </c>
      <c r="B321" s="2">
        <v>1</v>
      </c>
      <c r="C321" s="2" t="s">
        <v>335</v>
      </c>
      <c r="D321" s="2">
        <v>606</v>
      </c>
      <c r="E321" s="2" t="s">
        <v>341</v>
      </c>
      <c r="F321" s="29">
        <v>0</v>
      </c>
      <c r="G321" s="30">
        <v>0.92532467532467533</v>
      </c>
      <c r="H321" s="30">
        <v>0.86411149825783973</v>
      </c>
      <c r="I321" s="37">
        <v>490.42</v>
      </c>
      <c r="J321" s="37">
        <v>457.98</v>
      </c>
      <c r="K321" s="32">
        <v>123</v>
      </c>
      <c r="L321" s="32">
        <v>118</v>
      </c>
      <c r="M321" s="32">
        <v>60321.66</v>
      </c>
      <c r="N321" s="32">
        <v>54041.64</v>
      </c>
      <c r="O321" s="32">
        <v>114363.3</v>
      </c>
      <c r="P321" s="32">
        <f t="shared" si="4"/>
        <v>109306.13</v>
      </c>
      <c r="Q321" s="32"/>
      <c r="R321" s="32"/>
      <c r="S321" s="2"/>
      <c r="T321" s="2"/>
      <c r="U321" s="2"/>
      <c r="V321" s="2"/>
      <c r="W321" s="2"/>
      <c r="X321" s="30"/>
      <c r="Y321" s="30"/>
      <c r="Z321" s="32"/>
      <c r="AA321" s="32"/>
      <c r="AB321" s="32"/>
      <c r="AC321" s="32"/>
      <c r="AD321" s="32"/>
      <c r="AE321" s="32"/>
      <c r="AF321" s="32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spans="1:50" x14ac:dyDescent="0.25">
      <c r="A322" s="2">
        <v>277</v>
      </c>
      <c r="B322" s="2">
        <v>1</v>
      </c>
      <c r="C322" s="2" t="s">
        <v>342</v>
      </c>
      <c r="D322" s="2">
        <v>615</v>
      </c>
      <c r="E322" s="2" t="s">
        <v>343</v>
      </c>
      <c r="F322" s="29">
        <v>0</v>
      </c>
      <c r="G322" s="30">
        <v>0.97540983606557374</v>
      </c>
      <c r="H322" s="30">
        <v>0.85046728971962615</v>
      </c>
      <c r="I322" s="37">
        <v>516.97</v>
      </c>
      <c r="J322" s="37">
        <v>450.75</v>
      </c>
      <c r="K322" s="32">
        <v>87</v>
      </c>
      <c r="L322" s="32">
        <v>86</v>
      </c>
      <c r="M322" s="32">
        <v>44976.39</v>
      </c>
      <c r="N322" s="32">
        <v>38764.5</v>
      </c>
      <c r="O322" s="32">
        <v>83740.89</v>
      </c>
      <c r="P322" s="32">
        <f t="shared" si="4"/>
        <v>80037.850000000006</v>
      </c>
      <c r="Q322" s="32"/>
      <c r="R322" s="32"/>
      <c r="S322" s="2"/>
      <c r="T322" s="2"/>
      <c r="U322" s="2"/>
      <c r="V322" s="2"/>
      <c r="W322" s="2"/>
      <c r="X322" s="30"/>
      <c r="Y322" s="30"/>
      <c r="Z322" s="32"/>
      <c r="AA322" s="32"/>
      <c r="AB322" s="32"/>
      <c r="AC322" s="32"/>
      <c r="AD322" s="32"/>
      <c r="AE322" s="32"/>
      <c r="AF322" s="32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spans="1:50" x14ac:dyDescent="0.25">
      <c r="A323" s="2">
        <v>277</v>
      </c>
      <c r="B323" s="2">
        <v>1</v>
      </c>
      <c r="C323" s="2" t="s">
        <v>342</v>
      </c>
      <c r="D323" s="2">
        <v>616</v>
      </c>
      <c r="E323" s="2" t="s">
        <v>344</v>
      </c>
      <c r="F323" s="29">
        <v>0</v>
      </c>
      <c r="G323" s="30">
        <v>0.94514767932489452</v>
      </c>
      <c r="H323" s="30">
        <v>0.74285714285714288</v>
      </c>
      <c r="I323" s="37">
        <v>500.93</v>
      </c>
      <c r="J323" s="37">
        <v>393.71</v>
      </c>
      <c r="K323" s="32">
        <v>94</v>
      </c>
      <c r="L323" s="32">
        <v>81</v>
      </c>
      <c r="M323" s="32">
        <v>47087.42</v>
      </c>
      <c r="N323" s="32">
        <v>31890.51</v>
      </c>
      <c r="O323" s="32">
        <v>78977.929999999993</v>
      </c>
      <c r="P323" s="32">
        <f t="shared" si="4"/>
        <v>75485.509999999995</v>
      </c>
      <c r="Q323" s="32"/>
      <c r="R323" s="32"/>
      <c r="S323" s="2"/>
      <c r="T323" s="2"/>
      <c r="U323" s="2"/>
      <c r="V323" s="2"/>
      <c r="W323" s="2"/>
      <c r="X323" s="30"/>
      <c r="Y323" s="30"/>
      <c r="Z323" s="32"/>
      <c r="AA323" s="32"/>
      <c r="AB323" s="32"/>
      <c r="AC323" s="32"/>
      <c r="AD323" s="32"/>
      <c r="AE323" s="32"/>
      <c r="AF323" s="32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spans="1:50" x14ac:dyDescent="0.25">
      <c r="A324" s="2">
        <v>278</v>
      </c>
      <c r="B324" s="2">
        <v>1</v>
      </c>
      <c r="C324" s="2" t="s">
        <v>345</v>
      </c>
      <c r="D324" s="2">
        <v>662</v>
      </c>
      <c r="E324" s="2" t="s">
        <v>346</v>
      </c>
      <c r="F324" s="29">
        <v>0</v>
      </c>
      <c r="G324" s="30">
        <v>0.88339222614840984</v>
      </c>
      <c r="H324" s="30">
        <v>0.84642233856893545</v>
      </c>
      <c r="I324" s="37">
        <v>468.2</v>
      </c>
      <c r="J324" s="37">
        <v>448.6</v>
      </c>
      <c r="K324" s="32">
        <v>192</v>
      </c>
      <c r="L324" s="32">
        <v>198</v>
      </c>
      <c r="M324" s="32">
        <v>89894.399999999994</v>
      </c>
      <c r="N324" s="32">
        <v>88822.8</v>
      </c>
      <c r="O324" s="32">
        <v>178717.2</v>
      </c>
      <c r="P324" s="32">
        <f t="shared" si="4"/>
        <v>170814.28</v>
      </c>
      <c r="Q324" s="32"/>
      <c r="R324" s="32"/>
      <c r="S324" s="2"/>
      <c r="T324" s="2"/>
      <c r="U324" s="2"/>
      <c r="V324" s="2"/>
      <c r="W324" s="2"/>
      <c r="X324" s="30"/>
      <c r="Y324" s="30"/>
      <c r="Z324" s="32"/>
      <c r="AA324" s="32"/>
      <c r="AB324" s="32"/>
      <c r="AC324" s="32"/>
      <c r="AD324" s="32"/>
      <c r="AE324" s="32"/>
      <c r="AF324" s="32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spans="1:50" x14ac:dyDescent="0.25">
      <c r="A325" s="2">
        <v>279</v>
      </c>
      <c r="B325" s="2">
        <v>1</v>
      </c>
      <c r="C325" s="2" t="s">
        <v>347</v>
      </c>
      <c r="D325" s="2">
        <v>665</v>
      </c>
      <c r="E325" s="2" t="s">
        <v>249</v>
      </c>
      <c r="F325" s="29">
        <v>0</v>
      </c>
      <c r="G325" s="30">
        <v>0.77097505668934241</v>
      </c>
      <c r="H325" s="30">
        <v>0.83014354066985641</v>
      </c>
      <c r="I325" s="37">
        <v>408.62</v>
      </c>
      <c r="J325" s="37">
        <v>439.98</v>
      </c>
      <c r="K325" s="32">
        <v>148</v>
      </c>
      <c r="L325" s="32">
        <v>159</v>
      </c>
      <c r="M325" s="32">
        <v>60475.76</v>
      </c>
      <c r="N325" s="32">
        <v>69956.820000000007</v>
      </c>
      <c r="O325" s="32">
        <v>130432.58000000002</v>
      </c>
      <c r="P325" s="32">
        <f t="shared" si="4"/>
        <v>124664.82</v>
      </c>
      <c r="Q325" s="32"/>
      <c r="R325" s="32"/>
      <c r="S325" s="2"/>
      <c r="T325" s="2"/>
      <c r="U325" s="2"/>
      <c r="V325" s="2"/>
      <c r="W325" s="2"/>
      <c r="X325" s="30"/>
      <c r="Y325" s="30"/>
      <c r="Z325" s="32"/>
      <c r="AA325" s="32"/>
      <c r="AB325" s="32"/>
      <c r="AC325" s="32"/>
      <c r="AD325" s="32"/>
      <c r="AE325" s="32"/>
      <c r="AF325" s="32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spans="1:50" x14ac:dyDescent="0.25">
      <c r="A326" s="2">
        <v>279</v>
      </c>
      <c r="B326" s="2">
        <v>1</v>
      </c>
      <c r="C326" s="2" t="s">
        <v>347</v>
      </c>
      <c r="D326" s="2">
        <v>668</v>
      </c>
      <c r="E326" s="2" t="s">
        <v>348</v>
      </c>
      <c r="F326" s="29">
        <v>0</v>
      </c>
      <c r="G326" s="30">
        <v>0.68261964735516378</v>
      </c>
      <c r="H326" s="30">
        <v>0.74316939890710387</v>
      </c>
      <c r="I326" s="37">
        <v>361.79</v>
      </c>
      <c r="J326" s="37">
        <v>393.88</v>
      </c>
      <c r="K326" s="32">
        <v>136</v>
      </c>
      <c r="L326" s="32">
        <v>127</v>
      </c>
      <c r="M326" s="32">
        <v>49203.44</v>
      </c>
      <c r="N326" s="32">
        <v>50022.76</v>
      </c>
      <c r="O326" s="32">
        <v>99226.200000000012</v>
      </c>
      <c r="P326" s="32">
        <f t="shared" si="4"/>
        <v>94838.39</v>
      </c>
      <c r="Q326" s="32"/>
      <c r="R326" s="32"/>
      <c r="S326" s="2"/>
      <c r="T326" s="2"/>
      <c r="U326" s="2"/>
      <c r="V326" s="2"/>
      <c r="W326" s="2"/>
      <c r="X326" s="30"/>
      <c r="Y326" s="30"/>
      <c r="Z326" s="32"/>
      <c r="AA326" s="32"/>
      <c r="AB326" s="32"/>
      <c r="AC326" s="32"/>
      <c r="AD326" s="32"/>
      <c r="AE326" s="32"/>
      <c r="AF326" s="32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spans="1:50" x14ac:dyDescent="0.25">
      <c r="A327" s="2">
        <v>279</v>
      </c>
      <c r="B327" s="2">
        <v>1</v>
      </c>
      <c r="C327" s="2" t="s">
        <v>347</v>
      </c>
      <c r="D327" s="2">
        <v>669</v>
      </c>
      <c r="E327" s="2" t="s">
        <v>349</v>
      </c>
      <c r="F327" s="29">
        <v>0</v>
      </c>
      <c r="G327" s="30">
        <v>0.96969696969696972</v>
      </c>
      <c r="H327" s="30">
        <v>0.82151589242053791</v>
      </c>
      <c r="I327" s="37">
        <v>513.94000000000005</v>
      </c>
      <c r="J327" s="37">
        <v>435.4</v>
      </c>
      <c r="K327" s="32">
        <v>134</v>
      </c>
      <c r="L327" s="32">
        <v>148</v>
      </c>
      <c r="M327" s="32">
        <v>68867.960000000006</v>
      </c>
      <c r="N327" s="32">
        <v>64439.199999999997</v>
      </c>
      <c r="O327" s="32">
        <v>133307.16</v>
      </c>
      <c r="P327" s="32">
        <f t="shared" si="4"/>
        <v>127412.29</v>
      </c>
      <c r="Q327" s="32"/>
      <c r="R327" s="32"/>
      <c r="S327" s="2"/>
      <c r="T327" s="2"/>
      <c r="U327" s="2"/>
      <c r="V327" s="2"/>
      <c r="W327" s="2"/>
      <c r="X327" s="30"/>
      <c r="Y327" s="30"/>
      <c r="Z327" s="32"/>
      <c r="AA327" s="32"/>
      <c r="AB327" s="32"/>
      <c r="AC327" s="32"/>
      <c r="AD327" s="32"/>
      <c r="AE327" s="32"/>
      <c r="AF327" s="32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spans="1:50" x14ac:dyDescent="0.25">
      <c r="A328" s="2">
        <v>279</v>
      </c>
      <c r="B328" s="2">
        <v>1</v>
      </c>
      <c r="C328" s="2" t="s">
        <v>347</v>
      </c>
      <c r="D328" s="2">
        <v>670</v>
      </c>
      <c r="E328" s="2" t="s">
        <v>350</v>
      </c>
      <c r="F328" s="29">
        <v>0</v>
      </c>
      <c r="G328" s="30">
        <v>0.89427312775330392</v>
      </c>
      <c r="H328" s="30">
        <v>0.73058252427184467</v>
      </c>
      <c r="I328" s="37">
        <v>473.96</v>
      </c>
      <c r="J328" s="37">
        <v>387.21</v>
      </c>
      <c r="K328" s="32">
        <v>142</v>
      </c>
      <c r="L328" s="32">
        <v>167</v>
      </c>
      <c r="M328" s="32">
        <v>67302.320000000007</v>
      </c>
      <c r="N328" s="32">
        <v>64664.07</v>
      </c>
      <c r="O328" s="32">
        <v>131966.39000000001</v>
      </c>
      <c r="P328" s="32">
        <f t="shared" si="4"/>
        <v>126130.8</v>
      </c>
      <c r="Q328" s="32"/>
      <c r="R328" s="32"/>
      <c r="S328" s="2"/>
      <c r="T328" s="2"/>
      <c r="U328" s="2"/>
      <c r="V328" s="2"/>
      <c r="W328" s="2"/>
      <c r="X328" s="30"/>
      <c r="Y328" s="30"/>
      <c r="Z328" s="32"/>
      <c r="AA328" s="32"/>
      <c r="AB328" s="32"/>
      <c r="AC328" s="32"/>
      <c r="AD328" s="32"/>
      <c r="AE328" s="32"/>
      <c r="AF328" s="32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spans="1:50" x14ac:dyDescent="0.25">
      <c r="A329" s="2">
        <v>279</v>
      </c>
      <c r="B329" s="2">
        <v>1</v>
      </c>
      <c r="C329" s="2" t="s">
        <v>347</v>
      </c>
      <c r="D329" s="2">
        <v>671</v>
      </c>
      <c r="E329" s="2" t="s">
        <v>351</v>
      </c>
      <c r="F329" s="29">
        <v>0</v>
      </c>
      <c r="G329" s="30">
        <v>0.65714285714285714</v>
      </c>
      <c r="H329" s="30">
        <v>0.82432432432432434</v>
      </c>
      <c r="I329" s="37">
        <v>348.29</v>
      </c>
      <c r="J329" s="37">
        <v>436.89</v>
      </c>
      <c r="K329" s="32">
        <v>83</v>
      </c>
      <c r="L329" s="32">
        <v>94</v>
      </c>
      <c r="M329" s="32">
        <v>28908.07</v>
      </c>
      <c r="N329" s="32">
        <v>41067.660000000003</v>
      </c>
      <c r="O329" s="32">
        <v>69975.73000000001</v>
      </c>
      <c r="P329" s="32">
        <f t="shared" si="4"/>
        <v>66881.39</v>
      </c>
      <c r="Q329" s="32"/>
      <c r="R329" s="32"/>
      <c r="S329" s="2"/>
      <c r="T329" s="2"/>
      <c r="U329" s="2"/>
      <c r="V329" s="2"/>
      <c r="W329" s="2"/>
      <c r="X329" s="30"/>
      <c r="Y329" s="30"/>
      <c r="Z329" s="32"/>
      <c r="AA329" s="32"/>
      <c r="AB329" s="32"/>
      <c r="AC329" s="32"/>
      <c r="AD329" s="32"/>
      <c r="AE329" s="32"/>
      <c r="AF329" s="32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spans="1:50" x14ac:dyDescent="0.25">
      <c r="A330" s="2">
        <v>279</v>
      </c>
      <c r="B330" s="2">
        <v>1</v>
      </c>
      <c r="C330" s="2" t="s">
        <v>347</v>
      </c>
      <c r="D330" s="2">
        <v>672</v>
      </c>
      <c r="E330" s="2" t="s">
        <v>352</v>
      </c>
      <c r="F330" s="29">
        <v>0</v>
      </c>
      <c r="G330" s="30">
        <v>0.48062015503875971</v>
      </c>
      <c r="H330" s="30">
        <v>0.81</v>
      </c>
      <c r="I330" s="37">
        <v>254.73</v>
      </c>
      <c r="J330" s="37">
        <v>429.3</v>
      </c>
      <c r="K330" s="32">
        <v>42</v>
      </c>
      <c r="L330" s="32">
        <v>47</v>
      </c>
      <c r="M330" s="32">
        <v>10698.66</v>
      </c>
      <c r="N330" s="32">
        <v>20177.099999999999</v>
      </c>
      <c r="O330" s="32">
        <v>30875.759999999998</v>
      </c>
      <c r="P330" s="32">
        <f t="shared" si="4"/>
        <v>29510.43</v>
      </c>
      <c r="Q330" s="32"/>
      <c r="R330" s="32"/>
      <c r="S330" s="2"/>
      <c r="T330" s="2"/>
      <c r="U330" s="2"/>
      <c r="V330" s="2"/>
      <c r="W330" s="2"/>
      <c r="X330" s="30"/>
      <c r="Y330" s="30"/>
      <c r="Z330" s="32"/>
      <c r="AA330" s="32"/>
      <c r="AB330" s="32"/>
      <c r="AC330" s="32"/>
      <c r="AD330" s="32"/>
      <c r="AE330" s="32"/>
      <c r="AF330" s="32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spans="1:50" x14ac:dyDescent="0.25">
      <c r="A331" s="2">
        <v>279</v>
      </c>
      <c r="B331" s="2">
        <v>1</v>
      </c>
      <c r="C331" s="2" t="s">
        <v>347</v>
      </c>
      <c r="D331" s="2">
        <v>673</v>
      </c>
      <c r="E331" s="2" t="s">
        <v>353</v>
      </c>
      <c r="F331" s="29">
        <v>0</v>
      </c>
      <c r="G331" s="30">
        <v>0.82831325301204817</v>
      </c>
      <c r="H331" s="30">
        <v>0.82102272727272729</v>
      </c>
      <c r="I331" s="37">
        <v>439.01</v>
      </c>
      <c r="J331" s="37">
        <v>435.14</v>
      </c>
      <c r="K331" s="32">
        <v>108</v>
      </c>
      <c r="L331" s="32">
        <v>128</v>
      </c>
      <c r="M331" s="32">
        <v>47413.08</v>
      </c>
      <c r="N331" s="32">
        <v>55697.919999999998</v>
      </c>
      <c r="O331" s="32">
        <v>103111</v>
      </c>
      <c r="P331" s="32">
        <f t="shared" si="4"/>
        <v>98551.41</v>
      </c>
      <c r="Q331" s="32"/>
      <c r="R331" s="32"/>
      <c r="S331" s="2"/>
      <c r="T331" s="2"/>
      <c r="U331" s="2"/>
      <c r="V331" s="2"/>
      <c r="W331" s="2"/>
      <c r="X331" s="30"/>
      <c r="Y331" s="30"/>
      <c r="Z331" s="32"/>
      <c r="AA331" s="32"/>
      <c r="AB331" s="32"/>
      <c r="AC331" s="32"/>
      <c r="AD331" s="32"/>
      <c r="AE331" s="32"/>
      <c r="AF331" s="32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spans="1:50" x14ac:dyDescent="0.25">
      <c r="A332" s="2">
        <v>279</v>
      </c>
      <c r="B332" s="2">
        <v>1</v>
      </c>
      <c r="C332" s="2" t="s">
        <v>347</v>
      </c>
      <c r="D332" s="2">
        <v>674</v>
      </c>
      <c r="E332" s="2" t="s">
        <v>354</v>
      </c>
      <c r="F332" s="29">
        <v>1</v>
      </c>
      <c r="G332" s="30" t="s">
        <v>1328</v>
      </c>
      <c r="H332" s="30" t="s">
        <v>1328</v>
      </c>
      <c r="I332" s="37" t="s">
        <v>1328</v>
      </c>
      <c r="J332" s="37" t="s">
        <v>1328</v>
      </c>
      <c r="K332" s="32">
        <v>84</v>
      </c>
      <c r="L332" s="32">
        <v>0</v>
      </c>
      <c r="M332" s="32" t="s">
        <v>1328</v>
      </c>
      <c r="N332" s="32" t="s">
        <v>1328</v>
      </c>
      <c r="O332" s="32">
        <v>20803.439999999999</v>
      </c>
      <c r="P332" s="32">
        <f t="shared" si="4"/>
        <v>19883.509999999998</v>
      </c>
      <c r="Q332" s="32"/>
      <c r="R332" s="32"/>
      <c r="S332" s="2"/>
      <c r="T332" s="2"/>
      <c r="U332" s="2"/>
      <c r="V332" s="2"/>
      <c r="W332" s="2"/>
      <c r="X332" s="30"/>
      <c r="Y332" s="30"/>
      <c r="Z332" s="32"/>
      <c r="AA332" s="32"/>
      <c r="AB332" s="32"/>
      <c r="AC332" s="32"/>
      <c r="AD332" s="32"/>
      <c r="AE332" s="32"/>
      <c r="AF332" s="32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spans="1:50" x14ac:dyDescent="0.25">
      <c r="A333" s="2">
        <v>279</v>
      </c>
      <c r="B333" s="2">
        <v>1</v>
      </c>
      <c r="C333" s="2" t="s">
        <v>347</v>
      </c>
      <c r="D333" s="2">
        <v>675</v>
      </c>
      <c r="E333" s="2" t="s">
        <v>355</v>
      </c>
      <c r="F333" s="29">
        <v>0</v>
      </c>
      <c r="G333" s="30">
        <v>0.5</v>
      </c>
      <c r="H333" s="30">
        <v>0.76271186440677963</v>
      </c>
      <c r="I333" s="37">
        <v>265</v>
      </c>
      <c r="J333" s="37">
        <v>404.24</v>
      </c>
      <c r="K333" s="32">
        <v>49</v>
      </c>
      <c r="L333" s="32">
        <v>46</v>
      </c>
      <c r="M333" s="32">
        <v>12985</v>
      </c>
      <c r="N333" s="32">
        <v>18595.04</v>
      </c>
      <c r="O333" s="32">
        <v>31580.04</v>
      </c>
      <c r="P333" s="32">
        <f t="shared" si="4"/>
        <v>30183.56</v>
      </c>
      <c r="Q333" s="32"/>
      <c r="R333" s="32"/>
      <c r="S333" s="2"/>
      <c r="T333" s="2"/>
      <c r="U333" s="2"/>
      <c r="V333" s="2"/>
      <c r="W333" s="2"/>
      <c r="X333" s="30"/>
      <c r="Y333" s="30"/>
      <c r="Z333" s="32"/>
      <c r="AA333" s="32"/>
      <c r="AB333" s="32"/>
      <c r="AC333" s="32"/>
      <c r="AD333" s="32"/>
      <c r="AE333" s="32"/>
      <c r="AF333" s="32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spans="1:50" x14ac:dyDescent="0.25">
      <c r="A334" s="2">
        <v>279</v>
      </c>
      <c r="B334" s="2">
        <v>1</v>
      </c>
      <c r="C334" s="2" t="s">
        <v>347</v>
      </c>
      <c r="D334" s="2">
        <v>678</v>
      </c>
      <c r="E334" s="2" t="s">
        <v>356</v>
      </c>
      <c r="F334" s="29">
        <v>0</v>
      </c>
      <c r="G334" s="30">
        <v>0.58609271523178808</v>
      </c>
      <c r="H334" s="30">
        <v>0.778169014084507</v>
      </c>
      <c r="I334" s="37">
        <v>310.63</v>
      </c>
      <c r="J334" s="37">
        <v>412.43</v>
      </c>
      <c r="K334" s="32">
        <v>96</v>
      </c>
      <c r="L334" s="32">
        <v>107</v>
      </c>
      <c r="M334" s="32">
        <v>29820.48</v>
      </c>
      <c r="N334" s="32">
        <v>44130.01</v>
      </c>
      <c r="O334" s="32">
        <v>73950.490000000005</v>
      </c>
      <c r="P334" s="32">
        <f t="shared" si="4"/>
        <v>70680.38</v>
      </c>
      <c r="Q334" s="32"/>
      <c r="R334" s="32"/>
      <c r="S334" s="2"/>
      <c r="T334" s="2"/>
      <c r="U334" s="2"/>
      <c r="V334" s="2"/>
      <c r="W334" s="2"/>
      <c r="X334" s="30"/>
      <c r="Y334" s="30"/>
      <c r="Z334" s="32"/>
      <c r="AA334" s="32"/>
      <c r="AB334" s="32"/>
      <c r="AC334" s="32"/>
      <c r="AD334" s="32"/>
      <c r="AE334" s="32"/>
      <c r="AF334" s="32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spans="1:50" x14ac:dyDescent="0.25">
      <c r="A335" s="2">
        <v>279</v>
      </c>
      <c r="B335" s="2">
        <v>1</v>
      </c>
      <c r="C335" s="2" t="s">
        <v>347</v>
      </c>
      <c r="D335" s="2">
        <v>679</v>
      </c>
      <c r="E335" s="2" t="s">
        <v>357</v>
      </c>
      <c r="F335" s="29">
        <v>0</v>
      </c>
      <c r="G335" s="30">
        <v>0.56521739130434778</v>
      </c>
      <c r="H335" s="30">
        <v>0.77692307692307694</v>
      </c>
      <c r="I335" s="37">
        <v>299.57</v>
      </c>
      <c r="J335" s="37">
        <v>411.77</v>
      </c>
      <c r="K335" s="32">
        <v>44</v>
      </c>
      <c r="L335" s="32">
        <v>46</v>
      </c>
      <c r="M335" s="32">
        <v>13181.08</v>
      </c>
      <c r="N335" s="32">
        <v>18941.419999999998</v>
      </c>
      <c r="O335" s="32">
        <v>32122.5</v>
      </c>
      <c r="P335" s="32">
        <f t="shared" si="4"/>
        <v>30702.04</v>
      </c>
      <c r="Q335" s="32"/>
      <c r="R335" s="32"/>
      <c r="S335" s="2"/>
      <c r="T335" s="2"/>
      <c r="U335" s="2"/>
      <c r="V335" s="2"/>
      <c r="W335" s="2"/>
      <c r="X335" s="30"/>
      <c r="Y335" s="30"/>
      <c r="Z335" s="32"/>
      <c r="AA335" s="32"/>
      <c r="AB335" s="32"/>
      <c r="AC335" s="32"/>
      <c r="AD335" s="32"/>
      <c r="AE335" s="32"/>
      <c r="AF335" s="32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spans="1:50" x14ac:dyDescent="0.25">
      <c r="A336">
        <v>279</v>
      </c>
      <c r="B336" s="2">
        <v>1</v>
      </c>
      <c r="C336" s="2" t="s">
        <v>347</v>
      </c>
      <c r="D336">
        <v>681</v>
      </c>
      <c r="E336" s="2" t="s">
        <v>358</v>
      </c>
      <c r="F336" s="29">
        <v>0</v>
      </c>
      <c r="G336" s="30">
        <v>0.4885057471264368</v>
      </c>
      <c r="H336" s="30">
        <v>0.70909090909090911</v>
      </c>
      <c r="I336" s="37">
        <v>258.91000000000003</v>
      </c>
      <c r="J336" s="37">
        <v>375.82</v>
      </c>
      <c r="K336" s="32">
        <v>50</v>
      </c>
      <c r="L336" s="32">
        <v>55</v>
      </c>
      <c r="M336" s="32">
        <v>12945.5</v>
      </c>
      <c r="N336" s="32">
        <v>20670.099999999999</v>
      </c>
      <c r="O336" s="32">
        <v>33615.599999999999</v>
      </c>
      <c r="P336" s="32">
        <f t="shared" ref="P336:P399" si="5">ROUND(O336*P$11,2)</f>
        <v>32129.11</v>
      </c>
      <c r="Q336" s="32"/>
      <c r="R336" s="32"/>
      <c r="S336" s="2"/>
      <c r="T336" s="2"/>
      <c r="U336" s="2"/>
      <c r="V336" s="2"/>
      <c r="W336" s="2"/>
      <c r="X336" s="30"/>
      <c r="Y336" s="30"/>
      <c r="Z336" s="32"/>
      <c r="AA336" s="32"/>
      <c r="AB336" s="32"/>
      <c r="AC336" s="32"/>
      <c r="AD336" s="32"/>
      <c r="AE336" s="32"/>
      <c r="AF336" s="32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spans="1:50" x14ac:dyDescent="0.25">
      <c r="A337" s="2">
        <v>279</v>
      </c>
      <c r="B337" s="2">
        <v>1</v>
      </c>
      <c r="C337" s="2" t="s">
        <v>347</v>
      </c>
      <c r="D337" s="2">
        <v>682</v>
      </c>
      <c r="E337" s="2" t="s">
        <v>359</v>
      </c>
      <c r="F337" s="29">
        <v>1</v>
      </c>
      <c r="G337" s="30" t="s">
        <v>1328</v>
      </c>
      <c r="H337" s="30" t="s">
        <v>1328</v>
      </c>
      <c r="I337" s="37" t="s">
        <v>1328</v>
      </c>
      <c r="J337" s="37" t="s">
        <v>1328</v>
      </c>
      <c r="K337" s="32">
        <v>113</v>
      </c>
      <c r="L337" s="32">
        <v>0</v>
      </c>
      <c r="M337" s="32" t="s">
        <v>1328</v>
      </c>
      <c r="N337" s="32" t="s">
        <v>1328</v>
      </c>
      <c r="O337" s="32">
        <v>50868.08</v>
      </c>
      <c r="P337" s="32">
        <f t="shared" si="5"/>
        <v>48618.68</v>
      </c>
      <c r="Q337" s="32"/>
      <c r="R337" s="32"/>
      <c r="S337" s="2"/>
      <c r="T337" s="2"/>
      <c r="U337" s="2"/>
      <c r="V337" s="2"/>
      <c r="W337" s="2"/>
      <c r="X337" s="30"/>
      <c r="Y337" s="30"/>
      <c r="Z337" s="32"/>
      <c r="AA337" s="32"/>
      <c r="AB337" s="32"/>
      <c r="AC337" s="32"/>
      <c r="AD337" s="32"/>
      <c r="AE337" s="32"/>
      <c r="AF337" s="32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spans="1:50" x14ac:dyDescent="0.25">
      <c r="A338" s="2">
        <v>279</v>
      </c>
      <c r="B338" s="2">
        <v>1</v>
      </c>
      <c r="C338" s="2" t="s">
        <v>347</v>
      </c>
      <c r="D338" s="2">
        <v>684</v>
      </c>
      <c r="E338" s="2" t="s">
        <v>360</v>
      </c>
      <c r="F338" s="29">
        <v>0</v>
      </c>
      <c r="G338" s="30">
        <v>0.80608365019011408</v>
      </c>
      <c r="H338" s="30">
        <v>0.79389312977099236</v>
      </c>
      <c r="I338" s="37">
        <v>427.22</v>
      </c>
      <c r="J338" s="37">
        <v>420.76</v>
      </c>
      <c r="K338" s="32">
        <v>83</v>
      </c>
      <c r="L338" s="32">
        <v>85</v>
      </c>
      <c r="M338" s="32">
        <v>35459.26</v>
      </c>
      <c r="N338" s="32">
        <v>35764.6</v>
      </c>
      <c r="O338" s="32">
        <v>71223.86</v>
      </c>
      <c r="P338" s="32">
        <f t="shared" si="5"/>
        <v>68074.320000000007</v>
      </c>
      <c r="Q338" s="32"/>
      <c r="R338" s="32"/>
      <c r="S338" s="2"/>
      <c r="T338" s="2"/>
      <c r="V338" s="2"/>
      <c r="W338" s="2"/>
      <c r="X338" s="30"/>
      <c r="Y338" s="30"/>
      <c r="Z338" s="32"/>
      <c r="AA338" s="32"/>
      <c r="AB338" s="32"/>
      <c r="AC338" s="32"/>
      <c r="AD338" s="32"/>
      <c r="AE338" s="32"/>
      <c r="AF338" s="32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spans="1:50" x14ac:dyDescent="0.25">
      <c r="A339">
        <v>279</v>
      </c>
      <c r="B339" s="2">
        <v>1</v>
      </c>
      <c r="C339" s="2" t="s">
        <v>347</v>
      </c>
      <c r="D339">
        <v>685</v>
      </c>
      <c r="E339" s="2" t="s">
        <v>84</v>
      </c>
      <c r="F339" s="29">
        <v>0</v>
      </c>
      <c r="G339" s="30">
        <v>0.73883161512027495</v>
      </c>
      <c r="H339" s="30">
        <v>0.90114068441064643</v>
      </c>
      <c r="I339" s="37">
        <v>391.58</v>
      </c>
      <c r="J339" s="37">
        <v>477.6</v>
      </c>
      <c r="K339" s="32">
        <v>97</v>
      </c>
      <c r="L339" s="32">
        <v>98</v>
      </c>
      <c r="M339" s="32">
        <v>37983.26</v>
      </c>
      <c r="N339" s="32">
        <v>46804.800000000003</v>
      </c>
      <c r="O339" s="32">
        <v>84788.06</v>
      </c>
      <c r="P339" s="32">
        <f t="shared" si="5"/>
        <v>81038.710000000006</v>
      </c>
      <c r="Q339" s="32"/>
      <c r="R339" s="32"/>
      <c r="S339" s="2"/>
      <c r="T339" s="2"/>
      <c r="U339" s="2"/>
      <c r="V339" s="2"/>
      <c r="W339" s="2"/>
      <c r="X339" s="30"/>
      <c r="Y339" s="30"/>
      <c r="Z339" s="32"/>
      <c r="AA339" s="32"/>
      <c r="AB339" s="32"/>
      <c r="AC339" s="32"/>
      <c r="AD339" s="32"/>
      <c r="AE339" s="32"/>
      <c r="AF339" s="32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spans="1:50" x14ac:dyDescent="0.25">
      <c r="A340" s="2">
        <v>279</v>
      </c>
      <c r="B340" s="2">
        <v>1</v>
      </c>
      <c r="C340" s="2" t="s">
        <v>347</v>
      </c>
      <c r="D340" s="2">
        <v>689</v>
      </c>
      <c r="E340" s="2" t="s">
        <v>361</v>
      </c>
      <c r="F340" s="29">
        <v>0</v>
      </c>
      <c r="G340" s="30">
        <v>0.82857142857142863</v>
      </c>
      <c r="H340" s="30">
        <v>0.81151832460732987</v>
      </c>
      <c r="I340" s="37">
        <v>439.14</v>
      </c>
      <c r="J340" s="37">
        <v>430.1</v>
      </c>
      <c r="K340" s="32">
        <v>129</v>
      </c>
      <c r="L340" s="32">
        <v>133</v>
      </c>
      <c r="M340" s="32">
        <v>56649.06</v>
      </c>
      <c r="N340" s="32">
        <v>57203.3</v>
      </c>
      <c r="O340" s="32">
        <v>113852.36</v>
      </c>
      <c r="P340" s="32">
        <f t="shared" si="5"/>
        <v>108817.78</v>
      </c>
      <c r="Q340" s="32"/>
      <c r="R340" s="32"/>
      <c r="S340" s="2"/>
      <c r="T340" s="2"/>
      <c r="U340" s="2"/>
      <c r="V340" s="2"/>
      <c r="W340" s="2"/>
      <c r="X340" s="30"/>
      <c r="Y340" s="30"/>
      <c r="Z340" s="32"/>
      <c r="AA340" s="32"/>
      <c r="AB340" s="32"/>
      <c r="AC340" s="32"/>
      <c r="AD340" s="32"/>
      <c r="AE340" s="32"/>
      <c r="AF340" s="32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spans="1:50" x14ac:dyDescent="0.25">
      <c r="A341" s="2">
        <v>279</v>
      </c>
      <c r="B341" s="2">
        <v>1</v>
      </c>
      <c r="C341" s="2" t="s">
        <v>347</v>
      </c>
      <c r="D341" s="2">
        <v>696</v>
      </c>
      <c r="E341" s="2" t="s">
        <v>362</v>
      </c>
      <c r="F341" s="29">
        <v>1</v>
      </c>
      <c r="G341" s="30" t="s">
        <v>1328</v>
      </c>
      <c r="H341" s="30" t="s">
        <v>1328</v>
      </c>
      <c r="I341" s="37" t="s">
        <v>1328</v>
      </c>
      <c r="J341" s="37" t="s">
        <v>1328</v>
      </c>
      <c r="K341" s="32">
        <v>0</v>
      </c>
      <c r="L341" s="32">
        <v>138</v>
      </c>
      <c r="M341" s="32" t="s">
        <v>1328</v>
      </c>
      <c r="N341" s="32" t="s">
        <v>1328</v>
      </c>
      <c r="O341" s="32">
        <v>52293.72</v>
      </c>
      <c r="P341" s="32">
        <f t="shared" si="5"/>
        <v>49981.279999999999</v>
      </c>
      <c r="Q341" s="32"/>
      <c r="R341" s="32"/>
      <c r="S341" s="2"/>
      <c r="T341" s="2"/>
      <c r="V341" s="2"/>
      <c r="W341" s="2"/>
      <c r="X341" s="30"/>
      <c r="Y341" s="30"/>
      <c r="Z341" s="32"/>
      <c r="AA341" s="32"/>
      <c r="AB341" s="32"/>
      <c r="AC341" s="32"/>
      <c r="AD341" s="32"/>
      <c r="AE341" s="32"/>
      <c r="AF341" s="32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spans="1:50" x14ac:dyDescent="0.25">
      <c r="A342" s="2">
        <v>280</v>
      </c>
      <c r="B342" s="2">
        <v>1</v>
      </c>
      <c r="C342" s="2" t="s">
        <v>363</v>
      </c>
      <c r="D342" s="2">
        <v>36</v>
      </c>
      <c r="E342" s="2" t="s">
        <v>364</v>
      </c>
      <c r="F342" s="29">
        <v>0</v>
      </c>
      <c r="G342" s="30">
        <v>0.56563706563706562</v>
      </c>
      <c r="H342" s="30">
        <v>0.75797373358348963</v>
      </c>
      <c r="I342" s="37">
        <v>299.79000000000002</v>
      </c>
      <c r="J342" s="37">
        <v>401.73</v>
      </c>
      <c r="K342" s="32">
        <v>106</v>
      </c>
      <c r="L342" s="32">
        <v>118</v>
      </c>
      <c r="M342" s="32">
        <v>31777.74</v>
      </c>
      <c r="N342" s="32">
        <v>47404.14</v>
      </c>
      <c r="O342" s="32">
        <v>79181.88</v>
      </c>
      <c r="P342" s="32">
        <f t="shared" si="5"/>
        <v>75680.44</v>
      </c>
      <c r="Q342" s="32"/>
      <c r="R342" s="32"/>
      <c r="S342" s="2"/>
      <c r="T342" s="2"/>
      <c r="U342" s="2"/>
      <c r="V342" s="2"/>
      <c r="W342" s="2"/>
      <c r="X342" s="30"/>
      <c r="Y342" s="30"/>
      <c r="Z342" s="32"/>
      <c r="AA342" s="32"/>
      <c r="AB342" s="32"/>
      <c r="AC342" s="32"/>
      <c r="AD342" s="32"/>
      <c r="AE342" s="32"/>
      <c r="AF342" s="32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spans="1:50" x14ac:dyDescent="0.25">
      <c r="A343" s="2">
        <v>280</v>
      </c>
      <c r="B343" s="2">
        <v>1</v>
      </c>
      <c r="C343" s="2" t="s">
        <v>363</v>
      </c>
      <c r="D343" s="2">
        <v>695</v>
      </c>
      <c r="E343" s="2" t="s">
        <v>364</v>
      </c>
      <c r="F343" s="29">
        <v>0</v>
      </c>
      <c r="G343" s="30">
        <v>0.60683760683760679</v>
      </c>
      <c r="H343" s="30">
        <v>0.79761904761904767</v>
      </c>
      <c r="I343" s="37">
        <v>321.62</v>
      </c>
      <c r="J343" s="37">
        <v>422.74</v>
      </c>
      <c r="K343" s="32">
        <v>58</v>
      </c>
      <c r="L343" s="32">
        <v>56</v>
      </c>
      <c r="M343" s="32">
        <v>18653.96</v>
      </c>
      <c r="N343" s="32">
        <v>23673.439999999999</v>
      </c>
      <c r="O343" s="32">
        <v>42327.399999999994</v>
      </c>
      <c r="P343" s="32">
        <f t="shared" si="5"/>
        <v>40455.67</v>
      </c>
      <c r="Q343" s="32"/>
      <c r="R343" s="32"/>
      <c r="S343" s="2"/>
      <c r="T343" s="2"/>
      <c r="U343" s="2"/>
      <c r="V343" s="2"/>
      <c r="W343" s="2"/>
      <c r="X343" s="30"/>
      <c r="Y343" s="30"/>
      <c r="Z343" s="32"/>
      <c r="AA343" s="32"/>
      <c r="AB343" s="32"/>
      <c r="AC343" s="32"/>
      <c r="AD343" s="32"/>
      <c r="AE343" s="32"/>
      <c r="AF343" s="32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spans="1:50" x14ac:dyDescent="0.25">
      <c r="A344" s="2">
        <v>280</v>
      </c>
      <c r="B344" s="2">
        <v>1</v>
      </c>
      <c r="C344" s="2" t="s">
        <v>363</v>
      </c>
      <c r="D344" s="2">
        <v>701</v>
      </c>
      <c r="E344" s="2" t="s">
        <v>364</v>
      </c>
      <c r="F344" s="29">
        <v>0</v>
      </c>
      <c r="G344" s="30">
        <v>0.6875</v>
      </c>
      <c r="H344" s="30">
        <v>0.75862068965517238</v>
      </c>
      <c r="I344" s="37">
        <v>364.38</v>
      </c>
      <c r="J344" s="37">
        <v>402.07</v>
      </c>
      <c r="K344" s="32">
        <v>84</v>
      </c>
      <c r="L344" s="32">
        <v>73</v>
      </c>
      <c r="M344" s="32">
        <v>30607.919999999998</v>
      </c>
      <c r="N344" s="32">
        <v>29351.11</v>
      </c>
      <c r="O344" s="32">
        <v>59959.03</v>
      </c>
      <c r="P344" s="32">
        <f t="shared" si="5"/>
        <v>57307.63</v>
      </c>
      <c r="Q344" s="32"/>
      <c r="R344" s="32"/>
      <c r="S344" s="2"/>
      <c r="T344" s="2"/>
      <c r="U344" s="2"/>
      <c r="V344" s="2"/>
      <c r="W344" s="2"/>
      <c r="X344" s="30"/>
      <c r="Y344" s="30"/>
      <c r="Z344" s="32"/>
      <c r="AA344" s="32"/>
      <c r="AB344" s="32"/>
      <c r="AC344" s="32"/>
      <c r="AD344" s="32"/>
      <c r="AE344" s="32"/>
      <c r="AF344" s="32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spans="1:50" x14ac:dyDescent="0.25">
      <c r="A345">
        <v>280</v>
      </c>
      <c r="B345" s="2">
        <v>1</v>
      </c>
      <c r="C345" s="2" t="s">
        <v>363</v>
      </c>
      <c r="D345">
        <v>705</v>
      </c>
      <c r="E345" s="2" t="s">
        <v>364</v>
      </c>
      <c r="F345" s="29">
        <v>0</v>
      </c>
      <c r="G345" s="30">
        <v>0.53284671532846717</v>
      </c>
      <c r="H345" s="30">
        <v>0.83076923076923082</v>
      </c>
      <c r="I345" s="37">
        <v>282.41000000000003</v>
      </c>
      <c r="J345" s="37">
        <v>440.31</v>
      </c>
      <c r="K345" s="32">
        <v>66</v>
      </c>
      <c r="L345" s="32">
        <v>66</v>
      </c>
      <c r="M345" s="32">
        <v>18639.060000000001</v>
      </c>
      <c r="N345" s="32">
        <v>29060.46</v>
      </c>
      <c r="O345" s="32">
        <v>47699.520000000004</v>
      </c>
      <c r="P345" s="32">
        <f t="shared" si="5"/>
        <v>45590.239999999998</v>
      </c>
      <c r="Q345" s="32"/>
      <c r="R345" s="32"/>
      <c r="S345" s="2"/>
      <c r="T345" s="2"/>
      <c r="U345" s="2"/>
      <c r="V345" s="2"/>
      <c r="W345" s="2"/>
      <c r="X345" s="30"/>
      <c r="Y345" s="30"/>
      <c r="Z345" s="32"/>
      <c r="AA345" s="32"/>
      <c r="AB345" s="32"/>
      <c r="AC345" s="32"/>
      <c r="AD345" s="32"/>
      <c r="AE345" s="32"/>
      <c r="AF345" s="32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spans="1:50" x14ac:dyDescent="0.25">
      <c r="A346" s="2">
        <v>281</v>
      </c>
      <c r="B346" s="2">
        <v>1</v>
      </c>
      <c r="C346" s="2" t="s">
        <v>365</v>
      </c>
      <c r="D346" s="2">
        <v>4</v>
      </c>
      <c r="E346" s="2" t="s">
        <v>366</v>
      </c>
      <c r="F346" s="29">
        <v>0</v>
      </c>
      <c r="G346" s="30">
        <v>0.77544910179640714</v>
      </c>
      <c r="H346" s="30">
        <v>0.7814569536423841</v>
      </c>
      <c r="I346" s="37">
        <v>410.99</v>
      </c>
      <c r="J346" s="37">
        <v>414.17</v>
      </c>
      <c r="K346" s="32">
        <v>116</v>
      </c>
      <c r="L346" s="32">
        <v>105</v>
      </c>
      <c r="M346" s="32">
        <v>47674.84</v>
      </c>
      <c r="N346" s="32">
        <v>43487.85</v>
      </c>
      <c r="O346" s="32">
        <v>91162.69</v>
      </c>
      <c r="P346" s="32">
        <f t="shared" si="5"/>
        <v>87131.45</v>
      </c>
      <c r="Q346" s="32"/>
      <c r="R346" s="32"/>
      <c r="S346" s="2"/>
      <c r="T346" s="2"/>
      <c r="U346" s="2"/>
      <c r="V346" s="2"/>
      <c r="W346" s="2"/>
      <c r="X346" s="30"/>
      <c r="Y346" s="30"/>
      <c r="Z346" s="32"/>
      <c r="AA346" s="32"/>
      <c r="AB346" s="32"/>
      <c r="AC346" s="32"/>
      <c r="AD346" s="32"/>
      <c r="AE346" s="32"/>
      <c r="AF346" s="32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spans="1:50" x14ac:dyDescent="0.25">
      <c r="A347" s="2">
        <v>281</v>
      </c>
      <c r="B347" s="2">
        <v>1</v>
      </c>
      <c r="C347" s="2" t="s">
        <v>365</v>
      </c>
      <c r="D347" s="2">
        <v>6</v>
      </c>
      <c r="E347" s="2" t="s">
        <v>233</v>
      </c>
      <c r="F347" s="29">
        <v>0</v>
      </c>
      <c r="G347" s="30">
        <v>0.660377358490566</v>
      </c>
      <c r="H347" s="30">
        <v>0.71270718232044195</v>
      </c>
      <c r="I347" s="37">
        <v>350</v>
      </c>
      <c r="J347" s="37">
        <v>377.73</v>
      </c>
      <c r="K347" s="32">
        <v>69</v>
      </c>
      <c r="L347" s="32">
        <v>73</v>
      </c>
      <c r="M347" s="32">
        <v>24150</v>
      </c>
      <c r="N347" s="32">
        <v>27574.29</v>
      </c>
      <c r="O347" s="32">
        <v>51724.29</v>
      </c>
      <c r="P347" s="32">
        <f t="shared" si="5"/>
        <v>49437.03</v>
      </c>
      <c r="Q347" s="32"/>
      <c r="R347" s="32"/>
      <c r="S347" s="2"/>
      <c r="T347" s="2"/>
      <c r="V347" s="2"/>
      <c r="W347" s="2"/>
      <c r="X347" s="30"/>
      <c r="Y347" s="30"/>
      <c r="Z347" s="32"/>
      <c r="AA347" s="32"/>
      <c r="AB347" s="32"/>
      <c r="AC347" s="32"/>
      <c r="AD347" s="32"/>
      <c r="AE347" s="32"/>
      <c r="AF347" s="32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spans="1:50" x14ac:dyDescent="0.25">
      <c r="A348" s="2">
        <v>281</v>
      </c>
      <c r="B348" s="2">
        <v>1</v>
      </c>
      <c r="C348" s="2" t="s">
        <v>365</v>
      </c>
      <c r="D348" s="2">
        <v>10</v>
      </c>
      <c r="E348" s="2" t="s">
        <v>367</v>
      </c>
      <c r="F348" s="29">
        <v>0</v>
      </c>
      <c r="G348" s="30">
        <v>0.62790697674418605</v>
      </c>
      <c r="H348" s="30">
        <v>0.69824561403508767</v>
      </c>
      <c r="I348" s="37">
        <v>332.79</v>
      </c>
      <c r="J348" s="37">
        <v>370.07</v>
      </c>
      <c r="K348" s="32">
        <v>101</v>
      </c>
      <c r="L348" s="32">
        <v>116</v>
      </c>
      <c r="M348" s="32">
        <v>33611.79</v>
      </c>
      <c r="N348" s="32">
        <v>42928.12</v>
      </c>
      <c r="O348" s="32">
        <v>76539.91</v>
      </c>
      <c r="P348" s="32">
        <f t="shared" si="5"/>
        <v>73155.3</v>
      </c>
      <c r="Q348" s="32"/>
      <c r="R348" s="32"/>
      <c r="S348" s="2"/>
      <c r="T348" s="2"/>
      <c r="U348" s="2"/>
      <c r="V348" s="2"/>
      <c r="W348" s="2"/>
      <c r="X348" s="30"/>
      <c r="Y348" s="30"/>
      <c r="Z348" s="32"/>
      <c r="AA348" s="32"/>
      <c r="AB348" s="32"/>
      <c r="AC348" s="32"/>
      <c r="AD348" s="32"/>
      <c r="AE348" s="32"/>
      <c r="AF348" s="32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spans="1:50" x14ac:dyDescent="0.25">
      <c r="A349" s="2">
        <v>281</v>
      </c>
      <c r="B349" s="2">
        <v>1</v>
      </c>
      <c r="C349" s="2" t="s">
        <v>365</v>
      </c>
      <c r="D349" s="2">
        <v>11</v>
      </c>
      <c r="E349" s="2" t="s">
        <v>368</v>
      </c>
      <c r="F349" s="29">
        <v>0</v>
      </c>
      <c r="G349" s="30">
        <v>0.73</v>
      </c>
      <c r="H349" s="30">
        <v>0.77647058823529413</v>
      </c>
      <c r="I349" s="37">
        <v>386.9</v>
      </c>
      <c r="J349" s="37">
        <v>411.53</v>
      </c>
      <c r="K349" s="32">
        <v>89</v>
      </c>
      <c r="L349" s="32">
        <v>100</v>
      </c>
      <c r="M349" s="32">
        <v>34434.1</v>
      </c>
      <c r="N349" s="32">
        <v>41153</v>
      </c>
      <c r="O349" s="32">
        <v>75587.100000000006</v>
      </c>
      <c r="P349" s="32">
        <f t="shared" si="5"/>
        <v>72244.62</v>
      </c>
      <c r="Q349" s="32"/>
      <c r="R349" s="32"/>
      <c r="S349" s="2"/>
      <c r="T349" s="2"/>
      <c r="U349" s="2"/>
      <c r="V349" s="2"/>
      <c r="W349" s="2"/>
      <c r="X349" s="30"/>
      <c r="Y349" s="30"/>
      <c r="Z349" s="32"/>
      <c r="AA349" s="32"/>
      <c r="AB349" s="32"/>
      <c r="AC349" s="32"/>
      <c r="AD349" s="32"/>
      <c r="AE349" s="32"/>
      <c r="AF349" s="32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 spans="1:50" x14ac:dyDescent="0.25">
      <c r="A350">
        <v>281</v>
      </c>
      <c r="B350" s="2">
        <v>1</v>
      </c>
      <c r="C350" s="2" t="s">
        <v>365</v>
      </c>
      <c r="D350">
        <v>12</v>
      </c>
      <c r="E350" s="2" t="s">
        <v>369</v>
      </c>
      <c r="F350" s="29">
        <v>0</v>
      </c>
      <c r="G350" s="30">
        <v>0.93051359516616317</v>
      </c>
      <c r="H350" s="30">
        <v>0.80519480519480524</v>
      </c>
      <c r="I350" s="37">
        <v>493.17</v>
      </c>
      <c r="J350" s="37">
        <v>426.75</v>
      </c>
      <c r="K350" s="32">
        <v>116</v>
      </c>
      <c r="L350" s="32">
        <v>104</v>
      </c>
      <c r="M350" s="32">
        <v>57207.72</v>
      </c>
      <c r="N350" s="32">
        <v>44382</v>
      </c>
      <c r="O350" s="32">
        <v>101589.72</v>
      </c>
      <c r="P350" s="32">
        <f t="shared" si="5"/>
        <v>97097.4</v>
      </c>
      <c r="Q350" s="32"/>
      <c r="R350" s="32"/>
      <c r="S350" s="2"/>
      <c r="T350" s="2"/>
      <c r="U350" s="2"/>
      <c r="V350" s="2"/>
      <c r="W350" s="2"/>
      <c r="X350" s="30"/>
      <c r="Y350" s="30"/>
      <c r="Z350" s="32"/>
      <c r="AA350" s="32"/>
      <c r="AB350" s="32"/>
      <c r="AC350" s="32"/>
      <c r="AD350" s="32"/>
      <c r="AE350" s="32"/>
      <c r="AF350" s="32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spans="1:50" x14ac:dyDescent="0.25">
      <c r="A351" s="2">
        <v>281</v>
      </c>
      <c r="B351" s="2">
        <v>1</v>
      </c>
      <c r="C351" s="2" t="s">
        <v>365</v>
      </c>
      <c r="D351" s="2">
        <v>17</v>
      </c>
      <c r="E351" s="2" t="s">
        <v>370</v>
      </c>
      <c r="F351" s="29">
        <v>0</v>
      </c>
      <c r="G351" s="30">
        <v>0.67441860465116277</v>
      </c>
      <c r="H351" s="30">
        <v>0.73762376237623761</v>
      </c>
      <c r="I351" s="37">
        <v>357.44</v>
      </c>
      <c r="J351" s="37">
        <v>390.94</v>
      </c>
      <c r="K351" s="32">
        <v>64</v>
      </c>
      <c r="L351" s="32">
        <v>80</v>
      </c>
      <c r="M351" s="32">
        <v>22876.16</v>
      </c>
      <c r="N351" s="32">
        <v>31275.200000000001</v>
      </c>
      <c r="O351" s="32">
        <v>54151.360000000001</v>
      </c>
      <c r="P351" s="32">
        <f t="shared" si="5"/>
        <v>51756.77</v>
      </c>
      <c r="Q351" s="32"/>
      <c r="R351" s="32"/>
      <c r="S351" s="2"/>
      <c r="T351" s="2"/>
      <c r="U351" s="2"/>
      <c r="V351" s="2"/>
      <c r="W351" s="2"/>
      <c r="X351" s="30"/>
      <c r="Y351" s="30"/>
      <c r="Z351" s="32"/>
      <c r="AA351" s="32"/>
      <c r="AB351" s="32"/>
      <c r="AC351" s="32"/>
      <c r="AD351" s="32"/>
      <c r="AE351" s="32"/>
      <c r="AF351" s="32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 spans="1:50" x14ac:dyDescent="0.25">
      <c r="A352" s="2">
        <v>281</v>
      </c>
      <c r="B352" s="2">
        <v>1</v>
      </c>
      <c r="C352" s="2" t="s">
        <v>365</v>
      </c>
      <c r="D352" s="2">
        <v>19</v>
      </c>
      <c r="E352" s="2" t="s">
        <v>371</v>
      </c>
      <c r="F352" s="29">
        <v>0</v>
      </c>
      <c r="G352" s="30">
        <v>0.60526315789473684</v>
      </c>
      <c r="H352" s="30">
        <v>0.74042553191489358</v>
      </c>
      <c r="I352" s="37">
        <v>320.79000000000002</v>
      </c>
      <c r="J352" s="37">
        <v>392.43</v>
      </c>
      <c r="K352" s="32">
        <v>84</v>
      </c>
      <c r="L352" s="32">
        <v>100</v>
      </c>
      <c r="M352" s="32">
        <v>26946.36</v>
      </c>
      <c r="N352" s="32">
        <v>39243</v>
      </c>
      <c r="O352" s="32">
        <v>66189.36</v>
      </c>
      <c r="P352" s="32">
        <f t="shared" si="5"/>
        <v>63262.45</v>
      </c>
      <c r="Q352" s="32"/>
      <c r="R352" s="32"/>
      <c r="S352" s="2"/>
      <c r="T352" s="2"/>
      <c r="V352" s="2"/>
      <c r="W352" s="2"/>
      <c r="X352" s="30"/>
      <c r="Y352" s="30"/>
      <c r="Z352" s="32"/>
      <c r="AA352" s="32"/>
      <c r="AB352" s="32"/>
      <c r="AC352" s="32"/>
      <c r="AD352" s="32"/>
      <c r="AE352" s="32"/>
      <c r="AF352" s="32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spans="1:50" x14ac:dyDescent="0.25">
      <c r="A353" s="2">
        <v>281</v>
      </c>
      <c r="B353" s="2">
        <v>1</v>
      </c>
      <c r="C353" s="2" t="s">
        <v>365</v>
      </c>
      <c r="D353" s="2">
        <v>22</v>
      </c>
      <c r="E353" s="2" t="s">
        <v>372</v>
      </c>
      <c r="F353" s="29">
        <v>0</v>
      </c>
      <c r="G353" s="30">
        <v>0.69551282051282048</v>
      </c>
      <c r="H353" s="30">
        <v>0.77042801556420237</v>
      </c>
      <c r="I353" s="37">
        <v>368.62</v>
      </c>
      <c r="J353" s="37">
        <v>408.33</v>
      </c>
      <c r="K353" s="32">
        <v>127</v>
      </c>
      <c r="L353" s="32">
        <v>92</v>
      </c>
      <c r="M353" s="32">
        <v>46814.74</v>
      </c>
      <c r="N353" s="32">
        <v>37566.36</v>
      </c>
      <c r="O353" s="32">
        <v>84381.1</v>
      </c>
      <c r="P353" s="32">
        <f t="shared" si="5"/>
        <v>80649.75</v>
      </c>
      <c r="Q353" s="32"/>
      <c r="R353" s="32"/>
      <c r="S353" s="2"/>
      <c r="T353" s="2"/>
      <c r="U353" s="2"/>
      <c r="V353" s="2"/>
      <c r="W353" s="2"/>
      <c r="X353" s="30"/>
      <c r="Y353" s="30"/>
      <c r="Z353" s="32"/>
      <c r="AA353" s="32"/>
      <c r="AB353" s="32"/>
      <c r="AC353" s="32"/>
      <c r="AD353" s="32"/>
      <c r="AE353" s="32"/>
      <c r="AF353" s="32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 spans="1:50" x14ac:dyDescent="0.25">
      <c r="A354" s="2">
        <v>281</v>
      </c>
      <c r="B354" s="2">
        <v>1</v>
      </c>
      <c r="C354" s="2" t="s">
        <v>365</v>
      </c>
      <c r="D354" s="2">
        <v>30</v>
      </c>
      <c r="E354" s="2" t="s">
        <v>373</v>
      </c>
      <c r="F354" s="29">
        <v>0</v>
      </c>
      <c r="G354" s="30">
        <v>0.90032154340836013</v>
      </c>
      <c r="H354" s="30">
        <v>0.87931034482758619</v>
      </c>
      <c r="I354" s="37">
        <v>477.17</v>
      </c>
      <c r="J354" s="37">
        <v>466.03</v>
      </c>
      <c r="K354" s="32">
        <v>96</v>
      </c>
      <c r="L354" s="32">
        <v>94</v>
      </c>
      <c r="M354" s="32">
        <v>45808.32</v>
      </c>
      <c r="N354" s="32">
        <v>43806.82</v>
      </c>
      <c r="O354" s="32">
        <v>89615.14</v>
      </c>
      <c r="P354" s="32">
        <f t="shared" si="5"/>
        <v>85652.34</v>
      </c>
      <c r="Q354" s="32"/>
      <c r="R354" s="32"/>
      <c r="S354" s="2"/>
      <c r="T354" s="2"/>
      <c r="U354" s="2"/>
      <c r="V354" s="2"/>
      <c r="W354" s="2"/>
      <c r="X354" s="30"/>
      <c r="Y354" s="30"/>
      <c r="Z354" s="32"/>
      <c r="AA354" s="32"/>
      <c r="AB354" s="32"/>
      <c r="AC354" s="32"/>
      <c r="AD354" s="32"/>
      <c r="AE354" s="32"/>
      <c r="AF354" s="32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spans="1:50" x14ac:dyDescent="0.25">
      <c r="A355" s="7">
        <v>282</v>
      </c>
      <c r="B355" s="7">
        <v>1</v>
      </c>
      <c r="C355" s="7" t="s">
        <v>374</v>
      </c>
      <c r="D355" s="7">
        <v>40</v>
      </c>
      <c r="E355" s="7" t="s">
        <v>375</v>
      </c>
      <c r="F355" s="38">
        <v>0</v>
      </c>
      <c r="G355" s="30">
        <v>0.85057471264367812</v>
      </c>
      <c r="H355" s="30">
        <v>0.79096045197740117</v>
      </c>
      <c r="I355" s="37">
        <v>450.8</v>
      </c>
      <c r="J355" s="37">
        <v>419.21</v>
      </c>
      <c r="K355" s="32">
        <v>118</v>
      </c>
      <c r="L355" s="32">
        <v>128</v>
      </c>
      <c r="M355" s="32">
        <v>53194.400000000001</v>
      </c>
      <c r="N355" s="32">
        <v>53658.879999999997</v>
      </c>
      <c r="O355" s="32">
        <v>106853.28</v>
      </c>
      <c r="P355" s="32">
        <f t="shared" si="5"/>
        <v>102128.2</v>
      </c>
      <c r="Q355" s="32"/>
      <c r="R355" s="32"/>
      <c r="S355" s="2"/>
      <c r="T355" s="2"/>
      <c r="U355" s="2"/>
      <c r="V355" s="2"/>
      <c r="W355" s="2"/>
      <c r="X355" s="30"/>
      <c r="Y355" s="30"/>
      <c r="Z355" s="32"/>
      <c r="AA355" s="32"/>
      <c r="AB355" s="32"/>
      <c r="AC355" s="32"/>
      <c r="AD355" s="32"/>
      <c r="AE355" s="32"/>
      <c r="AF355" s="32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 spans="1:50" x14ac:dyDescent="0.25">
      <c r="A356" s="2">
        <v>283</v>
      </c>
      <c r="B356" s="2">
        <v>1</v>
      </c>
      <c r="C356" s="2" t="s">
        <v>376</v>
      </c>
      <c r="D356" s="2">
        <v>745</v>
      </c>
      <c r="E356" s="2" t="s">
        <v>377</v>
      </c>
      <c r="F356" s="29">
        <v>0</v>
      </c>
      <c r="G356" s="30">
        <v>0.74736842105263157</v>
      </c>
      <c r="H356" s="30">
        <v>0.85483870967741937</v>
      </c>
      <c r="I356" s="37">
        <v>396.11</v>
      </c>
      <c r="J356" s="37">
        <v>453.06</v>
      </c>
      <c r="K356" s="32">
        <v>80</v>
      </c>
      <c r="L356" s="32">
        <v>59</v>
      </c>
      <c r="M356" s="32">
        <v>31688.799999999999</v>
      </c>
      <c r="N356" s="32">
        <v>26730.54</v>
      </c>
      <c r="O356" s="32">
        <v>58419.34</v>
      </c>
      <c r="P356" s="32">
        <f t="shared" si="5"/>
        <v>55836.02</v>
      </c>
      <c r="Q356" s="32"/>
      <c r="R356" s="32"/>
      <c r="S356" s="2"/>
      <c r="T356" s="2"/>
      <c r="U356" s="2"/>
      <c r="V356" s="2"/>
      <c r="W356" s="2"/>
      <c r="X356" s="30"/>
      <c r="Y356" s="30"/>
      <c r="Z356" s="32"/>
      <c r="AA356" s="32"/>
      <c r="AB356" s="32"/>
      <c r="AC356" s="32"/>
      <c r="AD356" s="32"/>
      <c r="AE356" s="32"/>
      <c r="AF356" s="32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spans="1:50" x14ac:dyDescent="0.25">
      <c r="A357" s="2">
        <v>283</v>
      </c>
      <c r="B357" s="2">
        <v>1</v>
      </c>
      <c r="C357" s="2" t="s">
        <v>376</v>
      </c>
      <c r="D357" s="2">
        <v>747</v>
      </c>
      <c r="E357" s="2" t="s">
        <v>378</v>
      </c>
      <c r="F357" s="29">
        <v>1</v>
      </c>
      <c r="G357" s="30" t="s">
        <v>1328</v>
      </c>
      <c r="H357" s="30" t="s">
        <v>1328</v>
      </c>
      <c r="I357" s="37" t="s">
        <v>1328</v>
      </c>
      <c r="J357" s="37" t="s">
        <v>1328</v>
      </c>
      <c r="K357" s="32">
        <v>0</v>
      </c>
      <c r="L357" s="32">
        <v>0</v>
      </c>
      <c r="M357" s="32" t="s">
        <v>1328</v>
      </c>
      <c r="N357" s="32" t="s">
        <v>1328</v>
      </c>
      <c r="O357" s="32">
        <v>0</v>
      </c>
      <c r="P357" s="32">
        <f t="shared" si="5"/>
        <v>0</v>
      </c>
      <c r="Q357" s="32"/>
      <c r="R357" s="32"/>
      <c r="S357" s="7"/>
      <c r="T357" s="7"/>
      <c r="U357" s="7"/>
      <c r="V357" s="7"/>
      <c r="W357" s="2"/>
      <c r="X357" s="30"/>
      <c r="Y357" s="30"/>
      <c r="Z357" s="32"/>
      <c r="AA357" s="32"/>
      <c r="AB357" s="32"/>
      <c r="AC357" s="32"/>
      <c r="AD357" s="32"/>
      <c r="AE357" s="32"/>
      <c r="AF357" s="32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 spans="1:50" x14ac:dyDescent="0.25">
      <c r="A358" s="2">
        <v>283</v>
      </c>
      <c r="B358" s="2">
        <v>1</v>
      </c>
      <c r="C358" s="2" t="s">
        <v>376</v>
      </c>
      <c r="D358" s="2">
        <v>754</v>
      </c>
      <c r="E358" s="2" t="s">
        <v>379</v>
      </c>
      <c r="F358" s="29">
        <v>0</v>
      </c>
      <c r="G358" s="30">
        <v>0.78527607361963192</v>
      </c>
      <c r="H358" s="30">
        <v>0.88888888888888884</v>
      </c>
      <c r="I358" s="37">
        <v>416.2</v>
      </c>
      <c r="J358" s="37">
        <v>471.11</v>
      </c>
      <c r="K358" s="32">
        <v>101</v>
      </c>
      <c r="L358" s="32">
        <v>95</v>
      </c>
      <c r="M358" s="32">
        <v>42036.2</v>
      </c>
      <c r="N358" s="32">
        <v>44755.45</v>
      </c>
      <c r="O358" s="32">
        <v>86791.65</v>
      </c>
      <c r="P358" s="32">
        <f t="shared" si="5"/>
        <v>82953.7</v>
      </c>
      <c r="Q358" s="32"/>
      <c r="R358" s="32"/>
      <c r="S358" s="2"/>
      <c r="T358" s="2"/>
      <c r="U358" s="2"/>
      <c r="V358" s="2"/>
      <c r="W358" s="2"/>
      <c r="X358" s="30"/>
      <c r="Y358" s="30"/>
      <c r="Z358" s="32"/>
      <c r="AA358" s="32"/>
      <c r="AB358" s="32"/>
      <c r="AC358" s="32"/>
      <c r="AD358" s="32"/>
      <c r="AE358" s="32"/>
      <c r="AF358" s="32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spans="1:50" x14ac:dyDescent="0.25">
      <c r="A359" s="2">
        <v>283</v>
      </c>
      <c r="B359" s="2">
        <v>1</v>
      </c>
      <c r="C359" s="2" t="s">
        <v>376</v>
      </c>
      <c r="D359" s="2">
        <v>755</v>
      </c>
      <c r="E359" s="2" t="s">
        <v>380</v>
      </c>
      <c r="F359" s="29">
        <v>0</v>
      </c>
      <c r="G359" s="30">
        <v>0.78431372549019607</v>
      </c>
      <c r="H359" s="30">
        <v>0.84765625</v>
      </c>
      <c r="I359" s="37">
        <v>415.69</v>
      </c>
      <c r="J359" s="37">
        <v>449.26</v>
      </c>
      <c r="K359" s="32">
        <v>81</v>
      </c>
      <c r="L359" s="32">
        <v>78</v>
      </c>
      <c r="M359" s="32">
        <v>33670.89</v>
      </c>
      <c r="N359" s="32">
        <v>35042.28</v>
      </c>
      <c r="O359" s="32">
        <v>68713.17</v>
      </c>
      <c r="P359" s="32">
        <f t="shared" si="5"/>
        <v>65674.66</v>
      </c>
      <c r="Q359" s="32"/>
      <c r="R359" s="32"/>
      <c r="S359" s="2"/>
      <c r="T359" s="2"/>
      <c r="U359" s="2"/>
      <c r="V359" s="2"/>
      <c r="W359" s="2"/>
      <c r="X359" s="30"/>
      <c r="Y359" s="30"/>
      <c r="Z359" s="32"/>
      <c r="AA359" s="32"/>
      <c r="AB359" s="32"/>
      <c r="AC359" s="32"/>
      <c r="AD359" s="32"/>
      <c r="AE359" s="32"/>
      <c r="AF359" s="32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 spans="1:50" x14ac:dyDescent="0.25">
      <c r="A360" s="2">
        <v>283</v>
      </c>
      <c r="B360" s="2">
        <v>1</v>
      </c>
      <c r="C360" s="2" t="s">
        <v>376</v>
      </c>
      <c r="D360" s="2">
        <v>758</v>
      </c>
      <c r="E360" s="2" t="s">
        <v>381</v>
      </c>
      <c r="F360" s="29">
        <v>0</v>
      </c>
      <c r="G360" s="30">
        <v>0.95167286245353155</v>
      </c>
      <c r="H360" s="30">
        <v>0.85365853658536583</v>
      </c>
      <c r="I360" s="37">
        <v>504.39</v>
      </c>
      <c r="J360" s="37">
        <v>452.44</v>
      </c>
      <c r="K360" s="32">
        <v>91</v>
      </c>
      <c r="L360" s="32">
        <v>84</v>
      </c>
      <c r="M360" s="32">
        <v>45899.49</v>
      </c>
      <c r="N360" s="32">
        <v>38004.959999999999</v>
      </c>
      <c r="O360" s="32">
        <v>83904.45</v>
      </c>
      <c r="P360" s="32">
        <f t="shared" si="5"/>
        <v>80194.179999999993</v>
      </c>
      <c r="Q360" s="32"/>
      <c r="R360" s="32"/>
      <c r="S360" s="2"/>
      <c r="T360" s="2"/>
      <c r="U360" s="2"/>
      <c r="V360" s="2"/>
      <c r="W360" s="2"/>
      <c r="X360" s="30"/>
      <c r="Y360" s="30"/>
      <c r="Z360" s="32"/>
      <c r="AA360" s="32"/>
      <c r="AB360" s="32"/>
      <c r="AC360" s="32"/>
      <c r="AD360" s="32"/>
      <c r="AE360" s="32"/>
      <c r="AF360" s="32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spans="1:50" x14ac:dyDescent="0.25">
      <c r="A361" s="2">
        <v>284</v>
      </c>
      <c r="B361" s="2">
        <v>1</v>
      </c>
      <c r="C361" s="2" t="s">
        <v>382</v>
      </c>
      <c r="D361" s="2">
        <v>804</v>
      </c>
      <c r="E361" s="2" t="s">
        <v>383</v>
      </c>
      <c r="F361" s="29">
        <v>0</v>
      </c>
      <c r="G361" s="30">
        <v>0.87828947368421051</v>
      </c>
      <c r="H361" s="30">
        <v>0.80851063829787229</v>
      </c>
      <c r="I361" s="37">
        <v>465.49</v>
      </c>
      <c r="J361" s="37">
        <v>428.51</v>
      </c>
      <c r="K361" s="32">
        <v>109</v>
      </c>
      <c r="L361" s="32">
        <v>100</v>
      </c>
      <c r="M361" s="32">
        <v>50738.41</v>
      </c>
      <c r="N361" s="32">
        <v>42851</v>
      </c>
      <c r="O361" s="32">
        <v>93589.41</v>
      </c>
      <c r="P361" s="32">
        <f t="shared" si="5"/>
        <v>89450.86</v>
      </c>
      <c r="Q361" s="32"/>
      <c r="R361" s="32"/>
      <c r="S361" s="2"/>
      <c r="T361" s="2"/>
      <c r="U361" s="2"/>
      <c r="V361" s="2"/>
      <c r="W361" s="2"/>
      <c r="X361" s="30"/>
      <c r="Y361" s="30"/>
      <c r="Z361" s="32"/>
      <c r="AA361" s="32"/>
      <c r="AB361" s="32"/>
      <c r="AC361" s="32"/>
      <c r="AD361" s="32"/>
      <c r="AE361" s="32"/>
      <c r="AF361" s="32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 spans="1:50" x14ac:dyDescent="0.25">
      <c r="A362" s="2">
        <v>284</v>
      </c>
      <c r="B362" s="2">
        <v>1</v>
      </c>
      <c r="C362" s="2" t="s">
        <v>382</v>
      </c>
      <c r="D362" s="2">
        <v>806</v>
      </c>
      <c r="E362" s="2" t="s">
        <v>384</v>
      </c>
      <c r="F362" s="29">
        <v>0</v>
      </c>
      <c r="G362" s="30">
        <v>0.94409937888198758</v>
      </c>
      <c r="H362" s="30">
        <v>0.8225255972696246</v>
      </c>
      <c r="I362" s="37">
        <v>500.37</v>
      </c>
      <c r="J362" s="37">
        <v>435.94</v>
      </c>
      <c r="K362" s="32">
        <v>122</v>
      </c>
      <c r="L362" s="32">
        <v>102</v>
      </c>
      <c r="M362" s="32">
        <v>61045.14</v>
      </c>
      <c r="N362" s="32">
        <v>44465.88</v>
      </c>
      <c r="O362" s="32">
        <v>105511.01999999999</v>
      </c>
      <c r="P362" s="32">
        <f t="shared" si="5"/>
        <v>100845.3</v>
      </c>
      <c r="Q362" s="32"/>
      <c r="R362" s="32"/>
      <c r="S362" s="2"/>
      <c r="T362" s="2"/>
      <c r="U362" s="2"/>
      <c r="V362" s="2"/>
      <c r="W362" s="2"/>
      <c r="X362" s="30"/>
      <c r="Y362" s="30"/>
      <c r="Z362" s="32"/>
      <c r="AA362" s="32"/>
      <c r="AB362" s="32"/>
      <c r="AC362" s="32"/>
      <c r="AD362" s="32"/>
      <c r="AE362" s="32"/>
      <c r="AF362" s="32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spans="1:50" x14ac:dyDescent="0.25">
      <c r="A363" s="2">
        <v>284</v>
      </c>
      <c r="B363" s="2">
        <v>1</v>
      </c>
      <c r="C363" s="2" t="s">
        <v>382</v>
      </c>
      <c r="D363" s="2">
        <v>807</v>
      </c>
      <c r="E363" s="2" t="s">
        <v>385</v>
      </c>
      <c r="F363" s="29">
        <v>0</v>
      </c>
      <c r="G363" s="30">
        <v>0.90134529147982068</v>
      </c>
      <c r="H363" s="30">
        <v>0.82661290322580649</v>
      </c>
      <c r="I363" s="37">
        <v>477.71</v>
      </c>
      <c r="J363" s="37">
        <v>438.1</v>
      </c>
      <c r="K363" s="32">
        <v>78</v>
      </c>
      <c r="L363" s="32">
        <v>102</v>
      </c>
      <c r="M363" s="32">
        <v>37261.379999999997</v>
      </c>
      <c r="N363" s="32">
        <v>44686.2</v>
      </c>
      <c r="O363" s="32">
        <v>81947.579999999987</v>
      </c>
      <c r="P363" s="32">
        <f t="shared" si="5"/>
        <v>78323.839999999997</v>
      </c>
      <c r="Q363" s="32"/>
      <c r="R363" s="32"/>
      <c r="S363" s="2"/>
      <c r="T363" s="2"/>
      <c r="U363" s="2"/>
      <c r="V363" s="2"/>
      <c r="W363" s="2"/>
      <c r="X363" s="30"/>
      <c r="Y363" s="30"/>
      <c r="Z363" s="32"/>
      <c r="AA363" s="32"/>
      <c r="AB363" s="32"/>
      <c r="AC363" s="32"/>
      <c r="AD363" s="32"/>
      <c r="AE363" s="32"/>
      <c r="AF363" s="32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 spans="1:50" x14ac:dyDescent="0.25">
      <c r="A364" s="2">
        <v>284</v>
      </c>
      <c r="B364" s="2">
        <v>1</v>
      </c>
      <c r="C364" s="2" t="s">
        <v>382</v>
      </c>
      <c r="D364" s="2">
        <v>808</v>
      </c>
      <c r="E364" s="2" t="s">
        <v>386</v>
      </c>
      <c r="F364" s="29">
        <v>0</v>
      </c>
      <c r="G364" s="30">
        <v>0.86690647482014394</v>
      </c>
      <c r="H364" s="30">
        <v>0.81395348837209303</v>
      </c>
      <c r="I364" s="37">
        <v>459.46</v>
      </c>
      <c r="J364" s="37">
        <v>431.4</v>
      </c>
      <c r="K364" s="32">
        <v>102</v>
      </c>
      <c r="L364" s="32">
        <v>93</v>
      </c>
      <c r="M364" s="32">
        <v>46864.92</v>
      </c>
      <c r="N364" s="32">
        <v>40120.199999999997</v>
      </c>
      <c r="O364" s="32">
        <v>86985.12</v>
      </c>
      <c r="P364" s="32">
        <f t="shared" si="5"/>
        <v>83138.62</v>
      </c>
      <c r="Q364" s="32"/>
      <c r="R364" s="32"/>
      <c r="S364" s="2"/>
      <c r="T364" s="2"/>
      <c r="U364" s="2"/>
      <c r="V364" s="2"/>
      <c r="W364" s="2"/>
      <c r="X364" s="30"/>
      <c r="Y364" s="30"/>
      <c r="Z364" s="32"/>
      <c r="AA364" s="32"/>
      <c r="AB364" s="32"/>
      <c r="AC364" s="32"/>
      <c r="AD364" s="32"/>
      <c r="AE364" s="32"/>
      <c r="AF364" s="32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spans="1:50" x14ac:dyDescent="0.25">
      <c r="A365">
        <v>284</v>
      </c>
      <c r="B365" s="2">
        <v>1</v>
      </c>
      <c r="C365" s="2" t="s">
        <v>382</v>
      </c>
      <c r="D365">
        <v>810</v>
      </c>
      <c r="E365" s="2" t="s">
        <v>387</v>
      </c>
      <c r="F365" s="29">
        <v>0</v>
      </c>
      <c r="G365" s="30">
        <v>0.90600522193211486</v>
      </c>
      <c r="H365" s="30">
        <v>0.88586956521739135</v>
      </c>
      <c r="I365" s="37">
        <v>480.18</v>
      </c>
      <c r="J365" s="37">
        <v>469.51</v>
      </c>
      <c r="K365" s="32">
        <v>118</v>
      </c>
      <c r="L365" s="32">
        <v>128</v>
      </c>
      <c r="M365" s="32">
        <v>56661.24</v>
      </c>
      <c r="N365" s="32">
        <v>60097.279999999999</v>
      </c>
      <c r="O365" s="32">
        <v>116758.51999999999</v>
      </c>
      <c r="P365" s="32">
        <f t="shared" si="5"/>
        <v>111595.43</v>
      </c>
      <c r="Q365" s="32"/>
      <c r="R365" s="32"/>
      <c r="S365" s="2"/>
      <c r="T365" s="2"/>
      <c r="U365" s="2"/>
      <c r="V365" s="2"/>
      <c r="W365" s="2"/>
      <c r="X365" s="30"/>
      <c r="Y365" s="30"/>
      <c r="Z365" s="32"/>
      <c r="AA365" s="32"/>
      <c r="AB365" s="32"/>
      <c r="AC365" s="32"/>
      <c r="AD365" s="32"/>
      <c r="AE365" s="32"/>
      <c r="AF365" s="32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 spans="1:50" x14ac:dyDescent="0.25">
      <c r="A366" s="2">
        <v>284</v>
      </c>
      <c r="B366" s="2">
        <v>1</v>
      </c>
      <c r="C366" s="2" t="s">
        <v>382</v>
      </c>
      <c r="D366" s="2">
        <v>811</v>
      </c>
      <c r="E366" s="2" t="s">
        <v>388</v>
      </c>
      <c r="F366" s="29">
        <v>0</v>
      </c>
      <c r="G366" s="30">
        <v>0.90490797546012269</v>
      </c>
      <c r="H366" s="30">
        <v>0.80967741935483872</v>
      </c>
      <c r="I366" s="37">
        <v>479.6</v>
      </c>
      <c r="J366" s="37">
        <v>429.13</v>
      </c>
      <c r="K366" s="32">
        <v>115</v>
      </c>
      <c r="L366" s="32">
        <v>99</v>
      </c>
      <c r="M366" s="32">
        <v>55154</v>
      </c>
      <c r="N366" s="32">
        <v>42483.87</v>
      </c>
      <c r="O366" s="32">
        <v>97637.87</v>
      </c>
      <c r="P366" s="32">
        <f t="shared" si="5"/>
        <v>93320.3</v>
      </c>
      <c r="Q366" s="32"/>
      <c r="R366" s="32"/>
      <c r="S366" s="2"/>
      <c r="T366" s="2"/>
      <c r="U366" s="2"/>
      <c r="V366" s="2"/>
      <c r="W366" s="2"/>
      <c r="X366" s="30"/>
      <c r="Y366" s="30"/>
      <c r="Z366" s="32"/>
      <c r="AA366" s="32"/>
      <c r="AB366" s="32"/>
      <c r="AC366" s="32"/>
      <c r="AD366" s="32"/>
      <c r="AE366" s="32"/>
      <c r="AF366" s="32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spans="1:50" x14ac:dyDescent="0.25">
      <c r="A367" s="2">
        <v>284</v>
      </c>
      <c r="B367" s="2">
        <v>1</v>
      </c>
      <c r="C367" s="2" t="s">
        <v>382</v>
      </c>
      <c r="D367" s="2">
        <v>812</v>
      </c>
      <c r="E367" s="2" t="s">
        <v>389</v>
      </c>
      <c r="F367" s="29">
        <v>0</v>
      </c>
      <c r="G367" s="30">
        <v>0.94486215538847118</v>
      </c>
      <c r="H367" s="30">
        <v>0.89926289926289926</v>
      </c>
      <c r="I367" s="37">
        <v>500.78</v>
      </c>
      <c r="J367" s="37">
        <v>476.61</v>
      </c>
      <c r="K367" s="32">
        <v>122</v>
      </c>
      <c r="L367" s="32">
        <v>145</v>
      </c>
      <c r="M367" s="32">
        <v>61095.16</v>
      </c>
      <c r="N367" s="32">
        <v>69108.45</v>
      </c>
      <c r="O367" s="32">
        <v>130203.61</v>
      </c>
      <c r="P367" s="32">
        <f t="shared" si="5"/>
        <v>124445.98</v>
      </c>
      <c r="Q367" s="32"/>
      <c r="R367" s="32"/>
      <c r="S367" s="2"/>
      <c r="T367" s="2"/>
      <c r="V367" s="2"/>
      <c r="W367" s="2"/>
      <c r="X367" s="30"/>
      <c r="Y367" s="30"/>
      <c r="Z367" s="32"/>
      <c r="AA367" s="32"/>
      <c r="AB367" s="32"/>
      <c r="AC367" s="32"/>
      <c r="AD367" s="32"/>
      <c r="AE367" s="32"/>
      <c r="AF367" s="32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 spans="1:50" x14ac:dyDescent="0.25">
      <c r="A368" s="2">
        <v>286</v>
      </c>
      <c r="B368" s="2">
        <v>1</v>
      </c>
      <c r="C368" s="2" t="s">
        <v>390</v>
      </c>
      <c r="D368" s="2">
        <v>480</v>
      </c>
      <c r="E368" s="2" t="s">
        <v>391</v>
      </c>
      <c r="F368" s="29">
        <v>0</v>
      </c>
      <c r="G368" s="30">
        <v>0.64509394572025047</v>
      </c>
      <c r="H368" s="30">
        <v>0.759493670886076</v>
      </c>
      <c r="I368" s="37">
        <v>341.9</v>
      </c>
      <c r="J368" s="37">
        <v>402.53</v>
      </c>
      <c r="K368" s="32">
        <v>169</v>
      </c>
      <c r="L368" s="32">
        <v>156</v>
      </c>
      <c r="M368" s="32">
        <v>57781.1</v>
      </c>
      <c r="N368" s="32">
        <v>62794.68</v>
      </c>
      <c r="O368" s="32">
        <v>120575.78</v>
      </c>
      <c r="P368" s="32">
        <f t="shared" si="5"/>
        <v>115243.89</v>
      </c>
      <c r="Q368" s="32"/>
      <c r="R368" s="32"/>
      <c r="S368" s="2"/>
      <c r="T368" s="2"/>
      <c r="U368" s="2"/>
      <c r="V368" s="2"/>
      <c r="W368" s="2"/>
      <c r="X368" s="30"/>
      <c r="Y368" s="30"/>
      <c r="Z368" s="32"/>
      <c r="AA368" s="32"/>
      <c r="AB368" s="32"/>
      <c r="AC368" s="32"/>
      <c r="AD368" s="32"/>
      <c r="AE368" s="32"/>
      <c r="AF368" s="32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spans="1:50" x14ac:dyDescent="0.25">
      <c r="A369" s="2">
        <v>294</v>
      </c>
      <c r="B369" s="2">
        <v>1</v>
      </c>
      <c r="C369" s="2" t="s">
        <v>1186</v>
      </c>
      <c r="D369" s="2">
        <v>8</v>
      </c>
      <c r="E369" s="2" t="s">
        <v>1187</v>
      </c>
      <c r="F369" s="29">
        <v>1</v>
      </c>
      <c r="G369" s="30" t="s">
        <v>1328</v>
      </c>
      <c r="H369" s="30" t="s">
        <v>1328</v>
      </c>
      <c r="I369" s="37" t="s">
        <v>1328</v>
      </c>
      <c r="J369" s="37" t="s">
        <v>1328</v>
      </c>
      <c r="K369" s="32">
        <v>0</v>
      </c>
      <c r="L369" s="32">
        <v>0</v>
      </c>
      <c r="M369" s="32" t="s">
        <v>1328</v>
      </c>
      <c r="N369" s="32" t="s">
        <v>1328</v>
      </c>
      <c r="O369" s="32">
        <v>0</v>
      </c>
      <c r="P369" s="32">
        <f t="shared" si="5"/>
        <v>0</v>
      </c>
      <c r="Q369" s="32"/>
      <c r="R369" s="32"/>
      <c r="S369" s="2"/>
      <c r="T369" s="2"/>
      <c r="U369" s="2"/>
      <c r="V369" s="2"/>
      <c r="W369" s="2"/>
      <c r="X369" s="30"/>
      <c r="Y369" s="30"/>
      <c r="Z369" s="32"/>
      <c r="AA369" s="32"/>
      <c r="AB369" s="32"/>
      <c r="AC369" s="32"/>
      <c r="AD369" s="32"/>
      <c r="AE369" s="32"/>
      <c r="AF369" s="32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spans="1:50" x14ac:dyDescent="0.25">
      <c r="A370" s="2">
        <v>294</v>
      </c>
      <c r="B370" s="2">
        <v>1</v>
      </c>
      <c r="C370" s="2" t="s">
        <v>392</v>
      </c>
      <c r="D370" s="2">
        <v>10</v>
      </c>
      <c r="E370" s="2" t="s">
        <v>393</v>
      </c>
      <c r="F370" s="29">
        <v>0</v>
      </c>
      <c r="G370" s="30">
        <v>0.90384615384615385</v>
      </c>
      <c r="H370" s="30">
        <v>0.85555555555555551</v>
      </c>
      <c r="I370" s="37">
        <v>479.04</v>
      </c>
      <c r="J370" s="37">
        <v>453.44</v>
      </c>
      <c r="K370" s="32">
        <v>35</v>
      </c>
      <c r="L370" s="32">
        <v>31</v>
      </c>
      <c r="M370" s="32">
        <v>16766.400000000001</v>
      </c>
      <c r="N370" s="32">
        <v>14056.64</v>
      </c>
      <c r="O370" s="32">
        <v>30823.040000000001</v>
      </c>
      <c r="P370" s="32">
        <f t="shared" si="5"/>
        <v>29460.04</v>
      </c>
      <c r="Q370" s="32"/>
      <c r="R370" s="32"/>
      <c r="S370" s="2"/>
      <c r="T370" s="2"/>
      <c r="U370" s="2"/>
      <c r="V370" s="2"/>
      <c r="W370" s="2"/>
      <c r="X370" s="30"/>
      <c r="Y370" s="30"/>
      <c r="Z370" s="32"/>
      <c r="AA370" s="32"/>
      <c r="AB370" s="32"/>
      <c r="AC370" s="32"/>
      <c r="AD370" s="32"/>
      <c r="AE370" s="32"/>
      <c r="AF370" s="32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spans="1:50" x14ac:dyDescent="0.25">
      <c r="A371" s="2">
        <v>294</v>
      </c>
      <c r="B371" s="2">
        <v>1</v>
      </c>
      <c r="C371" s="2" t="s">
        <v>392</v>
      </c>
      <c r="D371" s="2">
        <v>12</v>
      </c>
      <c r="E371" s="2" t="s">
        <v>394</v>
      </c>
      <c r="F371" s="29">
        <v>0</v>
      </c>
      <c r="G371" s="30">
        <v>0.71527777777777779</v>
      </c>
      <c r="H371" s="30">
        <v>0.72448979591836737</v>
      </c>
      <c r="I371" s="37">
        <v>379.1</v>
      </c>
      <c r="J371" s="37">
        <v>383.98</v>
      </c>
      <c r="K371" s="32">
        <v>131</v>
      </c>
      <c r="L371" s="32">
        <v>111</v>
      </c>
      <c r="M371" s="32">
        <v>49662.1</v>
      </c>
      <c r="N371" s="32">
        <v>42621.78</v>
      </c>
      <c r="O371" s="32">
        <v>92283.88</v>
      </c>
      <c r="P371" s="32">
        <f t="shared" si="5"/>
        <v>88203.06</v>
      </c>
      <c r="Q371" s="32"/>
      <c r="R371" s="32"/>
      <c r="S371" s="2"/>
      <c r="T371" s="2"/>
      <c r="U371" s="2"/>
      <c r="V371" s="2"/>
      <c r="W371" s="2"/>
      <c r="X371" s="30"/>
      <c r="Y371" s="30"/>
      <c r="Z371" s="32"/>
      <c r="AA371" s="32"/>
      <c r="AB371" s="32"/>
      <c r="AC371" s="32"/>
      <c r="AD371" s="32"/>
      <c r="AE371" s="32"/>
      <c r="AF371" s="32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spans="1:50" x14ac:dyDescent="0.25">
      <c r="A372">
        <v>297</v>
      </c>
      <c r="B372">
        <v>1</v>
      </c>
      <c r="C372" t="s">
        <v>395</v>
      </c>
      <c r="D372">
        <v>10</v>
      </c>
      <c r="E372" t="s">
        <v>396</v>
      </c>
      <c r="F372" s="1">
        <v>0</v>
      </c>
      <c r="G372" s="30">
        <v>0.78873239436619713</v>
      </c>
      <c r="H372" s="30">
        <v>0.80555555555555558</v>
      </c>
      <c r="I372" s="37">
        <v>418.03</v>
      </c>
      <c r="J372" s="37">
        <v>426.94</v>
      </c>
      <c r="K372" s="32">
        <v>23</v>
      </c>
      <c r="L372" s="32">
        <v>24</v>
      </c>
      <c r="M372" s="32">
        <v>9614.69</v>
      </c>
      <c r="N372" s="32">
        <v>10246.56</v>
      </c>
      <c r="O372" s="32">
        <v>19861.25</v>
      </c>
      <c r="P372" s="32">
        <f t="shared" si="5"/>
        <v>18982.98</v>
      </c>
      <c r="Q372" s="32"/>
      <c r="R372" s="32"/>
      <c r="S372" s="2"/>
      <c r="T372" s="2"/>
      <c r="U372" s="2"/>
      <c r="V372" s="2"/>
      <c r="W372" s="2"/>
      <c r="X372" s="30"/>
      <c r="Y372" s="30"/>
      <c r="Z372" s="32"/>
      <c r="AA372" s="32"/>
      <c r="AB372" s="32"/>
      <c r="AC372" s="32"/>
      <c r="AD372" s="32"/>
      <c r="AE372" s="32"/>
      <c r="AF372" s="32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spans="1:50" x14ac:dyDescent="0.25">
      <c r="A373" s="2">
        <v>299</v>
      </c>
      <c r="B373" s="2">
        <v>1</v>
      </c>
      <c r="C373" s="2" t="s">
        <v>397</v>
      </c>
      <c r="D373" s="2">
        <v>10</v>
      </c>
      <c r="E373" s="2" t="s">
        <v>398</v>
      </c>
      <c r="F373" s="29">
        <v>0</v>
      </c>
      <c r="G373" s="30">
        <v>0.80916030534351147</v>
      </c>
      <c r="H373" s="30">
        <v>0.76666666666666672</v>
      </c>
      <c r="I373" s="37">
        <v>428.85</v>
      </c>
      <c r="J373" s="37">
        <v>406.33</v>
      </c>
      <c r="K373" s="32">
        <v>50</v>
      </c>
      <c r="L373" s="32">
        <v>37</v>
      </c>
      <c r="M373" s="32">
        <v>21442.5</v>
      </c>
      <c r="N373" s="32">
        <v>15034.21</v>
      </c>
      <c r="O373" s="32">
        <v>36476.71</v>
      </c>
      <c r="P373" s="32">
        <f t="shared" si="5"/>
        <v>34863.699999999997</v>
      </c>
      <c r="Q373" s="32"/>
      <c r="R373" s="32"/>
      <c r="S373" s="2"/>
      <c r="T373" s="2"/>
      <c r="U373" s="2"/>
      <c r="V373" s="2"/>
      <c r="W373" s="2"/>
      <c r="X373" s="30"/>
      <c r="Y373" s="30"/>
      <c r="Z373" s="32"/>
      <c r="AA373" s="32"/>
      <c r="AB373" s="32"/>
      <c r="AC373" s="32"/>
      <c r="AD373" s="32"/>
      <c r="AE373" s="32"/>
      <c r="AF373" s="32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spans="1:50" x14ac:dyDescent="0.25">
      <c r="A374" s="2">
        <v>300</v>
      </c>
      <c r="B374" s="2">
        <v>1</v>
      </c>
      <c r="C374" s="2" t="s">
        <v>399</v>
      </c>
      <c r="D374" s="2">
        <v>10</v>
      </c>
      <c r="E374" s="2" t="s">
        <v>400</v>
      </c>
      <c r="F374" s="29">
        <v>0</v>
      </c>
      <c r="G374" s="30">
        <v>0.8392857142857143</v>
      </c>
      <c r="H374" s="30">
        <v>0.59905660377358494</v>
      </c>
      <c r="I374" s="37">
        <v>444.82</v>
      </c>
      <c r="J374" s="37">
        <v>317.5</v>
      </c>
      <c r="K374" s="32">
        <v>72</v>
      </c>
      <c r="L374" s="32">
        <v>80</v>
      </c>
      <c r="M374" s="32">
        <v>32027.040000000001</v>
      </c>
      <c r="N374" s="32">
        <v>25400</v>
      </c>
      <c r="O374" s="32">
        <v>57427.040000000001</v>
      </c>
      <c r="P374" s="32">
        <f t="shared" si="5"/>
        <v>54887.6</v>
      </c>
      <c r="Q374" s="32"/>
      <c r="R374" s="32"/>
      <c r="W374" s="2"/>
      <c r="X374" s="30"/>
      <c r="Y374" s="30"/>
      <c r="Z374" s="32"/>
      <c r="AA374" s="32"/>
      <c r="AB374" s="32"/>
      <c r="AC374" s="32"/>
      <c r="AD374" s="32"/>
      <c r="AE374" s="32"/>
      <c r="AF374" s="32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spans="1:50" x14ac:dyDescent="0.25">
      <c r="A375" s="2">
        <v>306</v>
      </c>
      <c r="B375" s="2">
        <v>1</v>
      </c>
      <c r="C375" s="2" t="s">
        <v>401</v>
      </c>
      <c r="D375" s="2">
        <v>10</v>
      </c>
      <c r="E375" s="2" t="s">
        <v>402</v>
      </c>
      <c r="F375" s="29">
        <v>0</v>
      </c>
      <c r="G375" s="30">
        <v>0.74137931034482762</v>
      </c>
      <c r="H375" s="30">
        <v>0.59615384615384615</v>
      </c>
      <c r="I375" s="37">
        <v>392.93</v>
      </c>
      <c r="J375" s="37">
        <v>315.95999999999998</v>
      </c>
      <c r="K375" s="32">
        <v>19</v>
      </c>
      <c r="L375" s="32">
        <v>24</v>
      </c>
      <c r="M375" s="32">
        <v>7465.67</v>
      </c>
      <c r="N375" s="32">
        <v>7583.04</v>
      </c>
      <c r="O375" s="32">
        <v>15048.71</v>
      </c>
      <c r="P375" s="32">
        <f t="shared" si="5"/>
        <v>14383.25</v>
      </c>
      <c r="Q375" s="32"/>
      <c r="R375" s="32"/>
      <c r="S375" s="2"/>
      <c r="T375" s="2"/>
      <c r="U375" s="2"/>
      <c r="V375" s="2"/>
      <c r="W375" s="2"/>
      <c r="X375" s="30"/>
      <c r="Y375" s="30"/>
      <c r="Z375" s="32"/>
      <c r="AA375" s="32"/>
      <c r="AB375" s="32"/>
      <c r="AC375" s="32"/>
      <c r="AD375" s="32"/>
      <c r="AE375" s="32"/>
      <c r="AF375" s="32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spans="1:50" x14ac:dyDescent="0.25">
      <c r="A376" s="2">
        <v>308</v>
      </c>
      <c r="B376" s="2">
        <v>1</v>
      </c>
      <c r="C376" s="2" t="s">
        <v>403</v>
      </c>
      <c r="D376" s="2">
        <v>10</v>
      </c>
      <c r="E376" s="2" t="s">
        <v>404</v>
      </c>
      <c r="F376" s="29">
        <v>0</v>
      </c>
      <c r="G376" s="30">
        <v>0.83809523809523812</v>
      </c>
      <c r="H376" s="30">
        <v>0.83333333333333337</v>
      </c>
      <c r="I376" s="37">
        <v>444.19</v>
      </c>
      <c r="J376" s="37">
        <v>441.67</v>
      </c>
      <c r="K376" s="32">
        <v>30</v>
      </c>
      <c r="L376" s="32">
        <v>40</v>
      </c>
      <c r="M376" s="32">
        <v>13325.7</v>
      </c>
      <c r="N376" s="32">
        <v>17666.8</v>
      </c>
      <c r="O376" s="32">
        <v>30992.5</v>
      </c>
      <c r="P376" s="32">
        <f t="shared" si="5"/>
        <v>29622</v>
      </c>
      <c r="Q376" s="32"/>
      <c r="R376" s="32"/>
      <c r="S376" s="2"/>
      <c r="T376" s="2"/>
      <c r="U376" s="2"/>
      <c r="V376" s="2"/>
      <c r="W376" s="2"/>
      <c r="X376" s="30"/>
      <c r="Y376" s="30"/>
      <c r="Z376" s="32"/>
      <c r="AA376" s="32"/>
      <c r="AB376" s="32"/>
      <c r="AC376" s="32"/>
      <c r="AD376" s="32"/>
      <c r="AE376" s="32"/>
      <c r="AF376" s="32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spans="1:50" x14ac:dyDescent="0.25">
      <c r="A377" s="2">
        <v>309</v>
      </c>
      <c r="B377" s="2">
        <v>1</v>
      </c>
      <c r="C377" s="2" t="s">
        <v>405</v>
      </c>
      <c r="D377" s="2">
        <v>30</v>
      </c>
      <c r="E377" s="2" t="s">
        <v>406</v>
      </c>
      <c r="F377" s="29">
        <v>0</v>
      </c>
      <c r="G377" s="30">
        <v>0.82424242424242422</v>
      </c>
      <c r="H377" s="30">
        <v>0.75739644970414199</v>
      </c>
      <c r="I377" s="37">
        <v>436.85</v>
      </c>
      <c r="J377" s="37">
        <v>401.42</v>
      </c>
      <c r="K377" s="32">
        <v>103</v>
      </c>
      <c r="L377" s="32">
        <v>108</v>
      </c>
      <c r="M377" s="32">
        <v>44995.55</v>
      </c>
      <c r="N377" s="32">
        <v>43353.36</v>
      </c>
      <c r="O377" s="32">
        <v>88348.91</v>
      </c>
      <c r="P377" s="32">
        <f t="shared" si="5"/>
        <v>84442.1</v>
      </c>
      <c r="Q377" s="32"/>
      <c r="R377" s="32"/>
      <c r="S377" s="2"/>
      <c r="T377" s="2"/>
      <c r="U377" s="2"/>
      <c r="V377" s="2"/>
      <c r="W377" s="2"/>
      <c r="X377" s="30"/>
      <c r="Y377" s="30"/>
      <c r="Z377" s="32"/>
      <c r="AA377" s="32"/>
      <c r="AB377" s="32"/>
      <c r="AC377" s="32"/>
      <c r="AD377" s="32"/>
      <c r="AE377" s="32"/>
      <c r="AF377" s="32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spans="1:50" x14ac:dyDescent="0.25">
      <c r="A378" s="2">
        <v>314</v>
      </c>
      <c r="B378" s="2">
        <v>1</v>
      </c>
      <c r="C378" s="2" t="s">
        <v>407</v>
      </c>
      <c r="D378" s="2">
        <v>2</v>
      </c>
      <c r="E378" s="2" t="s">
        <v>408</v>
      </c>
      <c r="F378" s="29">
        <v>0</v>
      </c>
      <c r="G378" s="30">
        <v>0.90909090909090906</v>
      </c>
      <c r="H378" s="30">
        <v>0.74371859296482412</v>
      </c>
      <c r="I378" s="37">
        <v>481.82</v>
      </c>
      <c r="J378" s="37">
        <v>394.17</v>
      </c>
      <c r="K378" s="32">
        <v>72</v>
      </c>
      <c r="L378" s="32">
        <v>74</v>
      </c>
      <c r="M378" s="32">
        <v>34691.040000000001</v>
      </c>
      <c r="N378" s="32">
        <v>29168.58</v>
      </c>
      <c r="O378" s="32">
        <v>63859.62</v>
      </c>
      <c r="P378" s="32">
        <f t="shared" si="5"/>
        <v>61035.73</v>
      </c>
      <c r="Q378" s="32"/>
      <c r="R378" s="32"/>
      <c r="S378" s="2"/>
      <c r="T378" s="2"/>
      <c r="U378" s="2"/>
      <c r="V378" s="2"/>
      <c r="W378" s="2"/>
      <c r="X378" s="30"/>
      <c r="Y378" s="30"/>
      <c r="Z378" s="32"/>
      <c r="AA378" s="32"/>
      <c r="AB378" s="32"/>
      <c r="AC378" s="32"/>
      <c r="AD378" s="32"/>
      <c r="AE378" s="32"/>
      <c r="AF378" s="32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spans="1:50" x14ac:dyDescent="0.25">
      <c r="A379" s="2">
        <v>316</v>
      </c>
      <c r="B379" s="2">
        <v>1</v>
      </c>
      <c r="C379" s="2" t="s">
        <v>409</v>
      </c>
      <c r="D379" s="2">
        <v>110</v>
      </c>
      <c r="E379" s="2" t="s">
        <v>410</v>
      </c>
      <c r="F379" s="29">
        <v>1</v>
      </c>
      <c r="G379" s="30" t="s">
        <v>1328</v>
      </c>
      <c r="H379" s="30" t="s">
        <v>1328</v>
      </c>
      <c r="I379" s="37" t="s">
        <v>1328</v>
      </c>
      <c r="J379" s="37" t="s">
        <v>1328</v>
      </c>
      <c r="K379" s="32">
        <v>70</v>
      </c>
      <c r="L379" s="32">
        <v>0</v>
      </c>
      <c r="M379" s="32" t="s">
        <v>1328</v>
      </c>
      <c r="N379" s="32" t="s">
        <v>1328</v>
      </c>
      <c r="O379" s="32">
        <v>29831.200000000001</v>
      </c>
      <c r="P379" s="32">
        <f t="shared" si="5"/>
        <v>28512.06</v>
      </c>
      <c r="Q379" s="32"/>
      <c r="R379" s="32"/>
      <c r="S379" s="2"/>
      <c r="T379" s="2"/>
      <c r="U379" s="2"/>
      <c r="V379" s="2"/>
      <c r="W379" s="2"/>
      <c r="X379" s="30"/>
      <c r="Y379" s="30"/>
      <c r="Z379" s="32"/>
      <c r="AA379" s="32"/>
      <c r="AB379" s="32"/>
      <c r="AC379" s="32"/>
      <c r="AD379" s="32"/>
      <c r="AE379" s="32"/>
      <c r="AF379" s="32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spans="1:50" x14ac:dyDescent="0.25">
      <c r="A380" s="2">
        <v>316</v>
      </c>
      <c r="B380" s="2">
        <v>1</v>
      </c>
      <c r="C380" s="2" t="s">
        <v>409</v>
      </c>
      <c r="D380" s="2">
        <v>210</v>
      </c>
      <c r="E380" s="2" t="s">
        <v>411</v>
      </c>
      <c r="F380" s="29">
        <v>1</v>
      </c>
      <c r="G380" s="30" t="s">
        <v>1328</v>
      </c>
      <c r="H380" s="30" t="s">
        <v>1328</v>
      </c>
      <c r="I380" s="37" t="s">
        <v>1328</v>
      </c>
      <c r="J380" s="37" t="s">
        <v>1328</v>
      </c>
      <c r="K380" s="32">
        <v>0</v>
      </c>
      <c r="L380" s="32">
        <v>87</v>
      </c>
      <c r="M380" s="32" t="s">
        <v>1328</v>
      </c>
      <c r="N380" s="32" t="s">
        <v>1328</v>
      </c>
      <c r="O380" s="32">
        <v>32334.42</v>
      </c>
      <c r="P380" s="32">
        <f t="shared" si="5"/>
        <v>30904.58</v>
      </c>
      <c r="Q380" s="32"/>
      <c r="R380" s="32"/>
      <c r="S380" s="2"/>
      <c r="T380" s="2"/>
      <c r="U380" s="2"/>
      <c r="V380" s="2"/>
      <c r="W380" s="2"/>
      <c r="X380" s="30"/>
      <c r="Y380" s="30"/>
      <c r="Z380" s="32"/>
      <c r="AA380" s="32"/>
      <c r="AB380" s="32"/>
      <c r="AC380" s="32"/>
      <c r="AD380" s="32"/>
      <c r="AE380" s="32"/>
      <c r="AF380" s="32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spans="1:50" x14ac:dyDescent="0.25">
      <c r="A381" s="2">
        <v>317</v>
      </c>
      <c r="B381" s="2">
        <v>1</v>
      </c>
      <c r="C381" s="2" t="s">
        <v>412</v>
      </c>
      <c r="D381" s="2">
        <v>4</v>
      </c>
      <c r="E381" s="2" t="s">
        <v>414</v>
      </c>
      <c r="F381" s="29">
        <v>0</v>
      </c>
      <c r="G381" s="30">
        <v>0.76878612716763006</v>
      </c>
      <c r="H381" s="30">
        <v>0.6607142857142857</v>
      </c>
      <c r="I381" s="37">
        <v>407.46</v>
      </c>
      <c r="J381" s="37">
        <v>350.18</v>
      </c>
      <c r="K381" s="32">
        <v>56</v>
      </c>
      <c r="L381" s="32">
        <v>57</v>
      </c>
      <c r="M381" s="32">
        <v>22817.759999999998</v>
      </c>
      <c r="N381" s="32">
        <v>19960.259999999998</v>
      </c>
      <c r="O381" s="32">
        <v>42778.02</v>
      </c>
      <c r="P381" s="32">
        <f t="shared" si="5"/>
        <v>40886.370000000003</v>
      </c>
      <c r="Q381" s="32"/>
      <c r="R381" s="32"/>
      <c r="S381" s="2"/>
      <c r="T381" s="2"/>
      <c r="U381" s="2"/>
      <c r="V381" s="2"/>
      <c r="W381" s="2"/>
      <c r="X381" s="30"/>
      <c r="Y381" s="30"/>
      <c r="Z381" s="32"/>
      <c r="AA381" s="32"/>
      <c r="AB381" s="32"/>
      <c r="AC381" s="32"/>
      <c r="AD381" s="32"/>
      <c r="AE381" s="32"/>
      <c r="AF381" s="32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spans="1:50" x14ac:dyDescent="0.25">
      <c r="A382" s="2">
        <v>318</v>
      </c>
      <c r="B382" s="2">
        <v>1</v>
      </c>
      <c r="C382" s="2" t="s">
        <v>415</v>
      </c>
      <c r="D382" s="2">
        <v>110</v>
      </c>
      <c r="E382" s="2" t="s">
        <v>416</v>
      </c>
      <c r="F382" s="29">
        <v>0</v>
      </c>
      <c r="G382" s="30">
        <v>0.75524475524475521</v>
      </c>
      <c r="H382" s="30">
        <v>0.80124223602484468</v>
      </c>
      <c r="I382" s="37">
        <v>400.28</v>
      </c>
      <c r="J382" s="37">
        <v>424.66</v>
      </c>
      <c r="K382" s="32">
        <v>47</v>
      </c>
      <c r="L382" s="32">
        <v>53</v>
      </c>
      <c r="M382" s="32">
        <v>18813.16</v>
      </c>
      <c r="N382" s="32">
        <v>22506.98</v>
      </c>
      <c r="O382" s="32">
        <v>41320.14</v>
      </c>
      <c r="P382" s="32">
        <f t="shared" si="5"/>
        <v>39492.949999999997</v>
      </c>
      <c r="Q382" s="32"/>
      <c r="R382" s="32"/>
      <c r="S382" s="2"/>
      <c r="T382" s="2"/>
      <c r="U382" s="2"/>
      <c r="V382" s="2"/>
      <c r="W382" s="2"/>
      <c r="X382" s="30"/>
      <c r="Y382" s="30"/>
      <c r="Z382" s="32"/>
      <c r="AA382" s="32"/>
      <c r="AB382" s="32"/>
      <c r="AC382" s="32"/>
      <c r="AD382" s="32"/>
      <c r="AE382" s="32"/>
      <c r="AF382" s="32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spans="1:50" x14ac:dyDescent="0.25">
      <c r="A383" s="2">
        <v>318</v>
      </c>
      <c r="B383" s="2">
        <v>1</v>
      </c>
      <c r="C383" s="2" t="s">
        <v>415</v>
      </c>
      <c r="D383" s="2">
        <v>115</v>
      </c>
      <c r="E383" s="2" t="s">
        <v>417</v>
      </c>
      <c r="F383" s="29">
        <v>0</v>
      </c>
      <c r="G383" s="30">
        <v>0.93877551020408168</v>
      </c>
      <c r="H383" s="30">
        <v>0.54166666666666663</v>
      </c>
      <c r="I383" s="37">
        <v>497.55</v>
      </c>
      <c r="J383" s="37">
        <v>287.08</v>
      </c>
      <c r="K383" s="32">
        <v>17</v>
      </c>
      <c r="L383" s="32">
        <v>15</v>
      </c>
      <c r="M383" s="32">
        <v>8458.35</v>
      </c>
      <c r="N383" s="32">
        <v>4306.2</v>
      </c>
      <c r="O383" s="32">
        <v>12764.55</v>
      </c>
      <c r="P383" s="32">
        <f t="shared" si="5"/>
        <v>12200.1</v>
      </c>
      <c r="Q383" s="32"/>
      <c r="R383" s="32"/>
      <c r="S383" s="2"/>
      <c r="T383" s="2"/>
      <c r="U383" s="2"/>
      <c r="V383" s="2"/>
      <c r="W383" s="2"/>
      <c r="X383" s="30"/>
      <c r="Y383" s="30"/>
      <c r="Z383" s="32"/>
      <c r="AA383" s="32"/>
      <c r="AB383" s="32"/>
      <c r="AC383" s="32"/>
      <c r="AD383" s="32"/>
      <c r="AE383" s="32"/>
      <c r="AF383" s="32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spans="1:50" x14ac:dyDescent="0.25">
      <c r="A384" s="2">
        <v>318</v>
      </c>
      <c r="B384" s="2">
        <v>1</v>
      </c>
      <c r="C384" s="2" t="s">
        <v>415</v>
      </c>
      <c r="D384" s="2">
        <v>120</v>
      </c>
      <c r="E384" s="2" t="s">
        <v>418</v>
      </c>
      <c r="F384" s="29">
        <v>0</v>
      </c>
      <c r="G384" s="30">
        <v>0.78846153846153844</v>
      </c>
      <c r="H384" s="30">
        <v>0.81818181818181823</v>
      </c>
      <c r="I384" s="37">
        <v>417.88</v>
      </c>
      <c r="J384" s="37">
        <v>433.64</v>
      </c>
      <c r="K384" s="32">
        <v>51</v>
      </c>
      <c r="L384" s="32">
        <v>57</v>
      </c>
      <c r="M384" s="32">
        <v>21311.88</v>
      </c>
      <c r="N384" s="32">
        <v>24717.48</v>
      </c>
      <c r="O384" s="32">
        <v>46029.36</v>
      </c>
      <c r="P384" s="32">
        <f t="shared" si="5"/>
        <v>43993.93</v>
      </c>
      <c r="Q384" s="32"/>
      <c r="R384" s="32"/>
      <c r="S384" s="2"/>
      <c r="T384" s="2"/>
      <c r="U384" s="2"/>
      <c r="V384" s="2"/>
      <c r="W384" s="2"/>
      <c r="X384" s="30"/>
      <c r="Y384" s="30"/>
      <c r="Z384" s="32"/>
      <c r="AA384" s="32"/>
      <c r="AB384" s="32"/>
      <c r="AC384" s="32"/>
      <c r="AD384" s="32"/>
      <c r="AE384" s="32"/>
      <c r="AF384" s="32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spans="1:50" x14ac:dyDescent="0.25">
      <c r="A385">
        <v>318</v>
      </c>
      <c r="B385">
        <v>1</v>
      </c>
      <c r="C385" t="s">
        <v>415</v>
      </c>
      <c r="D385">
        <v>125</v>
      </c>
      <c r="E385" t="s">
        <v>419</v>
      </c>
      <c r="F385" s="1">
        <v>0</v>
      </c>
      <c r="G385" s="30">
        <v>0.81192660550458717</v>
      </c>
      <c r="H385" s="30">
        <v>0.7488789237668162</v>
      </c>
      <c r="I385" s="37">
        <v>430.32</v>
      </c>
      <c r="J385" s="37">
        <v>396.91</v>
      </c>
      <c r="K385" s="32">
        <v>72</v>
      </c>
      <c r="L385" s="32">
        <v>84</v>
      </c>
      <c r="M385" s="32">
        <v>30983.040000000001</v>
      </c>
      <c r="N385" s="32">
        <v>33340.44</v>
      </c>
      <c r="O385" s="32">
        <v>64323.48</v>
      </c>
      <c r="P385" s="32">
        <f t="shared" si="5"/>
        <v>61479.08</v>
      </c>
      <c r="Q385" s="32"/>
      <c r="R385" s="32"/>
      <c r="S385" s="2"/>
      <c r="T385" s="2"/>
      <c r="U385" s="2"/>
      <c r="V385" s="2"/>
      <c r="W385" s="2"/>
      <c r="X385" s="30"/>
      <c r="Y385" s="30"/>
      <c r="Z385" s="32"/>
      <c r="AA385" s="32"/>
      <c r="AB385" s="32"/>
      <c r="AC385" s="32"/>
      <c r="AD385" s="32"/>
      <c r="AE385" s="32"/>
      <c r="AF385" s="32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spans="1:50" x14ac:dyDescent="0.25">
      <c r="A386" s="2">
        <v>318</v>
      </c>
      <c r="B386" s="2">
        <v>1</v>
      </c>
      <c r="C386" s="2" t="s">
        <v>415</v>
      </c>
      <c r="D386" s="2">
        <v>135</v>
      </c>
      <c r="E386" s="2" t="s">
        <v>420</v>
      </c>
      <c r="F386" s="29">
        <v>0</v>
      </c>
      <c r="G386" s="30">
        <v>0.85</v>
      </c>
      <c r="H386" s="30">
        <v>0.83431952662721898</v>
      </c>
      <c r="I386" s="37">
        <v>450.5</v>
      </c>
      <c r="J386" s="37">
        <v>442.19</v>
      </c>
      <c r="K386" s="32">
        <v>72</v>
      </c>
      <c r="L386" s="32">
        <v>50</v>
      </c>
      <c r="M386" s="32">
        <v>32436</v>
      </c>
      <c r="N386" s="32">
        <v>22109.5</v>
      </c>
      <c r="O386" s="32">
        <v>54545.5</v>
      </c>
      <c r="P386" s="32">
        <f t="shared" si="5"/>
        <v>52133.48</v>
      </c>
      <c r="Q386" s="32"/>
      <c r="R386" s="32"/>
      <c r="S386" s="2"/>
      <c r="T386" s="2"/>
      <c r="U386" s="2"/>
      <c r="V386" s="2"/>
      <c r="W386" s="2"/>
      <c r="X386" s="30"/>
      <c r="Y386" s="30"/>
      <c r="Z386" s="32"/>
      <c r="AA386" s="32"/>
      <c r="AB386" s="32"/>
      <c r="AC386" s="32"/>
      <c r="AD386" s="32"/>
      <c r="AE386" s="32"/>
      <c r="AF386" s="32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spans="1:50" x14ac:dyDescent="0.25">
      <c r="A387" s="2">
        <v>319</v>
      </c>
      <c r="B387" s="2">
        <v>1</v>
      </c>
      <c r="C387" s="2" t="s">
        <v>421</v>
      </c>
      <c r="D387" s="2">
        <v>20</v>
      </c>
      <c r="E387" s="2" t="s">
        <v>422</v>
      </c>
      <c r="F387" s="29">
        <v>0</v>
      </c>
      <c r="G387" s="30">
        <v>0.7416666666666667</v>
      </c>
      <c r="H387" s="30">
        <v>0.7053571428571429</v>
      </c>
      <c r="I387" s="37">
        <v>393.08</v>
      </c>
      <c r="J387" s="37">
        <v>373.84</v>
      </c>
      <c r="K387" s="32">
        <v>52</v>
      </c>
      <c r="L387" s="32">
        <v>41</v>
      </c>
      <c r="M387" s="32">
        <v>20440.16</v>
      </c>
      <c r="N387" s="32">
        <v>15327.44</v>
      </c>
      <c r="O387" s="32">
        <v>35767.599999999999</v>
      </c>
      <c r="P387" s="32">
        <f t="shared" si="5"/>
        <v>34185.949999999997</v>
      </c>
      <c r="Q387" s="32"/>
      <c r="R387" s="32"/>
      <c r="W387" s="2"/>
      <c r="X387" s="30"/>
      <c r="Y387" s="30"/>
      <c r="Z387" s="32"/>
      <c r="AA387" s="32"/>
      <c r="AB387" s="32"/>
      <c r="AC387" s="32"/>
      <c r="AD387" s="32"/>
      <c r="AE387" s="32"/>
      <c r="AF387" s="32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spans="1:50" x14ac:dyDescent="0.25">
      <c r="A388" s="2">
        <v>330</v>
      </c>
      <c r="B388" s="2">
        <v>1</v>
      </c>
      <c r="C388" s="2" t="s">
        <v>423</v>
      </c>
      <c r="D388" s="2">
        <v>10</v>
      </c>
      <c r="E388" s="2" t="s">
        <v>424</v>
      </c>
      <c r="F388" s="29">
        <v>0</v>
      </c>
      <c r="G388" s="30">
        <v>0.8</v>
      </c>
      <c r="H388" s="30">
        <v>0.76666666666666672</v>
      </c>
      <c r="I388" s="37">
        <v>424</v>
      </c>
      <c r="J388" s="37">
        <v>406.33</v>
      </c>
      <c r="K388" s="32">
        <v>17</v>
      </c>
      <c r="L388" s="32">
        <v>21</v>
      </c>
      <c r="M388" s="32">
        <v>7208</v>
      </c>
      <c r="N388" s="32">
        <v>8532.93</v>
      </c>
      <c r="O388" s="32">
        <v>15740.93</v>
      </c>
      <c r="P388" s="32">
        <f t="shared" si="5"/>
        <v>15044.86</v>
      </c>
      <c r="Q388" s="32"/>
      <c r="R388" s="32"/>
      <c r="S388" s="2"/>
      <c r="T388" s="2"/>
      <c r="U388" s="2"/>
      <c r="V388" s="2"/>
      <c r="W388" s="2"/>
      <c r="X388" s="30"/>
      <c r="Y388" s="30"/>
      <c r="Z388" s="32"/>
      <c r="AA388" s="32"/>
      <c r="AB388" s="32"/>
      <c r="AC388" s="32"/>
      <c r="AD388" s="32"/>
      <c r="AE388" s="32"/>
      <c r="AF388" s="32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spans="1:50" x14ac:dyDescent="0.25">
      <c r="A389" s="2">
        <v>332</v>
      </c>
      <c r="B389" s="2">
        <v>1</v>
      </c>
      <c r="C389" s="2" t="s">
        <v>425</v>
      </c>
      <c r="D389" s="2">
        <v>30</v>
      </c>
      <c r="E389" s="2" t="s">
        <v>426</v>
      </c>
      <c r="F389" s="29">
        <v>0</v>
      </c>
      <c r="G389" s="30">
        <v>0.83454987834549876</v>
      </c>
      <c r="H389" s="30">
        <v>0.73888888888888893</v>
      </c>
      <c r="I389" s="37">
        <v>442.31</v>
      </c>
      <c r="J389" s="37">
        <v>391.61</v>
      </c>
      <c r="K389" s="32">
        <v>131</v>
      </c>
      <c r="L389" s="32">
        <v>122</v>
      </c>
      <c r="M389" s="32">
        <v>57942.61</v>
      </c>
      <c r="N389" s="32">
        <v>47776.42</v>
      </c>
      <c r="O389" s="32">
        <v>105719.03</v>
      </c>
      <c r="P389" s="32">
        <f t="shared" si="5"/>
        <v>101044.11</v>
      </c>
      <c r="Q389" s="32"/>
      <c r="R389" s="32"/>
      <c r="S389" s="2"/>
      <c r="T389" s="2"/>
      <c r="U389" s="2"/>
      <c r="V389" s="2"/>
      <c r="W389" s="2"/>
      <c r="X389" s="30"/>
      <c r="Y389" s="30"/>
      <c r="Z389" s="32"/>
      <c r="AA389" s="32"/>
      <c r="AB389" s="32"/>
      <c r="AC389" s="32"/>
      <c r="AD389" s="32"/>
      <c r="AE389" s="32"/>
      <c r="AF389" s="32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spans="1:50" x14ac:dyDescent="0.25">
      <c r="A390">
        <v>333</v>
      </c>
      <c r="B390" s="2">
        <v>1</v>
      </c>
      <c r="C390" s="2" t="s">
        <v>427</v>
      </c>
      <c r="D390">
        <v>10</v>
      </c>
      <c r="E390" s="2" t="s">
        <v>428</v>
      </c>
      <c r="F390" s="29">
        <v>0</v>
      </c>
      <c r="G390" s="30">
        <v>0.76859504132231404</v>
      </c>
      <c r="H390" s="30">
        <v>0.69827586206896552</v>
      </c>
      <c r="I390" s="37">
        <v>407.36</v>
      </c>
      <c r="J390" s="37">
        <v>370.09</v>
      </c>
      <c r="K390" s="32">
        <v>48</v>
      </c>
      <c r="L390" s="32">
        <v>40</v>
      </c>
      <c r="M390" s="32">
        <v>19553.28</v>
      </c>
      <c r="N390" s="32">
        <v>14803.6</v>
      </c>
      <c r="O390" s="32">
        <v>34356.879999999997</v>
      </c>
      <c r="P390" s="32">
        <f t="shared" si="5"/>
        <v>32837.61</v>
      </c>
      <c r="Q390" s="32"/>
      <c r="R390" s="32"/>
      <c r="S390" s="2"/>
      <c r="T390" s="2"/>
      <c r="U390" s="2"/>
      <c r="V390" s="2"/>
      <c r="W390" s="2"/>
      <c r="X390" s="30"/>
      <c r="Y390" s="30"/>
      <c r="Z390" s="32"/>
      <c r="AA390" s="32"/>
      <c r="AB390" s="32"/>
      <c r="AC390" s="32"/>
      <c r="AD390" s="32"/>
      <c r="AE390" s="32"/>
      <c r="AF390" s="32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spans="1:50" x14ac:dyDescent="0.25">
      <c r="A391">
        <v>345</v>
      </c>
      <c r="B391">
        <v>1</v>
      </c>
      <c r="C391" t="s">
        <v>429</v>
      </c>
      <c r="D391">
        <v>10</v>
      </c>
      <c r="E391" t="s">
        <v>430</v>
      </c>
      <c r="F391" s="1">
        <v>0</v>
      </c>
      <c r="G391" s="30">
        <v>0.7819314641744548</v>
      </c>
      <c r="H391" s="30">
        <v>0.83276450511945388</v>
      </c>
      <c r="I391" s="37">
        <v>414.42</v>
      </c>
      <c r="J391" s="37">
        <v>441.37</v>
      </c>
      <c r="K391" s="32">
        <v>110</v>
      </c>
      <c r="L391" s="32">
        <v>103</v>
      </c>
      <c r="M391" s="32">
        <v>45586.2</v>
      </c>
      <c r="N391" s="32">
        <v>45461.11</v>
      </c>
      <c r="O391" s="32">
        <v>91047.31</v>
      </c>
      <c r="P391" s="32">
        <f t="shared" si="5"/>
        <v>87021.18</v>
      </c>
      <c r="Q391" s="32"/>
      <c r="R391" s="32"/>
      <c r="S391" s="2"/>
      <c r="T391" s="2"/>
      <c r="U391" s="2"/>
      <c r="V391" s="2"/>
      <c r="W391" s="2"/>
      <c r="X391" s="30"/>
      <c r="Y391" s="30"/>
      <c r="Z391" s="32"/>
      <c r="AA391" s="32"/>
      <c r="AB391" s="32"/>
      <c r="AC391" s="32"/>
      <c r="AD391" s="32"/>
      <c r="AE391" s="32"/>
      <c r="AF391" s="32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spans="1:50" x14ac:dyDescent="0.25">
      <c r="A392" s="2">
        <v>347</v>
      </c>
      <c r="B392" s="2">
        <v>1</v>
      </c>
      <c r="C392" s="2" t="s">
        <v>431</v>
      </c>
      <c r="D392" s="2">
        <v>108</v>
      </c>
      <c r="E392" s="2" t="s">
        <v>104</v>
      </c>
      <c r="F392" s="29">
        <v>0</v>
      </c>
      <c r="G392" s="30">
        <v>0.60592255125284733</v>
      </c>
      <c r="H392" s="30">
        <v>0.85526315789473684</v>
      </c>
      <c r="I392" s="37">
        <v>321.14</v>
      </c>
      <c r="J392" s="37">
        <v>453.29</v>
      </c>
      <c r="K392" s="32">
        <v>157</v>
      </c>
      <c r="L392" s="32">
        <v>136</v>
      </c>
      <c r="M392" s="32">
        <v>50418.98</v>
      </c>
      <c r="N392" s="32">
        <v>61647.44</v>
      </c>
      <c r="O392" s="32">
        <v>112066.42000000001</v>
      </c>
      <c r="P392" s="32">
        <f t="shared" si="5"/>
        <v>107110.82</v>
      </c>
      <c r="Q392" s="32"/>
      <c r="R392" s="32"/>
      <c r="S392" s="2"/>
      <c r="T392" s="2"/>
      <c r="V392" s="2"/>
      <c r="W392" s="2"/>
      <c r="X392" s="30"/>
      <c r="Y392" s="30"/>
      <c r="Z392" s="32"/>
      <c r="AA392" s="32"/>
      <c r="AB392" s="32"/>
      <c r="AC392" s="32"/>
      <c r="AD392" s="32"/>
      <c r="AE392" s="32"/>
      <c r="AF392" s="32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spans="1:50" x14ac:dyDescent="0.25">
      <c r="A393" s="2">
        <v>347</v>
      </c>
      <c r="B393" s="2">
        <v>1</v>
      </c>
      <c r="C393" s="2" t="s">
        <v>431</v>
      </c>
      <c r="D393" s="2">
        <v>109</v>
      </c>
      <c r="E393" s="2" t="s">
        <v>131</v>
      </c>
      <c r="F393" s="29">
        <v>0</v>
      </c>
      <c r="G393" s="30">
        <v>0.6458797327394209</v>
      </c>
      <c r="H393" s="30">
        <v>0.72634271099744241</v>
      </c>
      <c r="I393" s="37">
        <v>342.32</v>
      </c>
      <c r="J393" s="37">
        <v>384.96</v>
      </c>
      <c r="K393" s="32">
        <v>164</v>
      </c>
      <c r="L393" s="32">
        <v>141</v>
      </c>
      <c r="M393" s="32">
        <v>56140.480000000003</v>
      </c>
      <c r="N393" s="32">
        <v>54279.360000000001</v>
      </c>
      <c r="O393" s="32">
        <v>110419.84</v>
      </c>
      <c r="P393" s="32">
        <f t="shared" si="5"/>
        <v>105537.05</v>
      </c>
      <c r="Q393" s="32"/>
      <c r="R393" s="32"/>
      <c r="W393" s="2"/>
      <c r="X393" s="30"/>
      <c r="Y393" s="30"/>
      <c r="Z393" s="32"/>
      <c r="AA393" s="32"/>
      <c r="AB393" s="32"/>
      <c r="AC393" s="32"/>
      <c r="AD393" s="32"/>
      <c r="AE393" s="32"/>
      <c r="AF393" s="32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spans="1:50" x14ac:dyDescent="0.25">
      <c r="A394" s="2">
        <v>356</v>
      </c>
      <c r="B394" s="2">
        <v>1</v>
      </c>
      <c r="C394" s="2" t="s">
        <v>432</v>
      </c>
      <c r="D394" s="2">
        <v>10</v>
      </c>
      <c r="E394" s="2" t="s">
        <v>433</v>
      </c>
      <c r="F394" s="29">
        <v>1</v>
      </c>
      <c r="G394" s="30" t="s">
        <v>1328</v>
      </c>
      <c r="H394" s="30" t="s">
        <v>1328</v>
      </c>
      <c r="I394" s="37" t="s">
        <v>1328</v>
      </c>
      <c r="J394" s="37" t="s">
        <v>1328</v>
      </c>
      <c r="K394" s="32">
        <v>6</v>
      </c>
      <c r="L394" s="32">
        <v>11</v>
      </c>
      <c r="M394" s="32" t="s">
        <v>1328</v>
      </c>
      <c r="N394" s="32" t="s">
        <v>1328</v>
      </c>
      <c r="O394" s="32">
        <v>7882.29</v>
      </c>
      <c r="P394" s="32">
        <f t="shared" si="5"/>
        <v>7533.73</v>
      </c>
      <c r="Q394" s="32"/>
      <c r="R394" s="32"/>
      <c r="S394" s="2"/>
      <c r="T394" s="2"/>
      <c r="U394" s="2"/>
      <c r="V394" s="2"/>
      <c r="W394" s="2"/>
      <c r="X394" s="30"/>
      <c r="Y394" s="30"/>
      <c r="Z394" s="32"/>
      <c r="AA394" s="32"/>
      <c r="AB394" s="32"/>
      <c r="AC394" s="32"/>
      <c r="AD394" s="32"/>
      <c r="AE394" s="32"/>
      <c r="AF394" s="32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spans="1:50" x14ac:dyDescent="0.25">
      <c r="A395" s="7">
        <v>361</v>
      </c>
      <c r="B395" s="7">
        <v>1</v>
      </c>
      <c r="C395" s="7" t="s">
        <v>434</v>
      </c>
      <c r="D395" s="7">
        <v>7</v>
      </c>
      <c r="E395" s="7" t="s">
        <v>435</v>
      </c>
      <c r="F395" s="38">
        <v>0</v>
      </c>
      <c r="G395" s="30">
        <v>0.77692307692307694</v>
      </c>
      <c r="H395" s="30">
        <v>0.84727272727272729</v>
      </c>
      <c r="I395" s="37">
        <v>411.77</v>
      </c>
      <c r="J395" s="37">
        <v>449.05</v>
      </c>
      <c r="K395" s="32">
        <v>83</v>
      </c>
      <c r="L395" s="32">
        <v>99</v>
      </c>
      <c r="M395" s="32">
        <v>34176.910000000003</v>
      </c>
      <c r="N395" s="32">
        <v>44455.95</v>
      </c>
      <c r="O395" s="32">
        <v>78632.86</v>
      </c>
      <c r="P395" s="32">
        <f t="shared" si="5"/>
        <v>75155.7</v>
      </c>
      <c r="Q395" s="32"/>
      <c r="R395" s="32"/>
      <c r="S395" s="2"/>
      <c r="T395" s="2"/>
      <c r="U395" s="2"/>
      <c r="V395" s="2"/>
      <c r="W395" s="2"/>
      <c r="X395" s="30"/>
      <c r="Y395" s="30"/>
      <c r="Z395" s="32"/>
      <c r="AA395" s="32"/>
      <c r="AB395" s="32"/>
      <c r="AC395" s="32"/>
      <c r="AD395" s="32"/>
      <c r="AE395" s="32"/>
      <c r="AF395" s="32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spans="1:50" x14ac:dyDescent="0.25">
      <c r="A396" s="2">
        <v>362</v>
      </c>
      <c r="B396" s="2">
        <v>1</v>
      </c>
      <c r="C396" s="2" t="s">
        <v>436</v>
      </c>
      <c r="D396" s="2">
        <v>20</v>
      </c>
      <c r="E396" s="2" t="s">
        <v>437</v>
      </c>
      <c r="F396" s="29">
        <v>0</v>
      </c>
      <c r="G396" s="30">
        <v>0.77464788732394363</v>
      </c>
      <c r="H396" s="30">
        <v>0.53731343283582089</v>
      </c>
      <c r="I396" s="37">
        <v>410.56</v>
      </c>
      <c r="J396" s="37">
        <v>284.77999999999997</v>
      </c>
      <c r="K396" s="32">
        <v>21</v>
      </c>
      <c r="L396" s="32">
        <v>24</v>
      </c>
      <c r="M396" s="32">
        <v>8621.76</v>
      </c>
      <c r="N396" s="32">
        <v>6834.72</v>
      </c>
      <c r="O396" s="32">
        <v>15456.48</v>
      </c>
      <c r="P396" s="32">
        <f t="shared" si="5"/>
        <v>14772.99</v>
      </c>
      <c r="Q396" s="32"/>
      <c r="R396" s="32"/>
      <c r="S396" s="2"/>
      <c r="T396" s="2"/>
      <c r="U396" s="2"/>
      <c r="V396" s="2"/>
      <c r="W396" s="2"/>
      <c r="X396" s="30"/>
      <c r="Y396" s="30"/>
      <c r="Z396" s="32"/>
      <c r="AA396" s="32"/>
      <c r="AB396" s="32"/>
      <c r="AC396" s="32"/>
      <c r="AD396" s="32"/>
      <c r="AE396" s="32"/>
      <c r="AF396" s="32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spans="1:50" x14ac:dyDescent="0.25">
      <c r="A397" s="2">
        <v>363</v>
      </c>
      <c r="B397" s="2">
        <v>1</v>
      </c>
      <c r="C397" s="2" t="s">
        <v>1188</v>
      </c>
      <c r="D397" s="2">
        <v>80</v>
      </c>
      <c r="E397" s="2" t="s">
        <v>1189</v>
      </c>
      <c r="F397" s="29">
        <v>0</v>
      </c>
      <c r="G397" s="30">
        <v>0.79245283018867929</v>
      </c>
      <c r="H397" s="30">
        <v>0.78048780487804881</v>
      </c>
      <c r="I397" s="37">
        <v>420</v>
      </c>
      <c r="J397" s="37">
        <v>413.66</v>
      </c>
      <c r="K397" s="32">
        <v>16</v>
      </c>
      <c r="L397" s="32">
        <v>15</v>
      </c>
      <c r="M397" s="32">
        <v>6720</v>
      </c>
      <c r="N397" s="32">
        <v>6204.9</v>
      </c>
      <c r="O397" s="32">
        <v>12924.9</v>
      </c>
      <c r="P397" s="32">
        <f t="shared" si="5"/>
        <v>12353.36</v>
      </c>
      <c r="Q397" s="32"/>
      <c r="R397" s="32"/>
      <c r="S397" s="7"/>
      <c r="T397" s="7"/>
      <c r="U397" s="7"/>
      <c r="V397" s="7"/>
      <c r="W397" s="2"/>
      <c r="X397" s="30"/>
      <c r="Y397" s="30"/>
      <c r="Z397" s="32"/>
      <c r="AA397" s="32"/>
      <c r="AB397" s="32"/>
      <c r="AC397" s="32"/>
      <c r="AD397" s="32"/>
      <c r="AE397" s="32"/>
      <c r="AF397" s="32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spans="1:50" x14ac:dyDescent="0.25">
      <c r="A398" s="2">
        <v>363</v>
      </c>
      <c r="B398" s="2">
        <v>1</v>
      </c>
      <c r="C398" s="2" t="s">
        <v>1188</v>
      </c>
      <c r="D398" s="2">
        <v>90</v>
      </c>
      <c r="E398" s="2" t="s">
        <v>1190</v>
      </c>
      <c r="F398" s="29">
        <v>0</v>
      </c>
      <c r="G398" s="30">
        <v>0.75757575757575757</v>
      </c>
      <c r="H398" s="30">
        <v>0.75</v>
      </c>
      <c r="I398" s="37">
        <v>401.52</v>
      </c>
      <c r="J398" s="37">
        <v>397.5</v>
      </c>
      <c r="K398" s="32">
        <v>12</v>
      </c>
      <c r="L398" s="32">
        <v>10</v>
      </c>
      <c r="M398" s="32">
        <v>4818.24</v>
      </c>
      <c r="N398" s="32">
        <v>3975</v>
      </c>
      <c r="O398" s="32">
        <v>8793.24</v>
      </c>
      <c r="P398" s="32">
        <f t="shared" si="5"/>
        <v>8404.4</v>
      </c>
      <c r="Q398" s="32"/>
      <c r="R398" s="32"/>
      <c r="S398" s="2"/>
      <c r="T398" s="2"/>
      <c r="U398" s="2"/>
      <c r="V398" s="2"/>
      <c r="W398" s="2"/>
      <c r="X398" s="30"/>
      <c r="Y398" s="30"/>
      <c r="Z398" s="32"/>
      <c r="AA398" s="32"/>
      <c r="AB398" s="32"/>
      <c r="AC398" s="32"/>
      <c r="AD398" s="32"/>
      <c r="AE398" s="32"/>
      <c r="AF398" s="32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spans="1:50" x14ac:dyDescent="0.25">
      <c r="A399" s="2">
        <v>378</v>
      </c>
      <c r="B399" s="2">
        <v>1</v>
      </c>
      <c r="C399" s="2" t="s">
        <v>438</v>
      </c>
      <c r="D399" s="2">
        <v>10</v>
      </c>
      <c r="E399" s="2" t="s">
        <v>439</v>
      </c>
      <c r="F399" s="29">
        <v>0</v>
      </c>
      <c r="G399" s="30">
        <v>0.75438596491228072</v>
      </c>
      <c r="H399" s="30">
        <v>0.72972972972972971</v>
      </c>
      <c r="I399" s="37">
        <v>399.82</v>
      </c>
      <c r="J399" s="37">
        <v>386.76</v>
      </c>
      <c r="K399" s="32">
        <v>43</v>
      </c>
      <c r="L399" s="32">
        <v>41</v>
      </c>
      <c r="M399" s="32">
        <v>17192.259999999998</v>
      </c>
      <c r="N399" s="32">
        <v>15857.16</v>
      </c>
      <c r="O399" s="32">
        <v>33049.42</v>
      </c>
      <c r="P399" s="32">
        <f t="shared" si="5"/>
        <v>31587.97</v>
      </c>
      <c r="Q399" s="32"/>
      <c r="R399" s="32"/>
      <c r="S399" s="2"/>
      <c r="T399" s="2"/>
      <c r="U399" s="2"/>
      <c r="V399" s="2"/>
      <c r="W399" s="2"/>
      <c r="X399" s="30"/>
      <c r="Y399" s="30"/>
      <c r="Z399" s="32"/>
      <c r="AA399" s="32"/>
      <c r="AB399" s="32"/>
      <c r="AC399" s="32"/>
      <c r="AD399" s="32"/>
      <c r="AE399" s="32"/>
      <c r="AF399" s="32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spans="1:50" x14ac:dyDescent="0.25">
      <c r="A400" s="2">
        <v>381</v>
      </c>
      <c r="B400" s="2">
        <v>1</v>
      </c>
      <c r="C400" s="2" t="s">
        <v>440</v>
      </c>
      <c r="D400" s="2">
        <v>30</v>
      </c>
      <c r="E400" s="2" t="s">
        <v>441</v>
      </c>
      <c r="F400" s="29">
        <v>0</v>
      </c>
      <c r="G400" s="30">
        <v>0.77049180327868849</v>
      </c>
      <c r="H400" s="30">
        <v>0.69841269841269837</v>
      </c>
      <c r="I400" s="37">
        <v>408.36</v>
      </c>
      <c r="J400" s="37">
        <v>370.16</v>
      </c>
      <c r="K400" s="32">
        <v>17</v>
      </c>
      <c r="L400" s="32">
        <v>24</v>
      </c>
      <c r="M400" s="32">
        <v>6942.12</v>
      </c>
      <c r="N400" s="32">
        <v>8883.84</v>
      </c>
      <c r="O400" s="32">
        <v>15825.96</v>
      </c>
      <c r="P400" s="32">
        <f t="shared" ref="P400:P463" si="6">ROUND(O400*P$11,2)</f>
        <v>15126.13</v>
      </c>
      <c r="Q400" s="32"/>
      <c r="R400" s="32"/>
      <c r="S400" s="2"/>
      <c r="T400" s="2"/>
      <c r="U400" s="2"/>
      <c r="V400" s="2"/>
      <c r="W400" s="2"/>
      <c r="X400" s="30"/>
      <c r="Y400" s="30"/>
      <c r="Z400" s="32"/>
      <c r="AA400" s="32"/>
      <c r="AB400" s="32"/>
      <c r="AC400" s="32"/>
      <c r="AD400" s="32"/>
      <c r="AE400" s="32"/>
      <c r="AF400" s="32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spans="1:50" x14ac:dyDescent="0.25">
      <c r="A401" s="2">
        <v>381</v>
      </c>
      <c r="B401" s="2">
        <v>1</v>
      </c>
      <c r="C401" s="2" t="s">
        <v>440</v>
      </c>
      <c r="D401" s="2">
        <v>40</v>
      </c>
      <c r="E401" s="2" t="s">
        <v>442</v>
      </c>
      <c r="F401" s="29">
        <v>0</v>
      </c>
      <c r="G401" s="30">
        <v>0.83431952662721898</v>
      </c>
      <c r="H401" s="30">
        <v>0.86394557823129248</v>
      </c>
      <c r="I401" s="37">
        <v>442.19</v>
      </c>
      <c r="J401" s="37">
        <v>457.89</v>
      </c>
      <c r="K401" s="32">
        <v>71</v>
      </c>
      <c r="L401" s="32">
        <v>53</v>
      </c>
      <c r="M401" s="32">
        <v>31395.49</v>
      </c>
      <c r="N401" s="32">
        <v>24268.17</v>
      </c>
      <c r="O401" s="32">
        <v>55663.66</v>
      </c>
      <c r="P401" s="32">
        <f t="shared" si="6"/>
        <v>53202.2</v>
      </c>
      <c r="Q401" s="32"/>
      <c r="R401" s="32"/>
      <c r="S401" s="2"/>
      <c r="T401" s="2"/>
      <c r="U401" s="2"/>
      <c r="V401" s="2"/>
      <c r="W401" s="2"/>
      <c r="X401" s="30"/>
      <c r="Y401" s="30"/>
      <c r="Z401" s="32"/>
      <c r="AA401" s="32"/>
      <c r="AB401" s="32"/>
      <c r="AC401" s="32"/>
      <c r="AD401" s="32"/>
      <c r="AE401" s="32"/>
      <c r="AF401" s="32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spans="1:50" x14ac:dyDescent="0.25">
      <c r="A402" s="2">
        <v>390</v>
      </c>
      <c r="B402" s="2">
        <v>1</v>
      </c>
      <c r="C402" s="2" t="s">
        <v>443</v>
      </c>
      <c r="D402" s="2">
        <v>224</v>
      </c>
      <c r="E402" s="2" t="s">
        <v>444</v>
      </c>
      <c r="F402" s="29">
        <v>0</v>
      </c>
      <c r="G402" s="30">
        <v>0.60576923076923073</v>
      </c>
      <c r="H402" s="30">
        <v>0.81720430107526887</v>
      </c>
      <c r="I402" s="37">
        <v>321.06</v>
      </c>
      <c r="J402" s="37">
        <v>433.12</v>
      </c>
      <c r="K402" s="32">
        <v>38</v>
      </c>
      <c r="L402" s="32">
        <v>40</v>
      </c>
      <c r="M402" s="32">
        <v>12200.28</v>
      </c>
      <c r="N402" s="32">
        <v>17324.8</v>
      </c>
      <c r="O402" s="32">
        <v>29525.08</v>
      </c>
      <c r="P402" s="32">
        <f t="shared" si="6"/>
        <v>28219.47</v>
      </c>
      <c r="Q402" s="32"/>
      <c r="R402" s="32"/>
      <c r="S402" s="2"/>
      <c r="T402" s="2"/>
      <c r="U402" s="2"/>
      <c r="V402" s="2"/>
      <c r="W402" s="2"/>
      <c r="X402" s="30"/>
      <c r="Y402" s="30"/>
      <c r="Z402" s="32"/>
      <c r="AA402" s="32"/>
      <c r="AB402" s="32"/>
      <c r="AC402" s="32"/>
      <c r="AD402" s="32"/>
      <c r="AE402" s="32"/>
      <c r="AF402" s="32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spans="1:50" x14ac:dyDescent="0.25">
      <c r="A403" s="2">
        <v>391</v>
      </c>
      <c r="B403" s="2">
        <v>1</v>
      </c>
      <c r="C403" s="2" t="s">
        <v>445</v>
      </c>
      <c r="D403" s="2">
        <v>10</v>
      </c>
      <c r="E403" s="2" t="s">
        <v>446</v>
      </c>
      <c r="F403" s="29">
        <v>0</v>
      </c>
      <c r="G403" s="30">
        <v>0.70833333333333337</v>
      </c>
      <c r="H403" s="30">
        <v>0.80851063829787229</v>
      </c>
      <c r="I403" s="37">
        <v>375.42</v>
      </c>
      <c r="J403" s="37">
        <v>428.51</v>
      </c>
      <c r="K403" s="32">
        <v>33</v>
      </c>
      <c r="L403" s="32">
        <v>40</v>
      </c>
      <c r="M403" s="32">
        <v>12388.86</v>
      </c>
      <c r="N403" s="32">
        <v>17140.400000000001</v>
      </c>
      <c r="O403" s="32">
        <v>29529.260000000002</v>
      </c>
      <c r="P403" s="32">
        <f t="shared" si="6"/>
        <v>28223.47</v>
      </c>
      <c r="Q403" s="32"/>
      <c r="R403" s="32"/>
      <c r="S403" s="2"/>
      <c r="T403" s="2"/>
      <c r="U403" s="2"/>
      <c r="V403" s="2"/>
      <c r="W403" s="2"/>
      <c r="X403" s="30"/>
      <c r="Y403" s="30"/>
      <c r="Z403" s="32"/>
      <c r="AA403" s="32"/>
      <c r="AB403" s="32"/>
      <c r="AC403" s="32"/>
      <c r="AD403" s="32"/>
      <c r="AE403" s="32"/>
      <c r="AF403" s="32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spans="1:50" x14ac:dyDescent="0.25">
      <c r="A404" s="2">
        <v>392</v>
      </c>
      <c r="B404" s="2">
        <v>1</v>
      </c>
      <c r="C404" s="2" t="s">
        <v>447</v>
      </c>
      <c r="D404" s="2">
        <v>10</v>
      </c>
      <c r="E404" s="2" t="s">
        <v>448</v>
      </c>
      <c r="F404" s="29">
        <v>0</v>
      </c>
      <c r="G404" s="30">
        <v>0.875</v>
      </c>
      <c r="H404" s="30">
        <v>0.71140939597315433</v>
      </c>
      <c r="I404" s="37">
        <v>463.75</v>
      </c>
      <c r="J404" s="37">
        <v>377.05</v>
      </c>
      <c r="K404" s="32">
        <v>43</v>
      </c>
      <c r="L404" s="32">
        <v>54</v>
      </c>
      <c r="M404" s="32">
        <v>19941.25</v>
      </c>
      <c r="N404" s="32">
        <v>20360.7</v>
      </c>
      <c r="O404" s="32">
        <v>40301.949999999997</v>
      </c>
      <c r="P404" s="32">
        <f t="shared" si="6"/>
        <v>38519.79</v>
      </c>
      <c r="Q404" s="32"/>
      <c r="R404" s="32"/>
      <c r="S404" s="2"/>
      <c r="T404" s="2"/>
      <c r="U404" s="2"/>
      <c r="V404" s="2"/>
      <c r="W404" s="2"/>
      <c r="X404" s="30"/>
      <c r="Y404" s="30"/>
      <c r="Z404" s="32"/>
      <c r="AA404" s="32"/>
      <c r="AB404" s="32"/>
      <c r="AC404" s="32"/>
      <c r="AD404" s="32"/>
      <c r="AE404" s="32"/>
      <c r="AF404" s="32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spans="1:50" x14ac:dyDescent="0.25">
      <c r="A405" s="2">
        <v>394</v>
      </c>
      <c r="B405" s="2">
        <v>1</v>
      </c>
      <c r="C405" s="2" t="s">
        <v>449</v>
      </c>
      <c r="D405" s="2">
        <v>30</v>
      </c>
      <c r="E405" s="2" t="s">
        <v>450</v>
      </c>
      <c r="F405" s="29">
        <v>0</v>
      </c>
      <c r="G405" s="30">
        <v>0.76470588235294112</v>
      </c>
      <c r="H405" s="30">
        <v>0.81021897810218979</v>
      </c>
      <c r="I405" s="37">
        <v>405.29</v>
      </c>
      <c r="J405" s="37">
        <v>429.42</v>
      </c>
      <c r="K405" s="32">
        <v>52</v>
      </c>
      <c r="L405" s="32">
        <v>60</v>
      </c>
      <c r="M405" s="32">
        <v>21075.08</v>
      </c>
      <c r="N405" s="32">
        <v>25765.200000000001</v>
      </c>
      <c r="O405" s="32">
        <v>46840.28</v>
      </c>
      <c r="P405" s="32">
        <f t="shared" si="6"/>
        <v>44768.99</v>
      </c>
      <c r="Q405" s="32"/>
      <c r="R405" s="32"/>
      <c r="S405" s="2"/>
      <c r="T405" s="2"/>
      <c r="U405" s="2"/>
      <c r="V405" s="2"/>
      <c r="W405" s="2"/>
      <c r="X405" s="30"/>
      <c r="Y405" s="30"/>
      <c r="Z405" s="32"/>
      <c r="AA405" s="32"/>
      <c r="AB405" s="32"/>
      <c r="AC405" s="32"/>
      <c r="AD405" s="32"/>
      <c r="AE405" s="32"/>
      <c r="AF405" s="32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spans="1:50" x14ac:dyDescent="0.25">
      <c r="A406" s="2">
        <v>394</v>
      </c>
      <c r="B406" s="2">
        <v>1</v>
      </c>
      <c r="C406" s="2" t="s">
        <v>449</v>
      </c>
      <c r="D406" s="2">
        <v>40</v>
      </c>
      <c r="E406" s="2" t="s">
        <v>451</v>
      </c>
      <c r="F406" s="29">
        <v>0</v>
      </c>
      <c r="G406" s="30">
        <v>0.75555555555555554</v>
      </c>
      <c r="H406" s="30">
        <v>0.81415929203539827</v>
      </c>
      <c r="I406" s="37">
        <v>400.44</v>
      </c>
      <c r="J406" s="37">
        <v>431.5</v>
      </c>
      <c r="K406" s="32">
        <v>42</v>
      </c>
      <c r="L406" s="32">
        <v>52</v>
      </c>
      <c r="M406" s="32">
        <v>16818.48</v>
      </c>
      <c r="N406" s="32">
        <v>22438</v>
      </c>
      <c r="O406" s="32">
        <v>39256.479999999996</v>
      </c>
      <c r="P406" s="32">
        <f t="shared" si="6"/>
        <v>37520.550000000003</v>
      </c>
      <c r="Q406" s="32"/>
      <c r="R406" s="32"/>
      <c r="S406" s="2"/>
      <c r="T406" s="2"/>
      <c r="U406" s="2"/>
      <c r="V406" s="2"/>
      <c r="W406" s="2"/>
      <c r="X406" s="30"/>
      <c r="Y406" s="30"/>
      <c r="Z406" s="32"/>
      <c r="AA406" s="32"/>
      <c r="AB406" s="32"/>
      <c r="AC406" s="32"/>
      <c r="AD406" s="32"/>
      <c r="AE406" s="32"/>
      <c r="AF406" s="32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spans="1:50" x14ac:dyDescent="0.25">
      <c r="A407" s="2">
        <v>402</v>
      </c>
      <c r="B407" s="2">
        <v>1</v>
      </c>
      <c r="C407" s="2" t="s">
        <v>452</v>
      </c>
      <c r="D407" s="2">
        <v>10</v>
      </c>
      <c r="E407" s="2" t="s">
        <v>60</v>
      </c>
      <c r="F407" s="29">
        <v>1</v>
      </c>
      <c r="G407" s="30" t="s">
        <v>1328</v>
      </c>
      <c r="H407" s="30" t="s">
        <v>1328</v>
      </c>
      <c r="I407" s="37" t="s">
        <v>1328</v>
      </c>
      <c r="J407" s="37" t="s">
        <v>1328</v>
      </c>
      <c r="K407" s="32">
        <v>7</v>
      </c>
      <c r="L407" s="32">
        <v>12</v>
      </c>
      <c r="M407" s="32" t="s">
        <v>1328</v>
      </c>
      <c r="N407" s="32" t="s">
        <v>1328</v>
      </c>
      <c r="O407" s="32">
        <v>6907.8899999999994</v>
      </c>
      <c r="P407" s="32">
        <f t="shared" si="6"/>
        <v>6602.42</v>
      </c>
      <c r="Q407" s="32"/>
      <c r="R407" s="32"/>
      <c r="S407" s="2"/>
      <c r="T407" s="2"/>
      <c r="U407" s="2"/>
      <c r="V407" s="2"/>
      <c r="W407" s="2"/>
      <c r="X407" s="30"/>
      <c r="Y407" s="30"/>
      <c r="Z407" s="32"/>
      <c r="AA407" s="32"/>
      <c r="AB407" s="32"/>
      <c r="AC407" s="32"/>
      <c r="AD407" s="32"/>
      <c r="AE407" s="32"/>
      <c r="AF407" s="32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spans="1:50" x14ac:dyDescent="0.25">
      <c r="A408" s="2">
        <v>403</v>
      </c>
      <c r="B408" s="2">
        <v>1</v>
      </c>
      <c r="C408" s="2" t="s">
        <v>1293</v>
      </c>
      <c r="D408" s="2">
        <v>10</v>
      </c>
      <c r="E408" s="2" t="s">
        <v>1294</v>
      </c>
      <c r="F408" s="29">
        <v>0</v>
      </c>
      <c r="G408" s="30">
        <v>0.82352941176470584</v>
      </c>
      <c r="H408" s="30">
        <v>1</v>
      </c>
      <c r="I408" s="37">
        <v>436.47</v>
      </c>
      <c r="J408" s="37">
        <v>530</v>
      </c>
      <c r="K408" s="32">
        <v>17</v>
      </c>
      <c r="L408" s="32">
        <v>12</v>
      </c>
      <c r="M408" s="32">
        <v>7419.99</v>
      </c>
      <c r="N408" s="32">
        <v>6360</v>
      </c>
      <c r="O408" s="32">
        <v>13779.99</v>
      </c>
      <c r="P408" s="32">
        <f t="shared" si="6"/>
        <v>13170.64</v>
      </c>
      <c r="Q408" s="32"/>
      <c r="R408" s="32"/>
      <c r="S408" s="3"/>
      <c r="T408" s="3"/>
      <c r="V408" s="27"/>
      <c r="W408" s="2"/>
      <c r="X408" s="30"/>
      <c r="Y408" s="30"/>
      <c r="Z408" s="32"/>
      <c r="AA408" s="32"/>
      <c r="AB408" s="32"/>
      <c r="AC408" s="32"/>
      <c r="AD408" s="32"/>
      <c r="AE408" s="32"/>
      <c r="AF408" s="32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spans="1:50" x14ac:dyDescent="0.25">
      <c r="A409" s="2">
        <v>404</v>
      </c>
      <c r="B409" s="2">
        <v>1</v>
      </c>
      <c r="C409" s="2" t="s">
        <v>453</v>
      </c>
      <c r="D409" s="2">
        <v>10</v>
      </c>
      <c r="E409" s="2" t="s">
        <v>454</v>
      </c>
      <c r="F409" s="29">
        <v>0</v>
      </c>
      <c r="G409" s="30">
        <v>0.86956521739130432</v>
      </c>
      <c r="H409" s="30">
        <v>0.88095238095238093</v>
      </c>
      <c r="I409" s="37">
        <v>460.87</v>
      </c>
      <c r="J409" s="37">
        <v>466.9</v>
      </c>
      <c r="K409" s="32">
        <v>14</v>
      </c>
      <c r="L409" s="32">
        <v>14</v>
      </c>
      <c r="M409" s="32">
        <v>6452.18</v>
      </c>
      <c r="N409" s="32">
        <v>6536.6</v>
      </c>
      <c r="O409" s="32">
        <v>12988.78</v>
      </c>
      <c r="P409" s="32">
        <f t="shared" si="6"/>
        <v>12414.41</v>
      </c>
      <c r="Q409" s="32"/>
      <c r="R409" s="32"/>
      <c r="S409" s="2"/>
      <c r="T409" s="2"/>
      <c r="U409" s="2"/>
      <c r="V409" s="2"/>
      <c r="W409" s="2"/>
      <c r="X409" s="30"/>
      <c r="Y409" s="30"/>
      <c r="Z409" s="32"/>
      <c r="AA409" s="32"/>
      <c r="AB409" s="32"/>
      <c r="AC409" s="32"/>
      <c r="AD409" s="32"/>
      <c r="AE409" s="32"/>
      <c r="AF409" s="32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spans="1:50" x14ac:dyDescent="0.25">
      <c r="A410" s="2">
        <v>413</v>
      </c>
      <c r="B410" s="2">
        <v>1</v>
      </c>
      <c r="C410" s="2" t="s">
        <v>455</v>
      </c>
      <c r="D410" s="2">
        <v>3</v>
      </c>
      <c r="E410" s="2" t="s">
        <v>456</v>
      </c>
      <c r="F410" s="29">
        <v>0</v>
      </c>
      <c r="G410" s="30">
        <v>0.80275229357798161</v>
      </c>
      <c r="H410" s="30">
        <v>0.71190476190476193</v>
      </c>
      <c r="I410" s="37">
        <v>425.46</v>
      </c>
      <c r="J410" s="37">
        <v>377.31</v>
      </c>
      <c r="K410" s="32">
        <v>131</v>
      </c>
      <c r="L410" s="32">
        <v>163</v>
      </c>
      <c r="M410" s="32">
        <v>55735.26</v>
      </c>
      <c r="N410" s="32">
        <v>61501.53</v>
      </c>
      <c r="O410" s="32">
        <v>117236.79000000001</v>
      </c>
      <c r="P410" s="32">
        <f t="shared" si="6"/>
        <v>112052.55</v>
      </c>
      <c r="Q410" s="32"/>
      <c r="R410" s="32"/>
      <c r="S410" s="2"/>
      <c r="T410" s="2"/>
      <c r="U410" s="2"/>
      <c r="V410" s="2"/>
      <c r="W410" s="2"/>
      <c r="X410" s="30"/>
      <c r="Y410" s="30"/>
      <c r="Z410" s="32"/>
      <c r="AA410" s="32"/>
      <c r="AB410" s="32"/>
      <c r="AC410" s="32"/>
      <c r="AD410" s="32"/>
      <c r="AE410" s="32"/>
      <c r="AF410" s="32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spans="1:50" x14ac:dyDescent="0.25">
      <c r="A411" s="2">
        <v>414</v>
      </c>
      <c r="B411" s="2">
        <v>1</v>
      </c>
      <c r="C411" s="2" t="s">
        <v>457</v>
      </c>
      <c r="D411" s="2">
        <v>1</v>
      </c>
      <c r="E411" s="2" t="s">
        <v>458</v>
      </c>
      <c r="F411" s="29">
        <v>0</v>
      </c>
      <c r="G411" s="30">
        <v>0.8089887640449438</v>
      </c>
      <c r="H411" s="30">
        <v>0.78021978021978022</v>
      </c>
      <c r="I411" s="37">
        <v>428.76</v>
      </c>
      <c r="J411" s="37">
        <v>413.52</v>
      </c>
      <c r="K411" s="32">
        <v>29</v>
      </c>
      <c r="L411" s="32">
        <v>30</v>
      </c>
      <c r="M411" s="32">
        <v>12434.04</v>
      </c>
      <c r="N411" s="32">
        <v>12405.6</v>
      </c>
      <c r="O411" s="32">
        <v>24839.64</v>
      </c>
      <c r="P411" s="32">
        <f t="shared" si="6"/>
        <v>23741.23</v>
      </c>
      <c r="Q411" s="32"/>
      <c r="R411" s="32"/>
      <c r="S411" s="2"/>
      <c r="T411" s="2"/>
      <c r="U411" s="2"/>
      <c r="V411" s="2"/>
      <c r="W411" s="2"/>
      <c r="X411" s="30"/>
      <c r="Y411" s="30"/>
      <c r="Z411" s="32"/>
      <c r="AA411" s="32"/>
      <c r="AB411" s="32"/>
      <c r="AC411" s="32"/>
      <c r="AD411" s="32"/>
      <c r="AE411" s="32"/>
      <c r="AF411" s="32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 spans="1:50" x14ac:dyDescent="0.25">
      <c r="A412" s="2">
        <v>415</v>
      </c>
      <c r="B412" s="2">
        <v>1</v>
      </c>
      <c r="C412" s="2" t="s">
        <v>1191</v>
      </c>
      <c r="D412" s="2">
        <v>10</v>
      </c>
      <c r="E412" s="2" t="s">
        <v>1192</v>
      </c>
      <c r="F412" s="29">
        <v>0</v>
      </c>
      <c r="G412" s="30">
        <v>0.84615384615384615</v>
      </c>
      <c r="H412" s="30">
        <v>0.86111111111111116</v>
      </c>
      <c r="I412" s="37">
        <v>448.46</v>
      </c>
      <c r="J412" s="37">
        <v>456.39</v>
      </c>
      <c r="K412" s="32">
        <v>12</v>
      </c>
      <c r="L412" s="32">
        <v>12</v>
      </c>
      <c r="M412" s="32">
        <v>5381.52</v>
      </c>
      <c r="N412" s="32">
        <v>5476.68</v>
      </c>
      <c r="O412" s="32">
        <v>10858.2</v>
      </c>
      <c r="P412" s="32">
        <f t="shared" si="6"/>
        <v>10378.049999999999</v>
      </c>
      <c r="Q412" s="32"/>
      <c r="R412" s="32"/>
      <c r="S412" s="2"/>
      <c r="T412" s="2"/>
      <c r="U412" s="2"/>
      <c r="V412" s="2"/>
      <c r="W412" s="2"/>
      <c r="X412" s="30"/>
      <c r="Y412" s="30"/>
      <c r="Z412" s="32"/>
      <c r="AA412" s="32"/>
      <c r="AB412" s="32"/>
      <c r="AC412" s="32"/>
      <c r="AD412" s="32"/>
      <c r="AE412" s="32"/>
      <c r="AF412" s="32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spans="1:50" x14ac:dyDescent="0.25">
      <c r="A413" s="2">
        <v>423</v>
      </c>
      <c r="B413" s="2">
        <v>1</v>
      </c>
      <c r="C413" s="2" t="s">
        <v>460</v>
      </c>
      <c r="D413" s="2">
        <v>10</v>
      </c>
      <c r="E413" s="2" t="s">
        <v>461</v>
      </c>
      <c r="F413" s="29">
        <v>0</v>
      </c>
      <c r="G413" s="30">
        <v>0.80844155844155841</v>
      </c>
      <c r="H413" s="30">
        <v>0.83925549915397635</v>
      </c>
      <c r="I413" s="37">
        <v>428.47</v>
      </c>
      <c r="J413" s="37">
        <v>444.81</v>
      </c>
      <c r="K413" s="32">
        <v>231</v>
      </c>
      <c r="L413" s="32">
        <v>213</v>
      </c>
      <c r="M413" s="32">
        <v>98976.57</v>
      </c>
      <c r="N413" s="32">
        <v>94744.53</v>
      </c>
      <c r="O413" s="32">
        <v>193721.1</v>
      </c>
      <c r="P413" s="32">
        <f t="shared" si="6"/>
        <v>185154.71</v>
      </c>
      <c r="Q413" s="32"/>
      <c r="R413" s="32"/>
      <c r="S413" s="2"/>
      <c r="T413" s="2"/>
      <c r="U413" s="2"/>
      <c r="V413" s="2"/>
      <c r="W413" s="2"/>
      <c r="X413" s="30"/>
      <c r="Y413" s="30"/>
      <c r="Z413" s="32"/>
      <c r="AA413" s="32"/>
      <c r="AB413" s="32"/>
      <c r="AC413" s="32"/>
      <c r="AD413" s="32"/>
      <c r="AE413" s="32"/>
      <c r="AF413" s="32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 spans="1:50" x14ac:dyDescent="0.25">
      <c r="A414" s="2">
        <v>423</v>
      </c>
      <c r="B414" s="2">
        <v>1</v>
      </c>
      <c r="C414" s="2" t="s">
        <v>1193</v>
      </c>
      <c r="D414" s="2">
        <v>35</v>
      </c>
      <c r="E414" s="2" t="s">
        <v>1194</v>
      </c>
      <c r="F414" s="29">
        <v>1</v>
      </c>
      <c r="G414" s="30" t="s">
        <v>1328</v>
      </c>
      <c r="H414" s="30" t="s">
        <v>1328</v>
      </c>
      <c r="I414" s="37" t="s">
        <v>1328</v>
      </c>
      <c r="J414" s="37" t="s">
        <v>1328</v>
      </c>
      <c r="K414" s="32">
        <v>0</v>
      </c>
      <c r="L414" s="32">
        <v>0</v>
      </c>
      <c r="M414" s="32" t="s">
        <v>1328</v>
      </c>
      <c r="N414" s="32" t="s">
        <v>1328</v>
      </c>
      <c r="O414" s="32">
        <v>0</v>
      </c>
      <c r="P414" s="32">
        <f t="shared" si="6"/>
        <v>0</v>
      </c>
      <c r="Q414" s="32"/>
      <c r="R414" s="32"/>
      <c r="S414" s="2"/>
      <c r="T414" s="2"/>
      <c r="U414" s="2"/>
      <c r="V414" s="2"/>
      <c r="W414" s="2"/>
      <c r="X414" s="30"/>
      <c r="Y414" s="30"/>
      <c r="Z414" s="32"/>
      <c r="AA414" s="32"/>
      <c r="AB414" s="32"/>
      <c r="AC414" s="32"/>
      <c r="AD414" s="32"/>
      <c r="AE414" s="32"/>
      <c r="AF414" s="32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spans="1:50" x14ac:dyDescent="0.25">
      <c r="A415" s="2">
        <v>424</v>
      </c>
      <c r="B415" s="2">
        <v>1</v>
      </c>
      <c r="C415" s="2" t="s">
        <v>462</v>
      </c>
      <c r="D415" s="2">
        <v>10</v>
      </c>
      <c r="E415" s="2" t="s">
        <v>463</v>
      </c>
      <c r="F415" s="29">
        <v>0</v>
      </c>
      <c r="G415" s="30">
        <v>0.78021978021978022</v>
      </c>
      <c r="H415" s="30">
        <v>0.87058823529411766</v>
      </c>
      <c r="I415" s="37">
        <v>413.52</v>
      </c>
      <c r="J415" s="37">
        <v>461.41</v>
      </c>
      <c r="K415" s="32">
        <v>34</v>
      </c>
      <c r="L415" s="32">
        <v>27</v>
      </c>
      <c r="M415" s="32">
        <v>14059.68</v>
      </c>
      <c r="N415" s="32">
        <v>12458.07</v>
      </c>
      <c r="O415" s="32">
        <v>26517.75</v>
      </c>
      <c r="P415" s="32">
        <f t="shared" si="6"/>
        <v>25345.13</v>
      </c>
      <c r="Q415" s="32"/>
      <c r="R415" s="32"/>
      <c r="S415" s="2"/>
      <c r="T415" s="2"/>
      <c r="U415" s="2"/>
      <c r="V415" s="2"/>
      <c r="W415" s="2"/>
      <c r="X415" s="30"/>
      <c r="Y415" s="30"/>
      <c r="Z415" s="32"/>
      <c r="AA415" s="32"/>
      <c r="AB415" s="32"/>
      <c r="AC415" s="32"/>
      <c r="AD415" s="32"/>
      <c r="AE415" s="32"/>
      <c r="AF415" s="32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 spans="1:50" x14ac:dyDescent="0.25">
      <c r="A416" s="2">
        <v>432</v>
      </c>
      <c r="B416" s="2">
        <v>1</v>
      </c>
      <c r="C416" s="2" t="s">
        <v>464</v>
      </c>
      <c r="D416" s="2">
        <v>10</v>
      </c>
      <c r="E416" s="2" t="s">
        <v>465</v>
      </c>
      <c r="F416" s="29">
        <v>0</v>
      </c>
      <c r="G416" s="30">
        <v>0.70161290322580649</v>
      </c>
      <c r="H416" s="30">
        <v>0.60330578512396693</v>
      </c>
      <c r="I416" s="37">
        <v>371.85</v>
      </c>
      <c r="J416" s="37">
        <v>319.75</v>
      </c>
      <c r="K416" s="32">
        <v>37</v>
      </c>
      <c r="L416" s="32">
        <v>40</v>
      </c>
      <c r="M416" s="32">
        <v>13758.45</v>
      </c>
      <c r="N416" s="32">
        <v>12790</v>
      </c>
      <c r="O416" s="32">
        <v>26548.45</v>
      </c>
      <c r="P416" s="32">
        <f t="shared" si="6"/>
        <v>25374.47</v>
      </c>
      <c r="Q416" s="32"/>
      <c r="R416" s="32"/>
      <c r="S416" s="2"/>
      <c r="T416" s="2"/>
      <c r="U416" s="2"/>
      <c r="V416" s="2"/>
      <c r="W416" s="2"/>
      <c r="X416" s="30"/>
      <c r="Y416" s="30"/>
      <c r="Z416" s="32"/>
      <c r="AA416" s="32"/>
      <c r="AB416" s="32"/>
      <c r="AC416" s="32"/>
      <c r="AD416" s="32"/>
      <c r="AE416" s="32"/>
      <c r="AF416" s="32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spans="1:50" x14ac:dyDescent="0.25">
      <c r="A417" s="2">
        <v>435</v>
      </c>
      <c r="B417" s="2">
        <v>1</v>
      </c>
      <c r="C417" s="2" t="s">
        <v>466</v>
      </c>
      <c r="D417" s="2">
        <v>20</v>
      </c>
      <c r="E417" s="2" t="s">
        <v>467</v>
      </c>
      <c r="F417" s="29">
        <v>0</v>
      </c>
      <c r="G417" s="30">
        <v>0.7615384615384615</v>
      </c>
      <c r="H417" s="30">
        <v>0.8</v>
      </c>
      <c r="I417" s="37">
        <v>403.62</v>
      </c>
      <c r="J417" s="37">
        <v>424</v>
      </c>
      <c r="K417" s="32">
        <v>41</v>
      </c>
      <c r="L417" s="32">
        <v>47</v>
      </c>
      <c r="M417" s="32">
        <v>16548.419999999998</v>
      </c>
      <c r="N417" s="32">
        <v>19928</v>
      </c>
      <c r="O417" s="32">
        <v>36476.42</v>
      </c>
      <c r="P417" s="32">
        <f t="shared" si="6"/>
        <v>34863.42</v>
      </c>
      <c r="Q417" s="32"/>
      <c r="R417" s="32"/>
      <c r="S417" s="2"/>
      <c r="T417" s="2"/>
      <c r="U417" s="2"/>
      <c r="V417" s="2"/>
      <c r="W417" s="2"/>
      <c r="X417" s="30"/>
      <c r="Y417" s="30"/>
      <c r="Z417" s="32"/>
      <c r="AA417" s="32"/>
      <c r="AB417" s="32"/>
      <c r="AC417" s="32"/>
      <c r="AD417" s="32"/>
      <c r="AE417" s="32"/>
      <c r="AF417" s="32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 spans="1:50" x14ac:dyDescent="0.25">
      <c r="A418">
        <v>441</v>
      </c>
      <c r="B418" s="2">
        <v>1</v>
      </c>
      <c r="C418" s="2" t="s">
        <v>468</v>
      </c>
      <c r="D418">
        <v>10</v>
      </c>
      <c r="E418" s="2" t="s">
        <v>469</v>
      </c>
      <c r="F418" s="29">
        <v>0</v>
      </c>
      <c r="G418" s="30">
        <v>0.8833333333333333</v>
      </c>
      <c r="H418" s="30">
        <v>0.92500000000000004</v>
      </c>
      <c r="I418" s="37">
        <v>468.17</v>
      </c>
      <c r="J418" s="37">
        <v>490.25</v>
      </c>
      <c r="K418" s="32">
        <v>34</v>
      </c>
      <c r="L418" s="32">
        <v>26</v>
      </c>
      <c r="M418" s="32">
        <v>15917.78</v>
      </c>
      <c r="N418" s="32">
        <v>12746.5</v>
      </c>
      <c r="O418" s="32">
        <v>28664.28</v>
      </c>
      <c r="P418" s="32">
        <f t="shared" si="6"/>
        <v>27396.74</v>
      </c>
      <c r="Q418" s="32"/>
      <c r="R418" s="32"/>
      <c r="S418" s="2"/>
      <c r="T418" s="2"/>
      <c r="U418" s="2"/>
      <c r="V418" s="2"/>
      <c r="W418" s="2"/>
      <c r="X418" s="30"/>
      <c r="Y418" s="30"/>
      <c r="Z418" s="32"/>
      <c r="AA418" s="32"/>
      <c r="AB418" s="32"/>
      <c r="AC418" s="32"/>
      <c r="AD418" s="32"/>
      <c r="AE418" s="32"/>
      <c r="AF418" s="32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spans="1:50" x14ac:dyDescent="0.25">
      <c r="A419">
        <v>441</v>
      </c>
      <c r="B419" s="2">
        <v>1</v>
      </c>
      <c r="C419" s="2" t="s">
        <v>468</v>
      </c>
      <c r="D419">
        <v>30</v>
      </c>
      <c r="E419" s="2" t="s">
        <v>470</v>
      </c>
      <c r="F419" s="29">
        <v>1</v>
      </c>
      <c r="G419" s="30" t="s">
        <v>1328</v>
      </c>
      <c r="H419" s="30" t="s">
        <v>1328</v>
      </c>
      <c r="I419" s="37" t="s">
        <v>1328</v>
      </c>
      <c r="J419" s="37" t="s">
        <v>1328</v>
      </c>
      <c r="K419" s="32">
        <v>0</v>
      </c>
      <c r="L419" s="32">
        <v>0</v>
      </c>
      <c r="M419" s="32" t="s">
        <v>1328</v>
      </c>
      <c r="N419" s="32" t="s">
        <v>1328</v>
      </c>
      <c r="O419" s="32">
        <v>0</v>
      </c>
      <c r="P419" s="32">
        <f t="shared" si="6"/>
        <v>0</v>
      </c>
      <c r="Q419" s="32"/>
      <c r="R419" s="32"/>
      <c r="S419" s="2"/>
      <c r="T419" s="2"/>
      <c r="U419" s="2"/>
      <c r="V419" s="2"/>
      <c r="W419" s="2"/>
      <c r="X419" s="30"/>
      <c r="Y419" s="30"/>
      <c r="Z419" s="32"/>
      <c r="AA419" s="32"/>
      <c r="AB419" s="32"/>
      <c r="AC419" s="32"/>
      <c r="AD419" s="32"/>
      <c r="AE419" s="32"/>
      <c r="AF419" s="32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 spans="1:50" x14ac:dyDescent="0.25">
      <c r="A420">
        <v>447</v>
      </c>
      <c r="B420" s="2">
        <v>1</v>
      </c>
      <c r="C420" s="2" t="s">
        <v>1195</v>
      </c>
      <c r="D420">
        <v>1</v>
      </c>
      <c r="E420" s="2" t="s">
        <v>1196</v>
      </c>
      <c r="F420" s="29">
        <v>1</v>
      </c>
      <c r="G420" s="30" t="s">
        <v>1328</v>
      </c>
      <c r="H420" s="30" t="s">
        <v>1328</v>
      </c>
      <c r="I420" s="37" t="s">
        <v>1328</v>
      </c>
      <c r="J420" s="37" t="s">
        <v>1328</v>
      </c>
      <c r="K420" s="32">
        <v>14</v>
      </c>
      <c r="L420" s="32">
        <v>9</v>
      </c>
      <c r="M420" s="32" t="s">
        <v>1328</v>
      </c>
      <c r="N420" s="32" t="s">
        <v>1328</v>
      </c>
      <c r="O420" s="32">
        <v>10024.11</v>
      </c>
      <c r="P420" s="32">
        <f t="shared" si="6"/>
        <v>9580.84</v>
      </c>
      <c r="Q420" s="32"/>
      <c r="R420" s="32"/>
      <c r="S420" s="2"/>
      <c r="T420" s="2"/>
      <c r="U420" s="2"/>
      <c r="V420" s="2"/>
      <c r="W420" s="2"/>
      <c r="X420" s="30"/>
      <c r="Y420" s="30"/>
      <c r="Z420" s="32"/>
      <c r="AA420" s="32"/>
      <c r="AB420" s="32"/>
      <c r="AC420" s="32"/>
      <c r="AD420" s="32"/>
      <c r="AE420" s="32"/>
      <c r="AF420" s="32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spans="1:50" x14ac:dyDescent="0.25">
      <c r="A421">
        <v>458</v>
      </c>
      <c r="B421">
        <v>1</v>
      </c>
      <c r="C421" t="s">
        <v>471</v>
      </c>
      <c r="D421">
        <v>10</v>
      </c>
      <c r="E421" t="s">
        <v>472</v>
      </c>
      <c r="F421" s="1">
        <v>0</v>
      </c>
      <c r="G421" s="30">
        <v>0.86792452830188682</v>
      </c>
      <c r="H421" s="30">
        <v>0.76923076923076927</v>
      </c>
      <c r="I421" s="37">
        <v>460</v>
      </c>
      <c r="J421" s="37">
        <v>407.69</v>
      </c>
      <c r="K421" s="32">
        <v>18</v>
      </c>
      <c r="L421" s="32">
        <v>17</v>
      </c>
      <c r="M421" s="32">
        <v>8280</v>
      </c>
      <c r="N421" s="32">
        <v>6930.73</v>
      </c>
      <c r="O421" s="32">
        <v>15210.73</v>
      </c>
      <c r="P421" s="32">
        <f t="shared" si="6"/>
        <v>14538.11</v>
      </c>
      <c r="Q421" s="32"/>
      <c r="R421" s="32"/>
      <c r="S421" s="2"/>
      <c r="T421" s="2"/>
      <c r="V421" s="2"/>
      <c r="W421" s="2"/>
      <c r="X421" s="30"/>
      <c r="Y421" s="30"/>
      <c r="Z421" s="32"/>
      <c r="AA421" s="32"/>
      <c r="AB421" s="32"/>
      <c r="AC421" s="32"/>
      <c r="AD421" s="32"/>
      <c r="AE421" s="32"/>
      <c r="AF421" s="32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 spans="1:50" x14ac:dyDescent="0.25">
      <c r="A422">
        <v>463</v>
      </c>
      <c r="B422" s="2">
        <v>1</v>
      </c>
      <c r="C422" s="2" t="s">
        <v>473</v>
      </c>
      <c r="D422">
        <v>10</v>
      </c>
      <c r="E422" s="2" t="s">
        <v>474</v>
      </c>
      <c r="F422" s="29">
        <v>0</v>
      </c>
      <c r="G422" s="30">
        <v>0.83417085427135673</v>
      </c>
      <c r="H422" s="30">
        <v>0.72727272727272729</v>
      </c>
      <c r="I422" s="37">
        <v>442.11</v>
      </c>
      <c r="J422" s="37">
        <v>385.45</v>
      </c>
      <c r="K422" s="32">
        <v>68</v>
      </c>
      <c r="L422" s="32">
        <v>74</v>
      </c>
      <c r="M422" s="32">
        <v>30063.48</v>
      </c>
      <c r="N422" s="32">
        <v>28523.3</v>
      </c>
      <c r="O422" s="32">
        <v>58586.78</v>
      </c>
      <c r="P422" s="32">
        <f t="shared" si="6"/>
        <v>55996.06</v>
      </c>
      <c r="Q422" s="32"/>
      <c r="R422" s="32"/>
      <c r="S422" s="2"/>
      <c r="T422" s="2"/>
      <c r="V422" s="2"/>
      <c r="W422" s="2"/>
      <c r="X422" s="30"/>
      <c r="Y422" s="30"/>
      <c r="Z422" s="32"/>
      <c r="AA422" s="32"/>
      <c r="AB422" s="32"/>
      <c r="AC422" s="32"/>
      <c r="AD422" s="32"/>
      <c r="AE422" s="32"/>
      <c r="AF422" s="32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spans="1:50" x14ac:dyDescent="0.25">
      <c r="A423">
        <v>465</v>
      </c>
      <c r="B423" s="2">
        <v>1</v>
      </c>
      <c r="C423" s="2" t="s">
        <v>475</v>
      </c>
      <c r="D423">
        <v>10</v>
      </c>
      <c r="E423" s="2" t="s">
        <v>476</v>
      </c>
      <c r="F423" s="29">
        <v>1</v>
      </c>
      <c r="G423" s="30" t="s">
        <v>1328</v>
      </c>
      <c r="H423" s="30" t="s">
        <v>1328</v>
      </c>
      <c r="I423" s="37" t="s">
        <v>1328</v>
      </c>
      <c r="J423" s="37" t="s">
        <v>1328</v>
      </c>
      <c r="K423" s="32">
        <v>118</v>
      </c>
      <c r="L423" s="32">
        <v>0</v>
      </c>
      <c r="M423" s="32" t="s">
        <v>1328</v>
      </c>
      <c r="N423" s="32" t="s">
        <v>1328</v>
      </c>
      <c r="O423" s="32">
        <v>54088.84</v>
      </c>
      <c r="P423" s="32">
        <f t="shared" si="6"/>
        <v>51697.02</v>
      </c>
      <c r="Q423" s="32"/>
      <c r="R423" s="32"/>
      <c r="S423" s="2"/>
      <c r="T423" s="2"/>
      <c r="V423" s="2"/>
      <c r="W423" s="2"/>
      <c r="X423" s="30"/>
      <c r="Y423" s="30"/>
      <c r="Z423" s="32"/>
      <c r="AA423" s="32"/>
      <c r="AB423" s="32"/>
      <c r="AC423" s="32"/>
      <c r="AD423" s="32"/>
      <c r="AE423" s="32"/>
      <c r="AF423" s="32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 spans="1:50" x14ac:dyDescent="0.25">
      <c r="A424">
        <v>465</v>
      </c>
      <c r="B424" s="2">
        <v>1</v>
      </c>
      <c r="C424" s="2" t="s">
        <v>475</v>
      </c>
      <c r="D424">
        <v>20</v>
      </c>
      <c r="E424" s="2" t="s">
        <v>477</v>
      </c>
      <c r="F424" s="29">
        <v>1</v>
      </c>
      <c r="G424" s="30" t="s">
        <v>1328</v>
      </c>
      <c r="H424" s="30" t="s">
        <v>1328</v>
      </c>
      <c r="I424" s="37" t="s">
        <v>1328</v>
      </c>
      <c r="J424" s="37" t="s">
        <v>1328</v>
      </c>
      <c r="K424" s="32">
        <v>0</v>
      </c>
      <c r="L424" s="32">
        <v>122</v>
      </c>
      <c r="M424" s="32" t="s">
        <v>1328</v>
      </c>
      <c r="N424" s="32" t="s">
        <v>1328</v>
      </c>
      <c r="O424" s="32">
        <v>50484.82</v>
      </c>
      <c r="P424" s="32">
        <f t="shared" si="6"/>
        <v>48252.37</v>
      </c>
      <c r="Q424" s="32"/>
      <c r="R424" s="32"/>
      <c r="W424" s="2"/>
      <c r="X424" s="30"/>
      <c r="Y424" s="30"/>
      <c r="Z424" s="32"/>
      <c r="AA424" s="32"/>
      <c r="AB424" s="32"/>
      <c r="AC424" s="32"/>
      <c r="AD424" s="32"/>
      <c r="AE424" s="32"/>
      <c r="AF424" s="32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spans="1:50" x14ac:dyDescent="0.25">
      <c r="A425" s="7">
        <v>466</v>
      </c>
      <c r="B425" s="7">
        <v>1</v>
      </c>
      <c r="C425" s="7" t="s">
        <v>478</v>
      </c>
      <c r="D425" s="7">
        <v>1</v>
      </c>
      <c r="E425" s="7" t="s">
        <v>479</v>
      </c>
      <c r="F425" s="38">
        <v>0</v>
      </c>
      <c r="G425" s="30">
        <v>0.85423728813559319</v>
      </c>
      <c r="H425" s="30">
        <v>0.71071428571428574</v>
      </c>
      <c r="I425" s="37">
        <v>452.75</v>
      </c>
      <c r="J425" s="37">
        <v>376.68</v>
      </c>
      <c r="K425" s="32">
        <v>109</v>
      </c>
      <c r="L425" s="32">
        <v>88</v>
      </c>
      <c r="M425" s="32">
        <v>49349.75</v>
      </c>
      <c r="N425" s="32">
        <v>33147.839999999997</v>
      </c>
      <c r="O425" s="32">
        <v>82497.59</v>
      </c>
      <c r="P425" s="32">
        <f t="shared" si="6"/>
        <v>78849.53</v>
      </c>
      <c r="Q425" s="32"/>
      <c r="R425" s="32"/>
      <c r="S425" s="2"/>
      <c r="T425" s="2"/>
      <c r="V425" s="2"/>
      <c r="W425" s="2"/>
      <c r="X425" s="30"/>
      <c r="Y425" s="30"/>
      <c r="Z425" s="32"/>
      <c r="AA425" s="32"/>
      <c r="AB425" s="32"/>
      <c r="AC425" s="32"/>
      <c r="AD425" s="32"/>
      <c r="AE425" s="32"/>
      <c r="AF425" s="32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 spans="1:50" x14ac:dyDescent="0.25">
      <c r="A426">
        <v>466</v>
      </c>
      <c r="B426" s="2">
        <v>1</v>
      </c>
      <c r="C426" s="2" t="s">
        <v>478</v>
      </c>
      <c r="D426">
        <v>3</v>
      </c>
      <c r="E426" s="2" t="s">
        <v>480</v>
      </c>
      <c r="F426" s="29">
        <v>0</v>
      </c>
      <c r="G426" s="30">
        <v>0.95238095238095233</v>
      </c>
      <c r="H426" s="30">
        <v>0.80094786729857825</v>
      </c>
      <c r="I426" s="37">
        <v>504.76</v>
      </c>
      <c r="J426" s="37">
        <v>424.5</v>
      </c>
      <c r="K426" s="32">
        <v>77</v>
      </c>
      <c r="L426" s="32">
        <v>71</v>
      </c>
      <c r="M426" s="32">
        <v>38866.519999999997</v>
      </c>
      <c r="N426" s="32">
        <v>30139.5</v>
      </c>
      <c r="O426" s="32">
        <v>69006.01999999999</v>
      </c>
      <c r="P426" s="32">
        <f t="shared" si="6"/>
        <v>65954.559999999998</v>
      </c>
      <c r="Q426" s="32"/>
      <c r="R426" s="32"/>
      <c r="S426" s="2"/>
      <c r="T426" s="2"/>
      <c r="V426" s="2"/>
      <c r="W426" s="2"/>
      <c r="X426" s="30"/>
      <c r="Y426" s="30"/>
      <c r="Z426" s="32"/>
      <c r="AA426" s="32"/>
      <c r="AB426" s="32"/>
      <c r="AC426" s="32"/>
      <c r="AD426" s="32"/>
      <c r="AE426" s="32"/>
      <c r="AF426" s="32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spans="1:50" x14ac:dyDescent="0.25">
      <c r="A427">
        <v>473</v>
      </c>
      <c r="B427" s="2">
        <v>1</v>
      </c>
      <c r="C427" s="2" t="s">
        <v>481</v>
      </c>
      <c r="D427">
        <v>10</v>
      </c>
      <c r="E427" s="2" t="s">
        <v>482</v>
      </c>
      <c r="F427" s="29">
        <v>0</v>
      </c>
      <c r="G427" s="30">
        <v>0.69090909090909092</v>
      </c>
      <c r="H427" s="30">
        <v>0.76363636363636367</v>
      </c>
      <c r="I427" s="37">
        <v>366.18</v>
      </c>
      <c r="J427" s="37">
        <v>404.73</v>
      </c>
      <c r="K427" s="32">
        <v>42</v>
      </c>
      <c r="L427" s="32">
        <v>31</v>
      </c>
      <c r="M427" s="32">
        <v>15379.56</v>
      </c>
      <c r="N427" s="32">
        <v>12546.63</v>
      </c>
      <c r="O427" s="32">
        <v>27926.19</v>
      </c>
      <c r="P427" s="32">
        <f t="shared" si="6"/>
        <v>26691.29</v>
      </c>
      <c r="Q427" s="32"/>
      <c r="R427" s="32"/>
      <c r="S427" s="2"/>
      <c r="T427" s="2"/>
      <c r="V427" s="2"/>
      <c r="W427" s="2"/>
      <c r="X427" s="30"/>
      <c r="Y427" s="30"/>
      <c r="Z427" s="32"/>
      <c r="AA427" s="32"/>
      <c r="AB427" s="32"/>
      <c r="AC427" s="32"/>
      <c r="AD427" s="32"/>
      <c r="AE427" s="32"/>
      <c r="AF427" s="32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 spans="1:50" x14ac:dyDescent="0.25">
      <c r="A428">
        <v>477</v>
      </c>
      <c r="B428" s="2">
        <v>1</v>
      </c>
      <c r="C428" s="2" t="s">
        <v>483</v>
      </c>
      <c r="D428">
        <v>10</v>
      </c>
      <c r="E428" s="2" t="s">
        <v>413</v>
      </c>
      <c r="F428" s="29">
        <v>0</v>
      </c>
      <c r="G428" s="30">
        <v>0.77551020408163263</v>
      </c>
      <c r="H428" s="30">
        <v>0.80317040951122853</v>
      </c>
      <c r="I428" s="37">
        <v>411.02</v>
      </c>
      <c r="J428" s="37">
        <v>425.68</v>
      </c>
      <c r="K428" s="32">
        <v>265</v>
      </c>
      <c r="L428" s="32">
        <v>259</v>
      </c>
      <c r="M428" s="32">
        <v>108920.3</v>
      </c>
      <c r="N428" s="32">
        <v>110251.12</v>
      </c>
      <c r="O428" s="32">
        <v>219171.41999999998</v>
      </c>
      <c r="P428" s="32">
        <f t="shared" si="6"/>
        <v>209479.61</v>
      </c>
      <c r="Q428" s="32"/>
      <c r="R428" s="32"/>
      <c r="S428" s="7"/>
      <c r="T428" s="7"/>
      <c r="U428" s="7"/>
      <c r="V428" s="7"/>
      <c r="W428" s="2"/>
      <c r="X428" s="30"/>
      <c r="Y428" s="30"/>
      <c r="Z428" s="32"/>
      <c r="AA428" s="32"/>
      <c r="AB428" s="32"/>
      <c r="AC428" s="32"/>
      <c r="AD428" s="32"/>
      <c r="AE428" s="32"/>
      <c r="AF428" s="32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spans="1:50" x14ac:dyDescent="0.25">
      <c r="A429">
        <v>480</v>
      </c>
      <c r="B429" s="2">
        <v>1</v>
      </c>
      <c r="C429" s="2" t="s">
        <v>484</v>
      </c>
      <c r="D429">
        <v>10</v>
      </c>
      <c r="E429" s="2" t="s">
        <v>485</v>
      </c>
      <c r="F429" s="29">
        <v>0</v>
      </c>
      <c r="G429" s="30">
        <v>0.62809917355371903</v>
      </c>
      <c r="H429" s="30">
        <v>0.66371681415929207</v>
      </c>
      <c r="I429" s="37">
        <v>332.89</v>
      </c>
      <c r="J429" s="37">
        <v>351.77</v>
      </c>
      <c r="K429" s="32">
        <v>48</v>
      </c>
      <c r="L429" s="32">
        <v>44</v>
      </c>
      <c r="M429" s="32">
        <v>15978.72</v>
      </c>
      <c r="N429" s="32">
        <v>15477.88</v>
      </c>
      <c r="O429" s="32">
        <v>31456.6</v>
      </c>
      <c r="P429" s="32">
        <f t="shared" si="6"/>
        <v>30065.58</v>
      </c>
      <c r="Q429" s="32"/>
      <c r="R429" s="32"/>
      <c r="S429" s="2"/>
      <c r="T429" s="2"/>
      <c r="V429" s="2"/>
      <c r="W429" s="2"/>
      <c r="X429" s="30"/>
      <c r="Y429" s="30"/>
      <c r="Z429" s="32"/>
      <c r="AA429" s="32"/>
      <c r="AB429" s="32"/>
      <c r="AC429" s="32"/>
      <c r="AD429" s="32"/>
      <c r="AE429" s="32"/>
      <c r="AF429" s="32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 spans="1:50" x14ac:dyDescent="0.25">
      <c r="A430">
        <v>482</v>
      </c>
      <c r="B430" s="2">
        <v>1</v>
      </c>
      <c r="C430" s="2" t="s">
        <v>486</v>
      </c>
      <c r="D430">
        <v>110</v>
      </c>
      <c r="E430" s="2" t="s">
        <v>60</v>
      </c>
      <c r="F430" s="29">
        <v>0</v>
      </c>
      <c r="G430" s="30">
        <v>0.78106508875739644</v>
      </c>
      <c r="H430" s="30">
        <v>0.65454545454545454</v>
      </c>
      <c r="I430" s="37">
        <v>413.96</v>
      </c>
      <c r="J430" s="37">
        <v>346.91</v>
      </c>
      <c r="K430" s="32">
        <v>53</v>
      </c>
      <c r="L430" s="32">
        <v>57</v>
      </c>
      <c r="M430" s="32">
        <v>21939.88</v>
      </c>
      <c r="N430" s="32">
        <v>19773.87</v>
      </c>
      <c r="O430" s="32">
        <v>41713.75</v>
      </c>
      <c r="P430" s="32">
        <f t="shared" si="6"/>
        <v>39869.160000000003</v>
      </c>
      <c r="Q430" s="32"/>
      <c r="R430" s="32"/>
      <c r="S430" s="2"/>
      <c r="T430" s="2"/>
      <c r="V430" s="2"/>
      <c r="W430" s="2"/>
      <c r="X430" s="30"/>
      <c r="Y430" s="30"/>
      <c r="Z430" s="32"/>
      <c r="AA430" s="32"/>
      <c r="AB430" s="32"/>
      <c r="AC430" s="32"/>
      <c r="AD430" s="32"/>
      <c r="AE430" s="32"/>
      <c r="AF430" s="32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spans="1:50" x14ac:dyDescent="0.25">
      <c r="A431">
        <v>482</v>
      </c>
      <c r="B431" s="2">
        <v>1</v>
      </c>
      <c r="C431" s="2" t="s">
        <v>486</v>
      </c>
      <c r="D431">
        <v>120</v>
      </c>
      <c r="E431" s="2" t="s">
        <v>487</v>
      </c>
      <c r="F431" s="29">
        <v>0</v>
      </c>
      <c r="G431" s="30">
        <v>0.7976653696498055</v>
      </c>
      <c r="H431" s="30">
        <v>0.79377431906614782</v>
      </c>
      <c r="I431" s="37">
        <v>422.76</v>
      </c>
      <c r="J431" s="37">
        <v>420.7</v>
      </c>
      <c r="K431" s="32">
        <v>88</v>
      </c>
      <c r="L431" s="32">
        <v>90</v>
      </c>
      <c r="M431" s="32">
        <v>37202.879999999997</v>
      </c>
      <c r="N431" s="32">
        <v>37863</v>
      </c>
      <c r="O431" s="32">
        <v>75065.88</v>
      </c>
      <c r="P431" s="32">
        <f t="shared" si="6"/>
        <v>71746.45</v>
      </c>
      <c r="Q431" s="32"/>
      <c r="R431" s="32"/>
      <c r="S431" s="2"/>
      <c r="T431" s="2"/>
      <c r="V431" s="2"/>
      <c r="W431" s="2"/>
      <c r="X431" s="30"/>
      <c r="Y431" s="30"/>
      <c r="Z431" s="32"/>
      <c r="AA431" s="32"/>
      <c r="AB431" s="32"/>
      <c r="AC431" s="32"/>
      <c r="AD431" s="32"/>
      <c r="AE431" s="32"/>
      <c r="AF431" s="32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 spans="1:50" x14ac:dyDescent="0.25">
      <c r="A432">
        <v>482</v>
      </c>
      <c r="B432" s="2">
        <v>1</v>
      </c>
      <c r="C432" s="2" t="s">
        <v>486</v>
      </c>
      <c r="D432">
        <v>130</v>
      </c>
      <c r="E432" s="2" t="s">
        <v>488</v>
      </c>
      <c r="F432" s="29">
        <v>0</v>
      </c>
      <c r="G432" s="30">
        <v>0.640625</v>
      </c>
      <c r="H432" s="30">
        <v>0.79032258064516125</v>
      </c>
      <c r="I432" s="37">
        <v>339.53</v>
      </c>
      <c r="J432" s="37">
        <v>418.87</v>
      </c>
      <c r="K432" s="32">
        <v>20</v>
      </c>
      <c r="L432" s="32">
        <v>23</v>
      </c>
      <c r="M432" s="32">
        <v>6790.6</v>
      </c>
      <c r="N432" s="32">
        <v>9634.01</v>
      </c>
      <c r="O432" s="32">
        <v>16424.61</v>
      </c>
      <c r="P432" s="32">
        <f t="shared" si="6"/>
        <v>15698.31</v>
      </c>
      <c r="Q432" s="32"/>
      <c r="R432" s="32"/>
      <c r="S432" s="2"/>
      <c r="T432" s="2"/>
      <c r="V432" s="2"/>
      <c r="W432" s="2"/>
      <c r="X432" s="30"/>
      <c r="Y432" s="30"/>
      <c r="Z432" s="32"/>
      <c r="AA432" s="32"/>
      <c r="AB432" s="32"/>
      <c r="AC432" s="32"/>
      <c r="AD432" s="32"/>
      <c r="AE432" s="32"/>
      <c r="AF432" s="32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spans="1:50" x14ac:dyDescent="0.25">
      <c r="A433">
        <v>484</v>
      </c>
      <c r="B433" s="2">
        <v>1</v>
      </c>
      <c r="C433" s="2" t="s">
        <v>489</v>
      </c>
      <c r="D433">
        <v>20</v>
      </c>
      <c r="E433" s="2" t="s">
        <v>490</v>
      </c>
      <c r="F433" s="29">
        <v>0</v>
      </c>
      <c r="G433" s="30">
        <v>0.85365853658536583</v>
      </c>
      <c r="H433" s="30">
        <v>0.73762376237623761</v>
      </c>
      <c r="I433" s="37">
        <v>452.44</v>
      </c>
      <c r="J433" s="37">
        <v>390.94</v>
      </c>
      <c r="K433" s="32">
        <v>71</v>
      </c>
      <c r="L433" s="32">
        <v>71</v>
      </c>
      <c r="M433" s="32">
        <v>32123.24</v>
      </c>
      <c r="N433" s="32">
        <v>27756.74</v>
      </c>
      <c r="O433" s="32">
        <v>59879.98</v>
      </c>
      <c r="P433" s="32">
        <f t="shared" si="6"/>
        <v>57232.07</v>
      </c>
      <c r="Q433" s="32"/>
      <c r="R433" s="32"/>
      <c r="S433" s="2"/>
      <c r="T433" s="2"/>
      <c r="V433" s="2"/>
      <c r="W433" s="2"/>
      <c r="X433" s="30"/>
      <c r="Y433" s="30"/>
      <c r="Z433" s="32"/>
      <c r="AA433" s="32"/>
      <c r="AB433" s="32"/>
      <c r="AC433" s="32"/>
      <c r="AD433" s="32"/>
      <c r="AE433" s="32"/>
      <c r="AF433" s="32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 spans="1:50" x14ac:dyDescent="0.25">
      <c r="A434">
        <v>485</v>
      </c>
      <c r="B434" s="2">
        <v>1</v>
      </c>
      <c r="C434" s="2" t="s">
        <v>491</v>
      </c>
      <c r="D434">
        <v>10</v>
      </c>
      <c r="E434" s="2" t="s">
        <v>492</v>
      </c>
      <c r="F434" s="29">
        <v>0</v>
      </c>
      <c r="G434" s="30">
        <v>0.81280788177339902</v>
      </c>
      <c r="H434" s="30">
        <v>0.6227544910179641</v>
      </c>
      <c r="I434" s="37">
        <v>430.79</v>
      </c>
      <c r="J434" s="37">
        <v>330.06</v>
      </c>
      <c r="K434" s="32">
        <v>79</v>
      </c>
      <c r="L434" s="32">
        <v>72</v>
      </c>
      <c r="M434" s="32">
        <v>34032.410000000003</v>
      </c>
      <c r="N434" s="32">
        <v>23764.32</v>
      </c>
      <c r="O434" s="32">
        <v>57796.73</v>
      </c>
      <c r="P434" s="32">
        <f t="shared" si="6"/>
        <v>55240.94</v>
      </c>
      <c r="Q434" s="32"/>
      <c r="R434" s="32"/>
      <c r="S434" s="2"/>
      <c r="T434" s="2"/>
      <c r="V434" s="2"/>
      <c r="W434" s="2"/>
      <c r="X434" s="30"/>
      <c r="Y434" s="30"/>
      <c r="Z434" s="32"/>
      <c r="AA434" s="32"/>
      <c r="AB434" s="32"/>
      <c r="AC434" s="32"/>
      <c r="AD434" s="32"/>
      <c r="AE434" s="32"/>
      <c r="AF434" s="32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spans="1:50" x14ac:dyDescent="0.25">
      <c r="A435">
        <v>486</v>
      </c>
      <c r="B435" s="2">
        <v>1</v>
      </c>
      <c r="C435" s="2" t="s">
        <v>493</v>
      </c>
      <c r="D435">
        <v>10</v>
      </c>
      <c r="E435" s="2" t="s">
        <v>494</v>
      </c>
      <c r="F435" s="29">
        <v>0</v>
      </c>
      <c r="G435" s="30">
        <v>0.9285714285714286</v>
      </c>
      <c r="H435" s="30">
        <v>0.6</v>
      </c>
      <c r="I435" s="37">
        <v>492.14</v>
      </c>
      <c r="J435" s="37">
        <v>318</v>
      </c>
      <c r="K435" s="32">
        <v>19</v>
      </c>
      <c r="L435" s="32">
        <v>14</v>
      </c>
      <c r="M435" s="32">
        <v>9350.66</v>
      </c>
      <c r="N435" s="32">
        <v>4452</v>
      </c>
      <c r="O435" s="32">
        <v>13802.66</v>
      </c>
      <c r="P435" s="32">
        <f t="shared" si="6"/>
        <v>13192.3</v>
      </c>
      <c r="Q435" s="32"/>
      <c r="R435" s="32"/>
      <c r="S435" s="2"/>
      <c r="T435" s="2"/>
      <c r="V435" s="2"/>
      <c r="W435" s="2"/>
      <c r="X435" s="30"/>
      <c r="Y435" s="30"/>
      <c r="Z435" s="32"/>
      <c r="AA435" s="32"/>
      <c r="AB435" s="32"/>
      <c r="AC435" s="32"/>
      <c r="AD435" s="32"/>
      <c r="AE435" s="32"/>
      <c r="AF435" s="32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 spans="1:50" x14ac:dyDescent="0.25">
      <c r="A436">
        <v>487</v>
      </c>
      <c r="B436" s="2">
        <v>1</v>
      </c>
      <c r="C436" s="2" t="s">
        <v>495</v>
      </c>
      <c r="D436">
        <v>10</v>
      </c>
      <c r="E436" s="2" t="s">
        <v>496</v>
      </c>
      <c r="F436" s="29">
        <v>0</v>
      </c>
      <c r="G436" s="30">
        <v>0.69148936170212771</v>
      </c>
      <c r="H436" s="30">
        <v>0.71951219512195119</v>
      </c>
      <c r="I436" s="37">
        <v>366.49</v>
      </c>
      <c r="J436" s="37">
        <v>381.34</v>
      </c>
      <c r="K436" s="32">
        <v>29</v>
      </c>
      <c r="L436" s="32">
        <v>31</v>
      </c>
      <c r="M436" s="32">
        <v>10628.21</v>
      </c>
      <c r="N436" s="32">
        <v>11821.54</v>
      </c>
      <c r="O436" s="32">
        <v>22449.75</v>
      </c>
      <c r="P436" s="32">
        <f t="shared" si="6"/>
        <v>21457.02</v>
      </c>
      <c r="Q436" s="32"/>
      <c r="R436" s="32"/>
      <c r="S436" s="2"/>
      <c r="T436" s="2"/>
      <c r="V436" s="2"/>
      <c r="W436" s="2"/>
      <c r="X436" s="30"/>
      <c r="Y436" s="30"/>
      <c r="Z436" s="32"/>
      <c r="AA436" s="32"/>
      <c r="AB436" s="32"/>
      <c r="AC436" s="32"/>
      <c r="AD436" s="32"/>
      <c r="AE436" s="32"/>
      <c r="AF436" s="32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spans="1:50" x14ac:dyDescent="0.25">
      <c r="A437">
        <v>492</v>
      </c>
      <c r="B437" s="2">
        <v>1</v>
      </c>
      <c r="C437" s="2" t="s">
        <v>497</v>
      </c>
      <c r="D437">
        <v>10</v>
      </c>
      <c r="E437" s="2" t="s">
        <v>498</v>
      </c>
      <c r="F437" s="29">
        <v>0</v>
      </c>
      <c r="G437" s="30">
        <v>0.73372781065088755</v>
      </c>
      <c r="H437" s="30">
        <v>0.71917808219178081</v>
      </c>
      <c r="I437" s="37">
        <v>388.88</v>
      </c>
      <c r="J437" s="37">
        <v>381.16</v>
      </c>
      <c r="K437" s="32">
        <v>118</v>
      </c>
      <c r="L437" s="32">
        <v>118</v>
      </c>
      <c r="M437" s="32">
        <v>45887.839999999997</v>
      </c>
      <c r="N437" s="32">
        <v>44976.88</v>
      </c>
      <c r="O437" s="32">
        <v>90864.72</v>
      </c>
      <c r="P437" s="32">
        <f t="shared" si="6"/>
        <v>86846.66</v>
      </c>
      <c r="Q437" s="32"/>
      <c r="R437" s="32"/>
      <c r="S437" s="2"/>
      <c r="T437" s="2"/>
      <c r="V437" s="2"/>
      <c r="W437" s="2"/>
      <c r="X437" s="30"/>
      <c r="Y437" s="30"/>
      <c r="Z437" s="32"/>
      <c r="AA437" s="32"/>
      <c r="AB437" s="32"/>
      <c r="AC437" s="32"/>
      <c r="AD437" s="32"/>
      <c r="AE437" s="32"/>
      <c r="AF437" s="32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 spans="1:50" x14ac:dyDescent="0.25">
      <c r="A438">
        <v>492</v>
      </c>
      <c r="B438" s="2">
        <v>1</v>
      </c>
      <c r="C438" s="2" t="s">
        <v>497</v>
      </c>
      <c r="D438">
        <v>40</v>
      </c>
      <c r="E438" s="2" t="s">
        <v>499</v>
      </c>
      <c r="F438" s="29">
        <v>0</v>
      </c>
      <c r="G438" s="30">
        <v>0.65929203539823011</v>
      </c>
      <c r="H438" s="30">
        <v>0.75330396475770922</v>
      </c>
      <c r="I438" s="37">
        <v>349.42</v>
      </c>
      <c r="J438" s="37">
        <v>399.25</v>
      </c>
      <c r="K438" s="32">
        <v>77</v>
      </c>
      <c r="L438" s="32">
        <v>76</v>
      </c>
      <c r="M438" s="32">
        <v>26905.34</v>
      </c>
      <c r="N438" s="32">
        <v>30343</v>
      </c>
      <c r="O438" s="32">
        <v>57248.34</v>
      </c>
      <c r="P438" s="32">
        <f t="shared" si="6"/>
        <v>54716.800000000003</v>
      </c>
      <c r="Q438" s="32"/>
      <c r="R438" s="32"/>
      <c r="S438" s="2"/>
      <c r="T438" s="2"/>
      <c r="V438" s="2"/>
      <c r="W438" s="2"/>
      <c r="X438" s="30"/>
      <c r="Y438" s="30"/>
      <c r="Z438" s="32"/>
      <c r="AA438" s="32"/>
      <c r="AB438" s="32"/>
      <c r="AC438" s="32"/>
      <c r="AD438" s="32"/>
      <c r="AE438" s="32"/>
      <c r="AF438" s="32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spans="1:50" x14ac:dyDescent="0.25">
      <c r="A439">
        <v>492</v>
      </c>
      <c r="B439" s="2">
        <v>1</v>
      </c>
      <c r="C439" s="2" t="s">
        <v>497</v>
      </c>
      <c r="D439">
        <v>70</v>
      </c>
      <c r="E439" s="2" t="s">
        <v>500</v>
      </c>
      <c r="F439" s="29">
        <v>0</v>
      </c>
      <c r="G439" s="30">
        <v>0.66774193548387095</v>
      </c>
      <c r="H439" s="30">
        <v>0.74377224199288261</v>
      </c>
      <c r="I439" s="37">
        <v>353.9</v>
      </c>
      <c r="J439" s="37">
        <v>394.2</v>
      </c>
      <c r="K439" s="32">
        <v>105</v>
      </c>
      <c r="L439" s="32">
        <v>109</v>
      </c>
      <c r="M439" s="32">
        <v>37159.5</v>
      </c>
      <c r="N439" s="32">
        <v>42967.8</v>
      </c>
      <c r="O439" s="32">
        <v>80127.3</v>
      </c>
      <c r="P439" s="32">
        <f t="shared" si="6"/>
        <v>76584.05</v>
      </c>
      <c r="Q439" s="32"/>
      <c r="R439" s="32"/>
      <c r="S439" s="2"/>
      <c r="T439" s="2"/>
      <c r="V439" s="2"/>
      <c r="W439" s="2"/>
      <c r="X439" s="30"/>
      <c r="Y439" s="30"/>
      <c r="Z439" s="32"/>
      <c r="AA439" s="32"/>
      <c r="AB439" s="32"/>
      <c r="AC439" s="32"/>
      <c r="AD439" s="32"/>
      <c r="AE439" s="32"/>
      <c r="AF439" s="32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 spans="1:50" x14ac:dyDescent="0.25">
      <c r="A440">
        <v>492</v>
      </c>
      <c r="B440" s="2">
        <v>1</v>
      </c>
      <c r="C440" s="2" t="s">
        <v>497</v>
      </c>
      <c r="D440">
        <v>80</v>
      </c>
      <c r="E440" s="2" t="s">
        <v>501</v>
      </c>
      <c r="F440" s="29">
        <v>0</v>
      </c>
      <c r="G440" s="30">
        <v>0.634020618556701</v>
      </c>
      <c r="H440" s="30">
        <v>0.75147928994082835</v>
      </c>
      <c r="I440" s="37">
        <v>336.03</v>
      </c>
      <c r="J440" s="37">
        <v>398.28</v>
      </c>
      <c r="K440" s="32">
        <v>48</v>
      </c>
      <c r="L440" s="32">
        <v>71</v>
      </c>
      <c r="M440" s="32">
        <v>16129.44</v>
      </c>
      <c r="N440" s="32">
        <v>28277.88</v>
      </c>
      <c r="O440" s="32">
        <v>44407.32</v>
      </c>
      <c r="P440" s="32">
        <f t="shared" si="6"/>
        <v>42443.62</v>
      </c>
      <c r="Q440" s="32"/>
      <c r="R440" s="32"/>
      <c r="S440" s="2"/>
      <c r="T440" s="2"/>
      <c r="V440" s="2"/>
      <c r="W440" s="2"/>
      <c r="X440" s="30"/>
      <c r="Y440" s="30"/>
      <c r="Z440" s="32"/>
      <c r="AA440" s="32"/>
      <c r="AB440" s="32"/>
      <c r="AC440" s="32"/>
      <c r="AD440" s="32"/>
      <c r="AE440" s="32"/>
      <c r="AF440" s="32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spans="1:50" x14ac:dyDescent="0.25">
      <c r="A441">
        <v>492</v>
      </c>
      <c r="B441" s="2">
        <v>1</v>
      </c>
      <c r="C441" s="2" t="s">
        <v>1197</v>
      </c>
      <c r="D441">
        <v>450</v>
      </c>
      <c r="E441" s="2" t="s">
        <v>1198</v>
      </c>
      <c r="F441" s="29">
        <v>1</v>
      </c>
      <c r="G441" s="30" t="s">
        <v>1328</v>
      </c>
      <c r="H441" s="30" t="s">
        <v>1328</v>
      </c>
      <c r="I441" s="37" t="s">
        <v>1328</v>
      </c>
      <c r="J441" s="37" t="s">
        <v>1328</v>
      </c>
      <c r="K441" s="32">
        <v>0</v>
      </c>
      <c r="L441" s="32">
        <v>0</v>
      </c>
      <c r="M441" s="32" t="s">
        <v>1328</v>
      </c>
      <c r="N441" s="32" t="s">
        <v>1328</v>
      </c>
      <c r="O441" s="32">
        <v>0</v>
      </c>
      <c r="P441" s="32">
        <f t="shared" si="6"/>
        <v>0</v>
      </c>
      <c r="Q441" s="32"/>
      <c r="R441" s="32"/>
      <c r="S441" s="2"/>
      <c r="T441" s="2"/>
      <c r="V441" s="2"/>
      <c r="W441" s="2"/>
      <c r="X441" s="30"/>
      <c r="Y441" s="30"/>
      <c r="Z441" s="32"/>
      <c r="AA441" s="32"/>
      <c r="AB441" s="32"/>
      <c r="AC441" s="32"/>
      <c r="AD441" s="32"/>
      <c r="AE441" s="32"/>
      <c r="AF441" s="32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 spans="1:50" x14ac:dyDescent="0.25">
      <c r="A442">
        <v>495</v>
      </c>
      <c r="B442" s="2">
        <v>1</v>
      </c>
      <c r="C442" s="2" t="s">
        <v>502</v>
      </c>
      <c r="D442">
        <v>10</v>
      </c>
      <c r="E442" s="2" t="s">
        <v>503</v>
      </c>
      <c r="F442" s="29">
        <v>0</v>
      </c>
      <c r="G442" s="30">
        <v>0.78899082568807344</v>
      </c>
      <c r="H442" s="30">
        <v>0.70526315789473681</v>
      </c>
      <c r="I442" s="37">
        <v>418.17</v>
      </c>
      <c r="J442" s="37">
        <v>373.79</v>
      </c>
      <c r="K442" s="32">
        <v>34</v>
      </c>
      <c r="L442" s="32">
        <v>35</v>
      </c>
      <c r="M442" s="32">
        <v>14217.78</v>
      </c>
      <c r="N442" s="32">
        <v>13082.65</v>
      </c>
      <c r="O442" s="32">
        <v>27300.43</v>
      </c>
      <c r="P442" s="32">
        <f t="shared" si="6"/>
        <v>26093.200000000001</v>
      </c>
      <c r="Q442" s="32"/>
      <c r="R442" s="32"/>
      <c r="S442" s="2"/>
      <c r="T442" s="2"/>
      <c r="V442" s="2"/>
      <c r="W442" s="2"/>
      <c r="X442" s="30"/>
      <c r="Y442" s="30"/>
      <c r="Z442" s="32"/>
      <c r="AA442" s="32"/>
      <c r="AB442" s="32"/>
      <c r="AC442" s="32"/>
      <c r="AD442" s="32"/>
      <c r="AE442" s="32"/>
      <c r="AF442" s="32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spans="1:50" x14ac:dyDescent="0.25">
      <c r="A443">
        <v>497</v>
      </c>
      <c r="B443" s="2">
        <v>1</v>
      </c>
      <c r="C443" s="2" t="s">
        <v>504</v>
      </c>
      <c r="D443">
        <v>10</v>
      </c>
      <c r="E443" s="2" t="s">
        <v>505</v>
      </c>
      <c r="F443" s="29">
        <v>0</v>
      </c>
      <c r="G443" s="30">
        <v>0.76363636363636367</v>
      </c>
      <c r="H443" s="30">
        <v>0.83636363636363631</v>
      </c>
      <c r="I443" s="37">
        <v>404.73</v>
      </c>
      <c r="J443" s="37">
        <v>443.27</v>
      </c>
      <c r="K443" s="32">
        <v>16</v>
      </c>
      <c r="L443" s="32">
        <v>15</v>
      </c>
      <c r="M443" s="32">
        <v>6475.68</v>
      </c>
      <c r="N443" s="32">
        <v>6649.05</v>
      </c>
      <c r="O443" s="32">
        <v>13124.73</v>
      </c>
      <c r="P443" s="32">
        <f t="shared" si="6"/>
        <v>12544.35</v>
      </c>
      <c r="Q443" s="32"/>
      <c r="R443" s="32"/>
      <c r="S443" s="2"/>
      <c r="T443" s="2"/>
      <c r="V443" s="2"/>
      <c r="W443" s="2"/>
      <c r="X443" s="30"/>
      <c r="Y443" s="30"/>
      <c r="Z443" s="32"/>
      <c r="AA443" s="32"/>
      <c r="AB443" s="32"/>
      <c r="AC443" s="32"/>
      <c r="AD443" s="32"/>
      <c r="AE443" s="32"/>
      <c r="AF443" s="32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 spans="1:50" x14ac:dyDescent="0.25">
      <c r="A444">
        <v>499</v>
      </c>
      <c r="B444" s="2">
        <v>1</v>
      </c>
      <c r="C444" s="2" t="s">
        <v>506</v>
      </c>
      <c r="D444">
        <v>15</v>
      </c>
      <c r="E444" s="2" t="s">
        <v>507</v>
      </c>
      <c r="F444" s="29">
        <v>0</v>
      </c>
      <c r="G444" s="30">
        <v>0.8214285714285714</v>
      </c>
      <c r="H444" s="30">
        <v>0.92</v>
      </c>
      <c r="I444" s="37">
        <v>435.36</v>
      </c>
      <c r="J444" s="37">
        <v>487.6</v>
      </c>
      <c r="K444" s="32">
        <v>24</v>
      </c>
      <c r="L444" s="32">
        <v>16</v>
      </c>
      <c r="M444" s="32">
        <v>10448.64</v>
      </c>
      <c r="N444" s="32">
        <v>7801.6</v>
      </c>
      <c r="O444" s="32">
        <v>18250.239999999998</v>
      </c>
      <c r="P444" s="32">
        <f t="shared" si="6"/>
        <v>17443.21</v>
      </c>
      <c r="Q444" s="32"/>
      <c r="R444" s="32"/>
      <c r="S444" s="2"/>
      <c r="T444" s="2"/>
      <c r="V444" s="2"/>
      <c r="W444" s="2"/>
      <c r="X444" s="30"/>
      <c r="Y444" s="30"/>
      <c r="Z444" s="32"/>
      <c r="AA444" s="32"/>
      <c r="AB444" s="32"/>
      <c r="AC444" s="32"/>
      <c r="AD444" s="32"/>
      <c r="AE444" s="32"/>
      <c r="AF444" s="32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spans="1:50" x14ac:dyDescent="0.25">
      <c r="A445">
        <v>500</v>
      </c>
      <c r="B445" s="2">
        <v>1</v>
      </c>
      <c r="C445" s="2" t="s">
        <v>508</v>
      </c>
      <c r="D445">
        <v>30</v>
      </c>
      <c r="E445" s="2" t="s">
        <v>509</v>
      </c>
      <c r="F445" s="29">
        <v>0</v>
      </c>
      <c r="G445" s="30">
        <v>0.73563218390804597</v>
      </c>
      <c r="H445" s="30">
        <v>0.77647058823529413</v>
      </c>
      <c r="I445" s="37">
        <v>389.89</v>
      </c>
      <c r="J445" s="37">
        <v>411.53</v>
      </c>
      <c r="K445" s="32">
        <v>33</v>
      </c>
      <c r="L445" s="32">
        <v>30</v>
      </c>
      <c r="M445" s="32">
        <v>12866.37</v>
      </c>
      <c r="N445" s="32">
        <v>12345.9</v>
      </c>
      <c r="O445" s="32">
        <v>25212.27</v>
      </c>
      <c r="P445" s="32">
        <f t="shared" si="6"/>
        <v>24097.38</v>
      </c>
      <c r="Q445" s="32"/>
      <c r="R445" s="32"/>
      <c r="S445" s="2"/>
      <c r="T445" s="2"/>
      <c r="V445" s="2"/>
      <c r="W445" s="2"/>
      <c r="X445" s="30"/>
      <c r="Y445" s="30"/>
      <c r="Z445" s="32"/>
      <c r="AA445" s="32"/>
      <c r="AB445" s="32"/>
      <c r="AC445" s="32"/>
      <c r="AD445" s="32"/>
      <c r="AE445" s="32"/>
      <c r="AF445" s="32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 spans="1:50" x14ac:dyDescent="0.25">
      <c r="A446">
        <v>505</v>
      </c>
      <c r="B446" s="2">
        <v>1</v>
      </c>
      <c r="C446" s="2" t="s">
        <v>510</v>
      </c>
      <c r="D446">
        <v>10</v>
      </c>
      <c r="E446" s="2" t="s">
        <v>511</v>
      </c>
      <c r="F446" s="29">
        <v>0</v>
      </c>
      <c r="G446" s="30">
        <v>0.875</v>
      </c>
      <c r="H446" s="30">
        <v>0.79545454545454541</v>
      </c>
      <c r="I446" s="37">
        <v>463.75</v>
      </c>
      <c r="J446" s="37">
        <v>421.59</v>
      </c>
      <c r="K446" s="32">
        <v>16</v>
      </c>
      <c r="L446" s="32">
        <v>21</v>
      </c>
      <c r="M446" s="32">
        <v>7420</v>
      </c>
      <c r="N446" s="32">
        <v>8853.39</v>
      </c>
      <c r="O446" s="32">
        <v>16273.39</v>
      </c>
      <c r="P446" s="32">
        <f t="shared" si="6"/>
        <v>15553.78</v>
      </c>
      <c r="Q446" s="32"/>
      <c r="R446" s="32"/>
      <c r="S446" s="2"/>
      <c r="T446" s="2"/>
      <c r="V446" s="2"/>
      <c r="W446" s="2"/>
      <c r="X446" s="30"/>
      <c r="Y446" s="30"/>
      <c r="Z446" s="32"/>
      <c r="AA446" s="32"/>
      <c r="AB446" s="32"/>
      <c r="AC446" s="32"/>
      <c r="AD446" s="32"/>
      <c r="AE446" s="32"/>
      <c r="AF446" s="32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spans="1:50" x14ac:dyDescent="0.25">
      <c r="A447">
        <v>507</v>
      </c>
      <c r="B447" s="2">
        <v>1</v>
      </c>
      <c r="C447" s="2" t="s">
        <v>512</v>
      </c>
      <c r="D447">
        <v>10</v>
      </c>
      <c r="E447" s="2" t="s">
        <v>513</v>
      </c>
      <c r="F447" s="29">
        <v>0</v>
      </c>
      <c r="G447" s="30">
        <v>0.86904761904761907</v>
      </c>
      <c r="H447" s="30">
        <v>0.83823529411764708</v>
      </c>
      <c r="I447" s="37">
        <v>460.6</v>
      </c>
      <c r="J447" s="37">
        <v>444.26</v>
      </c>
      <c r="K447" s="32">
        <v>33</v>
      </c>
      <c r="L447" s="32">
        <v>23</v>
      </c>
      <c r="M447" s="32">
        <v>15199.8</v>
      </c>
      <c r="N447" s="32">
        <v>10217.98</v>
      </c>
      <c r="O447" s="32">
        <v>25417.78</v>
      </c>
      <c r="P447" s="32">
        <f t="shared" si="6"/>
        <v>24293.8</v>
      </c>
      <c r="Q447" s="32"/>
      <c r="R447" s="32"/>
      <c r="S447" s="2"/>
      <c r="T447" s="2"/>
      <c r="V447" s="2"/>
      <c r="W447" s="2"/>
      <c r="X447" s="30"/>
      <c r="Y447" s="30"/>
      <c r="Z447" s="32"/>
      <c r="AA447" s="32"/>
      <c r="AB447" s="32"/>
      <c r="AC447" s="32"/>
      <c r="AD447" s="32"/>
      <c r="AE447" s="32"/>
      <c r="AF447" s="32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 spans="1:50" x14ac:dyDescent="0.25">
      <c r="A448">
        <v>508</v>
      </c>
      <c r="B448" s="2">
        <v>1</v>
      </c>
      <c r="C448" s="2" t="s">
        <v>514</v>
      </c>
      <c r="D448">
        <v>30</v>
      </c>
      <c r="E448" s="2" t="s">
        <v>515</v>
      </c>
      <c r="F448" s="29">
        <v>0</v>
      </c>
      <c r="G448" s="30">
        <v>0.85238095238095235</v>
      </c>
      <c r="H448" s="30">
        <v>0.8405405405405405</v>
      </c>
      <c r="I448" s="37">
        <v>451.76</v>
      </c>
      <c r="J448" s="37">
        <v>445.49</v>
      </c>
      <c r="K448" s="32">
        <v>154</v>
      </c>
      <c r="L448" s="32">
        <v>151</v>
      </c>
      <c r="M448" s="32">
        <v>69571.039999999994</v>
      </c>
      <c r="N448" s="32">
        <v>67268.990000000005</v>
      </c>
      <c r="O448" s="32">
        <v>136840.03</v>
      </c>
      <c r="P448" s="32">
        <f t="shared" si="6"/>
        <v>130788.93</v>
      </c>
      <c r="Q448" s="32"/>
      <c r="R448" s="32"/>
      <c r="S448" s="2"/>
      <c r="T448" s="2"/>
      <c r="V448" s="2"/>
      <c r="W448" s="2"/>
      <c r="X448" s="30"/>
      <c r="Y448" s="30"/>
      <c r="Z448" s="32"/>
      <c r="AA448" s="32"/>
      <c r="AB448" s="32"/>
      <c r="AC448" s="32"/>
      <c r="AD448" s="32"/>
      <c r="AE448" s="32"/>
      <c r="AF448" s="32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spans="1:50" x14ac:dyDescent="0.25">
      <c r="A449">
        <v>511</v>
      </c>
      <c r="B449" s="2">
        <v>1</v>
      </c>
      <c r="C449" s="2" t="s">
        <v>516</v>
      </c>
      <c r="D449">
        <v>10</v>
      </c>
      <c r="E449" s="2" t="s">
        <v>517</v>
      </c>
      <c r="F449" s="29">
        <v>0</v>
      </c>
      <c r="G449" s="30">
        <v>0.86324786324786329</v>
      </c>
      <c r="H449" s="30">
        <v>0.75</v>
      </c>
      <c r="I449" s="37">
        <v>457.52</v>
      </c>
      <c r="J449" s="37">
        <v>397.5</v>
      </c>
      <c r="K449" s="32">
        <v>35</v>
      </c>
      <c r="L449" s="32">
        <v>46</v>
      </c>
      <c r="M449" s="32">
        <v>16013.2</v>
      </c>
      <c r="N449" s="32">
        <v>18285</v>
      </c>
      <c r="O449" s="32">
        <v>34298.199999999997</v>
      </c>
      <c r="P449" s="32">
        <f t="shared" si="6"/>
        <v>32781.53</v>
      </c>
      <c r="Q449" s="32"/>
      <c r="R449" s="32"/>
      <c r="S449" s="2"/>
      <c r="T449" s="2"/>
      <c r="V449" s="2"/>
      <c r="W449" s="2"/>
      <c r="X449" s="30"/>
      <c r="Y449" s="30"/>
      <c r="Z449" s="32"/>
      <c r="AA449" s="32"/>
      <c r="AB449" s="32"/>
      <c r="AC449" s="32"/>
      <c r="AD449" s="32"/>
      <c r="AE449" s="32"/>
      <c r="AF449" s="32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 spans="1:50" x14ac:dyDescent="0.25">
      <c r="A450">
        <v>513</v>
      </c>
      <c r="B450" s="2">
        <v>1</v>
      </c>
      <c r="C450" s="2" t="s">
        <v>518</v>
      </c>
      <c r="D450">
        <v>10</v>
      </c>
      <c r="E450" s="2" t="s">
        <v>519</v>
      </c>
      <c r="F450" s="29">
        <v>0</v>
      </c>
      <c r="G450" s="30">
        <v>0.65079365079365081</v>
      </c>
      <c r="H450" s="30">
        <v>0.85483870967741937</v>
      </c>
      <c r="I450" s="37">
        <v>344.92</v>
      </c>
      <c r="J450" s="37">
        <v>453.06</v>
      </c>
      <c r="K450" s="32">
        <v>24</v>
      </c>
      <c r="L450" s="32">
        <v>25</v>
      </c>
      <c r="M450" s="32">
        <v>8278.08</v>
      </c>
      <c r="N450" s="32">
        <v>11326.5</v>
      </c>
      <c r="O450" s="32">
        <v>19604.580000000002</v>
      </c>
      <c r="P450" s="32">
        <f t="shared" si="6"/>
        <v>18737.66</v>
      </c>
      <c r="Q450" s="32"/>
      <c r="R450" s="32"/>
      <c r="S450" s="2"/>
      <c r="T450" s="2"/>
      <c r="V450" s="2"/>
      <c r="W450" s="2"/>
      <c r="X450" s="30"/>
      <c r="Y450" s="30"/>
      <c r="Z450" s="32"/>
      <c r="AA450" s="32"/>
      <c r="AB450" s="32"/>
      <c r="AC450" s="32"/>
      <c r="AD450" s="32"/>
      <c r="AE450" s="32"/>
      <c r="AF450" s="32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spans="1:50" x14ac:dyDescent="0.25">
      <c r="A451">
        <v>514</v>
      </c>
      <c r="B451">
        <v>1</v>
      </c>
      <c r="C451" t="s">
        <v>1199</v>
      </c>
      <c r="D451">
        <v>10</v>
      </c>
      <c r="E451" t="s">
        <v>1200</v>
      </c>
      <c r="F451" s="1">
        <v>0</v>
      </c>
      <c r="G451" s="30">
        <v>0.83333333333333337</v>
      </c>
      <c r="H451" s="30">
        <v>0.61764705882352944</v>
      </c>
      <c r="I451" s="37">
        <v>441.67</v>
      </c>
      <c r="J451" s="37">
        <v>327.35000000000002</v>
      </c>
      <c r="K451" s="32">
        <v>11</v>
      </c>
      <c r="L451" s="32">
        <v>16</v>
      </c>
      <c r="M451" s="32">
        <v>4858.37</v>
      </c>
      <c r="N451" s="32">
        <v>5237.6000000000004</v>
      </c>
      <c r="O451" s="32">
        <v>10095.970000000001</v>
      </c>
      <c r="P451" s="32">
        <f t="shared" si="6"/>
        <v>9649.52</v>
      </c>
      <c r="Q451" s="32"/>
      <c r="R451" s="32"/>
      <c r="S451" s="2"/>
      <c r="T451" s="2"/>
      <c r="V451" s="2"/>
      <c r="W451" s="2"/>
      <c r="X451" s="30"/>
      <c r="Y451" s="30"/>
      <c r="Z451" s="32"/>
      <c r="AA451" s="32"/>
      <c r="AB451" s="32"/>
      <c r="AC451" s="32"/>
      <c r="AD451" s="32"/>
      <c r="AE451" s="32"/>
      <c r="AF451" s="32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 spans="1:50" x14ac:dyDescent="0.25">
      <c r="A452">
        <v>518</v>
      </c>
      <c r="B452" s="2">
        <v>1</v>
      </c>
      <c r="C452" s="2" t="s">
        <v>520</v>
      </c>
      <c r="D452">
        <v>1</v>
      </c>
      <c r="E452" s="2" t="s">
        <v>521</v>
      </c>
      <c r="F452" s="29">
        <v>0</v>
      </c>
      <c r="G452" s="30">
        <v>0.6501831501831502</v>
      </c>
      <c r="H452" s="30">
        <v>0.81344902386117135</v>
      </c>
      <c r="I452" s="37">
        <v>344.6</v>
      </c>
      <c r="J452" s="37">
        <v>431.13</v>
      </c>
      <c r="K452" s="32">
        <v>197</v>
      </c>
      <c r="L452" s="32">
        <v>193</v>
      </c>
      <c r="M452" s="32">
        <v>67886.2</v>
      </c>
      <c r="N452" s="32">
        <v>83208.09</v>
      </c>
      <c r="O452" s="32">
        <v>151094.28999999998</v>
      </c>
      <c r="P452" s="32">
        <f t="shared" si="6"/>
        <v>144412.85999999999</v>
      </c>
      <c r="Q452" s="32"/>
      <c r="R452" s="32"/>
      <c r="S452" s="2"/>
      <c r="T452" s="2"/>
      <c r="V452" s="2"/>
      <c r="W452" s="2"/>
      <c r="X452" s="30"/>
      <c r="Y452" s="30"/>
      <c r="Z452" s="32"/>
      <c r="AA452" s="32"/>
      <c r="AB452" s="32"/>
      <c r="AC452" s="32"/>
      <c r="AD452" s="32"/>
      <c r="AE452" s="32"/>
      <c r="AF452" s="32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spans="1:50" x14ac:dyDescent="0.25">
      <c r="A453">
        <v>531</v>
      </c>
      <c r="B453" s="2">
        <v>1</v>
      </c>
      <c r="C453" s="2" t="s">
        <v>522</v>
      </c>
      <c r="D453">
        <v>10</v>
      </c>
      <c r="E453" s="2" t="s">
        <v>523</v>
      </c>
      <c r="F453" s="29">
        <v>0</v>
      </c>
      <c r="G453" s="30">
        <v>0.91898734177215191</v>
      </c>
      <c r="H453" s="30">
        <v>0.74293059125964012</v>
      </c>
      <c r="I453" s="37">
        <v>487.06</v>
      </c>
      <c r="J453" s="37">
        <v>393.75</v>
      </c>
      <c r="K453" s="32">
        <v>147</v>
      </c>
      <c r="L453" s="32">
        <v>119</v>
      </c>
      <c r="M453" s="32">
        <v>71597.820000000007</v>
      </c>
      <c r="N453" s="32">
        <v>46856.25</v>
      </c>
      <c r="O453" s="32">
        <v>118454.07</v>
      </c>
      <c r="P453" s="32">
        <f t="shared" si="6"/>
        <v>113216</v>
      </c>
      <c r="Q453" s="32"/>
      <c r="R453" s="32"/>
      <c r="S453" s="2"/>
      <c r="T453" s="2"/>
      <c r="V453" s="2"/>
      <c r="W453" s="2"/>
      <c r="X453" s="30"/>
      <c r="Y453" s="30"/>
      <c r="Z453" s="32"/>
      <c r="AA453" s="32"/>
      <c r="AB453" s="32"/>
      <c r="AC453" s="32"/>
      <c r="AD453" s="32"/>
      <c r="AE453" s="32"/>
      <c r="AF453" s="32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 spans="1:50" x14ac:dyDescent="0.25">
      <c r="A454">
        <v>533</v>
      </c>
      <c r="B454" s="2">
        <v>1</v>
      </c>
      <c r="C454" s="2" t="s">
        <v>524</v>
      </c>
      <c r="D454">
        <v>20</v>
      </c>
      <c r="E454" s="2" t="s">
        <v>525</v>
      </c>
      <c r="F454" s="29">
        <v>0</v>
      </c>
      <c r="G454" s="30">
        <v>0.88803088803088803</v>
      </c>
      <c r="H454" s="30">
        <v>0.706959706959707</v>
      </c>
      <c r="I454" s="37">
        <v>470.66</v>
      </c>
      <c r="J454" s="37">
        <v>374.69</v>
      </c>
      <c r="K454" s="32">
        <v>87</v>
      </c>
      <c r="L454" s="32">
        <v>89</v>
      </c>
      <c r="M454" s="32">
        <v>40947.42</v>
      </c>
      <c r="N454" s="32">
        <v>33347.410000000003</v>
      </c>
      <c r="O454" s="32">
        <v>74294.83</v>
      </c>
      <c r="P454" s="32">
        <f t="shared" si="6"/>
        <v>71009.490000000005</v>
      </c>
      <c r="Q454" s="32"/>
      <c r="R454" s="32"/>
      <c r="W454" s="2"/>
      <c r="X454" s="30"/>
      <c r="Y454" s="30"/>
      <c r="Z454" s="32"/>
      <c r="AA454" s="32"/>
      <c r="AB454" s="32"/>
      <c r="AC454" s="32"/>
      <c r="AD454" s="32"/>
      <c r="AE454" s="32"/>
      <c r="AF454" s="32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spans="1:50" x14ac:dyDescent="0.25">
      <c r="A455">
        <v>534</v>
      </c>
      <c r="B455" s="2">
        <v>1</v>
      </c>
      <c r="C455" s="2" t="s">
        <v>526</v>
      </c>
      <c r="D455">
        <v>10</v>
      </c>
      <c r="E455" s="2" t="s">
        <v>110</v>
      </c>
      <c r="F455" s="29">
        <v>1</v>
      </c>
      <c r="G455" s="30" t="s">
        <v>1328</v>
      </c>
      <c r="H455" s="30" t="s">
        <v>1328</v>
      </c>
      <c r="I455" s="37" t="s">
        <v>1328</v>
      </c>
      <c r="J455" s="37" t="s">
        <v>1328</v>
      </c>
      <c r="K455" s="32">
        <v>0</v>
      </c>
      <c r="L455" s="32">
        <v>153</v>
      </c>
      <c r="M455" s="32" t="s">
        <v>1328</v>
      </c>
      <c r="N455" s="32" t="s">
        <v>1328</v>
      </c>
      <c r="O455" s="32">
        <v>53926.38</v>
      </c>
      <c r="P455" s="32">
        <f t="shared" si="6"/>
        <v>51541.74</v>
      </c>
      <c r="Q455" s="32"/>
      <c r="R455" s="32"/>
      <c r="S455" s="2"/>
      <c r="T455" s="2"/>
      <c r="V455" s="2"/>
      <c r="W455" s="2"/>
      <c r="X455" s="30"/>
      <c r="Y455" s="30"/>
      <c r="Z455" s="32"/>
      <c r="AA455" s="32"/>
      <c r="AB455" s="32"/>
      <c r="AC455" s="32"/>
      <c r="AD455" s="32"/>
      <c r="AE455" s="32"/>
      <c r="AF455" s="32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 spans="1:50" x14ac:dyDescent="0.25">
      <c r="A456">
        <v>534</v>
      </c>
      <c r="B456">
        <v>1</v>
      </c>
      <c r="C456" t="s">
        <v>526</v>
      </c>
      <c r="D456">
        <v>11</v>
      </c>
      <c r="E456" t="s">
        <v>527</v>
      </c>
      <c r="F456" s="1">
        <v>1</v>
      </c>
      <c r="G456" s="30" t="s">
        <v>1328</v>
      </c>
      <c r="H456" s="30" t="s">
        <v>1328</v>
      </c>
      <c r="I456" s="37" t="s">
        <v>1328</v>
      </c>
      <c r="J456" s="37" t="s">
        <v>1328</v>
      </c>
      <c r="K456" s="32">
        <v>152</v>
      </c>
      <c r="L456" s="32">
        <v>0</v>
      </c>
      <c r="M456" s="32" t="s">
        <v>1328</v>
      </c>
      <c r="N456" s="32" t="s">
        <v>1328</v>
      </c>
      <c r="O456" s="32">
        <v>72896.160000000003</v>
      </c>
      <c r="P456" s="32">
        <f t="shared" si="6"/>
        <v>69672.67</v>
      </c>
      <c r="Q456" s="32"/>
      <c r="R456" s="32"/>
      <c r="S456" s="2"/>
      <c r="T456" s="2"/>
      <c r="V456" s="2"/>
      <c r="W456" s="2"/>
      <c r="X456" s="30"/>
      <c r="Y456" s="30"/>
      <c r="Z456" s="32"/>
      <c r="AA456" s="32"/>
      <c r="AB456" s="32"/>
      <c r="AC456" s="32"/>
      <c r="AD456" s="32"/>
      <c r="AE456" s="32"/>
      <c r="AF456" s="32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spans="1:50" x14ac:dyDescent="0.25">
      <c r="A457">
        <v>535</v>
      </c>
      <c r="B457" s="2">
        <v>1</v>
      </c>
      <c r="C457" s="2" t="s">
        <v>528</v>
      </c>
      <c r="D457">
        <v>110</v>
      </c>
      <c r="E457" s="2" t="s">
        <v>529</v>
      </c>
      <c r="F457" s="29">
        <v>0</v>
      </c>
      <c r="G457" s="30">
        <v>0.77481840193704599</v>
      </c>
      <c r="H457" s="30">
        <v>0.7990196078431373</v>
      </c>
      <c r="I457" s="37">
        <v>410.65</v>
      </c>
      <c r="J457" s="37">
        <v>423.48</v>
      </c>
      <c r="K457" s="32">
        <v>150</v>
      </c>
      <c r="L457" s="32">
        <v>135</v>
      </c>
      <c r="M457" s="32">
        <v>61597.5</v>
      </c>
      <c r="N457" s="32">
        <v>57169.8</v>
      </c>
      <c r="O457" s="32">
        <v>118767.3</v>
      </c>
      <c r="P457" s="32">
        <f t="shared" si="6"/>
        <v>113515.38</v>
      </c>
      <c r="Q457" s="32"/>
      <c r="R457" s="32"/>
      <c r="S457" s="2"/>
      <c r="T457" s="2"/>
      <c r="V457" s="2"/>
      <c r="W457" s="2"/>
      <c r="X457" s="30"/>
      <c r="Y457" s="30"/>
      <c r="Z457" s="32"/>
      <c r="AA457" s="32"/>
      <c r="AB457" s="32"/>
      <c r="AC457" s="32"/>
      <c r="AD457" s="32"/>
      <c r="AE457" s="32"/>
      <c r="AF457" s="32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 spans="1:50" x14ac:dyDescent="0.25">
      <c r="A458">
        <v>535</v>
      </c>
      <c r="B458" s="2">
        <v>1</v>
      </c>
      <c r="C458" s="2" t="s">
        <v>528</v>
      </c>
      <c r="D458">
        <v>112</v>
      </c>
      <c r="E458" s="2" t="s">
        <v>530</v>
      </c>
      <c r="F458" s="29">
        <v>0</v>
      </c>
      <c r="G458" s="30">
        <v>0.85652173913043483</v>
      </c>
      <c r="H458" s="30">
        <v>0.81683168316831678</v>
      </c>
      <c r="I458" s="37">
        <v>453.96</v>
      </c>
      <c r="J458" s="37">
        <v>432.92</v>
      </c>
      <c r="K458" s="32">
        <v>86</v>
      </c>
      <c r="L458" s="32">
        <v>64</v>
      </c>
      <c r="M458" s="32">
        <v>39040.559999999998</v>
      </c>
      <c r="N458" s="32">
        <v>27706.880000000001</v>
      </c>
      <c r="O458" s="32">
        <v>66747.44</v>
      </c>
      <c r="P458" s="32">
        <f t="shared" si="6"/>
        <v>63795.85</v>
      </c>
      <c r="Q458" s="32"/>
      <c r="R458" s="32"/>
      <c r="S458" s="2"/>
      <c r="T458" s="2"/>
      <c r="V458" s="2"/>
      <c r="W458" s="2"/>
      <c r="X458" s="30"/>
      <c r="Y458" s="30"/>
      <c r="Z458" s="32"/>
      <c r="AA458" s="32"/>
      <c r="AB458" s="32"/>
      <c r="AC458" s="32"/>
      <c r="AD458" s="32"/>
      <c r="AE458" s="32"/>
      <c r="AF458" s="32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spans="1:50" x14ac:dyDescent="0.25">
      <c r="A459">
        <v>535</v>
      </c>
      <c r="B459" s="2">
        <v>1</v>
      </c>
      <c r="C459" s="2" t="s">
        <v>528</v>
      </c>
      <c r="D459">
        <v>120</v>
      </c>
      <c r="E459" s="2" t="s">
        <v>531</v>
      </c>
      <c r="F459" s="29">
        <v>0</v>
      </c>
      <c r="G459" s="30">
        <v>0.71179039301310043</v>
      </c>
      <c r="H459" s="30">
        <v>0.73684210526315785</v>
      </c>
      <c r="I459" s="37">
        <v>377.25</v>
      </c>
      <c r="J459" s="37">
        <v>390.53</v>
      </c>
      <c r="K459" s="32">
        <v>75</v>
      </c>
      <c r="L459" s="32">
        <v>69</v>
      </c>
      <c r="M459" s="32">
        <v>28293.75</v>
      </c>
      <c r="N459" s="32">
        <v>26946.57</v>
      </c>
      <c r="O459" s="32">
        <v>55240.32</v>
      </c>
      <c r="P459" s="32">
        <f t="shared" si="6"/>
        <v>52797.58</v>
      </c>
      <c r="Q459" s="32"/>
      <c r="R459" s="32"/>
      <c r="W459" s="2"/>
      <c r="X459" s="30"/>
      <c r="Y459" s="30"/>
      <c r="Z459" s="32"/>
      <c r="AA459" s="32"/>
      <c r="AB459" s="32"/>
      <c r="AC459" s="32"/>
      <c r="AD459" s="32"/>
      <c r="AE459" s="32"/>
      <c r="AF459" s="32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 spans="1:50" x14ac:dyDescent="0.25">
      <c r="A460">
        <v>535</v>
      </c>
      <c r="B460" s="2">
        <v>1</v>
      </c>
      <c r="C460" s="2" t="s">
        <v>528</v>
      </c>
      <c r="D460">
        <v>122</v>
      </c>
      <c r="E460" s="2" t="s">
        <v>532</v>
      </c>
      <c r="F460" s="29">
        <v>0</v>
      </c>
      <c r="G460" s="30">
        <v>0.88311688311688308</v>
      </c>
      <c r="H460" s="30">
        <v>0.77536231884057971</v>
      </c>
      <c r="I460" s="37">
        <v>468.05</v>
      </c>
      <c r="J460" s="37">
        <v>410.94</v>
      </c>
      <c r="K460" s="32">
        <v>59</v>
      </c>
      <c r="L460" s="32">
        <v>46</v>
      </c>
      <c r="M460" s="32">
        <v>27614.95</v>
      </c>
      <c r="N460" s="32">
        <v>18903.240000000002</v>
      </c>
      <c r="O460" s="32">
        <v>46518.19</v>
      </c>
      <c r="P460" s="32">
        <f t="shared" si="6"/>
        <v>44461.14</v>
      </c>
      <c r="Q460" s="32"/>
      <c r="R460" s="32"/>
      <c r="S460" s="2"/>
      <c r="T460" s="2"/>
      <c r="V460" s="2"/>
      <c r="W460" s="2"/>
      <c r="X460" s="30"/>
      <c r="Y460" s="30"/>
      <c r="Z460" s="32"/>
      <c r="AA460" s="32"/>
      <c r="AB460" s="32"/>
      <c r="AC460" s="32"/>
      <c r="AD460" s="32"/>
      <c r="AE460" s="32"/>
      <c r="AF460" s="32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spans="1:50" x14ac:dyDescent="0.25">
      <c r="A461">
        <v>535</v>
      </c>
      <c r="B461" s="2">
        <v>1</v>
      </c>
      <c r="C461" s="2" t="s">
        <v>528</v>
      </c>
      <c r="D461">
        <v>124</v>
      </c>
      <c r="E461" s="2" t="s">
        <v>56</v>
      </c>
      <c r="F461" s="29">
        <v>0</v>
      </c>
      <c r="G461" s="30">
        <v>0.74426229508196717</v>
      </c>
      <c r="H461" s="30">
        <v>0.79668049792531115</v>
      </c>
      <c r="I461" s="37">
        <v>394.46</v>
      </c>
      <c r="J461" s="37">
        <v>422.24</v>
      </c>
      <c r="K461" s="32">
        <v>125</v>
      </c>
      <c r="L461" s="32">
        <v>98</v>
      </c>
      <c r="M461" s="32">
        <v>49307.5</v>
      </c>
      <c r="N461" s="32">
        <v>41379.519999999997</v>
      </c>
      <c r="O461" s="32">
        <v>90687.01999999999</v>
      </c>
      <c r="P461" s="32">
        <f t="shared" si="6"/>
        <v>86676.82</v>
      </c>
      <c r="Q461" s="32"/>
      <c r="R461" s="32"/>
      <c r="S461" s="2"/>
      <c r="T461" s="2"/>
      <c r="V461" s="2"/>
      <c r="W461" s="2"/>
      <c r="X461" s="30"/>
      <c r="Y461" s="30"/>
      <c r="Z461" s="32"/>
      <c r="AA461" s="32"/>
      <c r="AB461" s="32"/>
      <c r="AC461" s="32"/>
      <c r="AD461" s="32"/>
      <c r="AE461" s="32"/>
      <c r="AF461" s="32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 spans="1:50" x14ac:dyDescent="0.25">
      <c r="A462">
        <v>535</v>
      </c>
      <c r="B462">
        <v>1</v>
      </c>
      <c r="C462" t="s">
        <v>528</v>
      </c>
      <c r="D462">
        <v>125</v>
      </c>
      <c r="E462" t="s">
        <v>533</v>
      </c>
      <c r="F462" s="1">
        <v>0</v>
      </c>
      <c r="G462" s="30">
        <v>0.89690721649484539</v>
      </c>
      <c r="H462" s="30">
        <v>0.797752808988764</v>
      </c>
      <c r="I462" s="37">
        <v>475.36</v>
      </c>
      <c r="J462" s="37">
        <v>422.81</v>
      </c>
      <c r="K462" s="32">
        <v>36</v>
      </c>
      <c r="L462" s="32">
        <v>33</v>
      </c>
      <c r="M462" s="32">
        <v>17112.96</v>
      </c>
      <c r="N462" s="32">
        <v>13952.73</v>
      </c>
      <c r="O462" s="32">
        <v>31065.69</v>
      </c>
      <c r="P462" s="32">
        <f t="shared" si="6"/>
        <v>29691.96</v>
      </c>
      <c r="Q462" s="32"/>
      <c r="R462" s="32"/>
      <c r="S462" s="2"/>
      <c r="T462" s="2"/>
      <c r="V462" s="2"/>
      <c r="W462" s="2"/>
      <c r="X462" s="30"/>
      <c r="Y462" s="30"/>
      <c r="Z462" s="32"/>
      <c r="AA462" s="32"/>
      <c r="AB462" s="32"/>
      <c r="AC462" s="32"/>
      <c r="AD462" s="32"/>
      <c r="AE462" s="32"/>
      <c r="AF462" s="32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spans="1:50" x14ac:dyDescent="0.25">
      <c r="A463">
        <v>535</v>
      </c>
      <c r="B463" s="2">
        <v>1</v>
      </c>
      <c r="C463" s="2" t="s">
        <v>528</v>
      </c>
      <c r="D463">
        <v>126</v>
      </c>
      <c r="E463" s="2" t="s">
        <v>534</v>
      </c>
      <c r="F463" s="29">
        <v>0</v>
      </c>
      <c r="G463" s="30">
        <v>0.72623574144486691</v>
      </c>
      <c r="H463" s="30">
        <v>0.76113360323886636</v>
      </c>
      <c r="I463" s="37">
        <v>384.9</v>
      </c>
      <c r="J463" s="37">
        <v>403.4</v>
      </c>
      <c r="K463" s="32">
        <v>73</v>
      </c>
      <c r="L463" s="32">
        <v>106</v>
      </c>
      <c r="M463" s="32">
        <v>28097.7</v>
      </c>
      <c r="N463" s="32">
        <v>42760.4</v>
      </c>
      <c r="O463" s="32">
        <v>70858.100000000006</v>
      </c>
      <c r="P463" s="32">
        <f t="shared" si="6"/>
        <v>67724.740000000005</v>
      </c>
      <c r="Q463" s="32"/>
      <c r="R463" s="32"/>
      <c r="S463" s="2"/>
      <c r="T463" s="2"/>
      <c r="V463" s="2"/>
      <c r="W463" s="2"/>
      <c r="X463" s="30"/>
      <c r="Y463" s="30"/>
      <c r="Z463" s="32"/>
      <c r="AA463" s="32"/>
      <c r="AB463" s="32"/>
      <c r="AC463" s="32"/>
      <c r="AD463" s="32"/>
      <c r="AE463" s="32"/>
      <c r="AF463" s="32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 spans="1:50" x14ac:dyDescent="0.25">
      <c r="A464">
        <v>535</v>
      </c>
      <c r="B464" s="2">
        <v>1</v>
      </c>
      <c r="C464" s="2" t="s">
        <v>528</v>
      </c>
      <c r="D464">
        <v>129</v>
      </c>
      <c r="E464" s="2" t="s">
        <v>535</v>
      </c>
      <c r="F464" s="29">
        <v>0</v>
      </c>
      <c r="G464" s="30">
        <v>0.87068965517241381</v>
      </c>
      <c r="H464" s="30">
        <v>0.87341772151898733</v>
      </c>
      <c r="I464" s="37">
        <v>461.47</v>
      </c>
      <c r="J464" s="37">
        <v>462.91</v>
      </c>
      <c r="K464" s="32">
        <v>128</v>
      </c>
      <c r="L464" s="32">
        <v>122</v>
      </c>
      <c r="M464" s="32">
        <v>59068.160000000003</v>
      </c>
      <c r="N464" s="32">
        <v>56475.02</v>
      </c>
      <c r="O464" s="32">
        <v>115543.18</v>
      </c>
      <c r="P464" s="32">
        <f t="shared" ref="P464:P527" si="7">ROUND(O464*P$11,2)</f>
        <v>110433.83</v>
      </c>
      <c r="Q464" s="32"/>
      <c r="R464" s="32"/>
      <c r="S464" s="2"/>
      <c r="T464" s="2"/>
      <c r="V464" s="2"/>
      <c r="W464" s="2"/>
      <c r="X464" s="30"/>
      <c r="Y464" s="30"/>
      <c r="Z464" s="32"/>
      <c r="AA464" s="32"/>
      <c r="AB464" s="32"/>
      <c r="AC464" s="32"/>
      <c r="AD464" s="32"/>
      <c r="AE464" s="32"/>
      <c r="AF464" s="32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spans="1:50" x14ac:dyDescent="0.25">
      <c r="A465">
        <v>535</v>
      </c>
      <c r="B465" s="2">
        <v>1</v>
      </c>
      <c r="C465" s="2" t="s">
        <v>528</v>
      </c>
      <c r="D465">
        <v>134</v>
      </c>
      <c r="E465" s="2" t="s">
        <v>58</v>
      </c>
      <c r="F465" s="29">
        <v>0</v>
      </c>
      <c r="G465" s="30">
        <v>0.88235294117647056</v>
      </c>
      <c r="H465" s="30">
        <v>0.75119617224880386</v>
      </c>
      <c r="I465" s="37">
        <v>467.65</v>
      </c>
      <c r="J465" s="37">
        <v>398.13</v>
      </c>
      <c r="K465" s="32">
        <v>81</v>
      </c>
      <c r="L465" s="32">
        <v>89</v>
      </c>
      <c r="M465" s="32">
        <v>37879.65</v>
      </c>
      <c r="N465" s="32">
        <v>35433.57</v>
      </c>
      <c r="O465" s="32">
        <v>73313.22</v>
      </c>
      <c r="P465" s="32">
        <f t="shared" si="7"/>
        <v>70071.289999999994</v>
      </c>
      <c r="Q465" s="32"/>
      <c r="R465" s="32"/>
      <c r="W465" s="2"/>
      <c r="X465" s="30"/>
      <c r="Y465" s="30"/>
      <c r="Z465" s="32"/>
      <c r="AA465" s="32"/>
      <c r="AB465" s="32"/>
      <c r="AC465" s="32"/>
      <c r="AD465" s="32"/>
      <c r="AE465" s="32"/>
      <c r="AF465" s="32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 spans="1:50" x14ac:dyDescent="0.25">
      <c r="A466">
        <v>535</v>
      </c>
      <c r="B466" s="2">
        <v>1</v>
      </c>
      <c r="C466" s="2" t="s">
        <v>528</v>
      </c>
      <c r="D466">
        <v>136</v>
      </c>
      <c r="E466" s="2" t="s">
        <v>28</v>
      </c>
      <c r="F466" s="29">
        <v>0</v>
      </c>
      <c r="G466" s="30">
        <v>0.76888888888888884</v>
      </c>
      <c r="H466" s="30">
        <v>0.80628272251308897</v>
      </c>
      <c r="I466" s="37">
        <v>407.51</v>
      </c>
      <c r="J466" s="37">
        <v>427.33</v>
      </c>
      <c r="K466" s="32">
        <v>82</v>
      </c>
      <c r="L466" s="32">
        <v>75</v>
      </c>
      <c r="M466" s="32">
        <v>33415.82</v>
      </c>
      <c r="N466" s="32">
        <v>32049.75</v>
      </c>
      <c r="O466" s="32">
        <v>65465.57</v>
      </c>
      <c r="P466" s="32">
        <f t="shared" si="7"/>
        <v>62570.67</v>
      </c>
      <c r="Q466" s="32"/>
      <c r="R466" s="32"/>
      <c r="S466" s="2"/>
      <c r="T466" s="2"/>
      <c r="V466" s="2"/>
      <c r="W466" s="2"/>
      <c r="X466" s="30"/>
      <c r="Y466" s="30"/>
      <c r="Z466" s="32"/>
      <c r="AA466" s="32"/>
      <c r="AB466" s="32"/>
      <c r="AC466" s="32"/>
      <c r="AD466" s="32"/>
      <c r="AE466" s="32"/>
      <c r="AF466" s="32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spans="1:50" x14ac:dyDescent="0.25">
      <c r="A467">
        <v>535</v>
      </c>
      <c r="B467" s="2">
        <v>1</v>
      </c>
      <c r="C467" s="2" t="s">
        <v>528</v>
      </c>
      <c r="D467">
        <v>138</v>
      </c>
      <c r="E467" s="2" t="s">
        <v>536</v>
      </c>
      <c r="F467" s="29">
        <v>0</v>
      </c>
      <c r="G467" s="30">
        <v>0.88888888888888884</v>
      </c>
      <c r="H467" s="30">
        <v>0.80575539568345322</v>
      </c>
      <c r="I467" s="37">
        <v>471.11</v>
      </c>
      <c r="J467" s="37">
        <v>427.05</v>
      </c>
      <c r="K467" s="32">
        <v>51</v>
      </c>
      <c r="L467" s="32">
        <v>49</v>
      </c>
      <c r="M467" s="32">
        <v>24026.61</v>
      </c>
      <c r="N467" s="32">
        <v>20925.45</v>
      </c>
      <c r="O467" s="32">
        <v>44952.06</v>
      </c>
      <c r="P467" s="32">
        <f t="shared" si="7"/>
        <v>42964.27</v>
      </c>
      <c r="Q467" s="32"/>
      <c r="R467" s="32"/>
      <c r="S467" s="2"/>
      <c r="T467" s="2"/>
      <c r="V467" s="2"/>
      <c r="W467" s="2"/>
      <c r="X467" s="30"/>
      <c r="Y467" s="30"/>
      <c r="Z467" s="32"/>
      <c r="AA467" s="32"/>
      <c r="AB467" s="32"/>
      <c r="AC467" s="32"/>
      <c r="AD467" s="32"/>
      <c r="AE467" s="32"/>
      <c r="AF467" s="32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 spans="1:50" x14ac:dyDescent="0.25">
      <c r="A468">
        <v>535</v>
      </c>
      <c r="B468" s="2">
        <v>1</v>
      </c>
      <c r="C468" s="2" t="s">
        <v>528</v>
      </c>
      <c r="D468">
        <v>140</v>
      </c>
      <c r="E468" s="2" t="s">
        <v>537</v>
      </c>
      <c r="F468" s="29">
        <v>0</v>
      </c>
      <c r="G468" s="30">
        <v>0.752</v>
      </c>
      <c r="H468" s="30">
        <v>0.77500000000000002</v>
      </c>
      <c r="I468" s="37">
        <v>398.56</v>
      </c>
      <c r="J468" s="37">
        <v>410.75</v>
      </c>
      <c r="K468" s="32">
        <v>37</v>
      </c>
      <c r="L468" s="32">
        <v>43</v>
      </c>
      <c r="M468" s="32">
        <v>14746.72</v>
      </c>
      <c r="N468" s="32">
        <v>17662.25</v>
      </c>
      <c r="O468" s="32">
        <v>32408.97</v>
      </c>
      <c r="P468" s="32">
        <f t="shared" si="7"/>
        <v>30975.84</v>
      </c>
      <c r="Q468" s="32"/>
      <c r="R468" s="32"/>
      <c r="S468" s="2"/>
      <c r="T468" s="2"/>
      <c r="V468" s="2"/>
      <c r="W468" s="2"/>
      <c r="X468" s="30"/>
      <c r="Y468" s="30"/>
      <c r="Z468" s="32"/>
      <c r="AA468" s="32"/>
      <c r="AB468" s="32"/>
      <c r="AC468" s="32"/>
      <c r="AD468" s="32"/>
      <c r="AE468" s="32"/>
      <c r="AF468" s="32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spans="1:50" x14ac:dyDescent="0.25">
      <c r="A469">
        <v>535</v>
      </c>
      <c r="B469">
        <v>1</v>
      </c>
      <c r="C469" t="s">
        <v>528</v>
      </c>
      <c r="D469">
        <v>146</v>
      </c>
      <c r="E469" t="s">
        <v>250</v>
      </c>
      <c r="F469" s="1">
        <v>0</v>
      </c>
      <c r="G469" s="30">
        <v>0.78740157480314965</v>
      </c>
      <c r="H469" s="30">
        <v>0.76635514018691586</v>
      </c>
      <c r="I469" s="37">
        <v>417.32</v>
      </c>
      <c r="J469" s="37">
        <v>406.17</v>
      </c>
      <c r="K469" s="32">
        <v>46</v>
      </c>
      <c r="L469" s="32">
        <v>46</v>
      </c>
      <c r="M469" s="32">
        <v>19196.72</v>
      </c>
      <c r="N469" s="32">
        <v>18683.82</v>
      </c>
      <c r="O469" s="32">
        <v>37880.54</v>
      </c>
      <c r="P469" s="32">
        <f t="shared" si="7"/>
        <v>36205.449999999997</v>
      </c>
      <c r="Q469" s="32"/>
      <c r="R469" s="32"/>
      <c r="S469" s="2"/>
      <c r="T469" s="2"/>
      <c r="V469" s="2"/>
      <c r="W469" s="2"/>
      <c r="X469" s="30"/>
      <c r="Y469" s="30"/>
      <c r="Z469" s="32"/>
      <c r="AA469" s="32"/>
      <c r="AB469" s="32"/>
      <c r="AC469" s="32"/>
      <c r="AD469" s="32"/>
      <c r="AE469" s="32"/>
      <c r="AF469" s="32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 spans="1:50" x14ac:dyDescent="0.25">
      <c r="A470">
        <v>535</v>
      </c>
      <c r="B470" s="2">
        <v>1</v>
      </c>
      <c r="C470" s="2" t="s">
        <v>528</v>
      </c>
      <c r="D470">
        <v>147</v>
      </c>
      <c r="E470" s="2" t="s">
        <v>538</v>
      </c>
      <c r="F470" s="29">
        <v>0</v>
      </c>
      <c r="G470" s="30">
        <v>0.65531914893617016</v>
      </c>
      <c r="H470" s="30">
        <v>0.74345549738219896</v>
      </c>
      <c r="I470" s="37">
        <v>347.32</v>
      </c>
      <c r="J470" s="37">
        <v>394.03</v>
      </c>
      <c r="K470" s="32">
        <v>98</v>
      </c>
      <c r="L470" s="32">
        <v>71</v>
      </c>
      <c r="M470" s="32">
        <v>34037.360000000001</v>
      </c>
      <c r="N470" s="32">
        <v>27976.13</v>
      </c>
      <c r="O470" s="32">
        <v>62013.490000000005</v>
      </c>
      <c r="P470" s="32">
        <f t="shared" si="7"/>
        <v>59271.24</v>
      </c>
      <c r="Q470" s="32"/>
      <c r="R470" s="32"/>
      <c r="S470" s="2"/>
      <c r="T470" s="2"/>
      <c r="V470" s="2"/>
      <c r="W470" s="2"/>
      <c r="X470" s="30"/>
      <c r="Y470" s="30"/>
      <c r="Z470" s="32"/>
      <c r="AA470" s="32"/>
      <c r="AB470" s="32"/>
      <c r="AC470" s="32"/>
      <c r="AD470" s="32"/>
      <c r="AE470" s="32"/>
      <c r="AF470" s="32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spans="1:50" x14ac:dyDescent="0.25">
      <c r="A471">
        <v>535</v>
      </c>
      <c r="B471" s="2">
        <v>1</v>
      </c>
      <c r="C471" s="2" t="s">
        <v>528</v>
      </c>
      <c r="D471">
        <v>150</v>
      </c>
      <c r="E471" s="2" t="s">
        <v>539</v>
      </c>
      <c r="F471" s="29">
        <v>0</v>
      </c>
      <c r="G471" s="30">
        <v>0.83823529411764708</v>
      </c>
      <c r="H471" s="30">
        <v>0.78867924528301891</v>
      </c>
      <c r="I471" s="37">
        <v>444.26</v>
      </c>
      <c r="J471" s="37">
        <v>418</v>
      </c>
      <c r="K471" s="32">
        <v>133</v>
      </c>
      <c r="L471" s="32">
        <v>106</v>
      </c>
      <c r="M471" s="32">
        <v>59086.58</v>
      </c>
      <c r="N471" s="32">
        <v>44308</v>
      </c>
      <c r="O471" s="32">
        <v>103394.58</v>
      </c>
      <c r="P471" s="32">
        <f t="shared" si="7"/>
        <v>98822.45</v>
      </c>
      <c r="Q471" s="32"/>
      <c r="R471" s="32"/>
      <c r="S471" s="2"/>
      <c r="T471" s="2"/>
      <c r="V471" s="2"/>
      <c r="W471" s="2"/>
      <c r="X471" s="30"/>
      <c r="Y471" s="30"/>
      <c r="Z471" s="32"/>
      <c r="AA471" s="32"/>
      <c r="AB471" s="32"/>
      <c r="AC471" s="32"/>
      <c r="AD471" s="32"/>
      <c r="AE471" s="32"/>
      <c r="AF471" s="32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 spans="1:50" x14ac:dyDescent="0.25">
      <c r="A472">
        <v>535</v>
      </c>
      <c r="B472" s="2">
        <v>1</v>
      </c>
      <c r="C472" s="2" t="s">
        <v>528</v>
      </c>
      <c r="D472">
        <v>152</v>
      </c>
      <c r="E472" s="2" t="s">
        <v>71</v>
      </c>
      <c r="F472" s="29">
        <v>0</v>
      </c>
      <c r="G472" s="30">
        <v>0.93142857142857138</v>
      </c>
      <c r="H472" s="30">
        <v>0.94578313253012047</v>
      </c>
      <c r="I472" s="37">
        <v>493.66</v>
      </c>
      <c r="J472" s="37">
        <v>501.27</v>
      </c>
      <c r="K472" s="32">
        <v>62</v>
      </c>
      <c r="L472" s="32">
        <v>55</v>
      </c>
      <c r="M472" s="32">
        <v>30606.92</v>
      </c>
      <c r="N472" s="32">
        <v>27569.85</v>
      </c>
      <c r="O472" s="32">
        <v>58176.77</v>
      </c>
      <c r="P472" s="32">
        <f t="shared" si="7"/>
        <v>55604.18</v>
      </c>
      <c r="Q472" s="32"/>
      <c r="R472" s="32"/>
      <c r="W472" s="2"/>
      <c r="X472" s="30"/>
      <c r="Y472" s="30"/>
      <c r="Z472" s="32"/>
      <c r="AA472" s="32"/>
      <c r="AB472" s="32"/>
      <c r="AC472" s="32"/>
      <c r="AD472" s="32"/>
      <c r="AE472" s="32"/>
      <c r="AF472" s="32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spans="1:50" x14ac:dyDescent="0.25">
      <c r="A473">
        <v>542</v>
      </c>
      <c r="B473" s="2">
        <v>1</v>
      </c>
      <c r="C473" s="2" t="s">
        <v>540</v>
      </c>
      <c r="D473">
        <v>10</v>
      </c>
      <c r="E473" s="2" t="s">
        <v>541</v>
      </c>
      <c r="F473" s="29">
        <v>0</v>
      </c>
      <c r="G473" s="30">
        <v>0.88349514563106801</v>
      </c>
      <c r="H473" s="30">
        <v>0.7142857142857143</v>
      </c>
      <c r="I473" s="37">
        <v>468.25</v>
      </c>
      <c r="J473" s="37">
        <v>378.57</v>
      </c>
      <c r="K473" s="32">
        <v>33</v>
      </c>
      <c r="L473" s="32">
        <v>29</v>
      </c>
      <c r="M473" s="32">
        <v>15452.25</v>
      </c>
      <c r="N473" s="32">
        <v>10978.53</v>
      </c>
      <c r="O473" s="32">
        <v>26430.78</v>
      </c>
      <c r="P473" s="32">
        <f t="shared" si="7"/>
        <v>25262</v>
      </c>
      <c r="Q473" s="32"/>
      <c r="R473" s="32"/>
      <c r="S473" s="2"/>
      <c r="T473" s="2"/>
      <c r="V473" s="2"/>
      <c r="W473" s="2"/>
      <c r="X473" s="30"/>
      <c r="Y473" s="30"/>
      <c r="Z473" s="32"/>
      <c r="AA473" s="32"/>
      <c r="AB473" s="32"/>
      <c r="AC473" s="32"/>
      <c r="AD473" s="32"/>
      <c r="AE473" s="32"/>
      <c r="AF473" s="32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 spans="1:50" x14ac:dyDescent="0.25">
      <c r="A474">
        <v>544</v>
      </c>
      <c r="B474" s="2">
        <v>1</v>
      </c>
      <c r="C474" s="2" t="s">
        <v>542</v>
      </c>
      <c r="D474">
        <v>140</v>
      </c>
      <c r="E474" s="2" t="s">
        <v>446</v>
      </c>
      <c r="F474" s="29">
        <v>0</v>
      </c>
      <c r="G474" s="30">
        <v>0.84449760765550241</v>
      </c>
      <c r="H474" s="30">
        <v>0.77858880778588813</v>
      </c>
      <c r="I474" s="37">
        <v>447.58</v>
      </c>
      <c r="J474" s="37">
        <v>412.65</v>
      </c>
      <c r="K474" s="32">
        <v>131</v>
      </c>
      <c r="L474" s="32">
        <v>151</v>
      </c>
      <c r="M474" s="32">
        <v>58632.98</v>
      </c>
      <c r="N474" s="32">
        <v>62310.15</v>
      </c>
      <c r="O474" s="32">
        <v>120943.13</v>
      </c>
      <c r="P474" s="32">
        <f t="shared" si="7"/>
        <v>115595</v>
      </c>
      <c r="Q474" s="32"/>
      <c r="R474" s="32"/>
      <c r="S474" s="2"/>
      <c r="T474" s="2"/>
      <c r="V474" s="2"/>
      <c r="W474" s="2"/>
      <c r="X474" s="30"/>
      <c r="Y474" s="30"/>
      <c r="Z474" s="32"/>
      <c r="AA474" s="32"/>
      <c r="AB474" s="32"/>
      <c r="AC474" s="32"/>
      <c r="AD474" s="32"/>
      <c r="AE474" s="32"/>
      <c r="AF474" s="32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spans="1:50" x14ac:dyDescent="0.25">
      <c r="A475">
        <v>544</v>
      </c>
      <c r="B475" s="2">
        <v>1</v>
      </c>
      <c r="C475" s="2" t="s">
        <v>542</v>
      </c>
      <c r="D475">
        <v>180</v>
      </c>
      <c r="E475" s="2" t="s">
        <v>63</v>
      </c>
      <c r="F475" s="29">
        <v>1</v>
      </c>
      <c r="G475" s="30" t="s">
        <v>1328</v>
      </c>
      <c r="H475" s="30" t="s">
        <v>1328</v>
      </c>
      <c r="I475" s="37" t="s">
        <v>1328</v>
      </c>
      <c r="J475" s="37" t="s">
        <v>1328</v>
      </c>
      <c r="K475" s="32">
        <v>0</v>
      </c>
      <c r="L475" s="32">
        <v>0</v>
      </c>
      <c r="M475" s="32" t="s">
        <v>1328</v>
      </c>
      <c r="N475" s="32" t="s">
        <v>1328</v>
      </c>
      <c r="O475" s="32">
        <v>0</v>
      </c>
      <c r="P475" s="32">
        <f t="shared" si="7"/>
        <v>0</v>
      </c>
      <c r="Q475" s="32"/>
      <c r="R475" s="32"/>
      <c r="S475" s="2"/>
      <c r="T475" s="2"/>
      <c r="V475" s="2"/>
      <c r="W475" s="2"/>
      <c r="X475" s="30"/>
      <c r="Y475" s="30"/>
      <c r="Z475" s="32"/>
      <c r="AA475" s="32"/>
      <c r="AB475" s="32"/>
      <c r="AC475" s="32"/>
      <c r="AD475" s="32"/>
      <c r="AE475" s="32"/>
      <c r="AF475" s="32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 spans="1:50" x14ac:dyDescent="0.25">
      <c r="A476">
        <v>545</v>
      </c>
      <c r="B476" s="2">
        <v>1</v>
      </c>
      <c r="C476" s="2" t="s">
        <v>543</v>
      </c>
      <c r="D476">
        <v>10</v>
      </c>
      <c r="E476" s="2" t="s">
        <v>544</v>
      </c>
      <c r="F476" s="29">
        <v>0</v>
      </c>
      <c r="G476" s="30">
        <v>0.90217391304347827</v>
      </c>
      <c r="H476" s="30">
        <v>0.76666666666666672</v>
      </c>
      <c r="I476" s="37">
        <v>478.15</v>
      </c>
      <c r="J476" s="37">
        <v>406.33</v>
      </c>
      <c r="K476" s="32">
        <v>29</v>
      </c>
      <c r="L476" s="32">
        <v>34</v>
      </c>
      <c r="M476" s="32">
        <v>13866.35</v>
      </c>
      <c r="N476" s="32">
        <v>13815.22</v>
      </c>
      <c r="O476" s="32">
        <v>27681.57</v>
      </c>
      <c r="P476" s="32">
        <f t="shared" si="7"/>
        <v>26457.48</v>
      </c>
      <c r="Q476" s="32"/>
      <c r="R476" s="32"/>
      <c r="S476" s="2"/>
      <c r="T476" s="2"/>
      <c r="V476" s="2"/>
      <c r="W476" s="2"/>
      <c r="X476" s="30"/>
      <c r="Y476" s="30"/>
      <c r="Z476" s="32"/>
      <c r="AA476" s="32"/>
      <c r="AB476" s="32"/>
      <c r="AC476" s="32"/>
      <c r="AD476" s="32"/>
      <c r="AE476" s="32"/>
      <c r="AF476" s="32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spans="1:50" x14ac:dyDescent="0.25">
      <c r="A477">
        <v>547</v>
      </c>
      <c r="B477" s="2">
        <v>1</v>
      </c>
      <c r="C477" s="2" t="s">
        <v>545</v>
      </c>
      <c r="D477">
        <v>10</v>
      </c>
      <c r="E477" s="2" t="s">
        <v>546</v>
      </c>
      <c r="F477" s="29">
        <v>0</v>
      </c>
      <c r="G477" s="30">
        <v>0.73831775700934577</v>
      </c>
      <c r="H477" s="30">
        <v>0.83673469387755106</v>
      </c>
      <c r="I477" s="37">
        <v>391.31</v>
      </c>
      <c r="J477" s="37">
        <v>443.47</v>
      </c>
      <c r="K477" s="32">
        <v>38</v>
      </c>
      <c r="L477" s="32">
        <v>37</v>
      </c>
      <c r="M477" s="32">
        <v>14869.78</v>
      </c>
      <c r="N477" s="32">
        <v>16408.39</v>
      </c>
      <c r="O477" s="32">
        <v>31278.17</v>
      </c>
      <c r="P477" s="32">
        <f t="shared" si="7"/>
        <v>29895.040000000001</v>
      </c>
      <c r="Q477" s="32"/>
      <c r="R477" s="32"/>
      <c r="S477" s="2"/>
      <c r="T477" s="2"/>
      <c r="V477" s="2"/>
      <c r="W477" s="2"/>
      <c r="X477" s="30"/>
      <c r="Y477" s="30"/>
      <c r="Z477" s="32"/>
      <c r="AA477" s="32"/>
      <c r="AB477" s="32"/>
      <c r="AC477" s="32"/>
      <c r="AD477" s="32"/>
      <c r="AE477" s="32"/>
      <c r="AF477" s="32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 spans="1:50" x14ac:dyDescent="0.25">
      <c r="A478">
        <v>548</v>
      </c>
      <c r="B478" s="2">
        <v>1</v>
      </c>
      <c r="C478" s="2" t="s">
        <v>547</v>
      </c>
      <c r="D478">
        <v>10</v>
      </c>
      <c r="E478" s="2" t="s">
        <v>548</v>
      </c>
      <c r="F478" s="29">
        <v>0</v>
      </c>
      <c r="G478" s="30">
        <v>0.62765957446808507</v>
      </c>
      <c r="H478" s="30">
        <v>0.82222222222222219</v>
      </c>
      <c r="I478" s="37">
        <v>332.66</v>
      </c>
      <c r="J478" s="37">
        <v>435.78</v>
      </c>
      <c r="K478" s="32">
        <v>67</v>
      </c>
      <c r="L478" s="32">
        <v>63</v>
      </c>
      <c r="M478" s="32">
        <v>22288.22</v>
      </c>
      <c r="N478" s="32">
        <v>27454.14</v>
      </c>
      <c r="O478" s="32">
        <v>49742.36</v>
      </c>
      <c r="P478" s="32">
        <f t="shared" si="7"/>
        <v>47542.74</v>
      </c>
      <c r="Q478" s="32"/>
      <c r="R478" s="32"/>
      <c r="S478" s="2"/>
      <c r="T478" s="2"/>
      <c r="V478" s="2"/>
      <c r="W478" s="2"/>
      <c r="X478" s="30"/>
      <c r="Y478" s="30"/>
      <c r="Z478" s="32"/>
      <c r="AA478" s="32"/>
      <c r="AB478" s="32"/>
      <c r="AC478" s="32"/>
      <c r="AD478" s="32"/>
      <c r="AE478" s="32"/>
      <c r="AF478" s="32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spans="1:50" x14ac:dyDescent="0.25">
      <c r="A479">
        <v>549</v>
      </c>
      <c r="B479">
        <v>1</v>
      </c>
      <c r="C479" t="s">
        <v>549</v>
      </c>
      <c r="D479">
        <v>10</v>
      </c>
      <c r="E479" t="s">
        <v>550</v>
      </c>
      <c r="F479" s="1">
        <v>0</v>
      </c>
      <c r="G479" s="30">
        <v>0.77075098814229248</v>
      </c>
      <c r="H479" s="30">
        <v>0.80246913580246915</v>
      </c>
      <c r="I479" s="37">
        <v>408.5</v>
      </c>
      <c r="J479" s="37">
        <v>425.31</v>
      </c>
      <c r="K479" s="32">
        <v>87</v>
      </c>
      <c r="L479" s="32">
        <v>88</v>
      </c>
      <c r="M479" s="32">
        <v>35539.5</v>
      </c>
      <c r="N479" s="32">
        <v>37427.279999999999</v>
      </c>
      <c r="O479" s="32">
        <v>72966.78</v>
      </c>
      <c r="P479" s="32">
        <f t="shared" si="7"/>
        <v>69740.17</v>
      </c>
      <c r="Q479" s="32"/>
      <c r="R479" s="32"/>
      <c r="S479" s="2"/>
      <c r="T479" s="2"/>
      <c r="V479" s="2"/>
      <c r="W479" s="2"/>
      <c r="X479" s="30"/>
      <c r="Y479" s="30"/>
      <c r="Z479" s="32"/>
      <c r="AA479" s="32"/>
      <c r="AB479" s="32"/>
      <c r="AC479" s="32"/>
      <c r="AD479" s="32"/>
      <c r="AE479" s="32"/>
      <c r="AF479" s="32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 spans="1:50" x14ac:dyDescent="0.25">
      <c r="A480">
        <v>550</v>
      </c>
      <c r="B480" s="2">
        <v>1</v>
      </c>
      <c r="C480" s="2" t="s">
        <v>551</v>
      </c>
      <c r="D480">
        <v>10</v>
      </c>
      <c r="E480" s="2" t="s">
        <v>552</v>
      </c>
      <c r="F480" s="29">
        <v>0</v>
      </c>
      <c r="G480" s="30">
        <v>0.84090909090909094</v>
      </c>
      <c r="H480" s="30">
        <v>0.59829059829059827</v>
      </c>
      <c r="I480" s="37">
        <v>445.68</v>
      </c>
      <c r="J480" s="37">
        <v>317.08999999999997</v>
      </c>
      <c r="K480" s="32">
        <v>48</v>
      </c>
      <c r="L480" s="32">
        <v>51</v>
      </c>
      <c r="M480" s="32">
        <v>21392.639999999999</v>
      </c>
      <c r="N480" s="32">
        <v>16171.59</v>
      </c>
      <c r="O480" s="32">
        <v>37564.229999999996</v>
      </c>
      <c r="P480" s="32">
        <f t="shared" si="7"/>
        <v>35903.129999999997</v>
      </c>
      <c r="Q480" s="32"/>
      <c r="R480" s="32"/>
      <c r="S480" s="2"/>
      <c r="T480" s="2"/>
      <c r="V480" s="2"/>
      <c r="W480" s="2"/>
      <c r="X480" s="30"/>
      <c r="Y480" s="30"/>
      <c r="Z480" s="32"/>
      <c r="AA480" s="32"/>
      <c r="AB480" s="32"/>
      <c r="AC480" s="32"/>
      <c r="AD480" s="32"/>
      <c r="AE480" s="32"/>
      <c r="AF480" s="32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spans="1:50" x14ac:dyDescent="0.25">
      <c r="A481">
        <v>553</v>
      </c>
      <c r="B481" s="2">
        <v>1</v>
      </c>
      <c r="C481" s="2" t="s">
        <v>553</v>
      </c>
      <c r="D481">
        <v>10</v>
      </c>
      <c r="E481" s="2" t="s">
        <v>554</v>
      </c>
      <c r="F481" s="29">
        <v>0</v>
      </c>
      <c r="G481" s="30">
        <v>0.77707006369426757</v>
      </c>
      <c r="H481" s="30">
        <v>0.65248226950354615</v>
      </c>
      <c r="I481" s="37">
        <v>411.85</v>
      </c>
      <c r="J481" s="37">
        <v>345.82</v>
      </c>
      <c r="K481" s="32">
        <v>56</v>
      </c>
      <c r="L481" s="32">
        <v>47</v>
      </c>
      <c r="M481" s="32">
        <v>23063.599999999999</v>
      </c>
      <c r="N481" s="32">
        <v>16253.54</v>
      </c>
      <c r="O481" s="32">
        <v>39317.14</v>
      </c>
      <c r="P481" s="32">
        <f t="shared" si="7"/>
        <v>37578.53</v>
      </c>
      <c r="Q481" s="32"/>
      <c r="R481" s="32"/>
      <c r="S481" s="2"/>
      <c r="T481" s="2"/>
      <c r="V481" s="2"/>
      <c r="W481" s="2"/>
      <c r="X481" s="30"/>
      <c r="Y481" s="30"/>
      <c r="Z481" s="32"/>
      <c r="AA481" s="32"/>
      <c r="AB481" s="32"/>
      <c r="AC481" s="32"/>
      <c r="AD481" s="32"/>
      <c r="AE481" s="32"/>
      <c r="AF481" s="32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 spans="1:50" x14ac:dyDescent="0.25">
      <c r="A482">
        <v>561</v>
      </c>
      <c r="B482" s="2">
        <v>1</v>
      </c>
      <c r="C482" s="2" t="s">
        <v>1201</v>
      </c>
      <c r="D482">
        <v>10</v>
      </c>
      <c r="E482" s="2" t="s">
        <v>1202</v>
      </c>
      <c r="F482" s="29">
        <v>0</v>
      </c>
      <c r="G482" s="30">
        <v>0.85106382978723405</v>
      </c>
      <c r="H482" s="30">
        <v>0.73170731707317072</v>
      </c>
      <c r="I482" s="37">
        <v>451.06</v>
      </c>
      <c r="J482" s="37">
        <v>387.8</v>
      </c>
      <c r="K482" s="32">
        <v>19</v>
      </c>
      <c r="L482" s="32">
        <v>17</v>
      </c>
      <c r="M482" s="32">
        <v>8570.14</v>
      </c>
      <c r="N482" s="32">
        <v>6592.6</v>
      </c>
      <c r="O482" s="32">
        <v>15162.74</v>
      </c>
      <c r="P482" s="32">
        <f t="shared" si="7"/>
        <v>14492.24</v>
      </c>
      <c r="Q482" s="32"/>
      <c r="R482" s="32"/>
      <c r="W482" s="2"/>
      <c r="X482" s="30"/>
      <c r="Y482" s="30"/>
      <c r="Z482" s="32"/>
      <c r="AA482" s="32"/>
      <c r="AB482" s="32"/>
      <c r="AC482" s="32"/>
      <c r="AD482" s="32"/>
      <c r="AE482" s="32"/>
      <c r="AF482" s="32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spans="1:50" x14ac:dyDescent="0.25">
      <c r="A483">
        <v>564</v>
      </c>
      <c r="B483" s="2">
        <v>1</v>
      </c>
      <c r="C483" s="2" t="s">
        <v>555</v>
      </c>
      <c r="D483">
        <v>31</v>
      </c>
      <c r="E483" s="2" t="s">
        <v>556</v>
      </c>
      <c r="F483" s="29">
        <v>0</v>
      </c>
      <c r="G483" s="30">
        <v>0.78947368421052633</v>
      </c>
      <c r="H483" s="30">
        <v>0.70868347338935578</v>
      </c>
      <c r="I483" s="37">
        <v>418.42</v>
      </c>
      <c r="J483" s="37">
        <v>375.6</v>
      </c>
      <c r="K483" s="32">
        <v>138</v>
      </c>
      <c r="L483" s="32">
        <v>111</v>
      </c>
      <c r="M483" s="32">
        <v>57741.96</v>
      </c>
      <c r="N483" s="32">
        <v>41691.599999999999</v>
      </c>
      <c r="O483" s="32">
        <v>99433.56</v>
      </c>
      <c r="P483" s="32">
        <f t="shared" si="7"/>
        <v>95036.58</v>
      </c>
      <c r="Q483" s="32"/>
      <c r="R483" s="32"/>
      <c r="S483" s="2"/>
      <c r="T483" s="2"/>
      <c r="V483" s="2"/>
      <c r="W483" s="2"/>
      <c r="X483" s="30"/>
      <c r="Y483" s="30"/>
      <c r="Z483" s="32"/>
      <c r="AA483" s="32"/>
      <c r="AB483" s="32"/>
      <c r="AC483" s="32"/>
      <c r="AD483" s="32"/>
      <c r="AE483" s="32"/>
      <c r="AF483" s="32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 spans="1:50" x14ac:dyDescent="0.25">
      <c r="A484">
        <v>577</v>
      </c>
      <c r="B484" s="2">
        <v>1</v>
      </c>
      <c r="C484" s="2" t="s">
        <v>557</v>
      </c>
      <c r="D484">
        <v>30</v>
      </c>
      <c r="E484" s="2" t="s">
        <v>558</v>
      </c>
      <c r="F484" s="29">
        <v>0</v>
      </c>
      <c r="G484" s="30">
        <v>0.77</v>
      </c>
      <c r="H484" s="30">
        <v>0.64444444444444449</v>
      </c>
      <c r="I484" s="37">
        <v>408.1</v>
      </c>
      <c r="J484" s="37">
        <v>341.56</v>
      </c>
      <c r="K484" s="32">
        <v>34</v>
      </c>
      <c r="L484" s="32">
        <v>26</v>
      </c>
      <c r="M484" s="32">
        <v>13875.4</v>
      </c>
      <c r="N484" s="32">
        <v>8880.56</v>
      </c>
      <c r="O484" s="32">
        <v>22755.96</v>
      </c>
      <c r="P484" s="32">
        <f t="shared" si="7"/>
        <v>21749.69</v>
      </c>
      <c r="Q484" s="32"/>
      <c r="R484" s="32"/>
      <c r="S484" s="2"/>
      <c r="T484" s="2"/>
      <c r="V484" s="2"/>
      <c r="W484" s="2"/>
      <c r="X484" s="30"/>
      <c r="Y484" s="30"/>
      <c r="Z484" s="32"/>
      <c r="AA484" s="32"/>
      <c r="AB484" s="32"/>
      <c r="AC484" s="32"/>
      <c r="AD484" s="32"/>
      <c r="AE484" s="32"/>
      <c r="AF484" s="32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spans="1:50" x14ac:dyDescent="0.25">
      <c r="A485">
        <v>578</v>
      </c>
      <c r="B485" s="2">
        <v>1</v>
      </c>
      <c r="C485" s="2" t="s">
        <v>559</v>
      </c>
      <c r="D485">
        <v>10</v>
      </c>
      <c r="E485" s="2" t="s">
        <v>560</v>
      </c>
      <c r="F485" s="29">
        <v>0</v>
      </c>
      <c r="G485" s="30">
        <v>0.84281842818428188</v>
      </c>
      <c r="H485" s="30">
        <v>0.66086956521739126</v>
      </c>
      <c r="I485" s="37">
        <v>446.69</v>
      </c>
      <c r="J485" s="37">
        <v>350.26</v>
      </c>
      <c r="K485" s="32">
        <v>129</v>
      </c>
      <c r="L485" s="32">
        <v>120</v>
      </c>
      <c r="M485" s="32">
        <v>57623.01</v>
      </c>
      <c r="N485" s="32">
        <v>42031.199999999997</v>
      </c>
      <c r="O485" s="32">
        <v>99654.209999999992</v>
      </c>
      <c r="P485" s="32">
        <f t="shared" si="7"/>
        <v>95247.48</v>
      </c>
      <c r="Q485" s="32"/>
      <c r="R485" s="32"/>
      <c r="S485" s="2"/>
      <c r="T485" s="2"/>
      <c r="V485" s="2"/>
      <c r="W485" s="2"/>
      <c r="X485" s="30"/>
      <c r="Y485" s="30"/>
      <c r="Z485" s="32"/>
      <c r="AA485" s="32"/>
      <c r="AB485" s="32"/>
      <c r="AC485" s="32"/>
      <c r="AD485" s="32"/>
      <c r="AE485" s="32"/>
      <c r="AF485" s="32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 spans="1:50" x14ac:dyDescent="0.25">
      <c r="A486">
        <v>578</v>
      </c>
      <c r="B486" s="2">
        <v>1</v>
      </c>
      <c r="C486" s="2" t="s">
        <v>1367</v>
      </c>
      <c r="D486">
        <v>50</v>
      </c>
      <c r="E486" s="2" t="s">
        <v>1368</v>
      </c>
      <c r="F486" s="29">
        <v>1</v>
      </c>
      <c r="G486" s="30" t="s">
        <v>1328</v>
      </c>
      <c r="H486" s="30" t="s">
        <v>1328</v>
      </c>
      <c r="I486" s="37" t="s">
        <v>1328</v>
      </c>
      <c r="J486" s="37" t="s">
        <v>1328</v>
      </c>
      <c r="K486" s="32">
        <v>0</v>
      </c>
      <c r="L486" s="32">
        <v>2</v>
      </c>
      <c r="M486" s="32" t="s">
        <v>1328</v>
      </c>
      <c r="N486" s="32" t="s">
        <v>1328</v>
      </c>
      <c r="O486" s="32">
        <v>0</v>
      </c>
      <c r="P486" s="32">
        <f t="shared" si="7"/>
        <v>0</v>
      </c>
      <c r="Q486" s="32"/>
      <c r="R486" s="32"/>
      <c r="S486" s="3"/>
      <c r="T486" s="3"/>
      <c r="V486" s="27"/>
      <c r="W486" s="2"/>
      <c r="X486" s="30"/>
      <c r="Y486" s="30"/>
      <c r="Z486" s="32"/>
      <c r="AA486" s="32"/>
      <c r="AB486" s="32"/>
      <c r="AC486" s="32"/>
      <c r="AD486" s="32"/>
      <c r="AE486" s="32"/>
      <c r="AF486" s="32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spans="1:50" x14ac:dyDescent="0.25">
      <c r="A487">
        <v>581</v>
      </c>
      <c r="B487" s="2">
        <v>1</v>
      </c>
      <c r="C487" s="2" t="s">
        <v>561</v>
      </c>
      <c r="D487">
        <v>20</v>
      </c>
      <c r="E487" s="2" t="s">
        <v>562</v>
      </c>
      <c r="F487" s="29">
        <v>0</v>
      </c>
      <c r="G487" s="30">
        <v>0.76119402985074625</v>
      </c>
      <c r="H487" s="30">
        <v>0.64912280701754388</v>
      </c>
      <c r="I487" s="37">
        <v>403.43</v>
      </c>
      <c r="J487" s="37">
        <v>344.04</v>
      </c>
      <c r="K487" s="32">
        <v>26</v>
      </c>
      <c r="L487" s="32">
        <v>21</v>
      </c>
      <c r="M487" s="32">
        <v>10489.18</v>
      </c>
      <c r="N487" s="32">
        <v>7224.84</v>
      </c>
      <c r="O487" s="32">
        <v>17714.02</v>
      </c>
      <c r="P487" s="32">
        <f t="shared" si="7"/>
        <v>16930.7</v>
      </c>
      <c r="Q487" s="32"/>
      <c r="R487" s="32"/>
      <c r="S487" s="2"/>
      <c r="T487" s="2"/>
      <c r="V487" s="2"/>
      <c r="W487" s="2"/>
      <c r="X487" s="30"/>
      <c r="Y487" s="30"/>
      <c r="Z487" s="32"/>
      <c r="AA487" s="32"/>
      <c r="AB487" s="32"/>
      <c r="AC487" s="32"/>
      <c r="AD487" s="32"/>
      <c r="AE487" s="32"/>
      <c r="AF487" s="32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 spans="1:50" x14ac:dyDescent="0.25">
      <c r="A488">
        <v>592</v>
      </c>
      <c r="B488" s="2">
        <v>1</v>
      </c>
      <c r="C488" s="2" t="s">
        <v>1203</v>
      </c>
      <c r="D488">
        <v>10</v>
      </c>
      <c r="E488" s="2" t="s">
        <v>1204</v>
      </c>
      <c r="F488" s="29">
        <v>0</v>
      </c>
      <c r="G488" s="30">
        <v>0.7142857142857143</v>
      </c>
      <c r="H488" s="30">
        <v>0.75757575757575757</v>
      </c>
      <c r="I488" s="37">
        <v>378.57</v>
      </c>
      <c r="J488" s="37">
        <v>401.52</v>
      </c>
      <c r="K488" s="32">
        <v>10</v>
      </c>
      <c r="L488" s="32">
        <v>13</v>
      </c>
      <c r="M488" s="32">
        <v>3785.7</v>
      </c>
      <c r="N488" s="32">
        <v>5219.76</v>
      </c>
      <c r="O488" s="32">
        <v>9005.4599999999991</v>
      </c>
      <c r="P488" s="32">
        <f t="shared" si="7"/>
        <v>8607.24</v>
      </c>
      <c r="Q488" s="32"/>
      <c r="R488" s="32"/>
      <c r="S488" s="2"/>
      <c r="T488" s="2"/>
      <c r="V488" s="2"/>
      <c r="W488" s="2"/>
      <c r="X488" s="30"/>
      <c r="Y488" s="30"/>
      <c r="Z488" s="32"/>
      <c r="AA488" s="32"/>
      <c r="AB488" s="32"/>
      <c r="AC488" s="32"/>
      <c r="AD488" s="32"/>
      <c r="AE488" s="32"/>
      <c r="AF488" s="32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spans="1:50" x14ac:dyDescent="0.25">
      <c r="A489">
        <v>593</v>
      </c>
      <c r="B489" s="2">
        <v>1</v>
      </c>
      <c r="C489" s="2" t="s">
        <v>563</v>
      </c>
      <c r="D489">
        <v>80</v>
      </c>
      <c r="E489" s="2" t="s">
        <v>87</v>
      </c>
      <c r="F489" s="29">
        <v>0</v>
      </c>
      <c r="G489" s="30">
        <v>0.81679389312977102</v>
      </c>
      <c r="H489" s="30">
        <v>0.69747899159663862</v>
      </c>
      <c r="I489" s="37">
        <v>432.9</v>
      </c>
      <c r="J489" s="37">
        <v>369.66</v>
      </c>
      <c r="K489" s="32">
        <v>86</v>
      </c>
      <c r="L489" s="32">
        <v>96</v>
      </c>
      <c r="M489" s="32">
        <v>37229.4</v>
      </c>
      <c r="N489" s="32">
        <v>35487.360000000001</v>
      </c>
      <c r="O489" s="32">
        <v>72716.760000000009</v>
      </c>
      <c r="P489" s="32">
        <f t="shared" si="7"/>
        <v>69501.210000000006</v>
      </c>
      <c r="Q489" s="32"/>
      <c r="R489" s="32"/>
      <c r="S489" s="2"/>
      <c r="T489" s="2"/>
      <c r="V489" s="2"/>
      <c r="W489" s="2"/>
      <c r="X489" s="30"/>
      <c r="Y489" s="30"/>
      <c r="Z489" s="32"/>
      <c r="AA489" s="32"/>
      <c r="AB489" s="32"/>
      <c r="AC489" s="32"/>
      <c r="AD489" s="32"/>
      <c r="AE489" s="32"/>
      <c r="AF489" s="32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 spans="1:50" x14ac:dyDescent="0.25">
      <c r="A490">
        <v>595</v>
      </c>
      <c r="B490" s="2">
        <v>1</v>
      </c>
      <c r="C490" s="2" t="s">
        <v>564</v>
      </c>
      <c r="D490">
        <v>110</v>
      </c>
      <c r="E490" s="2" t="s">
        <v>565</v>
      </c>
      <c r="F490" s="29">
        <v>0</v>
      </c>
      <c r="G490" s="30">
        <v>0.79487179487179482</v>
      </c>
      <c r="H490" s="30">
        <v>0.68660968660968658</v>
      </c>
      <c r="I490" s="37">
        <v>421.28</v>
      </c>
      <c r="J490" s="37">
        <v>363.9</v>
      </c>
      <c r="K490" s="32">
        <v>133</v>
      </c>
      <c r="L490" s="32">
        <v>119</v>
      </c>
      <c r="M490" s="32">
        <v>56030.239999999998</v>
      </c>
      <c r="N490" s="32">
        <v>43304.1</v>
      </c>
      <c r="O490" s="32">
        <v>99334.34</v>
      </c>
      <c r="P490" s="32">
        <f t="shared" si="7"/>
        <v>94941.75</v>
      </c>
      <c r="Q490" s="32"/>
      <c r="R490" s="32"/>
      <c r="S490" s="2"/>
      <c r="T490" s="2"/>
      <c r="V490" s="2"/>
      <c r="W490" s="2"/>
      <c r="X490" s="30"/>
      <c r="Y490" s="30"/>
      <c r="Z490" s="32"/>
      <c r="AA490" s="32"/>
      <c r="AB490" s="32"/>
      <c r="AC490" s="32"/>
      <c r="AD490" s="32"/>
      <c r="AE490" s="32"/>
      <c r="AF490" s="32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spans="1:50" x14ac:dyDescent="0.25">
      <c r="A491">
        <v>599</v>
      </c>
      <c r="B491" s="2">
        <v>1</v>
      </c>
      <c r="C491" s="2" t="s">
        <v>566</v>
      </c>
      <c r="D491">
        <v>10</v>
      </c>
      <c r="E491" s="2" t="s">
        <v>567</v>
      </c>
      <c r="F491" s="29">
        <v>0</v>
      </c>
      <c r="G491" s="30">
        <v>0.75</v>
      </c>
      <c r="H491" s="30">
        <v>0.84693877551020413</v>
      </c>
      <c r="I491" s="37">
        <v>397.5</v>
      </c>
      <c r="J491" s="37">
        <v>448.88</v>
      </c>
      <c r="K491" s="32">
        <v>26</v>
      </c>
      <c r="L491" s="32">
        <v>39</v>
      </c>
      <c r="M491" s="32">
        <v>10335</v>
      </c>
      <c r="N491" s="32">
        <v>17506.32</v>
      </c>
      <c r="O491" s="32">
        <v>27841.32</v>
      </c>
      <c r="P491" s="32">
        <f t="shared" si="7"/>
        <v>26610.17</v>
      </c>
      <c r="Q491" s="32"/>
      <c r="R491" s="32"/>
      <c r="S491" s="2"/>
      <c r="T491" s="2"/>
      <c r="V491" s="2"/>
      <c r="W491" s="2"/>
      <c r="X491" s="30"/>
      <c r="Y491" s="30"/>
      <c r="Z491" s="32"/>
      <c r="AA491" s="32"/>
      <c r="AB491" s="32"/>
      <c r="AC491" s="32"/>
      <c r="AD491" s="32"/>
      <c r="AE491" s="32"/>
      <c r="AF491" s="32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 spans="1:50" x14ac:dyDescent="0.25">
      <c r="A492">
        <v>600</v>
      </c>
      <c r="B492" s="2">
        <v>1</v>
      </c>
      <c r="C492" s="2" t="s">
        <v>568</v>
      </c>
      <c r="D492">
        <v>1</v>
      </c>
      <c r="E492" s="2" t="s">
        <v>569</v>
      </c>
      <c r="F492" s="29">
        <v>0</v>
      </c>
      <c r="G492" s="30">
        <v>0.87755102040816324</v>
      </c>
      <c r="H492" s="30">
        <v>0.68888888888888888</v>
      </c>
      <c r="I492" s="37">
        <v>465.1</v>
      </c>
      <c r="J492" s="37">
        <v>365.11</v>
      </c>
      <c r="K492" s="32">
        <v>15</v>
      </c>
      <c r="L492" s="32">
        <v>20</v>
      </c>
      <c r="M492" s="32">
        <v>6976.5</v>
      </c>
      <c r="N492" s="32">
        <v>7302.2</v>
      </c>
      <c r="O492" s="32">
        <v>14278.7</v>
      </c>
      <c r="P492" s="32">
        <f t="shared" si="7"/>
        <v>13647.29</v>
      </c>
      <c r="Q492" s="32"/>
      <c r="R492" s="32"/>
      <c r="S492" s="2"/>
      <c r="T492" s="2"/>
      <c r="V492" s="2"/>
      <c r="W492" s="2"/>
      <c r="X492" s="30"/>
      <c r="Y492" s="30"/>
      <c r="Z492" s="32"/>
      <c r="AA492" s="32"/>
      <c r="AB492" s="32"/>
      <c r="AC492" s="32"/>
      <c r="AD492" s="32"/>
      <c r="AE492" s="32"/>
      <c r="AF492" s="32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spans="1:50" x14ac:dyDescent="0.25">
      <c r="A493">
        <v>601</v>
      </c>
      <c r="B493" s="2">
        <v>1</v>
      </c>
      <c r="C493" s="2" t="s">
        <v>570</v>
      </c>
      <c r="D493">
        <v>10</v>
      </c>
      <c r="E493" s="2" t="s">
        <v>571</v>
      </c>
      <c r="F493" s="29">
        <v>0</v>
      </c>
      <c r="G493" s="30">
        <v>0.82550335570469802</v>
      </c>
      <c r="H493" s="30">
        <v>0.84507042253521125</v>
      </c>
      <c r="I493" s="37">
        <v>437.52</v>
      </c>
      <c r="J493" s="37">
        <v>447.89</v>
      </c>
      <c r="K493" s="32">
        <v>50</v>
      </c>
      <c r="L493" s="32">
        <v>49</v>
      </c>
      <c r="M493" s="32">
        <v>21876</v>
      </c>
      <c r="N493" s="32">
        <v>21946.61</v>
      </c>
      <c r="O493" s="32">
        <v>43822.61</v>
      </c>
      <c r="P493" s="32">
        <f t="shared" si="7"/>
        <v>41884.76</v>
      </c>
      <c r="Q493" s="32"/>
      <c r="R493" s="32"/>
      <c r="S493" s="2"/>
      <c r="T493" s="2"/>
      <c r="V493" s="2"/>
      <c r="W493" s="2"/>
      <c r="X493" s="30"/>
      <c r="Y493" s="30"/>
      <c r="Z493" s="32"/>
      <c r="AA493" s="32"/>
      <c r="AB493" s="32"/>
      <c r="AC493" s="32"/>
      <c r="AD493" s="32"/>
      <c r="AE493" s="32"/>
      <c r="AF493" s="32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 spans="1:50" x14ac:dyDescent="0.25">
      <c r="A494">
        <v>611</v>
      </c>
      <c r="B494" s="2">
        <v>1</v>
      </c>
      <c r="C494" s="2" t="s">
        <v>1205</v>
      </c>
      <c r="D494">
        <v>10</v>
      </c>
      <c r="E494" s="2" t="s">
        <v>1206</v>
      </c>
      <c r="F494" s="29">
        <v>1</v>
      </c>
      <c r="G494" s="30" t="s">
        <v>1328</v>
      </c>
      <c r="H494" s="30" t="s">
        <v>1328</v>
      </c>
      <c r="I494" s="37" t="s">
        <v>1328</v>
      </c>
      <c r="J494" s="37" t="s">
        <v>1328</v>
      </c>
      <c r="K494" s="32">
        <v>4</v>
      </c>
      <c r="L494" s="32">
        <v>3</v>
      </c>
      <c r="M494" s="32" t="s">
        <v>1328</v>
      </c>
      <c r="N494" s="32" t="s">
        <v>1328</v>
      </c>
      <c r="O494" s="32">
        <v>3255.71</v>
      </c>
      <c r="P494" s="32">
        <f t="shared" si="7"/>
        <v>3111.74</v>
      </c>
      <c r="Q494" s="32"/>
      <c r="R494" s="32"/>
      <c r="S494" s="2"/>
      <c r="T494" s="2"/>
      <c r="V494" s="2"/>
      <c r="W494" s="2"/>
      <c r="X494" s="30"/>
      <c r="Y494" s="30"/>
      <c r="Z494" s="32"/>
      <c r="AA494" s="32"/>
      <c r="AB494" s="32"/>
      <c r="AC494" s="32"/>
      <c r="AD494" s="32"/>
      <c r="AE494" s="32"/>
      <c r="AF494" s="32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spans="1:50" x14ac:dyDescent="0.25">
      <c r="A495">
        <v>621</v>
      </c>
      <c r="B495" s="2">
        <v>1</v>
      </c>
      <c r="C495" s="2" t="s">
        <v>572</v>
      </c>
      <c r="D495">
        <v>25</v>
      </c>
      <c r="E495" s="2" t="s">
        <v>573</v>
      </c>
      <c r="F495" s="29">
        <v>0</v>
      </c>
      <c r="G495" s="30">
        <v>0.8411764705882353</v>
      </c>
      <c r="H495" s="30">
        <v>0.81329113924050633</v>
      </c>
      <c r="I495" s="37">
        <v>445.82</v>
      </c>
      <c r="J495" s="37">
        <v>431.04</v>
      </c>
      <c r="K495" s="32">
        <v>114</v>
      </c>
      <c r="L495" s="32">
        <v>141</v>
      </c>
      <c r="M495" s="32">
        <v>50823.48</v>
      </c>
      <c r="N495" s="32">
        <v>60776.639999999999</v>
      </c>
      <c r="O495" s="32">
        <v>111600.12</v>
      </c>
      <c r="P495" s="32">
        <f t="shared" si="7"/>
        <v>106665.14</v>
      </c>
      <c r="Q495" s="32"/>
      <c r="R495" s="32"/>
      <c r="S495" s="2"/>
      <c r="T495" s="2"/>
      <c r="V495" s="2"/>
      <c r="W495" s="2"/>
      <c r="X495" s="30"/>
      <c r="Y495" s="30"/>
      <c r="Z495" s="32"/>
      <c r="AA495" s="32"/>
      <c r="AB495" s="32"/>
      <c r="AC495" s="32"/>
      <c r="AD495" s="32"/>
      <c r="AE495" s="32"/>
      <c r="AF495" s="32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 spans="1:50" x14ac:dyDescent="0.25">
      <c r="A496">
        <v>621</v>
      </c>
      <c r="B496" s="2">
        <v>1</v>
      </c>
      <c r="C496" s="2" t="s">
        <v>572</v>
      </c>
      <c r="D496">
        <v>26</v>
      </c>
      <c r="E496" s="2" t="s">
        <v>574</v>
      </c>
      <c r="F496" s="29">
        <v>0</v>
      </c>
      <c r="G496" s="30">
        <v>0.89743589743589747</v>
      </c>
      <c r="H496" s="30">
        <v>0.85386819484240684</v>
      </c>
      <c r="I496" s="37">
        <v>475.64</v>
      </c>
      <c r="J496" s="37">
        <v>452.55</v>
      </c>
      <c r="K496" s="32">
        <v>121</v>
      </c>
      <c r="L496" s="32">
        <v>112</v>
      </c>
      <c r="M496" s="32">
        <v>57552.44</v>
      </c>
      <c r="N496" s="32">
        <v>50685.599999999999</v>
      </c>
      <c r="O496" s="32">
        <v>108238.04000000001</v>
      </c>
      <c r="P496" s="32">
        <f t="shared" si="7"/>
        <v>103451.73</v>
      </c>
      <c r="Q496" s="32"/>
      <c r="R496" s="32"/>
      <c r="S496" s="2"/>
      <c r="T496" s="2"/>
      <c r="V496" s="2"/>
      <c r="W496" s="2"/>
      <c r="X496" s="30"/>
      <c r="Y496" s="30"/>
      <c r="Z496" s="32"/>
      <c r="AA496" s="32"/>
      <c r="AB496" s="32"/>
      <c r="AC496" s="32"/>
      <c r="AD496" s="32"/>
      <c r="AE496" s="32"/>
      <c r="AF496" s="32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spans="1:50" x14ac:dyDescent="0.25">
      <c r="A497">
        <v>621</v>
      </c>
      <c r="B497" s="2">
        <v>1</v>
      </c>
      <c r="C497" s="2" t="s">
        <v>572</v>
      </c>
      <c r="D497">
        <v>30</v>
      </c>
      <c r="E497" s="2" t="s">
        <v>575</v>
      </c>
      <c r="F497" s="29">
        <v>0</v>
      </c>
      <c r="G497" s="30">
        <v>0.78947368421052633</v>
      </c>
      <c r="H497" s="30">
        <v>0.76016260162601623</v>
      </c>
      <c r="I497" s="37">
        <v>418.42</v>
      </c>
      <c r="J497" s="37">
        <v>402.89</v>
      </c>
      <c r="K497" s="32">
        <v>86</v>
      </c>
      <c r="L497" s="32">
        <v>88</v>
      </c>
      <c r="M497" s="32">
        <v>35984.120000000003</v>
      </c>
      <c r="N497" s="32">
        <v>35454.32</v>
      </c>
      <c r="O497" s="32">
        <v>71438.44</v>
      </c>
      <c r="P497" s="32">
        <f t="shared" si="7"/>
        <v>68279.42</v>
      </c>
      <c r="Q497" s="32"/>
      <c r="R497" s="32"/>
      <c r="S497" s="2"/>
      <c r="T497" s="2"/>
      <c r="V497" s="2"/>
      <c r="W497" s="2"/>
      <c r="X497" s="30"/>
      <c r="Y497" s="30"/>
      <c r="Z497" s="32"/>
      <c r="AA497" s="32"/>
      <c r="AB497" s="32"/>
      <c r="AC497" s="32"/>
      <c r="AD497" s="32"/>
      <c r="AE497" s="32"/>
      <c r="AF497" s="32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 spans="1:50" x14ac:dyDescent="0.25">
      <c r="A498">
        <v>621</v>
      </c>
      <c r="B498" s="2">
        <v>1</v>
      </c>
      <c r="C498" s="2" t="s">
        <v>572</v>
      </c>
      <c r="D498">
        <v>34</v>
      </c>
      <c r="E498" s="2" t="s">
        <v>576</v>
      </c>
      <c r="F498" s="29">
        <v>0</v>
      </c>
      <c r="G498" s="30">
        <v>0.7909407665505227</v>
      </c>
      <c r="H498" s="30">
        <v>0.83018867924528306</v>
      </c>
      <c r="I498" s="37">
        <v>419.2</v>
      </c>
      <c r="J498" s="37">
        <v>440</v>
      </c>
      <c r="K498" s="32">
        <v>96</v>
      </c>
      <c r="L498" s="32">
        <v>104</v>
      </c>
      <c r="M498" s="32">
        <v>40243.199999999997</v>
      </c>
      <c r="N498" s="32">
        <v>45760</v>
      </c>
      <c r="O498" s="32">
        <v>86003.199999999997</v>
      </c>
      <c r="P498" s="32">
        <f t="shared" si="7"/>
        <v>82200.12</v>
      </c>
      <c r="Q498" s="32"/>
      <c r="R498" s="32"/>
      <c r="S498" s="2"/>
      <c r="T498" s="2"/>
      <c r="V498" s="2"/>
      <c r="W498" s="2"/>
      <c r="X498" s="30"/>
      <c r="Y498" s="30"/>
      <c r="Z498" s="32"/>
      <c r="AA498" s="32"/>
      <c r="AB498" s="32"/>
      <c r="AC498" s="32"/>
      <c r="AD498" s="32"/>
      <c r="AE498" s="32"/>
      <c r="AF498" s="32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spans="1:50" x14ac:dyDescent="0.25">
      <c r="A499">
        <v>621</v>
      </c>
      <c r="B499" s="2">
        <v>1</v>
      </c>
      <c r="C499" s="2" t="s">
        <v>572</v>
      </c>
      <c r="D499">
        <v>35</v>
      </c>
      <c r="E499" s="2" t="s">
        <v>577</v>
      </c>
      <c r="F499" s="29">
        <v>0</v>
      </c>
      <c r="G499" s="30">
        <v>0.91701244813278004</v>
      </c>
      <c r="H499" s="30">
        <v>0.84531590413943358</v>
      </c>
      <c r="I499" s="37">
        <v>486.02</v>
      </c>
      <c r="J499" s="37">
        <v>448.02</v>
      </c>
      <c r="K499" s="32">
        <v>177</v>
      </c>
      <c r="L499" s="32">
        <v>172</v>
      </c>
      <c r="M499" s="32">
        <v>86025.54</v>
      </c>
      <c r="N499" s="32">
        <v>77059.44</v>
      </c>
      <c r="O499" s="32">
        <v>163084.97999999998</v>
      </c>
      <c r="P499" s="32">
        <f t="shared" si="7"/>
        <v>155873.32</v>
      </c>
      <c r="Q499" s="32"/>
      <c r="R499" s="32"/>
      <c r="S499" s="2"/>
      <c r="T499" s="2"/>
      <c r="V499" s="2"/>
      <c r="W499" s="2"/>
      <c r="X499" s="30"/>
      <c r="Y499" s="30"/>
      <c r="Z499" s="32"/>
      <c r="AA499" s="32"/>
      <c r="AB499" s="32"/>
      <c r="AC499" s="32"/>
      <c r="AD499" s="32"/>
      <c r="AE499" s="32"/>
      <c r="AF499" s="32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 spans="1:50" x14ac:dyDescent="0.25">
      <c r="A500">
        <v>621</v>
      </c>
      <c r="B500" s="2">
        <v>1</v>
      </c>
      <c r="C500" s="2" t="s">
        <v>572</v>
      </c>
      <c r="D500">
        <v>36</v>
      </c>
      <c r="E500" s="2" t="s">
        <v>578</v>
      </c>
      <c r="F500" s="29">
        <v>0</v>
      </c>
      <c r="G500" s="30">
        <v>0.77635782747603832</v>
      </c>
      <c r="H500" s="30">
        <v>0.77003484320557491</v>
      </c>
      <c r="I500" s="37">
        <v>411.47</v>
      </c>
      <c r="J500" s="37">
        <v>408.12</v>
      </c>
      <c r="K500" s="32">
        <v>108</v>
      </c>
      <c r="L500" s="32">
        <v>101</v>
      </c>
      <c r="M500" s="32">
        <v>44438.76</v>
      </c>
      <c r="N500" s="32">
        <v>41220.120000000003</v>
      </c>
      <c r="O500" s="32">
        <v>85658.880000000005</v>
      </c>
      <c r="P500" s="32">
        <f t="shared" si="7"/>
        <v>81871.02</v>
      </c>
      <c r="Q500" s="32"/>
      <c r="R500" s="32"/>
      <c r="S500" s="2"/>
      <c r="T500" s="2"/>
      <c r="V500" s="2"/>
      <c r="W500" s="2"/>
      <c r="X500" s="30"/>
      <c r="Y500" s="30"/>
      <c r="Z500" s="32"/>
      <c r="AA500" s="32"/>
      <c r="AB500" s="32"/>
      <c r="AC500" s="32"/>
      <c r="AD500" s="32"/>
      <c r="AE500" s="32"/>
      <c r="AF500" s="32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spans="1:50" x14ac:dyDescent="0.25">
      <c r="A501">
        <v>621</v>
      </c>
      <c r="B501" s="2">
        <v>1</v>
      </c>
      <c r="C501" s="2" t="s">
        <v>1207</v>
      </c>
      <c r="D501">
        <v>39</v>
      </c>
      <c r="E501" s="2" t="s">
        <v>1208</v>
      </c>
      <c r="F501" s="29">
        <v>1</v>
      </c>
      <c r="G501" s="30" t="s">
        <v>1328</v>
      </c>
      <c r="H501" s="30" t="s">
        <v>1328</v>
      </c>
      <c r="I501" s="37" t="s">
        <v>1328</v>
      </c>
      <c r="J501" s="37" t="s">
        <v>1328</v>
      </c>
      <c r="K501" s="32">
        <v>5</v>
      </c>
      <c r="L501" s="32">
        <v>1</v>
      </c>
      <c r="M501" s="32" t="s">
        <v>1328</v>
      </c>
      <c r="N501" s="32" t="s">
        <v>1328</v>
      </c>
      <c r="O501" s="32">
        <v>2366.0700000000002</v>
      </c>
      <c r="P501" s="32">
        <f t="shared" si="7"/>
        <v>2261.44</v>
      </c>
      <c r="Q501" s="32"/>
      <c r="R501" s="32"/>
      <c r="S501" s="2"/>
      <c r="T501" s="2"/>
      <c r="V501" s="2"/>
      <c r="W501" s="2"/>
      <c r="X501" s="30"/>
      <c r="Y501" s="30"/>
      <c r="Z501" s="32"/>
      <c r="AA501" s="32"/>
      <c r="AB501" s="32"/>
      <c r="AC501" s="32"/>
      <c r="AD501" s="32"/>
      <c r="AE501" s="32"/>
      <c r="AF501" s="32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 spans="1:50" x14ac:dyDescent="0.25">
      <c r="A502">
        <v>621</v>
      </c>
      <c r="B502" s="2">
        <v>1</v>
      </c>
      <c r="C502" s="2" t="s">
        <v>1207</v>
      </c>
      <c r="D502">
        <v>43</v>
      </c>
      <c r="E502" s="2" t="s">
        <v>1209</v>
      </c>
      <c r="F502" s="29">
        <v>1</v>
      </c>
      <c r="G502" s="30" t="s">
        <v>1328</v>
      </c>
      <c r="H502" s="30" t="s">
        <v>1328</v>
      </c>
      <c r="I502" s="37" t="s">
        <v>1328</v>
      </c>
      <c r="J502" s="37" t="s">
        <v>1328</v>
      </c>
      <c r="K502" s="32">
        <v>0</v>
      </c>
      <c r="L502" s="32">
        <v>0</v>
      </c>
      <c r="M502" s="32" t="s">
        <v>1328</v>
      </c>
      <c r="N502" s="32" t="s">
        <v>1328</v>
      </c>
      <c r="O502" s="32">
        <v>0</v>
      </c>
      <c r="P502" s="32">
        <f t="shared" si="7"/>
        <v>0</v>
      </c>
      <c r="Q502" s="32"/>
      <c r="R502" s="32"/>
      <c r="S502" s="2"/>
      <c r="T502" s="2"/>
      <c r="V502" s="2"/>
      <c r="W502" s="2"/>
      <c r="X502" s="30"/>
      <c r="Y502" s="30"/>
      <c r="Z502" s="32"/>
      <c r="AA502" s="32"/>
      <c r="AB502" s="32"/>
      <c r="AC502" s="32"/>
      <c r="AD502" s="32"/>
      <c r="AE502" s="32"/>
      <c r="AF502" s="32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spans="1:50" x14ac:dyDescent="0.25">
      <c r="A503">
        <v>622</v>
      </c>
      <c r="B503" s="2">
        <v>1</v>
      </c>
      <c r="C503" s="2" t="s">
        <v>579</v>
      </c>
      <c r="D503">
        <v>27</v>
      </c>
      <c r="E503" s="2" t="s">
        <v>580</v>
      </c>
      <c r="F503" s="29">
        <v>0</v>
      </c>
      <c r="G503" s="30">
        <v>0.7338709677419355</v>
      </c>
      <c r="H503" s="30">
        <v>0.83471074380165289</v>
      </c>
      <c r="I503" s="37">
        <v>388.95</v>
      </c>
      <c r="J503" s="37">
        <v>442.4</v>
      </c>
      <c r="K503" s="32">
        <v>86</v>
      </c>
      <c r="L503" s="32">
        <v>86</v>
      </c>
      <c r="M503" s="32">
        <v>33449.699999999997</v>
      </c>
      <c r="N503" s="32">
        <v>38046.400000000001</v>
      </c>
      <c r="O503" s="32">
        <v>71496.100000000006</v>
      </c>
      <c r="P503" s="32">
        <f t="shared" si="7"/>
        <v>68334.53</v>
      </c>
      <c r="Q503" s="32"/>
      <c r="R503" s="32"/>
      <c r="S503" s="2"/>
      <c r="T503" s="2"/>
      <c r="V503" s="2"/>
      <c r="W503" s="2"/>
      <c r="X503" s="30"/>
      <c r="Y503" s="30"/>
      <c r="Z503" s="32"/>
      <c r="AA503" s="32"/>
      <c r="AB503" s="32"/>
      <c r="AC503" s="32"/>
      <c r="AD503" s="32"/>
      <c r="AE503" s="32"/>
      <c r="AF503" s="32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 spans="1:50" x14ac:dyDescent="0.25">
      <c r="A504">
        <v>622</v>
      </c>
      <c r="B504" s="2">
        <v>1</v>
      </c>
      <c r="C504" s="2" t="s">
        <v>579</v>
      </c>
      <c r="D504">
        <v>28</v>
      </c>
      <c r="E504" s="2" t="s">
        <v>581</v>
      </c>
      <c r="F504" s="29">
        <v>0</v>
      </c>
      <c r="G504" s="30">
        <v>0.74345549738219896</v>
      </c>
      <c r="H504" s="30">
        <v>0.7429906542056075</v>
      </c>
      <c r="I504" s="37">
        <v>394.03</v>
      </c>
      <c r="J504" s="37">
        <v>393.79</v>
      </c>
      <c r="K504" s="32">
        <v>57</v>
      </c>
      <c r="L504" s="32">
        <v>84</v>
      </c>
      <c r="M504" s="32">
        <v>22459.71</v>
      </c>
      <c r="N504" s="32">
        <v>33078.36</v>
      </c>
      <c r="O504" s="32">
        <v>55538.07</v>
      </c>
      <c r="P504" s="32">
        <f t="shared" si="7"/>
        <v>53082.16</v>
      </c>
      <c r="Q504" s="32"/>
      <c r="R504" s="32"/>
      <c r="S504" s="2"/>
      <c r="T504" s="2"/>
      <c r="V504" s="2"/>
      <c r="W504" s="2"/>
      <c r="X504" s="30"/>
      <c r="Y504" s="30"/>
      <c r="Z504" s="32"/>
      <c r="AA504" s="32"/>
      <c r="AB504" s="32"/>
      <c r="AC504" s="32"/>
      <c r="AD504" s="32"/>
      <c r="AE504" s="32"/>
      <c r="AF504" s="32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spans="1:50" x14ac:dyDescent="0.25">
      <c r="A505">
        <v>622</v>
      </c>
      <c r="B505" s="2">
        <v>1</v>
      </c>
      <c r="C505" s="2" t="s">
        <v>579</v>
      </c>
      <c r="D505">
        <v>29</v>
      </c>
      <c r="E505" s="2" t="s">
        <v>582</v>
      </c>
      <c r="F505" s="29">
        <v>0</v>
      </c>
      <c r="G505" s="30">
        <v>0.73205741626794263</v>
      </c>
      <c r="H505" s="30">
        <v>0.80526315789473679</v>
      </c>
      <c r="I505" s="37">
        <v>387.99</v>
      </c>
      <c r="J505" s="37">
        <v>426.79</v>
      </c>
      <c r="K505" s="32">
        <v>73</v>
      </c>
      <c r="L505" s="32">
        <v>72</v>
      </c>
      <c r="M505" s="32">
        <v>28323.27</v>
      </c>
      <c r="N505" s="32">
        <v>30728.880000000001</v>
      </c>
      <c r="O505" s="32">
        <v>59052.15</v>
      </c>
      <c r="P505" s="32">
        <f t="shared" si="7"/>
        <v>56440.85</v>
      </c>
      <c r="Q505" s="32"/>
      <c r="R505" s="32"/>
      <c r="S505" s="2"/>
      <c r="T505" s="2"/>
      <c r="V505" s="2"/>
      <c r="W505" s="2"/>
      <c r="X505" s="30"/>
      <c r="Y505" s="30"/>
      <c r="Z505" s="32"/>
      <c r="AA505" s="32"/>
      <c r="AB505" s="32"/>
      <c r="AC505" s="32"/>
      <c r="AD505" s="32"/>
      <c r="AE505" s="32"/>
      <c r="AF505" s="32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 spans="1:50" x14ac:dyDescent="0.25">
      <c r="A506">
        <v>622</v>
      </c>
      <c r="B506" s="2">
        <v>1</v>
      </c>
      <c r="C506" s="2" t="s">
        <v>579</v>
      </c>
      <c r="D506">
        <v>30</v>
      </c>
      <c r="E506" s="2" t="s">
        <v>583</v>
      </c>
      <c r="F506" s="29">
        <v>0</v>
      </c>
      <c r="G506" s="30">
        <v>0.82417582417582413</v>
      </c>
      <c r="H506" s="30">
        <v>0.7558139534883721</v>
      </c>
      <c r="I506" s="37">
        <v>436.81</v>
      </c>
      <c r="J506" s="37">
        <v>400.58</v>
      </c>
      <c r="K506" s="32">
        <v>64</v>
      </c>
      <c r="L506" s="32">
        <v>63</v>
      </c>
      <c r="M506" s="32">
        <v>27955.84</v>
      </c>
      <c r="N506" s="32">
        <v>25236.54</v>
      </c>
      <c r="O506" s="32">
        <v>53192.380000000005</v>
      </c>
      <c r="P506" s="32">
        <f t="shared" si="7"/>
        <v>50840.2</v>
      </c>
      <c r="Q506" s="32"/>
      <c r="R506" s="32"/>
      <c r="S506" s="2"/>
      <c r="T506" s="2"/>
      <c r="V506" s="2"/>
      <c r="W506" s="2"/>
      <c r="X506" s="30"/>
      <c r="Y506" s="30"/>
      <c r="Z506" s="32"/>
      <c r="AA506" s="32"/>
      <c r="AB506" s="32"/>
      <c r="AC506" s="32"/>
      <c r="AD506" s="32"/>
      <c r="AE506" s="32"/>
      <c r="AF506" s="32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spans="1:50" x14ac:dyDescent="0.25">
      <c r="A507">
        <v>622</v>
      </c>
      <c r="B507" s="2">
        <v>1</v>
      </c>
      <c r="C507" s="2" t="s">
        <v>579</v>
      </c>
      <c r="D507">
        <v>33</v>
      </c>
      <c r="E507" s="2" t="s">
        <v>584</v>
      </c>
      <c r="F507" s="29">
        <v>0</v>
      </c>
      <c r="G507" s="30">
        <v>0.71814671814671815</v>
      </c>
      <c r="H507" s="30">
        <v>0.77027027027027029</v>
      </c>
      <c r="I507" s="37">
        <v>380.62</v>
      </c>
      <c r="J507" s="37">
        <v>408.24</v>
      </c>
      <c r="K507" s="32">
        <v>89</v>
      </c>
      <c r="L507" s="32">
        <v>80</v>
      </c>
      <c r="M507" s="32">
        <v>33875.18</v>
      </c>
      <c r="N507" s="32">
        <v>32659.200000000001</v>
      </c>
      <c r="O507" s="32">
        <v>66534.38</v>
      </c>
      <c r="P507" s="32">
        <f t="shared" si="7"/>
        <v>63592.21</v>
      </c>
      <c r="Q507" s="32"/>
      <c r="R507" s="32"/>
      <c r="S507" s="2"/>
      <c r="T507" s="2"/>
      <c r="V507" s="2"/>
      <c r="W507" s="2"/>
      <c r="X507" s="30"/>
      <c r="Y507" s="30"/>
      <c r="Z507" s="32"/>
      <c r="AA507" s="32"/>
      <c r="AB507" s="32"/>
      <c r="AC507" s="32"/>
      <c r="AD507" s="32"/>
      <c r="AE507" s="32"/>
      <c r="AF507" s="32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 spans="1:50" x14ac:dyDescent="0.25">
      <c r="A508">
        <v>622</v>
      </c>
      <c r="B508" s="2">
        <v>1</v>
      </c>
      <c r="C508" s="2" t="s">
        <v>579</v>
      </c>
      <c r="D508">
        <v>34</v>
      </c>
      <c r="E508" s="2" t="s">
        <v>585</v>
      </c>
      <c r="F508" s="29">
        <v>0</v>
      </c>
      <c r="G508" s="30">
        <v>0.66228070175438591</v>
      </c>
      <c r="H508" s="30">
        <v>0.73499999999999999</v>
      </c>
      <c r="I508" s="37">
        <v>351.01</v>
      </c>
      <c r="J508" s="37">
        <v>389.55</v>
      </c>
      <c r="K508" s="32">
        <v>84</v>
      </c>
      <c r="L508" s="32">
        <v>79</v>
      </c>
      <c r="M508" s="32">
        <v>29484.84</v>
      </c>
      <c r="N508" s="32">
        <v>30774.45</v>
      </c>
      <c r="O508" s="32">
        <v>60259.29</v>
      </c>
      <c r="P508" s="32">
        <f t="shared" si="7"/>
        <v>57594.61</v>
      </c>
      <c r="Q508" s="32"/>
      <c r="R508" s="32"/>
      <c r="S508" s="2"/>
      <c r="T508" s="2"/>
      <c r="V508" s="2"/>
      <c r="W508" s="2"/>
      <c r="X508" s="30"/>
      <c r="Y508" s="30"/>
      <c r="Z508" s="32"/>
      <c r="AA508" s="32"/>
      <c r="AB508" s="32"/>
      <c r="AC508" s="32"/>
      <c r="AD508" s="32"/>
      <c r="AE508" s="32"/>
      <c r="AF508" s="32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spans="1:50" x14ac:dyDescent="0.25">
      <c r="A509">
        <v>622</v>
      </c>
      <c r="B509" s="2">
        <v>1</v>
      </c>
      <c r="C509" s="2" t="s">
        <v>579</v>
      </c>
      <c r="D509">
        <v>35</v>
      </c>
      <c r="E509" s="2" t="s">
        <v>586</v>
      </c>
      <c r="F509" s="29">
        <v>0</v>
      </c>
      <c r="G509" s="30">
        <v>0.83478260869565213</v>
      </c>
      <c r="H509" s="30">
        <v>0.73853211009174313</v>
      </c>
      <c r="I509" s="37">
        <v>442.43</v>
      </c>
      <c r="J509" s="37">
        <v>391.42</v>
      </c>
      <c r="K509" s="32">
        <v>86</v>
      </c>
      <c r="L509" s="32">
        <v>74</v>
      </c>
      <c r="M509" s="32">
        <v>38048.980000000003</v>
      </c>
      <c r="N509" s="32">
        <v>28965.08</v>
      </c>
      <c r="O509" s="32">
        <v>67014.06</v>
      </c>
      <c r="P509" s="32">
        <f t="shared" si="7"/>
        <v>64050.68</v>
      </c>
      <c r="Q509" s="32"/>
      <c r="R509" s="32"/>
      <c r="S509" s="2"/>
      <c r="T509" s="2"/>
      <c r="V509" s="2"/>
      <c r="W509" s="2"/>
      <c r="X509" s="30"/>
      <c r="Y509" s="30"/>
      <c r="Z509" s="32"/>
      <c r="AA509" s="32"/>
      <c r="AB509" s="32"/>
      <c r="AC509" s="32"/>
      <c r="AD509" s="32"/>
      <c r="AE509" s="32"/>
      <c r="AF509" s="32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 spans="1:50" x14ac:dyDescent="0.25">
      <c r="A510">
        <v>622</v>
      </c>
      <c r="B510" s="2">
        <v>1</v>
      </c>
      <c r="C510" s="2" t="s">
        <v>579</v>
      </c>
      <c r="D510">
        <v>36</v>
      </c>
      <c r="E510" s="2" t="s">
        <v>587</v>
      </c>
      <c r="F510" s="29">
        <v>0</v>
      </c>
      <c r="G510" s="30">
        <v>0.75935828877005351</v>
      </c>
      <c r="H510" s="30">
        <v>0.78977272727272729</v>
      </c>
      <c r="I510" s="37">
        <v>402.46</v>
      </c>
      <c r="J510" s="37">
        <v>418.58</v>
      </c>
      <c r="K510" s="32">
        <v>61</v>
      </c>
      <c r="L510" s="32">
        <v>62</v>
      </c>
      <c r="M510" s="32">
        <v>24550.06</v>
      </c>
      <c r="N510" s="32">
        <v>25951.96</v>
      </c>
      <c r="O510" s="32">
        <v>50502.020000000004</v>
      </c>
      <c r="P510" s="32">
        <f t="shared" si="7"/>
        <v>48268.81</v>
      </c>
      <c r="Q510" s="32"/>
      <c r="R510" s="32"/>
      <c r="S510" s="2"/>
      <c r="T510" s="2"/>
      <c r="V510" s="2"/>
      <c r="W510" s="2"/>
      <c r="X510" s="30"/>
      <c r="Y510" s="30"/>
      <c r="Z510" s="32"/>
      <c r="AA510" s="32"/>
      <c r="AB510" s="32"/>
      <c r="AC510" s="32"/>
      <c r="AD510" s="32"/>
      <c r="AE510" s="32"/>
      <c r="AF510" s="32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spans="1:50" x14ac:dyDescent="0.25">
      <c r="A511">
        <v>622</v>
      </c>
      <c r="B511" s="2">
        <v>1</v>
      </c>
      <c r="C511" s="2" t="s">
        <v>579</v>
      </c>
      <c r="D511">
        <v>37</v>
      </c>
      <c r="E511" s="2" t="s">
        <v>588</v>
      </c>
      <c r="F511" s="29">
        <v>0</v>
      </c>
      <c r="G511" s="30">
        <v>0.80902777777777779</v>
      </c>
      <c r="H511" s="30">
        <v>0.78623188405797106</v>
      </c>
      <c r="I511" s="37">
        <v>428.78</v>
      </c>
      <c r="J511" s="37">
        <v>416.7</v>
      </c>
      <c r="K511" s="32">
        <v>100</v>
      </c>
      <c r="L511" s="32">
        <v>109</v>
      </c>
      <c r="M511" s="32">
        <v>42878</v>
      </c>
      <c r="N511" s="32">
        <v>45420.3</v>
      </c>
      <c r="O511" s="32">
        <v>88298.3</v>
      </c>
      <c r="P511" s="32">
        <f t="shared" si="7"/>
        <v>84393.73</v>
      </c>
      <c r="Q511" s="32"/>
      <c r="R511" s="32"/>
      <c r="S511" s="2"/>
      <c r="T511" s="2"/>
      <c r="V511" s="2"/>
      <c r="W511" s="2"/>
      <c r="X511" s="30"/>
      <c r="Y511" s="30"/>
      <c r="Z511" s="32"/>
      <c r="AA511" s="32"/>
      <c r="AB511" s="32"/>
      <c r="AC511" s="32"/>
      <c r="AD511" s="32"/>
      <c r="AE511" s="32"/>
      <c r="AF511" s="32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 spans="1:50" x14ac:dyDescent="0.25">
      <c r="A512">
        <v>622</v>
      </c>
      <c r="B512" s="2">
        <v>1</v>
      </c>
      <c r="C512" s="2" t="s">
        <v>579</v>
      </c>
      <c r="D512">
        <v>41</v>
      </c>
      <c r="E512" s="2" t="s">
        <v>1210</v>
      </c>
      <c r="F512" s="29">
        <v>1</v>
      </c>
      <c r="G512" s="30" t="s">
        <v>1328</v>
      </c>
      <c r="H512" s="30" t="s">
        <v>1328</v>
      </c>
      <c r="I512" s="37" t="s">
        <v>1328</v>
      </c>
      <c r="J512" s="37" t="s">
        <v>1328</v>
      </c>
      <c r="K512" s="32">
        <v>5</v>
      </c>
      <c r="L512" s="32">
        <v>3</v>
      </c>
      <c r="M512" s="32" t="s">
        <v>1328</v>
      </c>
      <c r="N512" s="32" t="s">
        <v>1328</v>
      </c>
      <c r="O512" s="32">
        <v>2240.4499999999998</v>
      </c>
      <c r="P512" s="32">
        <f t="shared" si="7"/>
        <v>2141.38</v>
      </c>
      <c r="Q512" s="32"/>
      <c r="R512" s="32"/>
      <c r="S512" s="2"/>
      <c r="T512" s="2"/>
      <c r="V512" s="2"/>
      <c r="W512" s="2"/>
      <c r="X512" s="30"/>
      <c r="Y512" s="30"/>
      <c r="Z512" s="32"/>
      <c r="AA512" s="32"/>
      <c r="AB512" s="32"/>
      <c r="AC512" s="32"/>
      <c r="AD512" s="32"/>
      <c r="AE512" s="32"/>
      <c r="AF512" s="32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spans="1:50" x14ac:dyDescent="0.25">
      <c r="A513">
        <v>623</v>
      </c>
      <c r="B513" s="2">
        <v>1</v>
      </c>
      <c r="C513" s="2" t="s">
        <v>589</v>
      </c>
      <c r="D513">
        <v>73</v>
      </c>
      <c r="E513" s="2" t="s">
        <v>590</v>
      </c>
      <c r="F513" s="29">
        <v>0</v>
      </c>
      <c r="G513" s="30">
        <v>0.89427312775330392</v>
      </c>
      <c r="H513" s="30">
        <v>0.78378378378378377</v>
      </c>
      <c r="I513" s="37">
        <v>473.96</v>
      </c>
      <c r="J513" s="37">
        <v>415.41</v>
      </c>
      <c r="K513" s="32">
        <v>77</v>
      </c>
      <c r="L513" s="32">
        <v>85</v>
      </c>
      <c r="M513" s="32">
        <v>36494.92</v>
      </c>
      <c r="N513" s="32">
        <v>35309.85</v>
      </c>
      <c r="O513" s="32">
        <v>71804.76999999999</v>
      </c>
      <c r="P513" s="32">
        <f t="shared" si="7"/>
        <v>68629.55</v>
      </c>
      <c r="Q513" s="32"/>
      <c r="R513" s="32"/>
      <c r="S513" s="2"/>
      <c r="T513" s="2"/>
      <c r="V513" s="2"/>
      <c r="W513" s="2"/>
      <c r="X513" s="30"/>
      <c r="Y513" s="30"/>
      <c r="Z513" s="32"/>
      <c r="AA513" s="32"/>
      <c r="AB513" s="32"/>
      <c r="AC513" s="32"/>
      <c r="AD513" s="32"/>
      <c r="AE513" s="32"/>
      <c r="AF513" s="32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 spans="1:50" x14ac:dyDescent="0.25">
      <c r="A514">
        <v>623</v>
      </c>
      <c r="B514" s="2">
        <v>1</v>
      </c>
      <c r="C514" s="2" t="s">
        <v>589</v>
      </c>
      <c r="D514">
        <v>721</v>
      </c>
      <c r="E514" s="2" t="s">
        <v>591</v>
      </c>
      <c r="F514" s="29">
        <v>0</v>
      </c>
      <c r="G514" s="30">
        <v>0.81597222222222221</v>
      </c>
      <c r="H514" s="30">
        <v>0.77405857740585771</v>
      </c>
      <c r="I514" s="37">
        <v>432.47</v>
      </c>
      <c r="J514" s="37">
        <v>410.25</v>
      </c>
      <c r="K514" s="32">
        <v>109</v>
      </c>
      <c r="L514" s="32">
        <v>86</v>
      </c>
      <c r="M514" s="32">
        <v>47139.23</v>
      </c>
      <c r="N514" s="32">
        <v>35281.5</v>
      </c>
      <c r="O514" s="32">
        <v>82420.73000000001</v>
      </c>
      <c r="P514" s="32">
        <f t="shared" si="7"/>
        <v>78776.070000000007</v>
      </c>
      <c r="Q514" s="32"/>
      <c r="R514" s="32"/>
      <c r="S514" s="2"/>
      <c r="T514" s="2"/>
      <c r="V514" s="2"/>
      <c r="W514" s="2"/>
      <c r="X514" s="30"/>
      <c r="Y514" s="30"/>
      <c r="Z514" s="32"/>
      <c r="AA514" s="32"/>
      <c r="AB514" s="32"/>
      <c r="AC514" s="32"/>
      <c r="AD514" s="32"/>
      <c r="AE514" s="32"/>
      <c r="AF514" s="32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spans="1:50" x14ac:dyDescent="0.25">
      <c r="A515">
        <v>623</v>
      </c>
      <c r="B515" s="2">
        <v>1</v>
      </c>
      <c r="C515" s="2" t="s">
        <v>589</v>
      </c>
      <c r="D515">
        <v>722</v>
      </c>
      <c r="E515" s="2" t="s">
        <v>592</v>
      </c>
      <c r="F515" s="29">
        <v>0</v>
      </c>
      <c r="G515" s="30">
        <v>0.58737864077669899</v>
      </c>
      <c r="H515" s="30">
        <v>0.76249999999999996</v>
      </c>
      <c r="I515" s="37">
        <v>311.31</v>
      </c>
      <c r="J515" s="37">
        <v>404.13</v>
      </c>
      <c r="K515" s="32">
        <v>86</v>
      </c>
      <c r="L515" s="32">
        <v>75</v>
      </c>
      <c r="M515" s="32">
        <v>26772.66</v>
      </c>
      <c r="N515" s="32">
        <v>30309.75</v>
      </c>
      <c r="O515" s="32">
        <v>57082.41</v>
      </c>
      <c r="P515" s="32">
        <f t="shared" si="7"/>
        <v>54558.21</v>
      </c>
      <c r="Q515" s="32"/>
      <c r="R515" s="32"/>
      <c r="S515" s="2"/>
      <c r="T515" s="2"/>
      <c r="V515" s="2"/>
      <c r="W515" s="2"/>
      <c r="X515" s="30"/>
      <c r="Y515" s="30"/>
      <c r="Z515" s="32"/>
      <c r="AA515" s="32"/>
      <c r="AB515" s="32"/>
      <c r="AC515" s="32"/>
      <c r="AD515" s="32"/>
      <c r="AE515" s="32"/>
      <c r="AF515" s="32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 spans="1:50" x14ac:dyDescent="0.25">
      <c r="A516">
        <v>623</v>
      </c>
      <c r="B516" s="2">
        <v>1</v>
      </c>
      <c r="C516" s="2" t="s">
        <v>589</v>
      </c>
      <c r="D516">
        <v>723</v>
      </c>
      <c r="E516" s="2" t="s">
        <v>562</v>
      </c>
      <c r="F516" s="29">
        <v>0</v>
      </c>
      <c r="G516" s="30">
        <v>0.63829787234042556</v>
      </c>
      <c r="H516" s="30">
        <v>0.85792349726775952</v>
      </c>
      <c r="I516" s="37">
        <v>338.3</v>
      </c>
      <c r="J516" s="37">
        <v>454.7</v>
      </c>
      <c r="K516" s="32">
        <v>62</v>
      </c>
      <c r="L516" s="32">
        <v>71</v>
      </c>
      <c r="M516" s="32">
        <v>20974.6</v>
      </c>
      <c r="N516" s="32">
        <v>32283.7</v>
      </c>
      <c r="O516" s="32">
        <v>53258.3</v>
      </c>
      <c r="P516" s="32">
        <f t="shared" si="7"/>
        <v>50903.21</v>
      </c>
      <c r="Q516" s="32"/>
      <c r="R516" s="32"/>
      <c r="S516" s="2"/>
      <c r="T516" s="2"/>
      <c r="V516" s="2"/>
      <c r="W516" s="2"/>
      <c r="X516" s="30"/>
      <c r="Y516" s="30"/>
      <c r="Z516" s="32"/>
      <c r="AA516" s="32"/>
      <c r="AB516" s="32"/>
      <c r="AC516" s="32"/>
      <c r="AD516" s="32"/>
      <c r="AE516" s="32"/>
      <c r="AF516" s="32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spans="1:50" x14ac:dyDescent="0.25">
      <c r="A517">
        <v>623</v>
      </c>
      <c r="B517" s="2">
        <v>1</v>
      </c>
      <c r="C517" s="2" t="s">
        <v>589</v>
      </c>
      <c r="D517">
        <v>724</v>
      </c>
      <c r="E517" s="2" t="s">
        <v>593</v>
      </c>
      <c r="F517" s="29">
        <v>0</v>
      </c>
      <c r="G517" s="30">
        <v>0.84705882352941175</v>
      </c>
      <c r="H517" s="30">
        <v>0.81707317073170727</v>
      </c>
      <c r="I517" s="37">
        <v>448.94</v>
      </c>
      <c r="J517" s="37">
        <v>433.05</v>
      </c>
      <c r="K517" s="32">
        <v>56</v>
      </c>
      <c r="L517" s="32">
        <v>53</v>
      </c>
      <c r="M517" s="32">
        <v>25140.639999999999</v>
      </c>
      <c r="N517" s="32">
        <v>22951.65</v>
      </c>
      <c r="O517" s="32">
        <v>48092.29</v>
      </c>
      <c r="P517" s="32">
        <f t="shared" si="7"/>
        <v>45965.64</v>
      </c>
      <c r="Q517" s="32"/>
      <c r="R517" s="32"/>
      <c r="S517" s="2"/>
      <c r="T517" s="2"/>
      <c r="V517" s="2"/>
      <c r="W517" s="2"/>
      <c r="X517" s="30"/>
      <c r="Y517" s="30"/>
      <c r="Z517" s="32"/>
      <c r="AA517" s="32"/>
      <c r="AB517" s="32"/>
      <c r="AC517" s="32"/>
      <c r="AD517" s="32"/>
      <c r="AE517" s="32"/>
      <c r="AF517" s="32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 spans="1:50" x14ac:dyDescent="0.25">
      <c r="A518">
        <v>623</v>
      </c>
      <c r="B518" s="2">
        <v>1</v>
      </c>
      <c r="C518" s="2" t="s">
        <v>589</v>
      </c>
      <c r="D518">
        <v>728</v>
      </c>
      <c r="E518" s="2" t="s">
        <v>594</v>
      </c>
      <c r="F518" s="29">
        <v>0</v>
      </c>
      <c r="G518" s="30">
        <v>0.70666666666666667</v>
      </c>
      <c r="H518" s="30">
        <v>0.68493150684931503</v>
      </c>
      <c r="I518" s="37">
        <v>374.53</v>
      </c>
      <c r="J518" s="37">
        <v>363.01</v>
      </c>
      <c r="K518" s="32">
        <v>52</v>
      </c>
      <c r="L518" s="32">
        <v>49</v>
      </c>
      <c r="M518" s="32">
        <v>19475.560000000001</v>
      </c>
      <c r="N518" s="32">
        <v>17787.490000000002</v>
      </c>
      <c r="O518" s="32">
        <v>37263.050000000003</v>
      </c>
      <c r="P518" s="32">
        <f t="shared" si="7"/>
        <v>35615.269999999997</v>
      </c>
      <c r="Q518" s="32"/>
      <c r="R518" s="32"/>
      <c r="S518" s="2"/>
      <c r="T518" s="2"/>
      <c r="V518" s="2"/>
      <c r="W518" s="2"/>
      <c r="X518" s="30"/>
      <c r="Y518" s="30"/>
      <c r="Z518" s="32"/>
      <c r="AA518" s="32"/>
      <c r="AB518" s="32"/>
      <c r="AC518" s="32"/>
      <c r="AD518" s="32"/>
      <c r="AE518" s="32"/>
      <c r="AF518" s="32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spans="1:50" x14ac:dyDescent="0.25">
      <c r="A519">
        <v>623</v>
      </c>
      <c r="B519" s="2">
        <v>1</v>
      </c>
      <c r="C519" s="2" t="s">
        <v>589</v>
      </c>
      <c r="D519">
        <v>731</v>
      </c>
      <c r="E519" s="2" t="s">
        <v>595</v>
      </c>
      <c r="F519" s="29">
        <v>0</v>
      </c>
      <c r="G519" s="30">
        <v>0.75799086757990863</v>
      </c>
      <c r="H519" s="30">
        <v>0.84491978609625673</v>
      </c>
      <c r="I519" s="37">
        <v>401.74</v>
      </c>
      <c r="J519" s="37">
        <v>447.81</v>
      </c>
      <c r="K519" s="32">
        <v>79</v>
      </c>
      <c r="L519" s="32">
        <v>62</v>
      </c>
      <c r="M519" s="32">
        <v>31737.46</v>
      </c>
      <c r="N519" s="32">
        <v>27764.22</v>
      </c>
      <c r="O519" s="32">
        <v>59501.68</v>
      </c>
      <c r="P519" s="32">
        <f t="shared" si="7"/>
        <v>56870.5</v>
      </c>
      <c r="Q519" s="32"/>
      <c r="R519" s="32"/>
      <c r="S519" s="2"/>
      <c r="T519" s="2"/>
      <c r="V519" s="2"/>
      <c r="W519" s="2"/>
      <c r="X519" s="30"/>
      <c r="Y519" s="30"/>
      <c r="Z519" s="32"/>
      <c r="AA519" s="32"/>
      <c r="AB519" s="32"/>
      <c r="AC519" s="32"/>
      <c r="AD519" s="32"/>
      <c r="AE519" s="32"/>
      <c r="AF519" s="32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 spans="1:50" x14ac:dyDescent="0.25">
      <c r="A520">
        <v>624</v>
      </c>
      <c r="B520" s="2">
        <v>1</v>
      </c>
      <c r="C520" s="2" t="s">
        <v>596</v>
      </c>
      <c r="D520">
        <v>824</v>
      </c>
      <c r="E520" s="2" t="s">
        <v>597</v>
      </c>
      <c r="F520" s="29">
        <v>0</v>
      </c>
      <c r="G520" s="30">
        <v>0.84337349397590367</v>
      </c>
      <c r="H520" s="30">
        <v>0.80701754385964908</v>
      </c>
      <c r="I520" s="37">
        <v>446.99</v>
      </c>
      <c r="J520" s="37">
        <v>427.72</v>
      </c>
      <c r="K520" s="32">
        <v>148</v>
      </c>
      <c r="L520" s="32">
        <v>125</v>
      </c>
      <c r="M520" s="32">
        <v>66154.52</v>
      </c>
      <c r="N520" s="32">
        <v>53465</v>
      </c>
      <c r="O520" s="32">
        <v>119619.52</v>
      </c>
      <c r="P520" s="32">
        <f t="shared" si="7"/>
        <v>114329.92</v>
      </c>
      <c r="Q520" s="32"/>
      <c r="R520" s="32"/>
      <c r="S520" s="2"/>
      <c r="T520" s="2"/>
      <c r="V520" s="2"/>
      <c r="W520" s="2"/>
      <c r="X520" s="30"/>
      <c r="Y520" s="30"/>
      <c r="Z520" s="32"/>
      <c r="AA520" s="32"/>
      <c r="AB520" s="32"/>
      <c r="AC520" s="32"/>
      <c r="AD520" s="32"/>
      <c r="AE520" s="32"/>
      <c r="AF520" s="32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spans="1:50" x14ac:dyDescent="0.25">
      <c r="A521">
        <v>624</v>
      </c>
      <c r="B521" s="2">
        <v>1</v>
      </c>
      <c r="C521" s="2" t="s">
        <v>596</v>
      </c>
      <c r="D521">
        <v>827</v>
      </c>
      <c r="E521" s="2" t="s">
        <v>598</v>
      </c>
      <c r="F521" s="29">
        <v>0</v>
      </c>
      <c r="G521" s="30">
        <v>0.8</v>
      </c>
      <c r="H521" s="30">
        <v>0.89719626168224298</v>
      </c>
      <c r="I521" s="37">
        <v>424</v>
      </c>
      <c r="J521" s="37">
        <v>475.51</v>
      </c>
      <c r="K521" s="32">
        <v>41</v>
      </c>
      <c r="L521" s="32">
        <v>32</v>
      </c>
      <c r="M521" s="32">
        <v>17384</v>
      </c>
      <c r="N521" s="32">
        <v>15216.32</v>
      </c>
      <c r="O521" s="32">
        <v>32600.32</v>
      </c>
      <c r="P521" s="32">
        <f t="shared" si="7"/>
        <v>31158.73</v>
      </c>
      <c r="Q521" s="32"/>
      <c r="R521" s="32"/>
      <c r="S521" s="2"/>
      <c r="T521" s="2"/>
      <c r="V521" s="2"/>
      <c r="W521" s="2"/>
      <c r="X521" s="30"/>
      <c r="Y521" s="30"/>
      <c r="Z521" s="32"/>
      <c r="AA521" s="32"/>
      <c r="AB521" s="32"/>
      <c r="AC521" s="32"/>
      <c r="AD521" s="32"/>
      <c r="AE521" s="32"/>
      <c r="AF521" s="32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 spans="1:50" x14ac:dyDescent="0.25">
      <c r="A522">
        <v>624</v>
      </c>
      <c r="B522" s="2">
        <v>1</v>
      </c>
      <c r="C522" s="2" t="s">
        <v>596</v>
      </c>
      <c r="D522">
        <v>828</v>
      </c>
      <c r="E522" s="2" t="s">
        <v>599</v>
      </c>
      <c r="F522" s="29">
        <v>0</v>
      </c>
      <c r="G522" s="30">
        <v>0.87671232876712324</v>
      </c>
      <c r="H522" s="30">
        <v>0.83576642335766427</v>
      </c>
      <c r="I522" s="37">
        <v>464.66</v>
      </c>
      <c r="J522" s="37">
        <v>442.96</v>
      </c>
      <c r="K522" s="32">
        <v>114</v>
      </c>
      <c r="L522" s="32">
        <v>109</v>
      </c>
      <c r="M522" s="32">
        <v>52971.24</v>
      </c>
      <c r="N522" s="32">
        <v>48282.64</v>
      </c>
      <c r="O522" s="32">
        <v>101253.88</v>
      </c>
      <c r="P522" s="32">
        <f t="shared" si="7"/>
        <v>96776.41</v>
      </c>
      <c r="Q522" s="32"/>
      <c r="R522" s="32"/>
      <c r="S522" s="2"/>
      <c r="T522" s="2"/>
      <c r="V522" s="2"/>
      <c r="W522" s="2"/>
      <c r="X522" s="30"/>
      <c r="Y522" s="30"/>
      <c r="Z522" s="32"/>
      <c r="AA522" s="32"/>
      <c r="AB522" s="32"/>
      <c r="AC522" s="32"/>
      <c r="AD522" s="32"/>
      <c r="AE522" s="32"/>
      <c r="AF522" s="32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spans="1:50" x14ac:dyDescent="0.25">
      <c r="A523">
        <v>624</v>
      </c>
      <c r="B523" s="2">
        <v>1</v>
      </c>
      <c r="C523" s="2" t="s">
        <v>596</v>
      </c>
      <c r="D523">
        <v>831</v>
      </c>
      <c r="E523" s="2" t="s">
        <v>600</v>
      </c>
      <c r="F523" s="29">
        <v>0</v>
      </c>
      <c r="G523" s="30">
        <v>0.78888888888888886</v>
      </c>
      <c r="H523" s="30">
        <v>0.7592592592592593</v>
      </c>
      <c r="I523" s="37">
        <v>418.11</v>
      </c>
      <c r="J523" s="37">
        <v>402.41</v>
      </c>
      <c r="K523" s="32">
        <v>57</v>
      </c>
      <c r="L523" s="32">
        <v>67</v>
      </c>
      <c r="M523" s="32">
        <v>23832.27</v>
      </c>
      <c r="N523" s="32">
        <v>26961.47</v>
      </c>
      <c r="O523" s="32">
        <v>50793.740000000005</v>
      </c>
      <c r="P523" s="32">
        <f t="shared" si="7"/>
        <v>48547.63</v>
      </c>
      <c r="Q523" s="32"/>
      <c r="R523" s="32"/>
      <c r="S523" s="2"/>
      <c r="T523" s="2"/>
      <c r="V523" s="2"/>
      <c r="W523" s="2"/>
      <c r="X523" s="30"/>
      <c r="Y523" s="30"/>
      <c r="Z523" s="32"/>
      <c r="AA523" s="32"/>
      <c r="AB523" s="32"/>
      <c r="AC523" s="32"/>
      <c r="AD523" s="32"/>
      <c r="AE523" s="32"/>
      <c r="AF523" s="32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 spans="1:50" x14ac:dyDescent="0.25">
      <c r="A524">
        <v>624</v>
      </c>
      <c r="B524" s="2">
        <v>1</v>
      </c>
      <c r="C524" s="2" t="s">
        <v>596</v>
      </c>
      <c r="D524">
        <v>832</v>
      </c>
      <c r="E524" s="2" t="s">
        <v>60</v>
      </c>
      <c r="F524" s="29">
        <v>0</v>
      </c>
      <c r="G524" s="30">
        <v>0.84090909090909094</v>
      </c>
      <c r="H524" s="30">
        <v>0.82608695652173914</v>
      </c>
      <c r="I524" s="37">
        <v>445.68</v>
      </c>
      <c r="J524" s="37">
        <v>437.83</v>
      </c>
      <c r="K524" s="32">
        <v>54</v>
      </c>
      <c r="L524" s="32">
        <v>70</v>
      </c>
      <c r="M524" s="32">
        <v>24066.720000000001</v>
      </c>
      <c r="N524" s="32">
        <v>30648.1</v>
      </c>
      <c r="O524" s="32">
        <v>54714.82</v>
      </c>
      <c r="P524" s="32">
        <f t="shared" si="7"/>
        <v>52295.32</v>
      </c>
      <c r="Q524" s="32"/>
      <c r="R524" s="32"/>
      <c r="S524" s="2"/>
      <c r="T524" s="2"/>
      <c r="V524" s="2"/>
      <c r="W524" s="2"/>
      <c r="X524" s="30"/>
      <c r="Y524" s="30"/>
      <c r="Z524" s="32"/>
      <c r="AA524" s="32"/>
      <c r="AB524" s="32"/>
      <c r="AC524" s="32"/>
      <c r="AD524" s="32"/>
      <c r="AE524" s="32"/>
      <c r="AF524" s="32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spans="1:50" x14ac:dyDescent="0.25">
      <c r="A525" s="7">
        <v>624</v>
      </c>
      <c r="B525" s="7">
        <v>1</v>
      </c>
      <c r="C525" s="7" t="s">
        <v>596</v>
      </c>
      <c r="D525" s="7">
        <v>833</v>
      </c>
      <c r="E525" s="7" t="s">
        <v>242</v>
      </c>
      <c r="F525" s="38">
        <v>0</v>
      </c>
      <c r="G525" s="30">
        <v>0.74820143884892087</v>
      </c>
      <c r="H525" s="30">
        <v>0.77865612648221338</v>
      </c>
      <c r="I525" s="37">
        <v>396.55</v>
      </c>
      <c r="J525" s="37">
        <v>412.69</v>
      </c>
      <c r="K525" s="32">
        <v>99</v>
      </c>
      <c r="L525" s="32">
        <v>99</v>
      </c>
      <c r="M525" s="32">
        <v>39258.449999999997</v>
      </c>
      <c r="N525" s="32">
        <v>40856.31</v>
      </c>
      <c r="O525" s="32">
        <v>80114.759999999995</v>
      </c>
      <c r="P525" s="32">
        <f t="shared" si="7"/>
        <v>76572.070000000007</v>
      </c>
      <c r="Q525" s="32"/>
      <c r="R525" s="32"/>
      <c r="S525" s="2"/>
      <c r="T525" s="2"/>
      <c r="V525" s="2"/>
      <c r="W525" s="2"/>
      <c r="X525" s="30"/>
      <c r="Y525" s="30"/>
      <c r="Z525" s="32"/>
      <c r="AA525" s="32"/>
      <c r="AB525" s="32"/>
      <c r="AC525" s="32"/>
      <c r="AD525" s="32"/>
      <c r="AE525" s="32"/>
      <c r="AF525" s="32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 spans="1:50" x14ac:dyDescent="0.25">
      <c r="A526">
        <v>624</v>
      </c>
      <c r="B526" s="2">
        <v>1</v>
      </c>
      <c r="C526" s="2" t="s">
        <v>596</v>
      </c>
      <c r="D526">
        <v>834</v>
      </c>
      <c r="E526" s="2" t="s">
        <v>601</v>
      </c>
      <c r="F526" s="29">
        <v>0</v>
      </c>
      <c r="G526" s="30">
        <v>0.76142131979695427</v>
      </c>
      <c r="H526" s="30">
        <v>0.79190751445086704</v>
      </c>
      <c r="I526" s="37">
        <v>403.55</v>
      </c>
      <c r="J526" s="37">
        <v>419.71</v>
      </c>
      <c r="K526" s="32">
        <v>82</v>
      </c>
      <c r="L526" s="32">
        <v>61</v>
      </c>
      <c r="M526" s="32">
        <v>33091.1</v>
      </c>
      <c r="N526" s="32">
        <v>25602.31</v>
      </c>
      <c r="O526" s="32">
        <v>58693.41</v>
      </c>
      <c r="P526" s="32">
        <f t="shared" si="7"/>
        <v>56097.97</v>
      </c>
      <c r="Q526" s="32"/>
      <c r="R526" s="32"/>
      <c r="S526" s="2"/>
      <c r="T526" s="2"/>
      <c r="V526" s="2"/>
      <c r="W526" s="2"/>
      <c r="X526" s="30"/>
      <c r="Y526" s="30"/>
      <c r="Z526" s="32"/>
      <c r="AA526" s="32"/>
      <c r="AB526" s="32"/>
      <c r="AC526" s="32"/>
      <c r="AD526" s="32"/>
      <c r="AE526" s="32"/>
      <c r="AF526" s="32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spans="1:50" x14ac:dyDescent="0.25">
      <c r="A527">
        <v>624</v>
      </c>
      <c r="B527" s="2">
        <v>1</v>
      </c>
      <c r="C527" s="2" t="s">
        <v>596</v>
      </c>
      <c r="D527">
        <v>836</v>
      </c>
      <c r="E527" s="2" t="s">
        <v>602</v>
      </c>
      <c r="F527" s="29">
        <v>0</v>
      </c>
      <c r="G527" s="30">
        <v>0.8306010928961749</v>
      </c>
      <c r="H527" s="30">
        <v>0.80246913580246915</v>
      </c>
      <c r="I527" s="37">
        <v>440.22</v>
      </c>
      <c r="J527" s="37">
        <v>425.31</v>
      </c>
      <c r="K527" s="32">
        <v>72</v>
      </c>
      <c r="L527" s="32">
        <v>61</v>
      </c>
      <c r="M527" s="32">
        <v>31695.84</v>
      </c>
      <c r="N527" s="32">
        <v>25943.91</v>
      </c>
      <c r="O527" s="32">
        <v>57639.75</v>
      </c>
      <c r="P527" s="32">
        <f t="shared" si="7"/>
        <v>55090.91</v>
      </c>
      <c r="Q527" s="32"/>
      <c r="R527" s="32"/>
      <c r="S527" s="2"/>
      <c r="T527" s="2"/>
      <c r="V527" s="2"/>
      <c r="W527" s="2"/>
      <c r="X527" s="30"/>
      <c r="Y527" s="30"/>
      <c r="Z527" s="32"/>
      <c r="AA527" s="32"/>
      <c r="AB527" s="32"/>
      <c r="AC527" s="32"/>
      <c r="AD527" s="32"/>
      <c r="AE527" s="32"/>
      <c r="AF527" s="32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 spans="1:50" x14ac:dyDescent="0.25">
      <c r="A528">
        <v>625</v>
      </c>
      <c r="B528" s="2">
        <v>1</v>
      </c>
      <c r="C528" s="2" t="s">
        <v>1211</v>
      </c>
      <c r="D528">
        <v>39</v>
      </c>
      <c r="E528" s="2" t="s">
        <v>1212</v>
      </c>
      <c r="F528" s="29">
        <v>1</v>
      </c>
      <c r="G528" s="30" t="s">
        <v>1328</v>
      </c>
      <c r="H528" s="30" t="s">
        <v>1328</v>
      </c>
      <c r="I528" s="37" t="s">
        <v>1328</v>
      </c>
      <c r="J528" s="37" t="s">
        <v>1328</v>
      </c>
      <c r="K528" s="32">
        <v>7</v>
      </c>
      <c r="L528" s="32">
        <v>6</v>
      </c>
      <c r="M528" s="32" t="s">
        <v>1328</v>
      </c>
      <c r="N528" s="32" t="s">
        <v>1328</v>
      </c>
      <c r="O528" s="32">
        <v>1445.46</v>
      </c>
      <c r="P528" s="32">
        <f t="shared" ref="P528:P591" si="8">ROUND(O528*P$11,2)</f>
        <v>1381.54</v>
      </c>
      <c r="Q528" s="32"/>
      <c r="R528" s="32"/>
      <c r="S528" s="2"/>
      <c r="T528" s="2"/>
      <c r="V528" s="2"/>
      <c r="W528" s="2"/>
      <c r="X528" s="30"/>
      <c r="Y528" s="30"/>
      <c r="Z528" s="32"/>
      <c r="AA528" s="32"/>
      <c r="AB528" s="32"/>
      <c r="AC528" s="32"/>
      <c r="AD528" s="32"/>
      <c r="AE528" s="32"/>
      <c r="AF528" s="32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spans="1:50" x14ac:dyDescent="0.25">
      <c r="A529">
        <v>625</v>
      </c>
      <c r="B529" s="2">
        <v>1</v>
      </c>
      <c r="C529" s="2" t="s">
        <v>1211</v>
      </c>
      <c r="D529">
        <v>41</v>
      </c>
      <c r="E529" s="2" t="s">
        <v>1213</v>
      </c>
      <c r="F529" s="29">
        <v>1</v>
      </c>
      <c r="G529" s="30" t="s">
        <v>1328</v>
      </c>
      <c r="H529" s="30" t="s">
        <v>1328</v>
      </c>
      <c r="I529" s="37" t="s">
        <v>1328</v>
      </c>
      <c r="J529" s="37" t="s">
        <v>1328</v>
      </c>
      <c r="K529" s="32">
        <v>4</v>
      </c>
      <c r="L529" s="32">
        <v>8</v>
      </c>
      <c r="M529" s="32" t="s">
        <v>1328</v>
      </c>
      <c r="N529" s="32" t="s">
        <v>1328</v>
      </c>
      <c r="O529" s="32">
        <v>2283.12</v>
      </c>
      <c r="P529" s="32">
        <f t="shared" si="8"/>
        <v>2182.16</v>
      </c>
      <c r="Q529" s="32"/>
      <c r="R529" s="32"/>
      <c r="S529" s="7"/>
      <c r="T529" s="7"/>
      <c r="U529" s="7"/>
      <c r="V529" s="7"/>
      <c r="W529" s="2"/>
      <c r="X529" s="30"/>
      <c r="Y529" s="30"/>
      <c r="Z529" s="32"/>
      <c r="AA529" s="32"/>
      <c r="AB529" s="32"/>
      <c r="AC529" s="32"/>
      <c r="AD529" s="32"/>
      <c r="AE529" s="32"/>
      <c r="AF529" s="32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 spans="1:50" x14ac:dyDescent="0.25">
      <c r="A530">
        <v>625</v>
      </c>
      <c r="B530" s="2">
        <v>1</v>
      </c>
      <c r="C530" s="2" t="s">
        <v>1211</v>
      </c>
      <c r="D530">
        <v>45</v>
      </c>
      <c r="E530" s="2" t="s">
        <v>1214</v>
      </c>
      <c r="F530" s="29">
        <v>1</v>
      </c>
      <c r="G530" s="30" t="s">
        <v>1328</v>
      </c>
      <c r="H530" s="30" t="s">
        <v>1328</v>
      </c>
      <c r="I530" s="37" t="s">
        <v>1328</v>
      </c>
      <c r="J530" s="37" t="s">
        <v>1328</v>
      </c>
      <c r="K530" s="32">
        <v>3</v>
      </c>
      <c r="L530" s="32">
        <v>8</v>
      </c>
      <c r="M530" s="32" t="s">
        <v>1328</v>
      </c>
      <c r="N530" s="32" t="s">
        <v>1328</v>
      </c>
      <c r="O530" s="32">
        <v>3612.41</v>
      </c>
      <c r="P530" s="32">
        <f t="shared" si="8"/>
        <v>3452.67</v>
      </c>
      <c r="Q530" s="32"/>
      <c r="R530" s="32"/>
      <c r="S530" s="2"/>
      <c r="T530" s="2"/>
      <c r="V530" s="2"/>
      <c r="W530" s="2"/>
      <c r="X530" s="30"/>
      <c r="Y530" s="30"/>
      <c r="Z530" s="32"/>
      <c r="AA530" s="32"/>
      <c r="AB530" s="32"/>
      <c r="AC530" s="32"/>
      <c r="AD530" s="32"/>
      <c r="AE530" s="32"/>
      <c r="AF530" s="32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spans="1:50" x14ac:dyDescent="0.25">
      <c r="A531">
        <v>625</v>
      </c>
      <c r="B531" s="2">
        <v>1</v>
      </c>
      <c r="C531" s="2" t="s">
        <v>1211</v>
      </c>
      <c r="D531">
        <v>47</v>
      </c>
      <c r="E531" s="2" t="s">
        <v>1215</v>
      </c>
      <c r="F531" s="29">
        <v>1</v>
      </c>
      <c r="G531" s="30" t="s">
        <v>1328</v>
      </c>
      <c r="H531" s="30" t="s">
        <v>1328</v>
      </c>
      <c r="I531" s="37" t="s">
        <v>1328</v>
      </c>
      <c r="J531" s="37" t="s">
        <v>1328</v>
      </c>
      <c r="K531" s="32">
        <v>4</v>
      </c>
      <c r="L531" s="32">
        <v>2</v>
      </c>
      <c r="M531" s="32" t="s">
        <v>1328</v>
      </c>
      <c r="N531" s="32" t="s">
        <v>1328</v>
      </c>
      <c r="O531" s="32">
        <v>1060</v>
      </c>
      <c r="P531" s="32">
        <f t="shared" si="8"/>
        <v>1013.13</v>
      </c>
      <c r="Q531" s="32"/>
      <c r="R531" s="32"/>
      <c r="S531" s="2"/>
      <c r="T531" s="2"/>
      <c r="V531" s="2"/>
      <c r="W531" s="2"/>
      <c r="X531" s="30"/>
      <c r="Y531" s="30"/>
      <c r="Z531" s="32"/>
      <c r="AA531" s="32"/>
      <c r="AB531" s="32"/>
      <c r="AC531" s="32"/>
      <c r="AD531" s="32"/>
      <c r="AE531" s="32"/>
      <c r="AF531" s="32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 spans="1:50" x14ac:dyDescent="0.25">
      <c r="A532">
        <v>625</v>
      </c>
      <c r="B532" s="2">
        <v>1</v>
      </c>
      <c r="C532" s="2" t="s">
        <v>1211</v>
      </c>
      <c r="D532">
        <v>49</v>
      </c>
      <c r="E532" s="2" t="s">
        <v>1216</v>
      </c>
      <c r="F532" s="29">
        <v>1</v>
      </c>
      <c r="G532" s="30" t="s">
        <v>1328</v>
      </c>
      <c r="H532" s="30" t="s">
        <v>1328</v>
      </c>
      <c r="I532" s="37" t="s">
        <v>1328</v>
      </c>
      <c r="J532" s="37" t="s">
        <v>1328</v>
      </c>
      <c r="K532" s="32">
        <v>8</v>
      </c>
      <c r="L532" s="32">
        <v>5</v>
      </c>
      <c r="M532" s="32" t="s">
        <v>1328</v>
      </c>
      <c r="N532" s="32" t="s">
        <v>1328</v>
      </c>
      <c r="O532" s="32">
        <v>2410.19</v>
      </c>
      <c r="P532" s="32">
        <f t="shared" si="8"/>
        <v>2303.61</v>
      </c>
      <c r="Q532" s="32"/>
      <c r="R532" s="32"/>
      <c r="S532" s="2"/>
      <c r="T532" s="2"/>
      <c r="V532" s="2"/>
      <c r="W532" s="2"/>
      <c r="X532" s="30"/>
      <c r="Y532" s="30"/>
      <c r="Z532" s="32"/>
      <c r="AA532" s="32"/>
      <c r="AB532" s="32"/>
      <c r="AC532" s="32"/>
      <c r="AD532" s="32"/>
      <c r="AE532" s="32"/>
      <c r="AF532" s="32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spans="1:50" x14ac:dyDescent="0.25">
      <c r="A533">
        <v>625</v>
      </c>
      <c r="B533" s="2">
        <v>1</v>
      </c>
      <c r="C533" s="2" t="s">
        <v>603</v>
      </c>
      <c r="D533">
        <v>50</v>
      </c>
      <c r="E533" s="2" t="s">
        <v>604</v>
      </c>
      <c r="F533" s="29">
        <v>1</v>
      </c>
      <c r="G533" s="30" t="s">
        <v>1328</v>
      </c>
      <c r="H533" s="30" t="s">
        <v>1328</v>
      </c>
      <c r="I533" s="37" t="s">
        <v>1328</v>
      </c>
      <c r="J533" s="37" t="s">
        <v>1328</v>
      </c>
      <c r="K533" s="32">
        <v>0</v>
      </c>
      <c r="L533" s="32">
        <v>0</v>
      </c>
      <c r="M533" s="32" t="s">
        <v>1328</v>
      </c>
      <c r="N533" s="32" t="s">
        <v>1328</v>
      </c>
      <c r="O533" s="32">
        <v>0</v>
      </c>
      <c r="P533" s="32">
        <f t="shared" si="8"/>
        <v>0</v>
      </c>
      <c r="Q533" s="32"/>
      <c r="R533" s="32"/>
      <c r="S533" s="2"/>
      <c r="T533" s="2"/>
      <c r="V533" s="2"/>
      <c r="W533" s="2"/>
      <c r="X533" s="30"/>
      <c r="Y533" s="30"/>
      <c r="Z533" s="32"/>
      <c r="AA533" s="32"/>
      <c r="AB533" s="32"/>
      <c r="AC533" s="32"/>
      <c r="AD533" s="32"/>
      <c r="AE533" s="32"/>
      <c r="AF533" s="32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 spans="1:50" x14ac:dyDescent="0.25">
      <c r="A534">
        <v>625</v>
      </c>
      <c r="B534" s="2">
        <v>1</v>
      </c>
      <c r="C534" s="2" t="s">
        <v>1211</v>
      </c>
      <c r="D534">
        <v>90</v>
      </c>
      <c r="E534" s="2" t="s">
        <v>1217</v>
      </c>
      <c r="F534" s="29">
        <v>1</v>
      </c>
      <c r="G534" s="30" t="s">
        <v>1328</v>
      </c>
      <c r="H534" s="30" t="s">
        <v>1328</v>
      </c>
      <c r="I534" s="37" t="s">
        <v>1328</v>
      </c>
      <c r="J534" s="37" t="s">
        <v>1328</v>
      </c>
      <c r="K534" s="32">
        <v>5</v>
      </c>
      <c r="L534" s="32">
        <v>6</v>
      </c>
      <c r="M534" s="32" t="s">
        <v>1328</v>
      </c>
      <c r="N534" s="32" t="s">
        <v>1328</v>
      </c>
      <c r="O534" s="32">
        <v>2942.9</v>
      </c>
      <c r="P534" s="32">
        <f t="shared" si="8"/>
        <v>2812.76</v>
      </c>
      <c r="Q534" s="32"/>
      <c r="R534" s="32"/>
      <c r="S534" s="2"/>
      <c r="T534" s="2"/>
      <c r="V534" s="2"/>
      <c r="W534" s="2"/>
      <c r="X534" s="30"/>
      <c r="Y534" s="30"/>
      <c r="Z534" s="32"/>
      <c r="AA534" s="32"/>
      <c r="AB534" s="32"/>
      <c r="AC534" s="32"/>
      <c r="AD534" s="32"/>
      <c r="AE534" s="32"/>
      <c r="AF534" s="32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spans="1:50" x14ac:dyDescent="0.25">
      <c r="A535">
        <v>625</v>
      </c>
      <c r="B535">
        <v>1</v>
      </c>
      <c r="C535" t="s">
        <v>603</v>
      </c>
      <c r="D535">
        <v>150</v>
      </c>
      <c r="E535" t="s">
        <v>605</v>
      </c>
      <c r="F535" s="1">
        <v>1</v>
      </c>
      <c r="G535" s="30" t="s">
        <v>1328</v>
      </c>
      <c r="H535" s="30" t="s">
        <v>1328</v>
      </c>
      <c r="I535" s="37" t="s">
        <v>1328</v>
      </c>
      <c r="J535" s="37" t="s">
        <v>1328</v>
      </c>
      <c r="K535" s="32">
        <v>0</v>
      </c>
      <c r="L535" s="32">
        <v>0</v>
      </c>
      <c r="M535" s="32" t="s">
        <v>1328</v>
      </c>
      <c r="N535" s="32" t="s">
        <v>1328</v>
      </c>
      <c r="O535" s="32">
        <v>0</v>
      </c>
      <c r="P535" s="32">
        <f t="shared" si="8"/>
        <v>0</v>
      </c>
      <c r="Q535" s="32"/>
      <c r="R535" s="32"/>
      <c r="S535" s="2"/>
      <c r="T535" s="2"/>
      <c r="V535" s="2"/>
      <c r="W535" s="2"/>
      <c r="X535" s="30"/>
      <c r="Y535" s="30"/>
      <c r="Z535" s="32"/>
      <c r="AA535" s="32"/>
      <c r="AB535" s="32"/>
      <c r="AC535" s="32"/>
      <c r="AD535" s="32"/>
      <c r="AE535" s="32"/>
      <c r="AF535" s="32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 spans="1:50" x14ac:dyDescent="0.25">
      <c r="A536">
        <v>625</v>
      </c>
      <c r="B536" s="2">
        <v>1</v>
      </c>
      <c r="C536" s="2" t="s">
        <v>603</v>
      </c>
      <c r="D536">
        <v>410</v>
      </c>
      <c r="E536" s="2" t="s">
        <v>606</v>
      </c>
      <c r="F536" s="29">
        <v>0</v>
      </c>
      <c r="G536" s="30">
        <v>0.70609318996415771</v>
      </c>
      <c r="H536" s="30">
        <v>0.81702127659574464</v>
      </c>
      <c r="I536" s="37">
        <v>374.23</v>
      </c>
      <c r="J536" s="37">
        <v>433.02</v>
      </c>
      <c r="K536" s="32">
        <v>90</v>
      </c>
      <c r="L536" s="32">
        <v>89</v>
      </c>
      <c r="M536" s="32">
        <v>33680.699999999997</v>
      </c>
      <c r="N536" s="32">
        <v>38538.78</v>
      </c>
      <c r="O536" s="32">
        <v>72219.48</v>
      </c>
      <c r="P536" s="32">
        <f t="shared" si="8"/>
        <v>69025.919999999998</v>
      </c>
      <c r="Q536" s="32"/>
      <c r="R536" s="32"/>
      <c r="S536" s="2"/>
      <c r="T536" s="2"/>
      <c r="V536" s="2"/>
      <c r="W536" s="2"/>
      <c r="X536" s="30"/>
      <c r="Y536" s="30"/>
      <c r="Z536" s="32"/>
      <c r="AA536" s="32"/>
      <c r="AB536" s="32"/>
      <c r="AC536" s="32"/>
      <c r="AD536" s="32"/>
      <c r="AE536" s="32"/>
      <c r="AF536" s="32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spans="1:50" x14ac:dyDescent="0.25">
      <c r="A537">
        <v>625</v>
      </c>
      <c r="B537" s="2">
        <v>1</v>
      </c>
      <c r="C537" s="2" t="s">
        <v>603</v>
      </c>
      <c r="D537">
        <v>413</v>
      </c>
      <c r="E537" s="2" t="s">
        <v>607</v>
      </c>
      <c r="F537" s="29">
        <v>1</v>
      </c>
      <c r="G537" s="30" t="s">
        <v>1328</v>
      </c>
      <c r="H537" s="30" t="s">
        <v>1328</v>
      </c>
      <c r="I537" s="37" t="s">
        <v>1328</v>
      </c>
      <c r="J537" s="37" t="s">
        <v>1328</v>
      </c>
      <c r="K537" s="32">
        <v>0</v>
      </c>
      <c r="L537" s="32">
        <v>0</v>
      </c>
      <c r="M537" s="32" t="s">
        <v>1328</v>
      </c>
      <c r="N537" s="32" t="s">
        <v>1328</v>
      </c>
      <c r="O537" s="32">
        <v>0</v>
      </c>
      <c r="P537" s="32">
        <f t="shared" si="8"/>
        <v>0</v>
      </c>
      <c r="Q537" s="32"/>
      <c r="R537" s="32"/>
      <c r="S537" s="2"/>
      <c r="T537" s="2"/>
      <c r="V537" s="2"/>
      <c r="W537" s="2"/>
      <c r="X537" s="30"/>
      <c r="Y537" s="30"/>
      <c r="Z537" s="32"/>
      <c r="AA537" s="32"/>
      <c r="AB537" s="32"/>
      <c r="AC537" s="32"/>
      <c r="AD537" s="32"/>
      <c r="AE537" s="32"/>
      <c r="AF537" s="32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 spans="1:50" x14ac:dyDescent="0.25">
      <c r="A538">
        <v>625</v>
      </c>
      <c r="B538" s="2">
        <v>1</v>
      </c>
      <c r="C538" s="2" t="s">
        <v>603</v>
      </c>
      <c r="D538">
        <v>415</v>
      </c>
      <c r="E538" s="2" t="s">
        <v>608</v>
      </c>
      <c r="F538" s="29">
        <v>0</v>
      </c>
      <c r="G538" s="30">
        <v>0.48672566371681414</v>
      </c>
      <c r="H538" s="30">
        <v>0.72549019607843135</v>
      </c>
      <c r="I538" s="37">
        <v>257.95999999999998</v>
      </c>
      <c r="J538" s="37">
        <v>384.51</v>
      </c>
      <c r="K538" s="32">
        <v>36</v>
      </c>
      <c r="L538" s="32">
        <v>43</v>
      </c>
      <c r="M538" s="32">
        <v>9286.56</v>
      </c>
      <c r="N538" s="32">
        <v>16533.93</v>
      </c>
      <c r="O538" s="32">
        <v>25820.489999999998</v>
      </c>
      <c r="P538" s="32">
        <f t="shared" si="8"/>
        <v>24678.7</v>
      </c>
      <c r="Q538" s="32"/>
      <c r="R538" s="32"/>
      <c r="S538" s="2"/>
      <c r="T538" s="2"/>
      <c r="V538" s="2"/>
      <c r="W538" s="2"/>
      <c r="X538" s="30"/>
      <c r="Y538" s="30"/>
      <c r="Z538" s="32"/>
      <c r="AA538" s="32"/>
      <c r="AB538" s="32"/>
      <c r="AC538" s="32"/>
      <c r="AD538" s="32"/>
      <c r="AE538" s="32"/>
      <c r="AF538" s="32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spans="1:50" x14ac:dyDescent="0.25">
      <c r="A539">
        <v>625</v>
      </c>
      <c r="B539">
        <v>1</v>
      </c>
      <c r="C539" t="s">
        <v>603</v>
      </c>
      <c r="D539">
        <v>422</v>
      </c>
      <c r="E539" t="s">
        <v>609</v>
      </c>
      <c r="F539" s="1">
        <v>0</v>
      </c>
      <c r="G539" s="30">
        <v>0.5591836734693878</v>
      </c>
      <c r="H539" s="30">
        <v>0.79253112033195017</v>
      </c>
      <c r="I539" s="37">
        <v>296.37</v>
      </c>
      <c r="J539" s="37">
        <v>420.04</v>
      </c>
      <c r="K539" s="32">
        <v>86</v>
      </c>
      <c r="L539" s="32">
        <v>89</v>
      </c>
      <c r="M539" s="32">
        <v>25487.82</v>
      </c>
      <c r="N539" s="32">
        <v>37383.56</v>
      </c>
      <c r="O539" s="32">
        <v>62871.38</v>
      </c>
      <c r="P539" s="32">
        <f t="shared" si="8"/>
        <v>60091.19</v>
      </c>
      <c r="Q539" s="32"/>
      <c r="R539" s="32"/>
      <c r="W539" s="2"/>
      <c r="X539" s="30"/>
      <c r="Y539" s="30"/>
      <c r="Z539" s="32"/>
      <c r="AA539" s="32"/>
      <c r="AB539" s="32"/>
      <c r="AC539" s="32"/>
      <c r="AD539" s="32"/>
      <c r="AE539" s="32"/>
      <c r="AF539" s="32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 spans="1:50" x14ac:dyDescent="0.25">
      <c r="A540">
        <v>625</v>
      </c>
      <c r="B540" s="2">
        <v>1</v>
      </c>
      <c r="C540" s="2" t="s">
        <v>1211</v>
      </c>
      <c r="D540">
        <v>424</v>
      </c>
      <c r="E540" s="2" t="s">
        <v>1295</v>
      </c>
      <c r="F540" s="29">
        <v>0</v>
      </c>
      <c r="G540" s="30">
        <v>0.54347826086956519</v>
      </c>
      <c r="H540" s="30">
        <v>0.48780487804878048</v>
      </c>
      <c r="I540" s="37">
        <v>288.04000000000002</v>
      </c>
      <c r="J540" s="37">
        <v>258.54000000000002</v>
      </c>
      <c r="K540" s="32">
        <v>49</v>
      </c>
      <c r="L540" s="32">
        <v>51</v>
      </c>
      <c r="M540" s="32">
        <v>14113.96</v>
      </c>
      <c r="N540" s="32">
        <v>13185.54</v>
      </c>
      <c r="O540" s="32">
        <v>27299.5</v>
      </c>
      <c r="P540" s="32">
        <f t="shared" si="8"/>
        <v>26092.31</v>
      </c>
      <c r="Q540" s="32"/>
      <c r="R540" s="32"/>
      <c r="S540" s="3"/>
      <c r="T540" s="3"/>
      <c r="V540" s="27"/>
      <c r="W540" s="2"/>
      <c r="X540" s="30"/>
      <c r="Y540" s="30"/>
      <c r="Z540" s="32"/>
      <c r="AA540" s="32"/>
      <c r="AB540" s="32"/>
      <c r="AC540" s="32"/>
      <c r="AD540" s="32"/>
      <c r="AE540" s="32"/>
      <c r="AF540" s="32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spans="1:50" x14ac:dyDescent="0.25">
      <c r="A541">
        <v>625</v>
      </c>
      <c r="B541" s="2">
        <v>1</v>
      </c>
      <c r="C541" s="2" t="s">
        <v>603</v>
      </c>
      <c r="D541">
        <v>425</v>
      </c>
      <c r="E541" s="2" t="s">
        <v>610</v>
      </c>
      <c r="F541" s="29">
        <v>0</v>
      </c>
      <c r="G541" s="30">
        <v>0.73575129533678751</v>
      </c>
      <c r="H541" s="30">
        <v>0.6875</v>
      </c>
      <c r="I541" s="37">
        <v>389.95</v>
      </c>
      <c r="J541" s="37">
        <v>364.38</v>
      </c>
      <c r="K541" s="32">
        <v>62</v>
      </c>
      <c r="L541" s="32">
        <v>66</v>
      </c>
      <c r="M541" s="32">
        <v>24176.9</v>
      </c>
      <c r="N541" s="32">
        <v>24049.08</v>
      </c>
      <c r="O541" s="32">
        <v>48225.98</v>
      </c>
      <c r="P541" s="32">
        <f t="shared" si="8"/>
        <v>46093.42</v>
      </c>
      <c r="Q541" s="32"/>
      <c r="R541" s="32"/>
      <c r="S541" s="2"/>
      <c r="T541" s="2"/>
      <c r="V541" s="2"/>
      <c r="W541" s="2"/>
      <c r="X541" s="30"/>
      <c r="Y541" s="30"/>
      <c r="Z541" s="32"/>
      <c r="AA541" s="32"/>
      <c r="AB541" s="32"/>
      <c r="AC541" s="32"/>
      <c r="AD541" s="32"/>
      <c r="AE541" s="32"/>
      <c r="AF541" s="32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 spans="1:50" x14ac:dyDescent="0.25">
      <c r="A542">
        <v>625</v>
      </c>
      <c r="B542" s="2">
        <v>1</v>
      </c>
      <c r="C542" s="2" t="s">
        <v>603</v>
      </c>
      <c r="D542">
        <v>428</v>
      </c>
      <c r="E542" s="2" t="s">
        <v>611</v>
      </c>
      <c r="F542" s="29">
        <v>0</v>
      </c>
      <c r="G542" s="30">
        <v>0.43636363636363634</v>
      </c>
      <c r="H542" s="30">
        <v>0.72307692307692306</v>
      </c>
      <c r="I542" s="37">
        <v>231.27</v>
      </c>
      <c r="J542" s="37">
        <v>383.23</v>
      </c>
      <c r="K542" s="32">
        <v>72</v>
      </c>
      <c r="L542" s="32">
        <v>50</v>
      </c>
      <c r="M542" s="32">
        <v>16651.439999999999</v>
      </c>
      <c r="N542" s="32">
        <v>19161.5</v>
      </c>
      <c r="O542" s="32">
        <v>35812.94</v>
      </c>
      <c r="P542" s="32">
        <f t="shared" si="8"/>
        <v>34229.279999999999</v>
      </c>
      <c r="Q542" s="32"/>
      <c r="R542" s="32"/>
      <c r="S542" s="2"/>
      <c r="T542" s="2"/>
      <c r="V542" s="2"/>
      <c r="W542" s="2"/>
      <c r="X542" s="30"/>
      <c r="Y542" s="30"/>
      <c r="Z542" s="32"/>
      <c r="AA542" s="32"/>
      <c r="AB542" s="32"/>
      <c r="AC542" s="32"/>
      <c r="AD542" s="32"/>
      <c r="AE542" s="32"/>
      <c r="AF542" s="32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spans="1:50" x14ac:dyDescent="0.25">
      <c r="A543">
        <v>625</v>
      </c>
      <c r="B543" s="2">
        <v>1</v>
      </c>
      <c r="C543" s="2" t="s">
        <v>1211</v>
      </c>
      <c r="D543">
        <v>430</v>
      </c>
      <c r="E543" s="2" t="s">
        <v>1369</v>
      </c>
      <c r="F543" s="29">
        <v>0</v>
      </c>
      <c r="G543" s="30">
        <v>0</v>
      </c>
      <c r="H543" s="30">
        <v>0</v>
      </c>
      <c r="I543" s="37">
        <v>0</v>
      </c>
      <c r="J543" s="37">
        <v>0</v>
      </c>
      <c r="K543" s="32">
        <v>15</v>
      </c>
      <c r="L543" s="32">
        <v>12</v>
      </c>
      <c r="M543" s="32">
        <v>0</v>
      </c>
      <c r="N543" s="32">
        <v>0</v>
      </c>
      <c r="O543" s="32">
        <v>0</v>
      </c>
      <c r="P543" s="32">
        <f t="shared" si="8"/>
        <v>0</v>
      </c>
      <c r="Q543" s="32"/>
      <c r="R543" s="32"/>
      <c r="S543" s="3"/>
      <c r="T543" s="3"/>
      <c r="V543" s="27"/>
      <c r="W543" s="2"/>
      <c r="X543" s="30"/>
      <c r="Y543" s="30"/>
      <c r="Z543" s="32"/>
      <c r="AA543" s="32"/>
      <c r="AB543" s="32"/>
      <c r="AC543" s="32"/>
      <c r="AD543" s="32"/>
      <c r="AE543" s="32"/>
      <c r="AF543" s="32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 spans="1:50" x14ac:dyDescent="0.25">
      <c r="A544">
        <v>625</v>
      </c>
      <c r="B544" s="2">
        <v>1</v>
      </c>
      <c r="C544" s="2" t="s">
        <v>603</v>
      </c>
      <c r="D544">
        <v>431</v>
      </c>
      <c r="E544" s="2" t="s">
        <v>612</v>
      </c>
      <c r="F544" s="29">
        <v>0</v>
      </c>
      <c r="G544" s="30">
        <v>0.5561797752808989</v>
      </c>
      <c r="H544" s="30">
        <v>0.83229813664596275</v>
      </c>
      <c r="I544" s="37">
        <v>294.77999999999997</v>
      </c>
      <c r="J544" s="37">
        <v>441.12</v>
      </c>
      <c r="K544" s="32">
        <v>72</v>
      </c>
      <c r="L544" s="32">
        <v>67</v>
      </c>
      <c r="M544" s="32">
        <v>21224.16</v>
      </c>
      <c r="N544" s="32">
        <v>29555.040000000001</v>
      </c>
      <c r="O544" s="32">
        <v>50779.199999999997</v>
      </c>
      <c r="P544" s="32">
        <f t="shared" si="8"/>
        <v>48533.73</v>
      </c>
      <c r="Q544" s="32"/>
      <c r="R544" s="32"/>
      <c r="S544" s="2"/>
      <c r="T544" s="2"/>
      <c r="V544" s="2"/>
      <c r="W544" s="2"/>
      <c r="X544" s="30"/>
      <c r="Y544" s="30"/>
      <c r="Z544" s="32"/>
      <c r="AA544" s="32"/>
      <c r="AB544" s="32"/>
      <c r="AC544" s="32"/>
      <c r="AD544" s="32"/>
      <c r="AE544" s="32"/>
      <c r="AF544" s="32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spans="1:50" x14ac:dyDescent="0.25">
      <c r="A545">
        <v>625</v>
      </c>
      <c r="B545" s="2">
        <v>1</v>
      </c>
      <c r="C545" s="2" t="s">
        <v>1211</v>
      </c>
      <c r="D545">
        <v>432</v>
      </c>
      <c r="E545" s="2" t="s">
        <v>1218</v>
      </c>
      <c r="F545" s="29">
        <v>0</v>
      </c>
      <c r="G545" s="30">
        <v>2.564102564102564E-2</v>
      </c>
      <c r="H545" s="30">
        <v>0.5</v>
      </c>
      <c r="I545" s="37">
        <v>13.59</v>
      </c>
      <c r="J545" s="37">
        <v>265</v>
      </c>
      <c r="K545" s="32">
        <v>19</v>
      </c>
      <c r="L545" s="32">
        <v>13</v>
      </c>
      <c r="M545" s="32">
        <v>258.20999999999998</v>
      </c>
      <c r="N545" s="32">
        <v>3445</v>
      </c>
      <c r="O545" s="32">
        <v>3703.21</v>
      </c>
      <c r="P545" s="32">
        <f t="shared" si="8"/>
        <v>3539.45</v>
      </c>
      <c r="Q545" s="32"/>
      <c r="R545" s="32"/>
      <c r="W545" s="2"/>
      <c r="X545" s="30"/>
      <c r="Y545" s="30"/>
      <c r="Z545" s="32"/>
      <c r="AA545" s="32"/>
      <c r="AB545" s="32"/>
      <c r="AC545" s="32"/>
      <c r="AD545" s="32"/>
      <c r="AE545" s="32"/>
      <c r="AF545" s="32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 spans="1:50" x14ac:dyDescent="0.25">
      <c r="A546">
        <v>625</v>
      </c>
      <c r="B546" s="2">
        <v>1</v>
      </c>
      <c r="C546" s="2" t="s">
        <v>603</v>
      </c>
      <c r="D546">
        <v>433</v>
      </c>
      <c r="E546" s="2" t="s">
        <v>613</v>
      </c>
      <c r="F546" s="29">
        <v>0</v>
      </c>
      <c r="G546" s="30">
        <v>0.62585034013605445</v>
      </c>
      <c r="H546" s="30">
        <v>0.72592592592592597</v>
      </c>
      <c r="I546" s="37">
        <v>331.7</v>
      </c>
      <c r="J546" s="37">
        <v>384.74</v>
      </c>
      <c r="K546" s="32">
        <v>54</v>
      </c>
      <c r="L546" s="32">
        <v>55</v>
      </c>
      <c r="M546" s="32">
        <v>17911.8</v>
      </c>
      <c r="N546" s="32">
        <v>21160.7</v>
      </c>
      <c r="O546" s="32">
        <v>39072.5</v>
      </c>
      <c r="P546" s="32">
        <f t="shared" si="8"/>
        <v>37344.699999999997</v>
      </c>
      <c r="Q546" s="32"/>
      <c r="R546" s="32"/>
      <c r="S546" s="2"/>
      <c r="T546" s="2"/>
      <c r="V546" s="2"/>
      <c r="W546" s="2"/>
      <c r="X546" s="30"/>
      <c r="Y546" s="30"/>
      <c r="Z546" s="32"/>
      <c r="AA546" s="32"/>
      <c r="AB546" s="32"/>
      <c r="AC546" s="32"/>
      <c r="AD546" s="32"/>
      <c r="AE546" s="32"/>
      <c r="AF546" s="32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spans="1:50" x14ac:dyDescent="0.25">
      <c r="A547">
        <v>625</v>
      </c>
      <c r="B547" s="2">
        <v>1</v>
      </c>
      <c r="C547" s="2" t="s">
        <v>603</v>
      </c>
      <c r="D547">
        <v>435</v>
      </c>
      <c r="E547" s="2" t="s">
        <v>614</v>
      </c>
      <c r="F547" s="29">
        <v>0</v>
      </c>
      <c r="G547" s="30">
        <v>0.73021582733812951</v>
      </c>
      <c r="H547" s="30">
        <v>0.86379928315412191</v>
      </c>
      <c r="I547" s="37">
        <v>387.01</v>
      </c>
      <c r="J547" s="37">
        <v>457.81</v>
      </c>
      <c r="K547" s="32">
        <v>95</v>
      </c>
      <c r="L547" s="32">
        <v>93</v>
      </c>
      <c r="M547" s="32">
        <v>36765.949999999997</v>
      </c>
      <c r="N547" s="32">
        <v>42576.33</v>
      </c>
      <c r="O547" s="32">
        <v>79342.28</v>
      </c>
      <c r="P547" s="32">
        <f t="shared" si="8"/>
        <v>75833.75</v>
      </c>
      <c r="Q547" s="32"/>
      <c r="R547" s="32"/>
      <c r="S547" s="2"/>
      <c r="T547" s="2"/>
      <c r="V547" s="2"/>
      <c r="W547" s="2"/>
      <c r="X547" s="30"/>
      <c r="Y547" s="30"/>
      <c r="Z547" s="32"/>
      <c r="AA547" s="32"/>
      <c r="AB547" s="32"/>
      <c r="AC547" s="32"/>
      <c r="AD547" s="32"/>
      <c r="AE547" s="32"/>
      <c r="AF547" s="32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 spans="1:50" x14ac:dyDescent="0.25">
      <c r="A548">
        <v>625</v>
      </c>
      <c r="B548" s="2">
        <v>1</v>
      </c>
      <c r="C548" s="2" t="s">
        <v>603</v>
      </c>
      <c r="D548">
        <v>438</v>
      </c>
      <c r="E548" s="2" t="s">
        <v>615</v>
      </c>
      <c r="F548" s="29">
        <v>0</v>
      </c>
      <c r="G548" s="30">
        <v>0.56164383561643838</v>
      </c>
      <c r="H548" s="30">
        <v>0.72799999999999998</v>
      </c>
      <c r="I548" s="37">
        <v>297.67</v>
      </c>
      <c r="J548" s="37">
        <v>385.84</v>
      </c>
      <c r="K548" s="32">
        <v>52</v>
      </c>
      <c r="L548" s="32">
        <v>48</v>
      </c>
      <c r="M548" s="32">
        <v>15478.84</v>
      </c>
      <c r="N548" s="32">
        <v>18520.32</v>
      </c>
      <c r="O548" s="32">
        <v>33999.160000000003</v>
      </c>
      <c r="P548" s="32">
        <f t="shared" si="8"/>
        <v>32495.71</v>
      </c>
      <c r="Q548" s="32"/>
      <c r="R548" s="32"/>
      <c r="S548" s="2"/>
      <c r="T548" s="2"/>
      <c r="V548" s="2"/>
      <c r="W548" s="2"/>
      <c r="X548" s="30"/>
      <c r="Y548" s="30"/>
      <c r="Z548" s="32"/>
      <c r="AA548" s="32"/>
      <c r="AB548" s="32"/>
      <c r="AC548" s="32"/>
      <c r="AD548" s="32"/>
      <c r="AE548" s="32"/>
      <c r="AF548" s="32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spans="1:50" x14ac:dyDescent="0.25">
      <c r="A549">
        <v>625</v>
      </c>
      <c r="B549">
        <v>1</v>
      </c>
      <c r="C549" t="s">
        <v>603</v>
      </c>
      <c r="D549">
        <v>449</v>
      </c>
      <c r="E549" t="s">
        <v>616</v>
      </c>
      <c r="F549" s="1">
        <v>0</v>
      </c>
      <c r="G549" s="30">
        <v>0.31491712707182318</v>
      </c>
      <c r="H549" s="30">
        <v>0.73381294964028776</v>
      </c>
      <c r="I549" s="37">
        <v>166.91</v>
      </c>
      <c r="J549" s="37">
        <v>388.92</v>
      </c>
      <c r="K549" s="32">
        <v>61</v>
      </c>
      <c r="L549" s="32">
        <v>63</v>
      </c>
      <c r="M549" s="32">
        <v>10181.51</v>
      </c>
      <c r="N549" s="32">
        <v>24501.96</v>
      </c>
      <c r="O549" s="32">
        <v>34683.47</v>
      </c>
      <c r="P549" s="32">
        <f t="shared" si="8"/>
        <v>33149.760000000002</v>
      </c>
      <c r="Q549" s="32"/>
      <c r="R549" s="32"/>
      <c r="S549" s="2"/>
      <c r="T549" s="2"/>
      <c r="V549" s="2"/>
      <c r="W549" s="2"/>
      <c r="X549" s="30"/>
      <c r="Y549" s="30"/>
      <c r="Z549" s="32"/>
      <c r="AA549" s="32"/>
      <c r="AB549" s="32"/>
      <c r="AC549" s="32"/>
      <c r="AD549" s="32"/>
      <c r="AE549" s="32"/>
      <c r="AF549" s="32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 spans="1:50" x14ac:dyDescent="0.25">
      <c r="A550">
        <v>625</v>
      </c>
      <c r="B550" s="2">
        <v>1</v>
      </c>
      <c r="C550" s="2" t="s">
        <v>603</v>
      </c>
      <c r="D550">
        <v>452</v>
      </c>
      <c r="E550" s="2" t="s">
        <v>617</v>
      </c>
      <c r="F550" s="29">
        <v>0</v>
      </c>
      <c r="G550" s="30">
        <v>0.58783783783783783</v>
      </c>
      <c r="H550" s="30">
        <v>0.66942148760330578</v>
      </c>
      <c r="I550" s="37">
        <v>311.55</v>
      </c>
      <c r="J550" s="37">
        <v>354.79</v>
      </c>
      <c r="K550" s="32">
        <v>48</v>
      </c>
      <c r="L550" s="32">
        <v>51</v>
      </c>
      <c r="M550" s="32">
        <v>14954.4</v>
      </c>
      <c r="N550" s="32">
        <v>18094.29</v>
      </c>
      <c r="O550" s="32">
        <v>33048.69</v>
      </c>
      <c r="P550" s="32">
        <f t="shared" si="8"/>
        <v>31587.27</v>
      </c>
      <c r="Q550" s="32"/>
      <c r="R550" s="32"/>
      <c r="S550" s="2"/>
      <c r="T550" s="2"/>
      <c r="V550" s="2"/>
      <c r="W550" s="2"/>
      <c r="X550" s="30"/>
      <c r="Y550" s="30"/>
      <c r="Z550" s="32"/>
      <c r="AA550" s="32"/>
      <c r="AB550" s="32"/>
      <c r="AC550" s="32"/>
      <c r="AD550" s="32"/>
      <c r="AE550" s="32"/>
      <c r="AF550" s="32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spans="1:50" x14ac:dyDescent="0.25">
      <c r="A551" s="7">
        <v>625</v>
      </c>
      <c r="B551" s="7">
        <v>1</v>
      </c>
      <c r="C551" s="7" t="s">
        <v>603</v>
      </c>
      <c r="D551" s="7">
        <v>458</v>
      </c>
      <c r="E551" s="7" t="s">
        <v>618</v>
      </c>
      <c r="F551" s="38">
        <v>0</v>
      </c>
      <c r="G551" s="30">
        <v>0.67266187050359716</v>
      </c>
      <c r="H551" s="30">
        <v>0.76014760147601479</v>
      </c>
      <c r="I551" s="37">
        <v>356.51</v>
      </c>
      <c r="J551" s="37">
        <v>402.88</v>
      </c>
      <c r="K551" s="32">
        <v>106</v>
      </c>
      <c r="L551" s="32">
        <v>101</v>
      </c>
      <c r="M551" s="32">
        <v>37790.06</v>
      </c>
      <c r="N551" s="32">
        <v>40690.879999999997</v>
      </c>
      <c r="O551" s="32">
        <v>78480.94</v>
      </c>
      <c r="P551" s="32">
        <f t="shared" si="8"/>
        <v>75010.490000000005</v>
      </c>
      <c r="Q551" s="32"/>
      <c r="R551" s="32"/>
      <c r="S551" s="2"/>
      <c r="T551" s="2"/>
      <c r="V551" s="2"/>
      <c r="W551" s="2"/>
      <c r="X551" s="30"/>
      <c r="Y551" s="30"/>
      <c r="Z551" s="32"/>
      <c r="AA551" s="32"/>
      <c r="AB551" s="32"/>
      <c r="AC551" s="32"/>
      <c r="AD551" s="32"/>
      <c r="AE551" s="32"/>
      <c r="AF551" s="32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 spans="1:50" x14ac:dyDescent="0.25">
      <c r="A552">
        <v>625</v>
      </c>
      <c r="B552" s="2">
        <v>1</v>
      </c>
      <c r="C552" s="2" t="s">
        <v>603</v>
      </c>
      <c r="D552">
        <v>460</v>
      </c>
      <c r="E552" s="2" t="s">
        <v>619</v>
      </c>
      <c r="F552" s="29">
        <v>0</v>
      </c>
      <c r="G552" s="30">
        <v>0.61940298507462688</v>
      </c>
      <c r="H552" s="30">
        <v>0.64800000000000002</v>
      </c>
      <c r="I552" s="37">
        <v>328.28</v>
      </c>
      <c r="J552" s="37">
        <v>343.44</v>
      </c>
      <c r="K552" s="32">
        <v>44</v>
      </c>
      <c r="L552" s="32">
        <v>45</v>
      </c>
      <c r="M552" s="32">
        <v>14444.32</v>
      </c>
      <c r="N552" s="32">
        <v>15454.8</v>
      </c>
      <c r="O552" s="32">
        <v>29899.119999999999</v>
      </c>
      <c r="P552" s="32">
        <f t="shared" si="8"/>
        <v>28576.97</v>
      </c>
      <c r="Q552" s="32"/>
      <c r="R552" s="32"/>
      <c r="S552" s="2"/>
      <c r="T552" s="2"/>
      <c r="V552" s="2"/>
      <c r="W552" s="2"/>
      <c r="X552" s="30"/>
      <c r="Y552" s="30"/>
      <c r="Z552" s="32"/>
      <c r="AA552" s="32"/>
      <c r="AB552" s="32"/>
      <c r="AC552" s="32"/>
      <c r="AD552" s="32"/>
      <c r="AE552" s="32"/>
      <c r="AF552" s="32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spans="1:50" x14ac:dyDescent="0.25">
      <c r="A553">
        <v>625</v>
      </c>
      <c r="B553" s="2">
        <v>1</v>
      </c>
      <c r="C553" s="2" t="s">
        <v>603</v>
      </c>
      <c r="D553">
        <v>461</v>
      </c>
      <c r="E553" s="2" t="s">
        <v>620</v>
      </c>
      <c r="F553" s="29">
        <v>1</v>
      </c>
      <c r="G553" s="30" t="s">
        <v>1328</v>
      </c>
      <c r="H553" s="30" t="s">
        <v>1328</v>
      </c>
      <c r="I553" s="37" t="s">
        <v>1328</v>
      </c>
      <c r="J553" s="37" t="s">
        <v>1328</v>
      </c>
      <c r="K553" s="32">
        <v>0</v>
      </c>
      <c r="L553" s="32">
        <v>0</v>
      </c>
      <c r="M553" s="32" t="s">
        <v>1328</v>
      </c>
      <c r="N553" s="32" t="s">
        <v>1328</v>
      </c>
      <c r="O553" s="32">
        <v>0</v>
      </c>
      <c r="P553" s="32">
        <f t="shared" si="8"/>
        <v>0</v>
      </c>
      <c r="Q553" s="32"/>
      <c r="R553" s="32"/>
      <c r="S553" s="2"/>
      <c r="T553" s="2"/>
      <c r="V553" s="2"/>
      <c r="W553" s="2"/>
      <c r="X553" s="30"/>
      <c r="Y553" s="30"/>
      <c r="Z553" s="32"/>
      <c r="AA553" s="32"/>
      <c r="AB553" s="32"/>
      <c r="AC553" s="32"/>
      <c r="AD553" s="32"/>
      <c r="AE553" s="32"/>
      <c r="AF553" s="32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 spans="1:50" x14ac:dyDescent="0.25">
      <c r="A554">
        <v>625</v>
      </c>
      <c r="B554" s="2">
        <v>1</v>
      </c>
      <c r="C554" s="2" t="s">
        <v>603</v>
      </c>
      <c r="D554">
        <v>462</v>
      </c>
      <c r="E554" s="2" t="s">
        <v>621</v>
      </c>
      <c r="F554" s="29">
        <v>0</v>
      </c>
      <c r="G554" s="30">
        <v>0.8091286307053942</v>
      </c>
      <c r="H554" s="30">
        <v>0.79326923076923073</v>
      </c>
      <c r="I554" s="37">
        <v>428.84</v>
      </c>
      <c r="J554" s="37">
        <v>420.43</v>
      </c>
      <c r="K554" s="32">
        <v>92</v>
      </c>
      <c r="L554" s="32">
        <v>70</v>
      </c>
      <c r="M554" s="32">
        <v>39453.279999999999</v>
      </c>
      <c r="N554" s="32">
        <v>29430.1</v>
      </c>
      <c r="O554" s="32">
        <v>68883.38</v>
      </c>
      <c r="P554" s="32">
        <f t="shared" si="8"/>
        <v>65837.34</v>
      </c>
      <c r="Q554" s="32"/>
      <c r="R554" s="32"/>
      <c r="S554" s="2"/>
      <c r="T554" s="2"/>
      <c r="V554" s="2"/>
      <c r="W554" s="2"/>
      <c r="X554" s="30"/>
      <c r="Y554" s="30"/>
      <c r="Z554" s="32"/>
      <c r="AA554" s="32"/>
      <c r="AB554" s="32"/>
      <c r="AC554" s="32"/>
      <c r="AD554" s="32"/>
      <c r="AE554" s="32"/>
      <c r="AF554" s="32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spans="1:50" x14ac:dyDescent="0.25">
      <c r="A555" s="7">
        <v>625</v>
      </c>
      <c r="B555" s="7">
        <v>1</v>
      </c>
      <c r="C555" s="7" t="s">
        <v>603</v>
      </c>
      <c r="D555" s="7">
        <v>464</v>
      </c>
      <c r="E555" s="7" t="s">
        <v>622</v>
      </c>
      <c r="F555" s="38">
        <v>0</v>
      </c>
      <c r="G555" s="30">
        <v>0.57383966244725737</v>
      </c>
      <c r="H555" s="30">
        <v>0.73568281938325997</v>
      </c>
      <c r="I555" s="37">
        <v>304.14</v>
      </c>
      <c r="J555" s="37">
        <v>389.91</v>
      </c>
      <c r="K555" s="32">
        <v>82</v>
      </c>
      <c r="L555" s="32">
        <v>90</v>
      </c>
      <c r="M555" s="32">
        <v>24939.48</v>
      </c>
      <c r="N555" s="32">
        <v>35091.9</v>
      </c>
      <c r="O555" s="32">
        <v>60031.380000000005</v>
      </c>
      <c r="P555" s="32">
        <f t="shared" si="8"/>
        <v>57376.78</v>
      </c>
      <c r="Q555" s="32"/>
      <c r="R555" s="32"/>
      <c r="W555" s="2"/>
      <c r="X555" s="30"/>
      <c r="Y555" s="30"/>
      <c r="Z555" s="32"/>
      <c r="AA555" s="32"/>
      <c r="AB555" s="32"/>
      <c r="AC555" s="32"/>
      <c r="AD555" s="32"/>
      <c r="AE555" s="32"/>
      <c r="AF555" s="32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 spans="1:50" x14ac:dyDescent="0.25">
      <c r="A556">
        <v>625</v>
      </c>
      <c r="B556" s="2">
        <v>1</v>
      </c>
      <c r="C556" s="2" t="s">
        <v>603</v>
      </c>
      <c r="D556">
        <v>465</v>
      </c>
      <c r="E556" s="2" t="s">
        <v>623</v>
      </c>
      <c r="F556" s="29">
        <v>0</v>
      </c>
      <c r="G556" s="30">
        <v>0.7421875</v>
      </c>
      <c r="H556" s="30">
        <v>0.65384615384615385</v>
      </c>
      <c r="I556" s="37">
        <v>393.36</v>
      </c>
      <c r="J556" s="37">
        <v>346.54</v>
      </c>
      <c r="K556" s="32">
        <v>41</v>
      </c>
      <c r="L556" s="32">
        <v>40</v>
      </c>
      <c r="M556" s="32">
        <v>16127.76</v>
      </c>
      <c r="N556" s="32">
        <v>13861.6</v>
      </c>
      <c r="O556" s="32">
        <v>29989.360000000001</v>
      </c>
      <c r="P556" s="32">
        <f t="shared" si="8"/>
        <v>28663.22</v>
      </c>
      <c r="Q556" s="32"/>
      <c r="R556" s="32"/>
      <c r="S556" s="2"/>
      <c r="T556" s="2"/>
      <c r="V556" s="2"/>
      <c r="W556" s="2"/>
      <c r="X556" s="30"/>
      <c r="Y556" s="30"/>
      <c r="Z556" s="32"/>
      <c r="AA556" s="32"/>
      <c r="AB556" s="32"/>
      <c r="AC556" s="32"/>
      <c r="AD556" s="32"/>
      <c r="AE556" s="32"/>
      <c r="AF556" s="32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spans="1:50" x14ac:dyDescent="0.25">
      <c r="A557">
        <v>625</v>
      </c>
      <c r="B557" s="2">
        <v>1</v>
      </c>
      <c r="C557" s="2" t="s">
        <v>603</v>
      </c>
      <c r="D557">
        <v>466</v>
      </c>
      <c r="E557" s="2" t="s">
        <v>624</v>
      </c>
      <c r="F557" s="29">
        <v>0</v>
      </c>
      <c r="G557" s="30">
        <v>0.56441717791411039</v>
      </c>
      <c r="H557" s="30">
        <v>0.75776397515527949</v>
      </c>
      <c r="I557" s="37">
        <v>299.14</v>
      </c>
      <c r="J557" s="37">
        <v>401.61</v>
      </c>
      <c r="K557" s="32">
        <v>59</v>
      </c>
      <c r="L557" s="32">
        <v>58</v>
      </c>
      <c r="M557" s="32">
        <v>17649.259999999998</v>
      </c>
      <c r="N557" s="32">
        <v>23293.38</v>
      </c>
      <c r="O557" s="32">
        <v>40942.639999999999</v>
      </c>
      <c r="P557" s="32">
        <f t="shared" si="8"/>
        <v>39132.15</v>
      </c>
      <c r="Q557" s="32"/>
      <c r="R557" s="32"/>
      <c r="S557" s="7"/>
      <c r="T557" s="7"/>
      <c r="U557" s="7"/>
      <c r="V557" s="7"/>
      <c r="W557" s="2"/>
      <c r="X557" s="30"/>
      <c r="Y557" s="30"/>
      <c r="Z557" s="32"/>
      <c r="AA557" s="32"/>
      <c r="AB557" s="32"/>
      <c r="AC557" s="32"/>
      <c r="AD557" s="32"/>
      <c r="AE557" s="32"/>
      <c r="AF557" s="32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 spans="1:50" x14ac:dyDescent="0.25">
      <c r="A558">
        <v>625</v>
      </c>
      <c r="B558" s="2">
        <v>1</v>
      </c>
      <c r="C558" s="2" t="s">
        <v>603</v>
      </c>
      <c r="D558">
        <v>467</v>
      </c>
      <c r="E558" s="2" t="s">
        <v>625</v>
      </c>
      <c r="F558" s="29">
        <v>0</v>
      </c>
      <c r="G558" s="30">
        <v>0.48717948717948717</v>
      </c>
      <c r="H558" s="30">
        <v>0.7078651685393258</v>
      </c>
      <c r="I558" s="37">
        <v>258.20999999999998</v>
      </c>
      <c r="J558" s="37">
        <v>375.17</v>
      </c>
      <c r="K558" s="32">
        <v>45</v>
      </c>
      <c r="L558" s="32">
        <v>38</v>
      </c>
      <c r="M558" s="32">
        <v>11619.45</v>
      </c>
      <c r="N558" s="32">
        <v>14256.46</v>
      </c>
      <c r="O558" s="32">
        <v>25875.91</v>
      </c>
      <c r="P558" s="32">
        <f t="shared" si="8"/>
        <v>24731.67</v>
      </c>
      <c r="Q558" s="32"/>
      <c r="R558" s="32"/>
      <c r="S558" s="2"/>
      <c r="T558" s="2"/>
      <c r="V558" s="2"/>
      <c r="W558" s="2"/>
      <c r="X558" s="30"/>
      <c r="Y558" s="30"/>
      <c r="Z558" s="32"/>
      <c r="AA558" s="32"/>
      <c r="AB558" s="32"/>
      <c r="AC558" s="32"/>
      <c r="AD558" s="32"/>
      <c r="AE558" s="32"/>
      <c r="AF558" s="32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spans="1:50" x14ac:dyDescent="0.25">
      <c r="A559" s="7">
        <v>625</v>
      </c>
      <c r="B559" s="7">
        <v>1</v>
      </c>
      <c r="C559" s="7" t="s">
        <v>603</v>
      </c>
      <c r="D559" s="7">
        <v>476</v>
      </c>
      <c r="E559" s="7" t="s">
        <v>626</v>
      </c>
      <c r="F559" s="38">
        <v>0</v>
      </c>
      <c r="G559" s="30">
        <v>0.74193548387096775</v>
      </c>
      <c r="H559" s="30">
        <v>0.77837837837837842</v>
      </c>
      <c r="I559" s="37">
        <v>393.23</v>
      </c>
      <c r="J559" s="37">
        <v>412.54</v>
      </c>
      <c r="K559" s="32">
        <v>75</v>
      </c>
      <c r="L559" s="32">
        <v>61</v>
      </c>
      <c r="M559" s="32">
        <v>29492.25</v>
      </c>
      <c r="N559" s="32">
        <v>25164.94</v>
      </c>
      <c r="O559" s="32">
        <v>54657.19</v>
      </c>
      <c r="P559" s="32">
        <f t="shared" si="8"/>
        <v>52240.24</v>
      </c>
      <c r="Q559" s="32"/>
      <c r="R559" s="32"/>
      <c r="S559" s="2"/>
      <c r="T559" s="2"/>
      <c r="V559" s="2"/>
      <c r="W559" s="2"/>
      <c r="X559" s="30"/>
      <c r="Y559" s="30"/>
      <c r="Z559" s="32"/>
      <c r="AA559" s="32"/>
      <c r="AB559" s="32"/>
      <c r="AC559" s="32"/>
      <c r="AD559" s="32"/>
      <c r="AE559" s="32"/>
      <c r="AF559" s="32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 spans="1:50" x14ac:dyDescent="0.25">
      <c r="A560">
        <v>625</v>
      </c>
      <c r="B560" s="2">
        <v>1</v>
      </c>
      <c r="C560" s="2" t="s">
        <v>603</v>
      </c>
      <c r="D560">
        <v>482</v>
      </c>
      <c r="E560" s="2" t="s">
        <v>627</v>
      </c>
      <c r="F560" s="29">
        <v>0</v>
      </c>
      <c r="G560" s="30">
        <v>0.40740740740740738</v>
      </c>
      <c r="H560" s="30">
        <v>0.77142857142857146</v>
      </c>
      <c r="I560" s="37">
        <v>215.93</v>
      </c>
      <c r="J560" s="37">
        <v>408.86</v>
      </c>
      <c r="K560" s="32">
        <v>75</v>
      </c>
      <c r="L560" s="32">
        <v>77</v>
      </c>
      <c r="M560" s="32">
        <v>16194.75</v>
      </c>
      <c r="N560" s="32">
        <v>31482.22</v>
      </c>
      <c r="O560" s="32">
        <v>47676.97</v>
      </c>
      <c r="P560" s="32">
        <f t="shared" si="8"/>
        <v>45568.68</v>
      </c>
      <c r="Q560" s="32"/>
      <c r="R560" s="32"/>
      <c r="S560" s="2"/>
      <c r="T560" s="2"/>
      <c r="V560" s="2"/>
      <c r="W560" s="2"/>
      <c r="X560" s="30"/>
      <c r="Y560" s="30"/>
      <c r="Z560" s="32"/>
      <c r="AA560" s="32"/>
      <c r="AB560" s="32"/>
      <c r="AC560" s="32"/>
      <c r="AD560" s="32"/>
      <c r="AE560" s="32"/>
      <c r="AF560" s="32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 spans="1:50" x14ac:dyDescent="0.25">
      <c r="A561">
        <v>625</v>
      </c>
      <c r="B561">
        <v>1</v>
      </c>
      <c r="C561" t="s">
        <v>603</v>
      </c>
      <c r="D561">
        <v>488</v>
      </c>
      <c r="E561" t="s">
        <v>628</v>
      </c>
      <c r="F561" s="1">
        <v>0</v>
      </c>
      <c r="G561" s="30">
        <v>0.66176470588235292</v>
      </c>
      <c r="H561" s="30">
        <v>0.80701754385964908</v>
      </c>
      <c r="I561" s="37">
        <v>350.74</v>
      </c>
      <c r="J561" s="37">
        <v>427.72</v>
      </c>
      <c r="K561" s="32">
        <v>70</v>
      </c>
      <c r="L561" s="32">
        <v>58</v>
      </c>
      <c r="M561" s="32">
        <v>24551.8</v>
      </c>
      <c r="N561" s="32">
        <v>24807.759999999998</v>
      </c>
      <c r="O561" s="32">
        <v>49359.56</v>
      </c>
      <c r="P561" s="32">
        <f t="shared" si="8"/>
        <v>47176.87</v>
      </c>
      <c r="Q561" s="32"/>
      <c r="R561" s="32"/>
      <c r="S561" s="7"/>
      <c r="T561" s="7"/>
      <c r="U561" s="7"/>
      <c r="V561" s="7"/>
      <c r="W561" s="2"/>
      <c r="X561" s="30"/>
      <c r="Y561" s="30"/>
      <c r="Z561" s="32"/>
      <c r="AA561" s="32"/>
      <c r="AB561" s="32"/>
      <c r="AC561" s="32"/>
      <c r="AD561" s="32"/>
      <c r="AE561" s="32"/>
      <c r="AF561" s="32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 spans="1:50" x14ac:dyDescent="0.25">
      <c r="A562">
        <v>625</v>
      </c>
      <c r="B562" s="2">
        <v>1</v>
      </c>
      <c r="C562" s="2" t="s">
        <v>1211</v>
      </c>
      <c r="D562">
        <v>489</v>
      </c>
      <c r="E562" s="2" t="s">
        <v>1296</v>
      </c>
      <c r="F562" s="29">
        <v>0</v>
      </c>
      <c r="G562" s="30">
        <v>0.69863013698630139</v>
      </c>
      <c r="H562" s="30">
        <v>0.77777777777777779</v>
      </c>
      <c r="I562" s="37">
        <v>370.27</v>
      </c>
      <c r="J562" s="37">
        <v>412.22</v>
      </c>
      <c r="K562" s="32">
        <v>77</v>
      </c>
      <c r="L562" s="32">
        <v>65</v>
      </c>
      <c r="M562" s="32">
        <v>28510.79</v>
      </c>
      <c r="N562" s="32">
        <v>26794.3</v>
      </c>
      <c r="O562" s="32">
        <v>55305.09</v>
      </c>
      <c r="P562" s="32">
        <f t="shared" si="8"/>
        <v>52859.49</v>
      </c>
      <c r="Q562" s="32"/>
      <c r="R562" s="32"/>
      <c r="S562" s="3"/>
      <c r="T562" s="3"/>
      <c r="V562" s="27"/>
      <c r="W562" s="2"/>
      <c r="X562" s="30"/>
      <c r="Y562" s="30"/>
      <c r="Z562" s="32"/>
      <c r="AA562" s="32"/>
      <c r="AB562" s="32"/>
      <c r="AC562" s="32"/>
      <c r="AD562" s="32"/>
      <c r="AE562" s="32"/>
      <c r="AF562" s="32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 spans="1:50" x14ac:dyDescent="0.25">
      <c r="A563">
        <v>625</v>
      </c>
      <c r="B563" s="2">
        <v>1</v>
      </c>
      <c r="C563" s="2" t="s">
        <v>603</v>
      </c>
      <c r="D563">
        <v>491</v>
      </c>
      <c r="E563" s="2" t="s">
        <v>629</v>
      </c>
      <c r="F563" s="29">
        <v>0</v>
      </c>
      <c r="G563" s="30">
        <v>0.73958333333333337</v>
      </c>
      <c r="H563" s="30">
        <v>0.86111111111111116</v>
      </c>
      <c r="I563" s="37">
        <v>391.98</v>
      </c>
      <c r="J563" s="37">
        <v>456.39</v>
      </c>
      <c r="K563" s="32">
        <v>61</v>
      </c>
      <c r="L563" s="32">
        <v>57</v>
      </c>
      <c r="M563" s="32">
        <v>23910.78</v>
      </c>
      <c r="N563" s="32">
        <v>26014.23</v>
      </c>
      <c r="O563" s="32">
        <v>49925.009999999995</v>
      </c>
      <c r="P563" s="32">
        <f t="shared" si="8"/>
        <v>47717.31</v>
      </c>
      <c r="Q563" s="32"/>
      <c r="R563" s="32"/>
      <c r="S563" s="2"/>
      <c r="T563" s="2"/>
      <c r="V563" s="2"/>
      <c r="W563" s="2"/>
      <c r="X563" s="30"/>
      <c r="Y563" s="30"/>
      <c r="Z563" s="32"/>
      <c r="AA563" s="32"/>
      <c r="AB563" s="32"/>
      <c r="AC563" s="32"/>
      <c r="AD563" s="32"/>
      <c r="AE563" s="32"/>
      <c r="AF563" s="32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 spans="1:50" x14ac:dyDescent="0.25">
      <c r="A564">
        <v>625</v>
      </c>
      <c r="B564" s="2">
        <v>1</v>
      </c>
      <c r="C564" s="2" t="s">
        <v>603</v>
      </c>
      <c r="D564">
        <v>493</v>
      </c>
      <c r="E564" s="2" t="s">
        <v>630</v>
      </c>
      <c r="F564" s="29">
        <v>0</v>
      </c>
      <c r="G564" s="30">
        <v>0.7857142857142857</v>
      </c>
      <c r="H564" s="30">
        <v>0.79220779220779225</v>
      </c>
      <c r="I564" s="37">
        <v>416.43</v>
      </c>
      <c r="J564" s="37">
        <v>419.87</v>
      </c>
      <c r="K564" s="32">
        <v>61</v>
      </c>
      <c r="L564" s="32">
        <v>50</v>
      </c>
      <c r="M564" s="32">
        <v>25402.23</v>
      </c>
      <c r="N564" s="32">
        <v>20993.5</v>
      </c>
      <c r="O564" s="32">
        <v>46395.729999999996</v>
      </c>
      <c r="P564" s="32">
        <f t="shared" si="8"/>
        <v>44344.1</v>
      </c>
      <c r="Q564" s="32"/>
      <c r="R564" s="32"/>
      <c r="S564" s="2"/>
      <c r="T564" s="2"/>
      <c r="V564" s="2"/>
      <c r="W564" s="2"/>
      <c r="X564" s="30"/>
      <c r="Y564" s="30"/>
      <c r="Z564" s="32"/>
      <c r="AA564" s="32"/>
      <c r="AB564" s="32"/>
      <c r="AC564" s="32"/>
      <c r="AD564" s="32"/>
      <c r="AE564" s="32"/>
      <c r="AF564" s="32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 spans="1:50" x14ac:dyDescent="0.25">
      <c r="A565">
        <v>625</v>
      </c>
      <c r="B565" s="2">
        <v>1</v>
      </c>
      <c r="C565" s="2" t="s">
        <v>603</v>
      </c>
      <c r="D565">
        <v>494</v>
      </c>
      <c r="E565" s="2" t="s">
        <v>631</v>
      </c>
      <c r="F565" s="29">
        <v>0</v>
      </c>
      <c r="G565" s="30">
        <v>0.91601049868766404</v>
      </c>
      <c r="H565" s="30">
        <v>0.82849604221635886</v>
      </c>
      <c r="I565" s="37">
        <v>485.49</v>
      </c>
      <c r="J565" s="37">
        <v>439.1</v>
      </c>
      <c r="K565" s="32">
        <v>136</v>
      </c>
      <c r="L565" s="32">
        <v>129</v>
      </c>
      <c r="M565" s="32">
        <v>66026.64</v>
      </c>
      <c r="N565" s="32">
        <v>56643.9</v>
      </c>
      <c r="O565" s="32">
        <v>122670.54000000001</v>
      </c>
      <c r="P565" s="32">
        <f t="shared" si="8"/>
        <v>117246.02</v>
      </c>
      <c r="Q565" s="32"/>
      <c r="R565" s="32"/>
      <c r="S565" s="2"/>
      <c r="T565" s="2"/>
      <c r="V565" s="2"/>
      <c r="W565" s="2"/>
      <c r="X565" s="30"/>
      <c r="Y565" s="30"/>
      <c r="Z565" s="32"/>
      <c r="AA565" s="32"/>
      <c r="AB565" s="32"/>
      <c r="AC565" s="32"/>
      <c r="AD565" s="32"/>
      <c r="AE565" s="32"/>
      <c r="AF565" s="32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 spans="1:50" x14ac:dyDescent="0.25">
      <c r="A566">
        <v>625</v>
      </c>
      <c r="B566" s="2">
        <v>1</v>
      </c>
      <c r="C566" s="2" t="s">
        <v>603</v>
      </c>
      <c r="D566">
        <v>496</v>
      </c>
      <c r="E566" s="2" t="s">
        <v>632</v>
      </c>
      <c r="F566" s="29">
        <v>0</v>
      </c>
      <c r="G566" s="30">
        <v>0.39814814814814814</v>
      </c>
      <c r="H566" s="30">
        <v>0.62790697674418605</v>
      </c>
      <c r="I566" s="37">
        <v>211.02</v>
      </c>
      <c r="J566" s="37">
        <v>332.79</v>
      </c>
      <c r="K566" s="32">
        <v>40</v>
      </c>
      <c r="L566" s="32">
        <v>44</v>
      </c>
      <c r="M566" s="32">
        <v>8440.7999999999993</v>
      </c>
      <c r="N566" s="32">
        <v>14642.76</v>
      </c>
      <c r="O566" s="32">
        <v>23083.559999999998</v>
      </c>
      <c r="P566" s="32">
        <f t="shared" si="8"/>
        <v>22062.799999999999</v>
      </c>
      <c r="Q566" s="32"/>
      <c r="R566" s="32"/>
      <c r="S566" s="7"/>
      <c r="T566" s="7"/>
      <c r="U566" s="7"/>
      <c r="V566" s="7"/>
      <c r="W566" s="2"/>
      <c r="X566" s="30"/>
      <c r="Y566" s="30"/>
      <c r="Z566" s="32"/>
      <c r="AA566" s="32"/>
      <c r="AB566" s="32"/>
      <c r="AC566" s="32"/>
      <c r="AD566" s="32"/>
      <c r="AE566" s="32"/>
      <c r="AF566" s="32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 spans="1:50" x14ac:dyDescent="0.25">
      <c r="A567">
        <v>625</v>
      </c>
      <c r="B567" s="2">
        <v>1</v>
      </c>
      <c r="C567" s="2" t="s">
        <v>603</v>
      </c>
      <c r="D567">
        <v>500</v>
      </c>
      <c r="E567" s="2" t="s">
        <v>634</v>
      </c>
      <c r="F567" s="29">
        <v>0</v>
      </c>
      <c r="G567" s="30">
        <v>0.45410628019323673</v>
      </c>
      <c r="H567" s="30">
        <v>0.75257731958762886</v>
      </c>
      <c r="I567" s="37">
        <v>240.68</v>
      </c>
      <c r="J567" s="37">
        <v>398.87</v>
      </c>
      <c r="K567" s="32">
        <v>60</v>
      </c>
      <c r="L567" s="32">
        <v>72</v>
      </c>
      <c r="M567" s="32">
        <v>14440.8</v>
      </c>
      <c r="N567" s="32">
        <v>28718.639999999999</v>
      </c>
      <c r="O567" s="32">
        <v>43159.44</v>
      </c>
      <c r="P567" s="32">
        <f t="shared" si="8"/>
        <v>41250.92</v>
      </c>
      <c r="Q567" s="32"/>
      <c r="R567" s="32"/>
      <c r="S567" s="2"/>
      <c r="T567" s="2"/>
      <c r="V567" s="2"/>
      <c r="W567" s="2"/>
      <c r="X567" s="30"/>
      <c r="Y567" s="30"/>
      <c r="Z567" s="32"/>
      <c r="AA567" s="32"/>
      <c r="AB567" s="32"/>
      <c r="AC567" s="32"/>
      <c r="AD567" s="32"/>
      <c r="AE567" s="32"/>
      <c r="AF567" s="32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 spans="1:50" x14ac:dyDescent="0.25">
      <c r="A568">
        <v>625</v>
      </c>
      <c r="B568" s="2">
        <v>1</v>
      </c>
      <c r="C568" s="2" t="s">
        <v>603</v>
      </c>
      <c r="D568">
        <v>510</v>
      </c>
      <c r="E568" s="2" t="s">
        <v>635</v>
      </c>
      <c r="F568" s="29">
        <v>1</v>
      </c>
      <c r="G568" s="30" t="s">
        <v>1328</v>
      </c>
      <c r="H568" s="30" t="s">
        <v>1328</v>
      </c>
      <c r="I568" s="37" t="s">
        <v>1328</v>
      </c>
      <c r="J568" s="37" t="s">
        <v>1328</v>
      </c>
      <c r="K568" s="32">
        <v>80</v>
      </c>
      <c r="L568" s="32">
        <v>0</v>
      </c>
      <c r="M568" s="32" t="s">
        <v>1328</v>
      </c>
      <c r="N568" s="32" t="s">
        <v>1328</v>
      </c>
      <c r="O568" s="32">
        <v>26426.400000000001</v>
      </c>
      <c r="P568" s="32">
        <f t="shared" si="8"/>
        <v>25257.82</v>
      </c>
      <c r="Q568" s="32"/>
      <c r="R568" s="32"/>
      <c r="W568" s="2"/>
      <c r="X568" s="30"/>
      <c r="Y568" s="30"/>
      <c r="Z568" s="32"/>
      <c r="AA568" s="32"/>
      <c r="AB568" s="32"/>
      <c r="AC568" s="32"/>
      <c r="AD568" s="32"/>
      <c r="AE568" s="32"/>
      <c r="AF568" s="32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 spans="1:50" x14ac:dyDescent="0.25">
      <c r="A569">
        <v>625</v>
      </c>
      <c r="B569" s="2">
        <v>1</v>
      </c>
      <c r="C569" s="2" t="s">
        <v>603</v>
      </c>
      <c r="D569">
        <v>512</v>
      </c>
      <c r="E569" s="2" t="s">
        <v>636</v>
      </c>
      <c r="F569" s="29">
        <v>1</v>
      </c>
      <c r="G569" s="30" t="s">
        <v>1328</v>
      </c>
      <c r="H569" s="30" t="s">
        <v>1328</v>
      </c>
      <c r="I569" s="37" t="s">
        <v>1328</v>
      </c>
      <c r="J569" s="37" t="s">
        <v>1328</v>
      </c>
      <c r="K569" s="32">
        <v>0</v>
      </c>
      <c r="L569" s="32">
        <v>0</v>
      </c>
      <c r="M569" s="32" t="s">
        <v>1328</v>
      </c>
      <c r="N569" s="32" t="s">
        <v>1328</v>
      </c>
      <c r="O569" s="32">
        <v>0</v>
      </c>
      <c r="P569" s="32">
        <f t="shared" si="8"/>
        <v>0</v>
      </c>
      <c r="Q569" s="32"/>
      <c r="R569" s="32"/>
      <c r="S569" s="2"/>
      <c r="T569" s="2"/>
      <c r="V569" s="2"/>
      <c r="W569" s="2"/>
      <c r="X569" s="30"/>
      <c r="Y569" s="30"/>
      <c r="Z569" s="32"/>
      <c r="AA569" s="32"/>
      <c r="AB569" s="32"/>
      <c r="AC569" s="32"/>
      <c r="AD569" s="32"/>
      <c r="AE569" s="32"/>
      <c r="AF569" s="32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 spans="1:50" x14ac:dyDescent="0.25">
      <c r="A570">
        <v>625</v>
      </c>
      <c r="B570">
        <v>1</v>
      </c>
      <c r="C570" t="s">
        <v>603</v>
      </c>
      <c r="D570">
        <v>518</v>
      </c>
      <c r="E570" t="s">
        <v>637</v>
      </c>
      <c r="F570" s="1">
        <v>0</v>
      </c>
      <c r="G570" s="30">
        <v>0.88571428571428568</v>
      </c>
      <c r="H570" s="30">
        <v>0.91975308641975306</v>
      </c>
      <c r="I570" s="37">
        <v>469.43</v>
      </c>
      <c r="J570" s="37">
        <v>487.47</v>
      </c>
      <c r="K570" s="32">
        <v>64</v>
      </c>
      <c r="L570" s="32">
        <v>54</v>
      </c>
      <c r="M570" s="32">
        <v>30043.52</v>
      </c>
      <c r="N570" s="32">
        <v>26323.38</v>
      </c>
      <c r="O570" s="32">
        <v>56366.9</v>
      </c>
      <c r="P570" s="32">
        <f t="shared" si="8"/>
        <v>53874.34</v>
      </c>
      <c r="Q570" s="32"/>
      <c r="R570" s="32"/>
      <c r="S570" s="2"/>
      <c r="T570" s="2"/>
      <c r="V570" s="2"/>
      <c r="W570" s="2"/>
      <c r="X570" s="30"/>
      <c r="Y570" s="30"/>
      <c r="Z570" s="32"/>
      <c r="AA570" s="32"/>
      <c r="AB570" s="32"/>
      <c r="AC570" s="32"/>
      <c r="AD570" s="32"/>
      <c r="AE570" s="32"/>
      <c r="AF570" s="32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 spans="1:50" x14ac:dyDescent="0.25">
      <c r="A571">
        <v>625</v>
      </c>
      <c r="B571" s="2">
        <v>1</v>
      </c>
      <c r="C571" s="2" t="s">
        <v>603</v>
      </c>
      <c r="D571">
        <v>524</v>
      </c>
      <c r="E571" s="2" t="s">
        <v>638</v>
      </c>
      <c r="F571" s="29">
        <v>0</v>
      </c>
      <c r="G571" s="30">
        <v>0.30081300813008133</v>
      </c>
      <c r="H571" s="30">
        <v>0.68867924528301883</v>
      </c>
      <c r="I571" s="37">
        <v>159.43</v>
      </c>
      <c r="J571" s="37">
        <v>365</v>
      </c>
      <c r="K571" s="32">
        <v>42</v>
      </c>
      <c r="L571" s="32">
        <v>43</v>
      </c>
      <c r="M571" s="32">
        <v>6696.06</v>
      </c>
      <c r="N571" s="32">
        <v>15695</v>
      </c>
      <c r="O571" s="32">
        <v>22391.06</v>
      </c>
      <c r="P571" s="32">
        <f t="shared" si="8"/>
        <v>21400.92</v>
      </c>
      <c r="Q571" s="32"/>
      <c r="R571" s="32"/>
      <c r="S571" s="2"/>
      <c r="T571" s="2"/>
      <c r="V571" s="2"/>
      <c r="W571" s="2"/>
      <c r="X571" s="30"/>
      <c r="Y571" s="30"/>
      <c r="Z571" s="32"/>
      <c r="AA571" s="32"/>
      <c r="AB571" s="32"/>
      <c r="AC571" s="32"/>
      <c r="AD571" s="32"/>
      <c r="AE571" s="32"/>
      <c r="AF571" s="32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</row>
    <row r="572" spans="1:50" x14ac:dyDescent="0.25">
      <c r="A572">
        <v>625</v>
      </c>
      <c r="B572" s="2">
        <v>1</v>
      </c>
      <c r="C572" s="2" t="s">
        <v>603</v>
      </c>
      <c r="D572">
        <v>527</v>
      </c>
      <c r="E572" s="2" t="s">
        <v>639</v>
      </c>
      <c r="F572" s="29">
        <v>0</v>
      </c>
      <c r="G572" s="30">
        <v>0.43518518518518517</v>
      </c>
      <c r="H572" s="30">
        <v>0.64640883977900554</v>
      </c>
      <c r="I572" s="37">
        <v>230.65</v>
      </c>
      <c r="J572" s="37">
        <v>342.6</v>
      </c>
      <c r="K572" s="32">
        <v>76</v>
      </c>
      <c r="L572" s="32">
        <v>69</v>
      </c>
      <c r="M572" s="32">
        <v>17529.400000000001</v>
      </c>
      <c r="N572" s="32">
        <v>23639.4</v>
      </c>
      <c r="O572" s="32">
        <v>41168.800000000003</v>
      </c>
      <c r="P572" s="32">
        <f t="shared" si="8"/>
        <v>39348.31</v>
      </c>
      <c r="Q572" s="32"/>
      <c r="R572" s="32"/>
      <c r="S572" s="2"/>
      <c r="T572" s="2"/>
      <c r="V572" s="2"/>
      <c r="W572" s="2"/>
      <c r="X572" s="30"/>
      <c r="Y572" s="30"/>
      <c r="Z572" s="32"/>
      <c r="AA572" s="32"/>
      <c r="AB572" s="32"/>
      <c r="AC572" s="32"/>
      <c r="AD572" s="32"/>
      <c r="AE572" s="32"/>
      <c r="AF572" s="32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 spans="1:50" x14ac:dyDescent="0.25">
      <c r="A573">
        <v>625</v>
      </c>
      <c r="B573" s="2">
        <v>1</v>
      </c>
      <c r="C573" s="2" t="s">
        <v>603</v>
      </c>
      <c r="D573">
        <v>528</v>
      </c>
      <c r="E573" s="2" t="s">
        <v>640</v>
      </c>
      <c r="F573" s="29">
        <v>1</v>
      </c>
      <c r="G573" s="30" t="s">
        <v>1328</v>
      </c>
      <c r="H573" s="30" t="s">
        <v>1328</v>
      </c>
      <c r="I573" s="37" t="s">
        <v>1328</v>
      </c>
      <c r="J573" s="37" t="s">
        <v>1328</v>
      </c>
      <c r="K573" s="32">
        <v>0</v>
      </c>
      <c r="L573" s="32">
        <v>74</v>
      </c>
      <c r="M573" s="32" t="s">
        <v>1328</v>
      </c>
      <c r="N573" s="32" t="s">
        <v>1328</v>
      </c>
      <c r="O573" s="32">
        <v>29271.439999999999</v>
      </c>
      <c r="P573" s="32">
        <f t="shared" si="8"/>
        <v>27977.05</v>
      </c>
      <c r="Q573" s="32"/>
      <c r="R573" s="32"/>
      <c r="S573" s="2"/>
      <c r="T573" s="2"/>
      <c r="V573" s="2"/>
      <c r="W573" s="2"/>
      <c r="X573" s="30"/>
      <c r="Y573" s="30"/>
      <c r="Z573" s="32"/>
      <c r="AA573" s="32"/>
      <c r="AB573" s="32"/>
      <c r="AC573" s="32"/>
      <c r="AD573" s="32"/>
      <c r="AE573" s="32"/>
      <c r="AF573" s="32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 spans="1:50" x14ac:dyDescent="0.25">
      <c r="A574">
        <v>625</v>
      </c>
      <c r="B574" s="2">
        <v>1</v>
      </c>
      <c r="C574" s="2" t="s">
        <v>603</v>
      </c>
      <c r="D574">
        <v>530</v>
      </c>
      <c r="E574" s="2" t="s">
        <v>641</v>
      </c>
      <c r="F574" s="29">
        <v>0</v>
      </c>
      <c r="G574" s="30">
        <v>0.43243243243243246</v>
      </c>
      <c r="H574" s="30">
        <v>0.77952755905511806</v>
      </c>
      <c r="I574" s="37">
        <v>229.19</v>
      </c>
      <c r="J574" s="37">
        <v>413.15</v>
      </c>
      <c r="K574" s="32">
        <v>49</v>
      </c>
      <c r="L574" s="32">
        <v>44</v>
      </c>
      <c r="M574" s="32">
        <v>11230.31</v>
      </c>
      <c r="N574" s="32">
        <v>18178.599999999999</v>
      </c>
      <c r="O574" s="32">
        <v>29408.909999999996</v>
      </c>
      <c r="P574" s="32">
        <f t="shared" si="8"/>
        <v>28108.44</v>
      </c>
      <c r="Q574" s="32"/>
      <c r="R574" s="32"/>
      <c r="S574" s="2"/>
      <c r="T574" s="2"/>
      <c r="V574" s="2"/>
      <c r="W574" s="2"/>
      <c r="X574" s="30"/>
      <c r="Y574" s="30"/>
      <c r="Z574" s="32"/>
      <c r="AA574" s="32"/>
      <c r="AB574" s="32"/>
      <c r="AC574" s="32"/>
      <c r="AD574" s="32"/>
      <c r="AE574" s="32"/>
      <c r="AF574" s="32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 spans="1:50" x14ac:dyDescent="0.25">
      <c r="A575">
        <v>625</v>
      </c>
      <c r="B575" s="2">
        <v>1</v>
      </c>
      <c r="C575" s="2" t="s">
        <v>603</v>
      </c>
      <c r="D575">
        <v>533</v>
      </c>
      <c r="E575" s="2" t="s">
        <v>642</v>
      </c>
      <c r="F575" s="29">
        <v>0</v>
      </c>
      <c r="G575" s="30">
        <v>0.63297872340425532</v>
      </c>
      <c r="H575" s="30">
        <v>0.78823529411764703</v>
      </c>
      <c r="I575" s="37">
        <v>335.48</v>
      </c>
      <c r="J575" s="37">
        <v>417.76</v>
      </c>
      <c r="K575" s="32">
        <v>65</v>
      </c>
      <c r="L575" s="32">
        <v>70</v>
      </c>
      <c r="M575" s="32">
        <v>21806.2</v>
      </c>
      <c r="N575" s="32">
        <v>29243.200000000001</v>
      </c>
      <c r="O575" s="32">
        <v>51049.4</v>
      </c>
      <c r="P575" s="32">
        <f t="shared" si="8"/>
        <v>48791.98</v>
      </c>
      <c r="Q575" s="32"/>
      <c r="R575" s="32"/>
      <c r="S575" s="2"/>
      <c r="T575" s="2"/>
      <c r="V575" s="2"/>
      <c r="W575" s="2"/>
      <c r="X575" s="30"/>
      <c r="Y575" s="30"/>
      <c r="Z575" s="32"/>
      <c r="AA575" s="32"/>
      <c r="AB575" s="32"/>
      <c r="AC575" s="32"/>
      <c r="AD575" s="32"/>
      <c r="AE575" s="32"/>
      <c r="AF575" s="32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</row>
    <row r="576" spans="1:50" x14ac:dyDescent="0.25">
      <c r="A576">
        <v>625</v>
      </c>
      <c r="B576" s="2">
        <v>1</v>
      </c>
      <c r="C576" s="2" t="s">
        <v>603</v>
      </c>
      <c r="D576">
        <v>536</v>
      </c>
      <c r="E576" s="2" t="s">
        <v>643</v>
      </c>
      <c r="F576" s="29">
        <v>1</v>
      </c>
      <c r="G576" s="30" t="s">
        <v>1328</v>
      </c>
      <c r="H576" s="30" t="s">
        <v>1328</v>
      </c>
      <c r="I576" s="37" t="s">
        <v>1328</v>
      </c>
      <c r="J576" s="37" t="s">
        <v>1328</v>
      </c>
      <c r="K576" s="32">
        <v>0</v>
      </c>
      <c r="L576" s="32">
        <v>0</v>
      </c>
      <c r="M576" s="32" t="s">
        <v>1328</v>
      </c>
      <c r="N576" s="32" t="s">
        <v>1328</v>
      </c>
      <c r="O576" s="32">
        <v>0</v>
      </c>
      <c r="P576" s="32">
        <f t="shared" si="8"/>
        <v>0</v>
      </c>
      <c r="Q576" s="32"/>
      <c r="R576" s="32"/>
      <c r="S576" s="2"/>
      <c r="T576" s="2"/>
      <c r="V576" s="2"/>
      <c r="W576" s="2"/>
      <c r="X576" s="30"/>
      <c r="Y576" s="30"/>
      <c r="Z576" s="32"/>
      <c r="AA576" s="32"/>
      <c r="AB576" s="32"/>
      <c r="AC576" s="32"/>
      <c r="AD576" s="32"/>
      <c r="AE576" s="32"/>
      <c r="AF576" s="32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 spans="1:50" x14ac:dyDescent="0.25">
      <c r="A577">
        <v>625</v>
      </c>
      <c r="B577" s="2">
        <v>1</v>
      </c>
      <c r="C577" s="2" t="s">
        <v>603</v>
      </c>
      <c r="D577">
        <v>541</v>
      </c>
      <c r="E577" s="2" t="s">
        <v>644</v>
      </c>
      <c r="F577" s="29">
        <v>0</v>
      </c>
      <c r="G577" s="30">
        <v>0.41224489795918368</v>
      </c>
      <c r="H577" s="30">
        <v>0.80616740088105732</v>
      </c>
      <c r="I577" s="37">
        <v>218.49</v>
      </c>
      <c r="J577" s="37">
        <v>427.27</v>
      </c>
      <c r="K577" s="32">
        <v>104</v>
      </c>
      <c r="L577" s="32">
        <v>80</v>
      </c>
      <c r="M577" s="32">
        <v>22722.959999999999</v>
      </c>
      <c r="N577" s="32">
        <v>34181.599999999999</v>
      </c>
      <c r="O577" s="32">
        <v>56904.56</v>
      </c>
      <c r="P577" s="32">
        <f t="shared" si="8"/>
        <v>54388.23</v>
      </c>
      <c r="Q577" s="32"/>
      <c r="R577" s="32"/>
      <c r="W577" s="2"/>
      <c r="X577" s="30"/>
      <c r="Y577" s="30"/>
      <c r="Z577" s="32"/>
      <c r="AA577" s="32"/>
      <c r="AB577" s="32"/>
      <c r="AC577" s="32"/>
      <c r="AD577" s="32"/>
      <c r="AE577" s="32"/>
      <c r="AF577" s="32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</row>
    <row r="578" spans="1:50" x14ac:dyDescent="0.25">
      <c r="A578">
        <v>625</v>
      </c>
      <c r="B578" s="2">
        <v>1</v>
      </c>
      <c r="C578" s="2" t="s">
        <v>603</v>
      </c>
      <c r="D578">
        <v>542</v>
      </c>
      <c r="E578" s="2" t="s">
        <v>645</v>
      </c>
      <c r="F578" s="29">
        <v>1</v>
      </c>
      <c r="G578" s="30" t="s">
        <v>1328</v>
      </c>
      <c r="H578" s="30" t="s">
        <v>1328</v>
      </c>
      <c r="I578" s="37" t="s">
        <v>1328</v>
      </c>
      <c r="J578" s="37" t="s">
        <v>1328</v>
      </c>
      <c r="K578" s="32">
        <v>0</v>
      </c>
      <c r="L578" s="32">
        <v>0</v>
      </c>
      <c r="M578" s="32" t="s">
        <v>1328</v>
      </c>
      <c r="N578" s="32" t="s">
        <v>1328</v>
      </c>
      <c r="O578" s="32">
        <v>0</v>
      </c>
      <c r="P578" s="32">
        <f t="shared" si="8"/>
        <v>0</v>
      </c>
      <c r="Q578" s="32"/>
      <c r="R578" s="32"/>
      <c r="S578" s="2"/>
      <c r="T578" s="2"/>
      <c r="V578" s="2"/>
      <c r="W578" s="2"/>
      <c r="X578" s="30"/>
      <c r="Y578" s="30"/>
      <c r="Z578" s="32"/>
      <c r="AA578" s="32"/>
      <c r="AB578" s="32"/>
      <c r="AC578" s="32"/>
      <c r="AD578" s="32"/>
      <c r="AE578" s="32"/>
      <c r="AF578" s="32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 spans="1:50" x14ac:dyDescent="0.25">
      <c r="A579">
        <v>625</v>
      </c>
      <c r="B579" s="2">
        <v>1</v>
      </c>
      <c r="C579" s="2" t="s">
        <v>603</v>
      </c>
      <c r="D579">
        <v>545</v>
      </c>
      <c r="E579" s="2" t="s">
        <v>646</v>
      </c>
      <c r="F579" s="29">
        <v>0</v>
      </c>
      <c r="G579" s="30">
        <v>0.91719745222929938</v>
      </c>
      <c r="H579" s="30">
        <v>0.8</v>
      </c>
      <c r="I579" s="37">
        <v>486.11</v>
      </c>
      <c r="J579" s="37">
        <v>424</v>
      </c>
      <c r="K579" s="32">
        <v>52</v>
      </c>
      <c r="L579" s="32">
        <v>51</v>
      </c>
      <c r="M579" s="32">
        <v>25277.72</v>
      </c>
      <c r="N579" s="32">
        <v>21624</v>
      </c>
      <c r="O579" s="32">
        <v>46901.72</v>
      </c>
      <c r="P579" s="32">
        <f t="shared" si="8"/>
        <v>44827.71</v>
      </c>
      <c r="Q579" s="32"/>
      <c r="R579" s="32"/>
      <c r="S579" s="2"/>
      <c r="T579" s="2"/>
      <c r="V579" s="2"/>
      <c r="W579" s="2"/>
      <c r="X579" s="30"/>
      <c r="Y579" s="30"/>
      <c r="Z579" s="32"/>
      <c r="AA579" s="32"/>
      <c r="AB579" s="32"/>
      <c r="AC579" s="32"/>
      <c r="AD579" s="32"/>
      <c r="AE579" s="32"/>
      <c r="AF579" s="32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</row>
    <row r="580" spans="1:50" x14ac:dyDescent="0.25">
      <c r="A580">
        <v>625</v>
      </c>
      <c r="B580" s="2">
        <v>1</v>
      </c>
      <c r="C580" s="2" t="s">
        <v>603</v>
      </c>
      <c r="D580">
        <v>551</v>
      </c>
      <c r="E580" s="2" t="s">
        <v>647</v>
      </c>
      <c r="F580" s="29">
        <v>0</v>
      </c>
      <c r="G580" s="30">
        <v>0.55102040816326525</v>
      </c>
      <c r="H580" s="30">
        <v>0.73134328358208955</v>
      </c>
      <c r="I580" s="37">
        <v>292.04000000000002</v>
      </c>
      <c r="J580" s="37">
        <v>387.61</v>
      </c>
      <c r="K580" s="32">
        <v>50</v>
      </c>
      <c r="L580" s="32">
        <v>48</v>
      </c>
      <c r="M580" s="32">
        <v>14602</v>
      </c>
      <c r="N580" s="32">
        <v>18605.28</v>
      </c>
      <c r="O580" s="32">
        <v>33207.279999999999</v>
      </c>
      <c r="P580" s="32">
        <f t="shared" si="8"/>
        <v>31738.85</v>
      </c>
      <c r="Q580" s="32"/>
      <c r="R580" s="32"/>
      <c r="S580" s="2"/>
      <c r="T580" s="2"/>
      <c r="V580" s="2"/>
      <c r="W580" s="2"/>
      <c r="X580" s="30"/>
      <c r="Y580" s="30"/>
      <c r="Z580" s="32"/>
      <c r="AA580" s="32"/>
      <c r="AB580" s="32"/>
      <c r="AC580" s="32"/>
      <c r="AD580" s="32"/>
      <c r="AE580" s="32"/>
      <c r="AF580" s="32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 spans="1:50" x14ac:dyDescent="0.25">
      <c r="A581">
        <v>625</v>
      </c>
      <c r="B581" s="2">
        <v>1</v>
      </c>
      <c r="C581" s="2" t="s">
        <v>603</v>
      </c>
      <c r="D581">
        <v>552</v>
      </c>
      <c r="E581" s="2" t="s">
        <v>648</v>
      </c>
      <c r="F581" s="29">
        <v>0</v>
      </c>
      <c r="G581" s="30">
        <v>0.49621212121212122</v>
      </c>
      <c r="H581" s="30">
        <v>0.71784232365145229</v>
      </c>
      <c r="I581" s="37">
        <v>262.99</v>
      </c>
      <c r="J581" s="37">
        <v>380.46</v>
      </c>
      <c r="K581" s="32">
        <v>94</v>
      </c>
      <c r="L581" s="32">
        <v>98</v>
      </c>
      <c r="M581" s="32">
        <v>24721.06</v>
      </c>
      <c r="N581" s="32">
        <v>37285.08</v>
      </c>
      <c r="O581" s="32">
        <v>62006.14</v>
      </c>
      <c r="P581" s="32">
        <f t="shared" si="8"/>
        <v>59264.21</v>
      </c>
      <c r="Q581" s="32"/>
      <c r="R581" s="32"/>
      <c r="S581" s="2"/>
      <c r="T581" s="2"/>
      <c r="V581" s="2"/>
      <c r="W581" s="2"/>
      <c r="X581" s="30"/>
      <c r="Y581" s="30"/>
      <c r="Z581" s="32"/>
      <c r="AA581" s="32"/>
      <c r="AB581" s="32"/>
      <c r="AC581" s="32"/>
      <c r="AD581" s="32"/>
      <c r="AE581" s="32"/>
      <c r="AF581" s="32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</row>
    <row r="582" spans="1:50" x14ac:dyDescent="0.25">
      <c r="A582">
        <v>625</v>
      </c>
      <c r="B582" s="2">
        <v>1</v>
      </c>
      <c r="C582" s="2" t="s">
        <v>603</v>
      </c>
      <c r="D582">
        <v>554</v>
      </c>
      <c r="E582" s="2" t="s">
        <v>649</v>
      </c>
      <c r="F582" s="29">
        <v>1</v>
      </c>
      <c r="G582" s="30" t="s">
        <v>1328</v>
      </c>
      <c r="H582" s="30" t="s">
        <v>1328</v>
      </c>
      <c r="I582" s="37" t="s">
        <v>1328</v>
      </c>
      <c r="J582" s="37" t="s">
        <v>1328</v>
      </c>
      <c r="K582" s="32">
        <v>0</v>
      </c>
      <c r="L582" s="32">
        <v>0</v>
      </c>
      <c r="M582" s="32" t="s">
        <v>1328</v>
      </c>
      <c r="N582" s="32" t="s">
        <v>1328</v>
      </c>
      <c r="O582" s="32">
        <v>0</v>
      </c>
      <c r="P582" s="32">
        <f t="shared" si="8"/>
        <v>0</v>
      </c>
      <c r="Q582" s="32"/>
      <c r="R582" s="32"/>
      <c r="S582" s="2"/>
      <c r="T582" s="2"/>
      <c r="V582" s="2"/>
      <c r="W582" s="2"/>
      <c r="X582" s="30"/>
      <c r="Y582" s="30"/>
      <c r="Z582" s="32"/>
      <c r="AA582" s="32"/>
      <c r="AB582" s="32"/>
      <c r="AC582" s="32"/>
      <c r="AD582" s="32"/>
      <c r="AE582" s="32"/>
      <c r="AF582" s="32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 spans="1:50" x14ac:dyDescent="0.25">
      <c r="A583">
        <v>625</v>
      </c>
      <c r="B583" s="2">
        <v>1</v>
      </c>
      <c r="C583" s="2" t="s">
        <v>603</v>
      </c>
      <c r="D583">
        <v>557</v>
      </c>
      <c r="E583" s="2" t="s">
        <v>650</v>
      </c>
      <c r="F583" s="29">
        <v>0</v>
      </c>
      <c r="G583" s="30">
        <v>0.88495575221238942</v>
      </c>
      <c r="H583" s="30">
        <v>0.87958115183246077</v>
      </c>
      <c r="I583" s="37">
        <v>469.03</v>
      </c>
      <c r="J583" s="37">
        <v>466.18</v>
      </c>
      <c r="K583" s="32">
        <v>80</v>
      </c>
      <c r="L583" s="32">
        <v>74</v>
      </c>
      <c r="M583" s="32">
        <v>37522.400000000001</v>
      </c>
      <c r="N583" s="32">
        <v>34497.32</v>
      </c>
      <c r="O583" s="32">
        <v>72019.72</v>
      </c>
      <c r="P583" s="32">
        <f t="shared" si="8"/>
        <v>68834.990000000005</v>
      </c>
      <c r="Q583" s="32"/>
      <c r="R583" s="32"/>
      <c r="S583" s="2"/>
      <c r="T583" s="2"/>
      <c r="V583" s="2"/>
      <c r="W583" s="2"/>
      <c r="X583" s="30"/>
      <c r="Y583" s="30"/>
      <c r="Z583" s="32"/>
      <c r="AA583" s="32"/>
      <c r="AB583" s="32"/>
      <c r="AC583" s="32"/>
      <c r="AD583" s="32"/>
      <c r="AE583" s="32"/>
      <c r="AF583" s="32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</row>
    <row r="584" spans="1:50" x14ac:dyDescent="0.25">
      <c r="A584">
        <v>625</v>
      </c>
      <c r="B584" s="2">
        <v>1</v>
      </c>
      <c r="C584" s="2" t="s">
        <v>1211</v>
      </c>
      <c r="D584">
        <v>558</v>
      </c>
      <c r="E584" s="2" t="s">
        <v>1297</v>
      </c>
      <c r="F584" s="29">
        <v>0</v>
      </c>
      <c r="G584" s="30">
        <v>0.38271604938271603</v>
      </c>
      <c r="H584" s="30">
        <v>0.78378378378378377</v>
      </c>
      <c r="I584" s="37">
        <v>202.84</v>
      </c>
      <c r="J584" s="37">
        <v>415.41</v>
      </c>
      <c r="K584" s="32">
        <v>91</v>
      </c>
      <c r="L584" s="32">
        <v>95</v>
      </c>
      <c r="M584" s="32">
        <v>18458.439999999999</v>
      </c>
      <c r="N584" s="32">
        <v>39463.949999999997</v>
      </c>
      <c r="O584" s="32">
        <v>57922.39</v>
      </c>
      <c r="P584" s="32">
        <f t="shared" si="8"/>
        <v>55361.05</v>
      </c>
      <c r="Q584" s="32"/>
      <c r="R584" s="32"/>
      <c r="S584" s="3"/>
      <c r="T584" s="3"/>
      <c r="V584" s="27"/>
      <c r="W584" s="2"/>
      <c r="X584" s="30"/>
      <c r="Y584" s="30"/>
      <c r="Z584" s="32"/>
      <c r="AA584" s="32"/>
      <c r="AB584" s="32"/>
      <c r="AC584" s="32"/>
      <c r="AD584" s="32"/>
      <c r="AE584" s="32"/>
      <c r="AF584" s="32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 spans="1:50" x14ac:dyDescent="0.25">
      <c r="A585">
        <v>625</v>
      </c>
      <c r="B585" s="2">
        <v>1</v>
      </c>
      <c r="C585" s="2" t="s">
        <v>603</v>
      </c>
      <c r="D585">
        <v>563</v>
      </c>
      <c r="E585" s="2" t="s">
        <v>23</v>
      </c>
      <c r="F585" s="29">
        <v>1</v>
      </c>
      <c r="G585" s="30" t="s">
        <v>1328</v>
      </c>
      <c r="H585" s="30" t="s">
        <v>1328</v>
      </c>
      <c r="I585" s="37" t="s">
        <v>1328</v>
      </c>
      <c r="J585" s="37" t="s">
        <v>1328</v>
      </c>
      <c r="K585" s="32">
        <v>0</v>
      </c>
      <c r="L585" s="32">
        <v>0</v>
      </c>
      <c r="M585" s="32" t="s">
        <v>1328</v>
      </c>
      <c r="N585" s="32" t="s">
        <v>1328</v>
      </c>
      <c r="O585" s="32">
        <v>0</v>
      </c>
      <c r="P585" s="32">
        <f t="shared" si="8"/>
        <v>0</v>
      </c>
      <c r="Q585" s="32"/>
      <c r="R585" s="32"/>
      <c r="S585" s="2"/>
      <c r="T585" s="2"/>
      <c r="V585" s="2"/>
      <c r="W585" s="2"/>
      <c r="X585" s="30"/>
      <c r="Y585" s="30"/>
      <c r="Z585" s="32"/>
      <c r="AA585" s="32"/>
      <c r="AB585" s="32"/>
      <c r="AC585" s="32"/>
      <c r="AD585" s="32"/>
      <c r="AE585" s="32"/>
      <c r="AF585" s="32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</row>
    <row r="586" spans="1:50" x14ac:dyDescent="0.25">
      <c r="A586">
        <v>625</v>
      </c>
      <c r="B586" s="2">
        <v>1</v>
      </c>
      <c r="C586" s="2" t="s">
        <v>603</v>
      </c>
      <c r="D586">
        <v>578</v>
      </c>
      <c r="E586" s="2" t="s">
        <v>651</v>
      </c>
      <c r="F586" s="29">
        <v>0</v>
      </c>
      <c r="G586" s="30">
        <v>0.4720812182741117</v>
      </c>
      <c r="H586" s="30">
        <v>0.5901639344262295</v>
      </c>
      <c r="I586" s="37">
        <v>250.2</v>
      </c>
      <c r="J586" s="37">
        <v>312.79000000000002</v>
      </c>
      <c r="K586" s="32">
        <v>62</v>
      </c>
      <c r="L586" s="32">
        <v>76</v>
      </c>
      <c r="M586" s="32">
        <v>15512.4</v>
      </c>
      <c r="N586" s="32">
        <v>23772.04</v>
      </c>
      <c r="O586" s="32">
        <v>39284.44</v>
      </c>
      <c r="P586" s="32">
        <f t="shared" si="8"/>
        <v>37547.269999999997</v>
      </c>
      <c r="Q586" s="32"/>
      <c r="R586" s="32"/>
      <c r="S586" s="2"/>
      <c r="T586" s="2"/>
      <c r="V586" s="2"/>
      <c r="W586" s="2"/>
      <c r="X586" s="30"/>
      <c r="Y586" s="30"/>
      <c r="Z586" s="32"/>
      <c r="AA586" s="32"/>
      <c r="AB586" s="32"/>
      <c r="AC586" s="32"/>
      <c r="AD586" s="32"/>
      <c r="AE586" s="32"/>
      <c r="AF586" s="32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 spans="1:50" x14ac:dyDescent="0.25">
      <c r="A587">
        <v>625</v>
      </c>
      <c r="B587" s="2">
        <v>1</v>
      </c>
      <c r="C587" s="2" t="s">
        <v>603</v>
      </c>
      <c r="D587">
        <v>579</v>
      </c>
      <c r="E587" s="2" t="s">
        <v>652</v>
      </c>
      <c r="F587" s="29">
        <v>0</v>
      </c>
      <c r="G587" s="30">
        <v>0.43609022556390975</v>
      </c>
      <c r="H587" s="30">
        <v>0.72388059701492535</v>
      </c>
      <c r="I587" s="37">
        <v>231.13</v>
      </c>
      <c r="J587" s="37">
        <v>383.66</v>
      </c>
      <c r="K587" s="32">
        <v>40</v>
      </c>
      <c r="L587" s="32">
        <v>39</v>
      </c>
      <c r="M587" s="32">
        <v>9245.2000000000007</v>
      </c>
      <c r="N587" s="32">
        <v>14962.74</v>
      </c>
      <c r="O587" s="32">
        <v>24207.940000000002</v>
      </c>
      <c r="P587" s="32">
        <f t="shared" si="8"/>
        <v>23137.46</v>
      </c>
      <c r="Q587" s="32"/>
      <c r="R587" s="32"/>
      <c r="S587" s="2"/>
      <c r="T587" s="2"/>
      <c r="V587" s="2"/>
      <c r="W587" s="2"/>
      <c r="X587" s="30"/>
      <c r="Y587" s="30"/>
      <c r="Z587" s="32"/>
      <c r="AA587" s="32"/>
      <c r="AB587" s="32"/>
      <c r="AC587" s="32"/>
      <c r="AD587" s="32"/>
      <c r="AE587" s="32"/>
      <c r="AF587" s="32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</row>
    <row r="588" spans="1:50" x14ac:dyDescent="0.25">
      <c r="A588">
        <v>625</v>
      </c>
      <c r="B588" s="2">
        <v>1</v>
      </c>
      <c r="C588" s="2" t="s">
        <v>1211</v>
      </c>
      <c r="D588">
        <v>607</v>
      </c>
      <c r="E588" s="2" t="s">
        <v>1219</v>
      </c>
      <c r="F588" s="29">
        <v>1</v>
      </c>
      <c r="G588" s="30" t="s">
        <v>1328</v>
      </c>
      <c r="H588" s="30" t="s">
        <v>1328</v>
      </c>
      <c r="I588" s="37" t="s">
        <v>1328</v>
      </c>
      <c r="J588" s="37" t="s">
        <v>1328</v>
      </c>
      <c r="K588" s="32">
        <v>5</v>
      </c>
      <c r="L588" s="32">
        <v>1</v>
      </c>
      <c r="M588" s="32" t="s">
        <v>1328</v>
      </c>
      <c r="N588" s="32" t="s">
        <v>1328</v>
      </c>
      <c r="O588" s="32">
        <v>883.32999999999993</v>
      </c>
      <c r="P588" s="32">
        <f t="shared" si="8"/>
        <v>844.27</v>
      </c>
      <c r="Q588" s="32"/>
      <c r="R588" s="32"/>
      <c r="S588" s="2"/>
      <c r="T588" s="2"/>
      <c r="V588" s="2"/>
      <c r="W588" s="2"/>
      <c r="X588" s="30"/>
      <c r="Y588" s="30"/>
      <c r="Z588" s="32"/>
      <c r="AA588" s="32"/>
      <c r="AB588" s="32"/>
      <c r="AC588" s="32"/>
      <c r="AD588" s="32"/>
      <c r="AE588" s="32"/>
      <c r="AF588" s="32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 spans="1:50" x14ac:dyDescent="0.25">
      <c r="A589">
        <v>625</v>
      </c>
      <c r="B589" s="2">
        <v>1</v>
      </c>
      <c r="C589" s="2" t="s">
        <v>1211</v>
      </c>
      <c r="D589">
        <v>654</v>
      </c>
      <c r="E589" s="2" t="s">
        <v>1220</v>
      </c>
      <c r="F589" s="29">
        <v>1</v>
      </c>
      <c r="G589" s="30" t="s">
        <v>1328</v>
      </c>
      <c r="H589" s="30" t="s">
        <v>1328</v>
      </c>
      <c r="I589" s="37" t="s">
        <v>1328</v>
      </c>
      <c r="J589" s="37" t="s">
        <v>1328</v>
      </c>
      <c r="K589" s="32">
        <v>8</v>
      </c>
      <c r="L589" s="32">
        <v>2</v>
      </c>
      <c r="M589" s="32" t="s">
        <v>1328</v>
      </c>
      <c r="N589" s="32" t="s">
        <v>1328</v>
      </c>
      <c r="O589" s="32">
        <v>1304.6200000000001</v>
      </c>
      <c r="P589" s="32">
        <f t="shared" si="8"/>
        <v>1246.93</v>
      </c>
      <c r="Q589" s="32"/>
      <c r="R589" s="32"/>
      <c r="S589" s="2"/>
      <c r="T589" s="2"/>
      <c r="V589" s="2"/>
      <c r="W589" s="2"/>
      <c r="X589" s="30"/>
      <c r="Y589" s="30"/>
      <c r="Z589" s="32"/>
      <c r="AA589" s="32"/>
      <c r="AB589" s="32"/>
      <c r="AC589" s="32"/>
      <c r="AD589" s="32"/>
      <c r="AE589" s="32"/>
      <c r="AF589" s="32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</row>
    <row r="590" spans="1:50" x14ac:dyDescent="0.25">
      <c r="A590">
        <v>628</v>
      </c>
      <c r="B590" s="2">
        <v>1</v>
      </c>
      <c r="C590" s="2" t="s">
        <v>653</v>
      </c>
      <c r="D590">
        <v>11</v>
      </c>
      <c r="E590" s="2" t="s">
        <v>654</v>
      </c>
      <c r="F590" s="29">
        <v>0</v>
      </c>
      <c r="G590" s="30">
        <v>0.7831325301204819</v>
      </c>
      <c r="H590" s="30">
        <v>0.90361445783132532</v>
      </c>
      <c r="I590" s="37">
        <v>415.06</v>
      </c>
      <c r="J590" s="37">
        <v>478.92</v>
      </c>
      <c r="K590" s="32">
        <v>25</v>
      </c>
      <c r="L590" s="32">
        <v>29</v>
      </c>
      <c r="M590" s="32">
        <v>10376.5</v>
      </c>
      <c r="N590" s="32">
        <v>13888.68</v>
      </c>
      <c r="O590" s="32">
        <v>24265.18</v>
      </c>
      <c r="P590" s="32">
        <f t="shared" si="8"/>
        <v>23192.17</v>
      </c>
      <c r="Q590" s="32"/>
      <c r="R590" s="32"/>
      <c r="S590" s="2"/>
      <c r="T590" s="2"/>
      <c r="V590" s="2"/>
      <c r="W590" s="2"/>
      <c r="X590" s="30"/>
      <c r="Y590" s="30"/>
      <c r="Z590" s="32"/>
      <c r="AA590" s="32"/>
      <c r="AB590" s="32"/>
      <c r="AC590" s="32"/>
      <c r="AD590" s="32"/>
      <c r="AE590" s="32"/>
      <c r="AF590" s="32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 spans="1:50" x14ac:dyDescent="0.25">
      <c r="A591">
        <v>630</v>
      </c>
      <c r="B591" s="2">
        <v>1</v>
      </c>
      <c r="C591" s="2" t="s">
        <v>655</v>
      </c>
      <c r="D591">
        <v>10</v>
      </c>
      <c r="E591" s="2" t="s">
        <v>656</v>
      </c>
      <c r="F591" s="29">
        <v>0</v>
      </c>
      <c r="G591" s="30">
        <v>0.7558139534883721</v>
      </c>
      <c r="H591" s="30">
        <v>0.58461538461538465</v>
      </c>
      <c r="I591" s="37">
        <v>400.58</v>
      </c>
      <c r="J591" s="37">
        <v>309.85000000000002</v>
      </c>
      <c r="K591" s="32">
        <v>37</v>
      </c>
      <c r="L591" s="32">
        <v>25</v>
      </c>
      <c r="M591" s="32">
        <v>14821.46</v>
      </c>
      <c r="N591" s="32">
        <v>7746.25</v>
      </c>
      <c r="O591" s="32">
        <v>22567.71</v>
      </c>
      <c r="P591" s="32">
        <f t="shared" si="8"/>
        <v>21569.759999999998</v>
      </c>
      <c r="Q591" s="32"/>
      <c r="R591" s="32"/>
      <c r="S591" s="2"/>
      <c r="T591" s="2"/>
      <c r="V591" s="2"/>
      <c r="W591" s="2"/>
      <c r="X591" s="30"/>
      <c r="Y591" s="30"/>
      <c r="Z591" s="32"/>
      <c r="AA591" s="32"/>
      <c r="AB591" s="32"/>
      <c r="AC591" s="32"/>
      <c r="AD591" s="32"/>
      <c r="AE591" s="32"/>
      <c r="AF591" s="32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</row>
    <row r="592" spans="1:50" x14ac:dyDescent="0.25">
      <c r="A592">
        <v>640</v>
      </c>
      <c r="B592" s="2">
        <v>1</v>
      </c>
      <c r="C592" s="2" t="s">
        <v>657</v>
      </c>
      <c r="D592">
        <v>10</v>
      </c>
      <c r="E592" s="2" t="s">
        <v>658</v>
      </c>
      <c r="F592" s="29">
        <v>0</v>
      </c>
      <c r="G592" s="30">
        <v>0.75384615384615383</v>
      </c>
      <c r="H592" s="30">
        <v>0.75</v>
      </c>
      <c r="I592" s="37">
        <v>399.54</v>
      </c>
      <c r="J592" s="37">
        <v>397.5</v>
      </c>
      <c r="K592" s="32">
        <v>30</v>
      </c>
      <c r="L592" s="32">
        <v>25</v>
      </c>
      <c r="M592" s="32">
        <v>11986.2</v>
      </c>
      <c r="N592" s="32">
        <v>9937.5</v>
      </c>
      <c r="O592" s="32">
        <v>21923.7</v>
      </c>
      <c r="P592" s="32">
        <f t="shared" ref="P592:P655" si="9">ROUND(O592*P$11,2)</f>
        <v>20954.23</v>
      </c>
      <c r="Q592" s="32"/>
      <c r="R592" s="32"/>
      <c r="S592" s="2"/>
      <c r="T592" s="2"/>
      <c r="V592" s="2"/>
      <c r="W592" s="2"/>
      <c r="X592" s="30"/>
      <c r="Y592" s="30"/>
      <c r="Z592" s="32"/>
      <c r="AA592" s="32"/>
      <c r="AB592" s="32"/>
      <c r="AC592" s="32"/>
      <c r="AD592" s="32"/>
      <c r="AE592" s="32"/>
      <c r="AF592" s="32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 spans="1:50" x14ac:dyDescent="0.25">
      <c r="A593">
        <v>640</v>
      </c>
      <c r="B593" s="2">
        <v>1</v>
      </c>
      <c r="C593" s="2" t="s">
        <v>1221</v>
      </c>
      <c r="D593">
        <v>30</v>
      </c>
      <c r="E593" s="2" t="s">
        <v>1222</v>
      </c>
      <c r="F593" s="29">
        <v>1</v>
      </c>
      <c r="G593" s="30" t="s">
        <v>1328</v>
      </c>
      <c r="H593" s="30" t="s">
        <v>1328</v>
      </c>
      <c r="I593" s="37" t="s">
        <v>1328</v>
      </c>
      <c r="J593" s="37" t="s">
        <v>1328</v>
      </c>
      <c r="K593" s="32">
        <v>2</v>
      </c>
      <c r="L593" s="32">
        <v>4</v>
      </c>
      <c r="M593" s="32" t="s">
        <v>1328</v>
      </c>
      <c r="N593" s="32" t="s">
        <v>1328</v>
      </c>
      <c r="O593" s="32">
        <v>2006.44</v>
      </c>
      <c r="P593" s="32">
        <f t="shared" si="9"/>
        <v>1917.71</v>
      </c>
      <c r="Q593" s="32"/>
      <c r="R593" s="32"/>
      <c r="S593" s="2"/>
      <c r="T593" s="2"/>
      <c r="V593" s="2"/>
      <c r="W593" s="2"/>
      <c r="X593" s="30"/>
      <c r="Y593" s="30"/>
      <c r="Z593" s="32"/>
      <c r="AA593" s="32"/>
      <c r="AB593" s="32"/>
      <c r="AC593" s="32"/>
      <c r="AD593" s="32"/>
      <c r="AE593" s="32"/>
      <c r="AF593" s="32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</row>
    <row r="594" spans="1:50" x14ac:dyDescent="0.25">
      <c r="A594">
        <v>656</v>
      </c>
      <c r="B594" s="2">
        <v>1</v>
      </c>
      <c r="C594" s="2" t="s">
        <v>659</v>
      </c>
      <c r="D594">
        <v>30</v>
      </c>
      <c r="E594" s="2" t="s">
        <v>28</v>
      </c>
      <c r="F594" s="29">
        <v>0</v>
      </c>
      <c r="G594" s="30">
        <v>0.67518248175182483</v>
      </c>
      <c r="H594" s="30">
        <v>0.81526104417670686</v>
      </c>
      <c r="I594" s="37">
        <v>357.85</v>
      </c>
      <c r="J594" s="37">
        <v>432.09</v>
      </c>
      <c r="K594" s="32">
        <v>89</v>
      </c>
      <c r="L594" s="32">
        <v>95</v>
      </c>
      <c r="M594" s="32">
        <v>31848.65</v>
      </c>
      <c r="N594" s="32">
        <v>41048.550000000003</v>
      </c>
      <c r="O594" s="32">
        <v>72897.200000000012</v>
      </c>
      <c r="P594" s="32">
        <f t="shared" si="9"/>
        <v>69673.67</v>
      </c>
      <c r="Q594" s="32"/>
      <c r="R594" s="32"/>
      <c r="S594" s="2"/>
      <c r="T594" s="2"/>
      <c r="V594" s="2"/>
      <c r="W594" s="2"/>
      <c r="X594" s="30"/>
      <c r="Y594" s="30"/>
      <c r="Z594" s="32"/>
      <c r="AA594" s="32"/>
      <c r="AB594" s="32"/>
      <c r="AC594" s="32"/>
      <c r="AD594" s="32"/>
      <c r="AE594" s="32"/>
      <c r="AF594" s="32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 spans="1:50" x14ac:dyDescent="0.25">
      <c r="A595">
        <v>656</v>
      </c>
      <c r="B595" s="2">
        <v>1</v>
      </c>
      <c r="C595" s="2" t="s">
        <v>659</v>
      </c>
      <c r="D595">
        <v>40</v>
      </c>
      <c r="E595" s="2" t="s">
        <v>60</v>
      </c>
      <c r="F595" s="29">
        <v>0</v>
      </c>
      <c r="G595" s="30">
        <v>0.72992700729927007</v>
      </c>
      <c r="H595" s="30">
        <v>0.73863636363636365</v>
      </c>
      <c r="I595" s="37">
        <v>386.86</v>
      </c>
      <c r="J595" s="37">
        <v>391.48</v>
      </c>
      <c r="K595" s="32">
        <v>91</v>
      </c>
      <c r="L595" s="32">
        <v>97</v>
      </c>
      <c r="M595" s="32">
        <v>35204.26</v>
      </c>
      <c r="N595" s="32">
        <v>37973.56</v>
      </c>
      <c r="O595" s="32">
        <v>73177.820000000007</v>
      </c>
      <c r="P595" s="32">
        <f t="shared" si="9"/>
        <v>69941.88</v>
      </c>
      <c r="Q595" s="32"/>
      <c r="R595" s="32"/>
      <c r="S595" s="2"/>
      <c r="T595" s="2"/>
      <c r="V595" s="2"/>
      <c r="W595" s="2"/>
      <c r="X595" s="30"/>
      <c r="Y595" s="30"/>
      <c r="Z595" s="32"/>
      <c r="AA595" s="32"/>
      <c r="AB595" s="32"/>
      <c r="AC595" s="32"/>
      <c r="AD595" s="32"/>
      <c r="AE595" s="32"/>
      <c r="AF595" s="32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</row>
    <row r="596" spans="1:50" x14ac:dyDescent="0.25">
      <c r="A596">
        <v>656</v>
      </c>
      <c r="B596" s="2">
        <v>1</v>
      </c>
      <c r="C596" s="2" t="s">
        <v>659</v>
      </c>
      <c r="D596">
        <v>45</v>
      </c>
      <c r="E596" s="2" t="s">
        <v>104</v>
      </c>
      <c r="F596" s="29">
        <v>0</v>
      </c>
      <c r="G596" s="30">
        <v>0.57807308970099669</v>
      </c>
      <c r="H596" s="30">
        <v>0.82771535580524347</v>
      </c>
      <c r="I596" s="37">
        <v>306.38</v>
      </c>
      <c r="J596" s="37">
        <v>438.69</v>
      </c>
      <c r="K596" s="32">
        <v>108</v>
      </c>
      <c r="L596" s="32">
        <v>90</v>
      </c>
      <c r="M596" s="32">
        <v>33089.040000000001</v>
      </c>
      <c r="N596" s="32">
        <v>39482.1</v>
      </c>
      <c r="O596" s="32">
        <v>72571.14</v>
      </c>
      <c r="P596" s="32">
        <f t="shared" si="9"/>
        <v>69362.03</v>
      </c>
      <c r="Q596" s="32"/>
      <c r="R596" s="32"/>
      <c r="S596" s="2"/>
      <c r="T596" s="2"/>
      <c r="V596" s="2"/>
      <c r="W596" s="2"/>
      <c r="X596" s="30"/>
      <c r="Y596" s="30"/>
      <c r="Z596" s="32"/>
      <c r="AA596" s="32"/>
      <c r="AB596" s="32"/>
      <c r="AC596" s="32"/>
      <c r="AD596" s="32"/>
      <c r="AE596" s="32"/>
      <c r="AF596" s="32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 spans="1:50" x14ac:dyDescent="0.25">
      <c r="A597">
        <v>659</v>
      </c>
      <c r="B597" s="2">
        <v>1</v>
      </c>
      <c r="C597" s="2" t="s">
        <v>660</v>
      </c>
      <c r="D597">
        <v>3</v>
      </c>
      <c r="E597" s="2" t="s">
        <v>661</v>
      </c>
      <c r="F597" s="29">
        <v>0</v>
      </c>
      <c r="G597" s="30">
        <v>0.7269076305220884</v>
      </c>
      <c r="H597" s="30">
        <v>0.85416666666666663</v>
      </c>
      <c r="I597" s="37">
        <v>385.26</v>
      </c>
      <c r="J597" s="37">
        <v>452.71</v>
      </c>
      <c r="K597" s="32">
        <v>84</v>
      </c>
      <c r="L597" s="32">
        <v>82</v>
      </c>
      <c r="M597" s="32">
        <v>32361.84</v>
      </c>
      <c r="N597" s="32">
        <v>37122.22</v>
      </c>
      <c r="O597" s="32">
        <v>69484.06</v>
      </c>
      <c r="P597" s="32">
        <f t="shared" si="9"/>
        <v>66411.460000000006</v>
      </c>
      <c r="Q597" s="32"/>
      <c r="R597" s="32"/>
      <c r="S597" s="2"/>
      <c r="T597" s="2"/>
      <c r="V597" s="2"/>
      <c r="W597" s="2"/>
      <c r="X597" s="30"/>
      <c r="Y597" s="30"/>
      <c r="Z597" s="32"/>
      <c r="AA597" s="32"/>
      <c r="AB597" s="32"/>
      <c r="AC597" s="32"/>
      <c r="AD597" s="32"/>
      <c r="AE597" s="32"/>
      <c r="AF597" s="32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</row>
    <row r="598" spans="1:50" x14ac:dyDescent="0.25">
      <c r="A598">
        <v>659</v>
      </c>
      <c r="B598">
        <v>1</v>
      </c>
      <c r="C598" t="s">
        <v>660</v>
      </c>
      <c r="D598">
        <v>7</v>
      </c>
      <c r="E598" t="s">
        <v>662</v>
      </c>
      <c r="F598" s="1">
        <v>0</v>
      </c>
      <c r="G598" s="30">
        <v>0.82191780821917804</v>
      </c>
      <c r="H598" s="30">
        <v>0.85</v>
      </c>
      <c r="I598" s="37">
        <v>435.62</v>
      </c>
      <c r="J598" s="37">
        <v>450.5</v>
      </c>
      <c r="K598" s="32">
        <v>87</v>
      </c>
      <c r="L598" s="32">
        <v>88</v>
      </c>
      <c r="M598" s="32">
        <v>37898.94</v>
      </c>
      <c r="N598" s="32">
        <v>39644</v>
      </c>
      <c r="O598" s="32">
        <v>77542.94</v>
      </c>
      <c r="P598" s="32">
        <f t="shared" si="9"/>
        <v>74113.97</v>
      </c>
      <c r="Q598" s="32"/>
      <c r="R598" s="32"/>
      <c r="S598" s="2"/>
      <c r="T598" s="2"/>
      <c r="V598" s="2"/>
      <c r="W598" s="2"/>
      <c r="X598" s="30"/>
      <c r="Y598" s="30"/>
      <c r="Z598" s="32"/>
      <c r="AA598" s="32"/>
      <c r="AB598" s="32"/>
      <c r="AC598" s="32"/>
      <c r="AD598" s="32"/>
      <c r="AE598" s="32"/>
      <c r="AF598" s="32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 spans="1:50" x14ac:dyDescent="0.25">
      <c r="A599">
        <v>659</v>
      </c>
      <c r="B599" s="2">
        <v>1</v>
      </c>
      <c r="C599" s="2" t="s">
        <v>660</v>
      </c>
      <c r="D599">
        <v>8</v>
      </c>
      <c r="E599" s="2" t="s">
        <v>293</v>
      </c>
      <c r="F599" s="29">
        <v>0</v>
      </c>
      <c r="G599" s="30">
        <v>0.84727272727272729</v>
      </c>
      <c r="H599" s="30">
        <v>0.83011583011583012</v>
      </c>
      <c r="I599" s="37">
        <v>449.05</v>
      </c>
      <c r="J599" s="37">
        <v>439.96</v>
      </c>
      <c r="K599" s="32">
        <v>101</v>
      </c>
      <c r="L599" s="32">
        <v>94</v>
      </c>
      <c r="M599" s="32">
        <v>45354.05</v>
      </c>
      <c r="N599" s="32">
        <v>41356.239999999998</v>
      </c>
      <c r="O599" s="32">
        <v>86710.290000000008</v>
      </c>
      <c r="P599" s="32">
        <f t="shared" si="9"/>
        <v>82875.94</v>
      </c>
      <c r="Q599" s="32"/>
      <c r="R599" s="32"/>
      <c r="S599" s="2"/>
      <c r="T599" s="2"/>
      <c r="V599" s="2"/>
      <c r="W599" s="2"/>
      <c r="X599" s="30"/>
      <c r="Y599" s="30"/>
      <c r="Z599" s="32"/>
      <c r="AA599" s="32"/>
      <c r="AB599" s="32"/>
      <c r="AC599" s="32"/>
      <c r="AD599" s="32"/>
      <c r="AE599" s="32"/>
      <c r="AF599" s="32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</row>
    <row r="600" spans="1:50" x14ac:dyDescent="0.25">
      <c r="A600">
        <v>671</v>
      </c>
      <c r="B600" s="2">
        <v>1</v>
      </c>
      <c r="C600" s="2" t="s">
        <v>663</v>
      </c>
      <c r="D600">
        <v>10</v>
      </c>
      <c r="E600" s="2" t="s">
        <v>664</v>
      </c>
      <c r="F600" s="29">
        <v>0</v>
      </c>
      <c r="G600" s="30">
        <v>0.9375</v>
      </c>
      <c r="H600" s="30">
        <v>0.69565217391304346</v>
      </c>
      <c r="I600" s="37">
        <v>496.88</v>
      </c>
      <c r="J600" s="37">
        <v>368.7</v>
      </c>
      <c r="K600" s="32">
        <v>31</v>
      </c>
      <c r="L600" s="32">
        <v>25</v>
      </c>
      <c r="M600" s="32">
        <v>15403.28</v>
      </c>
      <c r="N600" s="32">
        <v>9217.5</v>
      </c>
      <c r="O600" s="32">
        <v>24620.78</v>
      </c>
      <c r="P600" s="32">
        <f t="shared" si="9"/>
        <v>23532.04</v>
      </c>
      <c r="Q600" s="32"/>
      <c r="R600" s="32"/>
      <c r="S600" s="2"/>
      <c r="T600" s="2"/>
      <c r="V600" s="2"/>
      <c r="W600" s="2"/>
      <c r="X600" s="30"/>
      <c r="Y600" s="30"/>
      <c r="Z600" s="32"/>
      <c r="AA600" s="32"/>
      <c r="AB600" s="32"/>
      <c r="AC600" s="32"/>
      <c r="AD600" s="32"/>
      <c r="AE600" s="32"/>
      <c r="AF600" s="32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 spans="1:50" x14ac:dyDescent="0.25">
      <c r="A601">
        <v>676</v>
      </c>
      <c r="B601" s="2">
        <v>1</v>
      </c>
      <c r="C601" s="2" t="s">
        <v>665</v>
      </c>
      <c r="D601">
        <v>10</v>
      </c>
      <c r="E601" s="2" t="s">
        <v>666</v>
      </c>
      <c r="F601" s="29">
        <v>0</v>
      </c>
      <c r="G601" s="30">
        <v>0.90909090909090906</v>
      </c>
      <c r="H601" s="30">
        <v>0.86363636363636365</v>
      </c>
      <c r="I601" s="37">
        <v>481.82</v>
      </c>
      <c r="J601" s="37">
        <v>457.73</v>
      </c>
      <c r="K601" s="32">
        <v>24</v>
      </c>
      <c r="L601" s="32">
        <v>13</v>
      </c>
      <c r="M601" s="32">
        <v>11563.68</v>
      </c>
      <c r="N601" s="32">
        <v>5950.49</v>
      </c>
      <c r="O601" s="32">
        <v>17514.169999999998</v>
      </c>
      <c r="P601" s="32">
        <f t="shared" si="9"/>
        <v>16739.689999999999</v>
      </c>
      <c r="Q601" s="32"/>
      <c r="R601" s="32"/>
      <c r="S601" s="2"/>
      <c r="T601" s="2"/>
      <c r="V601" s="2"/>
      <c r="W601" s="2"/>
      <c r="X601" s="30"/>
      <c r="Y601" s="30"/>
      <c r="Z601" s="32"/>
      <c r="AA601" s="32"/>
      <c r="AB601" s="32"/>
      <c r="AC601" s="32"/>
      <c r="AD601" s="32"/>
      <c r="AE601" s="32"/>
      <c r="AF601" s="32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</row>
    <row r="602" spans="1:50" x14ac:dyDescent="0.25">
      <c r="A602">
        <v>682</v>
      </c>
      <c r="B602" s="2">
        <v>1</v>
      </c>
      <c r="C602" s="2" t="s">
        <v>667</v>
      </c>
      <c r="D602">
        <v>10</v>
      </c>
      <c r="E602" s="2" t="s">
        <v>668</v>
      </c>
      <c r="F602" s="29">
        <v>0</v>
      </c>
      <c r="G602" s="30">
        <v>0.875</v>
      </c>
      <c r="H602" s="30">
        <v>0.734375</v>
      </c>
      <c r="I602" s="37">
        <v>463.75</v>
      </c>
      <c r="J602" s="37">
        <v>389.22</v>
      </c>
      <c r="K602" s="32">
        <v>91</v>
      </c>
      <c r="L602" s="32">
        <v>85</v>
      </c>
      <c r="M602" s="32">
        <v>42201.25</v>
      </c>
      <c r="N602" s="32">
        <v>33083.699999999997</v>
      </c>
      <c r="O602" s="32">
        <v>75284.95</v>
      </c>
      <c r="P602" s="32">
        <f t="shared" si="9"/>
        <v>71955.83</v>
      </c>
      <c r="Q602" s="32"/>
      <c r="R602" s="32"/>
      <c r="S602" s="2"/>
      <c r="T602" s="2"/>
      <c r="V602" s="2"/>
      <c r="W602" s="2"/>
      <c r="X602" s="30"/>
      <c r="Y602" s="30"/>
      <c r="Z602" s="32"/>
      <c r="AA602" s="32"/>
      <c r="AB602" s="32"/>
      <c r="AC602" s="32"/>
      <c r="AD602" s="32"/>
      <c r="AE602" s="32"/>
      <c r="AF602" s="32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 spans="1:50" x14ac:dyDescent="0.25">
      <c r="A603">
        <v>690</v>
      </c>
      <c r="B603" s="2">
        <v>1</v>
      </c>
      <c r="C603" s="2" t="s">
        <v>667</v>
      </c>
      <c r="D603">
        <v>10</v>
      </c>
      <c r="E603" s="2" t="s">
        <v>668</v>
      </c>
      <c r="F603" s="29">
        <v>0</v>
      </c>
      <c r="G603" s="30">
        <v>0.90410958904109584</v>
      </c>
      <c r="H603" s="30">
        <v>0.8571428571428571</v>
      </c>
      <c r="I603" s="37">
        <v>479.18</v>
      </c>
      <c r="J603" s="37">
        <v>454.29</v>
      </c>
      <c r="K603" s="32">
        <v>83</v>
      </c>
      <c r="L603" s="32">
        <v>77</v>
      </c>
      <c r="M603" s="32">
        <v>39771.94</v>
      </c>
      <c r="N603" s="32">
        <v>34980.33</v>
      </c>
      <c r="O603" s="32">
        <v>74752.27</v>
      </c>
      <c r="P603" s="32">
        <f t="shared" si="9"/>
        <v>71446.710000000006</v>
      </c>
      <c r="Q603" s="32"/>
      <c r="R603" s="32"/>
      <c r="S603" s="2"/>
      <c r="T603" s="2"/>
      <c r="V603" s="2"/>
      <c r="W603" s="2"/>
      <c r="X603" s="30"/>
      <c r="Y603" s="30"/>
      <c r="Z603" s="32"/>
      <c r="AA603" s="32"/>
      <c r="AB603" s="32"/>
      <c r="AC603" s="32"/>
      <c r="AD603" s="32"/>
      <c r="AE603" s="32"/>
      <c r="AF603" s="32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</row>
    <row r="604" spans="1:50" x14ac:dyDescent="0.25">
      <c r="A604">
        <v>690</v>
      </c>
      <c r="B604" s="2">
        <v>1</v>
      </c>
      <c r="C604" s="2" t="s">
        <v>1223</v>
      </c>
      <c r="D604">
        <v>20</v>
      </c>
      <c r="E604" s="2" t="s">
        <v>1224</v>
      </c>
      <c r="F604" s="29">
        <v>1</v>
      </c>
      <c r="G604" s="30" t="s">
        <v>1328</v>
      </c>
      <c r="H604" s="30" t="s">
        <v>1328</v>
      </c>
      <c r="I604" s="37" t="s">
        <v>1328</v>
      </c>
      <c r="J604" s="37" t="s">
        <v>1328</v>
      </c>
      <c r="K604" s="32">
        <v>1</v>
      </c>
      <c r="L604" s="32">
        <v>0</v>
      </c>
      <c r="M604" s="32" t="s">
        <v>1328</v>
      </c>
      <c r="N604" s="32" t="s">
        <v>1328</v>
      </c>
      <c r="O604" s="32">
        <v>530</v>
      </c>
      <c r="P604" s="32">
        <f t="shared" si="9"/>
        <v>506.56</v>
      </c>
      <c r="Q604" s="32"/>
      <c r="R604" s="32"/>
      <c r="S604" s="2"/>
      <c r="T604" s="2"/>
      <c r="V604" s="2"/>
      <c r="W604" s="2"/>
      <c r="X604" s="30"/>
      <c r="Y604" s="30"/>
      <c r="Z604" s="32"/>
      <c r="AA604" s="32"/>
      <c r="AB604" s="32"/>
      <c r="AC604" s="32"/>
      <c r="AD604" s="32"/>
      <c r="AE604" s="32"/>
      <c r="AF604" s="32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 spans="1:50" x14ac:dyDescent="0.25">
      <c r="A605">
        <v>690</v>
      </c>
      <c r="B605" s="2">
        <v>1</v>
      </c>
      <c r="C605" s="2" t="s">
        <v>669</v>
      </c>
      <c r="D605">
        <v>60</v>
      </c>
      <c r="E605" s="2" t="s">
        <v>670</v>
      </c>
      <c r="F605" s="29">
        <v>1</v>
      </c>
      <c r="G605" s="30" t="s">
        <v>1328</v>
      </c>
      <c r="H605" s="30" t="s">
        <v>1328</v>
      </c>
      <c r="I605" s="37" t="s">
        <v>1328</v>
      </c>
      <c r="J605" s="37" t="s">
        <v>1328</v>
      </c>
      <c r="K605" s="32">
        <v>0</v>
      </c>
      <c r="L605" s="32">
        <v>0</v>
      </c>
      <c r="M605" s="32" t="s">
        <v>1328</v>
      </c>
      <c r="N605" s="32" t="s">
        <v>1328</v>
      </c>
      <c r="O605" s="32">
        <v>0</v>
      </c>
      <c r="P605" s="32">
        <f t="shared" si="9"/>
        <v>0</v>
      </c>
      <c r="Q605" s="32"/>
      <c r="R605" s="32"/>
      <c r="S605" s="2"/>
      <c r="T605" s="2"/>
      <c r="V605" s="2"/>
      <c r="W605" s="2"/>
      <c r="X605" s="30"/>
      <c r="Y605" s="30"/>
      <c r="Z605" s="32"/>
      <c r="AA605" s="32"/>
      <c r="AB605" s="32"/>
      <c r="AC605" s="32"/>
      <c r="AD605" s="32"/>
      <c r="AE605" s="32"/>
      <c r="AF605" s="32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</row>
    <row r="606" spans="1:50" x14ac:dyDescent="0.25">
      <c r="A606">
        <v>695</v>
      </c>
      <c r="B606" s="2">
        <v>1</v>
      </c>
      <c r="C606" s="2" t="s">
        <v>671</v>
      </c>
      <c r="D606">
        <v>101</v>
      </c>
      <c r="E606" s="2" t="s">
        <v>672</v>
      </c>
      <c r="F606" s="29">
        <v>1</v>
      </c>
      <c r="G606" s="30" t="s">
        <v>1328</v>
      </c>
      <c r="H606" s="30" t="s">
        <v>1328</v>
      </c>
      <c r="I606" s="37" t="s">
        <v>1328</v>
      </c>
      <c r="J606" s="37" t="s">
        <v>1328</v>
      </c>
      <c r="K606" s="32">
        <v>60</v>
      </c>
      <c r="L606" s="32">
        <v>0</v>
      </c>
      <c r="M606" s="32" t="s">
        <v>1328</v>
      </c>
      <c r="N606" s="32" t="s">
        <v>1328</v>
      </c>
      <c r="O606" s="32">
        <v>24504.6</v>
      </c>
      <c r="P606" s="32">
        <f t="shared" si="9"/>
        <v>23421</v>
      </c>
      <c r="Q606" s="32"/>
      <c r="R606" s="32"/>
      <c r="W606" s="2"/>
      <c r="X606" s="30"/>
      <c r="Y606" s="30"/>
      <c r="Z606" s="32"/>
      <c r="AA606" s="32"/>
      <c r="AB606" s="32"/>
      <c r="AC606" s="32"/>
      <c r="AD606" s="32"/>
      <c r="AE606" s="32"/>
      <c r="AF606" s="32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 spans="1:50" x14ac:dyDescent="0.25">
      <c r="A607">
        <v>695</v>
      </c>
      <c r="B607" s="2">
        <v>1</v>
      </c>
      <c r="C607" s="2" t="s">
        <v>671</v>
      </c>
      <c r="D607">
        <v>301</v>
      </c>
      <c r="E607" s="2" t="s">
        <v>673</v>
      </c>
      <c r="F607" s="29">
        <v>1</v>
      </c>
      <c r="G607" s="30" t="s">
        <v>1328</v>
      </c>
      <c r="H607" s="30" t="s">
        <v>1328</v>
      </c>
      <c r="I607" s="37" t="s">
        <v>1328</v>
      </c>
      <c r="J607" s="37" t="s">
        <v>1328</v>
      </c>
      <c r="K607" s="32">
        <v>0</v>
      </c>
      <c r="L607" s="32">
        <v>56</v>
      </c>
      <c r="M607" s="32" t="s">
        <v>1328</v>
      </c>
      <c r="N607" s="32" t="s">
        <v>1328</v>
      </c>
      <c r="O607" s="32">
        <v>23935.52</v>
      </c>
      <c r="P607" s="32">
        <f t="shared" si="9"/>
        <v>22877.09</v>
      </c>
      <c r="Q607" s="32"/>
      <c r="R607" s="32"/>
      <c r="S607" s="2"/>
      <c r="T607" s="2"/>
      <c r="V607" s="2"/>
      <c r="W607" s="2"/>
      <c r="X607" s="30"/>
      <c r="Y607" s="30"/>
      <c r="Z607" s="32"/>
      <c r="AA607" s="32"/>
      <c r="AB607" s="32"/>
      <c r="AC607" s="32"/>
      <c r="AD607" s="32"/>
      <c r="AE607" s="32"/>
      <c r="AF607" s="32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</row>
    <row r="608" spans="1:50" x14ac:dyDescent="0.25">
      <c r="A608">
        <v>696</v>
      </c>
      <c r="B608" s="2">
        <v>1</v>
      </c>
      <c r="C608" s="2" t="s">
        <v>674</v>
      </c>
      <c r="D608">
        <v>2</v>
      </c>
      <c r="E608" s="2" t="s">
        <v>71</v>
      </c>
      <c r="F608" s="29">
        <v>0</v>
      </c>
      <c r="G608" s="30">
        <v>0.77685950413223137</v>
      </c>
      <c r="H608" s="30">
        <v>0.66666666666666663</v>
      </c>
      <c r="I608" s="37">
        <v>411.74</v>
      </c>
      <c r="J608" s="37">
        <v>353.33</v>
      </c>
      <c r="K608" s="32">
        <v>40</v>
      </c>
      <c r="L608" s="32">
        <v>46</v>
      </c>
      <c r="M608" s="32">
        <v>16469.599999999999</v>
      </c>
      <c r="N608" s="32">
        <v>16253.18</v>
      </c>
      <c r="O608" s="32">
        <v>32722.78</v>
      </c>
      <c r="P608" s="32">
        <f t="shared" si="9"/>
        <v>31275.77</v>
      </c>
      <c r="Q608" s="32"/>
      <c r="R608" s="32"/>
      <c r="S608" s="2"/>
      <c r="T608" s="2"/>
      <c r="V608" s="2"/>
      <c r="W608" s="2"/>
      <c r="X608" s="30"/>
      <c r="Y608" s="30"/>
      <c r="Z608" s="32"/>
      <c r="AA608" s="32"/>
      <c r="AB608" s="32"/>
      <c r="AC608" s="32"/>
      <c r="AD608" s="32"/>
      <c r="AE608" s="32"/>
      <c r="AF608" s="32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 spans="1:50" x14ac:dyDescent="0.25">
      <c r="A609">
        <v>698</v>
      </c>
      <c r="B609" s="2">
        <v>1</v>
      </c>
      <c r="C609" s="2" t="s">
        <v>675</v>
      </c>
      <c r="D609">
        <v>10</v>
      </c>
      <c r="E609" s="2" t="s">
        <v>676</v>
      </c>
      <c r="F609" s="29">
        <v>0</v>
      </c>
      <c r="G609" s="30">
        <v>0.625</v>
      </c>
      <c r="H609" s="30">
        <v>0.57746478873239437</v>
      </c>
      <c r="I609" s="37">
        <v>331.25</v>
      </c>
      <c r="J609" s="37">
        <v>306.06</v>
      </c>
      <c r="K609" s="32">
        <v>23</v>
      </c>
      <c r="L609" s="32">
        <v>23</v>
      </c>
      <c r="M609" s="32">
        <v>7618.75</v>
      </c>
      <c r="N609" s="32">
        <v>7039.38</v>
      </c>
      <c r="O609" s="32">
        <v>14658.130000000001</v>
      </c>
      <c r="P609" s="32">
        <f t="shared" si="9"/>
        <v>14009.94</v>
      </c>
      <c r="Q609" s="32"/>
      <c r="R609" s="32"/>
      <c r="S609" s="2"/>
      <c r="T609" s="2"/>
      <c r="V609" s="2"/>
      <c r="W609" s="2"/>
      <c r="X609" s="30"/>
      <c r="Y609" s="30"/>
      <c r="Z609" s="32"/>
      <c r="AA609" s="32"/>
      <c r="AB609" s="32"/>
      <c r="AC609" s="32"/>
      <c r="AD609" s="32"/>
      <c r="AE609" s="32"/>
      <c r="AF609" s="32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</row>
    <row r="610" spans="1:50" x14ac:dyDescent="0.25">
      <c r="A610">
        <v>700</v>
      </c>
      <c r="B610" s="2">
        <v>1</v>
      </c>
      <c r="C610" s="2" t="s">
        <v>677</v>
      </c>
      <c r="D610">
        <v>10</v>
      </c>
      <c r="E610" s="2" t="s">
        <v>678</v>
      </c>
      <c r="F610" s="29">
        <v>1</v>
      </c>
      <c r="G610" s="30" t="s">
        <v>1328</v>
      </c>
      <c r="H610" s="30" t="s">
        <v>1328</v>
      </c>
      <c r="I610" s="37" t="s">
        <v>1328</v>
      </c>
      <c r="J610" s="37" t="s">
        <v>1328</v>
      </c>
      <c r="K610" s="32">
        <v>149</v>
      </c>
      <c r="L610" s="32">
        <v>0</v>
      </c>
      <c r="M610" s="32" t="s">
        <v>1328</v>
      </c>
      <c r="N610" s="32" t="s">
        <v>1328</v>
      </c>
      <c r="O610" s="32">
        <v>68763.5</v>
      </c>
      <c r="P610" s="32">
        <f t="shared" si="9"/>
        <v>65722.759999999995</v>
      </c>
      <c r="Q610" s="32"/>
      <c r="R610" s="32"/>
      <c r="S610" s="2"/>
      <c r="T610" s="2"/>
      <c r="V610" s="2"/>
      <c r="W610" s="2"/>
      <c r="X610" s="30"/>
      <c r="Y610" s="30"/>
      <c r="Z610" s="32"/>
      <c r="AA610" s="32"/>
      <c r="AB610" s="32"/>
      <c r="AC610" s="32"/>
      <c r="AD610" s="32"/>
      <c r="AE610" s="32"/>
      <c r="AF610" s="32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 spans="1:50" x14ac:dyDescent="0.25">
      <c r="A611">
        <v>700</v>
      </c>
      <c r="B611">
        <v>1</v>
      </c>
      <c r="C611" t="s">
        <v>677</v>
      </c>
      <c r="D611">
        <v>15</v>
      </c>
      <c r="E611" t="s">
        <v>679</v>
      </c>
      <c r="F611" s="1">
        <v>1</v>
      </c>
      <c r="G611" s="30" t="s">
        <v>1328</v>
      </c>
      <c r="H611" s="30" t="s">
        <v>1328</v>
      </c>
      <c r="I611" s="37" t="s">
        <v>1328</v>
      </c>
      <c r="J611" s="37" t="s">
        <v>1328</v>
      </c>
      <c r="K611" s="32">
        <v>0</v>
      </c>
      <c r="L611" s="32">
        <v>153</v>
      </c>
      <c r="M611" s="32" t="s">
        <v>1328</v>
      </c>
      <c r="N611" s="32" t="s">
        <v>1328</v>
      </c>
      <c r="O611" s="32">
        <v>59454.27</v>
      </c>
      <c r="P611" s="32">
        <f t="shared" si="9"/>
        <v>56825.19</v>
      </c>
      <c r="Q611" s="32"/>
      <c r="R611" s="32"/>
      <c r="S611" s="2"/>
      <c r="T611" s="2"/>
      <c r="V611" s="2"/>
      <c r="W611" s="2"/>
      <c r="X611" s="30"/>
      <c r="Y611" s="30"/>
      <c r="Z611" s="32"/>
      <c r="AA611" s="32"/>
      <c r="AB611" s="32"/>
      <c r="AC611" s="32"/>
      <c r="AD611" s="32"/>
      <c r="AE611" s="32"/>
      <c r="AF611" s="32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</row>
    <row r="612" spans="1:50" x14ac:dyDescent="0.25">
      <c r="A612">
        <v>701</v>
      </c>
      <c r="B612" s="2">
        <v>1</v>
      </c>
      <c r="C612" s="2" t="s">
        <v>680</v>
      </c>
      <c r="D612">
        <v>310</v>
      </c>
      <c r="E612" s="2" t="s">
        <v>60</v>
      </c>
      <c r="F612" s="29">
        <v>0</v>
      </c>
      <c r="G612" s="30">
        <v>0.85306122448979593</v>
      </c>
      <c r="H612" s="30">
        <v>0.74944567627494452</v>
      </c>
      <c r="I612" s="37">
        <v>452.12</v>
      </c>
      <c r="J612" s="37">
        <v>397.21</v>
      </c>
      <c r="K612" s="32">
        <v>166</v>
      </c>
      <c r="L612" s="32">
        <v>141</v>
      </c>
      <c r="M612" s="32">
        <v>75051.92</v>
      </c>
      <c r="N612" s="32">
        <v>56006.61</v>
      </c>
      <c r="O612" s="32">
        <v>131058.53</v>
      </c>
      <c r="P612" s="32">
        <f t="shared" si="9"/>
        <v>125263.09</v>
      </c>
      <c r="Q612" s="32"/>
      <c r="R612" s="32"/>
      <c r="S612" s="2"/>
      <c r="T612" s="2"/>
      <c r="V612" s="2"/>
      <c r="W612" s="2"/>
      <c r="X612" s="30"/>
      <c r="Y612" s="30"/>
      <c r="Z612" s="32"/>
      <c r="AA612" s="32"/>
      <c r="AB612" s="32"/>
      <c r="AC612" s="32"/>
      <c r="AD612" s="32"/>
      <c r="AE612" s="32"/>
      <c r="AF612" s="32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spans="1:50" x14ac:dyDescent="0.25">
      <c r="A613">
        <v>704</v>
      </c>
      <c r="B613" s="2">
        <v>1</v>
      </c>
      <c r="C613" s="2" t="s">
        <v>681</v>
      </c>
      <c r="D613">
        <v>4</v>
      </c>
      <c r="E613" s="2" t="s">
        <v>682</v>
      </c>
      <c r="F613" s="29">
        <v>0</v>
      </c>
      <c r="G613" s="30">
        <v>0.78629032258064513</v>
      </c>
      <c r="H613" s="30">
        <v>0.6371308016877637</v>
      </c>
      <c r="I613" s="37">
        <v>416.73</v>
      </c>
      <c r="J613" s="37">
        <v>337.68</v>
      </c>
      <c r="K613" s="32">
        <v>90</v>
      </c>
      <c r="L613" s="32">
        <v>86</v>
      </c>
      <c r="M613" s="32">
        <v>37505.699999999997</v>
      </c>
      <c r="N613" s="32">
        <v>29040.48</v>
      </c>
      <c r="O613" s="32">
        <v>66546.179999999993</v>
      </c>
      <c r="P613" s="32">
        <f t="shared" si="9"/>
        <v>63603.49</v>
      </c>
      <c r="Q613" s="32"/>
      <c r="R613" s="32"/>
      <c r="S613" s="2"/>
      <c r="T613" s="2"/>
      <c r="V613" s="2"/>
      <c r="W613" s="2"/>
      <c r="X613" s="30"/>
      <c r="Y613" s="30"/>
      <c r="Z613" s="32"/>
      <c r="AA613" s="32"/>
      <c r="AB613" s="32"/>
      <c r="AC613" s="32"/>
      <c r="AD613" s="32"/>
      <c r="AE613" s="32"/>
      <c r="AF613" s="32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</row>
    <row r="614" spans="1:50" x14ac:dyDescent="0.25">
      <c r="A614">
        <v>704</v>
      </c>
      <c r="B614" s="2">
        <v>1</v>
      </c>
      <c r="C614" s="2" t="s">
        <v>681</v>
      </c>
      <c r="D614">
        <v>6</v>
      </c>
      <c r="E614" s="2" t="s">
        <v>683</v>
      </c>
      <c r="F614" s="29">
        <v>0</v>
      </c>
      <c r="G614" s="30">
        <v>0.87943262411347523</v>
      </c>
      <c r="H614" s="30">
        <v>0.72992700729927007</v>
      </c>
      <c r="I614" s="37">
        <v>466.1</v>
      </c>
      <c r="J614" s="37">
        <v>386.86</v>
      </c>
      <c r="K614" s="32">
        <v>55</v>
      </c>
      <c r="L614" s="32">
        <v>42</v>
      </c>
      <c r="M614" s="32">
        <v>25635.5</v>
      </c>
      <c r="N614" s="32">
        <v>16248.12</v>
      </c>
      <c r="O614" s="32">
        <v>41883.620000000003</v>
      </c>
      <c r="P614" s="32">
        <f t="shared" si="9"/>
        <v>40031.519999999997</v>
      </c>
      <c r="Q614" s="32"/>
      <c r="R614" s="32"/>
      <c r="S614" s="2"/>
      <c r="T614" s="2"/>
      <c r="V614" s="2"/>
      <c r="W614" s="2"/>
      <c r="X614" s="30"/>
      <c r="Y614" s="30"/>
      <c r="Z614" s="32"/>
      <c r="AA614" s="32"/>
      <c r="AB614" s="32"/>
      <c r="AC614" s="32"/>
      <c r="AD614" s="32"/>
      <c r="AE614" s="32"/>
      <c r="AF614" s="32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 spans="1:50" x14ac:dyDescent="0.25">
      <c r="A615">
        <v>706</v>
      </c>
      <c r="B615" s="2">
        <v>1</v>
      </c>
      <c r="C615" s="2" t="s">
        <v>684</v>
      </c>
      <c r="D615">
        <v>30</v>
      </c>
      <c r="E615" s="2" t="s">
        <v>104</v>
      </c>
      <c r="F615" s="29">
        <v>1</v>
      </c>
      <c r="G615" s="30" t="s">
        <v>1328</v>
      </c>
      <c r="H615" s="30" t="s">
        <v>1328</v>
      </c>
      <c r="I615" s="37" t="s">
        <v>1328</v>
      </c>
      <c r="J615" s="37" t="s">
        <v>1328</v>
      </c>
      <c r="K615" s="32">
        <v>0</v>
      </c>
      <c r="L615" s="32">
        <v>91</v>
      </c>
      <c r="M615" s="32" t="s">
        <v>1328</v>
      </c>
      <c r="N615" s="32" t="s">
        <v>1328</v>
      </c>
      <c r="O615" s="32">
        <v>36902.32</v>
      </c>
      <c r="P615" s="32">
        <f t="shared" si="9"/>
        <v>35270.49</v>
      </c>
      <c r="Q615" s="32"/>
      <c r="R615" s="32"/>
      <c r="S615" s="2"/>
      <c r="T615" s="2"/>
      <c r="V615" s="2"/>
      <c r="W615" s="2"/>
      <c r="X615" s="30"/>
      <c r="Y615" s="30"/>
      <c r="Z615" s="32"/>
      <c r="AA615" s="32"/>
      <c r="AB615" s="32"/>
      <c r="AC615" s="32"/>
      <c r="AD615" s="32"/>
      <c r="AE615" s="32"/>
      <c r="AF615" s="32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</row>
    <row r="616" spans="1:50" x14ac:dyDescent="0.25">
      <c r="A616">
        <v>706</v>
      </c>
      <c r="B616" s="2">
        <v>1</v>
      </c>
      <c r="C616" s="2" t="s">
        <v>684</v>
      </c>
      <c r="D616">
        <v>112</v>
      </c>
      <c r="E616" s="2" t="s">
        <v>242</v>
      </c>
      <c r="F616" s="29">
        <v>1</v>
      </c>
      <c r="G616" s="30" t="s">
        <v>1328</v>
      </c>
      <c r="H616" s="30" t="s">
        <v>1328</v>
      </c>
      <c r="I616" s="37" t="s">
        <v>1328</v>
      </c>
      <c r="J616" s="37" t="s">
        <v>1328</v>
      </c>
      <c r="K616" s="32">
        <v>125</v>
      </c>
      <c r="L616" s="32">
        <v>0</v>
      </c>
      <c r="M616" s="32" t="s">
        <v>1328</v>
      </c>
      <c r="N616" s="32" t="s">
        <v>1328</v>
      </c>
      <c r="O616" s="32">
        <v>55905</v>
      </c>
      <c r="P616" s="32">
        <f t="shared" si="9"/>
        <v>53432.87</v>
      </c>
      <c r="Q616" s="32"/>
      <c r="R616" s="32"/>
      <c r="S616" s="2"/>
      <c r="T616" s="2"/>
      <c r="V616" s="2"/>
      <c r="W616" s="2"/>
      <c r="X616" s="30"/>
      <c r="Y616" s="30"/>
      <c r="Z616" s="32"/>
      <c r="AA616" s="32"/>
      <c r="AB616" s="32"/>
      <c r="AC616" s="32"/>
      <c r="AD616" s="32"/>
      <c r="AE616" s="32"/>
      <c r="AF616" s="32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 spans="1:50" x14ac:dyDescent="0.25">
      <c r="A617">
        <v>707</v>
      </c>
      <c r="B617" s="2">
        <v>1</v>
      </c>
      <c r="C617" s="2" t="s">
        <v>1225</v>
      </c>
      <c r="D617">
        <v>1</v>
      </c>
      <c r="E617" s="2" t="s">
        <v>1226</v>
      </c>
      <c r="F617" s="29">
        <v>1</v>
      </c>
      <c r="G617" s="30" t="s">
        <v>1328</v>
      </c>
      <c r="H617" s="30" t="s">
        <v>1328</v>
      </c>
      <c r="I617" s="37" t="s">
        <v>1328</v>
      </c>
      <c r="J617" s="37" t="s">
        <v>1328</v>
      </c>
      <c r="K617" s="32">
        <v>11</v>
      </c>
      <c r="L617" s="32">
        <v>8</v>
      </c>
      <c r="M617" s="32" t="s">
        <v>1328</v>
      </c>
      <c r="N617" s="32" t="s">
        <v>1328</v>
      </c>
      <c r="O617" s="32">
        <v>7675.11</v>
      </c>
      <c r="P617" s="32">
        <f t="shared" si="9"/>
        <v>7335.71</v>
      </c>
      <c r="Q617" s="32"/>
      <c r="R617" s="32"/>
      <c r="S617" s="2"/>
      <c r="T617" s="2"/>
      <c r="V617" s="2"/>
      <c r="W617" s="2"/>
      <c r="X617" s="30"/>
      <c r="Y617" s="30"/>
      <c r="Z617" s="32"/>
      <c r="AA617" s="32"/>
      <c r="AB617" s="32"/>
      <c r="AC617" s="32"/>
      <c r="AD617" s="32"/>
      <c r="AE617" s="32"/>
      <c r="AF617" s="32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</row>
    <row r="618" spans="1:50" x14ac:dyDescent="0.25">
      <c r="A618">
        <v>709</v>
      </c>
      <c r="B618" s="2">
        <v>1</v>
      </c>
      <c r="C618" s="2" t="s">
        <v>1227</v>
      </c>
      <c r="D618">
        <v>81</v>
      </c>
      <c r="E618" s="2" t="s">
        <v>1228</v>
      </c>
      <c r="F618" s="29">
        <v>1</v>
      </c>
      <c r="G618" s="30" t="s">
        <v>1328</v>
      </c>
      <c r="H618" s="30" t="s">
        <v>1328</v>
      </c>
      <c r="I618" s="37" t="s">
        <v>1328</v>
      </c>
      <c r="J618" s="37" t="s">
        <v>1328</v>
      </c>
      <c r="K618" s="32">
        <v>8</v>
      </c>
      <c r="L618" s="32">
        <v>13</v>
      </c>
      <c r="M618" s="32" t="s">
        <v>1328</v>
      </c>
      <c r="N618" s="32" t="s">
        <v>1328</v>
      </c>
      <c r="O618" s="32">
        <v>4900.88</v>
      </c>
      <c r="P618" s="32">
        <f t="shared" si="9"/>
        <v>4684.16</v>
      </c>
      <c r="Q618" s="32"/>
      <c r="R618" s="32"/>
      <c r="S618" s="2"/>
      <c r="T618" s="2"/>
      <c r="V618" s="2"/>
      <c r="W618" s="2"/>
      <c r="X618" s="30"/>
      <c r="Y618" s="30"/>
      <c r="Z618" s="32"/>
      <c r="AA618" s="32"/>
      <c r="AB618" s="32"/>
      <c r="AC618" s="32"/>
      <c r="AD618" s="32"/>
      <c r="AE618" s="32"/>
      <c r="AF618" s="32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 spans="1:50" x14ac:dyDescent="0.25">
      <c r="A619">
        <v>709</v>
      </c>
      <c r="B619" s="2">
        <v>1</v>
      </c>
      <c r="C619" s="2" t="s">
        <v>685</v>
      </c>
      <c r="D619">
        <v>435</v>
      </c>
      <c r="E619" s="2" t="s">
        <v>686</v>
      </c>
      <c r="F619" s="29">
        <v>0</v>
      </c>
      <c r="G619" s="30">
        <v>0.91056910569105687</v>
      </c>
      <c r="H619" s="30">
        <v>0.93023255813953487</v>
      </c>
      <c r="I619" s="37">
        <v>482.6</v>
      </c>
      <c r="J619" s="37">
        <v>493.02</v>
      </c>
      <c r="K619" s="32">
        <v>83</v>
      </c>
      <c r="L619" s="32">
        <v>77</v>
      </c>
      <c r="M619" s="32">
        <v>40055.800000000003</v>
      </c>
      <c r="N619" s="32">
        <v>37962.54</v>
      </c>
      <c r="O619" s="32">
        <v>78018.34</v>
      </c>
      <c r="P619" s="32">
        <f t="shared" si="9"/>
        <v>74568.350000000006</v>
      </c>
      <c r="Q619" s="32"/>
      <c r="R619" s="32"/>
      <c r="W619" s="2"/>
      <c r="X619" s="30"/>
      <c r="Y619" s="30"/>
      <c r="Z619" s="32"/>
      <c r="AA619" s="32"/>
      <c r="AB619" s="32"/>
      <c r="AC619" s="32"/>
      <c r="AD619" s="32"/>
      <c r="AE619" s="32"/>
      <c r="AF619" s="32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</row>
    <row r="620" spans="1:50" x14ac:dyDescent="0.25">
      <c r="A620">
        <v>709</v>
      </c>
      <c r="B620" s="2">
        <v>1</v>
      </c>
      <c r="C620" s="2" t="s">
        <v>685</v>
      </c>
      <c r="D620">
        <v>470</v>
      </c>
      <c r="E620" s="2" t="s">
        <v>687</v>
      </c>
      <c r="F620" s="29">
        <v>1</v>
      </c>
      <c r="G620" s="30" t="s">
        <v>1328</v>
      </c>
      <c r="H620" s="30" t="s">
        <v>1328</v>
      </c>
      <c r="I620" s="37" t="s">
        <v>1328</v>
      </c>
      <c r="J620" s="37" t="s">
        <v>1328</v>
      </c>
      <c r="K620" s="32">
        <v>0</v>
      </c>
      <c r="L620" s="32">
        <v>0</v>
      </c>
      <c r="M620" s="32" t="s">
        <v>1328</v>
      </c>
      <c r="N620" s="32" t="s">
        <v>1328</v>
      </c>
      <c r="O620" s="32">
        <v>0</v>
      </c>
      <c r="P620" s="32">
        <f t="shared" si="9"/>
        <v>0</v>
      </c>
      <c r="Q620" s="32"/>
      <c r="R620" s="32"/>
      <c r="S620" s="2"/>
      <c r="T620" s="2"/>
      <c r="V620" s="2"/>
      <c r="W620" s="2"/>
      <c r="X620" s="30"/>
      <c r="Y620" s="30"/>
      <c r="Z620" s="32"/>
      <c r="AA620" s="32"/>
      <c r="AB620" s="32"/>
      <c r="AC620" s="32"/>
      <c r="AD620" s="32"/>
      <c r="AE620" s="32"/>
      <c r="AF620" s="32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 spans="1:50" x14ac:dyDescent="0.25">
      <c r="A621">
        <v>709</v>
      </c>
      <c r="B621" s="2">
        <v>1</v>
      </c>
      <c r="C621" s="2" t="s">
        <v>685</v>
      </c>
      <c r="D621">
        <v>475</v>
      </c>
      <c r="E621" s="2" t="s">
        <v>633</v>
      </c>
      <c r="F621" s="29">
        <v>0</v>
      </c>
      <c r="G621" s="30">
        <v>0.81675392670157065</v>
      </c>
      <c r="H621" s="30">
        <v>0.72781065088757402</v>
      </c>
      <c r="I621" s="37">
        <v>432.88</v>
      </c>
      <c r="J621" s="37">
        <v>385.74</v>
      </c>
      <c r="K621" s="32">
        <v>74</v>
      </c>
      <c r="L621" s="32">
        <v>51</v>
      </c>
      <c r="M621" s="32">
        <v>32033.119999999999</v>
      </c>
      <c r="N621" s="32">
        <v>19672.740000000002</v>
      </c>
      <c r="O621" s="32">
        <v>51705.86</v>
      </c>
      <c r="P621" s="32">
        <f t="shared" si="9"/>
        <v>49419.41</v>
      </c>
      <c r="Q621" s="32"/>
      <c r="R621" s="32"/>
      <c r="S621" s="2"/>
      <c r="T621" s="2"/>
      <c r="V621" s="2"/>
      <c r="W621" s="2"/>
      <c r="X621" s="30"/>
      <c r="Y621" s="30"/>
      <c r="Z621" s="32"/>
      <c r="AA621" s="32"/>
      <c r="AB621" s="32"/>
      <c r="AC621" s="32"/>
      <c r="AD621" s="32"/>
      <c r="AE621" s="32"/>
      <c r="AF621" s="32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</row>
    <row r="622" spans="1:50" x14ac:dyDescent="0.25">
      <c r="A622">
        <v>709</v>
      </c>
      <c r="B622" s="2">
        <v>1</v>
      </c>
      <c r="C622" s="2" t="s">
        <v>685</v>
      </c>
      <c r="D622">
        <v>500</v>
      </c>
      <c r="E622" s="2" t="s">
        <v>688</v>
      </c>
      <c r="F622" s="29">
        <v>0</v>
      </c>
      <c r="G622" s="30">
        <v>0.92142857142857137</v>
      </c>
      <c r="H622" s="30">
        <v>0.77702702702702697</v>
      </c>
      <c r="I622" s="37">
        <v>488.36</v>
      </c>
      <c r="J622" s="37">
        <v>411.82</v>
      </c>
      <c r="K622" s="32">
        <v>45</v>
      </c>
      <c r="L622" s="32">
        <v>46</v>
      </c>
      <c r="M622" s="32">
        <v>21976.2</v>
      </c>
      <c r="N622" s="32">
        <v>18943.72</v>
      </c>
      <c r="O622" s="32">
        <v>40919.919999999998</v>
      </c>
      <c r="P622" s="32">
        <f t="shared" si="9"/>
        <v>39110.43</v>
      </c>
      <c r="Q622" s="32"/>
      <c r="R622" s="32"/>
      <c r="S622" s="2"/>
      <c r="T622" s="2"/>
      <c r="V622" s="2"/>
      <c r="W622" s="2"/>
      <c r="X622" s="30"/>
      <c r="Y622" s="30"/>
      <c r="Z622" s="32"/>
      <c r="AA622" s="32"/>
      <c r="AB622" s="32"/>
      <c r="AC622" s="32"/>
      <c r="AD622" s="32"/>
      <c r="AE622" s="32"/>
      <c r="AF622" s="32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 spans="1:50" x14ac:dyDescent="0.25">
      <c r="A623">
        <v>709</v>
      </c>
      <c r="B623" s="2">
        <v>1</v>
      </c>
      <c r="C623" s="2" t="s">
        <v>685</v>
      </c>
      <c r="D623">
        <v>510</v>
      </c>
      <c r="E623" s="2" t="s">
        <v>689</v>
      </c>
      <c r="F623" s="29">
        <v>0</v>
      </c>
      <c r="G623" s="30">
        <v>0.91015625</v>
      </c>
      <c r="H623" s="30">
        <v>0.79668049792531115</v>
      </c>
      <c r="I623" s="37">
        <v>482.38</v>
      </c>
      <c r="J623" s="37">
        <v>422.24</v>
      </c>
      <c r="K623" s="32">
        <v>96</v>
      </c>
      <c r="L623" s="32">
        <v>78</v>
      </c>
      <c r="M623" s="32">
        <v>46308.480000000003</v>
      </c>
      <c r="N623" s="32">
        <v>32934.720000000001</v>
      </c>
      <c r="O623" s="32">
        <v>79243.200000000012</v>
      </c>
      <c r="P623" s="32">
        <f t="shared" si="9"/>
        <v>75739.05</v>
      </c>
      <c r="Q623" s="32"/>
      <c r="R623" s="32"/>
      <c r="S623" s="2"/>
      <c r="T623" s="2"/>
      <c r="V623" s="2"/>
      <c r="W623" s="2"/>
      <c r="X623" s="30"/>
      <c r="Y623" s="30"/>
      <c r="Z623" s="32"/>
      <c r="AA623" s="32"/>
      <c r="AB623" s="32"/>
      <c r="AC623" s="32"/>
      <c r="AD623" s="32"/>
      <c r="AE623" s="32"/>
      <c r="AF623" s="32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</row>
    <row r="624" spans="1:50" x14ac:dyDescent="0.25">
      <c r="A624">
        <v>709</v>
      </c>
      <c r="B624" s="2">
        <v>1</v>
      </c>
      <c r="C624" s="2" t="s">
        <v>685</v>
      </c>
      <c r="D624">
        <v>515</v>
      </c>
      <c r="E624" s="2" t="s">
        <v>690</v>
      </c>
      <c r="F624" s="29">
        <v>1</v>
      </c>
      <c r="G624" s="30" t="s">
        <v>1328</v>
      </c>
      <c r="H624" s="30" t="s">
        <v>1328</v>
      </c>
      <c r="I624" s="37" t="s">
        <v>1328</v>
      </c>
      <c r="J624" s="37" t="s">
        <v>1328</v>
      </c>
      <c r="K624" s="32">
        <v>0</v>
      </c>
      <c r="L624" s="32">
        <v>0</v>
      </c>
      <c r="M624" s="32" t="s">
        <v>1328</v>
      </c>
      <c r="N624" s="32" t="s">
        <v>1328</v>
      </c>
      <c r="O624" s="32">
        <v>0</v>
      </c>
      <c r="P624" s="32">
        <f t="shared" si="9"/>
        <v>0</v>
      </c>
      <c r="Q624" s="32"/>
      <c r="R624" s="32"/>
      <c r="S624" s="2"/>
      <c r="T624" s="2"/>
      <c r="V624" s="2"/>
      <c r="W624" s="2"/>
      <c r="X624" s="30"/>
      <c r="Y624" s="30"/>
      <c r="Z624" s="32"/>
      <c r="AA624" s="32"/>
      <c r="AB624" s="32"/>
      <c r="AC624" s="32"/>
      <c r="AD624" s="32"/>
      <c r="AE624" s="32"/>
      <c r="AF624" s="32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 spans="1:50" x14ac:dyDescent="0.25">
      <c r="A625">
        <v>709</v>
      </c>
      <c r="B625" s="2">
        <v>1</v>
      </c>
      <c r="C625" s="2" t="s">
        <v>685</v>
      </c>
      <c r="D625">
        <v>520</v>
      </c>
      <c r="E625" s="2" t="s">
        <v>691</v>
      </c>
      <c r="F625" s="29">
        <v>0</v>
      </c>
      <c r="G625" s="30">
        <v>0.8318965517241379</v>
      </c>
      <c r="H625" s="30">
        <v>0.74449339207048459</v>
      </c>
      <c r="I625" s="37">
        <v>440.91</v>
      </c>
      <c r="J625" s="37">
        <v>394.58</v>
      </c>
      <c r="K625" s="32">
        <v>71</v>
      </c>
      <c r="L625" s="32">
        <v>72</v>
      </c>
      <c r="M625" s="32">
        <v>31304.61</v>
      </c>
      <c r="N625" s="32">
        <v>28409.759999999998</v>
      </c>
      <c r="O625" s="32">
        <v>59714.369999999995</v>
      </c>
      <c r="P625" s="32">
        <f t="shared" si="9"/>
        <v>57073.79</v>
      </c>
      <c r="Q625" s="32"/>
      <c r="R625" s="32"/>
      <c r="S625" s="2"/>
      <c r="T625" s="2"/>
      <c r="V625" s="2"/>
      <c r="W625" s="2"/>
      <c r="X625" s="30"/>
      <c r="Y625" s="30"/>
      <c r="Z625" s="32"/>
      <c r="AA625" s="32"/>
      <c r="AB625" s="32"/>
      <c r="AC625" s="32"/>
      <c r="AD625" s="32"/>
      <c r="AE625" s="32"/>
      <c r="AF625" s="32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</row>
    <row r="626" spans="1:50" x14ac:dyDescent="0.25">
      <c r="A626">
        <v>709</v>
      </c>
      <c r="B626" s="2">
        <v>1</v>
      </c>
      <c r="C626" s="2" t="s">
        <v>685</v>
      </c>
      <c r="D626">
        <v>525</v>
      </c>
      <c r="E626" s="2" t="s">
        <v>692</v>
      </c>
      <c r="F626" s="29">
        <v>0</v>
      </c>
      <c r="G626" s="30">
        <v>0.65365853658536588</v>
      </c>
      <c r="H626" s="30">
        <v>0.74731182795698925</v>
      </c>
      <c r="I626" s="37">
        <v>346.44</v>
      </c>
      <c r="J626" s="37">
        <v>396.08</v>
      </c>
      <c r="K626" s="32">
        <v>84</v>
      </c>
      <c r="L626" s="32">
        <v>76</v>
      </c>
      <c r="M626" s="32">
        <v>29100.959999999999</v>
      </c>
      <c r="N626" s="32">
        <v>30102.080000000002</v>
      </c>
      <c r="O626" s="32">
        <v>59203.040000000001</v>
      </c>
      <c r="P626" s="32">
        <f t="shared" si="9"/>
        <v>56585.07</v>
      </c>
      <c r="Q626" s="32"/>
      <c r="R626" s="32"/>
      <c r="S626" s="2"/>
      <c r="T626" s="2"/>
      <c r="V626" s="2"/>
      <c r="W626" s="2"/>
      <c r="X626" s="30"/>
      <c r="Y626" s="30"/>
      <c r="Z626" s="32"/>
      <c r="AA626" s="32"/>
      <c r="AB626" s="32"/>
      <c r="AC626" s="32"/>
      <c r="AD626" s="32"/>
      <c r="AE626" s="32"/>
      <c r="AF626" s="32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 spans="1:50" x14ac:dyDescent="0.25">
      <c r="A627">
        <v>709</v>
      </c>
      <c r="B627" s="2">
        <v>1</v>
      </c>
      <c r="C627" s="2" t="s">
        <v>685</v>
      </c>
      <c r="D627">
        <v>540</v>
      </c>
      <c r="E627" s="2" t="s">
        <v>693</v>
      </c>
      <c r="F627" s="29">
        <v>0</v>
      </c>
      <c r="G627" s="30">
        <v>0.66666666666666663</v>
      </c>
      <c r="H627" s="30">
        <v>0.74846625766871167</v>
      </c>
      <c r="I627" s="37">
        <v>353.33</v>
      </c>
      <c r="J627" s="37">
        <v>396.69</v>
      </c>
      <c r="K627" s="32">
        <v>67</v>
      </c>
      <c r="L627" s="32">
        <v>58</v>
      </c>
      <c r="M627" s="32">
        <v>23673.11</v>
      </c>
      <c r="N627" s="32">
        <v>23008.02</v>
      </c>
      <c r="O627" s="32">
        <v>46681.130000000005</v>
      </c>
      <c r="P627" s="32">
        <f t="shared" si="9"/>
        <v>44616.88</v>
      </c>
      <c r="Q627" s="32"/>
      <c r="R627" s="32"/>
      <c r="S627" s="2"/>
      <c r="T627" s="2"/>
      <c r="V627" s="2"/>
      <c r="W627" s="2"/>
      <c r="X627" s="30"/>
      <c r="Y627" s="30"/>
      <c r="Z627" s="32"/>
      <c r="AA627" s="32"/>
      <c r="AB627" s="32"/>
      <c r="AC627" s="32"/>
      <c r="AD627" s="32"/>
      <c r="AE627" s="32"/>
      <c r="AF627" s="32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</row>
    <row r="628" spans="1:50" x14ac:dyDescent="0.25">
      <c r="A628">
        <v>709</v>
      </c>
      <c r="B628">
        <v>1</v>
      </c>
      <c r="C628" t="s">
        <v>1227</v>
      </c>
      <c r="D628">
        <v>550</v>
      </c>
      <c r="E628" t="s">
        <v>1370</v>
      </c>
      <c r="F628" s="1">
        <v>0</v>
      </c>
      <c r="G628" s="30">
        <v>0.60869565217391308</v>
      </c>
      <c r="H628" s="30">
        <v>0.76</v>
      </c>
      <c r="I628" s="37">
        <v>322.61</v>
      </c>
      <c r="J628" s="37">
        <v>402.8</v>
      </c>
      <c r="K628" s="32">
        <v>68</v>
      </c>
      <c r="L628" s="32">
        <v>61</v>
      </c>
      <c r="M628" s="32">
        <v>21937.48</v>
      </c>
      <c r="N628" s="32">
        <v>24570.799999999999</v>
      </c>
      <c r="O628" s="32">
        <v>46508.28</v>
      </c>
      <c r="P628" s="32">
        <f t="shared" si="9"/>
        <v>44451.67</v>
      </c>
      <c r="Q628" s="32"/>
      <c r="R628" s="32"/>
      <c r="S628" s="3"/>
      <c r="T628" s="3"/>
      <c r="V628" s="27"/>
      <c r="W628" s="2"/>
      <c r="X628" s="30"/>
      <c r="Y628" s="30"/>
      <c r="Z628" s="32"/>
      <c r="AA628" s="32"/>
      <c r="AB628" s="32"/>
      <c r="AC628" s="32"/>
      <c r="AD628" s="32"/>
      <c r="AE628" s="32"/>
      <c r="AF628" s="32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 spans="1:50" x14ac:dyDescent="0.25">
      <c r="A629">
        <v>709</v>
      </c>
      <c r="B629" s="2">
        <v>1</v>
      </c>
      <c r="C629" s="2" t="s">
        <v>685</v>
      </c>
      <c r="D629">
        <v>565</v>
      </c>
      <c r="E629" s="2" t="s">
        <v>694</v>
      </c>
      <c r="F629" s="29">
        <v>0</v>
      </c>
      <c r="G629" s="30">
        <v>0.82352941176470584</v>
      </c>
      <c r="H629" s="30">
        <v>0.75</v>
      </c>
      <c r="I629" s="37">
        <v>436.47</v>
      </c>
      <c r="J629" s="37">
        <v>397.5</v>
      </c>
      <c r="K629" s="32">
        <v>48</v>
      </c>
      <c r="L629" s="32">
        <v>52</v>
      </c>
      <c r="M629" s="32">
        <v>20950.560000000001</v>
      </c>
      <c r="N629" s="32">
        <v>20670</v>
      </c>
      <c r="O629" s="32">
        <v>41620.559999999998</v>
      </c>
      <c r="P629" s="32">
        <f t="shared" si="9"/>
        <v>39780.089999999997</v>
      </c>
      <c r="Q629" s="32"/>
      <c r="R629" s="32"/>
      <c r="S629" s="2"/>
      <c r="T629" s="2"/>
      <c r="V629" s="2"/>
      <c r="W629" s="2"/>
      <c r="X629" s="30"/>
      <c r="Y629" s="30"/>
      <c r="Z629" s="32"/>
      <c r="AA629" s="32"/>
      <c r="AB629" s="32"/>
      <c r="AC629" s="32"/>
      <c r="AD629" s="32"/>
      <c r="AE629" s="32"/>
      <c r="AF629" s="32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</row>
    <row r="630" spans="1:50" x14ac:dyDescent="0.25">
      <c r="A630">
        <v>709</v>
      </c>
      <c r="B630" s="2">
        <v>1</v>
      </c>
      <c r="C630" s="2" t="s">
        <v>1227</v>
      </c>
      <c r="D630">
        <v>575</v>
      </c>
      <c r="E630" s="2" t="s">
        <v>1229</v>
      </c>
      <c r="F630" s="29">
        <v>1</v>
      </c>
      <c r="G630" s="30" t="s">
        <v>1328</v>
      </c>
      <c r="H630" s="30" t="s">
        <v>1328</v>
      </c>
      <c r="I630" s="37" t="s">
        <v>1328</v>
      </c>
      <c r="J630" s="37" t="s">
        <v>1328</v>
      </c>
      <c r="K630" s="32">
        <v>3</v>
      </c>
      <c r="L630" s="32">
        <v>6</v>
      </c>
      <c r="M630" s="32" t="s">
        <v>1328</v>
      </c>
      <c r="N630" s="32" t="s">
        <v>1328</v>
      </c>
      <c r="O630" s="32">
        <v>2977.65</v>
      </c>
      <c r="P630" s="32">
        <f t="shared" si="9"/>
        <v>2845.98</v>
      </c>
      <c r="Q630" s="32"/>
      <c r="R630" s="32"/>
      <c r="S630" s="2"/>
      <c r="T630" s="2"/>
      <c r="V630" s="2"/>
      <c r="W630" s="2"/>
      <c r="X630" s="30"/>
      <c r="Y630" s="30"/>
      <c r="Z630" s="32"/>
      <c r="AA630" s="32"/>
      <c r="AB630" s="32"/>
      <c r="AC630" s="32"/>
      <c r="AD630" s="32"/>
      <c r="AE630" s="32"/>
      <c r="AF630" s="32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 spans="1:50" x14ac:dyDescent="0.25">
      <c r="A631">
        <v>709</v>
      </c>
      <c r="B631" s="2">
        <v>1</v>
      </c>
      <c r="C631" s="2" t="s">
        <v>1227</v>
      </c>
      <c r="D631">
        <v>640</v>
      </c>
      <c r="E631" s="2" t="s">
        <v>1230</v>
      </c>
      <c r="F631" s="29">
        <v>1</v>
      </c>
      <c r="G631" s="30" t="s">
        <v>1328</v>
      </c>
      <c r="H631" s="30" t="s">
        <v>1328</v>
      </c>
      <c r="I631" s="37" t="s">
        <v>1328</v>
      </c>
      <c r="J631" s="37" t="s">
        <v>1328</v>
      </c>
      <c r="K631" s="32">
        <v>2</v>
      </c>
      <c r="L631" s="32">
        <v>0</v>
      </c>
      <c r="M631" s="32" t="s">
        <v>1328</v>
      </c>
      <c r="N631" s="32" t="s">
        <v>1328</v>
      </c>
      <c r="O631" s="32">
        <v>1060</v>
      </c>
      <c r="P631" s="32">
        <f t="shared" si="9"/>
        <v>1013.13</v>
      </c>
      <c r="Q631" s="32"/>
      <c r="R631" s="32"/>
      <c r="S631" s="2"/>
      <c r="T631" s="2"/>
      <c r="V631" s="2"/>
      <c r="W631" s="2"/>
      <c r="X631" s="30"/>
      <c r="Y631" s="30"/>
      <c r="Z631" s="32"/>
      <c r="AA631" s="32"/>
      <c r="AB631" s="32"/>
      <c r="AC631" s="32"/>
      <c r="AD631" s="32"/>
      <c r="AE631" s="32"/>
      <c r="AF631" s="32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</row>
    <row r="632" spans="1:50" x14ac:dyDescent="0.25">
      <c r="A632">
        <v>712</v>
      </c>
      <c r="B632" s="2">
        <v>1</v>
      </c>
      <c r="C632" s="2" t="s">
        <v>695</v>
      </c>
      <c r="D632">
        <v>1</v>
      </c>
      <c r="E632" s="2" t="s">
        <v>696</v>
      </c>
      <c r="F632" s="29">
        <v>0</v>
      </c>
      <c r="G632" s="30">
        <v>0.78151260504201681</v>
      </c>
      <c r="H632" s="30">
        <v>0.72566371681415931</v>
      </c>
      <c r="I632" s="37">
        <v>414.2</v>
      </c>
      <c r="J632" s="37">
        <v>384.6</v>
      </c>
      <c r="K632" s="32">
        <v>35</v>
      </c>
      <c r="L632" s="32">
        <v>48</v>
      </c>
      <c r="M632" s="32">
        <v>14497</v>
      </c>
      <c r="N632" s="32">
        <v>18460.8</v>
      </c>
      <c r="O632" s="32">
        <v>32957.800000000003</v>
      </c>
      <c r="P632" s="32">
        <f t="shared" si="9"/>
        <v>31500.400000000001</v>
      </c>
      <c r="Q632" s="32"/>
      <c r="R632" s="32"/>
      <c r="S632" s="2"/>
      <c r="T632" s="2"/>
      <c r="V632" s="2"/>
      <c r="W632" s="2"/>
      <c r="X632" s="30"/>
      <c r="Y632" s="30"/>
      <c r="Z632" s="32"/>
      <c r="AA632" s="32"/>
      <c r="AB632" s="32"/>
      <c r="AC632" s="32"/>
      <c r="AD632" s="32"/>
      <c r="AE632" s="32"/>
      <c r="AF632" s="32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 spans="1:50" x14ac:dyDescent="0.25">
      <c r="A633">
        <v>716</v>
      </c>
      <c r="B633">
        <v>1</v>
      </c>
      <c r="C633" t="s">
        <v>697</v>
      </c>
      <c r="D633">
        <v>11</v>
      </c>
      <c r="E633" t="s">
        <v>698</v>
      </c>
      <c r="F633" s="1">
        <v>0</v>
      </c>
      <c r="G633" s="30">
        <v>0.79041916167664672</v>
      </c>
      <c r="H633" s="30">
        <v>0.79537953795379535</v>
      </c>
      <c r="I633" s="37">
        <v>418.92</v>
      </c>
      <c r="J633" s="37">
        <v>421.55</v>
      </c>
      <c r="K633" s="32">
        <v>129</v>
      </c>
      <c r="L633" s="32">
        <v>113</v>
      </c>
      <c r="M633" s="32">
        <v>54040.68</v>
      </c>
      <c r="N633" s="32">
        <v>47635.15</v>
      </c>
      <c r="O633" s="32">
        <v>101675.83</v>
      </c>
      <c r="P633" s="32">
        <f t="shared" si="9"/>
        <v>97179.7</v>
      </c>
      <c r="Q633" s="32"/>
      <c r="R633" s="32"/>
      <c r="S633" s="2"/>
      <c r="T633" s="2"/>
      <c r="V633" s="2"/>
      <c r="W633" s="2"/>
      <c r="X633" s="30"/>
      <c r="Y633" s="30"/>
      <c r="Z633" s="32"/>
      <c r="AA633" s="32"/>
      <c r="AB633" s="32"/>
      <c r="AC633" s="32"/>
      <c r="AD633" s="32"/>
      <c r="AE633" s="32"/>
      <c r="AF633" s="32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</row>
    <row r="634" spans="1:50" x14ac:dyDescent="0.25">
      <c r="A634">
        <v>717</v>
      </c>
      <c r="B634" s="2">
        <v>1</v>
      </c>
      <c r="C634" s="2" t="s">
        <v>699</v>
      </c>
      <c r="D634">
        <v>637</v>
      </c>
      <c r="E634" s="2" t="s">
        <v>700</v>
      </c>
      <c r="F634" s="29">
        <v>0</v>
      </c>
      <c r="G634" s="30">
        <v>0.83028720626631858</v>
      </c>
      <c r="H634" s="30">
        <v>0.80813953488372092</v>
      </c>
      <c r="I634" s="37">
        <v>440.05</v>
      </c>
      <c r="J634" s="37">
        <v>428.31</v>
      </c>
      <c r="K634" s="32">
        <v>132</v>
      </c>
      <c r="L634" s="32">
        <v>112</v>
      </c>
      <c r="M634" s="32">
        <v>58086.6</v>
      </c>
      <c r="N634" s="32">
        <v>47970.720000000001</v>
      </c>
      <c r="O634" s="32">
        <v>106057.32</v>
      </c>
      <c r="P634" s="32">
        <f t="shared" si="9"/>
        <v>101367.44</v>
      </c>
      <c r="Q634" s="32"/>
      <c r="R634" s="32"/>
      <c r="S634" s="2"/>
      <c r="T634" s="2"/>
      <c r="V634" s="2"/>
      <c r="W634" s="2"/>
      <c r="X634" s="30"/>
      <c r="Y634" s="30"/>
      <c r="Z634" s="32"/>
      <c r="AA634" s="32"/>
      <c r="AB634" s="32"/>
      <c r="AC634" s="32"/>
      <c r="AD634" s="32"/>
      <c r="AE634" s="32"/>
      <c r="AF634" s="32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 spans="1:50" x14ac:dyDescent="0.25">
      <c r="A635">
        <v>719</v>
      </c>
      <c r="B635" s="2">
        <v>1</v>
      </c>
      <c r="C635" s="2" t="s">
        <v>701</v>
      </c>
      <c r="D635">
        <v>10</v>
      </c>
      <c r="E635" s="2" t="s">
        <v>702</v>
      </c>
      <c r="F635" s="29">
        <v>0</v>
      </c>
      <c r="G635" s="30">
        <v>0.92647058823529416</v>
      </c>
      <c r="H635" s="30">
        <v>0.85460992907801414</v>
      </c>
      <c r="I635" s="37">
        <v>491.03</v>
      </c>
      <c r="J635" s="37">
        <v>452.94</v>
      </c>
      <c r="K635" s="32">
        <v>91</v>
      </c>
      <c r="L635" s="32">
        <v>109</v>
      </c>
      <c r="M635" s="32">
        <v>44683.73</v>
      </c>
      <c r="N635" s="32">
        <v>49370.46</v>
      </c>
      <c r="O635" s="32">
        <v>94054.19</v>
      </c>
      <c r="P635" s="32">
        <f t="shared" si="9"/>
        <v>89895.09</v>
      </c>
      <c r="Q635" s="32"/>
      <c r="R635" s="32"/>
      <c r="S635" s="2"/>
      <c r="T635" s="2"/>
      <c r="V635" s="2"/>
      <c r="W635" s="2"/>
      <c r="X635" s="30"/>
      <c r="Y635" s="30"/>
      <c r="Z635" s="32"/>
      <c r="AA635" s="32"/>
      <c r="AB635" s="32"/>
      <c r="AC635" s="32"/>
      <c r="AD635" s="32"/>
      <c r="AE635" s="32"/>
      <c r="AF635" s="32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</row>
    <row r="636" spans="1:50" x14ac:dyDescent="0.25">
      <c r="A636">
        <v>719</v>
      </c>
      <c r="B636" s="2">
        <v>1</v>
      </c>
      <c r="C636" s="2" t="s">
        <v>701</v>
      </c>
      <c r="D636">
        <v>11</v>
      </c>
      <c r="E636" s="2" t="s">
        <v>703</v>
      </c>
      <c r="F636" s="29">
        <v>0</v>
      </c>
      <c r="G636" s="30">
        <v>0.81779661016949157</v>
      </c>
      <c r="H636" s="30">
        <v>0.84120171673819744</v>
      </c>
      <c r="I636" s="37">
        <v>433.43</v>
      </c>
      <c r="J636" s="37">
        <v>445.84</v>
      </c>
      <c r="K636" s="32">
        <v>84</v>
      </c>
      <c r="L636" s="32">
        <v>78</v>
      </c>
      <c r="M636" s="32">
        <v>36408.120000000003</v>
      </c>
      <c r="N636" s="32">
        <v>34775.519999999997</v>
      </c>
      <c r="O636" s="32">
        <v>71183.64</v>
      </c>
      <c r="P636" s="32">
        <f t="shared" si="9"/>
        <v>68035.88</v>
      </c>
      <c r="Q636" s="32"/>
      <c r="R636" s="32"/>
      <c r="S636" s="2"/>
      <c r="T636" s="2"/>
      <c r="V636" s="2"/>
      <c r="W636" s="2"/>
      <c r="X636" s="30"/>
      <c r="Y636" s="30"/>
      <c r="Z636" s="32"/>
      <c r="AA636" s="32"/>
      <c r="AB636" s="32"/>
      <c r="AC636" s="32"/>
      <c r="AD636" s="32"/>
      <c r="AE636" s="32"/>
      <c r="AF636" s="32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 spans="1:50" x14ac:dyDescent="0.25">
      <c r="A637">
        <v>719</v>
      </c>
      <c r="B637" s="2">
        <v>1</v>
      </c>
      <c r="C637" s="2" t="s">
        <v>701</v>
      </c>
      <c r="D637">
        <v>12</v>
      </c>
      <c r="E637" s="2" t="s">
        <v>704</v>
      </c>
      <c r="F637" s="29">
        <v>0</v>
      </c>
      <c r="G637" s="30">
        <v>0.79500000000000004</v>
      </c>
      <c r="H637" s="30">
        <v>0.78888888888888886</v>
      </c>
      <c r="I637" s="37">
        <v>421.35</v>
      </c>
      <c r="J637" s="37">
        <v>418.11</v>
      </c>
      <c r="K637" s="32">
        <v>67</v>
      </c>
      <c r="L637" s="32">
        <v>61</v>
      </c>
      <c r="M637" s="32">
        <v>28230.45</v>
      </c>
      <c r="N637" s="32">
        <v>25504.71</v>
      </c>
      <c r="O637" s="32">
        <v>53735.16</v>
      </c>
      <c r="P637" s="32">
        <f t="shared" si="9"/>
        <v>51358.98</v>
      </c>
      <c r="Q637" s="32"/>
      <c r="R637" s="32"/>
      <c r="W637" s="2"/>
      <c r="X637" s="30"/>
      <c r="Y637" s="30"/>
      <c r="Z637" s="32"/>
      <c r="AA637" s="32"/>
      <c r="AB637" s="32"/>
      <c r="AC637" s="32"/>
      <c r="AD637" s="32"/>
      <c r="AE637" s="32"/>
      <c r="AF637" s="32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</row>
    <row r="638" spans="1:50" x14ac:dyDescent="0.25">
      <c r="A638">
        <v>719</v>
      </c>
      <c r="B638" s="2">
        <v>1</v>
      </c>
      <c r="C638" s="2" t="s">
        <v>701</v>
      </c>
      <c r="D638">
        <v>14</v>
      </c>
      <c r="E638" s="2" t="s">
        <v>705</v>
      </c>
      <c r="F638" s="29">
        <v>0</v>
      </c>
      <c r="G638" s="30">
        <v>0.87713310580204773</v>
      </c>
      <c r="H638" s="30">
        <v>0.86254295532646053</v>
      </c>
      <c r="I638" s="37">
        <v>464.88</v>
      </c>
      <c r="J638" s="37">
        <v>457.15</v>
      </c>
      <c r="K638" s="32">
        <v>110</v>
      </c>
      <c r="L638" s="32">
        <v>91</v>
      </c>
      <c r="M638" s="32">
        <v>51136.800000000003</v>
      </c>
      <c r="N638" s="32">
        <v>41600.65</v>
      </c>
      <c r="O638" s="32">
        <v>92737.450000000012</v>
      </c>
      <c r="P638" s="32">
        <f t="shared" si="9"/>
        <v>88636.58</v>
      </c>
      <c r="Q638" s="32"/>
      <c r="R638" s="32"/>
      <c r="S638" s="2"/>
      <c r="T638" s="2"/>
      <c r="V638" s="2"/>
      <c r="W638" s="2"/>
      <c r="X638" s="30"/>
      <c r="Y638" s="30"/>
      <c r="Z638" s="32"/>
      <c r="AA638" s="32"/>
      <c r="AB638" s="32"/>
      <c r="AC638" s="32"/>
      <c r="AD638" s="32"/>
      <c r="AE638" s="32"/>
      <c r="AF638" s="32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 spans="1:50" x14ac:dyDescent="0.25">
      <c r="A639">
        <v>719</v>
      </c>
      <c r="B639" s="2">
        <v>1</v>
      </c>
      <c r="C639" s="2" t="s">
        <v>701</v>
      </c>
      <c r="D639">
        <v>17</v>
      </c>
      <c r="E639" s="2" t="s">
        <v>706</v>
      </c>
      <c r="F639" s="29">
        <v>0</v>
      </c>
      <c r="G639" s="30">
        <v>0.89473684210526316</v>
      </c>
      <c r="H639" s="30">
        <v>0.83275261324041816</v>
      </c>
      <c r="I639" s="37">
        <v>474.21</v>
      </c>
      <c r="J639" s="37">
        <v>441.36</v>
      </c>
      <c r="K639" s="32">
        <v>97</v>
      </c>
      <c r="L639" s="32">
        <v>92</v>
      </c>
      <c r="M639" s="32">
        <v>45998.37</v>
      </c>
      <c r="N639" s="32">
        <v>40605.120000000003</v>
      </c>
      <c r="O639" s="32">
        <v>86603.49</v>
      </c>
      <c r="P639" s="32">
        <f t="shared" si="9"/>
        <v>82773.86</v>
      </c>
      <c r="Q639" s="32"/>
      <c r="R639" s="32"/>
      <c r="S639" s="2"/>
      <c r="T639" s="2"/>
      <c r="V639" s="2"/>
      <c r="W639" s="2"/>
      <c r="X639" s="30"/>
      <c r="Y639" s="30"/>
      <c r="Z639" s="32"/>
      <c r="AA639" s="32"/>
      <c r="AB639" s="32"/>
      <c r="AC639" s="32"/>
      <c r="AD639" s="32"/>
      <c r="AE639" s="32"/>
      <c r="AF639" s="32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</row>
    <row r="640" spans="1:50" x14ac:dyDescent="0.25">
      <c r="A640">
        <v>719</v>
      </c>
      <c r="B640" s="2">
        <v>1</v>
      </c>
      <c r="C640" s="2" t="s">
        <v>701</v>
      </c>
      <c r="D640">
        <v>18</v>
      </c>
      <c r="E640" s="2" t="s">
        <v>707</v>
      </c>
      <c r="F640" s="29">
        <v>0</v>
      </c>
      <c r="G640" s="30">
        <v>0.90145985401459849</v>
      </c>
      <c r="H640" s="30">
        <v>0.83132530120481929</v>
      </c>
      <c r="I640" s="37">
        <v>477.77</v>
      </c>
      <c r="J640" s="37">
        <v>440.6</v>
      </c>
      <c r="K640" s="32">
        <v>102</v>
      </c>
      <c r="L640" s="32">
        <v>97</v>
      </c>
      <c r="M640" s="32">
        <v>48732.54</v>
      </c>
      <c r="N640" s="32">
        <v>42738.2</v>
      </c>
      <c r="O640" s="32">
        <v>91470.739999999991</v>
      </c>
      <c r="P640" s="32">
        <f t="shared" si="9"/>
        <v>87425.88</v>
      </c>
      <c r="Q640" s="32"/>
      <c r="R640" s="32"/>
      <c r="S640" s="2"/>
      <c r="T640" s="2"/>
      <c r="V640" s="2"/>
      <c r="W640" s="2"/>
      <c r="X640" s="30"/>
      <c r="Y640" s="30"/>
      <c r="Z640" s="32"/>
      <c r="AA640" s="32"/>
      <c r="AB640" s="32"/>
      <c r="AC640" s="32"/>
      <c r="AD640" s="32"/>
      <c r="AE640" s="32"/>
      <c r="AF640" s="32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 spans="1:50" x14ac:dyDescent="0.25">
      <c r="A641" s="7">
        <v>720</v>
      </c>
      <c r="B641" s="7">
        <v>1</v>
      </c>
      <c r="C641" s="7" t="s">
        <v>708</v>
      </c>
      <c r="D641" s="7">
        <v>860</v>
      </c>
      <c r="E641" s="7" t="s">
        <v>709</v>
      </c>
      <c r="F641" s="38">
        <v>0</v>
      </c>
      <c r="G641" s="30">
        <v>0.81308411214953269</v>
      </c>
      <c r="H641" s="30">
        <v>0.76975945017182135</v>
      </c>
      <c r="I641" s="37">
        <v>430.93</v>
      </c>
      <c r="J641" s="37">
        <v>407.97</v>
      </c>
      <c r="K641" s="32">
        <v>117</v>
      </c>
      <c r="L641" s="32">
        <v>111</v>
      </c>
      <c r="M641" s="32">
        <v>50418.81</v>
      </c>
      <c r="N641" s="32">
        <v>45284.67</v>
      </c>
      <c r="O641" s="32">
        <v>95703.48</v>
      </c>
      <c r="P641" s="32">
        <f t="shared" si="9"/>
        <v>91471.45</v>
      </c>
      <c r="Q641" s="32"/>
      <c r="R641" s="32"/>
      <c r="S641" s="2"/>
      <c r="T641" s="2"/>
      <c r="V641" s="2"/>
      <c r="W641" s="2"/>
      <c r="X641" s="30"/>
      <c r="Y641" s="30"/>
      <c r="Z641" s="32"/>
      <c r="AA641" s="32"/>
      <c r="AB641" s="32"/>
      <c r="AC641" s="32"/>
      <c r="AD641" s="32"/>
      <c r="AE641" s="32"/>
      <c r="AF641" s="32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</row>
    <row r="642" spans="1:50" x14ac:dyDescent="0.25">
      <c r="A642">
        <v>720</v>
      </c>
      <c r="B642" s="2">
        <v>1</v>
      </c>
      <c r="C642" s="2" t="s">
        <v>708</v>
      </c>
      <c r="D642">
        <v>861</v>
      </c>
      <c r="E642" s="2" t="s">
        <v>710</v>
      </c>
      <c r="F642" s="29">
        <v>0</v>
      </c>
      <c r="G642" s="30">
        <v>0.75588235294117645</v>
      </c>
      <c r="H642" s="30">
        <v>0.89570552147239269</v>
      </c>
      <c r="I642" s="37">
        <v>400.62</v>
      </c>
      <c r="J642" s="37">
        <v>474.72</v>
      </c>
      <c r="K642" s="32">
        <v>127</v>
      </c>
      <c r="L642" s="32">
        <v>127</v>
      </c>
      <c r="M642" s="32">
        <v>50878.74</v>
      </c>
      <c r="N642" s="32">
        <v>60289.440000000002</v>
      </c>
      <c r="O642" s="32">
        <v>111168.18</v>
      </c>
      <c r="P642" s="32">
        <f t="shared" si="9"/>
        <v>106252.3</v>
      </c>
      <c r="Q642" s="32"/>
      <c r="R642" s="32"/>
      <c r="W642" s="2"/>
      <c r="X642" s="30"/>
      <c r="Y642" s="30"/>
      <c r="Z642" s="32"/>
      <c r="AA642" s="32"/>
      <c r="AB642" s="32"/>
      <c r="AC642" s="32"/>
      <c r="AD642" s="32"/>
      <c r="AE642" s="32"/>
      <c r="AF642" s="32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 spans="1:50" x14ac:dyDescent="0.25">
      <c r="A643">
        <v>720</v>
      </c>
      <c r="B643" s="2">
        <v>1</v>
      </c>
      <c r="C643" s="2" t="s">
        <v>708</v>
      </c>
      <c r="D643">
        <v>862</v>
      </c>
      <c r="E643" s="2" t="s">
        <v>711</v>
      </c>
      <c r="F643" s="29">
        <v>1</v>
      </c>
      <c r="G643" s="30" t="s">
        <v>1328</v>
      </c>
      <c r="H643" s="30" t="s">
        <v>1328</v>
      </c>
      <c r="I643" s="37" t="s">
        <v>1328</v>
      </c>
      <c r="J643" s="37" t="s">
        <v>1328</v>
      </c>
      <c r="K643" s="32">
        <v>0</v>
      </c>
      <c r="L643" s="32">
        <v>0</v>
      </c>
      <c r="M643" s="32" t="s">
        <v>1328</v>
      </c>
      <c r="N643" s="32" t="s">
        <v>1328</v>
      </c>
      <c r="O643" s="32">
        <v>0</v>
      </c>
      <c r="P643" s="32">
        <f t="shared" si="9"/>
        <v>0</v>
      </c>
      <c r="Q643" s="32"/>
      <c r="R643" s="32"/>
      <c r="S643" s="2"/>
      <c r="T643" s="2"/>
      <c r="V643" s="2"/>
      <c r="W643" s="2"/>
      <c r="X643" s="30"/>
      <c r="Y643" s="30"/>
      <c r="Z643" s="32"/>
      <c r="AA643" s="32"/>
      <c r="AB643" s="32"/>
      <c r="AC643" s="32"/>
      <c r="AD643" s="32"/>
      <c r="AE643" s="32"/>
      <c r="AF643" s="32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</row>
    <row r="644" spans="1:50" x14ac:dyDescent="0.25">
      <c r="A644">
        <v>720</v>
      </c>
      <c r="B644" s="2">
        <v>1</v>
      </c>
      <c r="C644" s="2" t="s">
        <v>708</v>
      </c>
      <c r="D644">
        <v>864</v>
      </c>
      <c r="E644" s="2" t="s">
        <v>712</v>
      </c>
      <c r="F644" s="29">
        <v>0</v>
      </c>
      <c r="G644" s="30">
        <v>0.85416666666666663</v>
      </c>
      <c r="H644" s="30">
        <v>0.84636118598382748</v>
      </c>
      <c r="I644" s="37">
        <v>452.71</v>
      </c>
      <c r="J644" s="37">
        <v>448.57</v>
      </c>
      <c r="K644" s="32">
        <v>126</v>
      </c>
      <c r="L644" s="32">
        <v>134</v>
      </c>
      <c r="M644" s="32">
        <v>57041.46</v>
      </c>
      <c r="N644" s="32">
        <v>60108.38</v>
      </c>
      <c r="O644" s="32">
        <v>117149.84</v>
      </c>
      <c r="P644" s="32">
        <f t="shared" si="9"/>
        <v>111969.45</v>
      </c>
      <c r="Q644" s="32"/>
      <c r="R644" s="32"/>
      <c r="S644" s="2"/>
      <c r="T644" s="2"/>
      <c r="V644" s="2"/>
      <c r="W644" s="2"/>
      <c r="X644" s="30"/>
      <c r="Y644" s="30"/>
      <c r="Z644" s="32"/>
      <c r="AA644" s="32"/>
      <c r="AB644" s="32"/>
      <c r="AC644" s="32"/>
      <c r="AD644" s="32"/>
      <c r="AE644" s="32"/>
      <c r="AF644" s="32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 spans="1:50" x14ac:dyDescent="0.25">
      <c r="A645">
        <v>720</v>
      </c>
      <c r="B645" s="2">
        <v>1</v>
      </c>
      <c r="C645" s="2" t="s">
        <v>708</v>
      </c>
      <c r="D645">
        <v>865</v>
      </c>
      <c r="E645" s="2" t="s">
        <v>713</v>
      </c>
      <c r="F645" s="29">
        <v>0</v>
      </c>
      <c r="G645" s="30">
        <v>0.89066666666666672</v>
      </c>
      <c r="H645" s="30">
        <v>0.82098765432098764</v>
      </c>
      <c r="I645" s="37">
        <v>472.05</v>
      </c>
      <c r="J645" s="37">
        <v>435.12</v>
      </c>
      <c r="K645" s="32">
        <v>121</v>
      </c>
      <c r="L645" s="32">
        <v>103</v>
      </c>
      <c r="M645" s="32">
        <v>57118.05</v>
      </c>
      <c r="N645" s="32">
        <v>44817.36</v>
      </c>
      <c r="O645" s="32">
        <v>101935.41</v>
      </c>
      <c r="P645" s="32">
        <f t="shared" si="9"/>
        <v>97427.8</v>
      </c>
      <c r="Q645" s="32"/>
      <c r="R645" s="32"/>
      <c r="S645" s="2"/>
      <c r="T645" s="2"/>
      <c r="V645" s="2"/>
      <c r="W645" s="2"/>
      <c r="X645" s="30"/>
      <c r="Y645" s="30"/>
      <c r="Z645" s="32"/>
      <c r="AA645" s="32"/>
      <c r="AB645" s="32"/>
      <c r="AC645" s="32"/>
      <c r="AD645" s="32"/>
      <c r="AE645" s="32"/>
      <c r="AF645" s="32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</row>
    <row r="646" spans="1:50" x14ac:dyDescent="0.25">
      <c r="A646">
        <v>720</v>
      </c>
      <c r="B646" s="2">
        <v>1</v>
      </c>
      <c r="C646" s="2" t="s">
        <v>1298</v>
      </c>
      <c r="D646">
        <v>866</v>
      </c>
      <c r="E646" s="2" t="s">
        <v>1299</v>
      </c>
      <c r="F646" s="29">
        <v>0</v>
      </c>
      <c r="G646" s="30">
        <v>0.78740157480314965</v>
      </c>
      <c r="H646" s="30">
        <v>0.77669902912621358</v>
      </c>
      <c r="I646" s="37">
        <v>417.32</v>
      </c>
      <c r="J646" s="37">
        <v>411.65</v>
      </c>
      <c r="K646" s="32">
        <v>121</v>
      </c>
      <c r="L646" s="32">
        <v>113</v>
      </c>
      <c r="M646" s="32">
        <v>50495.72</v>
      </c>
      <c r="N646" s="32">
        <v>46516.45</v>
      </c>
      <c r="O646" s="32">
        <v>97012.17</v>
      </c>
      <c r="P646" s="32">
        <f t="shared" si="9"/>
        <v>92722.27</v>
      </c>
      <c r="Q646" s="32"/>
      <c r="R646" s="32"/>
      <c r="S646" s="3"/>
      <c r="T646" s="3"/>
      <c r="V646" s="27"/>
      <c r="W646" s="2"/>
      <c r="X646" s="30"/>
      <c r="Y646" s="30"/>
      <c r="Z646" s="32"/>
      <c r="AA646" s="32"/>
      <c r="AB646" s="32"/>
      <c r="AC646" s="32"/>
      <c r="AD646" s="32"/>
      <c r="AE646" s="32"/>
      <c r="AF646" s="32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 spans="1:50" x14ac:dyDescent="0.25">
      <c r="A647">
        <v>721</v>
      </c>
      <c r="B647" s="2">
        <v>1</v>
      </c>
      <c r="C647" s="2" t="s">
        <v>714</v>
      </c>
      <c r="D647">
        <v>345</v>
      </c>
      <c r="E647" s="2" t="s">
        <v>715</v>
      </c>
      <c r="F647" s="29">
        <v>0</v>
      </c>
      <c r="G647" s="30">
        <v>0.80983606557377052</v>
      </c>
      <c r="H647" s="30">
        <v>0.78731343283582089</v>
      </c>
      <c r="I647" s="37">
        <v>429.21</v>
      </c>
      <c r="J647" s="37">
        <v>417.28</v>
      </c>
      <c r="K647" s="32">
        <v>112</v>
      </c>
      <c r="L647" s="32">
        <v>89</v>
      </c>
      <c r="M647" s="32">
        <v>48071.519999999997</v>
      </c>
      <c r="N647" s="32">
        <v>37137.919999999998</v>
      </c>
      <c r="O647" s="32">
        <v>85209.44</v>
      </c>
      <c r="P647" s="32">
        <f t="shared" si="9"/>
        <v>81441.460000000006</v>
      </c>
      <c r="Q647" s="32"/>
      <c r="R647" s="32"/>
      <c r="S647" s="2"/>
      <c r="T647" s="2"/>
      <c r="V647" s="2"/>
      <c r="W647" s="2"/>
      <c r="X647" s="30"/>
      <c r="Y647" s="30"/>
      <c r="Z647" s="32"/>
      <c r="AA647" s="32"/>
      <c r="AB647" s="32"/>
      <c r="AC647" s="32"/>
      <c r="AD647" s="32"/>
      <c r="AE647" s="32"/>
      <c r="AF647" s="32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</row>
    <row r="648" spans="1:50" x14ac:dyDescent="0.25">
      <c r="A648">
        <v>721</v>
      </c>
      <c r="B648" s="2">
        <v>1</v>
      </c>
      <c r="C648" s="2" t="s">
        <v>714</v>
      </c>
      <c r="D648">
        <v>521</v>
      </c>
      <c r="E648" s="2" t="s">
        <v>716</v>
      </c>
      <c r="F648" s="29">
        <v>0</v>
      </c>
      <c r="G648" s="30">
        <v>0.89830508474576276</v>
      </c>
      <c r="H648" s="30">
        <v>0.73476702508960579</v>
      </c>
      <c r="I648" s="37">
        <v>476.1</v>
      </c>
      <c r="J648" s="37">
        <v>389.43</v>
      </c>
      <c r="K648" s="32">
        <v>80</v>
      </c>
      <c r="L648" s="32">
        <v>93</v>
      </c>
      <c r="M648" s="32">
        <v>38088</v>
      </c>
      <c r="N648" s="32">
        <v>36216.99</v>
      </c>
      <c r="O648" s="32">
        <v>74304.989999999991</v>
      </c>
      <c r="P648" s="32">
        <f t="shared" si="9"/>
        <v>71019.210000000006</v>
      </c>
      <c r="Q648" s="32"/>
      <c r="R648" s="32"/>
      <c r="S648" s="2"/>
      <c r="T648" s="2"/>
      <c r="V648" s="2"/>
      <c r="W648" s="2"/>
      <c r="X648" s="30"/>
      <c r="Y648" s="30"/>
      <c r="Z648" s="32"/>
      <c r="AA648" s="32"/>
      <c r="AB648" s="32"/>
      <c r="AC648" s="32"/>
      <c r="AD648" s="32"/>
      <c r="AE648" s="32"/>
      <c r="AF648" s="32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 spans="1:50" x14ac:dyDescent="0.25">
      <c r="A649">
        <v>721</v>
      </c>
      <c r="B649" s="2">
        <v>1</v>
      </c>
      <c r="C649" s="2" t="s">
        <v>714</v>
      </c>
      <c r="D649">
        <v>651</v>
      </c>
      <c r="E649" s="2" t="s">
        <v>717</v>
      </c>
      <c r="F649" s="29">
        <v>0</v>
      </c>
      <c r="G649" s="30">
        <v>0.89200000000000002</v>
      </c>
      <c r="H649" s="30">
        <v>0.76923076923076927</v>
      </c>
      <c r="I649" s="37">
        <v>472.76</v>
      </c>
      <c r="J649" s="37">
        <v>407.69</v>
      </c>
      <c r="K649" s="32">
        <v>101</v>
      </c>
      <c r="L649" s="32">
        <v>107</v>
      </c>
      <c r="M649" s="32">
        <v>47748.76</v>
      </c>
      <c r="N649" s="32">
        <v>43622.83</v>
      </c>
      <c r="O649" s="32">
        <v>91371.59</v>
      </c>
      <c r="P649" s="32">
        <f t="shared" si="9"/>
        <v>87331.12</v>
      </c>
      <c r="Q649" s="32"/>
      <c r="R649" s="32"/>
      <c r="S649" s="2"/>
      <c r="T649" s="2"/>
      <c r="V649" s="2"/>
      <c r="W649" s="2"/>
      <c r="X649" s="30"/>
      <c r="Y649" s="30"/>
      <c r="Z649" s="32"/>
      <c r="AA649" s="32"/>
      <c r="AB649" s="32"/>
      <c r="AC649" s="32"/>
      <c r="AD649" s="32"/>
      <c r="AE649" s="32"/>
      <c r="AF649" s="32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</row>
    <row r="650" spans="1:50" x14ac:dyDescent="0.25">
      <c r="A650">
        <v>726</v>
      </c>
      <c r="B650" s="2">
        <v>1</v>
      </c>
      <c r="C650" s="2" t="s">
        <v>718</v>
      </c>
      <c r="D650">
        <v>10</v>
      </c>
      <c r="E650" s="2" t="s">
        <v>719</v>
      </c>
      <c r="F650" s="29">
        <v>0</v>
      </c>
      <c r="G650" s="30">
        <v>0.85423197492163006</v>
      </c>
      <c r="H650" s="30">
        <v>0.79541734860883795</v>
      </c>
      <c r="I650" s="37">
        <v>452.74</v>
      </c>
      <c r="J650" s="37">
        <v>421.57</v>
      </c>
      <c r="K650" s="32">
        <v>223</v>
      </c>
      <c r="L650" s="32">
        <v>221</v>
      </c>
      <c r="M650" s="32">
        <v>100961.02</v>
      </c>
      <c r="N650" s="32">
        <v>93166.97</v>
      </c>
      <c r="O650" s="32">
        <v>194127.99</v>
      </c>
      <c r="P650" s="32">
        <f t="shared" si="9"/>
        <v>185543.6</v>
      </c>
      <c r="Q650" s="32"/>
      <c r="R650" s="32"/>
      <c r="S650" s="2"/>
      <c r="T650" s="2"/>
      <c r="V650" s="2"/>
      <c r="W650" s="2"/>
      <c r="X650" s="30"/>
      <c r="Y650" s="30"/>
      <c r="Z650" s="32"/>
      <c r="AA650" s="32"/>
      <c r="AB650" s="32"/>
      <c r="AC650" s="32"/>
      <c r="AD650" s="32"/>
      <c r="AE650" s="32"/>
      <c r="AF650" s="32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 spans="1:50" x14ac:dyDescent="0.25">
      <c r="A651">
        <v>727</v>
      </c>
      <c r="B651" s="2">
        <v>1</v>
      </c>
      <c r="C651" s="2" t="s">
        <v>720</v>
      </c>
      <c r="D651">
        <v>10</v>
      </c>
      <c r="E651" s="2" t="s">
        <v>721</v>
      </c>
      <c r="F651" s="29">
        <v>0</v>
      </c>
      <c r="G651" s="30">
        <v>0.78787878787878785</v>
      </c>
      <c r="H651" s="30">
        <v>0.82876712328767121</v>
      </c>
      <c r="I651" s="37">
        <v>417.58</v>
      </c>
      <c r="J651" s="37">
        <v>439.25</v>
      </c>
      <c r="K651" s="32">
        <v>156</v>
      </c>
      <c r="L651" s="32">
        <v>147</v>
      </c>
      <c r="M651" s="32">
        <v>65142.48</v>
      </c>
      <c r="N651" s="32">
        <v>64569.75</v>
      </c>
      <c r="O651" s="32">
        <v>129712.23000000001</v>
      </c>
      <c r="P651" s="32">
        <f t="shared" si="9"/>
        <v>123976.32000000001</v>
      </c>
      <c r="Q651" s="32"/>
      <c r="R651" s="32"/>
      <c r="S651" s="7"/>
      <c r="T651" s="7"/>
      <c r="U651" s="7"/>
      <c r="V651" s="7"/>
      <c r="W651" s="2"/>
      <c r="X651" s="30"/>
      <c r="Y651" s="30"/>
      <c r="Z651" s="32"/>
      <c r="AA651" s="32"/>
      <c r="AB651" s="32"/>
      <c r="AC651" s="32"/>
      <c r="AD651" s="32"/>
      <c r="AE651" s="32"/>
      <c r="AF651" s="32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 spans="1:50" x14ac:dyDescent="0.25">
      <c r="A652">
        <v>727</v>
      </c>
      <c r="B652" s="2">
        <v>1</v>
      </c>
      <c r="C652" s="2" t="s">
        <v>720</v>
      </c>
      <c r="D652">
        <v>40</v>
      </c>
      <c r="E652" s="2" t="s">
        <v>722</v>
      </c>
      <c r="F652" s="29">
        <v>0</v>
      </c>
      <c r="G652" s="30">
        <v>0.79374999999999996</v>
      </c>
      <c r="H652" s="30">
        <v>0.75077881619937692</v>
      </c>
      <c r="I652" s="37">
        <v>420.69</v>
      </c>
      <c r="J652" s="37">
        <v>397.91</v>
      </c>
      <c r="K652" s="32">
        <v>112</v>
      </c>
      <c r="L652" s="32">
        <v>103</v>
      </c>
      <c r="M652" s="32">
        <v>47117.279999999999</v>
      </c>
      <c r="N652" s="32">
        <v>40984.730000000003</v>
      </c>
      <c r="O652" s="32">
        <v>88102.010000000009</v>
      </c>
      <c r="P652" s="32">
        <f t="shared" si="9"/>
        <v>84206.12</v>
      </c>
      <c r="Q652" s="32"/>
      <c r="R652" s="32"/>
      <c r="S652" s="2"/>
      <c r="T652" s="2"/>
      <c r="V652" s="2"/>
      <c r="W652" s="2"/>
      <c r="X652" s="30"/>
      <c r="Y652" s="30"/>
      <c r="Z652" s="32"/>
      <c r="AA652" s="32"/>
      <c r="AB652" s="32"/>
      <c r="AC652" s="32"/>
      <c r="AD652" s="32"/>
      <c r="AE652" s="32"/>
      <c r="AF652" s="32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 spans="1:50" x14ac:dyDescent="0.25">
      <c r="A653">
        <v>728</v>
      </c>
      <c r="B653" s="2">
        <v>1</v>
      </c>
      <c r="C653" s="2" t="s">
        <v>723</v>
      </c>
      <c r="D653">
        <v>70</v>
      </c>
      <c r="E653" s="2" t="s">
        <v>724</v>
      </c>
      <c r="F653" s="29">
        <v>0</v>
      </c>
      <c r="G653" s="30">
        <v>0.89206349206349211</v>
      </c>
      <c r="H653" s="30">
        <v>0.79192546583850931</v>
      </c>
      <c r="I653" s="37">
        <v>472.79</v>
      </c>
      <c r="J653" s="37">
        <v>419.72</v>
      </c>
      <c r="K653" s="32">
        <v>107</v>
      </c>
      <c r="L653" s="32">
        <v>120</v>
      </c>
      <c r="M653" s="32">
        <v>50588.53</v>
      </c>
      <c r="N653" s="32">
        <v>50366.400000000001</v>
      </c>
      <c r="O653" s="32">
        <v>100954.93</v>
      </c>
      <c r="P653" s="32">
        <f t="shared" si="9"/>
        <v>96490.68</v>
      </c>
      <c r="Q653" s="32"/>
      <c r="R653" s="32"/>
      <c r="S653" s="2"/>
      <c r="T653" s="2"/>
      <c r="V653" s="2"/>
      <c r="W653" s="2"/>
      <c r="X653" s="30"/>
      <c r="Y653" s="30"/>
      <c r="Z653" s="32"/>
      <c r="AA653" s="32"/>
      <c r="AB653" s="32"/>
      <c r="AC653" s="32"/>
      <c r="AD653" s="32"/>
      <c r="AE653" s="32"/>
      <c r="AF653" s="32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</row>
    <row r="654" spans="1:50" x14ac:dyDescent="0.25">
      <c r="A654">
        <v>728</v>
      </c>
      <c r="B654" s="2">
        <v>1</v>
      </c>
      <c r="C654" s="2" t="s">
        <v>723</v>
      </c>
      <c r="D654">
        <v>110</v>
      </c>
      <c r="E654" s="2" t="s">
        <v>725</v>
      </c>
      <c r="F654" s="29">
        <v>0</v>
      </c>
      <c r="G654" s="30">
        <v>0.93697478991596639</v>
      </c>
      <c r="H654" s="30">
        <v>0.81192660550458717</v>
      </c>
      <c r="I654" s="37">
        <v>496.6</v>
      </c>
      <c r="J654" s="37">
        <v>430.32</v>
      </c>
      <c r="K654" s="32">
        <v>71</v>
      </c>
      <c r="L654" s="32">
        <v>89</v>
      </c>
      <c r="M654" s="32">
        <v>35258.6</v>
      </c>
      <c r="N654" s="32">
        <v>38298.480000000003</v>
      </c>
      <c r="O654" s="32">
        <v>73557.08</v>
      </c>
      <c r="P654" s="32">
        <f t="shared" si="9"/>
        <v>70304.37</v>
      </c>
      <c r="Q654" s="32"/>
      <c r="R654" s="32"/>
      <c r="S654" s="2"/>
      <c r="T654" s="2"/>
      <c r="V654" s="2"/>
      <c r="W654" s="2"/>
      <c r="X654" s="30"/>
      <c r="Y654" s="30"/>
      <c r="Z654" s="32"/>
      <c r="AA654" s="32"/>
      <c r="AB654" s="32"/>
      <c r="AC654" s="32"/>
      <c r="AD654" s="32"/>
      <c r="AE654" s="32"/>
      <c r="AF654" s="32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 spans="1:50" x14ac:dyDescent="0.25">
      <c r="A655">
        <v>728</v>
      </c>
      <c r="B655" s="2">
        <v>1</v>
      </c>
      <c r="C655" s="2" t="s">
        <v>723</v>
      </c>
      <c r="D655">
        <v>160</v>
      </c>
      <c r="E655" s="2" t="s">
        <v>726</v>
      </c>
      <c r="F655" s="29">
        <v>0</v>
      </c>
      <c r="G655" s="30">
        <v>0.87179487179487181</v>
      </c>
      <c r="H655" s="30">
        <v>0.81233243967828417</v>
      </c>
      <c r="I655" s="37">
        <v>462.05</v>
      </c>
      <c r="J655" s="37">
        <v>430.54</v>
      </c>
      <c r="K655" s="32">
        <v>146</v>
      </c>
      <c r="L655" s="32">
        <v>129</v>
      </c>
      <c r="M655" s="32">
        <v>67459.3</v>
      </c>
      <c r="N655" s="32">
        <v>55539.66</v>
      </c>
      <c r="O655" s="32">
        <v>122998.96</v>
      </c>
      <c r="P655" s="32">
        <f t="shared" si="9"/>
        <v>117559.92</v>
      </c>
      <c r="Q655" s="32"/>
      <c r="R655" s="32"/>
      <c r="S655" s="2"/>
      <c r="T655" s="2"/>
      <c r="V655" s="2"/>
      <c r="W655" s="2"/>
      <c r="X655" s="30"/>
      <c r="Y655" s="30"/>
      <c r="Z655" s="32"/>
      <c r="AA655" s="32"/>
      <c r="AB655" s="32"/>
      <c r="AC655" s="32"/>
      <c r="AD655" s="32"/>
      <c r="AE655" s="32"/>
      <c r="AF655" s="32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</row>
    <row r="656" spans="1:50" x14ac:dyDescent="0.25">
      <c r="A656">
        <v>728</v>
      </c>
      <c r="B656" s="2">
        <v>1</v>
      </c>
      <c r="C656" s="2" t="s">
        <v>723</v>
      </c>
      <c r="D656">
        <v>170</v>
      </c>
      <c r="E656" s="2" t="s">
        <v>727</v>
      </c>
      <c r="F656" s="29">
        <v>0</v>
      </c>
      <c r="G656" s="30">
        <v>0.89688249400479614</v>
      </c>
      <c r="H656" s="30">
        <v>0.79844961240310075</v>
      </c>
      <c r="I656" s="37">
        <v>475.35</v>
      </c>
      <c r="J656" s="37">
        <v>423.18</v>
      </c>
      <c r="K656" s="32">
        <v>139</v>
      </c>
      <c r="L656" s="32">
        <v>148</v>
      </c>
      <c r="M656" s="32">
        <v>66073.649999999994</v>
      </c>
      <c r="N656" s="32">
        <v>62630.64</v>
      </c>
      <c r="O656" s="32">
        <v>128704.29</v>
      </c>
      <c r="P656" s="32">
        <f t="shared" ref="P656:P719" si="10">ROUND(O656*P$11,2)</f>
        <v>123012.96</v>
      </c>
      <c r="Q656" s="32"/>
      <c r="R656" s="32"/>
      <c r="S656" s="2"/>
      <c r="T656" s="2"/>
      <c r="V656" s="2"/>
      <c r="W656" s="2"/>
      <c r="X656" s="30"/>
      <c r="Y656" s="30"/>
      <c r="Z656" s="32"/>
      <c r="AA656" s="32"/>
      <c r="AB656" s="32"/>
      <c r="AC656" s="32"/>
      <c r="AD656" s="32"/>
      <c r="AE656" s="32"/>
      <c r="AF656" s="32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 spans="1:50" x14ac:dyDescent="0.25">
      <c r="A657">
        <v>728</v>
      </c>
      <c r="B657" s="2">
        <v>1</v>
      </c>
      <c r="C657" s="2" t="s">
        <v>723</v>
      </c>
      <c r="D657">
        <v>210</v>
      </c>
      <c r="E657" s="2" t="s">
        <v>321</v>
      </c>
      <c r="F657" s="29">
        <v>0</v>
      </c>
      <c r="G657" s="30">
        <v>0.77938517179023503</v>
      </c>
      <c r="H657" s="30">
        <v>0.79629629629629628</v>
      </c>
      <c r="I657" s="37">
        <v>413.07</v>
      </c>
      <c r="J657" s="37">
        <v>422.04</v>
      </c>
      <c r="K657" s="32">
        <v>191</v>
      </c>
      <c r="L657" s="32">
        <v>173</v>
      </c>
      <c r="M657" s="32">
        <v>78896.37</v>
      </c>
      <c r="N657" s="32">
        <v>73012.92</v>
      </c>
      <c r="O657" s="32">
        <v>151909.28999999998</v>
      </c>
      <c r="P657" s="32">
        <f t="shared" si="10"/>
        <v>145191.82</v>
      </c>
      <c r="Q657" s="32"/>
      <c r="R657" s="32"/>
      <c r="S657" s="2"/>
      <c r="T657" s="2"/>
      <c r="V657" s="2"/>
      <c r="W657" s="2"/>
      <c r="X657" s="30"/>
      <c r="Y657" s="30"/>
      <c r="Z657" s="32"/>
      <c r="AA657" s="32"/>
      <c r="AB657" s="32"/>
      <c r="AC657" s="32"/>
      <c r="AD657" s="32"/>
      <c r="AE657" s="32"/>
      <c r="AF657" s="32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</row>
    <row r="658" spans="1:50" x14ac:dyDescent="0.25">
      <c r="A658">
        <v>728</v>
      </c>
      <c r="B658" s="2">
        <v>1</v>
      </c>
      <c r="C658" s="2" t="s">
        <v>723</v>
      </c>
      <c r="D658">
        <v>300</v>
      </c>
      <c r="E658" s="2" t="s">
        <v>60</v>
      </c>
      <c r="F658" s="29">
        <v>0</v>
      </c>
      <c r="G658" s="30">
        <v>0.8318965517241379</v>
      </c>
      <c r="H658" s="30">
        <v>0.81140350877192979</v>
      </c>
      <c r="I658" s="37">
        <v>440.91</v>
      </c>
      <c r="J658" s="37">
        <v>430.04</v>
      </c>
      <c r="K658" s="32">
        <v>87</v>
      </c>
      <c r="L658" s="32">
        <v>73</v>
      </c>
      <c r="M658" s="32">
        <v>38359.17</v>
      </c>
      <c r="N658" s="32">
        <v>31392.92</v>
      </c>
      <c r="O658" s="32">
        <v>69752.09</v>
      </c>
      <c r="P658" s="32">
        <f t="shared" si="10"/>
        <v>66667.64</v>
      </c>
      <c r="Q658" s="32"/>
      <c r="R658" s="32"/>
      <c r="S658" s="2"/>
      <c r="T658" s="2"/>
      <c r="V658" s="2"/>
      <c r="W658" s="2"/>
      <c r="X658" s="30"/>
      <c r="Y658" s="30"/>
      <c r="Z658" s="32"/>
      <c r="AA658" s="32"/>
      <c r="AB658" s="32"/>
      <c r="AC658" s="32"/>
      <c r="AD658" s="32"/>
      <c r="AE658" s="32"/>
      <c r="AF658" s="32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 spans="1:50" x14ac:dyDescent="0.25">
      <c r="A659">
        <v>728</v>
      </c>
      <c r="B659" s="2">
        <v>1</v>
      </c>
      <c r="C659" s="2" t="s">
        <v>1231</v>
      </c>
      <c r="D659">
        <v>401</v>
      </c>
      <c r="E659" s="2" t="s">
        <v>1232</v>
      </c>
      <c r="F659" s="29">
        <v>1</v>
      </c>
      <c r="G659" s="30" t="s">
        <v>1328</v>
      </c>
      <c r="H659" s="30" t="s">
        <v>1328</v>
      </c>
      <c r="I659" s="37" t="s">
        <v>1328</v>
      </c>
      <c r="J659" s="37" t="s">
        <v>1328</v>
      </c>
      <c r="K659" s="32">
        <v>3</v>
      </c>
      <c r="L659" s="32">
        <v>1</v>
      </c>
      <c r="M659" s="32" t="s">
        <v>1328</v>
      </c>
      <c r="N659" s="32" t="s">
        <v>1328</v>
      </c>
      <c r="O659" s="32">
        <v>706.66000000000008</v>
      </c>
      <c r="P659" s="32">
        <f t="shared" si="10"/>
        <v>675.41</v>
      </c>
      <c r="Q659" s="32"/>
      <c r="R659" s="32"/>
      <c r="S659" s="2"/>
      <c r="T659" s="2"/>
      <c r="V659" s="2"/>
      <c r="W659" s="2"/>
      <c r="X659" s="30"/>
      <c r="Y659" s="30"/>
      <c r="Z659" s="32"/>
      <c r="AA659" s="32"/>
      <c r="AB659" s="32"/>
      <c r="AC659" s="32"/>
      <c r="AD659" s="32"/>
      <c r="AE659" s="32"/>
      <c r="AF659" s="32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</row>
    <row r="660" spans="1:50" x14ac:dyDescent="0.25">
      <c r="A660">
        <v>728</v>
      </c>
      <c r="B660" s="2">
        <v>1</v>
      </c>
      <c r="C660" s="2" t="s">
        <v>723</v>
      </c>
      <c r="D660">
        <v>700</v>
      </c>
      <c r="E660" s="2" t="s">
        <v>728</v>
      </c>
      <c r="F660" s="29">
        <v>0</v>
      </c>
      <c r="G660" s="30">
        <v>0.89275362318840579</v>
      </c>
      <c r="H660" s="30">
        <v>0.78012048192771088</v>
      </c>
      <c r="I660" s="37">
        <v>473.16</v>
      </c>
      <c r="J660" s="37">
        <v>413.46</v>
      </c>
      <c r="K660" s="32">
        <v>115</v>
      </c>
      <c r="L660" s="32">
        <v>117</v>
      </c>
      <c r="M660" s="32">
        <v>54413.4</v>
      </c>
      <c r="N660" s="32">
        <v>48374.82</v>
      </c>
      <c r="O660" s="32">
        <v>102788.22</v>
      </c>
      <c r="P660" s="32">
        <f t="shared" si="10"/>
        <v>98242.9</v>
      </c>
      <c r="Q660" s="32"/>
      <c r="R660" s="32"/>
      <c r="S660" s="2"/>
      <c r="T660" s="2"/>
      <c r="V660" s="2"/>
      <c r="W660" s="2"/>
      <c r="X660" s="30"/>
      <c r="Y660" s="30"/>
      <c r="Z660" s="32"/>
      <c r="AA660" s="32"/>
      <c r="AB660" s="32"/>
      <c r="AC660" s="32"/>
      <c r="AD660" s="32"/>
      <c r="AE660" s="32"/>
      <c r="AF660" s="32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 spans="1:50" x14ac:dyDescent="0.25">
      <c r="A661">
        <v>728</v>
      </c>
      <c r="B661" s="2">
        <v>1</v>
      </c>
      <c r="C661" s="2" t="s">
        <v>723</v>
      </c>
      <c r="D661">
        <v>800</v>
      </c>
      <c r="E661" s="2" t="s">
        <v>729</v>
      </c>
      <c r="F661" s="29">
        <v>0</v>
      </c>
      <c r="G661" s="30">
        <v>0.82198952879581155</v>
      </c>
      <c r="H661" s="30">
        <v>0.73743016759776536</v>
      </c>
      <c r="I661" s="37">
        <v>435.65</v>
      </c>
      <c r="J661" s="37">
        <v>390.84</v>
      </c>
      <c r="K661" s="32">
        <v>128</v>
      </c>
      <c r="L661" s="32">
        <v>111</v>
      </c>
      <c r="M661" s="32">
        <v>55763.199999999997</v>
      </c>
      <c r="N661" s="32">
        <v>43383.24</v>
      </c>
      <c r="O661" s="32">
        <v>99146.44</v>
      </c>
      <c r="P661" s="32">
        <f t="shared" si="10"/>
        <v>94762.16</v>
      </c>
      <c r="Q661" s="32"/>
      <c r="R661" s="32"/>
      <c r="S661" s="2"/>
      <c r="T661" s="2"/>
      <c r="V661" s="2"/>
      <c r="W661" s="2"/>
      <c r="X661" s="30"/>
      <c r="Y661" s="30"/>
      <c r="Z661" s="32"/>
      <c r="AA661" s="32"/>
      <c r="AB661" s="32"/>
      <c r="AC661" s="32"/>
      <c r="AD661" s="32"/>
      <c r="AE661" s="32"/>
      <c r="AF661" s="32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</row>
    <row r="662" spans="1:50" x14ac:dyDescent="0.25">
      <c r="A662">
        <v>738</v>
      </c>
      <c r="B662" s="2">
        <v>1</v>
      </c>
      <c r="C662" s="2" t="s">
        <v>730</v>
      </c>
      <c r="D662">
        <v>1</v>
      </c>
      <c r="E662" s="2" t="s">
        <v>731</v>
      </c>
      <c r="F662" s="29">
        <v>0</v>
      </c>
      <c r="G662" s="30">
        <v>0.88789237668161436</v>
      </c>
      <c r="H662" s="30">
        <v>0.77477477477477474</v>
      </c>
      <c r="I662" s="37">
        <v>470.58</v>
      </c>
      <c r="J662" s="37">
        <v>410.63</v>
      </c>
      <c r="K662" s="32">
        <v>89</v>
      </c>
      <c r="L662" s="32">
        <v>73</v>
      </c>
      <c r="M662" s="32">
        <v>41881.620000000003</v>
      </c>
      <c r="N662" s="32">
        <v>29975.99</v>
      </c>
      <c r="O662" s="32">
        <v>71857.61</v>
      </c>
      <c r="P662" s="32">
        <f t="shared" si="10"/>
        <v>68680.05</v>
      </c>
      <c r="Q662" s="32"/>
      <c r="R662" s="32"/>
      <c r="S662" s="2"/>
      <c r="T662" s="2"/>
      <c r="V662" s="2"/>
      <c r="W662" s="2"/>
      <c r="X662" s="30"/>
      <c r="Y662" s="30"/>
      <c r="Z662" s="32"/>
      <c r="AA662" s="32"/>
      <c r="AB662" s="32"/>
      <c r="AC662" s="32"/>
      <c r="AD662" s="32"/>
      <c r="AE662" s="32"/>
      <c r="AF662" s="32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 spans="1:50" x14ac:dyDescent="0.25">
      <c r="A663">
        <v>739</v>
      </c>
      <c r="B663" s="2">
        <v>1</v>
      </c>
      <c r="C663" s="2" t="s">
        <v>732</v>
      </c>
      <c r="D663">
        <v>10</v>
      </c>
      <c r="E663" s="2" t="s">
        <v>733</v>
      </c>
      <c r="F663" s="29">
        <v>0</v>
      </c>
      <c r="G663" s="30">
        <v>0.81617647058823528</v>
      </c>
      <c r="H663" s="30">
        <v>0.76086956521739135</v>
      </c>
      <c r="I663" s="37">
        <v>432.57</v>
      </c>
      <c r="J663" s="37">
        <v>403.26</v>
      </c>
      <c r="K663" s="32">
        <v>46</v>
      </c>
      <c r="L663" s="32">
        <v>40</v>
      </c>
      <c r="M663" s="32">
        <v>19898.22</v>
      </c>
      <c r="N663" s="32">
        <v>16130.4</v>
      </c>
      <c r="O663" s="32">
        <v>36028.620000000003</v>
      </c>
      <c r="P663" s="32">
        <f t="shared" si="10"/>
        <v>34435.43</v>
      </c>
      <c r="Q663" s="32"/>
      <c r="R663" s="32"/>
      <c r="S663" s="2"/>
      <c r="T663" s="2"/>
      <c r="V663" s="2"/>
      <c r="W663" s="2"/>
      <c r="X663" s="30"/>
      <c r="Y663" s="30"/>
      <c r="Z663" s="32"/>
      <c r="AA663" s="32"/>
      <c r="AB663" s="32"/>
      <c r="AC663" s="32"/>
      <c r="AD663" s="32"/>
      <c r="AE663" s="32"/>
      <c r="AF663" s="32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</row>
    <row r="664" spans="1:50" x14ac:dyDescent="0.25">
      <c r="A664">
        <v>740</v>
      </c>
      <c r="B664" s="2">
        <v>1</v>
      </c>
      <c r="C664" s="2" t="s">
        <v>734</v>
      </c>
      <c r="D664">
        <v>10</v>
      </c>
      <c r="E664" s="2" t="s">
        <v>735</v>
      </c>
      <c r="F664" s="29">
        <v>0</v>
      </c>
      <c r="G664" s="30">
        <v>0.68127490039840632</v>
      </c>
      <c r="H664" s="30">
        <v>0.7961538461538461</v>
      </c>
      <c r="I664" s="37">
        <v>361.08</v>
      </c>
      <c r="J664" s="37">
        <v>421.96</v>
      </c>
      <c r="K664" s="32">
        <v>82</v>
      </c>
      <c r="L664" s="32">
        <v>89</v>
      </c>
      <c r="M664" s="32">
        <v>29608.560000000001</v>
      </c>
      <c r="N664" s="32">
        <v>37554.44</v>
      </c>
      <c r="O664" s="32">
        <v>67163</v>
      </c>
      <c r="P664" s="32">
        <f t="shared" si="10"/>
        <v>64193.04</v>
      </c>
      <c r="Q664" s="32"/>
      <c r="R664" s="32"/>
      <c r="S664" s="2"/>
      <c r="T664" s="2"/>
      <c r="V664" s="2"/>
      <c r="W664" s="2"/>
      <c r="X664" s="30"/>
      <c r="Y664" s="30"/>
      <c r="Z664" s="32"/>
      <c r="AA664" s="32"/>
      <c r="AB664" s="32"/>
      <c r="AC664" s="32"/>
      <c r="AD664" s="32"/>
      <c r="AE664" s="32"/>
      <c r="AF664" s="32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 spans="1:50" x14ac:dyDescent="0.25">
      <c r="A665">
        <v>741</v>
      </c>
      <c r="B665" s="2">
        <v>1</v>
      </c>
      <c r="C665" s="2" t="s">
        <v>736</v>
      </c>
      <c r="D665">
        <v>1</v>
      </c>
      <c r="E665" s="2" t="s">
        <v>737</v>
      </c>
      <c r="F665" s="29">
        <v>0</v>
      </c>
      <c r="G665" s="30">
        <v>0.78813559322033899</v>
      </c>
      <c r="H665" s="30">
        <v>0.67543859649122806</v>
      </c>
      <c r="I665" s="37">
        <v>417.71</v>
      </c>
      <c r="J665" s="37">
        <v>357.98</v>
      </c>
      <c r="K665" s="32">
        <v>74</v>
      </c>
      <c r="L665" s="32">
        <v>83</v>
      </c>
      <c r="M665" s="32">
        <v>30910.54</v>
      </c>
      <c r="N665" s="32">
        <v>29712.34</v>
      </c>
      <c r="O665" s="32">
        <v>60622.880000000005</v>
      </c>
      <c r="P665" s="32">
        <f t="shared" si="10"/>
        <v>57942.12</v>
      </c>
      <c r="Q665" s="32"/>
      <c r="R665" s="32"/>
      <c r="S665" s="2"/>
      <c r="T665" s="2"/>
      <c r="V665" s="2"/>
      <c r="W665" s="2"/>
      <c r="X665" s="30"/>
      <c r="Y665" s="30"/>
      <c r="Z665" s="32"/>
      <c r="AA665" s="32"/>
      <c r="AB665" s="32"/>
      <c r="AC665" s="32"/>
      <c r="AD665" s="32"/>
      <c r="AE665" s="32"/>
      <c r="AF665" s="32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</row>
    <row r="666" spans="1:50" x14ac:dyDescent="0.25">
      <c r="A666">
        <v>742</v>
      </c>
      <c r="B666" s="2">
        <v>1</v>
      </c>
      <c r="C666" s="2" t="s">
        <v>738</v>
      </c>
      <c r="D666">
        <v>16</v>
      </c>
      <c r="E666" s="2" t="s">
        <v>739</v>
      </c>
      <c r="F666" s="29">
        <v>0</v>
      </c>
      <c r="G666" s="30">
        <v>0.74407582938388628</v>
      </c>
      <c r="H666" s="30">
        <v>0.78409090909090906</v>
      </c>
      <c r="I666" s="37">
        <v>394.36</v>
      </c>
      <c r="J666" s="37">
        <v>415.57</v>
      </c>
      <c r="K666" s="32">
        <v>75</v>
      </c>
      <c r="L666" s="32">
        <v>82</v>
      </c>
      <c r="M666" s="32">
        <v>29577</v>
      </c>
      <c r="N666" s="32">
        <v>34076.74</v>
      </c>
      <c r="O666" s="32">
        <v>63653.74</v>
      </c>
      <c r="P666" s="32">
        <f t="shared" si="10"/>
        <v>60838.96</v>
      </c>
      <c r="Q666" s="32"/>
      <c r="R666" s="32"/>
      <c r="S666" s="2"/>
      <c r="T666" s="2"/>
      <c r="V666" s="2"/>
      <c r="W666" s="2"/>
      <c r="X666" s="30"/>
      <c r="Y666" s="30"/>
      <c r="Z666" s="32"/>
      <c r="AA666" s="32"/>
      <c r="AB666" s="32"/>
      <c r="AC666" s="32"/>
      <c r="AD666" s="32"/>
      <c r="AE666" s="32"/>
      <c r="AF666" s="32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 spans="1:50" x14ac:dyDescent="0.25">
      <c r="A667">
        <v>742</v>
      </c>
      <c r="B667" s="2">
        <v>1</v>
      </c>
      <c r="C667" s="2" t="s">
        <v>738</v>
      </c>
      <c r="D667">
        <v>25</v>
      </c>
      <c r="E667" s="2" t="s">
        <v>131</v>
      </c>
      <c r="F667" s="29">
        <v>0</v>
      </c>
      <c r="G667" s="30">
        <v>0.8571428571428571</v>
      </c>
      <c r="H667" s="30">
        <v>0.68888888888888888</v>
      </c>
      <c r="I667" s="37">
        <v>454.29</v>
      </c>
      <c r="J667" s="37">
        <v>365.11</v>
      </c>
      <c r="K667" s="32">
        <v>80</v>
      </c>
      <c r="L667" s="32">
        <v>61</v>
      </c>
      <c r="M667" s="32">
        <v>36343.199999999997</v>
      </c>
      <c r="N667" s="32">
        <v>22271.71</v>
      </c>
      <c r="O667" s="32">
        <v>58614.909999999996</v>
      </c>
      <c r="P667" s="32">
        <f t="shared" si="10"/>
        <v>56022.94</v>
      </c>
      <c r="Q667" s="32"/>
      <c r="R667" s="32"/>
      <c r="S667" s="2"/>
      <c r="T667" s="2"/>
      <c r="V667" s="2"/>
      <c r="W667" s="2"/>
      <c r="X667" s="30"/>
      <c r="Y667" s="30"/>
      <c r="Z667" s="32"/>
      <c r="AA667" s="32"/>
      <c r="AB667" s="32"/>
      <c r="AC667" s="32"/>
      <c r="AD667" s="32"/>
      <c r="AE667" s="32"/>
      <c r="AF667" s="32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</row>
    <row r="668" spans="1:50" x14ac:dyDescent="0.25">
      <c r="A668">
        <v>742</v>
      </c>
      <c r="B668" s="2">
        <v>1</v>
      </c>
      <c r="C668" s="2" t="s">
        <v>738</v>
      </c>
      <c r="D668">
        <v>28</v>
      </c>
      <c r="E668" s="2" t="s">
        <v>60</v>
      </c>
      <c r="F668" s="29">
        <v>0</v>
      </c>
      <c r="G668" s="30">
        <v>0.6690647482014388</v>
      </c>
      <c r="H668" s="30">
        <v>0.76190476190476186</v>
      </c>
      <c r="I668" s="37">
        <v>354.6</v>
      </c>
      <c r="J668" s="37">
        <v>403.81</v>
      </c>
      <c r="K668" s="32">
        <v>63</v>
      </c>
      <c r="L668" s="32">
        <v>43</v>
      </c>
      <c r="M668" s="32">
        <v>22339.8</v>
      </c>
      <c r="N668" s="32">
        <v>17363.830000000002</v>
      </c>
      <c r="O668" s="32">
        <v>39703.630000000005</v>
      </c>
      <c r="P668" s="32">
        <f t="shared" si="10"/>
        <v>37947.93</v>
      </c>
      <c r="Q668" s="32"/>
      <c r="R668" s="32"/>
      <c r="S668" s="2"/>
      <c r="T668" s="2"/>
      <c r="V668" s="2"/>
      <c r="W668" s="2"/>
      <c r="X668" s="30"/>
      <c r="Y668" s="30"/>
      <c r="Z668" s="32"/>
      <c r="AA668" s="32"/>
      <c r="AB668" s="32"/>
      <c r="AC668" s="32"/>
      <c r="AD668" s="32"/>
      <c r="AE668" s="32"/>
      <c r="AF668" s="32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 spans="1:50" x14ac:dyDescent="0.25">
      <c r="A669">
        <v>742</v>
      </c>
      <c r="B669" s="2">
        <v>1</v>
      </c>
      <c r="C669" s="2" t="s">
        <v>738</v>
      </c>
      <c r="D669">
        <v>31</v>
      </c>
      <c r="E669" s="2" t="s">
        <v>62</v>
      </c>
      <c r="F669" s="29">
        <v>0</v>
      </c>
      <c r="G669" s="30">
        <v>0.66878980891719741</v>
      </c>
      <c r="H669" s="30">
        <v>0.71074380165289253</v>
      </c>
      <c r="I669" s="37">
        <v>354.46</v>
      </c>
      <c r="J669" s="37">
        <v>376.69</v>
      </c>
      <c r="K669" s="32">
        <v>115</v>
      </c>
      <c r="L669" s="32">
        <v>124</v>
      </c>
      <c r="M669" s="32">
        <v>40762.9</v>
      </c>
      <c r="N669" s="32">
        <v>46709.56</v>
      </c>
      <c r="O669" s="32">
        <v>87472.459999999992</v>
      </c>
      <c r="P669" s="32">
        <f t="shared" si="10"/>
        <v>83604.41</v>
      </c>
      <c r="Q669" s="32"/>
      <c r="R669" s="32"/>
      <c r="S669" s="2"/>
      <c r="T669" s="2"/>
      <c r="V669" s="2"/>
      <c r="W669" s="2"/>
      <c r="X669" s="30"/>
      <c r="Y669" s="30"/>
      <c r="Z669" s="32"/>
      <c r="AA669" s="32"/>
      <c r="AB669" s="32"/>
      <c r="AC669" s="32"/>
      <c r="AD669" s="32"/>
      <c r="AE669" s="32"/>
      <c r="AF669" s="32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</row>
    <row r="670" spans="1:50" x14ac:dyDescent="0.25">
      <c r="A670">
        <v>742</v>
      </c>
      <c r="B670" s="2">
        <v>1</v>
      </c>
      <c r="C670" s="2" t="s">
        <v>738</v>
      </c>
      <c r="D670">
        <v>35</v>
      </c>
      <c r="E670" s="2" t="s">
        <v>740</v>
      </c>
      <c r="F670" s="29">
        <v>0</v>
      </c>
      <c r="G670" s="30">
        <v>0.59900990099009899</v>
      </c>
      <c r="H670" s="30">
        <v>0.72832369942196529</v>
      </c>
      <c r="I670" s="37">
        <v>317.48</v>
      </c>
      <c r="J670" s="37">
        <v>386.01</v>
      </c>
      <c r="K670" s="32">
        <v>71</v>
      </c>
      <c r="L670" s="32">
        <v>53</v>
      </c>
      <c r="M670" s="32">
        <v>22541.08</v>
      </c>
      <c r="N670" s="32">
        <v>20458.53</v>
      </c>
      <c r="O670" s="32">
        <v>42999.61</v>
      </c>
      <c r="P670" s="32">
        <f t="shared" si="10"/>
        <v>41098.160000000003</v>
      </c>
      <c r="Q670" s="32"/>
      <c r="R670" s="32"/>
      <c r="S670" s="2"/>
      <c r="T670" s="2"/>
      <c r="V670" s="2"/>
      <c r="W670" s="2"/>
      <c r="X670" s="30"/>
      <c r="Y670" s="30"/>
      <c r="Z670" s="32"/>
      <c r="AA670" s="32"/>
      <c r="AB670" s="32"/>
      <c r="AC670" s="32"/>
      <c r="AD670" s="32"/>
      <c r="AE670" s="32"/>
      <c r="AF670" s="32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 spans="1:50" x14ac:dyDescent="0.25">
      <c r="A671">
        <v>742</v>
      </c>
      <c r="B671" s="2">
        <v>1</v>
      </c>
      <c r="C671" s="2" t="s">
        <v>738</v>
      </c>
      <c r="D671">
        <v>36</v>
      </c>
      <c r="E671" s="2" t="s">
        <v>741</v>
      </c>
      <c r="F671" s="29">
        <v>0</v>
      </c>
      <c r="G671" s="30">
        <v>0.51417004048582993</v>
      </c>
      <c r="H671" s="30">
        <v>0.6974358974358974</v>
      </c>
      <c r="I671" s="37">
        <v>272.51</v>
      </c>
      <c r="J671" s="37">
        <v>369.64</v>
      </c>
      <c r="K671" s="32">
        <v>79</v>
      </c>
      <c r="L671" s="32">
        <v>70</v>
      </c>
      <c r="M671" s="32">
        <v>21528.29</v>
      </c>
      <c r="N671" s="32">
        <v>25874.799999999999</v>
      </c>
      <c r="O671" s="32">
        <v>47403.09</v>
      </c>
      <c r="P671" s="32">
        <f t="shared" si="10"/>
        <v>45306.91</v>
      </c>
      <c r="Q671" s="32"/>
      <c r="R671" s="32"/>
      <c r="S671" s="2"/>
      <c r="T671" s="2"/>
      <c r="V671" s="2"/>
      <c r="W671" s="2"/>
      <c r="X671" s="30"/>
      <c r="Y671" s="30"/>
      <c r="Z671" s="32"/>
      <c r="AA671" s="32"/>
      <c r="AB671" s="32"/>
      <c r="AC671" s="32"/>
      <c r="AD671" s="32"/>
      <c r="AE671" s="32"/>
      <c r="AF671" s="32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</row>
    <row r="672" spans="1:50" x14ac:dyDescent="0.25">
      <c r="A672">
        <v>742</v>
      </c>
      <c r="B672" s="2">
        <v>1</v>
      </c>
      <c r="C672" s="2" t="s">
        <v>738</v>
      </c>
      <c r="D672">
        <v>40</v>
      </c>
      <c r="E672" s="2" t="s">
        <v>321</v>
      </c>
      <c r="F672" s="29">
        <v>0</v>
      </c>
      <c r="G672" s="30">
        <v>0.75174825174825177</v>
      </c>
      <c r="H672" s="30">
        <v>0.69379844961240311</v>
      </c>
      <c r="I672" s="37">
        <v>398.43</v>
      </c>
      <c r="J672" s="37">
        <v>367.71</v>
      </c>
      <c r="K672" s="32">
        <v>96</v>
      </c>
      <c r="L672" s="32">
        <v>85</v>
      </c>
      <c r="M672" s="32">
        <v>38249.279999999999</v>
      </c>
      <c r="N672" s="32">
        <v>31255.35</v>
      </c>
      <c r="O672" s="32">
        <v>69504.63</v>
      </c>
      <c r="P672" s="32">
        <f t="shared" si="10"/>
        <v>66431.12</v>
      </c>
      <c r="Q672" s="32"/>
      <c r="R672" s="32"/>
      <c r="S672" s="2"/>
      <c r="T672" s="2"/>
      <c r="V672" s="2"/>
      <c r="W672" s="2"/>
      <c r="X672" s="30"/>
      <c r="Y672" s="30"/>
      <c r="Z672" s="32"/>
      <c r="AA672" s="32"/>
      <c r="AB672" s="32"/>
      <c r="AC672" s="32"/>
      <c r="AD672" s="32"/>
      <c r="AE672" s="32"/>
      <c r="AF672" s="32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 spans="1:50" x14ac:dyDescent="0.25">
      <c r="A673">
        <v>742</v>
      </c>
      <c r="B673" s="2">
        <v>1</v>
      </c>
      <c r="C673" s="2" t="s">
        <v>738</v>
      </c>
      <c r="D673">
        <v>51</v>
      </c>
      <c r="E673" s="2" t="s">
        <v>742</v>
      </c>
      <c r="F673" s="29">
        <v>0</v>
      </c>
      <c r="G673" s="30">
        <v>0.79262672811059909</v>
      </c>
      <c r="H673" s="30">
        <v>0.8288288288288288</v>
      </c>
      <c r="I673" s="37">
        <v>420.09</v>
      </c>
      <c r="J673" s="37">
        <v>439.28</v>
      </c>
      <c r="K673" s="32">
        <v>133</v>
      </c>
      <c r="L673" s="32">
        <v>157</v>
      </c>
      <c r="M673" s="32">
        <v>55871.97</v>
      </c>
      <c r="N673" s="32">
        <v>68966.960000000006</v>
      </c>
      <c r="O673" s="32">
        <v>124838.93000000001</v>
      </c>
      <c r="P673" s="32">
        <f t="shared" si="10"/>
        <v>119318.52</v>
      </c>
      <c r="Q673" s="32"/>
      <c r="R673" s="32"/>
      <c r="S673" s="2"/>
      <c r="T673" s="2"/>
      <c r="V673" s="2"/>
      <c r="W673" s="2"/>
      <c r="X673" s="30"/>
      <c r="Y673" s="30"/>
      <c r="Z673" s="32"/>
      <c r="AA673" s="32"/>
      <c r="AB673" s="32"/>
      <c r="AC673" s="32"/>
      <c r="AD673" s="32"/>
      <c r="AE673" s="32"/>
      <c r="AF673" s="32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</row>
    <row r="674" spans="1:50" x14ac:dyDescent="0.25">
      <c r="A674">
        <v>742</v>
      </c>
      <c r="B674" s="2">
        <v>1</v>
      </c>
      <c r="C674" s="2" t="s">
        <v>1233</v>
      </c>
      <c r="D674">
        <v>72</v>
      </c>
      <c r="E674" s="2" t="s">
        <v>1234</v>
      </c>
      <c r="F674" s="29">
        <v>1</v>
      </c>
      <c r="G674" s="30" t="s">
        <v>1328</v>
      </c>
      <c r="H674" s="30" t="s">
        <v>1328</v>
      </c>
      <c r="I674" s="37" t="s">
        <v>1328</v>
      </c>
      <c r="J674" s="37" t="s">
        <v>1328</v>
      </c>
      <c r="K674" s="32">
        <v>6</v>
      </c>
      <c r="L674" s="32">
        <v>1</v>
      </c>
      <c r="M674" s="32" t="s">
        <v>1328</v>
      </c>
      <c r="N674" s="32" t="s">
        <v>1328</v>
      </c>
      <c r="O674" s="32">
        <v>198.78</v>
      </c>
      <c r="P674" s="32">
        <f t="shared" si="10"/>
        <v>189.99</v>
      </c>
      <c r="Q674" s="32"/>
      <c r="R674" s="32"/>
      <c r="S674" s="2"/>
      <c r="T674" s="2"/>
      <c r="V674" s="2"/>
      <c r="W674" s="2"/>
      <c r="X674" s="30"/>
      <c r="Y674" s="30"/>
      <c r="Z674" s="32"/>
      <c r="AA674" s="32"/>
      <c r="AB674" s="32"/>
      <c r="AC674" s="32"/>
      <c r="AD674" s="32"/>
      <c r="AE674" s="32"/>
      <c r="AF674" s="32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 spans="1:50" x14ac:dyDescent="0.25">
      <c r="A675">
        <v>743</v>
      </c>
      <c r="B675" s="2">
        <v>1</v>
      </c>
      <c r="C675" s="2" t="s">
        <v>743</v>
      </c>
      <c r="D675">
        <v>10</v>
      </c>
      <c r="E675" s="2" t="s">
        <v>744</v>
      </c>
      <c r="F675" s="29">
        <v>0</v>
      </c>
      <c r="G675" s="30">
        <v>0.82456140350877194</v>
      </c>
      <c r="H675" s="30">
        <v>0.75816993464052285</v>
      </c>
      <c r="I675" s="37">
        <v>437.02</v>
      </c>
      <c r="J675" s="37">
        <v>401.83</v>
      </c>
      <c r="K675" s="32">
        <v>61</v>
      </c>
      <c r="L675" s="32">
        <v>66</v>
      </c>
      <c r="M675" s="32">
        <v>26658.22</v>
      </c>
      <c r="N675" s="32">
        <v>26520.78</v>
      </c>
      <c r="O675" s="32">
        <v>53179</v>
      </c>
      <c r="P675" s="32">
        <f t="shared" si="10"/>
        <v>50827.41</v>
      </c>
      <c r="Q675" s="32"/>
      <c r="R675" s="32"/>
      <c r="S675" s="2"/>
      <c r="T675" s="2"/>
      <c r="V675" s="2"/>
      <c r="W675" s="2"/>
      <c r="X675" s="30"/>
      <c r="Y675" s="30"/>
      <c r="Z675" s="32"/>
      <c r="AA675" s="32"/>
      <c r="AB675" s="32"/>
      <c r="AC675" s="32"/>
      <c r="AD675" s="32"/>
      <c r="AE675" s="32"/>
      <c r="AF675" s="32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</row>
    <row r="676" spans="1:50" x14ac:dyDescent="0.25">
      <c r="A676">
        <v>745</v>
      </c>
      <c r="B676" s="2">
        <v>1</v>
      </c>
      <c r="C676" s="2" t="s">
        <v>745</v>
      </c>
      <c r="D676">
        <v>10</v>
      </c>
      <c r="E676" s="2" t="s">
        <v>746</v>
      </c>
      <c r="F676" s="29">
        <v>0</v>
      </c>
      <c r="G676" s="30">
        <v>0.85446009389671362</v>
      </c>
      <c r="H676" s="30">
        <v>0.81278538812785384</v>
      </c>
      <c r="I676" s="37">
        <v>452.86</v>
      </c>
      <c r="J676" s="37">
        <v>430.78</v>
      </c>
      <c r="K676" s="32">
        <v>65</v>
      </c>
      <c r="L676" s="32">
        <v>75</v>
      </c>
      <c r="M676" s="32">
        <v>29435.9</v>
      </c>
      <c r="N676" s="32">
        <v>32308.5</v>
      </c>
      <c r="O676" s="32">
        <v>61744.4</v>
      </c>
      <c r="P676" s="32">
        <f t="shared" si="10"/>
        <v>59014.05</v>
      </c>
      <c r="Q676" s="32"/>
      <c r="R676" s="32"/>
      <c r="S676" s="2"/>
      <c r="T676" s="2"/>
      <c r="V676" s="2"/>
      <c r="W676" s="2"/>
      <c r="X676" s="30"/>
      <c r="Y676" s="30"/>
      <c r="Z676" s="32"/>
      <c r="AA676" s="32"/>
      <c r="AB676" s="32"/>
      <c r="AC676" s="32"/>
      <c r="AD676" s="32"/>
      <c r="AE676" s="32"/>
      <c r="AF676" s="32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 spans="1:50" x14ac:dyDescent="0.25">
      <c r="A677">
        <v>745</v>
      </c>
      <c r="B677" s="2">
        <v>1</v>
      </c>
      <c r="C677" s="2" t="s">
        <v>745</v>
      </c>
      <c r="D677">
        <v>30</v>
      </c>
      <c r="E677" s="2" t="s">
        <v>747</v>
      </c>
      <c r="F677" s="29">
        <v>0</v>
      </c>
      <c r="G677" s="30">
        <v>0.90410958904109584</v>
      </c>
      <c r="H677" s="30">
        <v>0.73049645390070927</v>
      </c>
      <c r="I677" s="37">
        <v>479.18</v>
      </c>
      <c r="J677" s="37">
        <v>387.16</v>
      </c>
      <c r="K677" s="32">
        <v>48</v>
      </c>
      <c r="L677" s="32">
        <v>48</v>
      </c>
      <c r="M677" s="32">
        <v>23000.639999999999</v>
      </c>
      <c r="N677" s="32">
        <v>18583.68</v>
      </c>
      <c r="O677" s="32">
        <v>41584.32</v>
      </c>
      <c r="P677" s="32">
        <f t="shared" si="10"/>
        <v>39745.449999999997</v>
      </c>
      <c r="Q677" s="32"/>
      <c r="R677" s="32"/>
      <c r="S677" s="2"/>
      <c r="T677" s="2"/>
      <c r="V677" s="2"/>
      <c r="W677" s="2"/>
      <c r="X677" s="30"/>
      <c r="Y677" s="30"/>
      <c r="Z677" s="32"/>
      <c r="AA677" s="32"/>
      <c r="AB677" s="32"/>
      <c r="AC677" s="32"/>
      <c r="AD677" s="32"/>
      <c r="AE677" s="32"/>
      <c r="AF677" s="32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</row>
    <row r="678" spans="1:50" x14ac:dyDescent="0.25">
      <c r="A678">
        <v>748</v>
      </c>
      <c r="B678" s="2">
        <v>1</v>
      </c>
      <c r="C678" s="2" t="s">
        <v>748</v>
      </c>
      <c r="D678">
        <v>40</v>
      </c>
      <c r="E678" s="2" t="s">
        <v>749</v>
      </c>
      <c r="F678" s="29">
        <v>0</v>
      </c>
      <c r="G678" s="30">
        <v>0.86917960088691792</v>
      </c>
      <c r="H678" s="30">
        <v>0.77857142857142858</v>
      </c>
      <c r="I678" s="37">
        <v>460.67</v>
      </c>
      <c r="J678" s="37">
        <v>412.64</v>
      </c>
      <c r="K678" s="32">
        <v>136</v>
      </c>
      <c r="L678" s="32">
        <v>133</v>
      </c>
      <c r="M678" s="32">
        <v>62651.12</v>
      </c>
      <c r="N678" s="32">
        <v>54881.120000000003</v>
      </c>
      <c r="O678" s="32">
        <v>117532.24</v>
      </c>
      <c r="P678" s="32">
        <f t="shared" si="10"/>
        <v>112334.94</v>
      </c>
      <c r="Q678" s="32"/>
      <c r="R678" s="32"/>
      <c r="S678" s="2"/>
      <c r="T678" s="2"/>
      <c r="V678" s="2"/>
      <c r="W678" s="2"/>
      <c r="X678" s="30"/>
      <c r="Y678" s="30"/>
      <c r="Z678" s="32"/>
      <c r="AA678" s="32"/>
      <c r="AB678" s="32"/>
      <c r="AC678" s="32"/>
      <c r="AD678" s="32"/>
      <c r="AE678" s="32"/>
      <c r="AF678" s="32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 spans="1:50" x14ac:dyDescent="0.25">
      <c r="A679">
        <v>748</v>
      </c>
      <c r="B679" s="2">
        <v>1</v>
      </c>
      <c r="C679" s="2" t="s">
        <v>748</v>
      </c>
      <c r="D679">
        <v>60</v>
      </c>
      <c r="E679" s="2" t="s">
        <v>252</v>
      </c>
      <c r="F679" s="29">
        <v>0</v>
      </c>
      <c r="G679" s="30">
        <v>0.87185929648241201</v>
      </c>
      <c r="H679" s="30">
        <v>0.79508196721311475</v>
      </c>
      <c r="I679" s="37">
        <v>462.09</v>
      </c>
      <c r="J679" s="37">
        <v>421.39</v>
      </c>
      <c r="K679" s="32">
        <v>152</v>
      </c>
      <c r="L679" s="32">
        <v>129</v>
      </c>
      <c r="M679" s="32">
        <v>70237.679999999993</v>
      </c>
      <c r="N679" s="32">
        <v>54359.31</v>
      </c>
      <c r="O679" s="32">
        <v>124596.98999999999</v>
      </c>
      <c r="P679" s="32">
        <f t="shared" si="10"/>
        <v>119087.28</v>
      </c>
      <c r="Q679" s="32"/>
      <c r="R679" s="32"/>
      <c r="S679" s="2"/>
      <c r="T679" s="2"/>
      <c r="V679" s="2"/>
      <c r="W679" s="2"/>
      <c r="X679" s="30"/>
      <c r="Y679" s="30"/>
      <c r="Z679" s="32"/>
      <c r="AA679" s="32"/>
      <c r="AB679" s="32"/>
      <c r="AC679" s="32"/>
      <c r="AD679" s="32"/>
      <c r="AE679" s="32"/>
      <c r="AF679" s="32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</row>
    <row r="680" spans="1:50" x14ac:dyDescent="0.25">
      <c r="A680">
        <v>750</v>
      </c>
      <c r="B680">
        <v>1</v>
      </c>
      <c r="C680" t="s">
        <v>750</v>
      </c>
      <c r="D680">
        <v>10</v>
      </c>
      <c r="E680" t="s">
        <v>751</v>
      </c>
      <c r="F680" s="1">
        <v>0</v>
      </c>
      <c r="G680" s="30">
        <v>0.86301369863013699</v>
      </c>
      <c r="H680" s="30">
        <v>0.82608695652173914</v>
      </c>
      <c r="I680" s="37">
        <v>457.4</v>
      </c>
      <c r="J680" s="37">
        <v>437.83</v>
      </c>
      <c r="K680" s="32">
        <v>26</v>
      </c>
      <c r="L680" s="32">
        <v>20</v>
      </c>
      <c r="M680" s="32">
        <v>11892.4</v>
      </c>
      <c r="N680" s="32">
        <v>8756.6</v>
      </c>
      <c r="O680" s="32">
        <v>20649</v>
      </c>
      <c r="P680" s="32">
        <f t="shared" si="10"/>
        <v>19735.900000000001</v>
      </c>
      <c r="Q680" s="32"/>
      <c r="R680" s="32"/>
      <c r="S680" s="2"/>
      <c r="T680" s="2"/>
      <c r="V680" s="2"/>
      <c r="W680" s="2"/>
      <c r="X680" s="30"/>
      <c r="Y680" s="30"/>
      <c r="Z680" s="32"/>
      <c r="AA680" s="32"/>
      <c r="AB680" s="32"/>
      <c r="AC680" s="32"/>
      <c r="AD680" s="32"/>
      <c r="AE680" s="32"/>
      <c r="AF680" s="32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 spans="1:50" x14ac:dyDescent="0.25">
      <c r="A681">
        <v>750</v>
      </c>
      <c r="B681" s="2">
        <v>1</v>
      </c>
      <c r="C681" s="2" t="s">
        <v>750</v>
      </c>
      <c r="D681">
        <v>20</v>
      </c>
      <c r="E681" s="2" t="s">
        <v>752</v>
      </c>
      <c r="F681" s="29">
        <v>0</v>
      </c>
      <c r="G681" s="30">
        <v>0.83823529411764708</v>
      </c>
      <c r="H681" s="30">
        <v>0.80281690140845074</v>
      </c>
      <c r="I681" s="37">
        <v>444.26</v>
      </c>
      <c r="J681" s="37">
        <v>425.49</v>
      </c>
      <c r="K681" s="32">
        <v>23</v>
      </c>
      <c r="L681" s="32">
        <v>25</v>
      </c>
      <c r="M681" s="32">
        <v>10217.98</v>
      </c>
      <c r="N681" s="32">
        <v>10637.25</v>
      </c>
      <c r="O681" s="32">
        <v>20855.23</v>
      </c>
      <c r="P681" s="32">
        <f t="shared" si="10"/>
        <v>19933.009999999998</v>
      </c>
      <c r="Q681" s="32"/>
      <c r="R681" s="32"/>
      <c r="S681" s="2"/>
      <c r="T681" s="2"/>
      <c r="V681" s="2"/>
      <c r="W681" s="2"/>
      <c r="X681" s="30"/>
      <c r="Y681" s="30"/>
      <c r="Z681" s="32"/>
      <c r="AA681" s="32"/>
      <c r="AB681" s="32"/>
      <c r="AC681" s="32"/>
      <c r="AD681" s="32"/>
      <c r="AE681" s="32"/>
      <c r="AF681" s="32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</row>
    <row r="682" spans="1:50" x14ac:dyDescent="0.25">
      <c r="A682">
        <v>750</v>
      </c>
      <c r="B682" s="2">
        <v>1</v>
      </c>
      <c r="C682" s="2" t="s">
        <v>750</v>
      </c>
      <c r="D682">
        <v>30</v>
      </c>
      <c r="E682" s="2" t="s">
        <v>753</v>
      </c>
      <c r="F682" s="29">
        <v>0</v>
      </c>
      <c r="G682" s="30">
        <v>0.78026905829596416</v>
      </c>
      <c r="H682" s="30">
        <v>0.75784753363228696</v>
      </c>
      <c r="I682" s="37">
        <v>413.54</v>
      </c>
      <c r="J682" s="37">
        <v>401.66</v>
      </c>
      <c r="K682" s="32">
        <v>76</v>
      </c>
      <c r="L682" s="32">
        <v>74</v>
      </c>
      <c r="M682" s="32">
        <v>31429.040000000001</v>
      </c>
      <c r="N682" s="32">
        <v>29722.84</v>
      </c>
      <c r="O682" s="32">
        <v>61151.880000000005</v>
      </c>
      <c r="P682" s="32">
        <f t="shared" si="10"/>
        <v>58447.73</v>
      </c>
      <c r="Q682" s="32"/>
      <c r="R682" s="32"/>
      <c r="S682" s="2"/>
      <c r="T682" s="2"/>
      <c r="V682" s="2"/>
      <c r="W682" s="2"/>
      <c r="X682" s="30"/>
      <c r="Y682" s="30"/>
      <c r="Z682" s="32"/>
      <c r="AA682" s="32"/>
      <c r="AB682" s="32"/>
      <c r="AC682" s="32"/>
      <c r="AD682" s="32"/>
      <c r="AE682" s="32"/>
      <c r="AF682" s="32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 spans="1:50" x14ac:dyDescent="0.25">
      <c r="A683">
        <v>756</v>
      </c>
      <c r="B683" s="2">
        <v>1</v>
      </c>
      <c r="C683" s="2" t="s">
        <v>754</v>
      </c>
      <c r="D683">
        <v>10</v>
      </c>
      <c r="E683" s="2" t="s">
        <v>755</v>
      </c>
      <c r="F683" s="29">
        <v>0</v>
      </c>
      <c r="G683" s="30">
        <v>0.77931034482758621</v>
      </c>
      <c r="H683" s="30">
        <v>0.77142857142857146</v>
      </c>
      <c r="I683" s="37">
        <v>413.03</v>
      </c>
      <c r="J683" s="37">
        <v>408.86</v>
      </c>
      <c r="K683" s="32">
        <v>55</v>
      </c>
      <c r="L683" s="32">
        <v>49</v>
      </c>
      <c r="M683" s="32">
        <v>22716.65</v>
      </c>
      <c r="N683" s="32">
        <v>20034.14</v>
      </c>
      <c r="O683" s="32">
        <v>42750.79</v>
      </c>
      <c r="P683" s="32">
        <f t="shared" si="10"/>
        <v>40860.339999999997</v>
      </c>
      <c r="Q683" s="32"/>
      <c r="R683" s="32"/>
      <c r="S683" s="2"/>
      <c r="T683" s="2"/>
      <c r="V683" s="2"/>
      <c r="W683" s="2"/>
      <c r="X683" s="30"/>
      <c r="Y683" s="30"/>
      <c r="Z683" s="32"/>
      <c r="AA683" s="32"/>
      <c r="AB683" s="32"/>
      <c r="AC683" s="32"/>
      <c r="AD683" s="32"/>
      <c r="AE683" s="32"/>
      <c r="AF683" s="32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</row>
    <row r="684" spans="1:50" x14ac:dyDescent="0.25">
      <c r="A684">
        <v>761</v>
      </c>
      <c r="B684" s="2">
        <v>1</v>
      </c>
      <c r="C684" s="2" t="s">
        <v>756</v>
      </c>
      <c r="D684">
        <v>901</v>
      </c>
      <c r="E684" s="2" t="s">
        <v>60</v>
      </c>
      <c r="F684" s="29">
        <v>0</v>
      </c>
      <c r="G684" s="30">
        <v>0.86206896551724133</v>
      </c>
      <c r="H684" s="30">
        <v>0.7528089887640449</v>
      </c>
      <c r="I684" s="37">
        <v>456.9</v>
      </c>
      <c r="J684" s="37">
        <v>398.99</v>
      </c>
      <c r="K684" s="32">
        <v>96</v>
      </c>
      <c r="L684" s="32">
        <v>82</v>
      </c>
      <c r="M684" s="32">
        <v>43862.400000000001</v>
      </c>
      <c r="N684" s="32">
        <v>32717.18</v>
      </c>
      <c r="O684" s="32">
        <v>76579.58</v>
      </c>
      <c r="P684" s="32">
        <f t="shared" si="10"/>
        <v>73193.210000000006</v>
      </c>
      <c r="Q684" s="32"/>
      <c r="R684" s="32"/>
      <c r="S684" s="2"/>
      <c r="T684" s="2"/>
      <c r="V684" s="2"/>
      <c r="W684" s="2"/>
      <c r="X684" s="30"/>
      <c r="Y684" s="30"/>
      <c r="Z684" s="32"/>
      <c r="AA684" s="32"/>
      <c r="AB684" s="32"/>
      <c r="AC684" s="32"/>
      <c r="AD684" s="32"/>
      <c r="AE684" s="32"/>
      <c r="AF684" s="32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 spans="1:50" x14ac:dyDescent="0.25">
      <c r="A685">
        <v>761</v>
      </c>
      <c r="B685" s="2">
        <v>1</v>
      </c>
      <c r="C685" s="2" t="s">
        <v>756</v>
      </c>
      <c r="D685">
        <v>902</v>
      </c>
      <c r="E685" s="2" t="s">
        <v>63</v>
      </c>
      <c r="F685" s="29">
        <v>0</v>
      </c>
      <c r="G685" s="30">
        <v>0.75652173913043474</v>
      </c>
      <c r="H685" s="30">
        <v>0.73611111111111116</v>
      </c>
      <c r="I685" s="37">
        <v>400.96</v>
      </c>
      <c r="J685" s="37">
        <v>390.14</v>
      </c>
      <c r="K685" s="32">
        <v>77</v>
      </c>
      <c r="L685" s="32">
        <v>74</v>
      </c>
      <c r="M685" s="32">
        <v>30873.919999999998</v>
      </c>
      <c r="N685" s="32">
        <v>28870.36</v>
      </c>
      <c r="O685" s="32">
        <v>59744.28</v>
      </c>
      <c r="P685" s="32">
        <f t="shared" si="10"/>
        <v>57102.37</v>
      </c>
      <c r="Q685" s="32"/>
      <c r="R685" s="32"/>
      <c r="S685" s="2"/>
      <c r="T685" s="2"/>
      <c r="V685" s="2"/>
      <c r="W685" s="2"/>
      <c r="X685" s="30"/>
      <c r="Y685" s="30"/>
      <c r="Z685" s="32"/>
      <c r="AA685" s="32"/>
      <c r="AB685" s="32"/>
      <c r="AC685" s="32"/>
      <c r="AD685" s="32"/>
      <c r="AE685" s="32"/>
      <c r="AF685" s="32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</row>
    <row r="686" spans="1:50" x14ac:dyDescent="0.25">
      <c r="A686">
        <v>761</v>
      </c>
      <c r="B686" s="2">
        <v>1</v>
      </c>
      <c r="C686" s="2" t="s">
        <v>756</v>
      </c>
      <c r="D686">
        <v>904</v>
      </c>
      <c r="E686" s="2" t="s">
        <v>71</v>
      </c>
      <c r="F686" s="29">
        <v>0</v>
      </c>
      <c r="G686" s="30">
        <v>0.85551330798479086</v>
      </c>
      <c r="H686" s="30">
        <v>0.75203252032520329</v>
      </c>
      <c r="I686" s="37">
        <v>453.42</v>
      </c>
      <c r="J686" s="37">
        <v>398.58</v>
      </c>
      <c r="K686" s="32">
        <v>93</v>
      </c>
      <c r="L686" s="32">
        <v>78</v>
      </c>
      <c r="M686" s="32">
        <v>42168.06</v>
      </c>
      <c r="N686" s="32">
        <v>31089.24</v>
      </c>
      <c r="O686" s="32">
        <v>73257.3</v>
      </c>
      <c r="P686" s="32">
        <f t="shared" si="10"/>
        <v>70017.84</v>
      </c>
      <c r="Q686" s="32"/>
      <c r="R686" s="32"/>
      <c r="S686" s="2"/>
      <c r="T686" s="2"/>
      <c r="V686" s="2"/>
      <c r="W686" s="2"/>
      <c r="X686" s="30"/>
      <c r="Y686" s="30"/>
      <c r="Z686" s="32"/>
      <c r="AA686" s="32"/>
      <c r="AB686" s="32"/>
      <c r="AC686" s="32"/>
      <c r="AD686" s="32"/>
      <c r="AE686" s="32"/>
      <c r="AF686" s="32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 spans="1:50" x14ac:dyDescent="0.25">
      <c r="A687">
        <v>761</v>
      </c>
      <c r="B687">
        <v>1</v>
      </c>
      <c r="C687" t="s">
        <v>756</v>
      </c>
      <c r="D687">
        <v>905</v>
      </c>
      <c r="E687" t="s">
        <v>72</v>
      </c>
      <c r="F687" s="1">
        <v>0</v>
      </c>
      <c r="G687" s="30">
        <v>0.63362068965517238</v>
      </c>
      <c r="H687" s="30">
        <v>0.75225225225225223</v>
      </c>
      <c r="I687" s="37">
        <v>335.82</v>
      </c>
      <c r="J687" s="37">
        <v>398.69</v>
      </c>
      <c r="K687" s="32">
        <v>77</v>
      </c>
      <c r="L687" s="32">
        <v>78</v>
      </c>
      <c r="M687" s="32">
        <v>25858.14</v>
      </c>
      <c r="N687" s="32">
        <v>31097.82</v>
      </c>
      <c r="O687" s="32">
        <v>56955.96</v>
      </c>
      <c r="P687" s="32">
        <f t="shared" si="10"/>
        <v>54437.35</v>
      </c>
      <c r="Q687" s="32"/>
      <c r="R687" s="32"/>
      <c r="S687" s="2"/>
      <c r="T687" s="2"/>
      <c r="V687" s="2"/>
      <c r="W687" s="2"/>
      <c r="X687" s="30"/>
      <c r="Y687" s="30"/>
      <c r="Z687" s="32"/>
      <c r="AA687" s="32"/>
      <c r="AB687" s="32"/>
      <c r="AC687" s="32"/>
      <c r="AD687" s="32"/>
      <c r="AE687" s="32"/>
      <c r="AF687" s="32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</row>
    <row r="688" spans="1:50" x14ac:dyDescent="0.25">
      <c r="A688">
        <v>763</v>
      </c>
      <c r="B688" s="2">
        <v>1</v>
      </c>
      <c r="C688" s="2" t="s">
        <v>757</v>
      </c>
      <c r="D688">
        <v>10</v>
      </c>
      <c r="E688" s="2" t="s">
        <v>758</v>
      </c>
      <c r="F688" s="29">
        <v>0</v>
      </c>
      <c r="G688" s="30">
        <v>0.75</v>
      </c>
      <c r="H688" s="30">
        <v>0.84974093264248707</v>
      </c>
      <c r="I688" s="37">
        <v>397.5</v>
      </c>
      <c r="J688" s="37">
        <v>450.36</v>
      </c>
      <c r="K688" s="32">
        <v>71</v>
      </c>
      <c r="L688" s="32">
        <v>70</v>
      </c>
      <c r="M688" s="32">
        <v>28222.5</v>
      </c>
      <c r="N688" s="32">
        <v>31525.200000000001</v>
      </c>
      <c r="O688" s="32">
        <v>59747.7</v>
      </c>
      <c r="P688" s="32">
        <f t="shared" si="10"/>
        <v>57105.64</v>
      </c>
      <c r="Q688" s="32"/>
      <c r="R688" s="32"/>
      <c r="S688" s="2"/>
      <c r="T688" s="2"/>
      <c r="V688" s="2"/>
      <c r="W688" s="2"/>
      <c r="X688" s="30"/>
      <c r="Y688" s="30"/>
      <c r="Z688" s="32"/>
      <c r="AA688" s="32"/>
      <c r="AB688" s="32"/>
      <c r="AC688" s="32"/>
      <c r="AD688" s="32"/>
      <c r="AE688" s="32"/>
      <c r="AF688" s="32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 spans="1:50" x14ac:dyDescent="0.25">
      <c r="A689">
        <v>768</v>
      </c>
      <c r="B689" s="2">
        <v>1</v>
      </c>
      <c r="C689" s="2" t="s">
        <v>759</v>
      </c>
      <c r="D689">
        <v>10</v>
      </c>
      <c r="E689" s="2" t="s">
        <v>760</v>
      </c>
      <c r="F689" s="29">
        <v>0</v>
      </c>
      <c r="G689" s="30">
        <v>0.8571428571428571</v>
      </c>
      <c r="H689" s="30">
        <v>0.74137931034482762</v>
      </c>
      <c r="I689" s="37">
        <v>454.29</v>
      </c>
      <c r="J689" s="37">
        <v>392.93</v>
      </c>
      <c r="K689" s="32">
        <v>24</v>
      </c>
      <c r="L689" s="32">
        <v>22</v>
      </c>
      <c r="M689" s="32">
        <v>10902.96</v>
      </c>
      <c r="N689" s="32">
        <v>8644.4599999999991</v>
      </c>
      <c r="O689" s="32">
        <v>19547.419999999998</v>
      </c>
      <c r="P689" s="32">
        <f t="shared" si="10"/>
        <v>18683.03</v>
      </c>
      <c r="Q689" s="32"/>
      <c r="R689" s="32"/>
      <c r="S689" s="2"/>
      <c r="T689" s="2"/>
      <c r="V689" s="2"/>
      <c r="W689" s="2"/>
      <c r="X689" s="30"/>
      <c r="Y689" s="30"/>
      <c r="Z689" s="32"/>
      <c r="AA689" s="32"/>
      <c r="AB689" s="32"/>
      <c r="AC689" s="32"/>
      <c r="AD689" s="32"/>
      <c r="AE689" s="32"/>
      <c r="AF689" s="32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</row>
    <row r="690" spans="1:50" x14ac:dyDescent="0.25">
      <c r="A690">
        <v>769</v>
      </c>
      <c r="B690" s="2">
        <v>1</v>
      </c>
      <c r="C690" s="2" t="s">
        <v>761</v>
      </c>
      <c r="D690">
        <v>30</v>
      </c>
      <c r="E690" s="2" t="s">
        <v>762</v>
      </c>
      <c r="F690" s="29">
        <v>0</v>
      </c>
      <c r="G690" s="30">
        <v>0.88613861386138615</v>
      </c>
      <c r="H690" s="30">
        <v>0.78443113772455086</v>
      </c>
      <c r="I690" s="37">
        <v>469.65</v>
      </c>
      <c r="J690" s="37">
        <v>415.75</v>
      </c>
      <c r="K690" s="32">
        <v>68</v>
      </c>
      <c r="L690" s="32">
        <v>72</v>
      </c>
      <c r="M690" s="32">
        <v>31936.2</v>
      </c>
      <c r="N690" s="32">
        <v>29934</v>
      </c>
      <c r="O690" s="32">
        <v>61870.2</v>
      </c>
      <c r="P690" s="32">
        <f t="shared" si="10"/>
        <v>59134.28</v>
      </c>
      <c r="Q690" s="32"/>
      <c r="R690" s="32"/>
      <c r="W690" s="2"/>
      <c r="X690" s="30"/>
      <c r="Y690" s="30"/>
      <c r="Z690" s="32"/>
      <c r="AA690" s="32"/>
      <c r="AB690" s="32"/>
      <c r="AC690" s="32"/>
      <c r="AD690" s="32"/>
      <c r="AE690" s="32"/>
      <c r="AF690" s="32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 spans="1:50" x14ac:dyDescent="0.25">
      <c r="A691">
        <v>771</v>
      </c>
      <c r="B691" s="2">
        <v>1</v>
      </c>
      <c r="C691" s="2" t="s">
        <v>1235</v>
      </c>
      <c r="D691">
        <v>3</v>
      </c>
      <c r="E691" s="2" t="s">
        <v>1236</v>
      </c>
      <c r="F691" s="29">
        <v>1</v>
      </c>
      <c r="G691" s="30" t="s">
        <v>1328</v>
      </c>
      <c r="H691" s="30" t="s">
        <v>1328</v>
      </c>
      <c r="I691" s="37" t="s">
        <v>1328</v>
      </c>
      <c r="J691" s="37" t="s">
        <v>1328</v>
      </c>
      <c r="K691" s="32">
        <v>9</v>
      </c>
      <c r="L691" s="32">
        <v>11</v>
      </c>
      <c r="M691" s="32" t="s">
        <v>1328</v>
      </c>
      <c r="N691" s="32" t="s">
        <v>1328</v>
      </c>
      <c r="O691" s="32">
        <v>7566.79</v>
      </c>
      <c r="P691" s="32">
        <f t="shared" si="10"/>
        <v>7232.18</v>
      </c>
      <c r="Q691" s="32"/>
      <c r="R691" s="32"/>
      <c r="S691" s="2"/>
      <c r="T691" s="2"/>
      <c r="V691" s="2"/>
      <c r="W691" s="2"/>
      <c r="X691" s="30"/>
      <c r="Y691" s="30"/>
      <c r="Z691" s="32"/>
      <c r="AA691" s="32"/>
      <c r="AB691" s="32"/>
      <c r="AC691" s="32"/>
      <c r="AD691" s="32"/>
      <c r="AE691" s="32"/>
      <c r="AF691" s="32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 spans="1:50" x14ac:dyDescent="0.25">
      <c r="A692">
        <v>775</v>
      </c>
      <c r="B692" s="2">
        <v>1</v>
      </c>
      <c r="C692" s="2" t="s">
        <v>763</v>
      </c>
      <c r="D692">
        <v>30</v>
      </c>
      <c r="E692" s="2" t="s">
        <v>764</v>
      </c>
      <c r="F692" s="29">
        <v>0</v>
      </c>
      <c r="G692" s="30">
        <v>0.83898305084745761</v>
      </c>
      <c r="H692" s="30">
        <v>0.84375</v>
      </c>
      <c r="I692" s="37">
        <v>444.66</v>
      </c>
      <c r="J692" s="37">
        <v>447.19</v>
      </c>
      <c r="K692" s="32">
        <v>45</v>
      </c>
      <c r="L692" s="32">
        <v>35</v>
      </c>
      <c r="M692" s="32">
        <v>20009.7</v>
      </c>
      <c r="N692" s="32">
        <v>15651.65</v>
      </c>
      <c r="O692" s="32">
        <v>35661.35</v>
      </c>
      <c r="P692" s="32">
        <f t="shared" si="10"/>
        <v>34084.400000000001</v>
      </c>
      <c r="Q692" s="32"/>
      <c r="R692" s="32"/>
      <c r="S692" s="2"/>
      <c r="T692" s="2"/>
      <c r="V692" s="2"/>
      <c r="W692" s="2"/>
      <c r="X692" s="30"/>
      <c r="Y692" s="30"/>
      <c r="Z692" s="32"/>
      <c r="AA692" s="32"/>
      <c r="AB692" s="32"/>
      <c r="AC692" s="32"/>
      <c r="AD692" s="32"/>
      <c r="AE692" s="32"/>
      <c r="AF692" s="32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 spans="1:50" x14ac:dyDescent="0.25">
      <c r="A693">
        <v>777</v>
      </c>
      <c r="B693" s="2">
        <v>1</v>
      </c>
      <c r="C693" s="2" t="s">
        <v>765</v>
      </c>
      <c r="D693">
        <v>103</v>
      </c>
      <c r="E693" s="2" t="s">
        <v>766</v>
      </c>
      <c r="F693" s="29">
        <v>0</v>
      </c>
      <c r="G693" s="30">
        <v>0.87830687830687826</v>
      </c>
      <c r="H693" s="30">
        <v>0.77439024390243905</v>
      </c>
      <c r="I693" s="37">
        <v>465.5</v>
      </c>
      <c r="J693" s="37">
        <v>410.43</v>
      </c>
      <c r="K693" s="32">
        <v>79</v>
      </c>
      <c r="L693" s="32">
        <v>60</v>
      </c>
      <c r="M693" s="32">
        <v>36774.5</v>
      </c>
      <c r="N693" s="32">
        <v>24625.8</v>
      </c>
      <c r="O693" s="32">
        <v>61400.3</v>
      </c>
      <c r="P693" s="32">
        <f t="shared" si="10"/>
        <v>58685.16</v>
      </c>
      <c r="Q693" s="32"/>
      <c r="R693" s="32"/>
      <c r="S693" s="2"/>
      <c r="T693" s="2"/>
      <c r="V693" s="2"/>
      <c r="W693" s="2"/>
      <c r="X693" s="30"/>
      <c r="Y693" s="30"/>
      <c r="Z693" s="32"/>
      <c r="AA693" s="32"/>
      <c r="AB693" s="32"/>
      <c r="AC693" s="32"/>
      <c r="AD693" s="32"/>
      <c r="AE693" s="32"/>
      <c r="AF693" s="32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</row>
    <row r="694" spans="1:50" x14ac:dyDescent="0.25">
      <c r="A694">
        <v>777</v>
      </c>
      <c r="B694" s="2">
        <v>1</v>
      </c>
      <c r="C694" s="2" t="s">
        <v>1237</v>
      </c>
      <c r="D694">
        <v>112</v>
      </c>
      <c r="E694" s="2" t="s">
        <v>1238</v>
      </c>
      <c r="F694" s="29">
        <v>1</v>
      </c>
      <c r="G694" s="30" t="s">
        <v>1328</v>
      </c>
      <c r="H694" s="30" t="s">
        <v>1328</v>
      </c>
      <c r="I694" s="37" t="s">
        <v>1328</v>
      </c>
      <c r="J694" s="37" t="s">
        <v>1328</v>
      </c>
      <c r="K694" s="32">
        <v>0</v>
      </c>
      <c r="L694" s="32">
        <v>1</v>
      </c>
      <c r="M694" s="32" t="s">
        <v>1328</v>
      </c>
      <c r="N694" s="32" t="s">
        <v>1328</v>
      </c>
      <c r="O694" s="32">
        <v>0</v>
      </c>
      <c r="P694" s="32">
        <f t="shared" si="10"/>
        <v>0</v>
      </c>
      <c r="Q694" s="32"/>
      <c r="R694" s="32"/>
      <c r="S694" s="2"/>
      <c r="T694" s="2"/>
      <c r="V694" s="2"/>
      <c r="W694" s="2"/>
      <c r="X694" s="30"/>
      <c r="Y694" s="30"/>
      <c r="Z694" s="32"/>
      <c r="AA694" s="32"/>
      <c r="AB694" s="32"/>
      <c r="AC694" s="32"/>
      <c r="AD694" s="32"/>
      <c r="AE694" s="32"/>
      <c r="AF694" s="32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 spans="1:50" x14ac:dyDescent="0.25">
      <c r="A695">
        <v>786</v>
      </c>
      <c r="B695" s="2">
        <v>1</v>
      </c>
      <c r="C695" s="2" t="s">
        <v>767</v>
      </c>
      <c r="D695">
        <v>10</v>
      </c>
      <c r="E695" s="2" t="s">
        <v>768</v>
      </c>
      <c r="F695" s="29">
        <v>0</v>
      </c>
      <c r="G695" s="30">
        <v>0.81159420289855078</v>
      </c>
      <c r="H695" s="30">
        <v>0.66666666666666663</v>
      </c>
      <c r="I695" s="37">
        <v>430.14</v>
      </c>
      <c r="J695" s="37">
        <v>353.33</v>
      </c>
      <c r="K695" s="32">
        <v>27</v>
      </c>
      <c r="L695" s="32">
        <v>24</v>
      </c>
      <c r="M695" s="32">
        <v>11613.78</v>
      </c>
      <c r="N695" s="32">
        <v>8479.92</v>
      </c>
      <c r="O695" s="32">
        <v>20093.7</v>
      </c>
      <c r="P695" s="32">
        <f t="shared" si="10"/>
        <v>19205.150000000001</v>
      </c>
      <c r="Q695" s="32"/>
      <c r="R695" s="32"/>
      <c r="S695" s="2"/>
      <c r="T695" s="2"/>
      <c r="V695" s="2"/>
      <c r="W695" s="2"/>
      <c r="X695" s="30"/>
      <c r="Y695" s="30"/>
      <c r="Z695" s="32"/>
      <c r="AA695" s="32"/>
      <c r="AB695" s="32"/>
      <c r="AC695" s="32"/>
      <c r="AD695" s="32"/>
      <c r="AE695" s="32"/>
      <c r="AF695" s="32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</row>
    <row r="696" spans="1:50" x14ac:dyDescent="0.25">
      <c r="A696">
        <v>787</v>
      </c>
      <c r="B696" s="2">
        <v>1</v>
      </c>
      <c r="C696" s="2" t="s">
        <v>769</v>
      </c>
      <c r="D696">
        <v>10</v>
      </c>
      <c r="E696" s="2" t="s">
        <v>770</v>
      </c>
      <c r="F696" s="29">
        <v>0</v>
      </c>
      <c r="G696" s="30">
        <v>0.80722891566265065</v>
      </c>
      <c r="H696" s="30">
        <v>0.72093023255813948</v>
      </c>
      <c r="I696" s="37">
        <v>427.83</v>
      </c>
      <c r="J696" s="37">
        <v>382.09</v>
      </c>
      <c r="K696" s="32">
        <v>26</v>
      </c>
      <c r="L696" s="32">
        <v>29</v>
      </c>
      <c r="M696" s="32">
        <v>11123.58</v>
      </c>
      <c r="N696" s="32">
        <v>11080.61</v>
      </c>
      <c r="O696" s="32">
        <v>22204.190000000002</v>
      </c>
      <c r="P696" s="32">
        <f t="shared" si="10"/>
        <v>21222.32</v>
      </c>
      <c r="Q696" s="32"/>
      <c r="R696" s="32"/>
      <c r="S696" s="2"/>
      <c r="T696" s="2"/>
      <c r="V696" s="2"/>
      <c r="W696" s="2"/>
      <c r="X696" s="30"/>
      <c r="Y696" s="30"/>
      <c r="Z696" s="32"/>
      <c r="AA696" s="32"/>
      <c r="AB696" s="32"/>
      <c r="AC696" s="32"/>
      <c r="AD696" s="32"/>
      <c r="AE696" s="32"/>
      <c r="AF696" s="32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 spans="1:50" x14ac:dyDescent="0.25">
      <c r="A697">
        <v>801</v>
      </c>
      <c r="B697" s="2">
        <v>1</v>
      </c>
      <c r="C697" s="2" t="s">
        <v>1239</v>
      </c>
      <c r="D697">
        <v>10</v>
      </c>
      <c r="E697" s="2" t="s">
        <v>1240</v>
      </c>
      <c r="F697" s="29">
        <v>0</v>
      </c>
      <c r="G697" s="30">
        <v>0.7142857142857143</v>
      </c>
      <c r="H697" s="30">
        <v>0.78787878787878785</v>
      </c>
      <c r="I697" s="37">
        <v>378.57</v>
      </c>
      <c r="J697" s="37">
        <v>417.58</v>
      </c>
      <c r="K697" s="32">
        <v>16</v>
      </c>
      <c r="L697" s="32">
        <v>12</v>
      </c>
      <c r="M697" s="32">
        <v>6057.12</v>
      </c>
      <c r="N697" s="32">
        <v>5010.96</v>
      </c>
      <c r="O697" s="32">
        <v>11068.08</v>
      </c>
      <c r="P697" s="32">
        <f t="shared" si="10"/>
        <v>10578.65</v>
      </c>
      <c r="Q697" s="32"/>
      <c r="R697" s="32"/>
      <c r="W697" s="2"/>
      <c r="X697" s="30"/>
      <c r="Y697" s="30"/>
      <c r="Z697" s="32"/>
      <c r="AA697" s="32"/>
      <c r="AB697" s="32"/>
      <c r="AC697" s="32"/>
      <c r="AD697" s="32"/>
      <c r="AE697" s="32"/>
      <c r="AF697" s="32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</row>
    <row r="698" spans="1:50" x14ac:dyDescent="0.25">
      <c r="A698">
        <v>803</v>
      </c>
      <c r="B698" s="2">
        <v>1</v>
      </c>
      <c r="C698" s="2" t="s">
        <v>771</v>
      </c>
      <c r="D698">
        <v>1</v>
      </c>
      <c r="E698" s="2" t="s">
        <v>711</v>
      </c>
      <c r="F698" s="29">
        <v>0</v>
      </c>
      <c r="G698" s="30">
        <v>0.85882352941176465</v>
      </c>
      <c r="H698" s="30">
        <v>0.81818181818181823</v>
      </c>
      <c r="I698" s="37">
        <v>455.18</v>
      </c>
      <c r="J698" s="37">
        <v>433.64</v>
      </c>
      <c r="K698" s="32">
        <v>29</v>
      </c>
      <c r="L698" s="32">
        <v>24</v>
      </c>
      <c r="M698" s="32">
        <v>13200.22</v>
      </c>
      <c r="N698" s="32">
        <v>10407.36</v>
      </c>
      <c r="O698" s="32">
        <v>23607.58</v>
      </c>
      <c r="P698" s="32">
        <f t="shared" si="10"/>
        <v>22563.65</v>
      </c>
      <c r="Q698" s="32"/>
      <c r="R698" s="32"/>
      <c r="S698" s="2"/>
      <c r="T698" s="2"/>
      <c r="V698" s="2"/>
      <c r="W698" s="2"/>
      <c r="X698" s="30"/>
      <c r="Y698" s="30"/>
      <c r="Z698" s="32"/>
      <c r="AA698" s="32"/>
      <c r="AB698" s="32"/>
      <c r="AC698" s="32"/>
      <c r="AD698" s="32"/>
      <c r="AE698" s="32"/>
      <c r="AF698" s="32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 spans="1:50" x14ac:dyDescent="0.25">
      <c r="A699">
        <v>811</v>
      </c>
      <c r="B699" s="2">
        <v>1</v>
      </c>
      <c r="C699" s="2" t="s">
        <v>772</v>
      </c>
      <c r="D699">
        <v>30</v>
      </c>
      <c r="E699" s="2" t="s">
        <v>773</v>
      </c>
      <c r="F699" s="29">
        <v>0</v>
      </c>
      <c r="G699" s="30">
        <v>0.89719626168224298</v>
      </c>
      <c r="H699" s="30">
        <v>0.81981981981981977</v>
      </c>
      <c r="I699" s="37">
        <v>475.51</v>
      </c>
      <c r="J699" s="37">
        <v>434.5</v>
      </c>
      <c r="K699" s="32">
        <v>34</v>
      </c>
      <c r="L699" s="32">
        <v>45</v>
      </c>
      <c r="M699" s="32">
        <v>16167.34</v>
      </c>
      <c r="N699" s="32">
        <v>19552.5</v>
      </c>
      <c r="O699" s="32">
        <v>35719.839999999997</v>
      </c>
      <c r="P699" s="32">
        <f t="shared" si="10"/>
        <v>34140.300000000003</v>
      </c>
      <c r="Q699" s="32"/>
      <c r="R699" s="32"/>
      <c r="S699" s="2"/>
      <c r="T699" s="2"/>
      <c r="V699" s="2"/>
      <c r="W699" s="2"/>
      <c r="X699" s="30"/>
      <c r="Y699" s="30"/>
      <c r="Z699" s="32"/>
      <c r="AA699" s="32"/>
      <c r="AB699" s="32"/>
      <c r="AC699" s="32"/>
      <c r="AD699" s="32"/>
      <c r="AE699" s="32"/>
      <c r="AF699" s="32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</row>
    <row r="700" spans="1:50" x14ac:dyDescent="0.25">
      <c r="A700">
        <v>813</v>
      </c>
      <c r="B700" s="2">
        <v>1</v>
      </c>
      <c r="C700" s="2" t="s">
        <v>774</v>
      </c>
      <c r="D700">
        <v>10</v>
      </c>
      <c r="E700" s="2" t="s">
        <v>775</v>
      </c>
      <c r="F700" s="29">
        <v>0</v>
      </c>
      <c r="G700" s="30">
        <v>0.85273972602739723</v>
      </c>
      <c r="H700" s="30">
        <v>0.65517241379310343</v>
      </c>
      <c r="I700" s="37">
        <v>451.95</v>
      </c>
      <c r="J700" s="37">
        <v>347.24</v>
      </c>
      <c r="K700" s="32">
        <v>88</v>
      </c>
      <c r="L700" s="32">
        <v>102</v>
      </c>
      <c r="M700" s="32">
        <v>39771.599999999999</v>
      </c>
      <c r="N700" s="32">
        <v>35418.480000000003</v>
      </c>
      <c r="O700" s="32">
        <v>75190.080000000002</v>
      </c>
      <c r="P700" s="32">
        <f t="shared" si="10"/>
        <v>71865.16</v>
      </c>
      <c r="Q700" s="32"/>
      <c r="R700" s="32"/>
      <c r="S700" s="2"/>
      <c r="T700" s="2"/>
      <c r="V700" s="2"/>
      <c r="W700" s="2"/>
      <c r="X700" s="30"/>
      <c r="Y700" s="30"/>
      <c r="Z700" s="32"/>
      <c r="AA700" s="32"/>
      <c r="AB700" s="32"/>
      <c r="AC700" s="32"/>
      <c r="AD700" s="32"/>
      <c r="AE700" s="32"/>
      <c r="AF700" s="32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 spans="1:50" x14ac:dyDescent="0.25">
      <c r="A701">
        <v>818</v>
      </c>
      <c r="B701" s="2">
        <v>1</v>
      </c>
      <c r="C701" s="2" t="s">
        <v>776</v>
      </c>
      <c r="D701">
        <v>10</v>
      </c>
      <c r="E701" s="2" t="s">
        <v>777</v>
      </c>
      <c r="F701" s="29">
        <v>0</v>
      </c>
      <c r="G701" s="30">
        <v>0.8529411764705882</v>
      </c>
      <c r="H701" s="30">
        <v>0.77083333333333337</v>
      </c>
      <c r="I701" s="37">
        <v>452.06</v>
      </c>
      <c r="J701" s="37">
        <v>408.54</v>
      </c>
      <c r="K701" s="32">
        <v>33</v>
      </c>
      <c r="L701" s="32">
        <v>35</v>
      </c>
      <c r="M701" s="32">
        <v>14917.98</v>
      </c>
      <c r="N701" s="32">
        <v>14298.9</v>
      </c>
      <c r="O701" s="32">
        <v>29216.879999999997</v>
      </c>
      <c r="P701" s="32">
        <f t="shared" si="10"/>
        <v>27924.9</v>
      </c>
      <c r="Q701" s="32"/>
      <c r="R701" s="32"/>
      <c r="S701" s="2"/>
      <c r="T701" s="2"/>
      <c r="V701" s="2"/>
      <c r="W701" s="2"/>
      <c r="X701" s="30"/>
      <c r="Y701" s="30"/>
      <c r="Z701" s="32"/>
      <c r="AA701" s="32"/>
      <c r="AB701" s="32"/>
      <c r="AC701" s="32"/>
      <c r="AD701" s="32"/>
      <c r="AE701" s="32"/>
      <c r="AF701" s="32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</row>
    <row r="702" spans="1:50" x14ac:dyDescent="0.25">
      <c r="A702">
        <v>820</v>
      </c>
      <c r="B702" s="2">
        <v>1</v>
      </c>
      <c r="C702" s="2" t="s">
        <v>778</v>
      </c>
      <c r="D702">
        <v>1</v>
      </c>
      <c r="E702" s="2" t="s">
        <v>779</v>
      </c>
      <c r="F702" s="29">
        <v>0</v>
      </c>
      <c r="G702" s="30">
        <v>0.76842105263157889</v>
      </c>
      <c r="H702" s="30">
        <v>0.93181818181818177</v>
      </c>
      <c r="I702" s="37">
        <v>407.26</v>
      </c>
      <c r="J702" s="37">
        <v>493.86</v>
      </c>
      <c r="K702" s="32">
        <v>39</v>
      </c>
      <c r="L702" s="32">
        <v>31</v>
      </c>
      <c r="M702" s="32">
        <v>15883.14</v>
      </c>
      <c r="N702" s="32">
        <v>15309.66</v>
      </c>
      <c r="O702" s="32">
        <v>31192.799999999999</v>
      </c>
      <c r="P702" s="32">
        <f t="shared" si="10"/>
        <v>29813.45</v>
      </c>
      <c r="Q702" s="32"/>
      <c r="R702" s="32"/>
      <c r="S702" s="2"/>
      <c r="T702" s="2"/>
      <c r="V702" s="2"/>
      <c r="W702" s="2"/>
      <c r="X702" s="30"/>
      <c r="Y702" s="30"/>
      <c r="Z702" s="32"/>
      <c r="AA702" s="32"/>
      <c r="AB702" s="32"/>
      <c r="AC702" s="32"/>
      <c r="AD702" s="32"/>
      <c r="AE702" s="32"/>
      <c r="AF702" s="32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 spans="1:50" x14ac:dyDescent="0.25">
      <c r="A703">
        <v>821</v>
      </c>
      <c r="B703" s="2">
        <v>1</v>
      </c>
      <c r="C703" s="2" t="s">
        <v>780</v>
      </c>
      <c r="D703">
        <v>10</v>
      </c>
      <c r="E703" s="2" t="s">
        <v>781</v>
      </c>
      <c r="F703" s="29">
        <v>0</v>
      </c>
      <c r="G703" s="30">
        <v>0.83333333333333337</v>
      </c>
      <c r="H703" s="30">
        <v>0.76878612716763006</v>
      </c>
      <c r="I703" s="37">
        <v>441.67</v>
      </c>
      <c r="J703" s="37">
        <v>407.46</v>
      </c>
      <c r="K703" s="32">
        <v>78</v>
      </c>
      <c r="L703" s="32">
        <v>60</v>
      </c>
      <c r="M703" s="32">
        <v>34450.26</v>
      </c>
      <c r="N703" s="32">
        <v>24447.599999999999</v>
      </c>
      <c r="O703" s="32">
        <v>58897.86</v>
      </c>
      <c r="P703" s="32">
        <f t="shared" si="10"/>
        <v>56293.38</v>
      </c>
      <c r="Q703" s="32"/>
      <c r="R703" s="32"/>
      <c r="S703" s="2"/>
      <c r="T703" s="2"/>
      <c r="V703" s="2"/>
      <c r="W703" s="2"/>
      <c r="X703" s="30"/>
      <c r="Y703" s="30"/>
      <c r="Z703" s="32"/>
      <c r="AA703" s="32"/>
      <c r="AB703" s="32"/>
      <c r="AC703" s="32"/>
      <c r="AD703" s="32"/>
      <c r="AE703" s="32"/>
      <c r="AF703" s="32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</row>
    <row r="704" spans="1:50" x14ac:dyDescent="0.25">
      <c r="A704">
        <v>829</v>
      </c>
      <c r="B704" s="2">
        <v>1</v>
      </c>
      <c r="C704" s="2" t="s">
        <v>782</v>
      </c>
      <c r="D704">
        <v>20</v>
      </c>
      <c r="E704" s="2" t="s">
        <v>783</v>
      </c>
      <c r="F704" s="29">
        <v>1</v>
      </c>
      <c r="G704" s="30" t="s">
        <v>1328</v>
      </c>
      <c r="H704" s="30" t="s">
        <v>1328</v>
      </c>
      <c r="I704" s="37" t="s">
        <v>1328</v>
      </c>
      <c r="J704" s="37" t="s">
        <v>1328</v>
      </c>
      <c r="K704" s="32">
        <v>115</v>
      </c>
      <c r="L704" s="32">
        <v>0</v>
      </c>
      <c r="M704" s="32" t="s">
        <v>1328</v>
      </c>
      <c r="N704" s="32" t="s">
        <v>1328</v>
      </c>
      <c r="O704" s="32">
        <v>55963.6</v>
      </c>
      <c r="P704" s="32">
        <f t="shared" si="10"/>
        <v>53488.88</v>
      </c>
      <c r="Q704" s="32"/>
      <c r="R704" s="32"/>
      <c r="S704" s="2"/>
      <c r="T704" s="2"/>
      <c r="V704" s="2"/>
      <c r="W704" s="2"/>
      <c r="X704" s="30"/>
      <c r="Y704" s="30"/>
      <c r="Z704" s="32"/>
      <c r="AA704" s="32"/>
      <c r="AB704" s="32"/>
      <c r="AC704" s="32"/>
      <c r="AD704" s="32"/>
      <c r="AE704" s="32"/>
      <c r="AF704" s="32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 spans="1:50" x14ac:dyDescent="0.25">
      <c r="A705">
        <v>829</v>
      </c>
      <c r="B705" s="2">
        <v>1</v>
      </c>
      <c r="C705" s="2" t="s">
        <v>782</v>
      </c>
      <c r="D705">
        <v>40</v>
      </c>
      <c r="E705" s="2" t="s">
        <v>784</v>
      </c>
      <c r="F705" s="29">
        <v>1</v>
      </c>
      <c r="G705" s="30" t="s">
        <v>1328</v>
      </c>
      <c r="H705" s="30" t="s">
        <v>1328</v>
      </c>
      <c r="I705" s="37" t="s">
        <v>1328</v>
      </c>
      <c r="J705" s="37" t="s">
        <v>1328</v>
      </c>
      <c r="K705" s="32">
        <v>0</v>
      </c>
      <c r="L705" s="32">
        <v>117</v>
      </c>
      <c r="M705" s="32" t="s">
        <v>1328</v>
      </c>
      <c r="N705" s="32" t="s">
        <v>1328</v>
      </c>
      <c r="O705" s="32">
        <v>49338.9</v>
      </c>
      <c r="P705" s="32">
        <f t="shared" si="10"/>
        <v>47157.120000000003</v>
      </c>
      <c r="Q705" s="32"/>
      <c r="R705" s="32"/>
      <c r="S705" s="2"/>
      <c r="T705" s="2"/>
      <c r="V705" s="2"/>
      <c r="W705" s="2"/>
      <c r="X705" s="30"/>
      <c r="Y705" s="30"/>
      <c r="Z705" s="32"/>
      <c r="AA705" s="32"/>
      <c r="AB705" s="32"/>
      <c r="AC705" s="32"/>
      <c r="AD705" s="32"/>
      <c r="AE705" s="32"/>
      <c r="AF705" s="32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</row>
    <row r="706" spans="1:50" x14ac:dyDescent="0.25">
      <c r="A706">
        <v>831</v>
      </c>
      <c r="B706" s="2">
        <v>1</v>
      </c>
      <c r="C706" s="2" t="s">
        <v>785</v>
      </c>
      <c r="D706">
        <v>625</v>
      </c>
      <c r="E706" s="2" t="s">
        <v>786</v>
      </c>
      <c r="F706" s="29">
        <v>0</v>
      </c>
      <c r="G706" s="30">
        <v>0.81132075471698117</v>
      </c>
      <c r="H706" s="30">
        <v>0.81094527363184077</v>
      </c>
      <c r="I706" s="37">
        <v>430</v>
      </c>
      <c r="J706" s="37">
        <v>429.8</v>
      </c>
      <c r="K706" s="32">
        <v>79</v>
      </c>
      <c r="L706" s="32">
        <v>67</v>
      </c>
      <c r="M706" s="32">
        <v>33970</v>
      </c>
      <c r="N706" s="32">
        <v>28796.6</v>
      </c>
      <c r="O706" s="32">
        <v>62766.6</v>
      </c>
      <c r="P706" s="32">
        <f t="shared" si="10"/>
        <v>59991.05</v>
      </c>
      <c r="Q706" s="32"/>
      <c r="R706" s="32"/>
      <c r="S706" s="2"/>
      <c r="T706" s="2"/>
      <c r="V706" s="2"/>
      <c r="W706" s="2"/>
      <c r="X706" s="30"/>
      <c r="Y706" s="30"/>
      <c r="Z706" s="32"/>
      <c r="AA706" s="32"/>
      <c r="AB706" s="32"/>
      <c r="AC706" s="32"/>
      <c r="AD706" s="32"/>
      <c r="AE706" s="32"/>
      <c r="AF706" s="32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 spans="1:50" x14ac:dyDescent="0.25">
      <c r="A707">
        <v>831</v>
      </c>
      <c r="B707" s="2">
        <v>1</v>
      </c>
      <c r="C707" s="2" t="s">
        <v>785</v>
      </c>
      <c r="D707">
        <v>626</v>
      </c>
      <c r="E707" s="2" t="s">
        <v>418</v>
      </c>
      <c r="F707" s="29">
        <v>1</v>
      </c>
      <c r="G707" s="30" t="s">
        <v>1328</v>
      </c>
      <c r="H707" s="30" t="s">
        <v>1328</v>
      </c>
      <c r="I707" s="37" t="s">
        <v>1328</v>
      </c>
      <c r="J707" s="37" t="s">
        <v>1328</v>
      </c>
      <c r="K707" s="32">
        <v>0</v>
      </c>
      <c r="L707" s="32">
        <v>137</v>
      </c>
      <c r="M707" s="32" t="s">
        <v>1328</v>
      </c>
      <c r="N707" s="32" t="s">
        <v>1328</v>
      </c>
      <c r="O707" s="32">
        <v>55704.2</v>
      </c>
      <c r="P707" s="32">
        <f t="shared" si="10"/>
        <v>53240.95</v>
      </c>
      <c r="Q707" s="32"/>
      <c r="R707" s="32"/>
      <c r="S707" s="2"/>
      <c r="T707" s="2"/>
      <c r="V707" s="2"/>
      <c r="W707" s="2"/>
      <c r="X707" s="30"/>
      <c r="Y707" s="30"/>
      <c r="Z707" s="32"/>
      <c r="AA707" s="32"/>
      <c r="AB707" s="32"/>
      <c r="AC707" s="32"/>
      <c r="AD707" s="32"/>
      <c r="AE707" s="32"/>
      <c r="AF707" s="32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</row>
    <row r="708" spans="1:50" x14ac:dyDescent="0.25">
      <c r="A708">
        <v>831</v>
      </c>
      <c r="B708" s="2">
        <v>1</v>
      </c>
      <c r="C708" s="2" t="s">
        <v>785</v>
      </c>
      <c r="D708">
        <v>627</v>
      </c>
      <c r="E708" s="2" t="s">
        <v>787</v>
      </c>
      <c r="F708" s="29">
        <v>1</v>
      </c>
      <c r="G708" s="30" t="s">
        <v>1328</v>
      </c>
      <c r="H708" s="30" t="s">
        <v>1328</v>
      </c>
      <c r="I708" s="37" t="s">
        <v>1328</v>
      </c>
      <c r="J708" s="37" t="s">
        <v>1328</v>
      </c>
      <c r="K708" s="32">
        <v>132</v>
      </c>
      <c r="L708" s="32">
        <v>0</v>
      </c>
      <c r="M708" s="32" t="s">
        <v>1328</v>
      </c>
      <c r="N708" s="32" t="s">
        <v>1328</v>
      </c>
      <c r="O708" s="32">
        <v>51304.44</v>
      </c>
      <c r="P708" s="32">
        <f t="shared" si="10"/>
        <v>49035.75</v>
      </c>
      <c r="Q708" s="32"/>
      <c r="R708" s="32"/>
      <c r="S708" s="2"/>
      <c r="T708" s="2"/>
      <c r="V708" s="2"/>
      <c r="W708" s="2"/>
      <c r="X708" s="30"/>
      <c r="Y708" s="30"/>
      <c r="Z708" s="32"/>
      <c r="AA708" s="32"/>
      <c r="AB708" s="32"/>
      <c r="AC708" s="32"/>
      <c r="AD708" s="32"/>
      <c r="AE708" s="32"/>
      <c r="AF708" s="32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 spans="1:50" x14ac:dyDescent="0.25">
      <c r="A709">
        <v>831</v>
      </c>
      <c r="B709" s="2">
        <v>1</v>
      </c>
      <c r="C709" s="2" t="s">
        <v>785</v>
      </c>
      <c r="D709">
        <v>628</v>
      </c>
      <c r="E709" s="2" t="s">
        <v>788</v>
      </c>
      <c r="F709" s="29">
        <v>0</v>
      </c>
      <c r="G709" s="30">
        <v>0.81967213114754101</v>
      </c>
      <c r="H709" s="30">
        <v>0.69325153374233128</v>
      </c>
      <c r="I709" s="37">
        <v>434.43</v>
      </c>
      <c r="J709" s="37">
        <v>367.42</v>
      </c>
      <c r="K709" s="32">
        <v>60</v>
      </c>
      <c r="L709" s="32">
        <v>53</v>
      </c>
      <c r="M709" s="32">
        <v>26065.8</v>
      </c>
      <c r="N709" s="32">
        <v>19473.259999999998</v>
      </c>
      <c r="O709" s="32">
        <v>45539.06</v>
      </c>
      <c r="P709" s="32">
        <f t="shared" si="10"/>
        <v>43525.31</v>
      </c>
      <c r="Q709" s="32"/>
      <c r="R709" s="32"/>
      <c r="S709" s="2"/>
      <c r="T709" s="2"/>
      <c r="V709" s="2"/>
      <c r="W709" s="2"/>
      <c r="X709" s="30"/>
      <c r="Y709" s="30"/>
      <c r="Z709" s="32"/>
      <c r="AA709" s="32"/>
      <c r="AB709" s="32"/>
      <c r="AC709" s="32"/>
      <c r="AD709" s="32"/>
      <c r="AE709" s="32"/>
      <c r="AF709" s="32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</row>
    <row r="710" spans="1:50" x14ac:dyDescent="0.25">
      <c r="A710">
        <v>831</v>
      </c>
      <c r="B710" s="2">
        <v>1</v>
      </c>
      <c r="C710" s="2" t="s">
        <v>785</v>
      </c>
      <c r="D710">
        <v>629</v>
      </c>
      <c r="E710" s="2" t="s">
        <v>789</v>
      </c>
      <c r="F710" s="29">
        <v>0</v>
      </c>
      <c r="G710" s="30">
        <v>0.79710144927536231</v>
      </c>
      <c r="H710" s="30">
        <v>0.64835164835164838</v>
      </c>
      <c r="I710" s="37">
        <v>422.46</v>
      </c>
      <c r="J710" s="37">
        <v>343.63</v>
      </c>
      <c r="K710" s="32">
        <v>76</v>
      </c>
      <c r="L710" s="32">
        <v>65</v>
      </c>
      <c r="M710" s="32">
        <v>32106.959999999999</v>
      </c>
      <c r="N710" s="32">
        <v>22335.95</v>
      </c>
      <c r="O710" s="32">
        <v>54442.91</v>
      </c>
      <c r="P710" s="32">
        <f t="shared" si="10"/>
        <v>52035.43</v>
      </c>
      <c r="Q710" s="32"/>
      <c r="R710" s="32"/>
      <c r="S710" s="2"/>
      <c r="T710" s="2"/>
      <c r="V710" s="2"/>
      <c r="W710" s="2"/>
      <c r="X710" s="30"/>
      <c r="Y710" s="30"/>
      <c r="Z710" s="32"/>
      <c r="AA710" s="32"/>
      <c r="AB710" s="32"/>
      <c r="AC710" s="32"/>
      <c r="AD710" s="32"/>
      <c r="AE710" s="32"/>
      <c r="AF710" s="32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 spans="1:50" x14ac:dyDescent="0.25">
      <c r="A711">
        <v>831</v>
      </c>
      <c r="B711" s="2">
        <v>1</v>
      </c>
      <c r="C711" s="2" t="s">
        <v>785</v>
      </c>
      <c r="D711">
        <v>630</v>
      </c>
      <c r="E711" s="2" t="s">
        <v>790</v>
      </c>
      <c r="F711" s="29">
        <v>0</v>
      </c>
      <c r="G711" s="30">
        <v>0.92222222222222228</v>
      </c>
      <c r="H711" s="30">
        <v>0.81767955801104975</v>
      </c>
      <c r="I711" s="37">
        <v>488.78</v>
      </c>
      <c r="J711" s="37">
        <v>433.37</v>
      </c>
      <c r="K711" s="32">
        <v>65</v>
      </c>
      <c r="L711" s="32">
        <v>59</v>
      </c>
      <c r="M711" s="32">
        <v>31770.7</v>
      </c>
      <c r="N711" s="32">
        <v>25568.83</v>
      </c>
      <c r="O711" s="32">
        <v>57339.53</v>
      </c>
      <c r="P711" s="32">
        <f t="shared" si="10"/>
        <v>54803.96</v>
      </c>
      <c r="Q711" s="32"/>
      <c r="R711" s="32"/>
      <c r="S711" s="2"/>
      <c r="T711" s="2"/>
      <c r="V711" s="2"/>
      <c r="W711" s="2"/>
      <c r="X711" s="30"/>
      <c r="Y711" s="30"/>
      <c r="Z711" s="32"/>
      <c r="AA711" s="32"/>
      <c r="AB711" s="32"/>
      <c r="AC711" s="32"/>
      <c r="AD711" s="32"/>
      <c r="AE711" s="32"/>
      <c r="AF711" s="32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</row>
    <row r="712" spans="1:50" x14ac:dyDescent="0.25">
      <c r="A712">
        <v>831</v>
      </c>
      <c r="B712" s="2">
        <v>1</v>
      </c>
      <c r="C712" s="2" t="s">
        <v>785</v>
      </c>
      <c r="D712">
        <v>631</v>
      </c>
      <c r="E712" s="2" t="s">
        <v>791</v>
      </c>
      <c r="F712" s="29">
        <v>0</v>
      </c>
      <c r="G712" s="30">
        <v>0.89473684210526316</v>
      </c>
      <c r="H712" s="30">
        <v>0.75686274509803919</v>
      </c>
      <c r="I712" s="37">
        <v>474.21</v>
      </c>
      <c r="J712" s="37">
        <v>401.14</v>
      </c>
      <c r="K712" s="32">
        <v>100</v>
      </c>
      <c r="L712" s="32">
        <v>99</v>
      </c>
      <c r="M712" s="32">
        <v>47421</v>
      </c>
      <c r="N712" s="32">
        <v>39712.86</v>
      </c>
      <c r="O712" s="32">
        <v>87133.86</v>
      </c>
      <c r="P712" s="32">
        <f t="shared" si="10"/>
        <v>83280.78</v>
      </c>
      <c r="Q712" s="32"/>
      <c r="R712" s="32"/>
      <c r="S712" s="2"/>
      <c r="T712" s="2"/>
      <c r="V712" s="2"/>
      <c r="W712" s="2"/>
      <c r="X712" s="30"/>
      <c r="Y712" s="30"/>
      <c r="Z712" s="32"/>
      <c r="AA712" s="32"/>
      <c r="AB712" s="32"/>
      <c r="AC712" s="32"/>
      <c r="AD712" s="32"/>
      <c r="AE712" s="32"/>
      <c r="AF712" s="32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 spans="1:50" x14ac:dyDescent="0.25">
      <c r="A713">
        <v>831</v>
      </c>
      <c r="B713" s="2">
        <v>1</v>
      </c>
      <c r="C713" s="2" t="s">
        <v>785</v>
      </c>
      <c r="D713">
        <v>633</v>
      </c>
      <c r="E713" s="2" t="s">
        <v>792</v>
      </c>
      <c r="F713" s="29">
        <v>0</v>
      </c>
      <c r="G713" s="30">
        <v>0.7192982456140351</v>
      </c>
      <c r="H713" s="30">
        <v>0.6071428571428571</v>
      </c>
      <c r="I713" s="37">
        <v>381.23</v>
      </c>
      <c r="J713" s="37">
        <v>321.79000000000002</v>
      </c>
      <c r="K713" s="32">
        <v>15</v>
      </c>
      <c r="L713" s="32">
        <v>24</v>
      </c>
      <c r="M713" s="32">
        <v>5718.45</v>
      </c>
      <c r="N713" s="32">
        <v>7722.96</v>
      </c>
      <c r="O713" s="32">
        <v>13441.41</v>
      </c>
      <c r="P713" s="32">
        <f t="shared" si="10"/>
        <v>12847.03</v>
      </c>
      <c r="Q713" s="32"/>
      <c r="R713" s="32"/>
      <c r="S713" s="2"/>
      <c r="T713" s="2"/>
      <c r="V713" s="2"/>
      <c r="W713" s="2"/>
      <c r="X713" s="30"/>
      <c r="Y713" s="30"/>
      <c r="Z713" s="32"/>
      <c r="AA713" s="32"/>
      <c r="AB713" s="32"/>
      <c r="AC713" s="32"/>
      <c r="AD713" s="32"/>
      <c r="AE713" s="32"/>
      <c r="AF713" s="32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</row>
    <row r="714" spans="1:50" x14ac:dyDescent="0.25">
      <c r="A714">
        <v>832</v>
      </c>
      <c r="B714" s="2">
        <v>1</v>
      </c>
      <c r="C714" s="2" t="s">
        <v>793</v>
      </c>
      <c r="D714">
        <v>10</v>
      </c>
      <c r="E714" s="2" t="s">
        <v>794</v>
      </c>
      <c r="F714" s="29">
        <v>0</v>
      </c>
      <c r="G714" s="30">
        <v>0.87240829346092508</v>
      </c>
      <c r="H714" s="30">
        <v>0.84150326797385622</v>
      </c>
      <c r="I714" s="37">
        <v>462.38</v>
      </c>
      <c r="J714" s="37">
        <v>446</v>
      </c>
      <c r="K714" s="32">
        <v>218</v>
      </c>
      <c r="L714" s="32">
        <v>227</v>
      </c>
      <c r="M714" s="32">
        <v>100798.84</v>
      </c>
      <c r="N714" s="32">
        <v>101242</v>
      </c>
      <c r="O714" s="32">
        <v>202040.84</v>
      </c>
      <c r="P714" s="32">
        <f t="shared" si="10"/>
        <v>193106.55</v>
      </c>
      <c r="Q714" s="32"/>
      <c r="R714" s="32"/>
      <c r="S714" s="2"/>
      <c r="T714" s="2"/>
      <c r="V714" s="2"/>
      <c r="W714" s="2"/>
      <c r="X714" s="30"/>
      <c r="Y714" s="30"/>
      <c r="Z714" s="32"/>
      <c r="AA714" s="32"/>
      <c r="AB714" s="32"/>
      <c r="AC714" s="32"/>
      <c r="AD714" s="32"/>
      <c r="AE714" s="32"/>
      <c r="AF714" s="32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 spans="1:50" x14ac:dyDescent="0.25">
      <c r="A715" s="8">
        <v>833</v>
      </c>
      <c r="B715" s="8">
        <v>1</v>
      </c>
      <c r="C715" s="8" t="s">
        <v>795</v>
      </c>
      <c r="D715" s="8">
        <v>30</v>
      </c>
      <c r="E715" s="8" t="s">
        <v>796</v>
      </c>
      <c r="F715" s="39">
        <v>0</v>
      </c>
      <c r="G715" s="30">
        <v>0.765625</v>
      </c>
      <c r="H715" s="30">
        <v>0.86187845303867405</v>
      </c>
      <c r="I715" s="37">
        <v>405.78</v>
      </c>
      <c r="J715" s="37">
        <v>456.8</v>
      </c>
      <c r="K715" s="32">
        <v>73</v>
      </c>
      <c r="L715" s="32">
        <v>59</v>
      </c>
      <c r="M715" s="32">
        <v>29621.94</v>
      </c>
      <c r="N715" s="32">
        <v>26951.200000000001</v>
      </c>
      <c r="O715" s="32">
        <v>56573.14</v>
      </c>
      <c r="P715" s="32">
        <f t="shared" si="10"/>
        <v>54071.46</v>
      </c>
      <c r="Q715" s="32"/>
      <c r="R715" s="32"/>
      <c r="S715" s="2"/>
      <c r="T715" s="2"/>
      <c r="V715" s="2"/>
      <c r="W715" s="2"/>
      <c r="X715" s="30"/>
      <c r="Y715" s="30"/>
      <c r="Z715" s="32"/>
      <c r="AA715" s="32"/>
      <c r="AB715" s="32"/>
      <c r="AC715" s="32"/>
      <c r="AD715" s="32"/>
      <c r="AE715" s="32"/>
      <c r="AF715" s="32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</row>
    <row r="716" spans="1:50" x14ac:dyDescent="0.25">
      <c r="A716">
        <v>833</v>
      </c>
      <c r="B716" s="2">
        <v>1</v>
      </c>
      <c r="C716" s="2" t="s">
        <v>795</v>
      </c>
      <c r="D716">
        <v>31</v>
      </c>
      <c r="E716" s="2" t="s">
        <v>797</v>
      </c>
      <c r="F716" s="29">
        <v>0</v>
      </c>
      <c r="G716" s="30">
        <v>0.88068181818181823</v>
      </c>
      <c r="H716" s="30">
        <v>0.82456140350877194</v>
      </c>
      <c r="I716" s="37">
        <v>466.76</v>
      </c>
      <c r="J716" s="37">
        <v>437.02</v>
      </c>
      <c r="K716" s="32">
        <v>59</v>
      </c>
      <c r="L716" s="32">
        <v>52</v>
      </c>
      <c r="M716" s="32">
        <v>27538.84</v>
      </c>
      <c r="N716" s="32">
        <v>22725.040000000001</v>
      </c>
      <c r="O716" s="32">
        <v>50263.880000000005</v>
      </c>
      <c r="P716" s="32">
        <f t="shared" si="10"/>
        <v>48041.2</v>
      </c>
      <c r="Q716" s="32"/>
      <c r="R716" s="32"/>
      <c r="S716" s="2"/>
      <c r="T716" s="2"/>
      <c r="V716" s="2"/>
      <c r="W716" s="2"/>
      <c r="X716" s="30"/>
      <c r="Y716" s="30"/>
      <c r="Z716" s="32"/>
      <c r="AA716" s="32"/>
      <c r="AB716" s="32"/>
      <c r="AC716" s="32"/>
      <c r="AD716" s="32"/>
      <c r="AE716" s="32"/>
      <c r="AF716" s="32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 spans="1:50" x14ac:dyDescent="0.25">
      <c r="A717">
        <v>833</v>
      </c>
      <c r="B717" s="2">
        <v>1</v>
      </c>
      <c r="C717" s="2" t="s">
        <v>795</v>
      </c>
      <c r="D717">
        <v>32</v>
      </c>
      <c r="E717" s="2" t="s">
        <v>798</v>
      </c>
      <c r="F717" s="29">
        <v>0</v>
      </c>
      <c r="G717" s="30">
        <v>0.77181208053691275</v>
      </c>
      <c r="H717" s="30">
        <v>0.79865771812080533</v>
      </c>
      <c r="I717" s="37">
        <v>409.06</v>
      </c>
      <c r="J717" s="37">
        <v>423.29</v>
      </c>
      <c r="K717" s="32">
        <v>41</v>
      </c>
      <c r="L717" s="32">
        <v>58</v>
      </c>
      <c r="M717" s="32">
        <v>16771.46</v>
      </c>
      <c r="N717" s="32">
        <v>24550.82</v>
      </c>
      <c r="O717" s="32">
        <v>41322.28</v>
      </c>
      <c r="P717" s="32">
        <f t="shared" si="10"/>
        <v>39495</v>
      </c>
      <c r="Q717" s="32"/>
      <c r="R717" s="32"/>
      <c r="S717" s="2"/>
      <c r="T717" s="2"/>
      <c r="V717" s="2"/>
      <c r="W717" s="2"/>
      <c r="X717" s="30"/>
      <c r="Y717" s="30"/>
      <c r="Z717" s="32"/>
      <c r="AA717" s="32"/>
      <c r="AB717" s="32"/>
      <c r="AC717" s="32"/>
      <c r="AD717" s="32"/>
      <c r="AE717" s="32"/>
      <c r="AF717" s="32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</row>
    <row r="718" spans="1:50" x14ac:dyDescent="0.25">
      <c r="A718">
        <v>833</v>
      </c>
      <c r="B718" s="2">
        <v>1</v>
      </c>
      <c r="C718" s="2" t="s">
        <v>795</v>
      </c>
      <c r="D718">
        <v>34</v>
      </c>
      <c r="E718" s="2" t="s">
        <v>799</v>
      </c>
      <c r="F718" s="29">
        <v>0</v>
      </c>
      <c r="G718" s="30">
        <v>0.78056426332288398</v>
      </c>
      <c r="H718" s="30">
        <v>0.81818181818181823</v>
      </c>
      <c r="I718" s="37">
        <v>413.7</v>
      </c>
      <c r="J718" s="37">
        <v>433.64</v>
      </c>
      <c r="K718" s="32">
        <v>111</v>
      </c>
      <c r="L718" s="32">
        <v>112</v>
      </c>
      <c r="M718" s="32">
        <v>45920.7</v>
      </c>
      <c r="N718" s="32">
        <v>48567.68</v>
      </c>
      <c r="O718" s="32">
        <v>94488.38</v>
      </c>
      <c r="P718" s="32">
        <f t="shared" si="10"/>
        <v>90310.080000000002</v>
      </c>
      <c r="Q718" s="32"/>
      <c r="R718" s="32"/>
      <c r="S718" s="2"/>
      <c r="T718" s="2"/>
      <c r="V718" s="2"/>
      <c r="W718" s="2"/>
      <c r="X718" s="30"/>
      <c r="Y718" s="30"/>
      <c r="Z718" s="32"/>
      <c r="AA718" s="32"/>
      <c r="AB718" s="32"/>
      <c r="AC718" s="32"/>
      <c r="AD718" s="32"/>
      <c r="AE718" s="32"/>
      <c r="AF718" s="32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 spans="1:50" x14ac:dyDescent="0.25">
      <c r="A719">
        <v>833</v>
      </c>
      <c r="B719" s="2">
        <v>1</v>
      </c>
      <c r="C719" s="2" t="s">
        <v>795</v>
      </c>
      <c r="D719">
        <v>36</v>
      </c>
      <c r="E719" s="2" t="s">
        <v>800</v>
      </c>
      <c r="F719" s="29">
        <v>0</v>
      </c>
      <c r="G719" s="30">
        <v>0.89387755102040811</v>
      </c>
      <c r="H719" s="30">
        <v>0.68049792531120334</v>
      </c>
      <c r="I719" s="37">
        <v>473.76</v>
      </c>
      <c r="J719" s="37">
        <v>360.66</v>
      </c>
      <c r="K719" s="32">
        <v>85</v>
      </c>
      <c r="L719" s="32">
        <v>79</v>
      </c>
      <c r="M719" s="32">
        <v>40269.599999999999</v>
      </c>
      <c r="N719" s="32">
        <v>28492.14</v>
      </c>
      <c r="O719" s="32">
        <v>68761.739999999991</v>
      </c>
      <c r="P719" s="32">
        <f t="shared" si="10"/>
        <v>65721.08</v>
      </c>
      <c r="Q719" s="32"/>
      <c r="R719" s="32"/>
      <c r="S719" s="2"/>
      <c r="T719" s="2"/>
      <c r="V719" s="2"/>
      <c r="W719" s="2"/>
      <c r="X719" s="30"/>
      <c r="Y719" s="30"/>
      <c r="Z719" s="32"/>
      <c r="AA719" s="32"/>
      <c r="AB719" s="32"/>
      <c r="AC719" s="32"/>
      <c r="AD719" s="32"/>
      <c r="AE719" s="32"/>
      <c r="AF719" s="32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</row>
    <row r="720" spans="1:50" x14ac:dyDescent="0.25">
      <c r="A720">
        <v>833</v>
      </c>
      <c r="B720" s="2">
        <v>1</v>
      </c>
      <c r="C720" s="2" t="s">
        <v>795</v>
      </c>
      <c r="D720">
        <v>37</v>
      </c>
      <c r="E720" s="2" t="s">
        <v>801</v>
      </c>
      <c r="F720" s="29">
        <v>0</v>
      </c>
      <c r="G720" s="30">
        <v>0.76953125</v>
      </c>
      <c r="H720" s="30">
        <v>0.90783410138248843</v>
      </c>
      <c r="I720" s="37">
        <v>407.85</v>
      </c>
      <c r="J720" s="37">
        <v>481.15</v>
      </c>
      <c r="K720" s="32">
        <v>95</v>
      </c>
      <c r="L720" s="32">
        <v>75</v>
      </c>
      <c r="M720" s="32">
        <v>38745.75</v>
      </c>
      <c r="N720" s="32">
        <v>36086.25</v>
      </c>
      <c r="O720" s="32">
        <v>74832</v>
      </c>
      <c r="P720" s="32">
        <f t="shared" ref="P720:P783" si="11">ROUND(O720*P$11,2)</f>
        <v>71522.91</v>
      </c>
      <c r="Q720" s="32"/>
      <c r="R720" s="32"/>
      <c r="S720" s="2"/>
      <c r="T720" s="2"/>
      <c r="V720" s="2"/>
      <c r="W720" s="2"/>
      <c r="X720" s="30"/>
      <c r="Y720" s="30"/>
      <c r="Z720" s="32"/>
      <c r="AA720" s="32"/>
      <c r="AB720" s="32"/>
      <c r="AC720" s="32"/>
      <c r="AD720" s="32"/>
      <c r="AE720" s="32"/>
      <c r="AF720" s="32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 spans="1:50" x14ac:dyDescent="0.25">
      <c r="A721">
        <v>833</v>
      </c>
      <c r="B721" s="2">
        <v>1</v>
      </c>
      <c r="C721" s="2" t="s">
        <v>795</v>
      </c>
      <c r="D721">
        <v>38</v>
      </c>
      <c r="E721" s="2" t="s">
        <v>802</v>
      </c>
      <c r="F721" s="29">
        <v>0</v>
      </c>
      <c r="G721" s="30">
        <v>0.70833333333333337</v>
      </c>
      <c r="H721" s="30">
        <v>0.70967741935483875</v>
      </c>
      <c r="I721" s="37">
        <v>375.42</v>
      </c>
      <c r="J721" s="37">
        <v>376.13</v>
      </c>
      <c r="K721" s="32">
        <v>38</v>
      </c>
      <c r="L721" s="32">
        <v>39</v>
      </c>
      <c r="M721" s="32">
        <v>14265.96</v>
      </c>
      <c r="N721" s="32">
        <v>14669.07</v>
      </c>
      <c r="O721" s="32">
        <v>28935.03</v>
      </c>
      <c r="P721" s="32">
        <f t="shared" si="11"/>
        <v>27655.52</v>
      </c>
      <c r="Q721" s="32"/>
      <c r="R721" s="32"/>
      <c r="S721" s="2"/>
      <c r="T721" s="2"/>
      <c r="V721" s="2"/>
      <c r="W721" s="2"/>
      <c r="X721" s="30"/>
      <c r="Y721" s="30"/>
      <c r="Z721" s="32"/>
      <c r="AA721" s="32"/>
      <c r="AB721" s="32"/>
      <c r="AC721" s="32"/>
      <c r="AD721" s="32"/>
      <c r="AE721" s="32"/>
      <c r="AF721" s="32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</row>
    <row r="722" spans="1:50" x14ac:dyDescent="0.25">
      <c r="A722">
        <v>833</v>
      </c>
      <c r="B722" s="2">
        <v>1</v>
      </c>
      <c r="C722" s="2" t="s">
        <v>795</v>
      </c>
      <c r="D722">
        <v>40</v>
      </c>
      <c r="E722" s="2" t="s">
        <v>803</v>
      </c>
      <c r="F722" s="29">
        <v>0</v>
      </c>
      <c r="G722" s="30">
        <v>0.84615384615384615</v>
      </c>
      <c r="H722" s="30">
        <v>0.82513661202185795</v>
      </c>
      <c r="I722" s="37">
        <v>448.46</v>
      </c>
      <c r="J722" s="37">
        <v>437.32</v>
      </c>
      <c r="K722" s="32">
        <v>59</v>
      </c>
      <c r="L722" s="32">
        <v>64</v>
      </c>
      <c r="M722" s="32">
        <v>26459.14</v>
      </c>
      <c r="N722" s="32">
        <v>27988.48</v>
      </c>
      <c r="O722" s="32">
        <v>54447.619999999995</v>
      </c>
      <c r="P722" s="32">
        <f t="shared" si="11"/>
        <v>52039.93</v>
      </c>
      <c r="Q722" s="32"/>
      <c r="R722" s="32"/>
      <c r="S722" s="2"/>
      <c r="T722" s="2"/>
      <c r="V722" s="2"/>
      <c r="W722" s="2"/>
      <c r="X722" s="30"/>
      <c r="Y722" s="30"/>
      <c r="Z722" s="32"/>
      <c r="AA722" s="32"/>
      <c r="AB722" s="32"/>
      <c r="AC722" s="32"/>
      <c r="AD722" s="32"/>
      <c r="AE722" s="32"/>
      <c r="AF722" s="32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 spans="1:50" x14ac:dyDescent="0.25">
      <c r="A723">
        <v>833</v>
      </c>
      <c r="B723" s="2">
        <v>1</v>
      </c>
      <c r="C723" s="2" t="s">
        <v>795</v>
      </c>
      <c r="D723">
        <v>41</v>
      </c>
      <c r="E723" s="2" t="s">
        <v>804</v>
      </c>
      <c r="F723" s="29">
        <v>0</v>
      </c>
      <c r="G723" s="30">
        <v>0.93041237113402064</v>
      </c>
      <c r="H723" s="30">
        <v>0.82890855457227142</v>
      </c>
      <c r="I723" s="37">
        <v>493.12</v>
      </c>
      <c r="J723" s="37">
        <v>439.32</v>
      </c>
      <c r="K723" s="32">
        <v>135</v>
      </c>
      <c r="L723" s="32">
        <v>149</v>
      </c>
      <c r="M723" s="32">
        <v>66571.199999999997</v>
      </c>
      <c r="N723" s="32">
        <v>65458.68</v>
      </c>
      <c r="O723" s="32">
        <v>132029.88</v>
      </c>
      <c r="P723" s="32">
        <f t="shared" si="11"/>
        <v>126191.49</v>
      </c>
      <c r="Q723" s="32"/>
      <c r="R723" s="32"/>
      <c r="S723" s="2"/>
      <c r="T723" s="2"/>
      <c r="V723" s="2"/>
      <c r="W723" s="2"/>
      <c r="X723" s="30"/>
      <c r="Y723" s="30"/>
      <c r="Z723" s="32"/>
      <c r="AA723" s="32"/>
      <c r="AB723" s="32"/>
      <c r="AC723" s="32"/>
      <c r="AD723" s="32"/>
      <c r="AE723" s="32"/>
      <c r="AF723" s="32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</row>
    <row r="724" spans="1:50" x14ac:dyDescent="0.25">
      <c r="A724">
        <v>833</v>
      </c>
      <c r="B724">
        <v>1</v>
      </c>
      <c r="C724" t="s">
        <v>795</v>
      </c>
      <c r="D724">
        <v>42</v>
      </c>
      <c r="E724" t="s">
        <v>805</v>
      </c>
      <c r="F724" s="1">
        <v>0</v>
      </c>
      <c r="G724" s="30">
        <v>0.74594594594594599</v>
      </c>
      <c r="H724" s="30">
        <v>0.78531073446327682</v>
      </c>
      <c r="I724" s="37">
        <v>395.35</v>
      </c>
      <c r="J724" s="37">
        <v>416.21</v>
      </c>
      <c r="K724" s="32">
        <v>71</v>
      </c>
      <c r="L724" s="32">
        <v>49</v>
      </c>
      <c r="M724" s="32">
        <v>28069.85</v>
      </c>
      <c r="N724" s="32">
        <v>20394.29</v>
      </c>
      <c r="O724" s="32">
        <v>48464.14</v>
      </c>
      <c r="P724" s="32">
        <f t="shared" si="11"/>
        <v>46321.04</v>
      </c>
      <c r="Q724" s="32"/>
      <c r="R724" s="32"/>
      <c r="S724" s="2"/>
      <c r="T724" s="2"/>
      <c r="V724" s="2"/>
      <c r="W724" s="2"/>
      <c r="X724" s="30"/>
      <c r="Y724" s="30"/>
      <c r="Z724" s="32"/>
      <c r="AA724" s="32"/>
      <c r="AB724" s="32"/>
      <c r="AC724" s="32"/>
      <c r="AD724" s="32"/>
      <c r="AE724" s="32"/>
      <c r="AF724" s="32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 spans="1:50" x14ac:dyDescent="0.25">
      <c r="A725">
        <v>833</v>
      </c>
      <c r="B725" s="2">
        <v>1</v>
      </c>
      <c r="C725" s="2" t="s">
        <v>795</v>
      </c>
      <c r="D725">
        <v>43</v>
      </c>
      <c r="E725" s="2" t="s">
        <v>806</v>
      </c>
      <c r="F725" s="29">
        <v>0</v>
      </c>
      <c r="G725" s="30">
        <v>0.90322580645161288</v>
      </c>
      <c r="H725" s="30">
        <v>0.83389830508474572</v>
      </c>
      <c r="I725" s="37">
        <v>478.71</v>
      </c>
      <c r="J725" s="37">
        <v>441.97</v>
      </c>
      <c r="K725" s="32">
        <v>117</v>
      </c>
      <c r="L725" s="32">
        <v>103</v>
      </c>
      <c r="M725" s="32">
        <v>56009.07</v>
      </c>
      <c r="N725" s="32">
        <v>45522.91</v>
      </c>
      <c r="O725" s="32">
        <v>101531.98000000001</v>
      </c>
      <c r="P725" s="32">
        <f t="shared" si="11"/>
        <v>97042.21</v>
      </c>
      <c r="Q725" s="32"/>
      <c r="R725" s="32"/>
      <c r="S725" s="8"/>
      <c r="T725" s="8"/>
      <c r="U725" s="8"/>
      <c r="V725" s="8"/>
      <c r="W725" s="2"/>
      <c r="X725" s="30"/>
      <c r="Y725" s="30"/>
      <c r="Z725" s="32"/>
      <c r="AA725" s="32"/>
      <c r="AB725" s="32"/>
      <c r="AC725" s="32"/>
      <c r="AD725" s="32"/>
      <c r="AE725" s="32"/>
      <c r="AF725" s="32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</row>
    <row r="726" spans="1:50" x14ac:dyDescent="0.25">
      <c r="A726">
        <v>833</v>
      </c>
      <c r="B726" s="2">
        <v>1</v>
      </c>
      <c r="C726" s="2" t="s">
        <v>795</v>
      </c>
      <c r="D726">
        <v>44</v>
      </c>
      <c r="E726" s="2" t="s">
        <v>807</v>
      </c>
      <c r="F726" s="29">
        <v>0</v>
      </c>
      <c r="G726" s="30">
        <v>0.9147286821705426</v>
      </c>
      <c r="H726" s="30">
        <v>0.70129870129870131</v>
      </c>
      <c r="I726" s="37">
        <v>484.81</v>
      </c>
      <c r="J726" s="37">
        <v>371.69</v>
      </c>
      <c r="K726" s="32">
        <v>84</v>
      </c>
      <c r="L726" s="32">
        <v>82</v>
      </c>
      <c r="M726" s="32">
        <v>40724.04</v>
      </c>
      <c r="N726" s="32">
        <v>30478.58</v>
      </c>
      <c r="O726" s="32">
        <v>71202.62</v>
      </c>
      <c r="P726" s="32">
        <f t="shared" si="11"/>
        <v>68054.02</v>
      </c>
      <c r="Q726" s="32"/>
      <c r="R726" s="32"/>
      <c r="S726" s="2"/>
      <c r="T726" s="2"/>
      <c r="V726" s="2"/>
      <c r="W726" s="2"/>
      <c r="X726" s="30"/>
      <c r="Y726" s="30"/>
      <c r="Z726" s="32"/>
      <c r="AA726" s="32"/>
      <c r="AB726" s="32"/>
      <c r="AC726" s="32"/>
      <c r="AD726" s="32"/>
      <c r="AE726" s="32"/>
      <c r="AF726" s="32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 spans="1:50" x14ac:dyDescent="0.25">
      <c r="A727">
        <v>833</v>
      </c>
      <c r="B727" s="2">
        <v>1</v>
      </c>
      <c r="C727" s="2" t="s">
        <v>795</v>
      </c>
      <c r="D727">
        <v>45</v>
      </c>
      <c r="E727" s="2" t="s">
        <v>808</v>
      </c>
      <c r="F727" s="29">
        <v>0</v>
      </c>
      <c r="G727" s="30">
        <v>0.8910891089108911</v>
      </c>
      <c r="H727" s="30">
        <v>0.9080779944289693</v>
      </c>
      <c r="I727" s="37">
        <v>472.28</v>
      </c>
      <c r="J727" s="37">
        <v>481.28</v>
      </c>
      <c r="K727" s="32">
        <v>106</v>
      </c>
      <c r="L727" s="32">
        <v>114</v>
      </c>
      <c r="M727" s="32">
        <v>50061.68</v>
      </c>
      <c r="N727" s="32">
        <v>54865.919999999998</v>
      </c>
      <c r="O727" s="32">
        <v>104927.6</v>
      </c>
      <c r="P727" s="32">
        <f t="shared" si="11"/>
        <v>100287.67999999999</v>
      </c>
      <c r="Q727" s="32"/>
      <c r="R727" s="32"/>
      <c r="S727" s="2"/>
      <c r="T727" s="2"/>
      <c r="V727" s="2"/>
      <c r="W727" s="2"/>
      <c r="X727" s="30"/>
      <c r="Y727" s="30"/>
      <c r="Z727" s="32"/>
      <c r="AA727" s="32"/>
      <c r="AB727" s="32"/>
      <c r="AC727" s="32"/>
      <c r="AD727" s="32"/>
      <c r="AE727" s="32"/>
      <c r="AF727" s="32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</row>
    <row r="728" spans="1:50" x14ac:dyDescent="0.25">
      <c r="A728">
        <v>833</v>
      </c>
      <c r="B728" s="2">
        <v>1</v>
      </c>
      <c r="C728" s="2" t="s">
        <v>795</v>
      </c>
      <c r="D728">
        <v>46</v>
      </c>
      <c r="E728" s="2" t="s">
        <v>809</v>
      </c>
      <c r="F728" s="29">
        <v>0</v>
      </c>
      <c r="G728" s="30">
        <v>0.89873417721518989</v>
      </c>
      <c r="H728" s="30">
        <v>0.84761904761904761</v>
      </c>
      <c r="I728" s="37">
        <v>476.33</v>
      </c>
      <c r="J728" s="37">
        <v>449.24</v>
      </c>
      <c r="K728" s="32">
        <v>85</v>
      </c>
      <c r="L728" s="32">
        <v>83</v>
      </c>
      <c r="M728" s="32">
        <v>40488.050000000003</v>
      </c>
      <c r="N728" s="32">
        <v>37286.92</v>
      </c>
      <c r="O728" s="32">
        <v>77774.97</v>
      </c>
      <c r="P728" s="32">
        <f t="shared" si="11"/>
        <v>74335.740000000005</v>
      </c>
      <c r="Q728" s="32"/>
      <c r="R728" s="32"/>
      <c r="S728" s="2"/>
      <c r="T728" s="2"/>
      <c r="V728" s="2"/>
      <c r="W728" s="2"/>
      <c r="X728" s="30"/>
      <c r="Y728" s="30"/>
      <c r="Z728" s="32"/>
      <c r="AA728" s="32"/>
      <c r="AB728" s="32"/>
      <c r="AC728" s="32"/>
      <c r="AD728" s="32"/>
      <c r="AE728" s="32"/>
      <c r="AF728" s="32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spans="1:50" x14ac:dyDescent="0.25">
      <c r="A729">
        <v>833</v>
      </c>
      <c r="B729" s="2">
        <v>1</v>
      </c>
      <c r="C729" s="2" t="s">
        <v>795</v>
      </c>
      <c r="D729">
        <v>47</v>
      </c>
      <c r="E729" s="2" t="s">
        <v>810</v>
      </c>
      <c r="F729" s="29">
        <v>0</v>
      </c>
      <c r="G729" s="30">
        <v>0.88970588235294112</v>
      </c>
      <c r="H729" s="30">
        <v>0.78865979381443296</v>
      </c>
      <c r="I729" s="37">
        <v>471.54</v>
      </c>
      <c r="J729" s="37">
        <v>417.99</v>
      </c>
      <c r="K729" s="32">
        <v>139</v>
      </c>
      <c r="L729" s="32">
        <v>133</v>
      </c>
      <c r="M729" s="32">
        <v>65544.06</v>
      </c>
      <c r="N729" s="32">
        <v>55592.67</v>
      </c>
      <c r="O729" s="32">
        <v>121136.73</v>
      </c>
      <c r="P729" s="32">
        <f t="shared" si="11"/>
        <v>115780.03</v>
      </c>
      <c r="Q729" s="32"/>
      <c r="R729" s="32"/>
      <c r="S729" s="2"/>
      <c r="T729" s="2"/>
      <c r="V729" s="2"/>
      <c r="W729" s="2"/>
      <c r="X729" s="30"/>
      <c r="Y729" s="30"/>
      <c r="Z729" s="32"/>
      <c r="AA729" s="32"/>
      <c r="AB729" s="32"/>
      <c r="AC729" s="32"/>
      <c r="AD729" s="32"/>
      <c r="AE729" s="32"/>
      <c r="AF729" s="32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</row>
    <row r="730" spans="1:50" x14ac:dyDescent="0.25">
      <c r="A730">
        <v>834</v>
      </c>
      <c r="B730" s="2">
        <v>1</v>
      </c>
      <c r="C730" s="2" t="s">
        <v>811</v>
      </c>
      <c r="D730">
        <v>785</v>
      </c>
      <c r="E730" s="2" t="s">
        <v>812</v>
      </c>
      <c r="F730" s="29">
        <v>0</v>
      </c>
      <c r="G730" s="30">
        <v>0.92452830188679247</v>
      </c>
      <c r="H730" s="30">
        <v>0.81818181818181823</v>
      </c>
      <c r="I730" s="37">
        <v>490</v>
      </c>
      <c r="J730" s="37">
        <v>433.64</v>
      </c>
      <c r="K730" s="32">
        <v>73</v>
      </c>
      <c r="L730" s="32">
        <v>68</v>
      </c>
      <c r="M730" s="32">
        <v>35770</v>
      </c>
      <c r="N730" s="32">
        <v>29487.52</v>
      </c>
      <c r="O730" s="32">
        <v>65257.520000000004</v>
      </c>
      <c r="P730" s="32">
        <f t="shared" si="11"/>
        <v>62371.82</v>
      </c>
      <c r="Q730" s="32"/>
      <c r="R730" s="32"/>
      <c r="S730" s="2"/>
      <c r="T730" s="2"/>
      <c r="V730" s="2"/>
      <c r="W730" s="2"/>
      <c r="X730" s="30"/>
      <c r="Y730" s="30"/>
      <c r="Z730" s="32"/>
      <c r="AA730" s="32"/>
      <c r="AB730" s="32"/>
      <c r="AC730" s="32"/>
      <c r="AD730" s="32"/>
      <c r="AE730" s="32"/>
      <c r="AF730" s="32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 spans="1:50" x14ac:dyDescent="0.25">
      <c r="A731">
        <v>834</v>
      </c>
      <c r="B731" s="2">
        <v>1</v>
      </c>
      <c r="C731" s="2" t="s">
        <v>811</v>
      </c>
      <c r="D731">
        <v>786</v>
      </c>
      <c r="E731" s="2" t="s">
        <v>31</v>
      </c>
      <c r="F731" s="29">
        <v>0</v>
      </c>
      <c r="G731" s="30">
        <v>0.89261744966442957</v>
      </c>
      <c r="H731" s="30">
        <v>0.75968992248062017</v>
      </c>
      <c r="I731" s="37">
        <v>473.09</v>
      </c>
      <c r="J731" s="37">
        <v>402.64</v>
      </c>
      <c r="K731" s="32">
        <v>57</v>
      </c>
      <c r="L731" s="32">
        <v>47</v>
      </c>
      <c r="M731" s="32">
        <v>26966.13</v>
      </c>
      <c r="N731" s="32">
        <v>18924.080000000002</v>
      </c>
      <c r="O731" s="32">
        <v>45890.210000000006</v>
      </c>
      <c r="P731" s="32">
        <f t="shared" si="11"/>
        <v>43860.93</v>
      </c>
      <c r="Q731" s="32"/>
      <c r="R731" s="32"/>
      <c r="S731" s="2"/>
      <c r="T731" s="2"/>
      <c r="V731" s="2"/>
      <c r="W731" s="2"/>
      <c r="X731" s="30"/>
      <c r="Y731" s="30"/>
      <c r="Z731" s="32"/>
      <c r="AA731" s="32"/>
      <c r="AB731" s="32"/>
      <c r="AC731" s="32"/>
      <c r="AD731" s="32"/>
      <c r="AE731" s="32"/>
      <c r="AF731" s="32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</row>
    <row r="732" spans="1:50" x14ac:dyDescent="0.25">
      <c r="A732">
        <v>834</v>
      </c>
      <c r="B732" s="2">
        <v>1</v>
      </c>
      <c r="C732" s="2" t="s">
        <v>811</v>
      </c>
      <c r="D732">
        <v>787</v>
      </c>
      <c r="E732" s="2" t="s">
        <v>813</v>
      </c>
      <c r="F732" s="29">
        <v>0</v>
      </c>
      <c r="G732" s="30">
        <v>0.88421052631578945</v>
      </c>
      <c r="H732" s="30">
        <v>0.77210884353741494</v>
      </c>
      <c r="I732" s="37">
        <v>468.63</v>
      </c>
      <c r="J732" s="37">
        <v>409.22</v>
      </c>
      <c r="K732" s="32">
        <v>85</v>
      </c>
      <c r="L732" s="32">
        <v>91</v>
      </c>
      <c r="M732" s="32">
        <v>39833.550000000003</v>
      </c>
      <c r="N732" s="32">
        <v>37239.019999999997</v>
      </c>
      <c r="O732" s="32">
        <v>77072.570000000007</v>
      </c>
      <c r="P732" s="32">
        <f t="shared" si="11"/>
        <v>73664.399999999994</v>
      </c>
      <c r="Q732" s="32"/>
      <c r="R732" s="32"/>
      <c r="S732" s="2"/>
      <c r="T732" s="2"/>
      <c r="V732" s="2"/>
      <c r="W732" s="2"/>
      <c r="X732" s="30"/>
      <c r="Y732" s="30"/>
      <c r="Z732" s="32"/>
      <c r="AA732" s="32"/>
      <c r="AB732" s="32"/>
      <c r="AC732" s="32"/>
      <c r="AD732" s="32"/>
      <c r="AE732" s="32"/>
      <c r="AF732" s="32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 spans="1:50" x14ac:dyDescent="0.25">
      <c r="A733">
        <v>834</v>
      </c>
      <c r="B733" s="2">
        <v>1</v>
      </c>
      <c r="C733" s="2" t="s">
        <v>811</v>
      </c>
      <c r="D733">
        <v>788</v>
      </c>
      <c r="E733" s="2" t="s">
        <v>814</v>
      </c>
      <c r="F733" s="29">
        <v>0</v>
      </c>
      <c r="G733" s="30">
        <v>0.80349344978165937</v>
      </c>
      <c r="H733" s="30">
        <v>0.75113122171945701</v>
      </c>
      <c r="I733" s="37">
        <v>425.85</v>
      </c>
      <c r="J733" s="37">
        <v>398.1</v>
      </c>
      <c r="K733" s="32">
        <v>78</v>
      </c>
      <c r="L733" s="32">
        <v>84</v>
      </c>
      <c r="M733" s="32">
        <v>33216.300000000003</v>
      </c>
      <c r="N733" s="32">
        <v>33440.400000000001</v>
      </c>
      <c r="O733" s="32">
        <v>66656.700000000012</v>
      </c>
      <c r="P733" s="32">
        <f t="shared" si="11"/>
        <v>63709.120000000003</v>
      </c>
      <c r="Q733" s="32"/>
      <c r="R733" s="32"/>
      <c r="S733" s="2"/>
      <c r="T733" s="2"/>
      <c r="V733" s="2"/>
      <c r="W733" s="2"/>
      <c r="X733" s="30"/>
      <c r="Y733" s="30"/>
      <c r="Z733" s="32"/>
      <c r="AA733" s="32"/>
      <c r="AB733" s="32"/>
      <c r="AC733" s="32"/>
      <c r="AD733" s="32"/>
      <c r="AE733" s="32"/>
      <c r="AF733" s="32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</row>
    <row r="734" spans="1:50" x14ac:dyDescent="0.25">
      <c r="A734">
        <v>834</v>
      </c>
      <c r="B734" s="2">
        <v>1</v>
      </c>
      <c r="C734" s="2" t="s">
        <v>811</v>
      </c>
      <c r="D734">
        <v>789</v>
      </c>
      <c r="E734" s="2" t="s">
        <v>815</v>
      </c>
      <c r="F734" s="29">
        <v>0</v>
      </c>
      <c r="G734" s="30">
        <v>0.93939393939393945</v>
      </c>
      <c r="H734" s="30">
        <v>0.82608695652173914</v>
      </c>
      <c r="I734" s="37">
        <v>497.88</v>
      </c>
      <c r="J734" s="37">
        <v>437.83</v>
      </c>
      <c r="K734" s="32">
        <v>25</v>
      </c>
      <c r="L734" s="32">
        <v>17</v>
      </c>
      <c r="M734" s="32">
        <v>12447</v>
      </c>
      <c r="N734" s="32">
        <v>7443.11</v>
      </c>
      <c r="O734" s="32">
        <v>19890.11</v>
      </c>
      <c r="P734" s="32">
        <f t="shared" si="11"/>
        <v>19010.560000000001</v>
      </c>
      <c r="Q734" s="32"/>
      <c r="R734" s="32"/>
      <c r="W734" s="2"/>
      <c r="X734" s="30"/>
      <c r="Y734" s="30"/>
      <c r="Z734" s="32"/>
      <c r="AA734" s="32"/>
      <c r="AB734" s="32"/>
      <c r="AC734" s="32"/>
      <c r="AD734" s="32"/>
      <c r="AE734" s="32"/>
      <c r="AF734" s="32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 spans="1:50" x14ac:dyDescent="0.25">
      <c r="A735">
        <v>834</v>
      </c>
      <c r="B735" s="2">
        <v>1</v>
      </c>
      <c r="C735" s="2" t="s">
        <v>811</v>
      </c>
      <c r="D735">
        <v>790</v>
      </c>
      <c r="E735" s="2" t="s">
        <v>816</v>
      </c>
      <c r="F735" s="29">
        <v>0</v>
      </c>
      <c r="G735" s="30">
        <v>0.88571428571428568</v>
      </c>
      <c r="H735" s="30">
        <v>0.83333333333333337</v>
      </c>
      <c r="I735" s="37">
        <v>469.43</v>
      </c>
      <c r="J735" s="37">
        <v>441.67</v>
      </c>
      <c r="K735" s="32">
        <v>58</v>
      </c>
      <c r="L735" s="32">
        <v>75</v>
      </c>
      <c r="M735" s="32">
        <v>27226.94</v>
      </c>
      <c r="N735" s="32">
        <v>33125.25</v>
      </c>
      <c r="O735" s="32">
        <v>60352.19</v>
      </c>
      <c r="P735" s="32">
        <f t="shared" si="11"/>
        <v>57683.4</v>
      </c>
      <c r="Q735" s="32"/>
      <c r="R735" s="32"/>
      <c r="S735" s="2"/>
      <c r="T735" s="2"/>
      <c r="V735" s="2"/>
      <c r="W735" s="2"/>
      <c r="X735" s="30"/>
      <c r="Y735" s="30"/>
      <c r="Z735" s="32"/>
      <c r="AA735" s="32"/>
      <c r="AB735" s="32"/>
      <c r="AC735" s="32"/>
      <c r="AD735" s="32"/>
      <c r="AE735" s="32"/>
      <c r="AF735" s="32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</row>
    <row r="736" spans="1:50" x14ac:dyDescent="0.25">
      <c r="A736">
        <v>834</v>
      </c>
      <c r="B736" s="2">
        <v>1</v>
      </c>
      <c r="C736" s="2" t="s">
        <v>811</v>
      </c>
      <c r="D736">
        <v>792</v>
      </c>
      <c r="E736" s="2" t="s">
        <v>817</v>
      </c>
      <c r="F736" s="29">
        <v>0</v>
      </c>
      <c r="G736" s="30">
        <v>0.8214285714285714</v>
      </c>
      <c r="H736" s="30">
        <v>0.85483870967741937</v>
      </c>
      <c r="I736" s="37">
        <v>435.36</v>
      </c>
      <c r="J736" s="37">
        <v>453.06</v>
      </c>
      <c r="K736" s="32">
        <v>12</v>
      </c>
      <c r="L736" s="32">
        <v>24</v>
      </c>
      <c r="M736" s="32">
        <v>5224.32</v>
      </c>
      <c r="N736" s="32">
        <v>10873.44</v>
      </c>
      <c r="O736" s="32">
        <v>16097.76</v>
      </c>
      <c r="P736" s="32">
        <f t="shared" si="11"/>
        <v>15385.91</v>
      </c>
      <c r="Q736" s="32"/>
      <c r="R736" s="32"/>
      <c r="S736" s="2"/>
      <c r="T736" s="2"/>
      <c r="V736" s="2"/>
      <c r="W736" s="2"/>
      <c r="X736" s="30"/>
      <c r="Y736" s="30"/>
      <c r="Z736" s="32"/>
      <c r="AA736" s="32"/>
      <c r="AB736" s="32"/>
      <c r="AC736" s="32"/>
      <c r="AD736" s="32"/>
      <c r="AE736" s="32"/>
      <c r="AF736" s="32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 spans="1:50" x14ac:dyDescent="0.25">
      <c r="A737">
        <v>834</v>
      </c>
      <c r="B737" s="2">
        <v>1</v>
      </c>
      <c r="C737" s="2" t="s">
        <v>811</v>
      </c>
      <c r="D737">
        <v>793</v>
      </c>
      <c r="E737" s="2" t="s">
        <v>818</v>
      </c>
      <c r="F737" s="29">
        <v>0</v>
      </c>
      <c r="G737" s="30">
        <v>0.91981132075471694</v>
      </c>
      <c r="H737" s="30">
        <v>0.7471910112359551</v>
      </c>
      <c r="I737" s="37">
        <v>487.5</v>
      </c>
      <c r="J737" s="37">
        <v>396.01</v>
      </c>
      <c r="K737" s="32">
        <v>78</v>
      </c>
      <c r="L737" s="32">
        <v>64</v>
      </c>
      <c r="M737" s="32">
        <v>38025</v>
      </c>
      <c r="N737" s="32">
        <v>25344.639999999999</v>
      </c>
      <c r="O737" s="32">
        <v>63369.64</v>
      </c>
      <c r="P737" s="32">
        <f t="shared" si="11"/>
        <v>60567.42</v>
      </c>
      <c r="Q737" s="32"/>
      <c r="R737" s="32"/>
      <c r="S737" s="2"/>
      <c r="T737" s="2"/>
      <c r="V737" s="2"/>
      <c r="W737" s="2"/>
      <c r="X737" s="30"/>
      <c r="Y737" s="30"/>
      <c r="Z737" s="32"/>
      <c r="AA737" s="32"/>
      <c r="AB737" s="32"/>
      <c r="AC737" s="32"/>
      <c r="AD737" s="32"/>
      <c r="AE737" s="32"/>
      <c r="AF737" s="32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</row>
    <row r="738" spans="1:50" x14ac:dyDescent="0.25">
      <c r="A738">
        <v>834</v>
      </c>
      <c r="B738" s="2">
        <v>1</v>
      </c>
      <c r="C738" s="2" t="s">
        <v>811</v>
      </c>
      <c r="D738">
        <v>804</v>
      </c>
      <c r="E738" s="2" t="s">
        <v>819</v>
      </c>
      <c r="F738" s="29">
        <v>0</v>
      </c>
      <c r="G738" s="30">
        <v>0.9015873015873016</v>
      </c>
      <c r="H738" s="30">
        <v>0.82846715328467158</v>
      </c>
      <c r="I738" s="37">
        <v>477.84</v>
      </c>
      <c r="J738" s="37">
        <v>439.09</v>
      </c>
      <c r="K738" s="32">
        <v>113</v>
      </c>
      <c r="L738" s="32">
        <v>99</v>
      </c>
      <c r="M738" s="32">
        <v>53995.92</v>
      </c>
      <c r="N738" s="32">
        <v>43469.91</v>
      </c>
      <c r="O738" s="32">
        <v>97465.83</v>
      </c>
      <c r="P738" s="32">
        <f t="shared" si="11"/>
        <v>93155.87</v>
      </c>
      <c r="Q738" s="32"/>
      <c r="R738" s="32"/>
      <c r="S738" s="2"/>
      <c r="T738" s="2"/>
      <c r="V738" s="2"/>
      <c r="W738" s="2"/>
      <c r="X738" s="30"/>
      <c r="Y738" s="30"/>
      <c r="Z738" s="32"/>
      <c r="AA738" s="32"/>
      <c r="AB738" s="32"/>
      <c r="AC738" s="32"/>
      <c r="AD738" s="32"/>
      <c r="AE738" s="32"/>
      <c r="AF738" s="32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 spans="1:50" x14ac:dyDescent="0.25">
      <c r="A739">
        <v>836</v>
      </c>
      <c r="B739" s="2">
        <v>1</v>
      </c>
      <c r="C739" s="2" t="s">
        <v>820</v>
      </c>
      <c r="D739">
        <v>10</v>
      </c>
      <c r="E739" s="2" t="s">
        <v>821</v>
      </c>
      <c r="F739" s="29">
        <v>0</v>
      </c>
      <c r="G739" s="30">
        <v>0.65384615384615385</v>
      </c>
      <c r="H739" s="30">
        <v>0.76470588235294112</v>
      </c>
      <c r="I739" s="37">
        <v>346.54</v>
      </c>
      <c r="J739" s="37">
        <v>405.29</v>
      </c>
      <c r="K739" s="32">
        <v>10</v>
      </c>
      <c r="L739" s="32">
        <v>23</v>
      </c>
      <c r="M739" s="32">
        <v>3465.4</v>
      </c>
      <c r="N739" s="32">
        <v>9321.67</v>
      </c>
      <c r="O739" s="32">
        <v>12787.07</v>
      </c>
      <c r="P739" s="32">
        <f t="shared" si="11"/>
        <v>12221.62</v>
      </c>
      <c r="Q739" s="32"/>
      <c r="R739" s="32"/>
      <c r="S739" s="2"/>
      <c r="T739" s="2"/>
      <c r="V739" s="2"/>
      <c r="W739" s="2"/>
      <c r="X739" s="30"/>
      <c r="Y739" s="30"/>
      <c r="Z739" s="32"/>
      <c r="AA739" s="32"/>
      <c r="AB739" s="32"/>
      <c r="AC739" s="32"/>
      <c r="AD739" s="32"/>
      <c r="AE739" s="32"/>
      <c r="AF739" s="32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</row>
    <row r="740" spans="1:50" x14ac:dyDescent="0.25">
      <c r="A740">
        <v>837</v>
      </c>
      <c r="B740" s="2">
        <v>1</v>
      </c>
      <c r="C740" s="2" t="s">
        <v>822</v>
      </c>
      <c r="D740">
        <v>10</v>
      </c>
      <c r="E740" s="2" t="s">
        <v>823</v>
      </c>
      <c r="F740" s="29">
        <v>0</v>
      </c>
      <c r="G740" s="30">
        <v>0.80327868852459017</v>
      </c>
      <c r="H740" s="30">
        <v>0.6171875</v>
      </c>
      <c r="I740" s="37">
        <v>425.74</v>
      </c>
      <c r="J740" s="37">
        <v>327.11</v>
      </c>
      <c r="K740" s="32">
        <v>44</v>
      </c>
      <c r="L740" s="32">
        <v>36</v>
      </c>
      <c r="M740" s="32">
        <v>18732.560000000001</v>
      </c>
      <c r="N740" s="32">
        <v>11775.96</v>
      </c>
      <c r="O740" s="32">
        <v>30508.52</v>
      </c>
      <c r="P740" s="32">
        <f t="shared" si="11"/>
        <v>29159.43</v>
      </c>
      <c r="Q740" s="32"/>
      <c r="R740" s="32"/>
      <c r="S740" s="2"/>
      <c r="T740" s="2"/>
      <c r="V740" s="2"/>
      <c r="W740" s="2"/>
      <c r="X740" s="30"/>
      <c r="Y740" s="30"/>
      <c r="Z740" s="32"/>
      <c r="AA740" s="32"/>
      <c r="AB740" s="32"/>
      <c r="AC740" s="32"/>
      <c r="AD740" s="32"/>
      <c r="AE740" s="32"/>
      <c r="AF740" s="32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 spans="1:50" x14ac:dyDescent="0.25">
      <c r="A741">
        <v>840</v>
      </c>
      <c r="B741" s="2">
        <v>1</v>
      </c>
      <c r="C741" s="2" t="s">
        <v>824</v>
      </c>
      <c r="D741">
        <v>20</v>
      </c>
      <c r="E741" s="2" t="s">
        <v>825</v>
      </c>
      <c r="F741" s="29">
        <v>0</v>
      </c>
      <c r="G741" s="30">
        <v>0.67659574468085104</v>
      </c>
      <c r="H741" s="30">
        <v>0.71621621621621623</v>
      </c>
      <c r="I741" s="37">
        <v>358.6</v>
      </c>
      <c r="J741" s="37">
        <v>379.59</v>
      </c>
      <c r="K741" s="32">
        <v>72</v>
      </c>
      <c r="L741" s="32">
        <v>77</v>
      </c>
      <c r="M741" s="32">
        <v>25819.200000000001</v>
      </c>
      <c r="N741" s="32">
        <v>29228.43</v>
      </c>
      <c r="O741" s="32">
        <v>55047.630000000005</v>
      </c>
      <c r="P741" s="32">
        <f t="shared" si="11"/>
        <v>52613.41</v>
      </c>
      <c r="Q741" s="32"/>
      <c r="R741" s="32"/>
      <c r="S741" s="2"/>
      <c r="T741" s="2"/>
      <c r="V741" s="2"/>
      <c r="W741" s="2"/>
      <c r="X741" s="30"/>
      <c r="Y741" s="30"/>
      <c r="Z741" s="32"/>
      <c r="AA741" s="32"/>
      <c r="AB741" s="32"/>
      <c r="AC741" s="32"/>
      <c r="AD741" s="32"/>
      <c r="AE741" s="32"/>
      <c r="AF741" s="32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</row>
    <row r="742" spans="1:50" x14ac:dyDescent="0.25">
      <c r="A742">
        <v>840</v>
      </c>
      <c r="B742" s="2">
        <v>1</v>
      </c>
      <c r="C742" s="2" t="s">
        <v>824</v>
      </c>
      <c r="D742">
        <v>21</v>
      </c>
      <c r="E742" s="2" t="s">
        <v>826</v>
      </c>
      <c r="F742" s="29">
        <v>1</v>
      </c>
      <c r="G742" s="30" t="s">
        <v>1328</v>
      </c>
      <c r="H742" s="30" t="s">
        <v>1328</v>
      </c>
      <c r="I742" s="37" t="s">
        <v>1328</v>
      </c>
      <c r="J742" s="37" t="s">
        <v>1328</v>
      </c>
      <c r="K742" s="32">
        <v>0</v>
      </c>
      <c r="L742" s="32">
        <v>0</v>
      </c>
      <c r="M742" s="32" t="s">
        <v>1328</v>
      </c>
      <c r="N742" s="32" t="s">
        <v>1328</v>
      </c>
      <c r="O742" s="32">
        <v>0</v>
      </c>
      <c r="P742" s="32">
        <f t="shared" si="11"/>
        <v>0</v>
      </c>
      <c r="Q742" s="32"/>
      <c r="R742" s="32"/>
      <c r="S742" s="2"/>
      <c r="T742" s="2"/>
      <c r="V742" s="2"/>
      <c r="W742" s="2"/>
      <c r="X742" s="30"/>
      <c r="Y742" s="30"/>
      <c r="Z742" s="32"/>
      <c r="AA742" s="32"/>
      <c r="AB742" s="32"/>
      <c r="AC742" s="32"/>
      <c r="AD742" s="32"/>
      <c r="AE742" s="32"/>
      <c r="AF742" s="32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 spans="1:50" x14ac:dyDescent="0.25">
      <c r="A743">
        <v>846</v>
      </c>
      <c r="B743" s="2">
        <v>1</v>
      </c>
      <c r="C743" s="2" t="s">
        <v>827</v>
      </c>
      <c r="D743">
        <v>10</v>
      </c>
      <c r="E743" s="2" t="s">
        <v>828</v>
      </c>
      <c r="F743" s="29">
        <v>0</v>
      </c>
      <c r="G743" s="30">
        <v>0.82608695652173914</v>
      </c>
      <c r="H743" s="30">
        <v>0.624</v>
      </c>
      <c r="I743" s="37">
        <v>437.83</v>
      </c>
      <c r="J743" s="37">
        <v>330.72</v>
      </c>
      <c r="K743" s="32">
        <v>43</v>
      </c>
      <c r="L743" s="32">
        <v>48</v>
      </c>
      <c r="M743" s="32">
        <v>18826.689999999999</v>
      </c>
      <c r="N743" s="32">
        <v>15874.56</v>
      </c>
      <c r="O743" s="32">
        <v>34701.25</v>
      </c>
      <c r="P743" s="32">
        <f t="shared" si="11"/>
        <v>33166.75</v>
      </c>
      <c r="Q743" s="32"/>
      <c r="R743" s="32"/>
      <c r="S743" s="2"/>
      <c r="T743" s="2"/>
      <c r="V743" s="2"/>
      <c r="W743" s="2"/>
      <c r="X743" s="30"/>
      <c r="Y743" s="30"/>
      <c r="Z743" s="32"/>
      <c r="AA743" s="32"/>
      <c r="AB743" s="32"/>
      <c r="AC743" s="32"/>
      <c r="AD743" s="32"/>
      <c r="AE743" s="32"/>
      <c r="AF743" s="32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</row>
    <row r="744" spans="1:50" x14ac:dyDescent="0.25">
      <c r="A744">
        <v>850</v>
      </c>
      <c r="B744" s="2">
        <v>1</v>
      </c>
      <c r="C744" s="2" t="s">
        <v>829</v>
      </c>
      <c r="D744">
        <v>10</v>
      </c>
      <c r="E744" s="2" t="s">
        <v>830</v>
      </c>
      <c r="F744" s="29">
        <v>0</v>
      </c>
      <c r="G744" s="30">
        <v>0.75609756097560976</v>
      </c>
      <c r="H744" s="30">
        <v>0.69444444444444442</v>
      </c>
      <c r="I744" s="37">
        <v>400.73</v>
      </c>
      <c r="J744" s="37">
        <v>368.06</v>
      </c>
      <c r="K744" s="32">
        <v>16</v>
      </c>
      <c r="L744" s="32">
        <v>12</v>
      </c>
      <c r="M744" s="32">
        <v>6411.68</v>
      </c>
      <c r="N744" s="32">
        <v>4416.72</v>
      </c>
      <c r="O744" s="32">
        <v>10828.400000000001</v>
      </c>
      <c r="P744" s="32">
        <f t="shared" si="11"/>
        <v>10349.57</v>
      </c>
      <c r="Q744" s="32"/>
      <c r="R744" s="32"/>
      <c r="S744" s="2"/>
      <c r="T744" s="2"/>
      <c r="V744" s="2"/>
      <c r="W744" s="2"/>
      <c r="X744" s="30"/>
      <c r="Y744" s="30"/>
      <c r="Z744" s="32"/>
      <c r="AA744" s="32"/>
      <c r="AB744" s="32"/>
      <c r="AC744" s="32"/>
      <c r="AD744" s="32"/>
      <c r="AE744" s="32"/>
      <c r="AF744" s="32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 spans="1:50" x14ac:dyDescent="0.25">
      <c r="A745">
        <v>852</v>
      </c>
      <c r="B745" s="2">
        <v>1</v>
      </c>
      <c r="C745" s="2" t="s">
        <v>831</v>
      </c>
      <c r="D745">
        <v>10</v>
      </c>
      <c r="E745" s="2" t="s">
        <v>1241</v>
      </c>
      <c r="F745" s="29">
        <v>1</v>
      </c>
      <c r="G745" s="30" t="s">
        <v>1328</v>
      </c>
      <c r="H745" s="30" t="s">
        <v>1328</v>
      </c>
      <c r="I745" s="37" t="s">
        <v>1328</v>
      </c>
      <c r="J745" s="37" t="s">
        <v>1328</v>
      </c>
      <c r="K745" s="32">
        <v>9</v>
      </c>
      <c r="L745" s="32">
        <v>9</v>
      </c>
      <c r="M745" s="32" t="s">
        <v>1328</v>
      </c>
      <c r="N745" s="32" t="s">
        <v>1328</v>
      </c>
      <c r="O745" s="32">
        <v>6192.6299999999992</v>
      </c>
      <c r="P745" s="32">
        <f t="shared" si="11"/>
        <v>5918.79</v>
      </c>
      <c r="Q745" s="32"/>
      <c r="R745" s="32"/>
      <c r="S745" s="2"/>
      <c r="T745" s="2"/>
      <c r="V745" s="2"/>
      <c r="W745" s="2"/>
      <c r="X745" s="30"/>
      <c r="Y745" s="30"/>
      <c r="Z745" s="32"/>
      <c r="AA745" s="32"/>
      <c r="AB745" s="32"/>
      <c r="AC745" s="32"/>
      <c r="AD745" s="32"/>
      <c r="AE745" s="32"/>
      <c r="AF745" s="32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</row>
    <row r="746" spans="1:50" x14ac:dyDescent="0.25">
      <c r="A746">
        <v>857</v>
      </c>
      <c r="B746" s="2">
        <v>1</v>
      </c>
      <c r="C746" s="2" t="s">
        <v>832</v>
      </c>
      <c r="D746">
        <v>10</v>
      </c>
      <c r="E746" s="2" t="s">
        <v>833</v>
      </c>
      <c r="F746" s="29">
        <v>0</v>
      </c>
      <c r="G746" s="30">
        <v>0.89403973509933776</v>
      </c>
      <c r="H746" s="30">
        <v>0.79194630872483218</v>
      </c>
      <c r="I746" s="37">
        <v>473.84</v>
      </c>
      <c r="J746" s="37">
        <v>419.73</v>
      </c>
      <c r="K746" s="32">
        <v>47</v>
      </c>
      <c r="L746" s="32">
        <v>55</v>
      </c>
      <c r="M746" s="32">
        <v>22270.48</v>
      </c>
      <c r="N746" s="32">
        <v>23085.15</v>
      </c>
      <c r="O746" s="32">
        <v>45355.630000000005</v>
      </c>
      <c r="P746" s="32">
        <f t="shared" si="11"/>
        <v>43349.99</v>
      </c>
      <c r="Q746" s="32"/>
      <c r="R746" s="32"/>
      <c r="S746" s="2"/>
      <c r="T746" s="2"/>
      <c r="V746" s="2"/>
      <c r="W746" s="2"/>
      <c r="X746" s="30"/>
      <c r="Y746" s="30"/>
      <c r="Z746" s="32"/>
      <c r="AA746" s="32"/>
      <c r="AB746" s="32"/>
      <c r="AC746" s="32"/>
      <c r="AD746" s="32"/>
      <c r="AE746" s="32"/>
      <c r="AF746" s="32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 spans="1:50" x14ac:dyDescent="0.25">
      <c r="A747">
        <v>858</v>
      </c>
      <c r="B747" s="2">
        <v>1</v>
      </c>
      <c r="C747" s="2" t="s">
        <v>834</v>
      </c>
      <c r="D747">
        <v>2</v>
      </c>
      <c r="E747" s="2" t="s">
        <v>835</v>
      </c>
      <c r="F747" s="29">
        <v>0</v>
      </c>
      <c r="G747" s="30">
        <v>0.80434782608695654</v>
      </c>
      <c r="H747" s="30">
        <v>0.80198019801980203</v>
      </c>
      <c r="I747" s="37">
        <v>426.3</v>
      </c>
      <c r="J747" s="37">
        <v>425.05</v>
      </c>
      <c r="K747" s="32">
        <v>78</v>
      </c>
      <c r="L747" s="32">
        <v>64</v>
      </c>
      <c r="M747" s="32">
        <v>33251.4</v>
      </c>
      <c r="N747" s="32">
        <v>27203.200000000001</v>
      </c>
      <c r="O747" s="32">
        <v>60454.600000000006</v>
      </c>
      <c r="P747" s="32">
        <f t="shared" si="11"/>
        <v>57781.279999999999</v>
      </c>
      <c r="Q747" s="32"/>
      <c r="R747" s="32"/>
      <c r="S747" s="2"/>
      <c r="T747" s="2"/>
      <c r="V747" s="2"/>
      <c r="W747" s="2"/>
      <c r="X747" s="30"/>
      <c r="Y747" s="30"/>
      <c r="Z747" s="32"/>
      <c r="AA747" s="32"/>
      <c r="AB747" s="32"/>
      <c r="AC747" s="32"/>
      <c r="AD747" s="32"/>
      <c r="AE747" s="32"/>
      <c r="AF747" s="32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</row>
    <row r="748" spans="1:50" x14ac:dyDescent="0.25">
      <c r="A748">
        <v>861</v>
      </c>
      <c r="B748" s="2">
        <v>1</v>
      </c>
      <c r="C748" s="2" t="s">
        <v>836</v>
      </c>
      <c r="D748">
        <v>1</v>
      </c>
      <c r="E748" s="2" t="s">
        <v>110</v>
      </c>
      <c r="F748" s="29">
        <v>1</v>
      </c>
      <c r="G748" s="30" t="s">
        <v>1328</v>
      </c>
      <c r="H748" s="30" t="s">
        <v>1328</v>
      </c>
      <c r="I748" s="37" t="s">
        <v>1328</v>
      </c>
      <c r="J748" s="37" t="s">
        <v>1328</v>
      </c>
      <c r="K748" s="32">
        <v>0</v>
      </c>
      <c r="L748" s="32">
        <v>0</v>
      </c>
      <c r="M748" s="32" t="s">
        <v>1328</v>
      </c>
      <c r="N748" s="32" t="s">
        <v>1328</v>
      </c>
      <c r="O748" s="32">
        <v>0</v>
      </c>
      <c r="P748" s="32">
        <f t="shared" si="11"/>
        <v>0</v>
      </c>
      <c r="Q748" s="32"/>
      <c r="R748" s="32"/>
      <c r="S748" s="2"/>
      <c r="T748" s="2"/>
      <c r="V748" s="2"/>
      <c r="W748" s="2"/>
      <c r="X748" s="30"/>
      <c r="Y748" s="30"/>
      <c r="Z748" s="32"/>
      <c r="AA748" s="32"/>
      <c r="AB748" s="32"/>
      <c r="AC748" s="32"/>
      <c r="AD748" s="32"/>
      <c r="AE748" s="32"/>
      <c r="AF748" s="32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 spans="1:50" x14ac:dyDescent="0.25">
      <c r="A749">
        <v>861</v>
      </c>
      <c r="B749" s="2">
        <v>1</v>
      </c>
      <c r="C749" s="2" t="s">
        <v>836</v>
      </c>
      <c r="D749">
        <v>2</v>
      </c>
      <c r="E749" s="2" t="s">
        <v>28</v>
      </c>
      <c r="F749" s="29">
        <v>0</v>
      </c>
      <c r="G749" s="30">
        <v>0.71069182389937102</v>
      </c>
      <c r="H749" s="30">
        <v>0.87951807228915657</v>
      </c>
      <c r="I749" s="37">
        <v>376.67</v>
      </c>
      <c r="J749" s="37">
        <v>466.14</v>
      </c>
      <c r="K749" s="32">
        <v>51</v>
      </c>
      <c r="L749" s="32">
        <v>61</v>
      </c>
      <c r="M749" s="32">
        <v>19210.169999999998</v>
      </c>
      <c r="N749" s="32">
        <v>28434.54</v>
      </c>
      <c r="O749" s="32">
        <v>47644.71</v>
      </c>
      <c r="P749" s="32">
        <f t="shared" si="11"/>
        <v>45537.85</v>
      </c>
      <c r="Q749" s="32"/>
      <c r="R749" s="32"/>
      <c r="S749" s="2"/>
      <c r="T749" s="2"/>
      <c r="V749" s="2"/>
      <c r="W749" s="2"/>
      <c r="X749" s="30"/>
      <c r="Y749" s="30"/>
      <c r="Z749" s="32"/>
      <c r="AA749" s="32"/>
      <c r="AB749" s="32"/>
      <c r="AC749" s="32"/>
      <c r="AD749" s="32"/>
      <c r="AE749" s="32"/>
      <c r="AF749" s="32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</row>
    <row r="750" spans="1:50" x14ac:dyDescent="0.25">
      <c r="A750">
        <v>861</v>
      </c>
      <c r="B750" s="2">
        <v>1</v>
      </c>
      <c r="C750" s="2" t="s">
        <v>836</v>
      </c>
      <c r="D750">
        <v>4</v>
      </c>
      <c r="E750" s="2" t="s">
        <v>62</v>
      </c>
      <c r="F750" s="29">
        <v>0</v>
      </c>
      <c r="G750" s="30">
        <v>0.76190476190476186</v>
      </c>
      <c r="H750" s="30">
        <v>0.6853932584269663</v>
      </c>
      <c r="I750" s="37">
        <v>403.81</v>
      </c>
      <c r="J750" s="37">
        <v>363.26</v>
      </c>
      <c r="K750" s="32">
        <v>36</v>
      </c>
      <c r="L750" s="32">
        <v>37</v>
      </c>
      <c r="M750" s="32">
        <v>14537.16</v>
      </c>
      <c r="N750" s="32">
        <v>13440.62</v>
      </c>
      <c r="O750" s="32">
        <v>27977.78</v>
      </c>
      <c r="P750" s="32">
        <f t="shared" si="11"/>
        <v>26740.6</v>
      </c>
      <c r="Q750" s="32"/>
      <c r="R750" s="32"/>
      <c r="S750" s="2"/>
      <c r="T750" s="2"/>
      <c r="V750" s="2"/>
      <c r="W750" s="2"/>
      <c r="X750" s="30"/>
      <c r="Y750" s="30"/>
      <c r="Z750" s="32"/>
      <c r="AA750" s="32"/>
      <c r="AB750" s="32"/>
      <c r="AC750" s="32"/>
      <c r="AD750" s="32"/>
      <c r="AE750" s="32"/>
      <c r="AF750" s="32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 spans="1:50" x14ac:dyDescent="0.25">
      <c r="A751">
        <v>861</v>
      </c>
      <c r="B751" s="2">
        <v>1</v>
      </c>
      <c r="C751" s="2" t="s">
        <v>1242</v>
      </c>
      <c r="D751">
        <v>11</v>
      </c>
      <c r="E751" s="2" t="s">
        <v>1243</v>
      </c>
      <c r="F751" s="29">
        <v>1</v>
      </c>
      <c r="G751" s="30" t="s">
        <v>1328</v>
      </c>
      <c r="H751" s="30" t="s">
        <v>1328</v>
      </c>
      <c r="I751" s="37" t="s">
        <v>1328</v>
      </c>
      <c r="J751" s="37" t="s">
        <v>1328</v>
      </c>
      <c r="K751" s="32">
        <v>6</v>
      </c>
      <c r="L751" s="32">
        <v>7</v>
      </c>
      <c r="M751" s="32" t="s">
        <v>1328</v>
      </c>
      <c r="N751" s="32" t="s">
        <v>1328</v>
      </c>
      <c r="O751" s="32">
        <v>5047.08</v>
      </c>
      <c r="P751" s="32">
        <f t="shared" si="11"/>
        <v>4823.8999999999996</v>
      </c>
      <c r="Q751" s="32"/>
      <c r="R751" s="32"/>
      <c r="S751" s="2"/>
      <c r="T751" s="2"/>
      <c r="V751" s="2"/>
      <c r="W751" s="2"/>
      <c r="X751" s="30"/>
      <c r="Y751" s="30"/>
      <c r="Z751" s="32"/>
      <c r="AA751" s="32"/>
      <c r="AB751" s="32"/>
      <c r="AC751" s="32"/>
      <c r="AD751" s="32"/>
      <c r="AE751" s="32"/>
      <c r="AF751" s="32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</row>
    <row r="752" spans="1:50" x14ac:dyDescent="0.25">
      <c r="A752">
        <v>861</v>
      </c>
      <c r="B752" s="2">
        <v>1</v>
      </c>
      <c r="C752" s="2" t="s">
        <v>836</v>
      </c>
      <c r="D752">
        <v>12</v>
      </c>
      <c r="E752" s="2" t="s">
        <v>71</v>
      </c>
      <c r="F752" s="29">
        <v>0</v>
      </c>
      <c r="G752" s="30">
        <v>0.69281045751633985</v>
      </c>
      <c r="H752" s="30">
        <v>0.74452554744525545</v>
      </c>
      <c r="I752" s="37">
        <v>367.19</v>
      </c>
      <c r="J752" s="37">
        <v>394.6</v>
      </c>
      <c r="K752" s="32">
        <v>54</v>
      </c>
      <c r="L752" s="32">
        <v>59</v>
      </c>
      <c r="M752" s="32">
        <v>19828.259999999998</v>
      </c>
      <c r="N752" s="32">
        <v>23281.4</v>
      </c>
      <c r="O752" s="32">
        <v>43109.66</v>
      </c>
      <c r="P752" s="32">
        <f t="shared" si="11"/>
        <v>41203.339999999997</v>
      </c>
      <c r="Q752" s="32"/>
      <c r="R752" s="32"/>
      <c r="S752" s="2"/>
      <c r="T752" s="2"/>
      <c r="V752" s="2"/>
      <c r="W752" s="2"/>
      <c r="X752" s="30"/>
      <c r="Y752" s="30"/>
      <c r="Z752" s="32"/>
      <c r="AA752" s="32"/>
      <c r="AB752" s="32"/>
      <c r="AC752" s="32"/>
      <c r="AD752" s="32"/>
      <c r="AE752" s="32"/>
      <c r="AF752" s="32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 spans="1:50" x14ac:dyDescent="0.25">
      <c r="A753">
        <v>861</v>
      </c>
      <c r="B753" s="2">
        <v>1</v>
      </c>
      <c r="C753" s="2" t="s">
        <v>836</v>
      </c>
      <c r="D753">
        <v>15</v>
      </c>
      <c r="E753" s="2" t="s">
        <v>837</v>
      </c>
      <c r="F753" s="29">
        <v>0</v>
      </c>
      <c r="G753" s="30">
        <v>0.83495145631067957</v>
      </c>
      <c r="H753" s="30">
        <v>0.84848484848484851</v>
      </c>
      <c r="I753" s="37">
        <v>442.52</v>
      </c>
      <c r="J753" s="37">
        <v>449.7</v>
      </c>
      <c r="K753" s="32">
        <v>34</v>
      </c>
      <c r="L753" s="32">
        <v>37</v>
      </c>
      <c r="M753" s="32">
        <v>15045.68</v>
      </c>
      <c r="N753" s="32">
        <v>16638.900000000001</v>
      </c>
      <c r="O753" s="32">
        <v>31684.58</v>
      </c>
      <c r="P753" s="32">
        <f t="shared" si="11"/>
        <v>30283.48</v>
      </c>
      <c r="Q753" s="32"/>
      <c r="R753" s="32"/>
      <c r="S753" s="2"/>
      <c r="T753" s="2"/>
      <c r="V753" s="2"/>
      <c r="W753" s="2"/>
      <c r="X753" s="30"/>
      <c r="Y753" s="30"/>
      <c r="Z753" s="32"/>
      <c r="AA753" s="32"/>
      <c r="AB753" s="32"/>
      <c r="AC753" s="32"/>
      <c r="AD753" s="32"/>
      <c r="AE753" s="32"/>
      <c r="AF753" s="32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</row>
    <row r="754" spans="1:50" x14ac:dyDescent="0.25">
      <c r="A754">
        <v>876</v>
      </c>
      <c r="B754" s="2">
        <v>1</v>
      </c>
      <c r="C754" s="2" t="s">
        <v>838</v>
      </c>
      <c r="D754">
        <v>1</v>
      </c>
      <c r="E754" s="2" t="s">
        <v>839</v>
      </c>
      <c r="F754" s="29">
        <v>0</v>
      </c>
      <c r="G754" s="30">
        <v>0.8928571428571429</v>
      </c>
      <c r="H754" s="30">
        <v>0.87749287749287752</v>
      </c>
      <c r="I754" s="37">
        <v>473.21</v>
      </c>
      <c r="J754" s="37">
        <v>465.07</v>
      </c>
      <c r="K754" s="32">
        <v>111</v>
      </c>
      <c r="L754" s="32">
        <v>115</v>
      </c>
      <c r="M754" s="32">
        <v>52526.31</v>
      </c>
      <c r="N754" s="32">
        <v>53483.05</v>
      </c>
      <c r="O754" s="32">
        <v>106009.36</v>
      </c>
      <c r="P754" s="32">
        <f t="shared" si="11"/>
        <v>101321.60000000001</v>
      </c>
      <c r="Q754" s="32"/>
      <c r="R754" s="32"/>
      <c r="S754" s="2"/>
      <c r="T754" s="2"/>
      <c r="V754" s="2"/>
      <c r="W754" s="2"/>
      <c r="X754" s="30"/>
      <c r="Y754" s="30"/>
      <c r="Z754" s="32"/>
      <c r="AA754" s="32"/>
      <c r="AB754" s="32"/>
      <c r="AC754" s="32"/>
      <c r="AD754" s="32"/>
      <c r="AE754" s="32"/>
      <c r="AF754" s="32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 spans="1:50" x14ac:dyDescent="0.25">
      <c r="A755">
        <v>877</v>
      </c>
      <c r="B755" s="2">
        <v>1</v>
      </c>
      <c r="C755" s="2" t="s">
        <v>840</v>
      </c>
      <c r="D755">
        <v>10</v>
      </c>
      <c r="E755" s="2" t="s">
        <v>841</v>
      </c>
      <c r="F755" s="29">
        <v>0</v>
      </c>
      <c r="G755" s="30">
        <v>0.74162679425837319</v>
      </c>
      <c r="H755" s="30">
        <v>0.84042553191489366</v>
      </c>
      <c r="I755" s="37">
        <v>393.06</v>
      </c>
      <c r="J755" s="37">
        <v>445.43</v>
      </c>
      <c r="K755" s="32">
        <v>70</v>
      </c>
      <c r="L755" s="32">
        <v>70</v>
      </c>
      <c r="M755" s="32">
        <v>27514.2</v>
      </c>
      <c r="N755" s="32">
        <v>31180.1</v>
      </c>
      <c r="O755" s="32">
        <v>58694.3</v>
      </c>
      <c r="P755" s="32">
        <f t="shared" si="11"/>
        <v>56098.82</v>
      </c>
      <c r="Q755" s="32"/>
      <c r="R755" s="32"/>
      <c r="S755" s="2"/>
      <c r="T755" s="2"/>
      <c r="V755" s="2"/>
      <c r="W755" s="2"/>
      <c r="X755" s="30"/>
      <c r="Y755" s="30"/>
      <c r="Z755" s="32"/>
      <c r="AA755" s="32"/>
      <c r="AB755" s="32"/>
      <c r="AC755" s="32"/>
      <c r="AD755" s="32"/>
      <c r="AE755" s="32"/>
      <c r="AF755" s="32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</row>
    <row r="756" spans="1:50" x14ac:dyDescent="0.25">
      <c r="A756">
        <v>877</v>
      </c>
      <c r="B756" s="2">
        <v>1</v>
      </c>
      <c r="C756" s="2" t="s">
        <v>840</v>
      </c>
      <c r="D756">
        <v>20</v>
      </c>
      <c r="E756" s="2" t="s">
        <v>842</v>
      </c>
      <c r="F756" s="29">
        <v>0</v>
      </c>
      <c r="G756" s="30">
        <v>0.91532258064516125</v>
      </c>
      <c r="H756" s="30">
        <v>0.8392857142857143</v>
      </c>
      <c r="I756" s="37">
        <v>485.12</v>
      </c>
      <c r="J756" s="37">
        <v>444.82</v>
      </c>
      <c r="K756" s="32">
        <v>91</v>
      </c>
      <c r="L756" s="32">
        <v>78</v>
      </c>
      <c r="M756" s="32">
        <v>44145.919999999998</v>
      </c>
      <c r="N756" s="32">
        <v>34695.96</v>
      </c>
      <c r="O756" s="32">
        <v>78841.88</v>
      </c>
      <c r="P756" s="32">
        <f t="shared" si="11"/>
        <v>75355.47</v>
      </c>
      <c r="Q756" s="32"/>
      <c r="R756" s="32"/>
      <c r="S756" s="2"/>
      <c r="T756" s="2"/>
      <c r="V756" s="2"/>
      <c r="W756" s="2"/>
      <c r="X756" s="30"/>
      <c r="Y756" s="30"/>
      <c r="Z756" s="32"/>
      <c r="AA756" s="32"/>
      <c r="AB756" s="32"/>
      <c r="AC756" s="32"/>
      <c r="AD756" s="32"/>
      <c r="AE756" s="32"/>
      <c r="AF756" s="32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 spans="1:50" x14ac:dyDescent="0.25">
      <c r="A757">
        <v>877</v>
      </c>
      <c r="B757" s="2">
        <v>1</v>
      </c>
      <c r="C757" s="2" t="s">
        <v>840</v>
      </c>
      <c r="D757">
        <v>50</v>
      </c>
      <c r="E757" s="2" t="s">
        <v>843</v>
      </c>
      <c r="F757" s="29">
        <v>0</v>
      </c>
      <c r="G757" s="30">
        <v>0.74390243902439024</v>
      </c>
      <c r="H757" s="30">
        <v>0.77397260273972601</v>
      </c>
      <c r="I757" s="37">
        <v>394.27</v>
      </c>
      <c r="J757" s="37">
        <v>410.21</v>
      </c>
      <c r="K757" s="32">
        <v>52</v>
      </c>
      <c r="L757" s="32">
        <v>53</v>
      </c>
      <c r="M757" s="32">
        <v>20502.04</v>
      </c>
      <c r="N757" s="32">
        <v>21741.13</v>
      </c>
      <c r="O757" s="32">
        <v>42243.17</v>
      </c>
      <c r="P757" s="32">
        <f t="shared" si="11"/>
        <v>40375.17</v>
      </c>
      <c r="Q757" s="32"/>
      <c r="R757" s="32"/>
      <c r="S757" s="2"/>
      <c r="T757" s="2"/>
      <c r="V757" s="2"/>
      <c r="W757" s="2"/>
      <c r="X757" s="30"/>
      <c r="Y757" s="30"/>
      <c r="Z757" s="32"/>
      <c r="AA757" s="32"/>
      <c r="AB757" s="32"/>
      <c r="AC757" s="32"/>
      <c r="AD757" s="32"/>
      <c r="AE757" s="32"/>
      <c r="AF757" s="32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</row>
    <row r="758" spans="1:50" x14ac:dyDescent="0.25">
      <c r="A758">
        <v>877</v>
      </c>
      <c r="B758" s="2">
        <v>1</v>
      </c>
      <c r="C758" s="2" t="s">
        <v>840</v>
      </c>
      <c r="D758">
        <v>60</v>
      </c>
      <c r="E758" s="2" t="s">
        <v>844</v>
      </c>
      <c r="F758" s="29">
        <v>0</v>
      </c>
      <c r="G758" s="30">
        <v>0.77067669172932329</v>
      </c>
      <c r="H758" s="30">
        <v>0.80800000000000005</v>
      </c>
      <c r="I758" s="37">
        <v>408.46</v>
      </c>
      <c r="J758" s="37">
        <v>428.24</v>
      </c>
      <c r="K758" s="32">
        <v>100</v>
      </c>
      <c r="L758" s="32">
        <v>89</v>
      </c>
      <c r="M758" s="32">
        <v>40846</v>
      </c>
      <c r="N758" s="32">
        <v>38113.360000000001</v>
      </c>
      <c r="O758" s="32">
        <v>78959.360000000001</v>
      </c>
      <c r="P758" s="32">
        <f t="shared" si="11"/>
        <v>75467.759999999995</v>
      </c>
      <c r="Q758" s="32"/>
      <c r="R758" s="32"/>
      <c r="S758" s="2"/>
      <c r="T758" s="2"/>
      <c r="V758" s="2"/>
      <c r="W758" s="2"/>
      <c r="X758" s="30"/>
      <c r="Y758" s="30"/>
      <c r="Z758" s="32"/>
      <c r="AA758" s="32"/>
      <c r="AB758" s="32"/>
      <c r="AC758" s="32"/>
      <c r="AD758" s="32"/>
      <c r="AE758" s="32"/>
      <c r="AF758" s="32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 spans="1:50" x14ac:dyDescent="0.25">
      <c r="A759">
        <v>877</v>
      </c>
      <c r="B759">
        <v>1</v>
      </c>
      <c r="C759" t="s">
        <v>840</v>
      </c>
      <c r="D759">
        <v>65</v>
      </c>
      <c r="E759" t="s">
        <v>845</v>
      </c>
      <c r="F759" s="1">
        <v>0</v>
      </c>
      <c r="G759" s="30">
        <v>0.87341772151898733</v>
      </c>
      <c r="H759" s="30">
        <v>0.82653061224489799</v>
      </c>
      <c r="I759" s="37">
        <v>462.91</v>
      </c>
      <c r="J759" s="37">
        <v>438.06</v>
      </c>
      <c r="K759" s="32">
        <v>109</v>
      </c>
      <c r="L759" s="32">
        <v>93</v>
      </c>
      <c r="M759" s="32">
        <v>50457.19</v>
      </c>
      <c r="N759" s="32">
        <v>40739.58</v>
      </c>
      <c r="O759" s="32">
        <v>91196.77</v>
      </c>
      <c r="P759" s="32">
        <f t="shared" si="11"/>
        <v>87164.03</v>
      </c>
      <c r="Q759" s="32"/>
      <c r="R759" s="32"/>
      <c r="S759" s="2"/>
      <c r="T759" s="2"/>
      <c r="V759" s="2"/>
      <c r="W759" s="2"/>
      <c r="X759" s="30"/>
      <c r="Y759" s="30"/>
      <c r="Z759" s="32"/>
      <c r="AA759" s="32"/>
      <c r="AB759" s="32"/>
      <c r="AC759" s="32"/>
      <c r="AD759" s="32"/>
      <c r="AE759" s="32"/>
      <c r="AF759" s="32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</row>
    <row r="760" spans="1:50" x14ac:dyDescent="0.25">
      <c r="A760">
        <v>877</v>
      </c>
      <c r="B760" s="2">
        <v>1</v>
      </c>
      <c r="C760" s="2" t="s">
        <v>840</v>
      </c>
      <c r="D760">
        <v>70</v>
      </c>
      <c r="E760" s="2" t="s">
        <v>846</v>
      </c>
      <c r="F760" s="29">
        <v>0</v>
      </c>
      <c r="G760" s="30">
        <v>0.88148148148148153</v>
      </c>
      <c r="H760" s="30">
        <v>0.859375</v>
      </c>
      <c r="I760" s="37">
        <v>467.19</v>
      </c>
      <c r="J760" s="37">
        <v>455.47</v>
      </c>
      <c r="K760" s="32">
        <v>47</v>
      </c>
      <c r="L760" s="32">
        <v>46</v>
      </c>
      <c r="M760" s="32">
        <v>21957.93</v>
      </c>
      <c r="N760" s="32">
        <v>20951.62</v>
      </c>
      <c r="O760" s="32">
        <v>42909.55</v>
      </c>
      <c r="P760" s="32">
        <f t="shared" si="11"/>
        <v>41012.080000000002</v>
      </c>
      <c r="Q760" s="32"/>
      <c r="R760" s="32"/>
      <c r="S760" s="2"/>
      <c r="T760" s="2"/>
      <c r="V760" s="2"/>
      <c r="W760" s="2"/>
      <c r="X760" s="30"/>
      <c r="Y760" s="30"/>
      <c r="Z760" s="32"/>
      <c r="AA760" s="32"/>
      <c r="AB760" s="32"/>
      <c r="AC760" s="32"/>
      <c r="AD760" s="32"/>
      <c r="AE760" s="32"/>
      <c r="AF760" s="32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 spans="1:50" x14ac:dyDescent="0.25">
      <c r="A761">
        <v>879</v>
      </c>
      <c r="B761" s="2">
        <v>1</v>
      </c>
      <c r="C761" s="2" t="s">
        <v>847</v>
      </c>
      <c r="D761">
        <v>10</v>
      </c>
      <c r="E761" s="2" t="s">
        <v>848</v>
      </c>
      <c r="F761" s="29">
        <v>0</v>
      </c>
      <c r="G761" s="30">
        <v>0.93167701863354035</v>
      </c>
      <c r="H761" s="30">
        <v>0.83054393305439334</v>
      </c>
      <c r="I761" s="37">
        <v>493.79</v>
      </c>
      <c r="J761" s="37">
        <v>440.19</v>
      </c>
      <c r="K761" s="32">
        <v>151</v>
      </c>
      <c r="L761" s="32">
        <v>174</v>
      </c>
      <c r="M761" s="32">
        <v>74562.289999999994</v>
      </c>
      <c r="N761" s="32">
        <v>76593.06</v>
      </c>
      <c r="O761" s="32">
        <v>151155.34999999998</v>
      </c>
      <c r="P761" s="32">
        <f t="shared" si="11"/>
        <v>144471.22</v>
      </c>
      <c r="Q761" s="32"/>
      <c r="R761" s="32"/>
      <c r="S761" s="2"/>
      <c r="T761" s="2"/>
      <c r="V761" s="2"/>
      <c r="W761" s="2"/>
      <c r="X761" s="30"/>
      <c r="Y761" s="30"/>
      <c r="Z761" s="32"/>
      <c r="AA761" s="32"/>
      <c r="AB761" s="32"/>
      <c r="AC761" s="32"/>
      <c r="AD761" s="32"/>
      <c r="AE761" s="32"/>
      <c r="AF761" s="32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</row>
    <row r="762" spans="1:50" x14ac:dyDescent="0.25">
      <c r="A762">
        <v>881</v>
      </c>
      <c r="B762" s="2">
        <v>1</v>
      </c>
      <c r="C762" s="2" t="s">
        <v>849</v>
      </c>
      <c r="D762">
        <v>10</v>
      </c>
      <c r="E762" s="2" t="s">
        <v>850</v>
      </c>
      <c r="F762" s="29">
        <v>0</v>
      </c>
      <c r="G762" s="30">
        <v>0.73888888888888893</v>
      </c>
      <c r="H762" s="30">
        <v>0.89560439560439564</v>
      </c>
      <c r="I762" s="37">
        <v>391.61</v>
      </c>
      <c r="J762" s="37">
        <v>474.67</v>
      </c>
      <c r="K762" s="32">
        <v>62</v>
      </c>
      <c r="L762" s="32">
        <v>59</v>
      </c>
      <c r="M762" s="32">
        <v>24279.82</v>
      </c>
      <c r="N762" s="32">
        <v>28005.53</v>
      </c>
      <c r="O762" s="32">
        <v>52285.35</v>
      </c>
      <c r="P762" s="32">
        <f t="shared" si="11"/>
        <v>49973.279999999999</v>
      </c>
      <c r="Q762" s="32"/>
      <c r="R762" s="32"/>
      <c r="S762" s="2"/>
      <c r="T762" s="2"/>
      <c r="V762" s="2"/>
      <c r="W762" s="2"/>
      <c r="X762" s="30"/>
      <c r="Y762" s="30"/>
      <c r="Z762" s="32"/>
      <c r="AA762" s="32"/>
      <c r="AB762" s="32"/>
      <c r="AC762" s="32"/>
      <c r="AD762" s="32"/>
      <c r="AE762" s="32"/>
      <c r="AF762" s="32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 spans="1:50" x14ac:dyDescent="0.25">
      <c r="A763">
        <v>882</v>
      </c>
      <c r="B763">
        <v>1</v>
      </c>
      <c r="C763" t="s">
        <v>851</v>
      </c>
      <c r="D763">
        <v>10</v>
      </c>
      <c r="E763" t="s">
        <v>250</v>
      </c>
      <c r="F763" s="1">
        <v>0</v>
      </c>
      <c r="G763" s="30">
        <v>0.82</v>
      </c>
      <c r="H763" s="30">
        <v>0.81839080459770119</v>
      </c>
      <c r="I763" s="37">
        <v>434.6</v>
      </c>
      <c r="J763" s="37">
        <v>433.75</v>
      </c>
      <c r="K763" s="32">
        <v>168</v>
      </c>
      <c r="L763" s="32">
        <v>153</v>
      </c>
      <c r="M763" s="32">
        <v>73012.800000000003</v>
      </c>
      <c r="N763" s="32">
        <v>66363.75</v>
      </c>
      <c r="O763" s="32">
        <v>139376.54999999999</v>
      </c>
      <c r="P763" s="32">
        <f t="shared" si="11"/>
        <v>133213.29</v>
      </c>
      <c r="Q763" s="32"/>
      <c r="R763" s="32"/>
      <c r="S763" s="2"/>
      <c r="T763" s="2"/>
      <c r="V763" s="2"/>
      <c r="W763" s="2"/>
      <c r="X763" s="30"/>
      <c r="Y763" s="30"/>
      <c r="Z763" s="32"/>
      <c r="AA763" s="32"/>
      <c r="AB763" s="32"/>
      <c r="AC763" s="32"/>
      <c r="AD763" s="32"/>
      <c r="AE763" s="32"/>
      <c r="AF763" s="32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</row>
    <row r="764" spans="1:50" x14ac:dyDescent="0.25">
      <c r="A764">
        <v>882</v>
      </c>
      <c r="B764" s="2">
        <v>1</v>
      </c>
      <c r="C764" s="2" t="s">
        <v>851</v>
      </c>
      <c r="D764">
        <v>50</v>
      </c>
      <c r="E764" s="2" t="s">
        <v>852</v>
      </c>
      <c r="F764" s="29">
        <v>0</v>
      </c>
      <c r="G764" s="30">
        <v>0.9</v>
      </c>
      <c r="H764" s="30">
        <v>0.8258426966292135</v>
      </c>
      <c r="I764" s="37">
        <v>477</v>
      </c>
      <c r="J764" s="37">
        <v>437.7</v>
      </c>
      <c r="K764" s="32">
        <v>129</v>
      </c>
      <c r="L764" s="32">
        <v>124</v>
      </c>
      <c r="M764" s="32">
        <v>61533</v>
      </c>
      <c r="N764" s="32">
        <v>54274.8</v>
      </c>
      <c r="O764" s="32">
        <v>115807.8</v>
      </c>
      <c r="P764" s="32">
        <f t="shared" si="11"/>
        <v>110686.75</v>
      </c>
      <c r="Q764" s="32"/>
      <c r="R764" s="32"/>
      <c r="S764" s="2"/>
      <c r="T764" s="2"/>
      <c r="V764" s="2"/>
      <c r="W764" s="2"/>
      <c r="X764" s="30"/>
      <c r="Y764" s="30"/>
      <c r="Z764" s="32"/>
      <c r="AA764" s="32"/>
      <c r="AB764" s="32"/>
      <c r="AC764" s="32"/>
      <c r="AD764" s="32"/>
      <c r="AE764" s="32"/>
      <c r="AF764" s="32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 spans="1:50" x14ac:dyDescent="0.25">
      <c r="A765">
        <v>883</v>
      </c>
      <c r="B765" s="2">
        <v>1</v>
      </c>
      <c r="C765" s="2" t="s">
        <v>853</v>
      </c>
      <c r="D765">
        <v>2</v>
      </c>
      <c r="E765" s="2" t="s">
        <v>854</v>
      </c>
      <c r="F765" s="29">
        <v>0</v>
      </c>
      <c r="G765" s="30">
        <v>0.77685950413223137</v>
      </c>
      <c r="H765" s="30">
        <v>0.83383685800604235</v>
      </c>
      <c r="I765" s="37">
        <v>411.74</v>
      </c>
      <c r="J765" s="37">
        <v>441.93</v>
      </c>
      <c r="K765" s="32">
        <v>125</v>
      </c>
      <c r="L765" s="32">
        <v>137</v>
      </c>
      <c r="M765" s="32">
        <v>51467.5</v>
      </c>
      <c r="N765" s="32">
        <v>60544.41</v>
      </c>
      <c r="O765" s="32">
        <v>112011.91</v>
      </c>
      <c r="P765" s="32">
        <f t="shared" si="11"/>
        <v>107058.72</v>
      </c>
      <c r="Q765" s="32"/>
      <c r="R765" s="32"/>
      <c r="S765" s="2"/>
      <c r="T765" s="2"/>
      <c r="V765" s="2"/>
      <c r="W765" s="2"/>
      <c r="X765" s="30"/>
      <c r="Y765" s="30"/>
      <c r="Z765" s="32"/>
      <c r="AA765" s="32"/>
      <c r="AB765" s="32"/>
      <c r="AC765" s="32"/>
      <c r="AD765" s="32"/>
      <c r="AE765" s="32"/>
      <c r="AF765" s="32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</row>
    <row r="766" spans="1:50" x14ac:dyDescent="0.25">
      <c r="A766">
        <v>885</v>
      </c>
      <c r="B766" s="2">
        <v>1</v>
      </c>
      <c r="C766" s="2" t="s">
        <v>855</v>
      </c>
      <c r="D766">
        <v>40</v>
      </c>
      <c r="E766" s="2" t="s">
        <v>856</v>
      </c>
      <c r="F766" s="29">
        <v>0</v>
      </c>
      <c r="G766" s="30">
        <v>0.84878048780487803</v>
      </c>
      <c r="H766" s="30">
        <v>0.81215469613259672</v>
      </c>
      <c r="I766" s="37">
        <v>449.85</v>
      </c>
      <c r="J766" s="37">
        <v>430.44</v>
      </c>
      <c r="K766" s="32">
        <v>158</v>
      </c>
      <c r="L766" s="32">
        <v>128</v>
      </c>
      <c r="M766" s="32">
        <v>71076.3</v>
      </c>
      <c r="N766" s="32">
        <v>55096.32</v>
      </c>
      <c r="O766" s="32">
        <v>126172.62</v>
      </c>
      <c r="P766" s="32">
        <f t="shared" si="11"/>
        <v>120593.24</v>
      </c>
      <c r="Q766" s="32"/>
      <c r="R766" s="32"/>
      <c r="S766" s="2"/>
      <c r="T766" s="2"/>
      <c r="V766" s="2"/>
      <c r="W766" s="2"/>
      <c r="X766" s="30"/>
      <c r="Y766" s="30"/>
      <c r="Z766" s="32"/>
      <c r="AA766" s="32"/>
      <c r="AB766" s="32"/>
      <c r="AC766" s="32"/>
      <c r="AD766" s="32"/>
      <c r="AE766" s="32"/>
      <c r="AF766" s="32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 spans="1:50" x14ac:dyDescent="0.25">
      <c r="A767">
        <v>885</v>
      </c>
      <c r="B767" s="2">
        <v>1</v>
      </c>
      <c r="C767" s="2" t="s">
        <v>855</v>
      </c>
      <c r="D767">
        <v>60</v>
      </c>
      <c r="E767" s="2" t="s">
        <v>857</v>
      </c>
      <c r="F767" s="29">
        <v>0</v>
      </c>
      <c r="G767" s="30">
        <v>0.8647450110864745</v>
      </c>
      <c r="H767" s="30">
        <v>0.82547169811320753</v>
      </c>
      <c r="I767" s="37">
        <v>458.31</v>
      </c>
      <c r="J767" s="37">
        <v>437.5</v>
      </c>
      <c r="K767" s="32">
        <v>144</v>
      </c>
      <c r="L767" s="32">
        <v>161</v>
      </c>
      <c r="M767" s="32">
        <v>65996.639999999999</v>
      </c>
      <c r="N767" s="32">
        <v>70437.5</v>
      </c>
      <c r="O767" s="32">
        <v>136434.14000000001</v>
      </c>
      <c r="P767" s="32">
        <f t="shared" si="11"/>
        <v>130400.99</v>
      </c>
      <c r="Q767" s="32"/>
      <c r="R767" s="32"/>
      <c r="S767" s="2"/>
      <c r="T767" s="2"/>
      <c r="V767" s="2"/>
      <c r="W767" s="2"/>
      <c r="X767" s="30"/>
      <c r="Y767" s="30"/>
      <c r="Z767" s="32"/>
      <c r="AA767" s="32"/>
      <c r="AB767" s="32"/>
      <c r="AC767" s="32"/>
      <c r="AD767" s="32"/>
      <c r="AE767" s="32"/>
      <c r="AF767" s="32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 spans="1:50" x14ac:dyDescent="0.25">
      <c r="A768">
        <v>885</v>
      </c>
      <c r="B768" s="2">
        <v>1</v>
      </c>
      <c r="C768" s="2" t="s">
        <v>855</v>
      </c>
      <c r="D768">
        <v>70</v>
      </c>
      <c r="E768" s="2" t="s">
        <v>858</v>
      </c>
      <c r="F768" s="29">
        <v>0</v>
      </c>
      <c r="G768" s="30">
        <v>0.82158590308370039</v>
      </c>
      <c r="H768" s="30">
        <v>0.79809976247030878</v>
      </c>
      <c r="I768" s="37">
        <v>435.44</v>
      </c>
      <c r="J768" s="37">
        <v>422.99</v>
      </c>
      <c r="K768" s="32">
        <v>167</v>
      </c>
      <c r="L768" s="32">
        <v>156</v>
      </c>
      <c r="M768" s="32">
        <v>72718.48</v>
      </c>
      <c r="N768" s="32">
        <v>65986.44</v>
      </c>
      <c r="O768" s="32">
        <v>138704.91999999998</v>
      </c>
      <c r="P768" s="32">
        <f t="shared" si="11"/>
        <v>132571.35999999999</v>
      </c>
      <c r="Q768" s="32"/>
      <c r="R768" s="32"/>
      <c r="S768" s="2"/>
      <c r="T768" s="2"/>
      <c r="V768" s="2"/>
      <c r="W768" s="2"/>
      <c r="X768" s="30"/>
      <c r="Y768" s="30"/>
      <c r="Z768" s="32"/>
      <c r="AA768" s="32"/>
      <c r="AB768" s="32"/>
      <c r="AC768" s="32"/>
      <c r="AD768" s="32"/>
      <c r="AE768" s="32"/>
      <c r="AF768" s="32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 spans="1:50" x14ac:dyDescent="0.25">
      <c r="A769">
        <v>891</v>
      </c>
      <c r="B769" s="2">
        <v>1</v>
      </c>
      <c r="C769" s="2" t="s">
        <v>859</v>
      </c>
      <c r="D769">
        <v>20</v>
      </c>
      <c r="E769" s="2" t="s">
        <v>860</v>
      </c>
      <c r="F769" s="29">
        <v>0</v>
      </c>
      <c r="G769" s="30">
        <v>0.81720430107526887</v>
      </c>
      <c r="H769" s="30">
        <v>0.84946236559139787</v>
      </c>
      <c r="I769" s="37">
        <v>433.12</v>
      </c>
      <c r="J769" s="37">
        <v>450.22</v>
      </c>
      <c r="K769" s="32">
        <v>26</v>
      </c>
      <c r="L769" s="32">
        <v>30</v>
      </c>
      <c r="M769" s="32">
        <v>11261.12</v>
      </c>
      <c r="N769" s="32">
        <v>13506.6</v>
      </c>
      <c r="O769" s="32">
        <v>24767.72</v>
      </c>
      <c r="P769" s="32">
        <f t="shared" si="11"/>
        <v>23672.49</v>
      </c>
      <c r="Q769" s="32"/>
      <c r="R769" s="32"/>
      <c r="W769" s="2"/>
      <c r="X769" s="30"/>
      <c r="Y769" s="30"/>
      <c r="Z769" s="32"/>
      <c r="AA769" s="32"/>
      <c r="AB769" s="32"/>
      <c r="AC769" s="32"/>
      <c r="AD769" s="32"/>
      <c r="AE769" s="32"/>
      <c r="AF769" s="32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</row>
    <row r="770" spans="1:50" x14ac:dyDescent="0.25">
      <c r="A770">
        <v>911</v>
      </c>
      <c r="B770" s="2">
        <v>1</v>
      </c>
      <c r="C770" s="2" t="s">
        <v>861</v>
      </c>
      <c r="D770">
        <v>103</v>
      </c>
      <c r="E770" s="2" t="s">
        <v>862</v>
      </c>
      <c r="F770" s="29">
        <v>0</v>
      </c>
      <c r="G770" s="30">
        <v>0.69306930693069302</v>
      </c>
      <c r="H770" s="30">
        <v>0.75</v>
      </c>
      <c r="I770" s="37">
        <v>367.33</v>
      </c>
      <c r="J770" s="37">
        <v>397.5</v>
      </c>
      <c r="K770" s="32">
        <v>35</v>
      </c>
      <c r="L770" s="32">
        <v>33</v>
      </c>
      <c r="M770" s="32">
        <v>12856.55</v>
      </c>
      <c r="N770" s="32">
        <v>13117.5</v>
      </c>
      <c r="O770" s="32">
        <v>25974.05</v>
      </c>
      <c r="P770" s="32">
        <f t="shared" si="11"/>
        <v>24825.47</v>
      </c>
      <c r="Q770" s="32"/>
      <c r="R770" s="32"/>
      <c r="S770" s="2"/>
      <c r="T770" s="2"/>
      <c r="V770" s="2"/>
      <c r="W770" s="2"/>
      <c r="X770" s="30"/>
      <c r="Y770" s="30"/>
      <c r="Z770" s="32"/>
      <c r="AA770" s="32"/>
      <c r="AB770" s="32"/>
      <c r="AC770" s="32"/>
      <c r="AD770" s="32"/>
      <c r="AE770" s="32"/>
      <c r="AF770" s="32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 spans="1:50" x14ac:dyDescent="0.25">
      <c r="A771">
        <v>911</v>
      </c>
      <c r="B771">
        <v>1</v>
      </c>
      <c r="C771" t="s">
        <v>861</v>
      </c>
      <c r="D771">
        <v>201</v>
      </c>
      <c r="E771" t="s">
        <v>863</v>
      </c>
      <c r="F771" s="1">
        <v>0</v>
      </c>
      <c r="G771" s="30">
        <v>0.78645833333333337</v>
      </c>
      <c r="H771" s="30">
        <v>0.77443609022556392</v>
      </c>
      <c r="I771" s="37">
        <v>416.82</v>
      </c>
      <c r="J771" s="37">
        <v>410.45</v>
      </c>
      <c r="K771" s="32">
        <v>212</v>
      </c>
      <c r="L771" s="32">
        <v>198</v>
      </c>
      <c r="M771" s="32">
        <v>88365.84</v>
      </c>
      <c r="N771" s="32">
        <v>81269.100000000006</v>
      </c>
      <c r="O771" s="32">
        <v>169634.94</v>
      </c>
      <c r="P771" s="32">
        <f t="shared" si="11"/>
        <v>162133.64000000001</v>
      </c>
      <c r="Q771" s="32"/>
      <c r="R771" s="32"/>
      <c r="S771" s="2"/>
      <c r="T771" s="2"/>
      <c r="V771" s="2"/>
      <c r="W771" s="2"/>
      <c r="X771" s="30"/>
      <c r="Y771" s="30"/>
      <c r="Z771" s="32"/>
      <c r="AA771" s="32"/>
      <c r="AB771" s="32"/>
      <c r="AC771" s="32"/>
      <c r="AD771" s="32"/>
      <c r="AE771" s="32"/>
      <c r="AF771" s="32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</row>
    <row r="772" spans="1:50" x14ac:dyDescent="0.25">
      <c r="A772">
        <v>911</v>
      </c>
      <c r="B772" s="2">
        <v>1</v>
      </c>
      <c r="C772" s="2" t="s">
        <v>861</v>
      </c>
      <c r="D772">
        <v>202</v>
      </c>
      <c r="E772" s="2" t="s">
        <v>864</v>
      </c>
      <c r="F772" s="29">
        <v>0</v>
      </c>
      <c r="G772" s="30">
        <v>0.81152993348115299</v>
      </c>
      <c r="H772" s="30">
        <v>0.68304668304668303</v>
      </c>
      <c r="I772" s="37">
        <v>430.11</v>
      </c>
      <c r="J772" s="37">
        <v>362.01</v>
      </c>
      <c r="K772" s="32">
        <v>167</v>
      </c>
      <c r="L772" s="32">
        <v>144</v>
      </c>
      <c r="M772" s="32">
        <v>71828.37</v>
      </c>
      <c r="N772" s="32">
        <v>52129.440000000002</v>
      </c>
      <c r="O772" s="32">
        <v>123957.81</v>
      </c>
      <c r="P772" s="32">
        <f t="shared" si="11"/>
        <v>118476.37</v>
      </c>
      <c r="Q772" s="32"/>
      <c r="R772" s="32"/>
      <c r="S772" s="2"/>
      <c r="T772" s="2"/>
      <c r="V772" s="2"/>
      <c r="W772" s="2"/>
      <c r="X772" s="30"/>
      <c r="Y772" s="30"/>
      <c r="Z772" s="32"/>
      <c r="AA772" s="32"/>
      <c r="AB772" s="32"/>
      <c r="AC772" s="32"/>
      <c r="AD772" s="32"/>
      <c r="AE772" s="32"/>
      <c r="AF772" s="32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 spans="1:50" x14ac:dyDescent="0.25">
      <c r="A773">
        <v>912</v>
      </c>
      <c r="B773" s="2">
        <v>1</v>
      </c>
      <c r="C773" s="2" t="s">
        <v>865</v>
      </c>
      <c r="D773">
        <v>10</v>
      </c>
      <c r="E773" s="2" t="s">
        <v>866</v>
      </c>
      <c r="F773" s="29">
        <v>0</v>
      </c>
      <c r="G773" s="30">
        <v>0.80710659898477155</v>
      </c>
      <c r="H773" s="30">
        <v>0.66666666666666663</v>
      </c>
      <c r="I773" s="37">
        <v>427.77</v>
      </c>
      <c r="J773" s="37">
        <v>353.33</v>
      </c>
      <c r="K773" s="32">
        <v>131</v>
      </c>
      <c r="L773" s="32">
        <v>150</v>
      </c>
      <c r="M773" s="32">
        <v>56037.87</v>
      </c>
      <c r="N773" s="32">
        <v>52999.5</v>
      </c>
      <c r="O773" s="32">
        <v>109037.37</v>
      </c>
      <c r="P773" s="32">
        <f t="shared" si="11"/>
        <v>104215.71</v>
      </c>
      <c r="Q773" s="32"/>
      <c r="R773" s="32"/>
      <c r="W773" s="2"/>
      <c r="X773" s="30"/>
      <c r="Y773" s="30"/>
      <c r="Z773" s="32"/>
      <c r="AA773" s="32"/>
      <c r="AB773" s="32"/>
      <c r="AC773" s="32"/>
      <c r="AD773" s="32"/>
      <c r="AE773" s="32"/>
      <c r="AF773" s="32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</row>
    <row r="774" spans="1:50" x14ac:dyDescent="0.25">
      <c r="A774">
        <v>914</v>
      </c>
      <c r="B774" s="2">
        <v>1</v>
      </c>
      <c r="C774" s="2" t="s">
        <v>867</v>
      </c>
      <c r="D774">
        <v>1</v>
      </c>
      <c r="E774" s="2" t="s">
        <v>868</v>
      </c>
      <c r="F774" s="29">
        <v>0</v>
      </c>
      <c r="G774" s="30">
        <v>0.8571428571428571</v>
      </c>
      <c r="H774" s="30">
        <v>0.93103448275862066</v>
      </c>
      <c r="I774" s="37">
        <v>454.29</v>
      </c>
      <c r="J774" s="37">
        <v>493.45</v>
      </c>
      <c r="K774" s="32">
        <v>26</v>
      </c>
      <c r="L774" s="32">
        <v>25</v>
      </c>
      <c r="M774" s="32">
        <v>11811.54</v>
      </c>
      <c r="N774" s="32">
        <v>12336.25</v>
      </c>
      <c r="O774" s="32">
        <v>24147.79</v>
      </c>
      <c r="P774" s="32">
        <f t="shared" si="11"/>
        <v>23079.97</v>
      </c>
      <c r="Q774" s="32"/>
      <c r="R774" s="32"/>
      <c r="S774" s="2"/>
      <c r="T774" s="2"/>
      <c r="V774" s="2"/>
      <c r="W774" s="2"/>
      <c r="X774" s="30"/>
      <c r="Y774" s="30"/>
      <c r="Z774" s="32"/>
      <c r="AA774" s="32"/>
      <c r="AB774" s="32"/>
      <c r="AC774" s="32"/>
      <c r="AD774" s="32"/>
      <c r="AE774" s="32"/>
      <c r="AF774" s="32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 spans="1:50" x14ac:dyDescent="0.25">
      <c r="A775">
        <v>2071</v>
      </c>
      <c r="B775" s="2">
        <v>1</v>
      </c>
      <c r="C775" s="2" t="s">
        <v>869</v>
      </c>
      <c r="D775">
        <v>10</v>
      </c>
      <c r="E775" s="2" t="s">
        <v>870</v>
      </c>
      <c r="F775" s="29">
        <v>0</v>
      </c>
      <c r="G775" s="30">
        <v>0.85542168674698793</v>
      </c>
      <c r="H775" s="30">
        <v>0.73456790123456794</v>
      </c>
      <c r="I775" s="37">
        <v>453.37</v>
      </c>
      <c r="J775" s="37">
        <v>389.32</v>
      </c>
      <c r="K775" s="32">
        <v>55</v>
      </c>
      <c r="L775" s="32">
        <v>59</v>
      </c>
      <c r="M775" s="32">
        <v>24935.35</v>
      </c>
      <c r="N775" s="32">
        <v>22969.88</v>
      </c>
      <c r="O775" s="32">
        <v>47905.229999999996</v>
      </c>
      <c r="P775" s="32">
        <f t="shared" si="11"/>
        <v>45786.85</v>
      </c>
      <c r="Q775" s="32"/>
      <c r="R775" s="32"/>
      <c r="S775" s="2"/>
      <c r="T775" s="2"/>
      <c r="V775" s="2"/>
      <c r="W775" s="2"/>
      <c r="X775" s="30"/>
      <c r="Y775" s="30"/>
      <c r="Z775" s="32"/>
      <c r="AA775" s="32"/>
      <c r="AB775" s="32"/>
      <c r="AC775" s="32"/>
      <c r="AD775" s="32"/>
      <c r="AE775" s="32"/>
      <c r="AF775" s="32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</row>
    <row r="776" spans="1:50" x14ac:dyDescent="0.25">
      <c r="A776">
        <v>2125</v>
      </c>
      <c r="B776" s="2">
        <v>1</v>
      </c>
      <c r="C776" s="2" t="s">
        <v>871</v>
      </c>
      <c r="D776">
        <v>10</v>
      </c>
      <c r="E776" s="2" t="s">
        <v>872</v>
      </c>
      <c r="F776" s="29">
        <v>0</v>
      </c>
      <c r="G776" s="30">
        <v>0.76325088339222613</v>
      </c>
      <c r="H776" s="30">
        <v>0.810126582278481</v>
      </c>
      <c r="I776" s="37">
        <v>404.52</v>
      </c>
      <c r="J776" s="37">
        <v>429.37</v>
      </c>
      <c r="K776" s="32">
        <v>100</v>
      </c>
      <c r="L776" s="32">
        <v>96</v>
      </c>
      <c r="M776" s="32">
        <v>40452</v>
      </c>
      <c r="N776" s="32">
        <v>41219.519999999997</v>
      </c>
      <c r="O776" s="32">
        <v>81671.51999999999</v>
      </c>
      <c r="P776" s="32">
        <f t="shared" si="11"/>
        <v>78059.990000000005</v>
      </c>
      <c r="Q776" s="32"/>
      <c r="R776" s="32"/>
      <c r="S776" s="2"/>
      <c r="T776" s="2"/>
      <c r="V776" s="2"/>
      <c r="W776" s="2"/>
      <c r="X776" s="30"/>
      <c r="Y776" s="30"/>
      <c r="Z776" s="32"/>
      <c r="AA776" s="32"/>
      <c r="AB776" s="32"/>
      <c r="AC776" s="32"/>
      <c r="AD776" s="32"/>
      <c r="AE776" s="32"/>
      <c r="AF776" s="32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 spans="1:50" x14ac:dyDescent="0.25">
      <c r="A777">
        <v>2134</v>
      </c>
      <c r="B777" s="2">
        <v>1</v>
      </c>
      <c r="C777" s="2" t="s">
        <v>873</v>
      </c>
      <c r="D777">
        <v>10</v>
      </c>
      <c r="E777" s="2" t="s">
        <v>874</v>
      </c>
      <c r="F777" s="29">
        <v>0</v>
      </c>
      <c r="G777" s="30">
        <v>0.83206106870229013</v>
      </c>
      <c r="H777" s="30">
        <v>0.80373831775700932</v>
      </c>
      <c r="I777" s="37">
        <v>440.99</v>
      </c>
      <c r="J777" s="37">
        <v>425.98</v>
      </c>
      <c r="K777" s="32">
        <v>56</v>
      </c>
      <c r="L777" s="32">
        <v>43</v>
      </c>
      <c r="M777" s="32">
        <v>24695.439999999999</v>
      </c>
      <c r="N777" s="32">
        <v>18317.14</v>
      </c>
      <c r="O777" s="32">
        <v>43012.58</v>
      </c>
      <c r="P777" s="32">
        <f t="shared" si="11"/>
        <v>41110.550000000003</v>
      </c>
      <c r="Q777" s="32"/>
      <c r="R777" s="32"/>
      <c r="S777" s="2"/>
      <c r="T777" s="2"/>
      <c r="V777" s="2"/>
      <c r="W777" s="2"/>
      <c r="X777" s="30"/>
      <c r="Y777" s="30"/>
      <c r="Z777" s="32"/>
      <c r="AA777" s="32"/>
      <c r="AB777" s="32"/>
      <c r="AC777" s="32"/>
      <c r="AD777" s="32"/>
      <c r="AE777" s="32"/>
      <c r="AF777" s="32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</row>
    <row r="778" spans="1:50" x14ac:dyDescent="0.25">
      <c r="A778">
        <v>2135</v>
      </c>
      <c r="B778" s="2">
        <v>1</v>
      </c>
      <c r="C778" s="2" t="s">
        <v>875</v>
      </c>
      <c r="D778">
        <v>25</v>
      </c>
      <c r="E778" s="2" t="s">
        <v>876</v>
      </c>
      <c r="F778" s="29">
        <v>0</v>
      </c>
      <c r="G778" s="30">
        <v>0.90109890109890112</v>
      </c>
      <c r="H778" s="30">
        <v>0.75728155339805825</v>
      </c>
      <c r="I778" s="37">
        <v>477.58</v>
      </c>
      <c r="J778" s="37">
        <v>401.36</v>
      </c>
      <c r="K778" s="32">
        <v>24</v>
      </c>
      <c r="L778" s="32">
        <v>43</v>
      </c>
      <c r="M778" s="32">
        <v>11461.92</v>
      </c>
      <c r="N778" s="32">
        <v>17258.48</v>
      </c>
      <c r="O778" s="32">
        <v>28720.400000000001</v>
      </c>
      <c r="P778" s="32">
        <f t="shared" si="11"/>
        <v>27450.38</v>
      </c>
      <c r="Q778" s="32"/>
      <c r="R778" s="32"/>
      <c r="S778" s="2"/>
      <c r="T778" s="2"/>
      <c r="V778" s="2"/>
      <c r="W778" s="2"/>
      <c r="X778" s="30"/>
      <c r="Y778" s="30"/>
      <c r="Z778" s="32"/>
      <c r="AA778" s="32"/>
      <c r="AB778" s="32"/>
      <c r="AC778" s="32"/>
      <c r="AD778" s="32"/>
      <c r="AE778" s="32"/>
      <c r="AF778" s="32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 spans="1:50" x14ac:dyDescent="0.25">
      <c r="A779">
        <v>2135</v>
      </c>
      <c r="B779" s="2">
        <v>1</v>
      </c>
      <c r="C779" s="2" t="s">
        <v>875</v>
      </c>
      <c r="D779">
        <v>35</v>
      </c>
      <c r="E779" s="2" t="s">
        <v>877</v>
      </c>
      <c r="F779" s="29">
        <v>0</v>
      </c>
      <c r="G779" s="30">
        <v>0.80714285714285716</v>
      </c>
      <c r="H779" s="30">
        <v>0.77702702702702697</v>
      </c>
      <c r="I779" s="37">
        <v>427.79</v>
      </c>
      <c r="J779" s="37">
        <v>411.82</v>
      </c>
      <c r="K779" s="32">
        <v>44</v>
      </c>
      <c r="L779" s="32">
        <v>48</v>
      </c>
      <c r="M779" s="32">
        <v>18822.759999999998</v>
      </c>
      <c r="N779" s="32">
        <v>19767.36</v>
      </c>
      <c r="O779" s="32">
        <v>38590.119999999995</v>
      </c>
      <c r="P779" s="32">
        <f t="shared" si="11"/>
        <v>36883.660000000003</v>
      </c>
      <c r="Q779" s="32"/>
      <c r="R779" s="32"/>
      <c r="S779" s="2"/>
      <c r="T779" s="2"/>
      <c r="V779" s="2"/>
      <c r="W779" s="2"/>
      <c r="X779" s="30"/>
      <c r="Y779" s="30"/>
      <c r="Z779" s="32"/>
      <c r="AA779" s="32"/>
      <c r="AB779" s="32"/>
      <c r="AC779" s="32"/>
      <c r="AD779" s="32"/>
      <c r="AE779" s="32"/>
      <c r="AF779" s="32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</row>
    <row r="780" spans="1:50" x14ac:dyDescent="0.25">
      <c r="A780">
        <v>2135</v>
      </c>
      <c r="B780" s="2">
        <v>1</v>
      </c>
      <c r="C780" s="2" t="s">
        <v>1371</v>
      </c>
      <c r="D780">
        <v>50</v>
      </c>
      <c r="E780" s="2" t="s">
        <v>1372</v>
      </c>
      <c r="F780" s="29">
        <v>1</v>
      </c>
      <c r="G780" s="30" t="s">
        <v>1328</v>
      </c>
      <c r="H780" s="30" t="s">
        <v>1328</v>
      </c>
      <c r="I780" s="37" t="s">
        <v>1328</v>
      </c>
      <c r="J780" s="37" t="s">
        <v>1328</v>
      </c>
      <c r="K780" s="32">
        <v>0</v>
      </c>
      <c r="L780" s="32">
        <v>0</v>
      </c>
      <c r="M780" s="32" t="s">
        <v>1328</v>
      </c>
      <c r="N780" s="32" t="s">
        <v>1328</v>
      </c>
      <c r="O780" s="32">
        <v>0</v>
      </c>
      <c r="P780" s="32">
        <f t="shared" si="11"/>
        <v>0</v>
      </c>
      <c r="Q780" s="32"/>
      <c r="R780" s="32"/>
      <c r="S780" s="3"/>
      <c r="T780" s="3"/>
      <c r="V780" s="27"/>
      <c r="W780" s="2"/>
      <c r="X780" s="30"/>
      <c r="Y780" s="30"/>
      <c r="Z780" s="32"/>
      <c r="AA780" s="32"/>
      <c r="AB780" s="32"/>
      <c r="AC780" s="32"/>
      <c r="AD780" s="32"/>
      <c r="AE780" s="32"/>
      <c r="AF780" s="32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 spans="1:50" x14ac:dyDescent="0.25">
      <c r="A781">
        <v>2137</v>
      </c>
      <c r="B781" s="2">
        <v>1</v>
      </c>
      <c r="C781" s="2" t="s">
        <v>878</v>
      </c>
      <c r="D781">
        <v>15</v>
      </c>
      <c r="E781" s="2" t="s">
        <v>879</v>
      </c>
      <c r="F781" s="29">
        <v>1</v>
      </c>
      <c r="G781" s="30" t="s">
        <v>1328</v>
      </c>
      <c r="H781" s="30" t="s">
        <v>1328</v>
      </c>
      <c r="I781" s="37" t="s">
        <v>1328</v>
      </c>
      <c r="J781" s="37" t="s">
        <v>1328</v>
      </c>
      <c r="K781" s="32">
        <v>42</v>
      </c>
      <c r="L781" s="32">
        <v>0</v>
      </c>
      <c r="M781" s="32" t="s">
        <v>1328</v>
      </c>
      <c r="N781" s="32" t="s">
        <v>1328</v>
      </c>
      <c r="O781" s="32">
        <v>18228.84</v>
      </c>
      <c r="P781" s="32">
        <f t="shared" si="11"/>
        <v>17422.759999999998</v>
      </c>
      <c r="Q781" s="32"/>
      <c r="R781" s="32"/>
      <c r="S781" s="2"/>
      <c r="T781" s="2"/>
      <c r="V781" s="2"/>
      <c r="W781" s="2"/>
      <c r="X781" s="30"/>
      <c r="Y781" s="30"/>
      <c r="Z781" s="32"/>
      <c r="AA781" s="32"/>
      <c r="AB781" s="32"/>
      <c r="AC781" s="32"/>
      <c r="AD781" s="32"/>
      <c r="AE781" s="32"/>
      <c r="AF781" s="32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</row>
    <row r="782" spans="1:50" x14ac:dyDescent="0.25">
      <c r="A782">
        <v>2137</v>
      </c>
      <c r="B782" s="2">
        <v>1</v>
      </c>
      <c r="C782" s="2" t="s">
        <v>878</v>
      </c>
      <c r="D782">
        <v>20</v>
      </c>
      <c r="E782" s="2" t="s">
        <v>880</v>
      </c>
      <c r="F782" s="29">
        <v>1</v>
      </c>
      <c r="G782" s="30" t="s">
        <v>1328</v>
      </c>
      <c r="H782" s="30" t="s">
        <v>1328</v>
      </c>
      <c r="I782" s="37" t="s">
        <v>1328</v>
      </c>
      <c r="J782" s="37" t="s">
        <v>1328</v>
      </c>
      <c r="K782" s="32">
        <v>0</v>
      </c>
      <c r="L782" s="32">
        <v>41</v>
      </c>
      <c r="M782" s="32" t="s">
        <v>1328</v>
      </c>
      <c r="N782" s="32" t="s">
        <v>1328</v>
      </c>
      <c r="O782" s="32">
        <v>16715.29</v>
      </c>
      <c r="P782" s="32">
        <f t="shared" si="11"/>
        <v>15976.14</v>
      </c>
      <c r="Q782" s="32"/>
      <c r="R782" s="32"/>
      <c r="W782" s="2"/>
      <c r="X782" s="30"/>
      <c r="Y782" s="30"/>
      <c r="Z782" s="32"/>
      <c r="AA782" s="32"/>
      <c r="AB782" s="32"/>
      <c r="AC782" s="32"/>
      <c r="AD782" s="32"/>
      <c r="AE782" s="32"/>
      <c r="AF782" s="32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 spans="1:50" x14ac:dyDescent="0.25">
      <c r="A783">
        <v>2142</v>
      </c>
      <c r="B783" s="2">
        <v>1</v>
      </c>
      <c r="C783" s="2" t="s">
        <v>881</v>
      </c>
      <c r="D783">
        <v>10</v>
      </c>
      <c r="E783" s="2" t="s">
        <v>882</v>
      </c>
      <c r="F783" s="29">
        <v>0</v>
      </c>
      <c r="G783" s="30">
        <v>0.68852459016393441</v>
      </c>
      <c r="H783" s="30">
        <v>0.82352941176470584</v>
      </c>
      <c r="I783" s="37">
        <v>364.92</v>
      </c>
      <c r="J783" s="37">
        <v>436.47</v>
      </c>
      <c r="K783" s="32">
        <v>25</v>
      </c>
      <c r="L783" s="32">
        <v>14</v>
      </c>
      <c r="M783" s="32">
        <v>9123</v>
      </c>
      <c r="N783" s="32">
        <v>6110.58</v>
      </c>
      <c r="O783" s="32">
        <v>15233.58</v>
      </c>
      <c r="P783" s="32">
        <f t="shared" si="11"/>
        <v>14559.95</v>
      </c>
      <c r="Q783" s="32"/>
      <c r="R783" s="32"/>
      <c r="S783" s="2"/>
      <c r="T783" s="2"/>
      <c r="V783" s="2"/>
      <c r="W783" s="2"/>
      <c r="X783" s="30"/>
      <c r="Y783" s="30"/>
      <c r="Z783" s="32"/>
      <c r="AA783" s="32"/>
      <c r="AB783" s="32"/>
      <c r="AC783" s="32"/>
      <c r="AD783" s="32"/>
      <c r="AE783" s="32"/>
      <c r="AF783" s="32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</row>
    <row r="784" spans="1:50" x14ac:dyDescent="0.25">
      <c r="A784">
        <v>2142</v>
      </c>
      <c r="B784" s="2">
        <v>1</v>
      </c>
      <c r="C784" s="2" t="s">
        <v>881</v>
      </c>
      <c r="D784">
        <v>16</v>
      </c>
      <c r="E784" s="2" t="s">
        <v>883</v>
      </c>
      <c r="F784" s="29">
        <v>1</v>
      </c>
      <c r="G784" s="30" t="s">
        <v>1328</v>
      </c>
      <c r="H784" s="30" t="s">
        <v>1328</v>
      </c>
      <c r="I784" s="37" t="s">
        <v>1328</v>
      </c>
      <c r="J784" s="37" t="s">
        <v>1328</v>
      </c>
      <c r="K784" s="32">
        <v>0</v>
      </c>
      <c r="L784" s="32">
        <v>0</v>
      </c>
      <c r="M784" s="32" t="s">
        <v>1328</v>
      </c>
      <c r="N784" s="32" t="s">
        <v>1328</v>
      </c>
      <c r="O784" s="32">
        <v>0</v>
      </c>
      <c r="P784" s="32">
        <f t="shared" ref="P784:P847" si="12">ROUND(O784*P$11,2)</f>
        <v>0</v>
      </c>
      <c r="Q784" s="32"/>
      <c r="R784" s="32"/>
      <c r="S784" s="2"/>
      <c r="T784" s="2"/>
      <c r="V784" s="2"/>
      <c r="W784" s="2"/>
      <c r="X784" s="30"/>
      <c r="Y784" s="30"/>
      <c r="Z784" s="32"/>
      <c r="AA784" s="32"/>
      <c r="AB784" s="32"/>
      <c r="AC784" s="32"/>
      <c r="AD784" s="32"/>
      <c r="AE784" s="32"/>
      <c r="AF784" s="32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 spans="1:50" x14ac:dyDescent="0.25">
      <c r="A785">
        <v>2142</v>
      </c>
      <c r="B785" s="2">
        <v>1</v>
      </c>
      <c r="C785" s="2" t="s">
        <v>881</v>
      </c>
      <c r="D785">
        <v>20</v>
      </c>
      <c r="E785" s="2" t="s">
        <v>884</v>
      </c>
      <c r="F785" s="29">
        <v>0</v>
      </c>
      <c r="G785" s="30">
        <v>0.82608695652173914</v>
      </c>
      <c r="H785" s="30">
        <v>0.6</v>
      </c>
      <c r="I785" s="37">
        <v>437.83</v>
      </c>
      <c r="J785" s="37">
        <v>318</v>
      </c>
      <c r="K785" s="32">
        <v>10</v>
      </c>
      <c r="L785" s="32">
        <v>14</v>
      </c>
      <c r="M785" s="32">
        <v>4378.3</v>
      </c>
      <c r="N785" s="32">
        <v>4452</v>
      </c>
      <c r="O785" s="32">
        <v>8830.2999999999993</v>
      </c>
      <c r="P785" s="32">
        <f t="shared" si="12"/>
        <v>8439.82</v>
      </c>
      <c r="Q785" s="32"/>
      <c r="R785" s="32"/>
      <c r="S785" s="2"/>
      <c r="T785" s="2"/>
      <c r="V785" s="2"/>
      <c r="W785" s="2"/>
      <c r="X785" s="30"/>
      <c r="Y785" s="30"/>
      <c r="Z785" s="32"/>
      <c r="AA785" s="32"/>
      <c r="AB785" s="32"/>
      <c r="AC785" s="32"/>
      <c r="AD785" s="32"/>
      <c r="AE785" s="32"/>
      <c r="AF785" s="32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</row>
    <row r="786" spans="1:50" x14ac:dyDescent="0.25">
      <c r="A786">
        <v>2142</v>
      </c>
      <c r="B786" s="2">
        <v>1</v>
      </c>
      <c r="C786" s="2" t="s">
        <v>1244</v>
      </c>
      <c r="D786">
        <v>40</v>
      </c>
      <c r="E786" s="2" t="s">
        <v>1300</v>
      </c>
      <c r="F786" s="29">
        <v>0</v>
      </c>
      <c r="G786" s="30">
        <v>0.74285714285714288</v>
      </c>
      <c r="H786" s="30">
        <v>0.61111111111111116</v>
      </c>
      <c r="I786" s="37">
        <v>393.71</v>
      </c>
      <c r="J786" s="37">
        <v>323.89</v>
      </c>
      <c r="K786" s="32">
        <v>35</v>
      </c>
      <c r="L786" s="32">
        <v>39</v>
      </c>
      <c r="M786" s="32">
        <v>13779.85</v>
      </c>
      <c r="N786" s="32">
        <v>12631.71</v>
      </c>
      <c r="O786" s="32">
        <v>26411.559999999998</v>
      </c>
      <c r="P786" s="32">
        <f t="shared" si="12"/>
        <v>25243.63</v>
      </c>
      <c r="Q786" s="32"/>
      <c r="R786" s="32"/>
      <c r="S786" s="3"/>
      <c r="T786" s="3"/>
      <c r="V786" s="27"/>
      <c r="W786" s="2"/>
      <c r="X786" s="30"/>
      <c r="Y786" s="30"/>
      <c r="Z786" s="32"/>
      <c r="AA786" s="32"/>
      <c r="AB786" s="32"/>
      <c r="AC786" s="32"/>
      <c r="AD786" s="32"/>
      <c r="AE786" s="32"/>
      <c r="AF786" s="32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 spans="1:50" x14ac:dyDescent="0.25">
      <c r="A787">
        <v>2142</v>
      </c>
      <c r="B787" s="2">
        <v>1</v>
      </c>
      <c r="C787" s="2" t="s">
        <v>1244</v>
      </c>
      <c r="D787">
        <v>50</v>
      </c>
      <c r="E787" s="2" t="s">
        <v>1301</v>
      </c>
      <c r="F787" s="29">
        <v>0</v>
      </c>
      <c r="G787" s="30">
        <v>0.82352941176470584</v>
      </c>
      <c r="H787" s="30">
        <v>0.72340425531914898</v>
      </c>
      <c r="I787" s="37">
        <v>436.47</v>
      </c>
      <c r="J787" s="37">
        <v>383.4</v>
      </c>
      <c r="K787" s="32">
        <v>33</v>
      </c>
      <c r="L787" s="32">
        <v>51</v>
      </c>
      <c r="M787" s="32">
        <v>14403.51</v>
      </c>
      <c r="N787" s="32">
        <v>19553.400000000001</v>
      </c>
      <c r="O787" s="32">
        <v>33956.910000000003</v>
      </c>
      <c r="P787" s="32">
        <f t="shared" si="12"/>
        <v>32455.33</v>
      </c>
      <c r="Q787" s="32"/>
      <c r="R787" s="32"/>
      <c r="S787" s="3"/>
      <c r="T787" s="3"/>
      <c r="V787" s="27"/>
      <c r="W787" s="2"/>
      <c r="X787" s="30"/>
      <c r="Y787" s="30"/>
      <c r="Z787" s="32"/>
      <c r="AA787" s="32"/>
      <c r="AB787" s="32"/>
      <c r="AC787" s="32"/>
      <c r="AD787" s="32"/>
      <c r="AE787" s="32"/>
      <c r="AF787" s="32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</row>
    <row r="788" spans="1:50" x14ac:dyDescent="0.25">
      <c r="A788">
        <v>2142</v>
      </c>
      <c r="B788" s="2">
        <v>1</v>
      </c>
      <c r="C788" s="2" t="s">
        <v>881</v>
      </c>
      <c r="D788">
        <v>96</v>
      </c>
      <c r="E788" s="2" t="s">
        <v>885</v>
      </c>
      <c r="F788" s="29">
        <v>0</v>
      </c>
      <c r="G788" s="30">
        <v>0.91891891891891897</v>
      </c>
      <c r="H788" s="30">
        <v>0.78947368421052633</v>
      </c>
      <c r="I788" s="37">
        <v>487.03</v>
      </c>
      <c r="J788" s="37">
        <v>418.42</v>
      </c>
      <c r="K788" s="32">
        <v>34</v>
      </c>
      <c r="L788" s="32">
        <v>16</v>
      </c>
      <c r="M788" s="32">
        <v>16559.02</v>
      </c>
      <c r="N788" s="32">
        <v>6694.72</v>
      </c>
      <c r="O788" s="32">
        <v>23253.74</v>
      </c>
      <c r="P788" s="32">
        <f t="shared" si="12"/>
        <v>22225.45</v>
      </c>
      <c r="Q788" s="32"/>
      <c r="R788" s="32"/>
      <c r="S788" s="2"/>
      <c r="T788" s="2"/>
      <c r="V788" s="2"/>
      <c r="W788" s="2"/>
      <c r="X788" s="30"/>
      <c r="Y788" s="30"/>
      <c r="Z788" s="32"/>
      <c r="AA788" s="32"/>
      <c r="AB788" s="32"/>
      <c r="AC788" s="32"/>
      <c r="AD788" s="32"/>
      <c r="AE788" s="32"/>
      <c r="AF788" s="32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 spans="1:50" x14ac:dyDescent="0.25">
      <c r="A789">
        <v>2142</v>
      </c>
      <c r="B789">
        <v>1</v>
      </c>
      <c r="C789" t="s">
        <v>1244</v>
      </c>
      <c r="D789">
        <v>100</v>
      </c>
      <c r="E789" t="s">
        <v>1245</v>
      </c>
      <c r="F789" s="1">
        <v>1</v>
      </c>
      <c r="G789" s="30" t="s">
        <v>1328</v>
      </c>
      <c r="H789" s="30" t="s">
        <v>1328</v>
      </c>
      <c r="I789" s="37" t="s">
        <v>1328</v>
      </c>
      <c r="J789" s="37" t="s">
        <v>1328</v>
      </c>
      <c r="K789" s="32">
        <v>0</v>
      </c>
      <c r="L789" s="32">
        <v>0</v>
      </c>
      <c r="M789" s="32" t="s">
        <v>1328</v>
      </c>
      <c r="N789" s="32" t="s">
        <v>1328</v>
      </c>
      <c r="O789" s="32">
        <v>0</v>
      </c>
      <c r="P789" s="32">
        <f t="shared" si="12"/>
        <v>0</v>
      </c>
      <c r="Q789" s="32"/>
      <c r="R789" s="32"/>
      <c r="S789" s="2"/>
      <c r="T789" s="2"/>
      <c r="V789" s="2"/>
      <c r="W789" s="2"/>
      <c r="X789" s="30"/>
      <c r="Y789" s="30"/>
      <c r="Z789" s="32"/>
      <c r="AA789" s="32"/>
      <c r="AB789" s="32"/>
      <c r="AC789" s="32"/>
      <c r="AD789" s="32"/>
      <c r="AE789" s="32"/>
      <c r="AF789" s="32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</row>
    <row r="790" spans="1:50" x14ac:dyDescent="0.25">
      <c r="A790">
        <v>2142</v>
      </c>
      <c r="B790" s="2">
        <v>1</v>
      </c>
      <c r="C790" s="2" t="s">
        <v>881</v>
      </c>
      <c r="D790">
        <v>114</v>
      </c>
      <c r="E790" s="2" t="s">
        <v>886</v>
      </c>
      <c r="F790" s="29">
        <v>1</v>
      </c>
      <c r="G790" s="30" t="s">
        <v>1328</v>
      </c>
      <c r="H790" s="30" t="s">
        <v>1328</v>
      </c>
      <c r="I790" s="37" t="s">
        <v>1328</v>
      </c>
      <c r="J790" s="37" t="s">
        <v>1328</v>
      </c>
      <c r="K790" s="32">
        <v>0</v>
      </c>
      <c r="L790" s="32">
        <v>0</v>
      </c>
      <c r="M790" s="32" t="s">
        <v>1328</v>
      </c>
      <c r="N790" s="32" t="s">
        <v>1328</v>
      </c>
      <c r="O790" s="32">
        <v>0</v>
      </c>
      <c r="P790" s="32">
        <f t="shared" si="12"/>
        <v>0</v>
      </c>
      <c r="Q790" s="32"/>
      <c r="R790" s="32"/>
      <c r="S790" s="2"/>
      <c r="T790" s="2"/>
      <c r="V790" s="2"/>
      <c r="W790" s="2"/>
      <c r="X790" s="30"/>
      <c r="Y790" s="30"/>
      <c r="Z790" s="32"/>
      <c r="AA790" s="32"/>
      <c r="AB790" s="32"/>
      <c r="AC790" s="32"/>
      <c r="AD790" s="32"/>
      <c r="AE790" s="32"/>
      <c r="AF790" s="32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 spans="1:50" x14ac:dyDescent="0.25">
      <c r="A791">
        <v>2142</v>
      </c>
      <c r="B791" s="2">
        <v>1</v>
      </c>
      <c r="C791" s="2" t="s">
        <v>1244</v>
      </c>
      <c r="D791">
        <v>142</v>
      </c>
      <c r="E791" s="2" t="s">
        <v>1246</v>
      </c>
      <c r="F791" s="29">
        <v>1</v>
      </c>
      <c r="G791" s="30" t="s">
        <v>1328</v>
      </c>
      <c r="H791" s="30" t="s">
        <v>1328</v>
      </c>
      <c r="I791" s="37" t="s">
        <v>1328</v>
      </c>
      <c r="J791" s="37" t="s">
        <v>1328</v>
      </c>
      <c r="K791" s="32">
        <v>0</v>
      </c>
      <c r="L791" s="32">
        <v>0</v>
      </c>
      <c r="M791" s="32" t="s">
        <v>1328</v>
      </c>
      <c r="N791" s="32" t="s">
        <v>1328</v>
      </c>
      <c r="O791" s="32">
        <v>0</v>
      </c>
      <c r="P791" s="32">
        <f t="shared" si="12"/>
        <v>0</v>
      </c>
      <c r="Q791" s="32"/>
      <c r="R791" s="32"/>
      <c r="S791" s="2"/>
      <c r="T791" s="2"/>
      <c r="V791" s="2"/>
      <c r="W791" s="2"/>
      <c r="X791" s="30"/>
      <c r="Y791" s="30"/>
      <c r="Z791" s="32"/>
      <c r="AA791" s="32"/>
      <c r="AB791" s="32"/>
      <c r="AC791" s="32"/>
      <c r="AD791" s="32"/>
      <c r="AE791" s="32"/>
      <c r="AF791" s="32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</row>
    <row r="792" spans="1:50" x14ac:dyDescent="0.25">
      <c r="A792">
        <v>2143</v>
      </c>
      <c r="B792" s="2">
        <v>1</v>
      </c>
      <c r="C792" s="2" t="s">
        <v>887</v>
      </c>
      <c r="D792">
        <v>30</v>
      </c>
      <c r="E792" s="2" t="s">
        <v>888</v>
      </c>
      <c r="F792" s="29">
        <v>0</v>
      </c>
      <c r="G792" s="30">
        <v>0.87777777777777777</v>
      </c>
      <c r="H792" s="30">
        <v>0.71856287425149701</v>
      </c>
      <c r="I792" s="37">
        <v>465.22</v>
      </c>
      <c r="J792" s="37">
        <v>380.84</v>
      </c>
      <c r="K792" s="32">
        <v>57</v>
      </c>
      <c r="L792" s="32">
        <v>52</v>
      </c>
      <c r="M792" s="32">
        <v>26517.54</v>
      </c>
      <c r="N792" s="32">
        <v>19803.68</v>
      </c>
      <c r="O792" s="32">
        <v>46321.22</v>
      </c>
      <c r="P792" s="32">
        <f t="shared" si="12"/>
        <v>44272.88</v>
      </c>
      <c r="Q792" s="32"/>
      <c r="R792" s="32"/>
      <c r="S792" s="2"/>
      <c r="T792" s="2"/>
      <c r="V792" s="2"/>
      <c r="W792" s="2"/>
      <c r="X792" s="30"/>
      <c r="Y792" s="30"/>
      <c r="Z792" s="32"/>
      <c r="AA792" s="32"/>
      <c r="AB792" s="32"/>
      <c r="AC792" s="32"/>
      <c r="AD792" s="32"/>
      <c r="AE792" s="32"/>
      <c r="AF792" s="32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 spans="1:50" x14ac:dyDescent="0.25">
      <c r="A793">
        <v>2144</v>
      </c>
      <c r="B793" s="2">
        <v>1</v>
      </c>
      <c r="C793" s="2" t="s">
        <v>889</v>
      </c>
      <c r="D793">
        <v>1</v>
      </c>
      <c r="E793" s="2" t="s">
        <v>890</v>
      </c>
      <c r="F793" s="29">
        <v>1</v>
      </c>
      <c r="G793" s="30" t="s">
        <v>1328</v>
      </c>
      <c r="H793" s="30" t="s">
        <v>1328</v>
      </c>
      <c r="I793" s="37" t="s">
        <v>1328</v>
      </c>
      <c r="J793" s="37" t="s">
        <v>1328</v>
      </c>
      <c r="K793" s="32">
        <v>82</v>
      </c>
      <c r="L793" s="32">
        <v>0</v>
      </c>
      <c r="M793" s="32" t="s">
        <v>1328</v>
      </c>
      <c r="N793" s="32" t="s">
        <v>1328</v>
      </c>
      <c r="O793" s="32">
        <v>38529.339999999997</v>
      </c>
      <c r="P793" s="32">
        <f t="shared" si="12"/>
        <v>36825.56</v>
      </c>
      <c r="Q793" s="32"/>
      <c r="R793" s="32"/>
      <c r="S793" s="2"/>
      <c r="T793" s="2"/>
      <c r="V793" s="2"/>
      <c r="W793" s="2"/>
      <c r="X793" s="30"/>
      <c r="Y793" s="30"/>
      <c r="Z793" s="32"/>
      <c r="AA793" s="32"/>
      <c r="AB793" s="32"/>
      <c r="AC793" s="32"/>
      <c r="AD793" s="32"/>
      <c r="AE793" s="32"/>
      <c r="AF793" s="32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</row>
    <row r="794" spans="1:50" x14ac:dyDescent="0.25">
      <c r="A794">
        <v>2144</v>
      </c>
      <c r="B794" s="2">
        <v>1</v>
      </c>
      <c r="C794" s="2" t="s">
        <v>889</v>
      </c>
      <c r="D794">
        <v>2</v>
      </c>
      <c r="E794" s="2" t="s">
        <v>891</v>
      </c>
      <c r="F794" s="29">
        <v>0</v>
      </c>
      <c r="G794" s="30">
        <v>0.86092715231788075</v>
      </c>
      <c r="H794" s="30">
        <v>0.70967741935483875</v>
      </c>
      <c r="I794" s="37">
        <v>456.29</v>
      </c>
      <c r="J794" s="37">
        <v>376.13</v>
      </c>
      <c r="K794" s="32">
        <v>103</v>
      </c>
      <c r="L794" s="32">
        <v>170</v>
      </c>
      <c r="M794" s="32">
        <v>46997.87</v>
      </c>
      <c r="N794" s="32">
        <v>63942.1</v>
      </c>
      <c r="O794" s="32">
        <v>110939.97</v>
      </c>
      <c r="P794" s="32">
        <f t="shared" si="12"/>
        <v>106034.18</v>
      </c>
      <c r="Q794" s="32"/>
      <c r="R794" s="32"/>
      <c r="S794" s="2"/>
      <c r="T794" s="2"/>
      <c r="V794" s="2"/>
      <c r="W794" s="2"/>
      <c r="X794" s="30"/>
      <c r="Y794" s="30"/>
      <c r="Z794" s="32"/>
      <c r="AA794" s="32"/>
      <c r="AB794" s="32"/>
      <c r="AC794" s="32"/>
      <c r="AD794" s="32"/>
      <c r="AE794" s="32"/>
      <c r="AF794" s="32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 spans="1:50" x14ac:dyDescent="0.25">
      <c r="A795">
        <v>2144</v>
      </c>
      <c r="B795" s="2">
        <v>1</v>
      </c>
      <c r="C795" s="2" t="s">
        <v>889</v>
      </c>
      <c r="D795">
        <v>6</v>
      </c>
      <c r="E795" s="2" t="s">
        <v>892</v>
      </c>
      <c r="F795" s="29">
        <v>0</v>
      </c>
      <c r="G795" s="30">
        <v>0.88700564971751417</v>
      </c>
      <c r="H795" s="30">
        <v>0.79329608938547491</v>
      </c>
      <c r="I795" s="37">
        <v>470.11</v>
      </c>
      <c r="J795" s="37">
        <v>420.45</v>
      </c>
      <c r="K795" s="32">
        <v>59</v>
      </c>
      <c r="L795" s="32">
        <v>71</v>
      </c>
      <c r="M795" s="32">
        <v>27736.49</v>
      </c>
      <c r="N795" s="32">
        <v>29851.95</v>
      </c>
      <c r="O795" s="32">
        <v>57588.44</v>
      </c>
      <c r="P795" s="32">
        <f t="shared" si="12"/>
        <v>55041.87</v>
      </c>
      <c r="Q795" s="32"/>
      <c r="R795" s="32"/>
      <c r="S795" s="2"/>
      <c r="T795" s="2"/>
      <c r="V795" s="2"/>
      <c r="W795" s="2"/>
      <c r="X795" s="30"/>
      <c r="Y795" s="30"/>
      <c r="Z795" s="32"/>
      <c r="AA795" s="32"/>
      <c r="AB795" s="32"/>
      <c r="AC795" s="32"/>
      <c r="AD795" s="32"/>
      <c r="AE795" s="32"/>
      <c r="AF795" s="32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</row>
    <row r="796" spans="1:50" x14ac:dyDescent="0.25">
      <c r="A796">
        <v>2149</v>
      </c>
      <c r="B796" s="2">
        <v>1</v>
      </c>
      <c r="C796" s="2" t="s">
        <v>893</v>
      </c>
      <c r="D796">
        <v>70</v>
      </c>
      <c r="E796" s="2" t="s">
        <v>894</v>
      </c>
      <c r="F796" s="29">
        <v>0</v>
      </c>
      <c r="G796" s="30">
        <v>0.95022624434389136</v>
      </c>
      <c r="H796" s="30">
        <v>0.75490196078431371</v>
      </c>
      <c r="I796" s="37">
        <v>503.62</v>
      </c>
      <c r="J796" s="37">
        <v>400.1</v>
      </c>
      <c r="K796" s="32">
        <v>86</v>
      </c>
      <c r="L796" s="32">
        <v>81</v>
      </c>
      <c r="M796" s="32">
        <v>43311.32</v>
      </c>
      <c r="N796" s="32">
        <v>32408.1</v>
      </c>
      <c r="O796" s="32">
        <v>75719.42</v>
      </c>
      <c r="P796" s="32">
        <f t="shared" si="12"/>
        <v>72371.09</v>
      </c>
      <c r="Q796" s="32"/>
      <c r="R796" s="32"/>
      <c r="S796" s="2"/>
      <c r="T796" s="2"/>
      <c r="V796" s="2"/>
      <c r="W796" s="2"/>
      <c r="X796" s="30"/>
      <c r="Y796" s="30"/>
      <c r="Z796" s="32"/>
      <c r="AA796" s="32"/>
      <c r="AB796" s="32"/>
      <c r="AC796" s="32"/>
      <c r="AD796" s="32"/>
      <c r="AE796" s="32"/>
      <c r="AF796" s="32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 spans="1:50" x14ac:dyDescent="0.25">
      <c r="A797" s="7">
        <v>2149</v>
      </c>
      <c r="B797" s="7">
        <v>1</v>
      </c>
      <c r="C797" s="7" t="s">
        <v>1247</v>
      </c>
      <c r="D797" s="7">
        <v>101</v>
      </c>
      <c r="E797" s="7" t="s">
        <v>1248</v>
      </c>
      <c r="F797" s="38">
        <v>1</v>
      </c>
      <c r="G797" s="30" t="s">
        <v>1328</v>
      </c>
      <c r="H797" s="30" t="s">
        <v>1328</v>
      </c>
      <c r="I797" s="37" t="s">
        <v>1328</v>
      </c>
      <c r="J797" s="37" t="s">
        <v>1328</v>
      </c>
      <c r="K797" s="32">
        <v>3</v>
      </c>
      <c r="L797" s="32">
        <v>1</v>
      </c>
      <c r="M797" s="32" t="s">
        <v>1328</v>
      </c>
      <c r="N797" s="32" t="s">
        <v>1328</v>
      </c>
      <c r="O797" s="32">
        <v>1037.92</v>
      </c>
      <c r="P797" s="32">
        <f t="shared" si="12"/>
        <v>992.02</v>
      </c>
      <c r="Q797" s="32"/>
      <c r="R797" s="32"/>
      <c r="S797" s="2"/>
      <c r="T797" s="2"/>
      <c r="V797" s="2"/>
      <c r="W797" s="2"/>
      <c r="X797" s="30"/>
      <c r="Y797" s="30"/>
      <c r="Z797" s="32"/>
      <c r="AA797" s="32"/>
      <c r="AB797" s="32"/>
      <c r="AC797" s="32"/>
      <c r="AD797" s="32"/>
      <c r="AE797" s="32"/>
      <c r="AF797" s="32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</row>
    <row r="798" spans="1:50" x14ac:dyDescent="0.25">
      <c r="A798">
        <v>2154</v>
      </c>
      <c r="B798" s="2">
        <v>1</v>
      </c>
      <c r="C798" s="2" t="s">
        <v>895</v>
      </c>
      <c r="D798">
        <v>10</v>
      </c>
      <c r="E798" s="2" t="s">
        <v>56</v>
      </c>
      <c r="F798" s="29">
        <v>0</v>
      </c>
      <c r="G798" s="30">
        <v>0.84545454545454546</v>
      </c>
      <c r="H798" s="30">
        <v>0.61375661375661372</v>
      </c>
      <c r="I798" s="37">
        <v>448.09</v>
      </c>
      <c r="J798" s="37">
        <v>325.29000000000002</v>
      </c>
      <c r="K798" s="32">
        <v>75</v>
      </c>
      <c r="L798" s="32">
        <v>74</v>
      </c>
      <c r="M798" s="32">
        <v>33606.75</v>
      </c>
      <c r="N798" s="32">
        <v>24071.46</v>
      </c>
      <c r="O798" s="32">
        <v>57678.21</v>
      </c>
      <c r="P798" s="32">
        <f t="shared" si="12"/>
        <v>55127.67</v>
      </c>
      <c r="Q798" s="32"/>
      <c r="R798" s="32"/>
      <c r="S798" s="2"/>
      <c r="T798" s="2"/>
      <c r="V798" s="2"/>
      <c r="W798" s="2"/>
      <c r="X798" s="30"/>
      <c r="Y798" s="30"/>
      <c r="Z798" s="32"/>
      <c r="AA798" s="32"/>
      <c r="AB798" s="32"/>
      <c r="AC798" s="32"/>
      <c r="AD798" s="32"/>
      <c r="AE798" s="32"/>
      <c r="AF798" s="32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 spans="1:50" x14ac:dyDescent="0.25">
      <c r="A799">
        <v>2154</v>
      </c>
      <c r="B799" s="2">
        <v>1</v>
      </c>
      <c r="C799" s="2" t="s">
        <v>895</v>
      </c>
      <c r="D799">
        <v>20</v>
      </c>
      <c r="E799" s="2" t="s">
        <v>896</v>
      </c>
      <c r="F799" s="29">
        <v>0</v>
      </c>
      <c r="G799" s="30">
        <v>0.86764705882352944</v>
      </c>
      <c r="H799" s="30">
        <v>0.86567164179104472</v>
      </c>
      <c r="I799" s="37">
        <v>459.85</v>
      </c>
      <c r="J799" s="37">
        <v>458.81</v>
      </c>
      <c r="K799" s="32">
        <v>22</v>
      </c>
      <c r="L799" s="32">
        <v>26</v>
      </c>
      <c r="M799" s="32">
        <v>10116.700000000001</v>
      </c>
      <c r="N799" s="32">
        <v>11929.06</v>
      </c>
      <c r="O799" s="32">
        <v>22045.760000000002</v>
      </c>
      <c r="P799" s="32">
        <f t="shared" si="12"/>
        <v>21070.89</v>
      </c>
      <c r="Q799" s="32"/>
      <c r="R799" s="32"/>
      <c r="S799" s="2"/>
      <c r="T799" s="2"/>
      <c r="V799" s="2"/>
      <c r="W799" s="2"/>
      <c r="X799" s="30"/>
      <c r="Y799" s="30"/>
      <c r="Z799" s="32"/>
      <c r="AA799" s="32"/>
      <c r="AB799" s="32"/>
      <c r="AC799" s="32"/>
      <c r="AD799" s="32"/>
      <c r="AE799" s="32"/>
      <c r="AF799" s="32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</row>
    <row r="800" spans="1:50" x14ac:dyDescent="0.25">
      <c r="A800">
        <v>2155</v>
      </c>
      <c r="B800" s="2">
        <v>1</v>
      </c>
      <c r="C800" s="2" t="s">
        <v>897</v>
      </c>
      <c r="D800">
        <v>2</v>
      </c>
      <c r="E800" s="2" t="s">
        <v>898</v>
      </c>
      <c r="F800" s="29">
        <v>0</v>
      </c>
      <c r="G800" s="30">
        <v>0.77272727272727271</v>
      </c>
      <c r="H800" s="30">
        <v>0.7142857142857143</v>
      </c>
      <c r="I800" s="37">
        <v>409.55</v>
      </c>
      <c r="J800" s="37">
        <v>378.57</v>
      </c>
      <c r="K800" s="32">
        <v>82</v>
      </c>
      <c r="L800" s="32">
        <v>63</v>
      </c>
      <c r="M800" s="32">
        <v>33583.1</v>
      </c>
      <c r="N800" s="32">
        <v>23849.91</v>
      </c>
      <c r="O800" s="32">
        <v>57433.009999999995</v>
      </c>
      <c r="P800" s="32">
        <f t="shared" si="12"/>
        <v>54893.31</v>
      </c>
      <c r="Q800" s="32"/>
      <c r="R800" s="32"/>
      <c r="S800" s="2"/>
      <c r="T800" s="2"/>
      <c r="V800" s="2"/>
      <c r="W800" s="2"/>
      <c r="X800" s="30"/>
      <c r="Y800" s="30"/>
      <c r="Z800" s="32"/>
      <c r="AA800" s="32"/>
      <c r="AB800" s="32"/>
      <c r="AC800" s="32"/>
      <c r="AD800" s="32"/>
      <c r="AE800" s="32"/>
      <c r="AF800" s="32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 spans="1:50" x14ac:dyDescent="0.25">
      <c r="A801">
        <v>2159</v>
      </c>
      <c r="B801" s="2">
        <v>1</v>
      </c>
      <c r="C801" s="2" t="s">
        <v>899</v>
      </c>
      <c r="D801">
        <v>10</v>
      </c>
      <c r="E801" s="2" t="s">
        <v>900</v>
      </c>
      <c r="F801" s="29">
        <v>0</v>
      </c>
      <c r="G801" s="30">
        <v>0.9327731092436975</v>
      </c>
      <c r="H801" s="30">
        <v>0.84403669724770647</v>
      </c>
      <c r="I801" s="37">
        <v>494.37</v>
      </c>
      <c r="J801" s="37">
        <v>447.34</v>
      </c>
      <c r="K801" s="32">
        <v>46</v>
      </c>
      <c r="L801" s="32">
        <v>41</v>
      </c>
      <c r="M801" s="32">
        <v>22741.02</v>
      </c>
      <c r="N801" s="32">
        <v>18340.939999999999</v>
      </c>
      <c r="O801" s="32">
        <v>41081.96</v>
      </c>
      <c r="P801" s="32">
        <f t="shared" si="12"/>
        <v>39265.31</v>
      </c>
      <c r="Q801" s="32"/>
      <c r="R801" s="32"/>
      <c r="S801" s="2"/>
      <c r="T801" s="2"/>
      <c r="V801" s="2"/>
      <c r="W801" s="2"/>
      <c r="X801" s="30"/>
      <c r="Y801" s="30"/>
      <c r="Z801" s="32"/>
      <c r="AA801" s="32"/>
      <c r="AB801" s="32"/>
      <c r="AC801" s="32"/>
      <c r="AD801" s="32"/>
      <c r="AE801" s="32"/>
      <c r="AF801" s="32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</row>
    <row r="802" spans="1:50" x14ac:dyDescent="0.25">
      <c r="A802">
        <v>2164</v>
      </c>
      <c r="B802">
        <v>1</v>
      </c>
      <c r="C802" t="s">
        <v>901</v>
      </c>
      <c r="D802">
        <v>1</v>
      </c>
      <c r="E802" t="s">
        <v>902</v>
      </c>
      <c r="F802" s="1">
        <v>0</v>
      </c>
      <c r="G802" s="30">
        <v>0.82027649769585254</v>
      </c>
      <c r="H802" s="30">
        <v>0.77837837837837842</v>
      </c>
      <c r="I802" s="37">
        <v>434.75</v>
      </c>
      <c r="J802" s="37">
        <v>412.54</v>
      </c>
      <c r="K802" s="32">
        <v>78</v>
      </c>
      <c r="L802" s="32">
        <v>60</v>
      </c>
      <c r="M802" s="32">
        <v>33910.5</v>
      </c>
      <c r="N802" s="32">
        <v>24752.400000000001</v>
      </c>
      <c r="O802" s="32">
        <v>58662.9</v>
      </c>
      <c r="P802" s="32">
        <f t="shared" si="12"/>
        <v>56068.81</v>
      </c>
      <c r="Q802" s="32"/>
      <c r="R802" s="32"/>
      <c r="W802" s="2"/>
      <c r="X802" s="30"/>
      <c r="Y802" s="30"/>
      <c r="Z802" s="32"/>
      <c r="AA802" s="32"/>
      <c r="AB802" s="32"/>
      <c r="AC802" s="32"/>
      <c r="AD802" s="32"/>
      <c r="AE802" s="32"/>
      <c r="AF802" s="32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 spans="1:50" x14ac:dyDescent="0.25">
      <c r="A803">
        <v>2164</v>
      </c>
      <c r="B803" s="2">
        <v>1</v>
      </c>
      <c r="C803" s="2" t="s">
        <v>901</v>
      </c>
      <c r="D803">
        <v>2</v>
      </c>
      <c r="E803" s="2" t="s">
        <v>903</v>
      </c>
      <c r="F803" s="29">
        <v>0</v>
      </c>
      <c r="G803" s="30">
        <v>0.84090909090909094</v>
      </c>
      <c r="H803" s="30">
        <v>0.6875</v>
      </c>
      <c r="I803" s="37">
        <v>445.68</v>
      </c>
      <c r="J803" s="37">
        <v>364.38</v>
      </c>
      <c r="K803" s="32">
        <v>52</v>
      </c>
      <c r="L803" s="32">
        <v>57</v>
      </c>
      <c r="M803" s="32">
        <v>23175.360000000001</v>
      </c>
      <c r="N803" s="32">
        <v>20769.66</v>
      </c>
      <c r="O803" s="32">
        <v>43945.020000000004</v>
      </c>
      <c r="P803" s="32">
        <f t="shared" si="12"/>
        <v>42001.760000000002</v>
      </c>
      <c r="Q803" s="32"/>
      <c r="R803" s="32"/>
      <c r="S803" s="2"/>
      <c r="T803" s="2"/>
      <c r="V803" s="2"/>
      <c r="W803" s="2"/>
      <c r="X803" s="30"/>
      <c r="Y803" s="30"/>
      <c r="Z803" s="32"/>
      <c r="AA803" s="32"/>
      <c r="AB803" s="32"/>
      <c r="AC803" s="32"/>
      <c r="AD803" s="32"/>
      <c r="AE803" s="32"/>
      <c r="AF803" s="32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</row>
    <row r="804" spans="1:50" x14ac:dyDescent="0.25">
      <c r="A804">
        <v>2165</v>
      </c>
      <c r="B804">
        <v>1</v>
      </c>
      <c r="C804" t="s">
        <v>904</v>
      </c>
      <c r="D804">
        <v>10</v>
      </c>
      <c r="E804" t="s">
        <v>905</v>
      </c>
      <c r="F804" s="1">
        <v>0</v>
      </c>
      <c r="G804" s="30">
        <v>0.66500000000000004</v>
      </c>
      <c r="H804" s="30">
        <v>0.8497109826589595</v>
      </c>
      <c r="I804" s="37">
        <v>352.45</v>
      </c>
      <c r="J804" s="37">
        <v>450.35</v>
      </c>
      <c r="K804" s="32">
        <v>71</v>
      </c>
      <c r="L804" s="32">
        <v>53</v>
      </c>
      <c r="M804" s="32">
        <v>25023.95</v>
      </c>
      <c r="N804" s="32">
        <v>23868.55</v>
      </c>
      <c r="O804" s="32">
        <v>48892.5</v>
      </c>
      <c r="P804" s="32">
        <f t="shared" si="12"/>
        <v>46730.46</v>
      </c>
      <c r="Q804" s="32"/>
      <c r="R804" s="32"/>
      <c r="S804" s="2"/>
      <c r="T804" s="2"/>
      <c r="V804" s="2"/>
      <c r="W804" s="2"/>
      <c r="X804" s="30"/>
      <c r="Y804" s="30"/>
      <c r="Z804" s="32"/>
      <c r="AA804" s="32"/>
      <c r="AB804" s="32"/>
      <c r="AC804" s="32"/>
      <c r="AD804" s="32"/>
      <c r="AE804" s="32"/>
      <c r="AF804" s="32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spans="1:50" x14ac:dyDescent="0.25">
      <c r="A805">
        <v>2165</v>
      </c>
      <c r="B805" s="2">
        <v>1</v>
      </c>
      <c r="C805" s="2" t="s">
        <v>904</v>
      </c>
      <c r="D805">
        <v>30</v>
      </c>
      <c r="E805" s="2" t="s">
        <v>906</v>
      </c>
      <c r="F805" s="29">
        <v>0</v>
      </c>
      <c r="G805" s="30">
        <v>0.77777777777777779</v>
      </c>
      <c r="H805" s="30">
        <v>0.75</v>
      </c>
      <c r="I805" s="37">
        <v>412.22</v>
      </c>
      <c r="J805" s="37">
        <v>397.5</v>
      </c>
      <c r="K805" s="32">
        <v>10</v>
      </c>
      <c r="L805" s="32">
        <v>11</v>
      </c>
      <c r="M805" s="32">
        <v>4122.2</v>
      </c>
      <c r="N805" s="32">
        <v>4372.5</v>
      </c>
      <c r="O805" s="32">
        <v>8494.7000000000007</v>
      </c>
      <c r="P805" s="32">
        <f t="shared" si="12"/>
        <v>8119.06</v>
      </c>
      <c r="Q805" s="32"/>
      <c r="R805" s="32"/>
      <c r="S805" s="2"/>
      <c r="T805" s="2"/>
      <c r="V805" s="2"/>
      <c r="W805" s="2"/>
      <c r="X805" s="30"/>
      <c r="Y805" s="30"/>
      <c r="Z805" s="32"/>
      <c r="AA805" s="32"/>
      <c r="AB805" s="32"/>
      <c r="AC805" s="32"/>
      <c r="AD805" s="32"/>
      <c r="AE805" s="32"/>
      <c r="AF805" s="32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</row>
    <row r="806" spans="1:50" x14ac:dyDescent="0.25">
      <c r="A806">
        <v>2167</v>
      </c>
      <c r="B806" s="2">
        <v>1</v>
      </c>
      <c r="C806" s="2" t="s">
        <v>907</v>
      </c>
      <c r="D806">
        <v>10</v>
      </c>
      <c r="E806" s="2" t="s">
        <v>233</v>
      </c>
      <c r="F806" s="29">
        <v>0</v>
      </c>
      <c r="G806" s="30">
        <v>0.74615384615384617</v>
      </c>
      <c r="H806" s="30">
        <v>0.80714285714285716</v>
      </c>
      <c r="I806" s="37">
        <v>395.46</v>
      </c>
      <c r="J806" s="37">
        <v>427.79</v>
      </c>
      <c r="K806" s="32">
        <v>43</v>
      </c>
      <c r="L806" s="32">
        <v>50</v>
      </c>
      <c r="M806" s="32">
        <v>17004.78</v>
      </c>
      <c r="N806" s="32">
        <v>21389.5</v>
      </c>
      <c r="O806" s="32">
        <v>38394.28</v>
      </c>
      <c r="P806" s="32">
        <f t="shared" si="12"/>
        <v>36696.480000000003</v>
      </c>
      <c r="Q806" s="32"/>
      <c r="R806" s="32"/>
      <c r="S806" s="2"/>
      <c r="T806" s="2"/>
      <c r="V806" s="2"/>
      <c r="W806" s="2"/>
      <c r="X806" s="30"/>
      <c r="Y806" s="30"/>
      <c r="Z806" s="32"/>
      <c r="AA806" s="32"/>
      <c r="AB806" s="32"/>
      <c r="AC806" s="32"/>
      <c r="AD806" s="32"/>
      <c r="AE806" s="32"/>
      <c r="AF806" s="32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 spans="1:50" x14ac:dyDescent="0.25">
      <c r="A807">
        <v>2168</v>
      </c>
      <c r="B807" s="2">
        <v>1</v>
      </c>
      <c r="C807" s="2" t="s">
        <v>908</v>
      </c>
      <c r="D807">
        <v>10</v>
      </c>
      <c r="E807" s="2" t="s">
        <v>909</v>
      </c>
      <c r="F807" s="29">
        <v>0</v>
      </c>
      <c r="G807" s="30">
        <v>0.77511961722488043</v>
      </c>
      <c r="H807" s="30">
        <v>0.79601990049751248</v>
      </c>
      <c r="I807" s="37">
        <v>410.81</v>
      </c>
      <c r="J807" s="37">
        <v>421.89</v>
      </c>
      <c r="K807" s="32">
        <v>77</v>
      </c>
      <c r="L807" s="32">
        <v>60</v>
      </c>
      <c r="M807" s="32">
        <v>31632.37</v>
      </c>
      <c r="N807" s="32">
        <v>25313.4</v>
      </c>
      <c r="O807" s="32">
        <v>56945.770000000004</v>
      </c>
      <c r="P807" s="32">
        <f t="shared" si="12"/>
        <v>54427.61</v>
      </c>
      <c r="Q807" s="32"/>
      <c r="R807" s="32"/>
      <c r="S807" s="2"/>
      <c r="T807" s="2"/>
      <c r="V807" s="2"/>
      <c r="W807" s="2"/>
      <c r="X807" s="30"/>
      <c r="Y807" s="30"/>
      <c r="Z807" s="32"/>
      <c r="AA807" s="32"/>
      <c r="AB807" s="32"/>
      <c r="AC807" s="32"/>
      <c r="AD807" s="32"/>
      <c r="AE807" s="32"/>
      <c r="AF807" s="32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</row>
    <row r="808" spans="1:50" x14ac:dyDescent="0.25">
      <c r="A808">
        <v>2169</v>
      </c>
      <c r="B808" s="2">
        <v>1</v>
      </c>
      <c r="C808" s="2" t="s">
        <v>910</v>
      </c>
      <c r="D808">
        <v>10</v>
      </c>
      <c r="E808" s="2" t="s">
        <v>911</v>
      </c>
      <c r="F808" s="29">
        <v>0</v>
      </c>
      <c r="G808" s="30">
        <v>0.82857142857142863</v>
      </c>
      <c r="H808" s="30">
        <v>0.79428571428571426</v>
      </c>
      <c r="I808" s="37">
        <v>439.14</v>
      </c>
      <c r="J808" s="37">
        <v>420.97</v>
      </c>
      <c r="K808" s="32">
        <v>61</v>
      </c>
      <c r="L808" s="32">
        <v>58</v>
      </c>
      <c r="M808" s="32">
        <v>26787.54</v>
      </c>
      <c r="N808" s="32">
        <v>24416.26</v>
      </c>
      <c r="O808" s="32">
        <v>51203.8</v>
      </c>
      <c r="P808" s="32">
        <f t="shared" si="12"/>
        <v>48939.56</v>
      </c>
      <c r="Q808" s="32"/>
      <c r="R808" s="32"/>
      <c r="S808" s="2"/>
      <c r="T808" s="2"/>
      <c r="V808" s="2"/>
      <c r="W808" s="2"/>
      <c r="X808" s="30"/>
      <c r="Y808" s="30"/>
      <c r="Z808" s="32"/>
      <c r="AA808" s="32"/>
      <c r="AB808" s="32"/>
      <c r="AC808" s="32"/>
      <c r="AD808" s="32"/>
      <c r="AE808" s="32"/>
      <c r="AF808" s="32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 spans="1:50" x14ac:dyDescent="0.25">
      <c r="A809">
        <v>2170</v>
      </c>
      <c r="B809" s="2">
        <v>1</v>
      </c>
      <c r="C809" s="2" t="s">
        <v>912</v>
      </c>
      <c r="D809">
        <v>10</v>
      </c>
      <c r="E809" s="2" t="s">
        <v>913</v>
      </c>
      <c r="F809" s="29">
        <v>0</v>
      </c>
      <c r="G809" s="30">
        <v>0.79268292682926833</v>
      </c>
      <c r="H809" s="30">
        <v>0.6875</v>
      </c>
      <c r="I809" s="37">
        <v>420.12</v>
      </c>
      <c r="J809" s="37">
        <v>364.38</v>
      </c>
      <c r="K809" s="32">
        <v>29</v>
      </c>
      <c r="L809" s="32">
        <v>26</v>
      </c>
      <c r="M809" s="32">
        <v>12183.48</v>
      </c>
      <c r="N809" s="32">
        <v>9473.8799999999992</v>
      </c>
      <c r="O809" s="32">
        <v>21657.360000000001</v>
      </c>
      <c r="P809" s="32">
        <f t="shared" si="12"/>
        <v>20699.669999999998</v>
      </c>
      <c r="Q809" s="32"/>
      <c r="R809" s="32"/>
      <c r="S809" s="2"/>
      <c r="T809" s="2"/>
      <c r="V809" s="2"/>
      <c r="W809" s="2"/>
      <c r="X809" s="30"/>
      <c r="Y809" s="30"/>
      <c r="Z809" s="32"/>
      <c r="AA809" s="32"/>
      <c r="AB809" s="32"/>
      <c r="AC809" s="32"/>
      <c r="AD809" s="32"/>
      <c r="AE809" s="32"/>
      <c r="AF809" s="32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</row>
    <row r="810" spans="1:50" x14ac:dyDescent="0.25">
      <c r="A810">
        <v>2170</v>
      </c>
      <c r="B810" s="2">
        <v>1</v>
      </c>
      <c r="C810" s="2" t="s">
        <v>912</v>
      </c>
      <c r="D810">
        <v>30</v>
      </c>
      <c r="E810" s="2" t="s">
        <v>914</v>
      </c>
      <c r="F810" s="29">
        <v>0</v>
      </c>
      <c r="G810" s="30">
        <v>0.78735632183908044</v>
      </c>
      <c r="H810" s="30">
        <v>0.74857142857142855</v>
      </c>
      <c r="I810" s="37">
        <v>417.3</v>
      </c>
      <c r="J810" s="37">
        <v>396.74</v>
      </c>
      <c r="K810" s="32">
        <v>57</v>
      </c>
      <c r="L810" s="32">
        <v>67</v>
      </c>
      <c r="M810" s="32">
        <v>23786.1</v>
      </c>
      <c r="N810" s="32">
        <v>26581.58</v>
      </c>
      <c r="O810" s="32">
        <v>50367.68</v>
      </c>
      <c r="P810" s="32">
        <f t="shared" si="12"/>
        <v>48140.41</v>
      </c>
      <c r="Q810" s="32"/>
      <c r="R810" s="32"/>
      <c r="S810" s="7"/>
      <c r="T810" s="7"/>
      <c r="U810" s="7"/>
      <c r="V810" s="7"/>
      <c r="W810" s="2"/>
      <c r="X810" s="30"/>
      <c r="Y810" s="30"/>
      <c r="Z810" s="32"/>
      <c r="AA810" s="32"/>
      <c r="AB810" s="32"/>
      <c r="AC810" s="32"/>
      <c r="AD810" s="32"/>
      <c r="AE810" s="32"/>
      <c r="AF810" s="32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 spans="1:50" x14ac:dyDescent="0.25">
      <c r="A811">
        <v>2171</v>
      </c>
      <c r="B811">
        <v>1</v>
      </c>
      <c r="C811" t="s">
        <v>915</v>
      </c>
      <c r="D811">
        <v>15</v>
      </c>
      <c r="E811" t="s">
        <v>916</v>
      </c>
      <c r="F811" s="1">
        <v>0</v>
      </c>
      <c r="G811" s="30">
        <v>0.95833333333333337</v>
      </c>
      <c r="H811" s="30">
        <v>0.81481481481481477</v>
      </c>
      <c r="I811" s="37">
        <v>507.92</v>
      </c>
      <c r="J811" s="37">
        <v>431.85</v>
      </c>
      <c r="K811" s="32">
        <v>13</v>
      </c>
      <c r="L811" s="32">
        <v>21</v>
      </c>
      <c r="M811" s="32">
        <v>6602.96</v>
      </c>
      <c r="N811" s="32">
        <v>9068.85</v>
      </c>
      <c r="O811" s="32">
        <v>15671.810000000001</v>
      </c>
      <c r="P811" s="32">
        <f t="shared" si="12"/>
        <v>14978.8</v>
      </c>
      <c r="Q811" s="32"/>
      <c r="R811" s="32"/>
      <c r="S811" s="2"/>
      <c r="T811" s="2"/>
      <c r="V811" s="2"/>
      <c r="W811" s="2"/>
      <c r="X811" s="30"/>
      <c r="Y811" s="30"/>
      <c r="Z811" s="32"/>
      <c r="AA811" s="32"/>
      <c r="AB811" s="32"/>
      <c r="AC811" s="32"/>
      <c r="AD811" s="32"/>
      <c r="AE811" s="32"/>
      <c r="AF811" s="32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</row>
    <row r="812" spans="1:50" x14ac:dyDescent="0.25">
      <c r="A812">
        <v>2171</v>
      </c>
      <c r="B812" s="2">
        <v>1</v>
      </c>
      <c r="C812" s="2" t="s">
        <v>1249</v>
      </c>
      <c r="D812">
        <v>25</v>
      </c>
      <c r="E812" s="2" t="s">
        <v>1250</v>
      </c>
      <c r="F812" s="29">
        <v>1</v>
      </c>
      <c r="G812" s="30" t="s">
        <v>1328</v>
      </c>
      <c r="H812" s="30" t="s">
        <v>1328</v>
      </c>
      <c r="I812" s="37" t="s">
        <v>1328</v>
      </c>
      <c r="J812" s="37" t="s">
        <v>1328</v>
      </c>
      <c r="K812" s="32">
        <v>0</v>
      </c>
      <c r="L812" s="32">
        <v>0</v>
      </c>
      <c r="M812" s="32" t="s">
        <v>1328</v>
      </c>
      <c r="N812" s="32" t="s">
        <v>1328</v>
      </c>
      <c r="O812" s="32">
        <v>0</v>
      </c>
      <c r="P812" s="32">
        <f t="shared" si="12"/>
        <v>0</v>
      </c>
      <c r="Q812" s="32"/>
      <c r="R812" s="32"/>
      <c r="S812" s="2"/>
      <c r="T812" s="2"/>
      <c r="V812" s="2"/>
      <c r="W812" s="2"/>
      <c r="X812" s="30"/>
      <c r="Y812" s="30"/>
      <c r="Z812" s="32"/>
      <c r="AA812" s="32"/>
      <c r="AB812" s="32"/>
      <c r="AC812" s="32"/>
      <c r="AD812" s="32"/>
      <c r="AE812" s="32"/>
      <c r="AF812" s="32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 spans="1:50" x14ac:dyDescent="0.25">
      <c r="A813">
        <v>2172</v>
      </c>
      <c r="B813" s="2">
        <v>1</v>
      </c>
      <c r="C813" s="2" t="s">
        <v>917</v>
      </c>
      <c r="D813">
        <v>10</v>
      </c>
      <c r="E813" s="2" t="s">
        <v>918</v>
      </c>
      <c r="F813" s="29">
        <v>0</v>
      </c>
      <c r="G813" s="30">
        <v>0.81656804733727806</v>
      </c>
      <c r="H813" s="30">
        <v>0.77956989247311825</v>
      </c>
      <c r="I813" s="37">
        <v>432.78</v>
      </c>
      <c r="J813" s="37">
        <v>413.17</v>
      </c>
      <c r="K813" s="32">
        <v>49</v>
      </c>
      <c r="L813" s="32">
        <v>67</v>
      </c>
      <c r="M813" s="32">
        <v>21206.22</v>
      </c>
      <c r="N813" s="32">
        <v>27682.39</v>
      </c>
      <c r="O813" s="32">
        <v>48888.61</v>
      </c>
      <c r="P813" s="32">
        <f t="shared" si="12"/>
        <v>46726.74</v>
      </c>
      <c r="Q813" s="32"/>
      <c r="R813" s="32"/>
      <c r="S813" s="2"/>
      <c r="T813" s="2"/>
      <c r="V813" s="2"/>
      <c r="W813" s="2"/>
      <c r="X813" s="30"/>
      <c r="Y813" s="30"/>
      <c r="Z813" s="32"/>
      <c r="AA813" s="32"/>
      <c r="AB813" s="32"/>
      <c r="AC813" s="32"/>
      <c r="AD813" s="32"/>
      <c r="AE813" s="32"/>
      <c r="AF813" s="32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</row>
    <row r="814" spans="1:50" x14ac:dyDescent="0.25">
      <c r="A814">
        <v>2174</v>
      </c>
      <c r="B814" s="2">
        <v>1</v>
      </c>
      <c r="C814" s="2" t="s">
        <v>919</v>
      </c>
      <c r="D814">
        <v>10</v>
      </c>
      <c r="E814" s="2" t="s">
        <v>920</v>
      </c>
      <c r="F814" s="29">
        <v>0</v>
      </c>
      <c r="G814" s="30">
        <v>0.82681564245810057</v>
      </c>
      <c r="H814" s="30">
        <v>0.69325153374233128</v>
      </c>
      <c r="I814" s="37">
        <v>438.21</v>
      </c>
      <c r="J814" s="37">
        <v>367.42</v>
      </c>
      <c r="K814" s="32">
        <v>68</v>
      </c>
      <c r="L814" s="32">
        <v>55</v>
      </c>
      <c r="M814" s="32">
        <v>29798.28</v>
      </c>
      <c r="N814" s="32">
        <v>20208.099999999999</v>
      </c>
      <c r="O814" s="32">
        <v>50006.38</v>
      </c>
      <c r="P814" s="32">
        <f t="shared" si="12"/>
        <v>47795.09</v>
      </c>
      <c r="Q814" s="32"/>
      <c r="R814" s="32"/>
      <c r="S814" s="2"/>
      <c r="T814" s="2"/>
      <c r="V814" s="2"/>
      <c r="W814" s="2"/>
      <c r="X814" s="30"/>
      <c r="Y814" s="30"/>
      <c r="Z814" s="32"/>
      <c r="AA814" s="32"/>
      <c r="AB814" s="32"/>
      <c r="AC814" s="32"/>
      <c r="AD814" s="32"/>
      <c r="AE814" s="32"/>
      <c r="AF814" s="32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 spans="1:50" x14ac:dyDescent="0.25">
      <c r="A815">
        <v>2176</v>
      </c>
      <c r="B815">
        <v>1</v>
      </c>
      <c r="C815" t="s">
        <v>921</v>
      </c>
      <c r="D815">
        <v>10</v>
      </c>
      <c r="E815" t="s">
        <v>922</v>
      </c>
      <c r="F815" s="1">
        <v>0</v>
      </c>
      <c r="G815" s="30">
        <v>0.81111111111111112</v>
      </c>
      <c r="H815" s="30">
        <v>0.810126582278481</v>
      </c>
      <c r="I815" s="37">
        <v>429.89</v>
      </c>
      <c r="J815" s="37">
        <v>429.37</v>
      </c>
      <c r="K815" s="32">
        <v>31</v>
      </c>
      <c r="L815" s="32">
        <v>33</v>
      </c>
      <c r="M815" s="32">
        <v>13326.59</v>
      </c>
      <c r="N815" s="32">
        <v>14169.21</v>
      </c>
      <c r="O815" s="32">
        <v>27495.8</v>
      </c>
      <c r="P815" s="32">
        <f t="shared" si="12"/>
        <v>26279.93</v>
      </c>
      <c r="Q815" s="32"/>
      <c r="R815" s="32"/>
      <c r="W815" s="2"/>
      <c r="X815" s="30"/>
      <c r="Y815" s="30"/>
      <c r="Z815" s="32"/>
      <c r="AA815" s="32"/>
      <c r="AB815" s="32"/>
      <c r="AC815" s="32"/>
      <c r="AD815" s="32"/>
      <c r="AE815" s="32"/>
      <c r="AF815" s="32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</row>
    <row r="816" spans="1:50" x14ac:dyDescent="0.25">
      <c r="A816">
        <v>2180</v>
      </c>
      <c r="B816">
        <v>1</v>
      </c>
      <c r="C816" t="s">
        <v>923</v>
      </c>
      <c r="D816">
        <v>2</v>
      </c>
      <c r="E816" t="s">
        <v>924</v>
      </c>
      <c r="F816" s="1">
        <v>0</v>
      </c>
      <c r="G816" s="30">
        <v>0.80882352941176472</v>
      </c>
      <c r="H816" s="30">
        <v>0.88524590163934425</v>
      </c>
      <c r="I816" s="37">
        <v>428.68</v>
      </c>
      <c r="J816" s="37">
        <v>469.18</v>
      </c>
      <c r="K816" s="32">
        <v>24</v>
      </c>
      <c r="L816" s="32">
        <v>23</v>
      </c>
      <c r="M816" s="32">
        <v>10288.32</v>
      </c>
      <c r="N816" s="32">
        <v>10791.14</v>
      </c>
      <c r="O816" s="32">
        <v>21079.46</v>
      </c>
      <c r="P816" s="32">
        <f t="shared" si="12"/>
        <v>20147.32</v>
      </c>
      <c r="Q816" s="32"/>
      <c r="R816" s="32"/>
      <c r="S816" s="2"/>
      <c r="T816" s="2"/>
      <c r="V816" s="2"/>
      <c r="W816" s="2"/>
      <c r="X816" s="30"/>
      <c r="Y816" s="30"/>
      <c r="Z816" s="32"/>
      <c r="AA816" s="32"/>
      <c r="AB816" s="32"/>
      <c r="AC816" s="32"/>
      <c r="AD816" s="32"/>
      <c r="AE816" s="32"/>
      <c r="AF816" s="32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 spans="1:50" x14ac:dyDescent="0.25">
      <c r="A817">
        <v>2180</v>
      </c>
      <c r="B817" s="2">
        <v>1</v>
      </c>
      <c r="C817" s="2" t="s">
        <v>923</v>
      </c>
      <c r="D817">
        <v>10</v>
      </c>
      <c r="E817" s="2" t="s">
        <v>925</v>
      </c>
      <c r="F817" s="29">
        <v>0</v>
      </c>
      <c r="G817" s="30">
        <v>0.71875</v>
      </c>
      <c r="H817" s="30">
        <v>0.87272727272727268</v>
      </c>
      <c r="I817" s="37">
        <v>380.94</v>
      </c>
      <c r="J817" s="37">
        <v>462.55</v>
      </c>
      <c r="K817" s="32">
        <v>26</v>
      </c>
      <c r="L817" s="32">
        <v>17</v>
      </c>
      <c r="M817" s="32">
        <v>9904.44</v>
      </c>
      <c r="N817" s="32">
        <v>7863.35</v>
      </c>
      <c r="O817" s="32">
        <v>17767.79</v>
      </c>
      <c r="P817" s="32">
        <f t="shared" si="12"/>
        <v>16982.09</v>
      </c>
      <c r="Q817" s="32"/>
      <c r="R817" s="32"/>
      <c r="W817" s="2"/>
      <c r="X817" s="30"/>
      <c r="Y817" s="30"/>
      <c r="Z817" s="32"/>
      <c r="AA817" s="32"/>
      <c r="AB817" s="32"/>
      <c r="AC817" s="32"/>
      <c r="AD817" s="32"/>
      <c r="AE817" s="32"/>
      <c r="AF817" s="32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</row>
    <row r="818" spans="1:50" x14ac:dyDescent="0.25">
      <c r="A818">
        <v>2184</v>
      </c>
      <c r="B818" s="2">
        <v>1</v>
      </c>
      <c r="C818" s="2" t="s">
        <v>926</v>
      </c>
      <c r="D818">
        <v>2</v>
      </c>
      <c r="E818" s="2" t="s">
        <v>927</v>
      </c>
      <c r="F818" s="29">
        <v>0</v>
      </c>
      <c r="G818" s="30">
        <v>0.85171102661596954</v>
      </c>
      <c r="H818" s="30">
        <v>0.81297709923664119</v>
      </c>
      <c r="I818" s="37">
        <v>451.41</v>
      </c>
      <c r="J818" s="37">
        <v>430.88</v>
      </c>
      <c r="K818" s="32">
        <v>86</v>
      </c>
      <c r="L818" s="32">
        <v>87</v>
      </c>
      <c r="M818" s="32">
        <v>38821.26</v>
      </c>
      <c r="N818" s="32">
        <v>37486.559999999998</v>
      </c>
      <c r="O818" s="32">
        <v>76307.820000000007</v>
      </c>
      <c r="P818" s="32">
        <f t="shared" si="12"/>
        <v>72933.47</v>
      </c>
      <c r="Q818" s="32"/>
      <c r="R818" s="32"/>
      <c r="S818" s="2"/>
      <c r="T818" s="2"/>
      <c r="V818" s="2"/>
      <c r="W818" s="2"/>
      <c r="X818" s="30"/>
      <c r="Y818" s="30"/>
      <c r="Z818" s="32"/>
      <c r="AA818" s="32"/>
      <c r="AB818" s="32"/>
      <c r="AC818" s="32"/>
      <c r="AD818" s="32"/>
      <c r="AE818" s="32"/>
      <c r="AF818" s="32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 spans="1:50" x14ac:dyDescent="0.25">
      <c r="A819">
        <v>2190</v>
      </c>
      <c r="B819" s="2">
        <v>1</v>
      </c>
      <c r="C819" s="2" t="s">
        <v>928</v>
      </c>
      <c r="D819">
        <v>10</v>
      </c>
      <c r="E819" s="2" t="s">
        <v>929</v>
      </c>
      <c r="F819" s="29">
        <v>0</v>
      </c>
      <c r="G819" s="30">
        <v>0.57999999999999996</v>
      </c>
      <c r="H819" s="30">
        <v>0.76543209876543206</v>
      </c>
      <c r="I819" s="37">
        <v>307.39999999999998</v>
      </c>
      <c r="J819" s="37">
        <v>405.68</v>
      </c>
      <c r="K819" s="32">
        <v>55</v>
      </c>
      <c r="L819" s="32">
        <v>49</v>
      </c>
      <c r="M819" s="32">
        <v>16907</v>
      </c>
      <c r="N819" s="32">
        <v>19878.32</v>
      </c>
      <c r="O819" s="32">
        <v>36785.32</v>
      </c>
      <c r="P819" s="32">
        <f t="shared" si="12"/>
        <v>35158.660000000003</v>
      </c>
      <c r="Q819" s="32"/>
      <c r="R819" s="32"/>
      <c r="S819" s="2"/>
      <c r="T819" s="2"/>
      <c r="V819" s="2"/>
      <c r="W819" s="2"/>
      <c r="X819" s="30"/>
      <c r="Y819" s="30"/>
      <c r="Z819" s="32"/>
      <c r="AA819" s="32"/>
      <c r="AB819" s="32"/>
      <c r="AC819" s="32"/>
      <c r="AD819" s="32"/>
      <c r="AE819" s="32"/>
      <c r="AF819" s="32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</row>
    <row r="820" spans="1:50" x14ac:dyDescent="0.25">
      <c r="A820">
        <v>2198</v>
      </c>
      <c r="B820" s="2">
        <v>1</v>
      </c>
      <c r="C820" s="2" t="s">
        <v>930</v>
      </c>
      <c r="D820">
        <v>10</v>
      </c>
      <c r="E820" s="2" t="s">
        <v>931</v>
      </c>
      <c r="F820" s="29">
        <v>0</v>
      </c>
      <c r="G820" s="30">
        <v>0.84920634920634919</v>
      </c>
      <c r="H820" s="30">
        <v>0.7421875</v>
      </c>
      <c r="I820" s="37">
        <v>450.08</v>
      </c>
      <c r="J820" s="37">
        <v>393.36</v>
      </c>
      <c r="K820" s="32">
        <v>49</v>
      </c>
      <c r="L820" s="32">
        <v>46</v>
      </c>
      <c r="M820" s="32">
        <v>22053.919999999998</v>
      </c>
      <c r="N820" s="32">
        <v>18094.560000000001</v>
      </c>
      <c r="O820" s="32">
        <v>40148.479999999996</v>
      </c>
      <c r="P820" s="32">
        <f t="shared" si="12"/>
        <v>38373.1</v>
      </c>
      <c r="Q820" s="32"/>
      <c r="R820" s="32"/>
      <c r="S820" s="2"/>
      <c r="T820" s="2"/>
      <c r="V820" s="2"/>
      <c r="W820" s="2"/>
      <c r="X820" s="30"/>
      <c r="Y820" s="30"/>
      <c r="Z820" s="32"/>
      <c r="AA820" s="32"/>
      <c r="AB820" s="32"/>
      <c r="AC820" s="32"/>
      <c r="AD820" s="32"/>
      <c r="AE820" s="32"/>
      <c r="AF820" s="32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 spans="1:50" x14ac:dyDescent="0.25">
      <c r="A821">
        <v>2215</v>
      </c>
      <c r="B821" s="2">
        <v>1</v>
      </c>
      <c r="C821" s="2" t="s">
        <v>932</v>
      </c>
      <c r="D821">
        <v>10</v>
      </c>
      <c r="E821" s="2" t="s">
        <v>933</v>
      </c>
      <c r="F821" s="29">
        <v>0</v>
      </c>
      <c r="G821" s="30">
        <v>0.67692307692307696</v>
      </c>
      <c r="H821" s="30">
        <v>0.8928571428571429</v>
      </c>
      <c r="I821" s="37">
        <v>358.77</v>
      </c>
      <c r="J821" s="37">
        <v>473.21</v>
      </c>
      <c r="K821" s="32">
        <v>18</v>
      </c>
      <c r="L821" s="32">
        <v>27</v>
      </c>
      <c r="M821" s="32">
        <v>6457.86</v>
      </c>
      <c r="N821" s="32">
        <v>12776.67</v>
      </c>
      <c r="O821" s="32">
        <v>19234.53</v>
      </c>
      <c r="P821" s="32">
        <f t="shared" si="12"/>
        <v>18383.97</v>
      </c>
      <c r="Q821" s="32"/>
      <c r="R821" s="32"/>
      <c r="S821" s="2"/>
      <c r="T821" s="2"/>
      <c r="V821" s="2"/>
      <c r="W821" s="2"/>
      <c r="X821" s="30"/>
      <c r="Y821" s="30"/>
      <c r="Z821" s="32"/>
      <c r="AA821" s="32"/>
      <c r="AB821" s="32"/>
      <c r="AC821" s="32"/>
      <c r="AD821" s="32"/>
      <c r="AE821" s="32"/>
      <c r="AF821" s="32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</row>
    <row r="822" spans="1:50" x14ac:dyDescent="0.25">
      <c r="A822">
        <v>2310</v>
      </c>
      <c r="B822" s="2">
        <v>1</v>
      </c>
      <c r="C822" s="2" t="s">
        <v>934</v>
      </c>
      <c r="D822">
        <v>1</v>
      </c>
      <c r="E822" s="2" t="s">
        <v>935</v>
      </c>
      <c r="F822" s="29">
        <v>0</v>
      </c>
      <c r="G822" s="30">
        <v>0.86046511627906974</v>
      </c>
      <c r="H822" s="30">
        <v>0.72868217054263562</v>
      </c>
      <c r="I822" s="37">
        <v>456.05</v>
      </c>
      <c r="J822" s="37">
        <v>386.2</v>
      </c>
      <c r="K822" s="32">
        <v>54</v>
      </c>
      <c r="L822" s="32">
        <v>53</v>
      </c>
      <c r="M822" s="32">
        <v>24626.7</v>
      </c>
      <c r="N822" s="32">
        <v>20468.599999999999</v>
      </c>
      <c r="O822" s="32">
        <v>45095.3</v>
      </c>
      <c r="P822" s="32">
        <f t="shared" si="12"/>
        <v>43101.18</v>
      </c>
      <c r="Q822" s="32"/>
      <c r="R822" s="32"/>
      <c r="S822" s="2"/>
      <c r="T822" s="2"/>
      <c r="V822" s="2"/>
      <c r="W822" s="2"/>
      <c r="X822" s="30"/>
      <c r="Y822" s="30"/>
      <c r="Z822" s="32"/>
      <c r="AA822" s="32"/>
      <c r="AB822" s="32"/>
      <c r="AC822" s="32"/>
      <c r="AD822" s="32"/>
      <c r="AE822" s="32"/>
      <c r="AF822" s="32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 spans="1:50" x14ac:dyDescent="0.25">
      <c r="A823">
        <v>2310</v>
      </c>
      <c r="B823">
        <v>1</v>
      </c>
      <c r="C823" t="s">
        <v>934</v>
      </c>
      <c r="D823">
        <v>10</v>
      </c>
      <c r="E823" t="s">
        <v>936</v>
      </c>
      <c r="F823" s="1">
        <v>0</v>
      </c>
      <c r="G823" s="30">
        <v>0.875</v>
      </c>
      <c r="H823" s="30">
        <v>0.83050847457627119</v>
      </c>
      <c r="I823" s="37">
        <v>463.75</v>
      </c>
      <c r="J823" s="37">
        <v>440.17</v>
      </c>
      <c r="K823" s="32">
        <v>48</v>
      </c>
      <c r="L823" s="32">
        <v>47</v>
      </c>
      <c r="M823" s="32">
        <v>22260</v>
      </c>
      <c r="N823" s="32">
        <v>20687.990000000002</v>
      </c>
      <c r="O823" s="32">
        <v>42947.990000000005</v>
      </c>
      <c r="P823" s="32">
        <f t="shared" si="12"/>
        <v>41048.82</v>
      </c>
      <c r="Q823" s="32"/>
      <c r="R823" s="32"/>
      <c r="S823" s="2"/>
      <c r="T823" s="2"/>
      <c r="V823" s="2"/>
      <c r="W823" s="2"/>
      <c r="X823" s="30"/>
      <c r="Y823" s="30"/>
      <c r="Z823" s="32"/>
      <c r="AA823" s="32"/>
      <c r="AB823" s="32"/>
      <c r="AC823" s="32"/>
      <c r="AD823" s="32"/>
      <c r="AE823" s="32"/>
      <c r="AF823" s="32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</row>
    <row r="824" spans="1:50" x14ac:dyDescent="0.25">
      <c r="A824">
        <v>2311</v>
      </c>
      <c r="B824">
        <v>1</v>
      </c>
      <c r="C824" t="s">
        <v>937</v>
      </c>
      <c r="D824">
        <v>10</v>
      </c>
      <c r="E824" t="s">
        <v>938</v>
      </c>
      <c r="F824" s="1">
        <v>0</v>
      </c>
      <c r="G824" s="30">
        <v>0.72164948453608246</v>
      </c>
      <c r="H824" s="30">
        <v>0.82653061224489799</v>
      </c>
      <c r="I824" s="37">
        <v>382.47</v>
      </c>
      <c r="J824" s="37">
        <v>438.06</v>
      </c>
      <c r="K824" s="32">
        <v>31</v>
      </c>
      <c r="L824" s="32">
        <v>27</v>
      </c>
      <c r="M824" s="32">
        <v>11856.57</v>
      </c>
      <c r="N824" s="32">
        <v>11827.62</v>
      </c>
      <c r="O824" s="32">
        <v>23684.190000000002</v>
      </c>
      <c r="P824" s="32">
        <f t="shared" si="12"/>
        <v>22636.87</v>
      </c>
      <c r="Q824" s="32"/>
      <c r="R824" s="32"/>
      <c r="W824" s="2"/>
      <c r="X824" s="30"/>
      <c r="Y824" s="30"/>
      <c r="Z824" s="32"/>
      <c r="AA824" s="32"/>
      <c r="AB824" s="32"/>
      <c r="AC824" s="32"/>
      <c r="AD824" s="32"/>
      <c r="AE824" s="32"/>
      <c r="AF824" s="32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 spans="1:50" x14ac:dyDescent="0.25">
      <c r="A825">
        <v>2342</v>
      </c>
      <c r="B825" s="2">
        <v>1</v>
      </c>
      <c r="C825" s="2" t="s">
        <v>939</v>
      </c>
      <c r="D825">
        <v>1</v>
      </c>
      <c r="E825" s="2" t="s">
        <v>940</v>
      </c>
      <c r="F825" s="29">
        <v>0</v>
      </c>
      <c r="G825" s="30">
        <v>0.78888888888888886</v>
      </c>
      <c r="H825" s="30">
        <v>0.85074626865671643</v>
      </c>
      <c r="I825" s="37">
        <v>418.11</v>
      </c>
      <c r="J825" s="37">
        <v>450.9</v>
      </c>
      <c r="K825" s="32">
        <v>39</v>
      </c>
      <c r="L825" s="32">
        <v>28</v>
      </c>
      <c r="M825" s="32">
        <v>16306.29</v>
      </c>
      <c r="N825" s="32">
        <v>12625.2</v>
      </c>
      <c r="O825" s="32">
        <v>28931.49</v>
      </c>
      <c r="P825" s="32">
        <f t="shared" si="12"/>
        <v>27652.13</v>
      </c>
      <c r="Q825" s="32"/>
      <c r="R825" s="32"/>
      <c r="S825" s="2"/>
      <c r="T825" s="2"/>
      <c r="V825" s="2"/>
      <c r="W825" s="2"/>
      <c r="X825" s="30"/>
      <c r="Y825" s="30"/>
      <c r="Z825" s="32"/>
      <c r="AA825" s="32"/>
      <c r="AB825" s="32"/>
      <c r="AC825" s="32"/>
      <c r="AD825" s="32"/>
      <c r="AE825" s="32"/>
      <c r="AF825" s="32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</row>
    <row r="826" spans="1:50" x14ac:dyDescent="0.25">
      <c r="A826">
        <v>2342</v>
      </c>
      <c r="B826" s="2">
        <v>1</v>
      </c>
      <c r="C826" s="2" t="s">
        <v>939</v>
      </c>
      <c r="D826">
        <v>2</v>
      </c>
      <c r="E826" s="2" t="s">
        <v>941</v>
      </c>
      <c r="F826" s="29">
        <v>0</v>
      </c>
      <c r="G826" s="30">
        <v>0.88311688311688308</v>
      </c>
      <c r="H826" s="30">
        <v>0.83823529411764708</v>
      </c>
      <c r="I826" s="37">
        <v>468.05</v>
      </c>
      <c r="J826" s="37">
        <v>444.26</v>
      </c>
      <c r="K826" s="32">
        <v>29</v>
      </c>
      <c r="L826" s="32">
        <v>24</v>
      </c>
      <c r="M826" s="32">
        <v>13573.45</v>
      </c>
      <c r="N826" s="32">
        <v>10662.24</v>
      </c>
      <c r="O826" s="32">
        <v>24235.690000000002</v>
      </c>
      <c r="P826" s="32">
        <f t="shared" si="12"/>
        <v>23163.98</v>
      </c>
      <c r="Q826" s="32"/>
      <c r="R826" s="32"/>
      <c r="S826" s="2"/>
      <c r="T826" s="2"/>
      <c r="V826" s="2"/>
      <c r="W826" s="2"/>
      <c r="X826" s="30"/>
      <c r="Y826" s="30"/>
      <c r="Z826" s="32"/>
      <c r="AA826" s="32"/>
      <c r="AB826" s="32"/>
      <c r="AC826" s="32"/>
      <c r="AD826" s="32"/>
      <c r="AE826" s="32"/>
      <c r="AF826" s="32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 spans="1:50" x14ac:dyDescent="0.25">
      <c r="A827">
        <v>2358</v>
      </c>
      <c r="B827">
        <v>1</v>
      </c>
      <c r="C827" t="s">
        <v>942</v>
      </c>
      <c r="D827">
        <v>10</v>
      </c>
      <c r="E827" t="s">
        <v>943</v>
      </c>
      <c r="F827" s="1">
        <v>0</v>
      </c>
      <c r="G827" s="30">
        <v>0.8125</v>
      </c>
      <c r="H827" s="30">
        <v>0.77083333333333337</v>
      </c>
      <c r="I827" s="37">
        <v>430.63</v>
      </c>
      <c r="J827" s="37">
        <v>408.54</v>
      </c>
      <c r="K827" s="32">
        <v>13</v>
      </c>
      <c r="L827" s="32">
        <v>21</v>
      </c>
      <c r="M827" s="32">
        <v>5598.19</v>
      </c>
      <c r="N827" s="32">
        <v>8579.34</v>
      </c>
      <c r="O827" s="32">
        <v>14177.529999999999</v>
      </c>
      <c r="P827" s="32">
        <f t="shared" si="12"/>
        <v>13550.6</v>
      </c>
      <c r="Q827" s="32"/>
      <c r="R827" s="32"/>
      <c r="S827" s="2"/>
      <c r="T827" s="2"/>
      <c r="V827" s="2"/>
      <c r="W827" s="2"/>
      <c r="X827" s="30"/>
      <c r="Y827" s="30"/>
      <c r="Z827" s="32"/>
      <c r="AA827" s="32"/>
      <c r="AB827" s="32"/>
      <c r="AC827" s="32"/>
      <c r="AD827" s="32"/>
      <c r="AE827" s="32"/>
      <c r="AF827" s="32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</row>
    <row r="828" spans="1:50" x14ac:dyDescent="0.25">
      <c r="A828">
        <v>2364</v>
      </c>
      <c r="B828">
        <v>1</v>
      </c>
      <c r="C828" t="s">
        <v>944</v>
      </c>
      <c r="D828">
        <v>1</v>
      </c>
      <c r="E828" t="s">
        <v>945</v>
      </c>
      <c r="F828" s="1">
        <v>0</v>
      </c>
      <c r="G828" s="30">
        <v>0.88356164383561642</v>
      </c>
      <c r="H828" s="30">
        <v>0.87323943661971826</v>
      </c>
      <c r="I828" s="37">
        <v>468.29</v>
      </c>
      <c r="J828" s="37">
        <v>462.82</v>
      </c>
      <c r="K828" s="32">
        <v>49</v>
      </c>
      <c r="L828" s="32">
        <v>52</v>
      </c>
      <c r="M828" s="32">
        <v>22946.21</v>
      </c>
      <c r="N828" s="32">
        <v>24066.639999999999</v>
      </c>
      <c r="O828" s="32">
        <v>47012.85</v>
      </c>
      <c r="P828" s="32">
        <f t="shared" si="12"/>
        <v>44933.93</v>
      </c>
      <c r="Q828" s="32"/>
      <c r="R828" s="32"/>
      <c r="W828" s="2"/>
      <c r="X828" s="30"/>
      <c r="Y828" s="30"/>
      <c r="Z828" s="32"/>
      <c r="AA828" s="32"/>
      <c r="AB828" s="32"/>
      <c r="AC828" s="32"/>
      <c r="AD828" s="32"/>
      <c r="AE828" s="32"/>
      <c r="AF828" s="32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 spans="1:50" x14ac:dyDescent="0.25">
      <c r="A829">
        <v>2365</v>
      </c>
      <c r="B829" s="2">
        <v>1</v>
      </c>
      <c r="C829" s="2" t="s">
        <v>946</v>
      </c>
      <c r="D829">
        <v>1</v>
      </c>
      <c r="E829" s="2" t="s">
        <v>947</v>
      </c>
      <c r="F829" s="29">
        <v>0</v>
      </c>
      <c r="G829" s="30">
        <v>0.82911392405063289</v>
      </c>
      <c r="H829" s="30">
        <v>0.82580645161290323</v>
      </c>
      <c r="I829" s="37">
        <v>439.43</v>
      </c>
      <c r="J829" s="37">
        <v>437.68</v>
      </c>
      <c r="K829" s="32">
        <v>54</v>
      </c>
      <c r="L829" s="32">
        <v>52</v>
      </c>
      <c r="M829" s="32">
        <v>23729.22</v>
      </c>
      <c r="N829" s="32">
        <v>22759.360000000001</v>
      </c>
      <c r="O829" s="32">
        <v>46488.58</v>
      </c>
      <c r="P829" s="32">
        <f t="shared" si="12"/>
        <v>44432.84</v>
      </c>
      <c r="Q829" s="32"/>
      <c r="R829" s="32"/>
      <c r="W829" s="2"/>
      <c r="X829" s="30"/>
      <c r="Y829" s="30"/>
      <c r="Z829" s="32"/>
      <c r="AA829" s="32"/>
      <c r="AB829" s="32"/>
      <c r="AC829" s="32"/>
      <c r="AD829" s="32"/>
      <c r="AE829" s="32"/>
      <c r="AF829" s="32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</row>
    <row r="830" spans="1:50" x14ac:dyDescent="0.25">
      <c r="A830">
        <v>2396</v>
      </c>
      <c r="B830" s="2">
        <v>1</v>
      </c>
      <c r="C830" s="2" t="s">
        <v>948</v>
      </c>
      <c r="D830">
        <v>100</v>
      </c>
      <c r="E830" s="2" t="s">
        <v>949</v>
      </c>
      <c r="F830" s="29">
        <v>0</v>
      </c>
      <c r="G830" s="30">
        <v>0.7142857142857143</v>
      </c>
      <c r="H830" s="30">
        <v>0.78787878787878785</v>
      </c>
      <c r="I830" s="37">
        <v>378.57</v>
      </c>
      <c r="J830" s="37">
        <v>417.58</v>
      </c>
      <c r="K830" s="32">
        <v>41</v>
      </c>
      <c r="L830" s="32">
        <v>44</v>
      </c>
      <c r="M830" s="32">
        <v>15521.37</v>
      </c>
      <c r="N830" s="32">
        <v>18373.52</v>
      </c>
      <c r="O830" s="32">
        <v>33894.89</v>
      </c>
      <c r="P830" s="32">
        <f t="shared" si="12"/>
        <v>32396.05</v>
      </c>
      <c r="Q830" s="32"/>
      <c r="R830" s="32"/>
      <c r="S830" s="2"/>
      <c r="T830" s="2"/>
      <c r="V830" s="2"/>
      <c r="W830" s="2"/>
      <c r="X830" s="30"/>
      <c r="Y830" s="30"/>
      <c r="Z830" s="32"/>
      <c r="AA830" s="32"/>
      <c r="AB830" s="32"/>
      <c r="AC830" s="32"/>
      <c r="AD830" s="32"/>
      <c r="AE830" s="32"/>
      <c r="AF830" s="32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 spans="1:50" x14ac:dyDescent="0.25">
      <c r="A831">
        <v>2396</v>
      </c>
      <c r="B831" s="2">
        <v>1</v>
      </c>
      <c r="C831" s="2" t="s">
        <v>948</v>
      </c>
      <c r="D831">
        <v>200</v>
      </c>
      <c r="E831" s="2" t="s">
        <v>950</v>
      </c>
      <c r="F831" s="29">
        <v>0</v>
      </c>
      <c r="G831" s="30">
        <v>0.71698113207547165</v>
      </c>
      <c r="H831" s="30">
        <v>0.82051282051282048</v>
      </c>
      <c r="I831" s="37">
        <v>380</v>
      </c>
      <c r="J831" s="37">
        <v>434.87</v>
      </c>
      <c r="K831" s="32">
        <v>12</v>
      </c>
      <c r="L831" s="32">
        <v>18</v>
      </c>
      <c r="M831" s="32">
        <v>4560</v>
      </c>
      <c r="N831" s="32">
        <v>7827.66</v>
      </c>
      <c r="O831" s="32">
        <v>12387.66</v>
      </c>
      <c r="P831" s="32">
        <f t="shared" si="12"/>
        <v>11839.87</v>
      </c>
      <c r="Q831" s="32"/>
      <c r="R831" s="32"/>
      <c r="S831" s="2"/>
      <c r="T831" s="2"/>
      <c r="V831" s="2"/>
      <c r="W831" s="2"/>
      <c r="X831" s="30"/>
      <c r="Y831" s="30"/>
      <c r="Z831" s="32"/>
      <c r="AA831" s="32"/>
      <c r="AB831" s="32"/>
      <c r="AC831" s="32"/>
      <c r="AD831" s="32"/>
      <c r="AE831" s="32"/>
      <c r="AF831" s="32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</row>
    <row r="832" spans="1:50" x14ac:dyDescent="0.25">
      <c r="A832">
        <v>2397</v>
      </c>
      <c r="B832" s="2">
        <v>1</v>
      </c>
      <c r="C832" s="2" t="s">
        <v>951</v>
      </c>
      <c r="D832">
        <v>10</v>
      </c>
      <c r="E832" s="2" t="s">
        <v>952</v>
      </c>
      <c r="F832" s="29">
        <v>0</v>
      </c>
      <c r="G832" s="30">
        <v>0.75879396984924619</v>
      </c>
      <c r="H832" s="30">
        <v>0.71739130434782605</v>
      </c>
      <c r="I832" s="37">
        <v>402.16</v>
      </c>
      <c r="J832" s="37">
        <v>380.22</v>
      </c>
      <c r="K832" s="32">
        <v>59</v>
      </c>
      <c r="L832" s="32">
        <v>78</v>
      </c>
      <c r="M832" s="32">
        <v>23727.439999999999</v>
      </c>
      <c r="N832" s="32">
        <v>29657.16</v>
      </c>
      <c r="O832" s="32">
        <v>53384.6</v>
      </c>
      <c r="P832" s="32">
        <f t="shared" si="12"/>
        <v>51023.92</v>
      </c>
      <c r="Q832" s="32"/>
      <c r="R832" s="32"/>
      <c r="S832" s="2"/>
      <c r="T832" s="2"/>
      <c r="V832" s="2"/>
      <c r="W832" s="2"/>
      <c r="X832" s="30"/>
      <c r="Y832" s="30"/>
      <c r="Z832" s="32"/>
      <c r="AA832" s="32"/>
      <c r="AB832" s="32"/>
      <c r="AC832" s="32"/>
      <c r="AD832" s="32"/>
      <c r="AE832" s="32"/>
      <c r="AF832" s="32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 spans="1:50" x14ac:dyDescent="0.25">
      <c r="A833">
        <v>2397</v>
      </c>
      <c r="B833" s="2">
        <v>1</v>
      </c>
      <c r="C833" s="2" t="s">
        <v>1251</v>
      </c>
      <c r="D833">
        <v>15</v>
      </c>
      <c r="E833" s="2" t="s">
        <v>1252</v>
      </c>
      <c r="F833" s="29">
        <v>1</v>
      </c>
      <c r="G833" s="30" t="s">
        <v>1328</v>
      </c>
      <c r="H833" s="30" t="s">
        <v>1328</v>
      </c>
      <c r="I833" s="37" t="s">
        <v>1328</v>
      </c>
      <c r="J833" s="37" t="s">
        <v>1328</v>
      </c>
      <c r="K833" s="32">
        <v>11</v>
      </c>
      <c r="L833" s="32">
        <v>8</v>
      </c>
      <c r="M833" s="32" t="s">
        <v>1328</v>
      </c>
      <c r="N833" s="32" t="s">
        <v>1328</v>
      </c>
      <c r="O833" s="32">
        <v>7628.5700000000006</v>
      </c>
      <c r="P833" s="32">
        <f t="shared" si="12"/>
        <v>7291.23</v>
      </c>
      <c r="Q833" s="32"/>
      <c r="R833" s="32"/>
      <c r="S833" s="2"/>
      <c r="T833" s="2"/>
      <c r="V833" s="2"/>
      <c r="W833" s="2"/>
      <c r="X833" s="30"/>
      <c r="Y833" s="30"/>
      <c r="Z833" s="32"/>
      <c r="AA833" s="32"/>
      <c r="AB833" s="32"/>
      <c r="AC833" s="32"/>
      <c r="AD833" s="32"/>
      <c r="AE833" s="32"/>
      <c r="AF833" s="32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</row>
    <row r="834" spans="1:50" x14ac:dyDescent="0.25">
      <c r="A834">
        <v>2448</v>
      </c>
      <c r="B834">
        <v>1</v>
      </c>
      <c r="C834" t="s">
        <v>953</v>
      </c>
      <c r="D834">
        <v>10</v>
      </c>
      <c r="E834" t="s">
        <v>954</v>
      </c>
      <c r="F834" s="1">
        <v>0</v>
      </c>
      <c r="G834" s="30">
        <v>0.78666666666666663</v>
      </c>
      <c r="H834" s="30">
        <v>0.75</v>
      </c>
      <c r="I834" s="37">
        <v>416.93</v>
      </c>
      <c r="J834" s="37">
        <v>397.5</v>
      </c>
      <c r="K834" s="32">
        <v>42</v>
      </c>
      <c r="L834" s="32">
        <v>57</v>
      </c>
      <c r="M834" s="32">
        <v>17511.060000000001</v>
      </c>
      <c r="N834" s="32">
        <v>22657.5</v>
      </c>
      <c r="O834" s="32">
        <v>40168.559999999998</v>
      </c>
      <c r="P834" s="32">
        <f t="shared" si="12"/>
        <v>38392.300000000003</v>
      </c>
      <c r="Q834" s="32"/>
      <c r="R834" s="32"/>
      <c r="S834" s="2"/>
      <c r="T834" s="2"/>
      <c r="V834" s="2"/>
      <c r="W834" s="2"/>
      <c r="X834" s="30"/>
      <c r="Y834" s="30"/>
      <c r="Z834" s="32"/>
      <c r="AA834" s="32"/>
      <c r="AB834" s="32"/>
      <c r="AC834" s="32"/>
      <c r="AD834" s="32"/>
      <c r="AE834" s="32"/>
      <c r="AF834" s="32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 spans="1:50" x14ac:dyDescent="0.25">
      <c r="A835">
        <v>2527</v>
      </c>
      <c r="B835" s="2">
        <v>1</v>
      </c>
      <c r="C835" s="2" t="s">
        <v>955</v>
      </c>
      <c r="D835">
        <v>1</v>
      </c>
      <c r="E835" s="2" t="s">
        <v>956</v>
      </c>
      <c r="F835" s="29">
        <v>0</v>
      </c>
      <c r="G835" s="30">
        <v>0.84057971014492749</v>
      </c>
      <c r="H835" s="30">
        <v>0.796875</v>
      </c>
      <c r="I835" s="37">
        <v>445.51</v>
      </c>
      <c r="J835" s="37">
        <v>422.34</v>
      </c>
      <c r="K835" s="32">
        <v>20</v>
      </c>
      <c r="L835" s="32">
        <v>33</v>
      </c>
      <c r="M835" s="32">
        <v>8910.2000000000007</v>
      </c>
      <c r="N835" s="32">
        <v>13937.22</v>
      </c>
      <c r="O835" s="32">
        <v>22847.42</v>
      </c>
      <c r="P835" s="32">
        <f t="shared" si="12"/>
        <v>21837.1</v>
      </c>
      <c r="Q835" s="32"/>
      <c r="R835" s="32"/>
      <c r="S835" s="2"/>
      <c r="T835" s="2"/>
      <c r="V835" s="2"/>
      <c r="W835" s="2"/>
      <c r="X835" s="30"/>
      <c r="Y835" s="30"/>
      <c r="Z835" s="32"/>
      <c r="AA835" s="32"/>
      <c r="AB835" s="32"/>
      <c r="AC835" s="32"/>
      <c r="AD835" s="32"/>
      <c r="AE835" s="32"/>
      <c r="AF835" s="32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</row>
    <row r="836" spans="1:50" x14ac:dyDescent="0.25">
      <c r="A836">
        <v>2534</v>
      </c>
      <c r="B836" s="2">
        <v>1</v>
      </c>
      <c r="C836" s="2" t="s">
        <v>957</v>
      </c>
      <c r="D836">
        <v>15</v>
      </c>
      <c r="E836" s="2" t="s">
        <v>958</v>
      </c>
      <c r="F836" s="29">
        <v>0</v>
      </c>
      <c r="G836" s="30">
        <v>0.77941176470588236</v>
      </c>
      <c r="H836" s="30">
        <v>0.84552845528455289</v>
      </c>
      <c r="I836" s="37">
        <v>413.09</v>
      </c>
      <c r="J836" s="37">
        <v>448.13</v>
      </c>
      <c r="K836" s="32">
        <v>47</v>
      </c>
      <c r="L836" s="32">
        <v>52</v>
      </c>
      <c r="M836" s="32">
        <v>19415.23</v>
      </c>
      <c r="N836" s="32">
        <v>23302.76</v>
      </c>
      <c r="O836" s="32">
        <v>42717.99</v>
      </c>
      <c r="P836" s="32">
        <f t="shared" si="12"/>
        <v>40828.99</v>
      </c>
      <c r="Q836" s="32"/>
      <c r="R836" s="32"/>
      <c r="W836" s="2"/>
      <c r="X836" s="30"/>
      <c r="Y836" s="30"/>
      <c r="Z836" s="32"/>
      <c r="AA836" s="32"/>
      <c r="AB836" s="32"/>
      <c r="AC836" s="32"/>
      <c r="AD836" s="32"/>
      <c r="AE836" s="32"/>
      <c r="AF836" s="32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 spans="1:50" x14ac:dyDescent="0.25">
      <c r="A837">
        <v>2536</v>
      </c>
      <c r="B837" s="2">
        <v>1</v>
      </c>
      <c r="C837" s="2" t="s">
        <v>1253</v>
      </c>
      <c r="D837">
        <v>15</v>
      </c>
      <c r="E837" s="2" t="s">
        <v>1254</v>
      </c>
      <c r="F837" s="29">
        <v>0</v>
      </c>
      <c r="G837" s="30">
        <v>1</v>
      </c>
      <c r="H837" s="30">
        <v>0.35294117647058826</v>
      </c>
      <c r="I837" s="37">
        <v>530</v>
      </c>
      <c r="J837" s="37">
        <v>187.06</v>
      </c>
      <c r="K837" s="32">
        <v>13</v>
      </c>
      <c r="L837" s="32">
        <v>17</v>
      </c>
      <c r="M837" s="32">
        <v>6890</v>
      </c>
      <c r="N837" s="32">
        <v>3180.02</v>
      </c>
      <c r="O837" s="32">
        <v>10070.02</v>
      </c>
      <c r="P837" s="32">
        <f t="shared" si="12"/>
        <v>9624.7199999999993</v>
      </c>
      <c r="Q837" s="32"/>
      <c r="R837" s="32"/>
      <c r="W837" s="2"/>
      <c r="X837" s="30"/>
      <c r="Y837" s="30"/>
      <c r="Z837" s="32"/>
      <c r="AA837" s="32"/>
      <c r="AB837" s="32"/>
      <c r="AC837" s="32"/>
      <c r="AD837" s="32"/>
      <c r="AE837" s="32"/>
      <c r="AF837" s="32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</row>
    <row r="838" spans="1:50" x14ac:dyDescent="0.25">
      <c r="A838">
        <v>2580</v>
      </c>
      <c r="B838" s="2">
        <v>1</v>
      </c>
      <c r="C838" s="2" t="s">
        <v>959</v>
      </c>
      <c r="D838">
        <v>10</v>
      </c>
      <c r="E838" s="2" t="s">
        <v>960</v>
      </c>
      <c r="F838" s="29">
        <v>0</v>
      </c>
      <c r="G838" s="30">
        <v>0.7231638418079096</v>
      </c>
      <c r="H838" s="30">
        <v>0.7225433526011561</v>
      </c>
      <c r="I838" s="37">
        <v>383.28</v>
      </c>
      <c r="J838" s="37">
        <v>382.95</v>
      </c>
      <c r="K838" s="32">
        <v>61</v>
      </c>
      <c r="L838" s="32">
        <v>60</v>
      </c>
      <c r="M838" s="32">
        <v>23380.080000000002</v>
      </c>
      <c r="N838" s="32">
        <v>22977</v>
      </c>
      <c r="O838" s="32">
        <v>46357.08</v>
      </c>
      <c r="P838" s="32">
        <f t="shared" si="12"/>
        <v>44307.16</v>
      </c>
      <c r="Q838" s="32"/>
      <c r="R838" s="32"/>
      <c r="S838" s="2"/>
      <c r="T838" s="2"/>
      <c r="V838" s="2"/>
      <c r="W838" s="2"/>
      <c r="X838" s="30"/>
      <c r="Y838" s="30"/>
      <c r="Z838" s="32"/>
      <c r="AA838" s="32"/>
      <c r="AB838" s="32"/>
      <c r="AC838" s="32"/>
      <c r="AD838" s="32"/>
      <c r="AE838" s="32"/>
      <c r="AF838" s="32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 spans="1:50" x14ac:dyDescent="0.25">
      <c r="A839">
        <v>2609</v>
      </c>
      <c r="B839">
        <v>1</v>
      </c>
      <c r="C839" t="s">
        <v>961</v>
      </c>
      <c r="D839">
        <v>10</v>
      </c>
      <c r="E839" t="s">
        <v>962</v>
      </c>
      <c r="F839" s="1">
        <v>0</v>
      </c>
      <c r="G839" s="30">
        <v>0.7857142857142857</v>
      </c>
      <c r="H839" s="30">
        <v>0.81818181818181823</v>
      </c>
      <c r="I839" s="37">
        <v>416.43</v>
      </c>
      <c r="J839" s="37">
        <v>433.64</v>
      </c>
      <c r="K839" s="32">
        <v>37</v>
      </c>
      <c r="L839" s="32">
        <v>35</v>
      </c>
      <c r="M839" s="32">
        <v>15407.91</v>
      </c>
      <c r="N839" s="32">
        <v>15177.4</v>
      </c>
      <c r="O839" s="32">
        <v>30585.309999999998</v>
      </c>
      <c r="P839" s="32">
        <f t="shared" si="12"/>
        <v>29232.82</v>
      </c>
      <c r="Q839" s="32"/>
      <c r="R839" s="32"/>
      <c r="S839" s="2"/>
      <c r="T839" s="2"/>
      <c r="V839" s="2"/>
      <c r="W839" s="2"/>
      <c r="X839" s="30"/>
      <c r="Y839" s="30"/>
      <c r="Z839" s="32"/>
      <c r="AA839" s="32"/>
      <c r="AB839" s="32"/>
      <c r="AC839" s="32"/>
      <c r="AD839" s="32"/>
      <c r="AE839" s="32"/>
      <c r="AF839" s="32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</row>
    <row r="840" spans="1:50" x14ac:dyDescent="0.25">
      <c r="A840">
        <v>2683</v>
      </c>
      <c r="B840" s="2">
        <v>1</v>
      </c>
      <c r="C840" s="2" t="s">
        <v>963</v>
      </c>
      <c r="D840">
        <v>10</v>
      </c>
      <c r="E840" s="2" t="s">
        <v>964</v>
      </c>
      <c r="F840" s="29">
        <v>0</v>
      </c>
      <c r="G840" s="30">
        <v>0.72881355932203384</v>
      </c>
      <c r="H840" s="30">
        <v>0.87272727272727268</v>
      </c>
      <c r="I840" s="37">
        <v>386.27</v>
      </c>
      <c r="J840" s="37">
        <v>462.55</v>
      </c>
      <c r="K840" s="32">
        <v>18</v>
      </c>
      <c r="L840" s="32">
        <v>20</v>
      </c>
      <c r="M840" s="32">
        <v>6952.86</v>
      </c>
      <c r="N840" s="32">
        <v>9251</v>
      </c>
      <c r="O840" s="32">
        <v>16203.86</v>
      </c>
      <c r="P840" s="32">
        <f t="shared" si="12"/>
        <v>15487.32</v>
      </c>
      <c r="Q840" s="32"/>
      <c r="R840" s="32"/>
      <c r="W840" s="2"/>
      <c r="X840" s="30"/>
      <c r="Y840" s="30"/>
      <c r="Z840" s="32"/>
      <c r="AA840" s="32"/>
      <c r="AB840" s="32"/>
      <c r="AC840" s="32"/>
      <c r="AD840" s="32"/>
      <c r="AE840" s="32"/>
      <c r="AF840" s="32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 spans="1:50" x14ac:dyDescent="0.25">
      <c r="A841">
        <v>2683</v>
      </c>
      <c r="B841" s="2">
        <v>1</v>
      </c>
      <c r="C841" s="2" t="s">
        <v>963</v>
      </c>
      <c r="D841">
        <v>11</v>
      </c>
      <c r="E841" s="2" t="s">
        <v>965</v>
      </c>
      <c r="F841" s="29">
        <v>0</v>
      </c>
      <c r="G841" s="30">
        <v>0.89743589743589747</v>
      </c>
      <c r="H841" s="30">
        <v>0.80487804878048785</v>
      </c>
      <c r="I841" s="37">
        <v>475.64</v>
      </c>
      <c r="J841" s="37">
        <v>426.59</v>
      </c>
      <c r="K841" s="32">
        <v>11</v>
      </c>
      <c r="L841" s="32">
        <v>13</v>
      </c>
      <c r="M841" s="32">
        <v>5232.04</v>
      </c>
      <c r="N841" s="32">
        <v>5545.67</v>
      </c>
      <c r="O841" s="32">
        <v>10777.71</v>
      </c>
      <c r="P841" s="32">
        <f t="shared" si="12"/>
        <v>10301.120000000001</v>
      </c>
      <c r="Q841" s="32"/>
      <c r="R841" s="32"/>
      <c r="W841" s="2"/>
      <c r="X841" s="30"/>
      <c r="Y841" s="30"/>
      <c r="Z841" s="32"/>
      <c r="AA841" s="32"/>
      <c r="AB841" s="32"/>
      <c r="AC841" s="32"/>
      <c r="AD841" s="32"/>
      <c r="AE841" s="32"/>
      <c r="AF841" s="32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</row>
    <row r="842" spans="1:50" x14ac:dyDescent="0.25">
      <c r="A842">
        <v>2687</v>
      </c>
      <c r="B842" s="2">
        <v>1</v>
      </c>
      <c r="C842" s="2" t="s">
        <v>966</v>
      </c>
      <c r="D842">
        <v>1</v>
      </c>
      <c r="E842" s="2" t="s">
        <v>967</v>
      </c>
      <c r="F842" s="29">
        <v>0</v>
      </c>
      <c r="G842" s="30">
        <v>0.8545454545454545</v>
      </c>
      <c r="H842" s="30">
        <v>0.90721649484536082</v>
      </c>
      <c r="I842" s="37">
        <v>452.91</v>
      </c>
      <c r="J842" s="37">
        <v>480.82</v>
      </c>
      <c r="K842" s="32">
        <v>42</v>
      </c>
      <c r="L842" s="32">
        <v>37</v>
      </c>
      <c r="M842" s="32">
        <v>19022.22</v>
      </c>
      <c r="N842" s="32">
        <v>17790.34</v>
      </c>
      <c r="O842" s="32">
        <v>36812.559999999998</v>
      </c>
      <c r="P842" s="32">
        <f t="shared" si="12"/>
        <v>35184.699999999997</v>
      </c>
      <c r="Q842" s="32"/>
      <c r="R842" s="32"/>
      <c r="S842" s="2"/>
      <c r="T842" s="2"/>
      <c r="V842" s="2"/>
      <c r="W842" s="2"/>
      <c r="X842" s="30"/>
      <c r="Y842" s="30"/>
      <c r="Z842" s="32"/>
      <c r="AA842" s="32"/>
      <c r="AB842" s="32"/>
      <c r="AC842" s="32"/>
      <c r="AD842" s="32"/>
      <c r="AE842" s="32"/>
      <c r="AF842" s="32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 spans="1:50" x14ac:dyDescent="0.25">
      <c r="A843">
        <v>2687</v>
      </c>
      <c r="B843">
        <v>1</v>
      </c>
      <c r="C843" t="s">
        <v>966</v>
      </c>
      <c r="D843">
        <v>3</v>
      </c>
      <c r="E843" t="s">
        <v>968</v>
      </c>
      <c r="F843" s="1">
        <v>0</v>
      </c>
      <c r="G843" s="30">
        <v>0.9327731092436975</v>
      </c>
      <c r="H843" s="30">
        <v>0.71568627450980393</v>
      </c>
      <c r="I843" s="37">
        <v>494.37</v>
      </c>
      <c r="J843" s="37">
        <v>379.31</v>
      </c>
      <c r="K843" s="32">
        <v>40</v>
      </c>
      <c r="L843" s="32">
        <v>41</v>
      </c>
      <c r="M843" s="32">
        <v>19774.8</v>
      </c>
      <c r="N843" s="32">
        <v>15551.71</v>
      </c>
      <c r="O843" s="32">
        <v>35326.509999999995</v>
      </c>
      <c r="P843" s="32">
        <f t="shared" si="12"/>
        <v>33764.36</v>
      </c>
      <c r="Q843" s="32"/>
      <c r="R843" s="32"/>
      <c r="S843" s="2"/>
      <c r="T843" s="2"/>
      <c r="V843" s="2"/>
      <c r="W843" s="2"/>
      <c r="X843" s="30"/>
      <c r="Y843" s="30"/>
      <c r="Z843" s="32"/>
      <c r="AA843" s="32"/>
      <c r="AB843" s="32"/>
      <c r="AC843" s="32"/>
      <c r="AD843" s="32"/>
      <c r="AE843" s="32"/>
      <c r="AF843" s="32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</row>
    <row r="844" spans="1:50" x14ac:dyDescent="0.25">
      <c r="A844">
        <v>2689</v>
      </c>
      <c r="B844" s="2">
        <v>1</v>
      </c>
      <c r="C844" s="2" t="s">
        <v>969</v>
      </c>
      <c r="D844">
        <v>3</v>
      </c>
      <c r="E844" s="2" t="s">
        <v>970</v>
      </c>
      <c r="F844" s="29">
        <v>0</v>
      </c>
      <c r="G844" s="30">
        <v>0.86234817813765186</v>
      </c>
      <c r="H844" s="30">
        <v>0.72906403940886699</v>
      </c>
      <c r="I844" s="37">
        <v>457.04</v>
      </c>
      <c r="J844" s="37">
        <v>386.4</v>
      </c>
      <c r="K844" s="32">
        <v>87</v>
      </c>
      <c r="L844" s="32">
        <v>72</v>
      </c>
      <c r="M844" s="32">
        <v>39762.480000000003</v>
      </c>
      <c r="N844" s="32">
        <v>27820.799999999999</v>
      </c>
      <c r="O844" s="32">
        <v>67583.28</v>
      </c>
      <c r="P844" s="32">
        <f t="shared" si="12"/>
        <v>64594.73</v>
      </c>
      <c r="Q844" s="32"/>
      <c r="R844" s="32"/>
      <c r="S844" s="2"/>
      <c r="T844" s="2"/>
      <c r="V844" s="2"/>
      <c r="W844" s="2"/>
      <c r="X844" s="30"/>
      <c r="Y844" s="30"/>
      <c r="Z844" s="32"/>
      <c r="AA844" s="32"/>
      <c r="AB844" s="32"/>
      <c r="AC844" s="32"/>
      <c r="AD844" s="32"/>
      <c r="AE844" s="32"/>
      <c r="AF844" s="32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 spans="1:50" x14ac:dyDescent="0.25">
      <c r="A845">
        <v>2689</v>
      </c>
      <c r="B845">
        <v>1</v>
      </c>
      <c r="C845" t="s">
        <v>1255</v>
      </c>
      <c r="D845">
        <v>6</v>
      </c>
      <c r="E845" t="s">
        <v>1256</v>
      </c>
      <c r="F845" s="1">
        <v>1</v>
      </c>
      <c r="G845" s="30" t="s">
        <v>1328</v>
      </c>
      <c r="H845" s="30" t="s">
        <v>1328</v>
      </c>
      <c r="I845" s="37" t="s">
        <v>1328</v>
      </c>
      <c r="J845" s="37" t="s">
        <v>1328</v>
      </c>
      <c r="K845" s="32">
        <v>2</v>
      </c>
      <c r="L845" s="32">
        <v>2</v>
      </c>
      <c r="M845" s="32" t="s">
        <v>1328</v>
      </c>
      <c r="N845" s="32" t="s">
        <v>1328</v>
      </c>
      <c r="O845" s="32">
        <v>1552.1399999999999</v>
      </c>
      <c r="P845" s="32">
        <f t="shared" si="12"/>
        <v>1483.5</v>
      </c>
      <c r="Q845" s="32"/>
      <c r="R845" s="32"/>
      <c r="S845" s="2"/>
      <c r="T845" s="2"/>
      <c r="V845" s="2"/>
      <c r="W845" s="2"/>
      <c r="X845" s="30"/>
      <c r="Y845" s="30"/>
      <c r="Z845" s="32"/>
      <c r="AA845" s="32"/>
      <c r="AB845" s="32"/>
      <c r="AC845" s="32"/>
      <c r="AD845" s="32"/>
      <c r="AE845" s="32"/>
      <c r="AF845" s="32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</row>
    <row r="846" spans="1:50" x14ac:dyDescent="0.25">
      <c r="A846">
        <v>2711</v>
      </c>
      <c r="B846" s="2">
        <v>1</v>
      </c>
      <c r="C846" s="2" t="s">
        <v>971</v>
      </c>
      <c r="D846">
        <v>10</v>
      </c>
      <c r="E846" s="2" t="s">
        <v>972</v>
      </c>
      <c r="F846" s="29">
        <v>0</v>
      </c>
      <c r="G846" s="30">
        <v>0.78199052132701419</v>
      </c>
      <c r="H846" s="30">
        <v>0.70731707317073167</v>
      </c>
      <c r="I846" s="37">
        <v>414.45</v>
      </c>
      <c r="J846" s="37">
        <v>374.88</v>
      </c>
      <c r="K846" s="32">
        <v>74</v>
      </c>
      <c r="L846" s="32">
        <v>77</v>
      </c>
      <c r="M846" s="32">
        <v>30669.3</v>
      </c>
      <c r="N846" s="32">
        <v>28865.759999999998</v>
      </c>
      <c r="O846" s="32">
        <v>59535.06</v>
      </c>
      <c r="P846" s="32">
        <f t="shared" si="12"/>
        <v>56902.41</v>
      </c>
      <c r="Q846" s="32"/>
      <c r="R846" s="32"/>
      <c r="S846" s="2"/>
      <c r="T846" s="2"/>
      <c r="V846" s="2"/>
      <c r="W846" s="2"/>
      <c r="X846" s="30"/>
      <c r="Y846" s="30"/>
      <c r="Z846" s="32"/>
      <c r="AA846" s="32"/>
      <c r="AB846" s="32"/>
      <c r="AC846" s="32"/>
      <c r="AD846" s="32"/>
      <c r="AE846" s="32"/>
      <c r="AF846" s="32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 spans="1:50" x14ac:dyDescent="0.25">
      <c r="A847">
        <v>2752</v>
      </c>
      <c r="B847" s="2">
        <v>1</v>
      </c>
      <c r="C847" s="2" t="s">
        <v>973</v>
      </c>
      <c r="D847">
        <v>50</v>
      </c>
      <c r="E847" s="2" t="s">
        <v>974</v>
      </c>
      <c r="F847" s="29">
        <v>0</v>
      </c>
      <c r="G847" s="30">
        <v>0.7857142857142857</v>
      </c>
      <c r="H847" s="30">
        <v>0.73802816901408452</v>
      </c>
      <c r="I847" s="37">
        <v>416.43</v>
      </c>
      <c r="J847" s="37">
        <v>391.15</v>
      </c>
      <c r="K847" s="32">
        <v>96</v>
      </c>
      <c r="L847" s="32">
        <v>132</v>
      </c>
      <c r="M847" s="32">
        <v>39977.279999999999</v>
      </c>
      <c r="N847" s="32">
        <v>51631.8</v>
      </c>
      <c r="O847" s="32">
        <v>91609.08</v>
      </c>
      <c r="P847" s="32">
        <f t="shared" si="12"/>
        <v>87558.1</v>
      </c>
      <c r="Q847" s="32"/>
      <c r="R847" s="32"/>
      <c r="W847" s="2"/>
      <c r="X847" s="30"/>
      <c r="Y847" s="30"/>
      <c r="Z847" s="32"/>
      <c r="AA847" s="32"/>
      <c r="AB847" s="32"/>
      <c r="AC847" s="32"/>
      <c r="AD847" s="32"/>
      <c r="AE847" s="32"/>
      <c r="AF847" s="32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</row>
    <row r="848" spans="1:50" x14ac:dyDescent="0.25">
      <c r="A848">
        <v>2753</v>
      </c>
      <c r="B848" s="2">
        <v>1</v>
      </c>
      <c r="C848" s="2" t="s">
        <v>975</v>
      </c>
      <c r="D848">
        <v>10</v>
      </c>
      <c r="E848" s="2" t="s">
        <v>976</v>
      </c>
      <c r="F848" s="29">
        <v>0</v>
      </c>
      <c r="G848" s="30">
        <v>0.64467005076142136</v>
      </c>
      <c r="H848" s="30">
        <v>0.68131868131868134</v>
      </c>
      <c r="I848" s="37">
        <v>341.68</v>
      </c>
      <c r="J848" s="37">
        <v>361.1</v>
      </c>
      <c r="K848" s="32">
        <v>65</v>
      </c>
      <c r="L848" s="32">
        <v>74</v>
      </c>
      <c r="M848" s="32">
        <v>22209.200000000001</v>
      </c>
      <c r="N848" s="32">
        <v>26721.4</v>
      </c>
      <c r="O848" s="32">
        <v>48930.600000000006</v>
      </c>
      <c r="P848" s="32">
        <f t="shared" ref="P848:P911" si="13">ROUND(O848*P$11,2)</f>
        <v>46766.879999999997</v>
      </c>
      <c r="Q848" s="32"/>
      <c r="R848" s="32"/>
      <c r="S848" s="2"/>
      <c r="T848" s="2"/>
      <c r="V848" s="2"/>
      <c r="W848" s="2"/>
      <c r="X848" s="30"/>
      <c r="Y848" s="30"/>
      <c r="Z848" s="32"/>
      <c r="AA848" s="32"/>
      <c r="AB848" s="32"/>
      <c r="AC848" s="32"/>
      <c r="AD848" s="32"/>
      <c r="AE848" s="32"/>
      <c r="AF848" s="32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 spans="1:50" x14ac:dyDescent="0.25">
      <c r="A849">
        <v>2754</v>
      </c>
      <c r="B849" s="2">
        <v>1</v>
      </c>
      <c r="C849" s="2" t="s">
        <v>977</v>
      </c>
      <c r="D849">
        <v>1</v>
      </c>
      <c r="E849" s="2" t="s">
        <v>978</v>
      </c>
      <c r="F849" s="29">
        <v>0</v>
      </c>
      <c r="G849" s="30">
        <v>0.76415094339622647</v>
      </c>
      <c r="H849" s="30">
        <v>0.81818181818181823</v>
      </c>
      <c r="I849" s="37">
        <v>405</v>
      </c>
      <c r="J849" s="37">
        <v>433.64</v>
      </c>
      <c r="K849" s="32">
        <v>41</v>
      </c>
      <c r="L849" s="32">
        <v>25</v>
      </c>
      <c r="M849" s="32">
        <v>16605</v>
      </c>
      <c r="N849" s="32">
        <v>10841</v>
      </c>
      <c r="O849" s="32">
        <v>27446</v>
      </c>
      <c r="P849" s="32">
        <f t="shared" si="13"/>
        <v>26232.33</v>
      </c>
      <c r="Q849" s="32"/>
      <c r="R849" s="32"/>
      <c r="S849" s="2"/>
      <c r="T849" s="2"/>
      <c r="V849" s="2"/>
      <c r="W849" s="2"/>
      <c r="X849" s="30"/>
      <c r="Y849" s="30"/>
      <c r="Z849" s="32"/>
      <c r="AA849" s="32"/>
      <c r="AB849" s="32"/>
      <c r="AC849" s="32"/>
      <c r="AD849" s="32"/>
      <c r="AE849" s="32"/>
      <c r="AF849" s="32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</row>
    <row r="850" spans="1:50" x14ac:dyDescent="0.25">
      <c r="A850">
        <v>2759</v>
      </c>
      <c r="B850">
        <v>1</v>
      </c>
      <c r="C850" t="s">
        <v>979</v>
      </c>
      <c r="D850">
        <v>10</v>
      </c>
      <c r="E850" t="s">
        <v>980</v>
      </c>
      <c r="F850" s="1">
        <v>0</v>
      </c>
      <c r="G850" s="30">
        <v>0.90769230769230769</v>
      </c>
      <c r="H850" s="30">
        <v>0.76363636363636367</v>
      </c>
      <c r="I850" s="37">
        <v>481.08</v>
      </c>
      <c r="J850" s="37">
        <v>404.73</v>
      </c>
      <c r="K850" s="32">
        <v>23</v>
      </c>
      <c r="L850" s="32">
        <v>21</v>
      </c>
      <c r="M850" s="32">
        <v>11064.84</v>
      </c>
      <c r="N850" s="32">
        <v>8499.33</v>
      </c>
      <c r="O850" s="32">
        <v>19564.169999999998</v>
      </c>
      <c r="P850" s="32">
        <f t="shared" si="13"/>
        <v>18699.04</v>
      </c>
      <c r="Q850" s="32"/>
      <c r="R850" s="32"/>
      <c r="S850" s="2"/>
      <c r="T850" s="2"/>
      <c r="V850" s="2"/>
      <c r="W850" s="2"/>
      <c r="X850" s="30"/>
      <c r="Y850" s="30"/>
      <c r="Z850" s="32"/>
      <c r="AA850" s="32"/>
      <c r="AB850" s="32"/>
      <c r="AC850" s="32"/>
      <c r="AD850" s="32"/>
      <c r="AE850" s="32"/>
      <c r="AF850" s="32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 spans="1:50" x14ac:dyDescent="0.25">
      <c r="A851">
        <v>2805</v>
      </c>
      <c r="B851" s="2">
        <v>1</v>
      </c>
      <c r="C851" s="2" t="s">
        <v>981</v>
      </c>
      <c r="D851">
        <v>1</v>
      </c>
      <c r="E851" s="2" t="s">
        <v>982</v>
      </c>
      <c r="F851" s="29">
        <v>0</v>
      </c>
      <c r="G851" s="30">
        <v>0.91304347826086951</v>
      </c>
      <c r="H851" s="30">
        <v>0.68181818181818177</v>
      </c>
      <c r="I851" s="37">
        <v>483.91</v>
      </c>
      <c r="J851" s="37">
        <v>361.36</v>
      </c>
      <c r="K851" s="32">
        <v>85</v>
      </c>
      <c r="L851" s="32">
        <v>76</v>
      </c>
      <c r="M851" s="32">
        <v>41132.35</v>
      </c>
      <c r="N851" s="32">
        <v>27463.360000000001</v>
      </c>
      <c r="O851" s="32">
        <v>68595.709999999992</v>
      </c>
      <c r="P851" s="32">
        <f t="shared" si="13"/>
        <v>65562.39</v>
      </c>
      <c r="Q851" s="32"/>
      <c r="R851" s="32"/>
      <c r="S851" s="2"/>
      <c r="T851" s="2"/>
      <c r="V851" s="2"/>
      <c r="W851" s="2"/>
      <c r="X851" s="30"/>
      <c r="Y851" s="30"/>
      <c r="Z851" s="32"/>
      <c r="AA851" s="32"/>
      <c r="AB851" s="32"/>
      <c r="AC851" s="32"/>
      <c r="AD851" s="32"/>
      <c r="AE851" s="32"/>
      <c r="AF851" s="32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</row>
    <row r="852" spans="1:50" x14ac:dyDescent="0.25">
      <c r="A852">
        <v>2835</v>
      </c>
      <c r="B852" s="2">
        <v>1</v>
      </c>
      <c r="C852" s="2" t="s">
        <v>983</v>
      </c>
      <c r="D852">
        <v>1</v>
      </c>
      <c r="E852" s="2" t="s">
        <v>984</v>
      </c>
      <c r="F852" s="29">
        <v>1</v>
      </c>
      <c r="G852" s="30" t="s">
        <v>1328</v>
      </c>
      <c r="H852" s="30" t="s">
        <v>1328</v>
      </c>
      <c r="I852" s="37" t="s">
        <v>1328</v>
      </c>
      <c r="J852" s="37" t="s">
        <v>1328</v>
      </c>
      <c r="K852" s="32">
        <v>0</v>
      </c>
      <c r="L852" s="32">
        <v>0</v>
      </c>
      <c r="M852" s="32" t="s">
        <v>1328</v>
      </c>
      <c r="N852" s="32" t="s">
        <v>1328</v>
      </c>
      <c r="O852" s="32">
        <v>0</v>
      </c>
      <c r="P852" s="32">
        <f t="shared" si="13"/>
        <v>0</v>
      </c>
      <c r="Q852" s="32"/>
      <c r="R852" s="32"/>
      <c r="W852" s="2"/>
      <c r="X852" s="30"/>
      <c r="Y852" s="30"/>
      <c r="Z852" s="32"/>
      <c r="AA852" s="32"/>
      <c r="AB852" s="32"/>
      <c r="AC852" s="32"/>
      <c r="AD852" s="32"/>
      <c r="AE852" s="32"/>
      <c r="AF852" s="32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 spans="1:50" x14ac:dyDescent="0.25">
      <c r="A853">
        <v>2835</v>
      </c>
      <c r="B853" s="2">
        <v>1</v>
      </c>
      <c r="C853" s="2" t="s">
        <v>983</v>
      </c>
      <c r="D853">
        <v>10</v>
      </c>
      <c r="E853" s="2" t="s">
        <v>985</v>
      </c>
      <c r="F853" s="29">
        <v>0</v>
      </c>
      <c r="G853" s="30">
        <v>0.78899082568807344</v>
      </c>
      <c r="H853" s="30">
        <v>0.89552238805970152</v>
      </c>
      <c r="I853" s="37">
        <v>418.17</v>
      </c>
      <c r="J853" s="37">
        <v>474.63</v>
      </c>
      <c r="K853" s="32">
        <v>42</v>
      </c>
      <c r="L853" s="32">
        <v>38</v>
      </c>
      <c r="M853" s="32">
        <v>17563.14</v>
      </c>
      <c r="N853" s="32">
        <v>18035.939999999999</v>
      </c>
      <c r="O853" s="32">
        <v>35599.08</v>
      </c>
      <c r="P853" s="32">
        <f t="shared" si="13"/>
        <v>34024.879999999997</v>
      </c>
      <c r="Q853" s="32"/>
      <c r="R853" s="32"/>
      <c r="S853" s="2"/>
      <c r="T853" s="2"/>
      <c r="V853" s="2"/>
      <c r="W853" s="2"/>
      <c r="X853" s="30"/>
      <c r="Y853" s="30"/>
      <c r="Z853" s="32"/>
      <c r="AA853" s="32"/>
      <c r="AB853" s="32"/>
      <c r="AC853" s="32"/>
      <c r="AD853" s="32"/>
      <c r="AE853" s="32"/>
      <c r="AF853" s="32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</row>
    <row r="854" spans="1:50" x14ac:dyDescent="0.25">
      <c r="A854">
        <v>2853</v>
      </c>
      <c r="B854" s="2">
        <v>1</v>
      </c>
      <c r="C854" s="2" t="s">
        <v>986</v>
      </c>
      <c r="D854">
        <v>10</v>
      </c>
      <c r="E854" s="2" t="s">
        <v>987</v>
      </c>
      <c r="F854" s="29">
        <v>0</v>
      </c>
      <c r="G854" s="30">
        <v>0.87179487179487181</v>
      </c>
      <c r="H854" s="30">
        <v>0.77027027027027029</v>
      </c>
      <c r="I854" s="37">
        <v>462.05</v>
      </c>
      <c r="J854" s="37">
        <v>408.24</v>
      </c>
      <c r="K854" s="32">
        <v>27</v>
      </c>
      <c r="L854" s="32">
        <v>32</v>
      </c>
      <c r="M854" s="32">
        <v>12475.35</v>
      </c>
      <c r="N854" s="32">
        <v>13063.68</v>
      </c>
      <c r="O854" s="32">
        <v>25539.03</v>
      </c>
      <c r="P854" s="32">
        <f t="shared" si="13"/>
        <v>24409.69</v>
      </c>
      <c r="Q854" s="32"/>
      <c r="R854" s="32"/>
      <c r="S854" s="2"/>
      <c r="T854" s="2"/>
      <c r="V854" s="2"/>
      <c r="W854" s="2"/>
      <c r="X854" s="30"/>
      <c r="Y854" s="30"/>
      <c r="Z854" s="32"/>
      <c r="AA854" s="32"/>
      <c r="AB854" s="32"/>
      <c r="AC854" s="32"/>
      <c r="AD854" s="32"/>
      <c r="AE854" s="32"/>
      <c r="AF854" s="32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 spans="1:50" x14ac:dyDescent="0.25">
      <c r="A855">
        <v>2853</v>
      </c>
      <c r="B855" s="2">
        <v>1</v>
      </c>
      <c r="C855" s="2" t="s">
        <v>986</v>
      </c>
      <c r="D855">
        <v>20</v>
      </c>
      <c r="E855" s="2" t="s">
        <v>988</v>
      </c>
      <c r="F855" s="29">
        <v>0</v>
      </c>
      <c r="G855" s="30">
        <v>0.77419354838709675</v>
      </c>
      <c r="H855" s="30">
        <v>0.84523809523809523</v>
      </c>
      <c r="I855" s="37">
        <v>410.32</v>
      </c>
      <c r="J855" s="37">
        <v>447.98</v>
      </c>
      <c r="K855" s="32">
        <v>34</v>
      </c>
      <c r="L855" s="32">
        <v>32</v>
      </c>
      <c r="M855" s="32">
        <v>13950.88</v>
      </c>
      <c r="N855" s="32">
        <v>14335.36</v>
      </c>
      <c r="O855" s="32">
        <v>28286.239999999998</v>
      </c>
      <c r="P855" s="32">
        <f t="shared" si="13"/>
        <v>27035.42</v>
      </c>
      <c r="Q855" s="32"/>
      <c r="R855" s="32"/>
      <c r="S855" s="2"/>
      <c r="T855" s="2"/>
      <c r="V855" s="2"/>
      <c r="W855" s="2"/>
      <c r="X855" s="30"/>
      <c r="Y855" s="30"/>
      <c r="Z855" s="32"/>
      <c r="AA855" s="32"/>
      <c r="AB855" s="32"/>
      <c r="AC855" s="32"/>
      <c r="AD855" s="32"/>
      <c r="AE855" s="32"/>
      <c r="AF855" s="32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</row>
    <row r="856" spans="1:50" x14ac:dyDescent="0.25">
      <c r="A856">
        <v>2854</v>
      </c>
      <c r="B856">
        <v>1</v>
      </c>
      <c r="C856" t="s">
        <v>989</v>
      </c>
      <c r="D856">
        <v>10</v>
      </c>
      <c r="E856" t="s">
        <v>990</v>
      </c>
      <c r="F856" s="1">
        <v>0</v>
      </c>
      <c r="G856" s="30">
        <v>0.82644628099173556</v>
      </c>
      <c r="H856" s="30">
        <v>0.82786885245901642</v>
      </c>
      <c r="I856" s="37">
        <v>438.02</v>
      </c>
      <c r="J856" s="37">
        <v>438.77</v>
      </c>
      <c r="K856" s="32">
        <v>31</v>
      </c>
      <c r="L856" s="32">
        <v>49</v>
      </c>
      <c r="M856" s="32">
        <v>13578.62</v>
      </c>
      <c r="N856" s="32">
        <v>21499.73</v>
      </c>
      <c r="O856" s="32">
        <v>35078.35</v>
      </c>
      <c r="P856" s="32">
        <f t="shared" si="13"/>
        <v>33527.18</v>
      </c>
      <c r="Q856" s="32"/>
      <c r="R856" s="32"/>
      <c r="W856" s="2"/>
      <c r="X856" s="30"/>
      <c r="Y856" s="30"/>
      <c r="Z856" s="32"/>
      <c r="AA856" s="32"/>
      <c r="AB856" s="32"/>
      <c r="AC856" s="32"/>
      <c r="AD856" s="32"/>
      <c r="AE856" s="32"/>
      <c r="AF856" s="32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 spans="1:50" x14ac:dyDescent="0.25">
      <c r="A857">
        <v>2856</v>
      </c>
      <c r="B857" s="2">
        <v>1</v>
      </c>
      <c r="C857" s="2" t="s">
        <v>991</v>
      </c>
      <c r="D857">
        <v>20</v>
      </c>
      <c r="E857" s="2" t="s">
        <v>992</v>
      </c>
      <c r="F857" s="29">
        <v>0</v>
      </c>
      <c r="G857" s="30">
        <v>0.79729729729729726</v>
      </c>
      <c r="H857" s="30">
        <v>0.78873239436619713</v>
      </c>
      <c r="I857" s="37">
        <v>422.57</v>
      </c>
      <c r="J857" s="37">
        <v>418.03</v>
      </c>
      <c r="K857" s="32">
        <v>25</v>
      </c>
      <c r="L857" s="32">
        <v>20</v>
      </c>
      <c r="M857" s="32">
        <v>10564.25</v>
      </c>
      <c r="N857" s="32">
        <v>8360.6</v>
      </c>
      <c r="O857" s="32">
        <v>18924.849999999999</v>
      </c>
      <c r="P857" s="32">
        <f t="shared" si="13"/>
        <v>18087.990000000002</v>
      </c>
      <c r="Q857" s="32"/>
      <c r="R857" s="32"/>
      <c r="S857" s="2"/>
      <c r="T857" s="2"/>
      <c r="V857" s="2"/>
      <c r="W857" s="2"/>
      <c r="X857" s="30"/>
      <c r="Y857" s="30"/>
      <c r="Z857" s="32"/>
      <c r="AA857" s="32"/>
      <c r="AB857" s="32"/>
      <c r="AC857" s="32"/>
      <c r="AD857" s="32"/>
      <c r="AE857" s="32"/>
      <c r="AF857" s="32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</row>
    <row r="858" spans="1:50" x14ac:dyDescent="0.25">
      <c r="A858">
        <v>2859</v>
      </c>
      <c r="B858" s="2">
        <v>1</v>
      </c>
      <c r="C858" s="2" t="s">
        <v>993</v>
      </c>
      <c r="D858">
        <v>30</v>
      </c>
      <c r="E858" s="2" t="s">
        <v>891</v>
      </c>
      <c r="F858" s="29">
        <v>0</v>
      </c>
      <c r="G858" s="30">
        <v>0.77183098591549293</v>
      </c>
      <c r="H858" s="30">
        <v>0.71111111111111114</v>
      </c>
      <c r="I858" s="37">
        <v>409.07</v>
      </c>
      <c r="J858" s="37">
        <v>376.89</v>
      </c>
      <c r="K858" s="32">
        <v>121</v>
      </c>
      <c r="L858" s="32">
        <v>117</v>
      </c>
      <c r="M858" s="32">
        <v>49497.47</v>
      </c>
      <c r="N858" s="32">
        <v>44096.13</v>
      </c>
      <c r="O858" s="32">
        <v>93593.600000000006</v>
      </c>
      <c r="P858" s="32">
        <f t="shared" si="13"/>
        <v>89454.87</v>
      </c>
      <c r="Q858" s="32"/>
      <c r="R858" s="32"/>
      <c r="W858" s="2"/>
      <c r="X858" s="30"/>
      <c r="Y858" s="30"/>
      <c r="Z858" s="32"/>
      <c r="AA858" s="32"/>
      <c r="AB858" s="32"/>
      <c r="AC858" s="32"/>
      <c r="AD858" s="32"/>
      <c r="AE858" s="32"/>
      <c r="AF858" s="32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 spans="1:50" x14ac:dyDescent="0.25">
      <c r="A859">
        <v>2860</v>
      </c>
      <c r="B859" s="2">
        <v>1</v>
      </c>
      <c r="C859" s="2" t="s">
        <v>994</v>
      </c>
      <c r="D859">
        <v>10</v>
      </c>
      <c r="E859" s="2" t="s">
        <v>995</v>
      </c>
      <c r="F859" s="29">
        <v>0</v>
      </c>
      <c r="G859" s="30">
        <v>0.77835051546391754</v>
      </c>
      <c r="H859" s="30">
        <v>0.86956521739130432</v>
      </c>
      <c r="I859" s="37">
        <v>412.53</v>
      </c>
      <c r="J859" s="37">
        <v>460.87</v>
      </c>
      <c r="K859" s="32">
        <v>62</v>
      </c>
      <c r="L859" s="32">
        <v>65</v>
      </c>
      <c r="M859" s="32">
        <v>25576.86</v>
      </c>
      <c r="N859" s="32">
        <v>29956.55</v>
      </c>
      <c r="O859" s="32">
        <v>55533.41</v>
      </c>
      <c r="P859" s="32">
        <f t="shared" si="13"/>
        <v>53077.71</v>
      </c>
      <c r="Q859" s="32"/>
      <c r="R859" s="32"/>
      <c r="S859" s="2"/>
      <c r="T859" s="2"/>
      <c r="V859" s="2"/>
      <c r="W859" s="2"/>
      <c r="X859" s="30"/>
      <c r="Y859" s="30"/>
      <c r="Z859" s="32"/>
      <c r="AA859" s="32"/>
      <c r="AB859" s="32"/>
      <c r="AC859" s="32"/>
      <c r="AD859" s="32"/>
      <c r="AE859" s="32"/>
      <c r="AF859" s="32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</row>
    <row r="860" spans="1:50" x14ac:dyDescent="0.25">
      <c r="A860">
        <v>2860</v>
      </c>
      <c r="B860" s="2">
        <v>1</v>
      </c>
      <c r="C860" s="2" t="s">
        <v>994</v>
      </c>
      <c r="D860">
        <v>40</v>
      </c>
      <c r="E860" s="2" t="s">
        <v>996</v>
      </c>
      <c r="F860" s="29">
        <v>0</v>
      </c>
      <c r="G860" s="30">
        <v>0.73469387755102045</v>
      </c>
      <c r="H860" s="30">
        <v>0.70454545454545459</v>
      </c>
      <c r="I860" s="37">
        <v>389.39</v>
      </c>
      <c r="J860" s="37">
        <v>373.41</v>
      </c>
      <c r="K860" s="32">
        <v>21</v>
      </c>
      <c r="L860" s="32">
        <v>18</v>
      </c>
      <c r="M860" s="32">
        <v>8177.19</v>
      </c>
      <c r="N860" s="32">
        <v>6721.38</v>
      </c>
      <c r="O860" s="32">
        <v>14898.57</v>
      </c>
      <c r="P860" s="32">
        <f t="shared" si="13"/>
        <v>14239.75</v>
      </c>
      <c r="Q860" s="32"/>
      <c r="R860" s="32"/>
      <c r="S860" s="2"/>
      <c r="T860" s="2"/>
      <c r="V860" s="2"/>
      <c r="W860" s="2"/>
      <c r="X860" s="30"/>
      <c r="Y860" s="30"/>
      <c r="Z860" s="32"/>
      <c r="AA860" s="32"/>
      <c r="AB860" s="32"/>
      <c r="AC860" s="32"/>
      <c r="AD860" s="32"/>
      <c r="AE860" s="32"/>
      <c r="AF860" s="32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 spans="1:50" x14ac:dyDescent="0.25">
      <c r="A861">
        <v>2884</v>
      </c>
      <c r="B861" s="2">
        <v>1</v>
      </c>
      <c r="C861" s="2" t="s">
        <v>997</v>
      </c>
      <c r="D861">
        <v>30</v>
      </c>
      <c r="E861" s="2" t="s">
        <v>998</v>
      </c>
      <c r="F861" s="29">
        <v>0</v>
      </c>
      <c r="G861" s="30">
        <v>0.86</v>
      </c>
      <c r="H861" s="30">
        <v>0.78217821782178221</v>
      </c>
      <c r="I861" s="37">
        <v>455.8</v>
      </c>
      <c r="J861" s="37">
        <v>414.55</v>
      </c>
      <c r="K861" s="32">
        <v>26</v>
      </c>
      <c r="L861" s="32">
        <v>37</v>
      </c>
      <c r="M861" s="32">
        <v>11850.8</v>
      </c>
      <c r="N861" s="32">
        <v>15338.35</v>
      </c>
      <c r="O861" s="32">
        <v>27189.15</v>
      </c>
      <c r="P861" s="32">
        <f t="shared" si="13"/>
        <v>25986.84</v>
      </c>
      <c r="Q861" s="32"/>
      <c r="R861" s="32"/>
      <c r="S861" s="2"/>
      <c r="T861" s="2"/>
      <c r="V861" s="2"/>
      <c r="W861" s="2"/>
      <c r="X861" s="30"/>
      <c r="Y861" s="30"/>
      <c r="Z861" s="32"/>
      <c r="AA861" s="32"/>
      <c r="AB861" s="32"/>
      <c r="AC861" s="32"/>
      <c r="AD861" s="32"/>
      <c r="AE861" s="32"/>
      <c r="AF861" s="32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</row>
    <row r="862" spans="1:50" x14ac:dyDescent="0.25">
      <c r="A862">
        <v>2886</v>
      </c>
      <c r="B862">
        <v>1</v>
      </c>
      <c r="C862" t="s">
        <v>999</v>
      </c>
      <c r="D862">
        <v>100</v>
      </c>
      <c r="E862" t="s">
        <v>1000</v>
      </c>
      <c r="F862" s="1">
        <v>0</v>
      </c>
      <c r="G862" s="30">
        <v>0.88235294117647056</v>
      </c>
      <c r="H862" s="30">
        <v>0.66666666666666663</v>
      </c>
      <c r="I862" s="37">
        <v>467.65</v>
      </c>
      <c r="J862" s="37">
        <v>353.33</v>
      </c>
      <c r="K862" s="32">
        <v>22</v>
      </c>
      <c r="L862" s="32">
        <v>14</v>
      </c>
      <c r="M862" s="32">
        <v>10288.299999999999</v>
      </c>
      <c r="N862" s="32">
        <v>4946.62</v>
      </c>
      <c r="O862" s="32">
        <v>15234.919999999998</v>
      </c>
      <c r="P862" s="32">
        <f t="shared" si="13"/>
        <v>14561.23</v>
      </c>
      <c r="Q862" s="32"/>
      <c r="R862" s="32"/>
      <c r="S862" s="2"/>
      <c r="T862" s="2"/>
      <c r="V862" s="2"/>
      <c r="W862" s="2"/>
      <c r="X862" s="30"/>
      <c r="Y862" s="30"/>
      <c r="Z862" s="32"/>
      <c r="AA862" s="32"/>
      <c r="AB862" s="32"/>
      <c r="AC862" s="32"/>
      <c r="AD862" s="32"/>
      <c r="AE862" s="32"/>
      <c r="AF862" s="32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 spans="1:50" x14ac:dyDescent="0.25">
      <c r="A863">
        <v>2888</v>
      </c>
      <c r="B863">
        <v>1</v>
      </c>
      <c r="C863" t="s">
        <v>1001</v>
      </c>
      <c r="D863">
        <v>1</v>
      </c>
      <c r="E863" t="s">
        <v>1002</v>
      </c>
      <c r="F863" s="1">
        <v>0</v>
      </c>
      <c r="G863" s="30">
        <v>0.96363636363636362</v>
      </c>
      <c r="H863" s="30">
        <v>0.80392156862745101</v>
      </c>
      <c r="I863" s="37">
        <v>510.73</v>
      </c>
      <c r="J863" s="37">
        <v>426.08</v>
      </c>
      <c r="K863" s="32">
        <v>23</v>
      </c>
      <c r="L863" s="32">
        <v>12</v>
      </c>
      <c r="M863" s="32">
        <v>11746.79</v>
      </c>
      <c r="N863" s="32">
        <v>5112.96</v>
      </c>
      <c r="O863" s="32">
        <v>16859.75</v>
      </c>
      <c r="P863" s="32">
        <f t="shared" si="13"/>
        <v>16114.21</v>
      </c>
      <c r="Q863" s="32"/>
      <c r="R863" s="32"/>
      <c r="W863" s="2"/>
      <c r="X863" s="30"/>
      <c r="Y863" s="30"/>
      <c r="Z863" s="32"/>
      <c r="AA863" s="32"/>
      <c r="AB863" s="32"/>
      <c r="AC863" s="32"/>
      <c r="AD863" s="32"/>
      <c r="AE863" s="32"/>
      <c r="AF863" s="32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</row>
    <row r="864" spans="1:50" x14ac:dyDescent="0.25">
      <c r="A864">
        <v>2888</v>
      </c>
      <c r="B864" s="2">
        <v>1</v>
      </c>
      <c r="C864" s="2" t="s">
        <v>1257</v>
      </c>
      <c r="D864">
        <v>4</v>
      </c>
      <c r="E864" s="2" t="s">
        <v>1258</v>
      </c>
      <c r="F864" s="29">
        <v>1</v>
      </c>
      <c r="G864" s="30" t="s">
        <v>1328</v>
      </c>
      <c r="H864" s="30" t="s">
        <v>1328</v>
      </c>
      <c r="I864" s="37" t="s">
        <v>1328</v>
      </c>
      <c r="J864" s="37" t="s">
        <v>1328</v>
      </c>
      <c r="K864" s="32">
        <v>3</v>
      </c>
      <c r="L864" s="32">
        <v>3</v>
      </c>
      <c r="M864" s="32" t="s">
        <v>1328</v>
      </c>
      <c r="N864" s="32" t="s">
        <v>1328</v>
      </c>
      <c r="O864" s="32">
        <v>3180</v>
      </c>
      <c r="P864" s="32">
        <f t="shared" si="13"/>
        <v>3039.38</v>
      </c>
      <c r="Q864" s="32"/>
      <c r="R864" s="32"/>
      <c r="S864" s="2"/>
      <c r="T864" s="2"/>
      <c r="V864" s="2"/>
      <c r="W864" s="2"/>
      <c r="X864" s="30"/>
      <c r="Y864" s="30"/>
      <c r="Z864" s="32"/>
      <c r="AA864" s="32"/>
      <c r="AB864" s="32"/>
      <c r="AC864" s="32"/>
      <c r="AD864" s="32"/>
      <c r="AE864" s="32"/>
      <c r="AF864" s="32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 spans="1:50" x14ac:dyDescent="0.25">
      <c r="A865">
        <v>2888</v>
      </c>
      <c r="B865" s="2">
        <v>1</v>
      </c>
      <c r="C865" s="2" t="s">
        <v>1257</v>
      </c>
      <c r="D865">
        <v>6</v>
      </c>
      <c r="E865" s="2" t="s">
        <v>1259</v>
      </c>
      <c r="F865" s="29">
        <v>1</v>
      </c>
      <c r="G865" s="30" t="s">
        <v>1328</v>
      </c>
      <c r="H865" s="30" t="s">
        <v>1328</v>
      </c>
      <c r="I865" s="37" t="s">
        <v>1328</v>
      </c>
      <c r="J865" s="37" t="s">
        <v>1328</v>
      </c>
      <c r="K865" s="32">
        <v>3</v>
      </c>
      <c r="L865" s="32">
        <v>5</v>
      </c>
      <c r="M865" s="32" t="s">
        <v>1328</v>
      </c>
      <c r="N865" s="32" t="s">
        <v>1328</v>
      </c>
      <c r="O865" s="32">
        <v>3710</v>
      </c>
      <c r="P865" s="32">
        <f t="shared" si="13"/>
        <v>3545.94</v>
      </c>
      <c r="Q865" s="32"/>
      <c r="R865" s="32"/>
      <c r="S865" s="2"/>
      <c r="T865" s="2"/>
      <c r="V865" s="2"/>
      <c r="W865" s="2"/>
      <c r="X865" s="30"/>
      <c r="Y865" s="30"/>
      <c r="Z865" s="32"/>
      <c r="AA865" s="32"/>
      <c r="AB865" s="32"/>
      <c r="AC865" s="32"/>
      <c r="AD865" s="32"/>
      <c r="AE865" s="32"/>
      <c r="AF865" s="32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</row>
    <row r="866" spans="1:50" x14ac:dyDescent="0.25">
      <c r="A866">
        <v>2889</v>
      </c>
      <c r="B866">
        <v>1</v>
      </c>
      <c r="C866" t="s">
        <v>1003</v>
      </c>
      <c r="D866">
        <v>10</v>
      </c>
      <c r="E866" t="s">
        <v>1004</v>
      </c>
      <c r="F866" s="1">
        <v>0</v>
      </c>
      <c r="G866" s="30">
        <v>0.94814814814814818</v>
      </c>
      <c r="H866" s="30">
        <v>0.48091603053435117</v>
      </c>
      <c r="I866" s="37">
        <v>502.52</v>
      </c>
      <c r="J866" s="37">
        <v>254.89</v>
      </c>
      <c r="K866" s="32">
        <v>48</v>
      </c>
      <c r="L866" s="32">
        <v>41</v>
      </c>
      <c r="M866" s="32">
        <v>24120.959999999999</v>
      </c>
      <c r="N866" s="32">
        <v>10450.49</v>
      </c>
      <c r="O866" s="32">
        <v>34571.449999999997</v>
      </c>
      <c r="P866" s="32">
        <f t="shared" si="13"/>
        <v>33042.69</v>
      </c>
      <c r="Q866" s="32"/>
      <c r="R866" s="32"/>
      <c r="S866" s="2"/>
      <c r="T866" s="2"/>
      <c r="V866" s="2"/>
      <c r="W866" s="2"/>
      <c r="X866" s="30"/>
      <c r="Y866" s="30"/>
      <c r="Z866" s="32"/>
      <c r="AA866" s="32"/>
      <c r="AB866" s="32"/>
      <c r="AC866" s="32"/>
      <c r="AD866" s="32"/>
      <c r="AE866" s="32"/>
      <c r="AF866" s="32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 spans="1:50" x14ac:dyDescent="0.25">
      <c r="A867">
        <v>2890</v>
      </c>
      <c r="B867" s="2">
        <v>1</v>
      </c>
      <c r="C867" s="2" t="s">
        <v>1005</v>
      </c>
      <c r="D867">
        <v>1</v>
      </c>
      <c r="E867" s="2" t="s">
        <v>1006</v>
      </c>
      <c r="F867" s="29">
        <v>0</v>
      </c>
      <c r="G867" s="30">
        <v>0.73043478260869565</v>
      </c>
      <c r="H867" s="30">
        <v>0.62385321100917435</v>
      </c>
      <c r="I867" s="37">
        <v>387.13</v>
      </c>
      <c r="J867" s="37">
        <v>330.64</v>
      </c>
      <c r="K867" s="32">
        <v>37</v>
      </c>
      <c r="L867" s="32">
        <v>40</v>
      </c>
      <c r="M867" s="32">
        <v>14323.81</v>
      </c>
      <c r="N867" s="32">
        <v>13225.6</v>
      </c>
      <c r="O867" s="32">
        <v>27549.41</v>
      </c>
      <c r="P867" s="32">
        <f t="shared" si="13"/>
        <v>26331.17</v>
      </c>
      <c r="Q867" s="32"/>
      <c r="R867" s="32"/>
      <c r="S867" s="2"/>
      <c r="T867" s="2"/>
      <c r="V867" s="2"/>
      <c r="W867" s="2"/>
      <c r="X867" s="30"/>
      <c r="Y867" s="30"/>
      <c r="Z867" s="32"/>
      <c r="AA867" s="32"/>
      <c r="AB867" s="32"/>
      <c r="AC867" s="32"/>
      <c r="AD867" s="32"/>
      <c r="AE867" s="32"/>
      <c r="AF867" s="32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</row>
    <row r="868" spans="1:50" x14ac:dyDescent="0.25">
      <c r="A868">
        <v>2895</v>
      </c>
      <c r="B868" s="2">
        <v>1</v>
      </c>
      <c r="C868" s="2" t="s">
        <v>1007</v>
      </c>
      <c r="D868">
        <v>10</v>
      </c>
      <c r="E868" s="2" t="s">
        <v>1008</v>
      </c>
      <c r="F868" s="29">
        <v>0</v>
      </c>
      <c r="G868" s="30">
        <v>0.86567164179104472</v>
      </c>
      <c r="H868" s="30">
        <v>0.68571428571428572</v>
      </c>
      <c r="I868" s="37">
        <v>458.81</v>
      </c>
      <c r="J868" s="37">
        <v>363.43</v>
      </c>
      <c r="K868" s="32">
        <v>23</v>
      </c>
      <c r="L868" s="32">
        <v>26</v>
      </c>
      <c r="M868" s="32">
        <v>10552.63</v>
      </c>
      <c r="N868" s="32">
        <v>9449.18</v>
      </c>
      <c r="O868" s="32">
        <v>20001.809999999998</v>
      </c>
      <c r="P868" s="32">
        <f t="shared" si="13"/>
        <v>19117.330000000002</v>
      </c>
      <c r="Q868" s="32"/>
      <c r="R868" s="32"/>
      <c r="S868" s="2"/>
      <c r="T868" s="2"/>
      <c r="V868" s="2"/>
      <c r="W868" s="2"/>
      <c r="X868" s="30"/>
      <c r="Y868" s="30"/>
      <c r="Z868" s="32"/>
      <c r="AA868" s="32"/>
      <c r="AB868" s="32"/>
      <c r="AC868" s="32"/>
      <c r="AD868" s="32"/>
      <c r="AE868" s="32"/>
      <c r="AF868" s="32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 spans="1:50" x14ac:dyDescent="0.25">
      <c r="A869">
        <v>2895</v>
      </c>
      <c r="B869" s="2">
        <v>1</v>
      </c>
      <c r="C869" s="2" t="s">
        <v>1007</v>
      </c>
      <c r="D869">
        <v>112</v>
      </c>
      <c r="E869" s="2" t="s">
        <v>204</v>
      </c>
      <c r="F869" s="29">
        <v>0</v>
      </c>
      <c r="G869" s="30">
        <v>0.91836734693877553</v>
      </c>
      <c r="H869" s="30">
        <v>0.58974358974358976</v>
      </c>
      <c r="I869" s="37">
        <v>486.73</v>
      </c>
      <c r="J869" s="37">
        <v>312.56</v>
      </c>
      <c r="K869" s="32">
        <v>60</v>
      </c>
      <c r="L869" s="32">
        <v>76</v>
      </c>
      <c r="M869" s="32">
        <v>29203.8</v>
      </c>
      <c r="N869" s="32">
        <v>23754.560000000001</v>
      </c>
      <c r="O869" s="32">
        <v>52958.36</v>
      </c>
      <c r="P869" s="32">
        <f t="shared" si="13"/>
        <v>50616.53</v>
      </c>
      <c r="Q869" s="32"/>
      <c r="R869" s="32"/>
      <c r="W869" s="2"/>
      <c r="X869" s="30"/>
      <c r="Y869" s="30"/>
      <c r="Z869" s="32"/>
      <c r="AA869" s="32"/>
      <c r="AB869" s="32"/>
      <c r="AC869" s="32"/>
      <c r="AD869" s="32"/>
      <c r="AE869" s="32"/>
      <c r="AF869" s="32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</row>
    <row r="870" spans="1:50" x14ac:dyDescent="0.25">
      <c r="A870">
        <v>2897</v>
      </c>
      <c r="B870" s="2">
        <v>1</v>
      </c>
      <c r="C870" s="2" t="s">
        <v>1009</v>
      </c>
      <c r="D870">
        <v>2</v>
      </c>
      <c r="E870" s="2" t="s">
        <v>1010</v>
      </c>
      <c r="F870" s="29">
        <v>0</v>
      </c>
      <c r="G870" s="30">
        <v>0.83524904214559392</v>
      </c>
      <c r="H870" s="30">
        <v>0.82916666666666672</v>
      </c>
      <c r="I870" s="37">
        <v>442.68</v>
      </c>
      <c r="J870" s="37">
        <v>439.46</v>
      </c>
      <c r="K870" s="32">
        <v>84</v>
      </c>
      <c r="L870" s="32">
        <v>82</v>
      </c>
      <c r="M870" s="32">
        <v>37185.120000000003</v>
      </c>
      <c r="N870" s="32">
        <v>36035.72</v>
      </c>
      <c r="O870" s="32">
        <v>73220.84</v>
      </c>
      <c r="P870" s="32">
        <f t="shared" si="13"/>
        <v>69983</v>
      </c>
      <c r="Q870" s="32"/>
      <c r="R870" s="32"/>
      <c r="S870" s="2"/>
      <c r="T870" s="2"/>
      <c r="V870" s="2"/>
      <c r="W870" s="2"/>
      <c r="X870" s="30"/>
      <c r="Y870" s="30"/>
      <c r="Z870" s="32"/>
      <c r="AA870" s="32"/>
      <c r="AB870" s="32"/>
      <c r="AC870" s="32"/>
      <c r="AD870" s="32"/>
      <c r="AE870" s="32"/>
      <c r="AF870" s="32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 spans="1:50" x14ac:dyDescent="0.25">
      <c r="A871">
        <v>2898</v>
      </c>
      <c r="B871" s="2">
        <v>1</v>
      </c>
      <c r="C871" s="2" t="s">
        <v>1011</v>
      </c>
      <c r="D871">
        <v>15</v>
      </c>
      <c r="E871" s="2" t="s">
        <v>1012</v>
      </c>
      <c r="F871" s="29">
        <v>0</v>
      </c>
      <c r="G871" s="30">
        <v>0.71287128712871284</v>
      </c>
      <c r="H871" s="30">
        <v>0.87777777777777777</v>
      </c>
      <c r="I871" s="37">
        <v>377.82</v>
      </c>
      <c r="J871" s="37">
        <v>465.22</v>
      </c>
      <c r="K871" s="32">
        <v>39</v>
      </c>
      <c r="L871" s="32">
        <v>31</v>
      </c>
      <c r="M871" s="32">
        <v>14734.98</v>
      </c>
      <c r="N871" s="32">
        <v>14421.82</v>
      </c>
      <c r="O871" s="32">
        <v>29156.799999999999</v>
      </c>
      <c r="P871" s="32">
        <f t="shared" si="13"/>
        <v>27867.48</v>
      </c>
      <c r="Q871" s="32"/>
      <c r="R871" s="32"/>
      <c r="S871" s="2"/>
      <c r="T871" s="2"/>
      <c r="V871" s="2"/>
      <c r="W871" s="2"/>
      <c r="X871" s="30"/>
      <c r="Y871" s="30"/>
      <c r="Z871" s="32"/>
      <c r="AA871" s="32"/>
      <c r="AB871" s="32"/>
      <c r="AC871" s="32"/>
      <c r="AD871" s="32"/>
      <c r="AE871" s="32"/>
      <c r="AF871" s="32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</row>
    <row r="872" spans="1:50" x14ac:dyDescent="0.25">
      <c r="A872">
        <v>2899</v>
      </c>
      <c r="B872">
        <v>1</v>
      </c>
      <c r="C872" t="s">
        <v>1013</v>
      </c>
      <c r="D872">
        <v>10</v>
      </c>
      <c r="E872" t="s">
        <v>1014</v>
      </c>
      <c r="F872" s="1">
        <v>1</v>
      </c>
      <c r="G872" s="30" t="s">
        <v>1328</v>
      </c>
      <c r="H872" s="30" t="s">
        <v>1328</v>
      </c>
      <c r="I872" s="37" t="s">
        <v>1328</v>
      </c>
      <c r="J872" s="37" t="s">
        <v>1328</v>
      </c>
      <c r="K872" s="32">
        <v>126</v>
      </c>
      <c r="L872" s="32">
        <v>0</v>
      </c>
      <c r="M872" s="32" t="s">
        <v>1328</v>
      </c>
      <c r="N872" s="32" t="s">
        <v>1328</v>
      </c>
      <c r="O872" s="32">
        <v>55894.86</v>
      </c>
      <c r="P872" s="32">
        <f t="shared" si="13"/>
        <v>53423.18</v>
      </c>
      <c r="Q872" s="32"/>
      <c r="R872" s="32"/>
      <c r="S872" s="2"/>
      <c r="T872" s="2"/>
      <c r="V872" s="2"/>
      <c r="W872" s="2"/>
      <c r="X872" s="30"/>
      <c r="Y872" s="30"/>
      <c r="Z872" s="32"/>
      <c r="AA872" s="32"/>
      <c r="AB872" s="32"/>
      <c r="AC872" s="32"/>
      <c r="AD872" s="32"/>
      <c r="AE872" s="32"/>
      <c r="AF872" s="32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 spans="1:50" x14ac:dyDescent="0.25">
      <c r="A873">
        <v>2899</v>
      </c>
      <c r="B873" s="2">
        <v>1</v>
      </c>
      <c r="C873" s="2" t="s">
        <v>1013</v>
      </c>
      <c r="D873">
        <v>20</v>
      </c>
      <c r="E873" s="2" t="s">
        <v>1015</v>
      </c>
      <c r="F873" s="29">
        <v>1</v>
      </c>
      <c r="G873" s="30" t="s">
        <v>1328</v>
      </c>
      <c r="H873" s="30" t="s">
        <v>1328</v>
      </c>
      <c r="I873" s="37" t="s">
        <v>1328</v>
      </c>
      <c r="J873" s="37" t="s">
        <v>1328</v>
      </c>
      <c r="K873" s="32">
        <v>0</v>
      </c>
      <c r="L873" s="32">
        <v>97</v>
      </c>
      <c r="M873" s="32" t="s">
        <v>1328</v>
      </c>
      <c r="N873" s="32" t="s">
        <v>1328</v>
      </c>
      <c r="O873" s="32">
        <v>36853.21</v>
      </c>
      <c r="P873" s="32">
        <f t="shared" si="13"/>
        <v>35223.550000000003</v>
      </c>
      <c r="Q873" s="32"/>
      <c r="R873" s="32"/>
      <c r="S873" s="2"/>
      <c r="T873" s="2"/>
      <c r="V873" s="2"/>
      <c r="W873" s="2"/>
      <c r="X873" s="30"/>
      <c r="Y873" s="30"/>
      <c r="Z873" s="32"/>
      <c r="AA873" s="32"/>
      <c r="AB873" s="32"/>
      <c r="AC873" s="32"/>
      <c r="AD873" s="32"/>
      <c r="AE873" s="32"/>
      <c r="AF873" s="32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</row>
    <row r="874" spans="1:50" x14ac:dyDescent="0.25">
      <c r="A874">
        <v>2902</v>
      </c>
      <c r="B874" s="2">
        <v>1</v>
      </c>
      <c r="C874" s="2" t="s">
        <v>1016</v>
      </c>
      <c r="D874">
        <v>100</v>
      </c>
      <c r="E874" s="2" t="s">
        <v>1017</v>
      </c>
      <c r="F874" s="29">
        <v>0</v>
      </c>
      <c r="G874" s="30">
        <v>0.89719626168224298</v>
      </c>
      <c r="H874" s="30">
        <v>0.84313725490196079</v>
      </c>
      <c r="I874" s="37">
        <v>475.51</v>
      </c>
      <c r="J874" s="37">
        <v>446.86</v>
      </c>
      <c r="K874" s="32">
        <v>41</v>
      </c>
      <c r="L874" s="32">
        <v>37</v>
      </c>
      <c r="M874" s="32">
        <v>19495.91</v>
      </c>
      <c r="N874" s="32">
        <v>16533.82</v>
      </c>
      <c r="O874" s="32">
        <v>36029.729999999996</v>
      </c>
      <c r="P874" s="32">
        <f t="shared" si="13"/>
        <v>34436.49</v>
      </c>
      <c r="Q874" s="32"/>
      <c r="R874" s="32"/>
      <c r="S874" s="2"/>
      <c r="T874" s="2"/>
      <c r="V874" s="2"/>
      <c r="W874" s="2"/>
      <c r="X874" s="30"/>
      <c r="Y874" s="30"/>
      <c r="Z874" s="32"/>
      <c r="AA874" s="32"/>
      <c r="AB874" s="32"/>
      <c r="AC874" s="32"/>
      <c r="AD874" s="32"/>
      <c r="AE874" s="32"/>
      <c r="AF874" s="32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</row>
    <row r="875" spans="1:50" x14ac:dyDescent="0.25">
      <c r="A875">
        <v>2903</v>
      </c>
      <c r="B875" s="2">
        <v>1</v>
      </c>
      <c r="C875" s="2" t="s">
        <v>1018</v>
      </c>
      <c r="D875">
        <v>10</v>
      </c>
      <c r="E875" s="2" t="s">
        <v>127</v>
      </c>
      <c r="F875" s="29">
        <v>0</v>
      </c>
      <c r="G875" s="30">
        <v>0.83673469387755106</v>
      </c>
      <c r="H875" s="30">
        <v>0.67741935483870963</v>
      </c>
      <c r="I875" s="37">
        <v>443.47</v>
      </c>
      <c r="J875" s="37">
        <v>359.03</v>
      </c>
      <c r="K875" s="32">
        <v>25</v>
      </c>
      <c r="L875" s="32">
        <v>34</v>
      </c>
      <c r="M875" s="32">
        <v>11086.75</v>
      </c>
      <c r="N875" s="32">
        <v>12207.02</v>
      </c>
      <c r="O875" s="32">
        <v>23293.77</v>
      </c>
      <c r="P875" s="32">
        <f t="shared" si="13"/>
        <v>22263.71</v>
      </c>
      <c r="Q875" s="32"/>
      <c r="R875" s="32"/>
      <c r="W875" s="2"/>
      <c r="X875" s="30"/>
      <c r="Y875" s="30"/>
      <c r="Z875" s="32"/>
      <c r="AA875" s="32"/>
      <c r="AB875" s="32"/>
      <c r="AC875" s="32"/>
      <c r="AD875" s="32"/>
      <c r="AE875" s="32"/>
      <c r="AF875" s="32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</row>
    <row r="876" spans="1:50" x14ac:dyDescent="0.25">
      <c r="A876">
        <v>2904</v>
      </c>
      <c r="B876">
        <v>1</v>
      </c>
      <c r="C876" t="s">
        <v>1019</v>
      </c>
      <c r="D876">
        <v>2</v>
      </c>
      <c r="E876" t="s">
        <v>459</v>
      </c>
      <c r="F876" s="1">
        <v>0</v>
      </c>
      <c r="G876" s="30">
        <v>0.83229813664596275</v>
      </c>
      <c r="H876" s="30">
        <v>0.67721518987341767</v>
      </c>
      <c r="I876" s="37">
        <v>441.12</v>
      </c>
      <c r="J876" s="37">
        <v>358.92</v>
      </c>
      <c r="K876" s="32">
        <v>48</v>
      </c>
      <c r="L876" s="32">
        <v>56</v>
      </c>
      <c r="M876" s="32">
        <v>21173.759999999998</v>
      </c>
      <c r="N876" s="32">
        <v>20099.52</v>
      </c>
      <c r="O876" s="32">
        <v>41273.279999999999</v>
      </c>
      <c r="P876" s="32">
        <f t="shared" si="13"/>
        <v>39448.17</v>
      </c>
      <c r="Q876" s="32"/>
      <c r="R876" s="32"/>
      <c r="W876" s="2"/>
      <c r="X876" s="30"/>
      <c r="Y876" s="30"/>
      <c r="Z876" s="32"/>
      <c r="AA876" s="32"/>
      <c r="AB876" s="32"/>
      <c r="AC876" s="32"/>
      <c r="AD876" s="32"/>
      <c r="AE876" s="32"/>
      <c r="AF876" s="32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</row>
    <row r="877" spans="1:50" x14ac:dyDescent="0.25">
      <c r="A877">
        <v>4001</v>
      </c>
      <c r="B877">
        <v>7</v>
      </c>
      <c r="C877" t="s">
        <v>1020</v>
      </c>
      <c r="D877">
        <v>10</v>
      </c>
      <c r="E877" t="s">
        <v>1020</v>
      </c>
      <c r="F877" s="1">
        <v>0</v>
      </c>
      <c r="G877" s="30">
        <v>0.93333333333333335</v>
      </c>
      <c r="H877" s="30">
        <v>0.72222222222222221</v>
      </c>
      <c r="I877" s="37">
        <v>494.67</v>
      </c>
      <c r="J877" s="37">
        <v>382.78</v>
      </c>
      <c r="K877" s="32">
        <v>24</v>
      </c>
      <c r="L877" s="32">
        <v>26</v>
      </c>
      <c r="M877" s="32">
        <v>11872.08</v>
      </c>
      <c r="N877" s="32">
        <v>9952.2800000000007</v>
      </c>
      <c r="O877" s="32">
        <v>21824.36</v>
      </c>
      <c r="P877" s="32">
        <f t="shared" si="13"/>
        <v>20859.28</v>
      </c>
      <c r="Q877" s="32"/>
      <c r="R877" s="32"/>
      <c r="S877" s="2"/>
      <c r="T877" s="2"/>
      <c r="V877" s="2"/>
      <c r="W877" s="2"/>
      <c r="X877" s="30"/>
      <c r="Y877" s="30"/>
      <c r="Z877" s="32"/>
      <c r="AA877" s="32"/>
      <c r="AB877" s="32"/>
      <c r="AC877" s="32"/>
      <c r="AD877" s="32"/>
      <c r="AE877" s="32"/>
      <c r="AF877" s="32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</row>
    <row r="878" spans="1:50" x14ac:dyDescent="0.25">
      <c r="A878">
        <v>4003</v>
      </c>
      <c r="B878" s="2">
        <v>7</v>
      </c>
      <c r="C878" s="2" t="s">
        <v>1260</v>
      </c>
      <c r="D878">
        <v>10</v>
      </c>
      <c r="E878" s="2" t="s">
        <v>1260</v>
      </c>
      <c r="F878" s="29">
        <v>1</v>
      </c>
      <c r="G878" s="30" t="s">
        <v>1328</v>
      </c>
      <c r="H878" s="30" t="s">
        <v>1328</v>
      </c>
      <c r="I878" s="37" t="s">
        <v>1328</v>
      </c>
      <c r="J878" s="37" t="s">
        <v>1328</v>
      </c>
      <c r="K878" s="32">
        <v>11</v>
      </c>
      <c r="L878" s="32">
        <v>6</v>
      </c>
      <c r="M878" s="32" t="s">
        <v>1328</v>
      </c>
      <c r="N878" s="32" t="s">
        <v>1328</v>
      </c>
      <c r="O878" s="32">
        <v>5057.12</v>
      </c>
      <c r="P878" s="32">
        <f t="shared" si="13"/>
        <v>4833.49</v>
      </c>
      <c r="Q878" s="32"/>
      <c r="R878" s="32"/>
      <c r="S878" s="2"/>
      <c r="T878" s="2"/>
      <c r="V878" s="2"/>
      <c r="W878" s="2"/>
      <c r="X878" s="30"/>
      <c r="Y878" s="30"/>
      <c r="Z878" s="32"/>
      <c r="AA878" s="32"/>
      <c r="AB878" s="32"/>
      <c r="AC878" s="32"/>
      <c r="AD878" s="32"/>
      <c r="AE878" s="32"/>
      <c r="AF878" s="32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</row>
    <row r="879" spans="1:50" x14ac:dyDescent="0.25">
      <c r="A879">
        <v>4004</v>
      </c>
      <c r="B879" s="2">
        <v>7</v>
      </c>
      <c r="C879" s="2" t="s">
        <v>1021</v>
      </c>
      <c r="D879">
        <v>10</v>
      </c>
      <c r="E879" s="2" t="s">
        <v>1021</v>
      </c>
      <c r="F879" s="29">
        <v>0</v>
      </c>
      <c r="G879" s="30">
        <v>0.56818181818181823</v>
      </c>
      <c r="H879" s="30">
        <v>0.8666666666666667</v>
      </c>
      <c r="I879" s="37">
        <v>301.14</v>
      </c>
      <c r="J879" s="37">
        <v>459.33</v>
      </c>
      <c r="K879" s="32">
        <v>17</v>
      </c>
      <c r="L879" s="32">
        <v>12</v>
      </c>
      <c r="M879" s="32">
        <v>5119.38</v>
      </c>
      <c r="N879" s="32">
        <v>5511.96</v>
      </c>
      <c r="O879" s="32">
        <v>10631.34</v>
      </c>
      <c r="P879" s="32">
        <f t="shared" si="13"/>
        <v>10161.219999999999</v>
      </c>
      <c r="Q879" s="32"/>
      <c r="R879" s="32"/>
      <c r="W879" s="2"/>
      <c r="X879" s="30"/>
      <c r="Y879" s="30"/>
      <c r="Z879" s="32"/>
      <c r="AA879" s="32"/>
      <c r="AB879" s="32"/>
      <c r="AC879" s="32"/>
      <c r="AD879" s="32"/>
      <c r="AE879" s="32"/>
      <c r="AF879" s="32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</row>
    <row r="880" spans="1:50" x14ac:dyDescent="0.25">
      <c r="A880">
        <v>4005</v>
      </c>
      <c r="B880" s="2">
        <v>7</v>
      </c>
      <c r="C880" s="2" t="s">
        <v>1261</v>
      </c>
      <c r="D880">
        <v>10</v>
      </c>
      <c r="E880" s="2" t="s">
        <v>1261</v>
      </c>
      <c r="F880" s="29">
        <v>1</v>
      </c>
      <c r="G880" s="30" t="s">
        <v>1328</v>
      </c>
      <c r="H880" s="30" t="s">
        <v>1328</v>
      </c>
      <c r="I880" s="37" t="s">
        <v>1328</v>
      </c>
      <c r="J880" s="37" t="s">
        <v>1328</v>
      </c>
      <c r="K880" s="32">
        <v>5</v>
      </c>
      <c r="L880" s="32">
        <v>5</v>
      </c>
      <c r="M880" s="32" t="s">
        <v>1328</v>
      </c>
      <c r="N880" s="32" t="s">
        <v>1328</v>
      </c>
      <c r="O880" s="32">
        <v>3710</v>
      </c>
      <c r="P880" s="32">
        <f t="shared" si="13"/>
        <v>3545.94</v>
      </c>
      <c r="Q880" s="32"/>
      <c r="R880" s="32"/>
      <c r="S880" s="2"/>
      <c r="T880" s="2"/>
      <c r="V880" s="2"/>
      <c r="W880" s="2"/>
      <c r="X880" s="30"/>
      <c r="Y880" s="30"/>
      <c r="Z880" s="32"/>
      <c r="AA880" s="32"/>
      <c r="AB880" s="32"/>
      <c r="AC880" s="32"/>
      <c r="AD880" s="32"/>
      <c r="AE880" s="32"/>
      <c r="AF880" s="32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</row>
    <row r="881" spans="1:50" x14ac:dyDescent="0.25">
      <c r="A881">
        <v>4008</v>
      </c>
      <c r="B881" s="2">
        <v>7</v>
      </c>
      <c r="C881" s="2" t="s">
        <v>1022</v>
      </c>
      <c r="D881">
        <v>10</v>
      </c>
      <c r="E881" s="2" t="s">
        <v>1022</v>
      </c>
      <c r="F881" s="29">
        <v>0</v>
      </c>
      <c r="G881" s="30">
        <v>0.82170542635658916</v>
      </c>
      <c r="H881" s="30">
        <v>0.73529411764705888</v>
      </c>
      <c r="I881" s="37">
        <v>435.5</v>
      </c>
      <c r="J881" s="37">
        <v>389.71</v>
      </c>
      <c r="K881" s="32">
        <v>48</v>
      </c>
      <c r="L881" s="32">
        <v>52</v>
      </c>
      <c r="M881" s="32">
        <v>20904</v>
      </c>
      <c r="N881" s="32">
        <v>20264.919999999998</v>
      </c>
      <c r="O881" s="32">
        <v>41168.92</v>
      </c>
      <c r="P881" s="32">
        <f t="shared" si="13"/>
        <v>39348.42</v>
      </c>
      <c r="Q881" s="32"/>
      <c r="R881" s="32"/>
      <c r="S881" s="2"/>
      <c r="T881" s="2"/>
      <c r="V881" s="2"/>
      <c r="W881" s="2"/>
      <c r="X881" s="30"/>
      <c r="Y881" s="30"/>
      <c r="Z881" s="32"/>
      <c r="AA881" s="32"/>
      <c r="AB881" s="32"/>
      <c r="AC881" s="32"/>
      <c r="AD881" s="32"/>
      <c r="AE881" s="32"/>
      <c r="AF881" s="32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</row>
    <row r="882" spans="1:50" x14ac:dyDescent="0.25">
      <c r="A882">
        <v>4011</v>
      </c>
      <c r="B882" s="2">
        <v>7</v>
      </c>
      <c r="C882" s="2" t="s">
        <v>1023</v>
      </c>
      <c r="D882">
        <v>10</v>
      </c>
      <c r="E882" s="2" t="s">
        <v>1023</v>
      </c>
      <c r="F882" s="29">
        <v>0</v>
      </c>
      <c r="G882" s="30">
        <v>0.51351351351351349</v>
      </c>
      <c r="H882" s="30">
        <v>0.82456140350877194</v>
      </c>
      <c r="I882" s="37">
        <v>272.16000000000003</v>
      </c>
      <c r="J882" s="37">
        <v>437.02</v>
      </c>
      <c r="K882" s="32">
        <v>26</v>
      </c>
      <c r="L882" s="32">
        <v>26</v>
      </c>
      <c r="M882" s="32">
        <v>7076.16</v>
      </c>
      <c r="N882" s="32">
        <v>11362.52</v>
      </c>
      <c r="O882" s="32">
        <v>18438.68</v>
      </c>
      <c r="P882" s="32">
        <f t="shared" si="13"/>
        <v>17623.32</v>
      </c>
      <c r="Q882" s="32"/>
      <c r="R882" s="32"/>
      <c r="S882" s="2"/>
      <c r="T882" s="2"/>
      <c r="V882" s="2"/>
      <c r="W882" s="2"/>
      <c r="X882" s="30"/>
      <c r="Y882" s="30"/>
      <c r="Z882" s="32"/>
      <c r="AA882" s="32"/>
      <c r="AB882" s="32"/>
      <c r="AC882" s="32"/>
      <c r="AD882" s="32"/>
      <c r="AE882" s="32"/>
      <c r="AF882" s="32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</row>
    <row r="883" spans="1:50" x14ac:dyDescent="0.25">
      <c r="A883">
        <v>4012</v>
      </c>
      <c r="B883">
        <v>7</v>
      </c>
      <c r="C883" t="s">
        <v>1262</v>
      </c>
      <c r="D883">
        <v>10</v>
      </c>
      <c r="E883" t="s">
        <v>1262</v>
      </c>
      <c r="F883" s="1">
        <v>1</v>
      </c>
      <c r="G883" s="30" t="s">
        <v>1328</v>
      </c>
      <c r="H883" s="30" t="s">
        <v>1328</v>
      </c>
      <c r="I883" s="37" t="s">
        <v>1328</v>
      </c>
      <c r="J883" s="37" t="s">
        <v>1328</v>
      </c>
      <c r="K883" s="32">
        <v>0</v>
      </c>
      <c r="L883" s="32">
        <v>0</v>
      </c>
      <c r="M883" s="32" t="s">
        <v>1328</v>
      </c>
      <c r="N883" s="32" t="s">
        <v>1328</v>
      </c>
      <c r="O883" s="32">
        <v>0</v>
      </c>
      <c r="P883" s="32">
        <f t="shared" si="13"/>
        <v>0</v>
      </c>
      <c r="Q883" s="32"/>
      <c r="R883" s="32"/>
      <c r="S883" s="2"/>
      <c r="T883" s="2"/>
      <c r="V883" s="2"/>
      <c r="W883" s="2"/>
      <c r="X883" s="30"/>
      <c r="Y883" s="30"/>
      <c r="Z883" s="32"/>
      <c r="AA883" s="32"/>
      <c r="AB883" s="32"/>
      <c r="AC883" s="32"/>
      <c r="AD883" s="32"/>
      <c r="AE883" s="32"/>
      <c r="AF883" s="32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</row>
    <row r="884" spans="1:50" x14ac:dyDescent="0.25">
      <c r="A884">
        <v>4015</v>
      </c>
      <c r="B884" s="2">
        <v>7</v>
      </c>
      <c r="C884" s="2" t="s">
        <v>1024</v>
      </c>
      <c r="D884">
        <v>10</v>
      </c>
      <c r="E884" s="2" t="s">
        <v>1024</v>
      </c>
      <c r="F884" s="29">
        <v>0</v>
      </c>
      <c r="G884" s="30">
        <v>0.47619047619047616</v>
      </c>
      <c r="H884" s="30">
        <v>0.83823529411764708</v>
      </c>
      <c r="I884" s="37">
        <v>252.38</v>
      </c>
      <c r="J884" s="37">
        <v>444.26</v>
      </c>
      <c r="K884" s="32">
        <v>52</v>
      </c>
      <c r="L884" s="32">
        <v>48</v>
      </c>
      <c r="M884" s="32">
        <v>13123.76</v>
      </c>
      <c r="N884" s="32">
        <v>21324.48</v>
      </c>
      <c r="O884" s="32">
        <v>34448.239999999998</v>
      </c>
      <c r="P884" s="32">
        <f t="shared" si="13"/>
        <v>32924.93</v>
      </c>
      <c r="Q884" s="32"/>
      <c r="R884" s="32"/>
      <c r="S884" s="2"/>
      <c r="T884" s="2"/>
      <c r="V884" s="2"/>
      <c r="W884" s="2"/>
      <c r="X884" s="30"/>
      <c r="Y884" s="30"/>
      <c r="Z884" s="32"/>
      <c r="AA884" s="32"/>
      <c r="AB884" s="32"/>
      <c r="AC884" s="32"/>
      <c r="AD884" s="32"/>
      <c r="AE884" s="32"/>
      <c r="AF884" s="32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</row>
    <row r="885" spans="1:50" x14ac:dyDescent="0.25">
      <c r="A885">
        <v>4016</v>
      </c>
      <c r="B885">
        <v>7</v>
      </c>
      <c r="C885" t="s">
        <v>1025</v>
      </c>
      <c r="D885">
        <v>10</v>
      </c>
      <c r="E885" t="s">
        <v>1025</v>
      </c>
      <c r="F885" s="1">
        <v>0</v>
      </c>
      <c r="G885" s="30">
        <v>0.81707317073170727</v>
      </c>
      <c r="H885" s="30">
        <v>0.78082191780821919</v>
      </c>
      <c r="I885" s="37">
        <v>433.05</v>
      </c>
      <c r="J885" s="37">
        <v>413.84</v>
      </c>
      <c r="K885" s="32">
        <v>27</v>
      </c>
      <c r="L885" s="32">
        <v>28</v>
      </c>
      <c r="M885" s="32">
        <v>11692.35</v>
      </c>
      <c r="N885" s="32">
        <v>11587.52</v>
      </c>
      <c r="O885" s="32">
        <v>23279.870000000003</v>
      </c>
      <c r="P885" s="32">
        <f t="shared" si="13"/>
        <v>22250.43</v>
      </c>
      <c r="Q885" s="32"/>
      <c r="R885" s="32"/>
      <c r="W885" s="2"/>
      <c r="X885" s="30"/>
      <c r="Y885" s="30"/>
      <c r="Z885" s="32"/>
      <c r="AA885" s="32"/>
      <c r="AB885" s="32"/>
      <c r="AC885" s="32"/>
      <c r="AD885" s="32"/>
      <c r="AE885" s="32"/>
      <c r="AF885" s="32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</row>
    <row r="886" spans="1:50" x14ac:dyDescent="0.25">
      <c r="A886">
        <v>4017</v>
      </c>
      <c r="B886" s="2">
        <v>7</v>
      </c>
      <c r="C886" s="2" t="s">
        <v>1263</v>
      </c>
      <c r="D886">
        <v>10</v>
      </c>
      <c r="E886" s="2" t="s">
        <v>1264</v>
      </c>
      <c r="F886" s="29">
        <v>0</v>
      </c>
      <c r="G886" s="30">
        <v>0.53488372093023251</v>
      </c>
      <c r="H886" s="30">
        <v>0.61764705882352944</v>
      </c>
      <c r="I886" s="37">
        <v>283.49</v>
      </c>
      <c r="J886" s="37">
        <v>327.35000000000002</v>
      </c>
      <c r="K886" s="32">
        <v>16</v>
      </c>
      <c r="L886" s="32">
        <v>17</v>
      </c>
      <c r="M886" s="32">
        <v>4535.84</v>
      </c>
      <c r="N886" s="32">
        <v>5564.95</v>
      </c>
      <c r="O886" s="32">
        <v>10100.790000000001</v>
      </c>
      <c r="P886" s="32">
        <f t="shared" si="13"/>
        <v>9654.1299999999992</v>
      </c>
      <c r="Q886" s="32"/>
      <c r="R886" s="32"/>
      <c r="S886" s="2"/>
      <c r="T886" s="2"/>
      <c r="V886" s="2"/>
      <c r="W886" s="2"/>
      <c r="X886" s="30"/>
      <c r="Y886" s="30"/>
      <c r="Z886" s="32"/>
      <c r="AA886" s="32"/>
      <c r="AB886" s="32"/>
      <c r="AC886" s="32"/>
      <c r="AD886" s="32"/>
      <c r="AE886" s="32"/>
      <c r="AF886" s="32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</row>
    <row r="887" spans="1:50" x14ac:dyDescent="0.25">
      <c r="A887">
        <v>4017</v>
      </c>
      <c r="B887" s="2">
        <v>7</v>
      </c>
      <c r="C887" s="2" t="s">
        <v>1026</v>
      </c>
      <c r="D887">
        <v>17</v>
      </c>
      <c r="E887" s="2" t="s">
        <v>1027</v>
      </c>
      <c r="F887" s="29">
        <v>0</v>
      </c>
      <c r="G887" s="30">
        <v>0.37681159420289856</v>
      </c>
      <c r="H887" s="30">
        <v>0.79545454545454541</v>
      </c>
      <c r="I887" s="37">
        <v>199.71</v>
      </c>
      <c r="J887" s="37">
        <v>421.59</v>
      </c>
      <c r="K887" s="32">
        <v>26</v>
      </c>
      <c r="L887" s="32">
        <v>25</v>
      </c>
      <c r="M887" s="32">
        <v>5192.46</v>
      </c>
      <c r="N887" s="32">
        <v>10539.75</v>
      </c>
      <c r="O887" s="32">
        <v>15732.21</v>
      </c>
      <c r="P887" s="32">
        <f t="shared" si="13"/>
        <v>15036.53</v>
      </c>
      <c r="Q887" s="32"/>
      <c r="R887" s="32"/>
      <c r="S887" s="2"/>
      <c r="T887" s="2"/>
      <c r="V887" s="2"/>
      <c r="W887" s="2"/>
      <c r="X887" s="30"/>
      <c r="Y887" s="30"/>
      <c r="Z887" s="32"/>
      <c r="AA887" s="32"/>
      <c r="AB887" s="32"/>
      <c r="AC887" s="32"/>
      <c r="AD887" s="32"/>
      <c r="AE887" s="32"/>
      <c r="AF887" s="32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</row>
    <row r="888" spans="1:50" x14ac:dyDescent="0.25">
      <c r="A888">
        <v>4017</v>
      </c>
      <c r="B888" s="2">
        <v>7</v>
      </c>
      <c r="C888" s="2" t="s">
        <v>1026</v>
      </c>
      <c r="D888">
        <v>18</v>
      </c>
      <c r="E888" s="2" t="s">
        <v>1028</v>
      </c>
      <c r="F888" s="29">
        <v>0</v>
      </c>
      <c r="G888" s="30">
        <v>0.77157360406091369</v>
      </c>
      <c r="H888" s="30">
        <v>0.73949579831932777</v>
      </c>
      <c r="I888" s="37">
        <v>408.93</v>
      </c>
      <c r="J888" s="37">
        <v>391.93</v>
      </c>
      <c r="K888" s="32">
        <v>67</v>
      </c>
      <c r="L888" s="32">
        <v>70</v>
      </c>
      <c r="M888" s="32">
        <v>27398.31</v>
      </c>
      <c r="N888" s="32">
        <v>27435.1</v>
      </c>
      <c r="O888" s="32">
        <v>54833.41</v>
      </c>
      <c r="P888" s="32">
        <f t="shared" si="13"/>
        <v>52408.66</v>
      </c>
      <c r="Q888" s="32"/>
      <c r="R888" s="32"/>
      <c r="S888" s="2"/>
      <c r="T888" s="2"/>
      <c r="V888" s="2"/>
      <c r="W888" s="2"/>
      <c r="X888" s="30"/>
      <c r="Y888" s="30"/>
      <c r="Z888" s="32"/>
      <c r="AA888" s="32"/>
      <c r="AB888" s="32"/>
      <c r="AC888" s="32"/>
      <c r="AD888" s="32"/>
      <c r="AE888" s="32"/>
      <c r="AF888" s="32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</row>
    <row r="889" spans="1:50" x14ac:dyDescent="0.25">
      <c r="A889">
        <v>4018</v>
      </c>
      <c r="B889">
        <v>7</v>
      </c>
      <c r="C889" t="s">
        <v>1029</v>
      </c>
      <c r="D889">
        <v>10</v>
      </c>
      <c r="E889" t="s">
        <v>1029</v>
      </c>
      <c r="F889" s="1">
        <v>0</v>
      </c>
      <c r="G889" s="30">
        <v>0.53284671532846717</v>
      </c>
      <c r="H889" s="30">
        <v>0.84</v>
      </c>
      <c r="I889" s="37">
        <v>282.41000000000003</v>
      </c>
      <c r="J889" s="37">
        <v>445.2</v>
      </c>
      <c r="K889" s="32">
        <v>47</v>
      </c>
      <c r="L889" s="32">
        <v>47</v>
      </c>
      <c r="M889" s="32">
        <v>13273.27</v>
      </c>
      <c r="N889" s="32">
        <v>20924.400000000001</v>
      </c>
      <c r="O889" s="32">
        <v>34197.67</v>
      </c>
      <c r="P889" s="32">
        <f t="shared" si="13"/>
        <v>32685.439999999999</v>
      </c>
      <c r="Q889" s="32"/>
      <c r="R889" s="32"/>
      <c r="W889" s="2"/>
      <c r="X889" s="30"/>
      <c r="Y889" s="30"/>
      <c r="Z889" s="32"/>
      <c r="AA889" s="32"/>
      <c r="AB889" s="32"/>
      <c r="AC889" s="32"/>
      <c r="AD889" s="32"/>
      <c r="AE889" s="32"/>
      <c r="AF889" s="32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</row>
    <row r="890" spans="1:50" x14ac:dyDescent="0.25">
      <c r="A890">
        <v>4020</v>
      </c>
      <c r="B890">
        <v>7</v>
      </c>
      <c r="C890" t="s">
        <v>1030</v>
      </c>
      <c r="D890">
        <v>10</v>
      </c>
      <c r="E890" t="s">
        <v>1031</v>
      </c>
      <c r="F890" s="1">
        <v>0</v>
      </c>
      <c r="G890" s="30">
        <v>0.80973451327433632</v>
      </c>
      <c r="H890" s="30">
        <v>0.80508474576271183</v>
      </c>
      <c r="I890" s="37">
        <v>429.16</v>
      </c>
      <c r="J890" s="37">
        <v>426.69</v>
      </c>
      <c r="K890" s="32">
        <v>84</v>
      </c>
      <c r="L890" s="32">
        <v>108</v>
      </c>
      <c r="M890" s="32">
        <v>36049.440000000002</v>
      </c>
      <c r="N890" s="32">
        <v>46082.52</v>
      </c>
      <c r="O890" s="32">
        <v>82131.959999999992</v>
      </c>
      <c r="P890" s="32">
        <f t="shared" si="13"/>
        <v>78500.070000000007</v>
      </c>
      <c r="Q890" s="32"/>
      <c r="R890" s="32"/>
      <c r="W890" s="2"/>
      <c r="X890" s="30"/>
      <c r="Y890" s="30"/>
      <c r="Z890" s="32"/>
      <c r="AA890" s="32"/>
      <c r="AB890" s="32"/>
      <c r="AC890" s="32"/>
      <c r="AD890" s="32"/>
      <c r="AE890" s="32"/>
      <c r="AF890" s="32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</row>
    <row r="891" spans="1:50" x14ac:dyDescent="0.25">
      <c r="A891">
        <v>4020</v>
      </c>
      <c r="B891">
        <v>7</v>
      </c>
      <c r="C891" t="s">
        <v>1030</v>
      </c>
      <c r="D891">
        <v>40</v>
      </c>
      <c r="E891" t="s">
        <v>1032</v>
      </c>
      <c r="F891" s="1">
        <v>0</v>
      </c>
      <c r="G891" s="30">
        <v>0.67808219178082196</v>
      </c>
      <c r="H891" s="30">
        <v>0.87387387387387383</v>
      </c>
      <c r="I891" s="37">
        <v>359.38</v>
      </c>
      <c r="J891" s="37">
        <v>463.15</v>
      </c>
      <c r="K891" s="32">
        <v>53</v>
      </c>
      <c r="L891" s="32">
        <v>38</v>
      </c>
      <c r="M891" s="32">
        <v>19047.14</v>
      </c>
      <c r="N891" s="32">
        <v>17599.7</v>
      </c>
      <c r="O891" s="32">
        <v>36646.839999999997</v>
      </c>
      <c r="P891" s="32">
        <f t="shared" si="13"/>
        <v>35026.31</v>
      </c>
      <c r="Q891" s="32"/>
      <c r="R891" s="32"/>
      <c r="S891" s="2"/>
      <c r="T891" s="2"/>
      <c r="V891" s="2"/>
      <c r="W891" s="2"/>
      <c r="X891" s="30"/>
      <c r="Y891" s="30"/>
      <c r="Z891" s="32"/>
      <c r="AA891" s="32"/>
      <c r="AB891" s="32"/>
      <c r="AC891" s="32"/>
      <c r="AD891" s="32"/>
      <c r="AE891" s="32"/>
      <c r="AF891" s="32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</row>
    <row r="892" spans="1:50" x14ac:dyDescent="0.25">
      <c r="A892">
        <v>4025</v>
      </c>
      <c r="B892">
        <v>7</v>
      </c>
      <c r="C892" t="s">
        <v>1265</v>
      </c>
      <c r="D892">
        <v>10</v>
      </c>
      <c r="E892" t="s">
        <v>1265</v>
      </c>
      <c r="F892" s="1">
        <v>1</v>
      </c>
      <c r="G892" s="30" t="s">
        <v>1328</v>
      </c>
      <c r="H892" s="30" t="s">
        <v>1328</v>
      </c>
      <c r="I892" s="37" t="s">
        <v>1328</v>
      </c>
      <c r="J892" s="37" t="s">
        <v>1328</v>
      </c>
      <c r="K892" s="32">
        <v>4</v>
      </c>
      <c r="L892" s="32">
        <v>11</v>
      </c>
      <c r="M892" s="32" t="s">
        <v>1328</v>
      </c>
      <c r="N892" s="32" t="s">
        <v>1328</v>
      </c>
      <c r="O892" s="32">
        <v>5482.37</v>
      </c>
      <c r="P892" s="32">
        <f t="shared" si="13"/>
        <v>5239.9399999999996</v>
      </c>
      <c r="Q892" s="32"/>
      <c r="R892" s="32"/>
      <c r="S892" s="2"/>
      <c r="T892" s="2"/>
      <c r="V892" s="2"/>
      <c r="W892" s="2"/>
      <c r="X892" s="30"/>
      <c r="Y892" s="30"/>
      <c r="Z892" s="32"/>
      <c r="AA892" s="32"/>
      <c r="AB892" s="32"/>
      <c r="AC892" s="32"/>
      <c r="AD892" s="32"/>
      <c r="AE892" s="32"/>
      <c r="AF892" s="32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</row>
    <row r="893" spans="1:50" x14ac:dyDescent="0.25">
      <c r="A893">
        <v>4026</v>
      </c>
      <c r="B893">
        <v>7</v>
      </c>
      <c r="C893" t="s">
        <v>1266</v>
      </c>
      <c r="D893">
        <v>10</v>
      </c>
      <c r="E893" t="s">
        <v>1266</v>
      </c>
      <c r="F893" s="1">
        <v>0</v>
      </c>
      <c r="G893" s="30">
        <v>0.75555555555555554</v>
      </c>
      <c r="H893" s="30">
        <v>0.67567567567567566</v>
      </c>
      <c r="I893" s="37">
        <v>400.44</v>
      </c>
      <c r="J893" s="37">
        <v>358.11</v>
      </c>
      <c r="K893" s="32">
        <v>14</v>
      </c>
      <c r="L893" s="32">
        <v>15</v>
      </c>
      <c r="M893" s="32">
        <v>5606.16</v>
      </c>
      <c r="N893" s="32">
        <v>5371.65</v>
      </c>
      <c r="O893" s="32">
        <v>10977.81</v>
      </c>
      <c r="P893" s="32">
        <f t="shared" si="13"/>
        <v>10492.37</v>
      </c>
      <c r="Q893" s="32"/>
      <c r="R893" s="32"/>
      <c r="S893" s="2"/>
      <c r="T893" s="2"/>
      <c r="V893" s="2"/>
      <c r="W893" s="2"/>
      <c r="X893" s="30"/>
      <c r="Y893" s="30"/>
      <c r="Z893" s="32"/>
      <c r="AA893" s="32"/>
      <c r="AB893" s="32"/>
      <c r="AC893" s="32"/>
      <c r="AD893" s="32"/>
      <c r="AE893" s="32"/>
      <c r="AF893" s="32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</row>
    <row r="894" spans="1:50" x14ac:dyDescent="0.25">
      <c r="A894">
        <v>4027</v>
      </c>
      <c r="B894">
        <v>7</v>
      </c>
      <c r="C894" t="s">
        <v>1033</v>
      </c>
      <c r="D894">
        <v>10</v>
      </c>
      <c r="E894" t="s">
        <v>1033</v>
      </c>
      <c r="F894" s="1">
        <v>0</v>
      </c>
      <c r="G894" s="30">
        <v>0.65</v>
      </c>
      <c r="H894" s="30">
        <v>0.66666666666666663</v>
      </c>
      <c r="I894" s="37">
        <v>344.5</v>
      </c>
      <c r="J894" s="37">
        <v>353.33</v>
      </c>
      <c r="K894" s="32">
        <v>63</v>
      </c>
      <c r="L894" s="32">
        <v>74</v>
      </c>
      <c r="M894" s="32">
        <v>21703.5</v>
      </c>
      <c r="N894" s="32">
        <v>26146.42</v>
      </c>
      <c r="O894" s="32">
        <v>47849.919999999998</v>
      </c>
      <c r="P894" s="32">
        <f t="shared" si="13"/>
        <v>45733.99</v>
      </c>
      <c r="Q894" s="32"/>
      <c r="R894" s="32"/>
      <c r="S894" s="2"/>
      <c r="T894" s="2"/>
      <c r="V894" s="2"/>
      <c r="W894" s="2"/>
      <c r="X894" s="30"/>
      <c r="Y894" s="30"/>
      <c r="Z894" s="32"/>
      <c r="AA894" s="32"/>
      <c r="AB894" s="32"/>
      <c r="AC894" s="32"/>
      <c r="AD894" s="32"/>
      <c r="AE894" s="32"/>
      <c r="AF894" s="32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</row>
    <row r="895" spans="1:50" x14ac:dyDescent="0.25">
      <c r="A895">
        <v>4029</v>
      </c>
      <c r="B895">
        <v>7</v>
      </c>
      <c r="C895" t="s">
        <v>1034</v>
      </c>
      <c r="D895">
        <v>10</v>
      </c>
      <c r="E895" t="s">
        <v>1035</v>
      </c>
      <c r="F895" s="1">
        <v>0</v>
      </c>
      <c r="G895" s="30">
        <v>0.44144144144144143</v>
      </c>
      <c r="H895" s="30">
        <v>0.72727272727272729</v>
      </c>
      <c r="I895" s="37">
        <v>233.96</v>
      </c>
      <c r="J895" s="37">
        <v>385.45</v>
      </c>
      <c r="K895" s="32">
        <v>36</v>
      </c>
      <c r="L895" s="32">
        <v>35</v>
      </c>
      <c r="M895" s="32">
        <v>8422.56</v>
      </c>
      <c r="N895" s="32">
        <v>13490.75</v>
      </c>
      <c r="O895" s="32">
        <v>21913.309999999998</v>
      </c>
      <c r="P895" s="32">
        <f t="shared" si="13"/>
        <v>20944.3</v>
      </c>
      <c r="Q895" s="32"/>
      <c r="R895" s="32"/>
      <c r="S895" s="2"/>
      <c r="T895" s="2"/>
      <c r="V895" s="2"/>
      <c r="W895" s="2"/>
      <c r="X895" s="30"/>
      <c r="Y895" s="30"/>
      <c r="Z895" s="32"/>
      <c r="AA895" s="32"/>
      <c r="AB895" s="32"/>
      <c r="AC895" s="32"/>
      <c r="AD895" s="32"/>
      <c r="AE895" s="32"/>
      <c r="AF895" s="32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</row>
    <row r="896" spans="1:50" x14ac:dyDescent="0.25">
      <c r="A896">
        <v>4030</v>
      </c>
      <c r="B896">
        <v>7</v>
      </c>
      <c r="C896" t="s">
        <v>1036</v>
      </c>
      <c r="D896">
        <v>10</v>
      </c>
      <c r="E896" t="s">
        <v>1036</v>
      </c>
      <c r="F896" s="1">
        <v>0</v>
      </c>
      <c r="G896" s="30">
        <v>0.47499999999999998</v>
      </c>
      <c r="H896" s="30">
        <v>0.73684210526315785</v>
      </c>
      <c r="I896" s="37">
        <v>251.75</v>
      </c>
      <c r="J896" s="37">
        <v>390.53</v>
      </c>
      <c r="K896" s="32">
        <v>28</v>
      </c>
      <c r="L896" s="32">
        <v>28</v>
      </c>
      <c r="M896" s="32">
        <v>7049</v>
      </c>
      <c r="N896" s="32">
        <v>10934.84</v>
      </c>
      <c r="O896" s="32">
        <v>17983.84</v>
      </c>
      <c r="P896" s="32">
        <f t="shared" si="13"/>
        <v>17188.59</v>
      </c>
      <c r="Q896" s="32"/>
      <c r="R896" s="32"/>
      <c r="W896" s="2"/>
      <c r="X896" s="30"/>
      <c r="Y896" s="30"/>
      <c r="Z896" s="32"/>
      <c r="AA896" s="32"/>
      <c r="AB896" s="32"/>
      <c r="AC896" s="32"/>
      <c r="AD896" s="32"/>
      <c r="AE896" s="32"/>
      <c r="AF896" s="32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</row>
    <row r="897" spans="1:50" x14ac:dyDescent="0.25">
      <c r="A897">
        <v>4032</v>
      </c>
      <c r="B897">
        <v>7</v>
      </c>
      <c r="C897" t="s">
        <v>1037</v>
      </c>
      <c r="D897">
        <v>10</v>
      </c>
      <c r="E897" t="s">
        <v>1037</v>
      </c>
      <c r="F897" s="1">
        <v>0</v>
      </c>
      <c r="G897" s="30">
        <v>0.80303030303030298</v>
      </c>
      <c r="H897" s="30">
        <v>0.71578947368421053</v>
      </c>
      <c r="I897" s="37">
        <v>425.61</v>
      </c>
      <c r="J897" s="37">
        <v>379.37</v>
      </c>
      <c r="K897" s="32">
        <v>53</v>
      </c>
      <c r="L897" s="32">
        <v>46</v>
      </c>
      <c r="M897" s="32">
        <v>22557.33</v>
      </c>
      <c r="N897" s="32">
        <v>17451.02</v>
      </c>
      <c r="O897" s="32">
        <v>40008.350000000006</v>
      </c>
      <c r="P897" s="32">
        <f t="shared" si="13"/>
        <v>38239.17</v>
      </c>
      <c r="Q897" s="32"/>
      <c r="R897" s="32"/>
      <c r="S897" s="2"/>
      <c r="T897" s="2"/>
      <c r="V897" s="2"/>
      <c r="W897" s="2"/>
      <c r="X897" s="30"/>
      <c r="Y897" s="30"/>
      <c r="Z897" s="32"/>
      <c r="AA897" s="32"/>
      <c r="AB897" s="32"/>
      <c r="AC897" s="32"/>
      <c r="AD897" s="32"/>
      <c r="AE897" s="32"/>
      <c r="AF897" s="32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</row>
    <row r="898" spans="1:50" x14ac:dyDescent="0.25">
      <c r="A898">
        <v>4035</v>
      </c>
      <c r="B898">
        <v>7</v>
      </c>
      <c r="C898" t="s">
        <v>1038</v>
      </c>
      <c r="D898">
        <v>10</v>
      </c>
      <c r="E898" t="s">
        <v>1038</v>
      </c>
      <c r="F898" s="1">
        <v>0</v>
      </c>
      <c r="G898" s="30">
        <v>0.90476190476190477</v>
      </c>
      <c r="H898" s="30">
        <v>0.66666666666666663</v>
      </c>
      <c r="I898" s="37">
        <v>479.52</v>
      </c>
      <c r="J898" s="37">
        <v>353.33</v>
      </c>
      <c r="K898" s="32">
        <v>34</v>
      </c>
      <c r="L898" s="32">
        <v>38</v>
      </c>
      <c r="M898" s="32">
        <v>16303.68</v>
      </c>
      <c r="N898" s="32">
        <v>13426.54</v>
      </c>
      <c r="O898" s="32">
        <v>29730.22</v>
      </c>
      <c r="P898" s="32">
        <f t="shared" si="13"/>
        <v>28415.54</v>
      </c>
      <c r="Q898" s="32"/>
      <c r="R898" s="32"/>
      <c r="W898" s="2"/>
      <c r="X898" s="30"/>
      <c r="Y898" s="30"/>
      <c r="Z898" s="32"/>
      <c r="AA898" s="32"/>
      <c r="AB898" s="32"/>
      <c r="AC898" s="32"/>
      <c r="AD898" s="32"/>
      <c r="AE898" s="32"/>
      <c r="AF898" s="32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</row>
    <row r="899" spans="1:50" x14ac:dyDescent="0.25">
      <c r="A899">
        <v>4038</v>
      </c>
      <c r="B899">
        <v>7</v>
      </c>
      <c r="C899" t="s">
        <v>1039</v>
      </c>
      <c r="D899">
        <v>10</v>
      </c>
      <c r="E899" t="s">
        <v>1039</v>
      </c>
      <c r="F899" s="1">
        <v>0</v>
      </c>
      <c r="G899" s="30">
        <v>0.40310077519379844</v>
      </c>
      <c r="H899" s="30">
        <v>0.8214285714285714</v>
      </c>
      <c r="I899" s="37">
        <v>213.64</v>
      </c>
      <c r="J899" s="37">
        <v>435.36</v>
      </c>
      <c r="K899" s="32">
        <v>40</v>
      </c>
      <c r="L899" s="32">
        <v>46</v>
      </c>
      <c r="M899" s="32">
        <v>8545.6</v>
      </c>
      <c r="N899" s="32">
        <v>20026.560000000001</v>
      </c>
      <c r="O899" s="32">
        <v>28572.160000000003</v>
      </c>
      <c r="P899" s="32">
        <f t="shared" si="13"/>
        <v>27308.69</v>
      </c>
      <c r="Q899" s="32"/>
      <c r="R899" s="32"/>
      <c r="S899" s="2"/>
      <c r="T899" s="2"/>
      <c r="V899" s="2"/>
      <c r="W899" s="2"/>
      <c r="X899" s="30"/>
      <c r="Y899" s="30"/>
      <c r="Z899" s="32"/>
      <c r="AA899" s="32"/>
      <c r="AB899" s="32"/>
      <c r="AC899" s="32"/>
      <c r="AD899" s="32"/>
      <c r="AE899" s="32"/>
      <c r="AF899" s="32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</row>
    <row r="900" spans="1:50" x14ac:dyDescent="0.25">
      <c r="A900">
        <v>4050</v>
      </c>
      <c r="B900">
        <v>7</v>
      </c>
      <c r="C900" t="s">
        <v>1267</v>
      </c>
      <c r="D900">
        <v>10</v>
      </c>
      <c r="E900" t="s">
        <v>1267</v>
      </c>
      <c r="F900" s="1">
        <v>1</v>
      </c>
      <c r="G900" s="30" t="s">
        <v>1328</v>
      </c>
      <c r="H900" s="30" t="s">
        <v>1328</v>
      </c>
      <c r="I900" s="37" t="s">
        <v>1328</v>
      </c>
      <c r="J900" s="37" t="s">
        <v>1328</v>
      </c>
      <c r="K900" s="32">
        <v>9</v>
      </c>
      <c r="L900" s="32">
        <v>7</v>
      </c>
      <c r="M900" s="32" t="s">
        <v>1328</v>
      </c>
      <c r="N900" s="32" t="s">
        <v>1328</v>
      </c>
      <c r="O900" s="32">
        <v>5769.76</v>
      </c>
      <c r="P900" s="32">
        <f t="shared" si="13"/>
        <v>5514.62</v>
      </c>
      <c r="Q900" s="32"/>
      <c r="R900" s="32"/>
      <c r="S900" s="2"/>
      <c r="T900" s="2"/>
      <c r="V900" s="2"/>
      <c r="W900" s="2"/>
      <c r="X900" s="30"/>
      <c r="Y900" s="30"/>
      <c r="Z900" s="32"/>
      <c r="AA900" s="32"/>
      <c r="AB900" s="32"/>
      <c r="AC900" s="32"/>
      <c r="AD900" s="32"/>
      <c r="AE900" s="32"/>
      <c r="AF900" s="32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</row>
    <row r="901" spans="1:50" x14ac:dyDescent="0.25">
      <c r="A901">
        <v>4050</v>
      </c>
      <c r="B901">
        <v>7</v>
      </c>
      <c r="C901" t="s">
        <v>1267</v>
      </c>
      <c r="D901">
        <v>20</v>
      </c>
      <c r="E901" t="s">
        <v>1268</v>
      </c>
      <c r="F901" s="1">
        <v>1</v>
      </c>
      <c r="G901" s="30" t="s">
        <v>1328</v>
      </c>
      <c r="H901" s="30" t="s">
        <v>1328</v>
      </c>
      <c r="I901" s="37" t="s">
        <v>1328</v>
      </c>
      <c r="J901" s="37" t="s">
        <v>1328</v>
      </c>
      <c r="K901" s="32">
        <v>1</v>
      </c>
      <c r="L901" s="32">
        <v>3</v>
      </c>
      <c r="M901" s="32" t="s">
        <v>1328</v>
      </c>
      <c r="N901" s="32" t="s">
        <v>1328</v>
      </c>
      <c r="O901" s="32">
        <v>1766.67</v>
      </c>
      <c r="P901" s="32">
        <f t="shared" si="13"/>
        <v>1688.55</v>
      </c>
      <c r="Q901" s="32"/>
      <c r="R901" s="32"/>
      <c r="S901" s="2"/>
      <c r="T901" s="2"/>
      <c r="V901" s="2"/>
      <c r="W901" s="2"/>
      <c r="X901" s="30"/>
      <c r="Y901" s="30"/>
      <c r="Z901" s="32"/>
      <c r="AA901" s="32"/>
      <c r="AB901" s="32"/>
      <c r="AC901" s="32"/>
      <c r="AD901" s="32"/>
      <c r="AE901" s="32"/>
      <c r="AF901" s="32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</row>
    <row r="902" spans="1:50" x14ac:dyDescent="0.25">
      <c r="A902">
        <v>4054</v>
      </c>
      <c r="B902">
        <v>7</v>
      </c>
      <c r="C902" t="s">
        <v>1269</v>
      </c>
      <c r="D902">
        <v>10</v>
      </c>
      <c r="E902" t="s">
        <v>1269</v>
      </c>
      <c r="F902" s="1">
        <v>1</v>
      </c>
      <c r="G902" s="30" t="s">
        <v>1328</v>
      </c>
      <c r="H902" s="30" t="s">
        <v>1328</v>
      </c>
      <c r="I902" s="37" t="s">
        <v>1328</v>
      </c>
      <c r="J902" s="37" t="s">
        <v>1328</v>
      </c>
      <c r="K902" s="32">
        <v>8</v>
      </c>
      <c r="L902" s="32">
        <v>7</v>
      </c>
      <c r="M902" s="32" t="s">
        <v>1328</v>
      </c>
      <c r="N902" s="32" t="s">
        <v>1328</v>
      </c>
      <c r="O902" s="32">
        <v>5078.5</v>
      </c>
      <c r="P902" s="32">
        <f t="shared" si="13"/>
        <v>4853.93</v>
      </c>
      <c r="Q902" s="32"/>
      <c r="R902" s="32"/>
      <c r="W902" s="2"/>
      <c r="X902" s="30"/>
      <c r="Y902" s="30"/>
      <c r="Z902" s="32"/>
      <c r="AA902" s="32"/>
      <c r="AB902" s="32"/>
      <c r="AC902" s="32"/>
      <c r="AD902" s="32"/>
      <c r="AE902" s="32"/>
      <c r="AF902" s="32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</row>
    <row r="903" spans="1:50" x14ac:dyDescent="0.25">
      <c r="A903">
        <v>4055</v>
      </c>
      <c r="B903">
        <v>7</v>
      </c>
      <c r="C903" t="s">
        <v>1040</v>
      </c>
      <c r="D903">
        <v>10</v>
      </c>
      <c r="E903" t="s">
        <v>1040</v>
      </c>
      <c r="F903" s="1">
        <v>0</v>
      </c>
      <c r="G903" s="30">
        <v>0.89743589743589747</v>
      </c>
      <c r="H903" s="30">
        <v>0.82191780821917804</v>
      </c>
      <c r="I903" s="37">
        <v>475.64</v>
      </c>
      <c r="J903" s="37">
        <v>435.62</v>
      </c>
      <c r="K903" s="32">
        <v>28</v>
      </c>
      <c r="L903" s="32">
        <v>26</v>
      </c>
      <c r="M903" s="32">
        <v>13317.92</v>
      </c>
      <c r="N903" s="32">
        <v>11326.12</v>
      </c>
      <c r="O903" s="32">
        <v>24644.04</v>
      </c>
      <c r="P903" s="32">
        <f t="shared" si="13"/>
        <v>23554.27</v>
      </c>
      <c r="Q903" s="32"/>
      <c r="R903" s="32"/>
      <c r="W903" s="2"/>
      <c r="X903" s="30"/>
      <c r="Y903" s="30"/>
      <c r="Z903" s="32"/>
      <c r="AA903" s="32"/>
      <c r="AB903" s="32"/>
      <c r="AC903" s="32"/>
      <c r="AD903" s="32"/>
      <c r="AE903" s="32"/>
      <c r="AF903" s="32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</row>
    <row r="904" spans="1:50" x14ac:dyDescent="0.25">
      <c r="A904">
        <v>4058</v>
      </c>
      <c r="B904">
        <v>7</v>
      </c>
      <c r="C904" t="s">
        <v>1041</v>
      </c>
      <c r="D904">
        <v>10</v>
      </c>
      <c r="E904" t="s">
        <v>1041</v>
      </c>
      <c r="F904" s="1">
        <v>0</v>
      </c>
      <c r="G904" s="30">
        <v>0.72058823529411764</v>
      </c>
      <c r="H904" s="30">
        <v>0.7592592592592593</v>
      </c>
      <c r="I904" s="37">
        <v>381.91</v>
      </c>
      <c r="J904" s="37">
        <v>402.41</v>
      </c>
      <c r="K904" s="32">
        <v>31</v>
      </c>
      <c r="L904" s="32">
        <v>21</v>
      </c>
      <c r="M904" s="32">
        <v>11839.21</v>
      </c>
      <c r="N904" s="32">
        <v>8450.61</v>
      </c>
      <c r="O904" s="32">
        <v>20289.82</v>
      </c>
      <c r="P904" s="32">
        <f t="shared" si="13"/>
        <v>19392.599999999999</v>
      </c>
      <c r="Q904" s="32"/>
      <c r="R904" s="32"/>
      <c r="W904" s="2"/>
      <c r="X904" s="30"/>
      <c r="Y904" s="30"/>
      <c r="Z904" s="32"/>
      <c r="AA904" s="32"/>
      <c r="AB904" s="32"/>
      <c r="AC904" s="32"/>
      <c r="AD904" s="32"/>
      <c r="AE904" s="32"/>
      <c r="AF904" s="32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</row>
    <row r="905" spans="1:50" x14ac:dyDescent="0.25">
      <c r="A905">
        <v>4059</v>
      </c>
      <c r="B905">
        <v>7</v>
      </c>
      <c r="C905" t="s">
        <v>1270</v>
      </c>
      <c r="D905">
        <v>10</v>
      </c>
      <c r="E905" t="s">
        <v>1270</v>
      </c>
      <c r="F905" s="1">
        <v>0</v>
      </c>
      <c r="G905" s="30">
        <v>0.8</v>
      </c>
      <c r="H905" s="30">
        <v>0.76923076923076927</v>
      </c>
      <c r="I905" s="37">
        <v>424</v>
      </c>
      <c r="J905" s="37">
        <v>407.69</v>
      </c>
      <c r="K905" s="32">
        <v>17</v>
      </c>
      <c r="L905" s="32">
        <v>21</v>
      </c>
      <c r="M905" s="32">
        <v>7208</v>
      </c>
      <c r="N905" s="32">
        <v>8561.49</v>
      </c>
      <c r="O905" s="32">
        <v>15769.49</v>
      </c>
      <c r="P905" s="32">
        <f t="shared" si="13"/>
        <v>15072.16</v>
      </c>
      <c r="Q905" s="32"/>
      <c r="R905" s="32"/>
      <c r="W905" s="2"/>
      <c r="X905" s="30"/>
      <c r="Y905" s="30"/>
      <c r="Z905" s="32"/>
      <c r="AA905" s="32"/>
      <c r="AB905" s="32"/>
      <c r="AC905" s="32"/>
      <c r="AD905" s="32"/>
      <c r="AE905" s="32"/>
      <c r="AF905" s="32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</row>
    <row r="906" spans="1:50" x14ac:dyDescent="0.25">
      <c r="A906">
        <v>4064</v>
      </c>
      <c r="B906">
        <v>7</v>
      </c>
      <c r="C906" t="s">
        <v>1271</v>
      </c>
      <c r="D906">
        <v>10</v>
      </c>
      <c r="E906" t="s">
        <v>1271</v>
      </c>
      <c r="F906" s="1">
        <v>1</v>
      </c>
      <c r="G906" s="30" t="s">
        <v>1328</v>
      </c>
      <c r="H906" s="30" t="s">
        <v>1328</v>
      </c>
      <c r="I906" s="37" t="s">
        <v>1328</v>
      </c>
      <c r="J906" s="37" t="s">
        <v>1328</v>
      </c>
      <c r="K906" s="32">
        <v>5</v>
      </c>
      <c r="L906" s="32">
        <v>5</v>
      </c>
      <c r="M906" s="32" t="s">
        <v>1328</v>
      </c>
      <c r="N906" s="32" t="s">
        <v>1328</v>
      </c>
      <c r="O906" s="32">
        <v>3180</v>
      </c>
      <c r="P906" s="32">
        <f t="shared" si="13"/>
        <v>3039.38</v>
      </c>
      <c r="Q906" s="32"/>
      <c r="R906" s="32"/>
      <c r="W906" s="2"/>
      <c r="X906" s="30"/>
      <c r="Y906" s="30"/>
      <c r="Z906" s="32"/>
      <c r="AA906" s="32"/>
      <c r="AB906" s="32"/>
      <c r="AC906" s="32"/>
      <c r="AD906" s="32"/>
      <c r="AE906" s="32"/>
      <c r="AF906" s="32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</row>
    <row r="907" spans="1:50" x14ac:dyDescent="0.25">
      <c r="A907">
        <v>4067</v>
      </c>
      <c r="B907">
        <v>7</v>
      </c>
      <c r="C907" t="s">
        <v>1042</v>
      </c>
      <c r="D907">
        <v>10</v>
      </c>
      <c r="E907" t="s">
        <v>1042</v>
      </c>
      <c r="F907" s="1">
        <v>0</v>
      </c>
      <c r="G907" s="30">
        <v>0.32291666666666669</v>
      </c>
      <c r="H907" s="30">
        <v>0.9</v>
      </c>
      <c r="I907" s="37">
        <v>171.15</v>
      </c>
      <c r="J907" s="37">
        <v>477</v>
      </c>
      <c r="K907" s="32">
        <v>35</v>
      </c>
      <c r="L907" s="32">
        <v>31</v>
      </c>
      <c r="M907" s="32">
        <v>5990.25</v>
      </c>
      <c r="N907" s="32">
        <v>14787</v>
      </c>
      <c r="O907" s="32">
        <v>20777.25</v>
      </c>
      <c r="P907" s="32">
        <f t="shared" si="13"/>
        <v>19858.48</v>
      </c>
      <c r="Q907" s="32"/>
      <c r="R907" s="32"/>
      <c r="W907" s="2"/>
      <c r="X907" s="30"/>
      <c r="Y907" s="30"/>
      <c r="Z907" s="32"/>
      <c r="AA907" s="32"/>
      <c r="AB907" s="32"/>
      <c r="AC907" s="32"/>
      <c r="AD907" s="32"/>
      <c r="AE907" s="32"/>
      <c r="AF907" s="32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</row>
    <row r="908" spans="1:50" x14ac:dyDescent="0.25">
      <c r="A908">
        <v>4068</v>
      </c>
      <c r="B908">
        <v>7</v>
      </c>
      <c r="C908" t="s">
        <v>1043</v>
      </c>
      <c r="D908">
        <v>10</v>
      </c>
      <c r="E908" t="s">
        <v>1043</v>
      </c>
      <c r="F908" s="1">
        <v>0</v>
      </c>
      <c r="G908" s="30">
        <v>0.53424657534246578</v>
      </c>
      <c r="H908" s="30">
        <v>0.70078740157480313</v>
      </c>
      <c r="I908" s="37">
        <v>283.14999999999998</v>
      </c>
      <c r="J908" s="37">
        <v>371.42</v>
      </c>
      <c r="K908" s="32">
        <v>47</v>
      </c>
      <c r="L908" s="32">
        <v>45</v>
      </c>
      <c r="M908" s="32">
        <v>13308.05</v>
      </c>
      <c r="N908" s="32">
        <v>16713.900000000001</v>
      </c>
      <c r="O908" s="32">
        <v>30021.95</v>
      </c>
      <c r="P908" s="32">
        <f t="shared" si="13"/>
        <v>28694.37</v>
      </c>
      <c r="Q908" s="32"/>
      <c r="R908" s="32"/>
      <c r="W908" s="2"/>
      <c r="X908" s="30"/>
      <c r="Y908" s="30"/>
      <c r="Z908" s="32"/>
      <c r="AA908" s="32"/>
      <c r="AB908" s="32"/>
      <c r="AC908" s="32"/>
      <c r="AD908" s="32"/>
      <c r="AE908" s="32"/>
      <c r="AF908" s="32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</row>
    <row r="909" spans="1:50" x14ac:dyDescent="0.25">
      <c r="A909">
        <v>4070</v>
      </c>
      <c r="B909">
        <v>7</v>
      </c>
      <c r="C909" t="s">
        <v>1044</v>
      </c>
      <c r="D909">
        <v>10</v>
      </c>
      <c r="E909" t="s">
        <v>1044</v>
      </c>
      <c r="F909" s="1">
        <v>0</v>
      </c>
      <c r="G909" s="30">
        <v>0.36645962732919257</v>
      </c>
      <c r="H909" s="30">
        <v>0.80666666666666664</v>
      </c>
      <c r="I909" s="37">
        <v>194.22</v>
      </c>
      <c r="J909" s="37">
        <v>427.53</v>
      </c>
      <c r="K909" s="32">
        <v>44</v>
      </c>
      <c r="L909" s="32">
        <v>52</v>
      </c>
      <c r="M909" s="32">
        <v>8545.68</v>
      </c>
      <c r="N909" s="32">
        <v>22231.56</v>
      </c>
      <c r="O909" s="32">
        <v>30777.24</v>
      </c>
      <c r="P909" s="32">
        <f t="shared" si="13"/>
        <v>29416.26</v>
      </c>
      <c r="Q909" s="32"/>
      <c r="R909" s="32"/>
      <c r="W909" s="2"/>
      <c r="X909" s="30"/>
      <c r="Y909" s="30"/>
      <c r="Z909" s="32"/>
      <c r="AA909" s="32"/>
      <c r="AB909" s="32"/>
      <c r="AC909" s="32"/>
      <c r="AD909" s="32"/>
      <c r="AE909" s="32"/>
      <c r="AF909" s="32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</row>
    <row r="910" spans="1:50" x14ac:dyDescent="0.25">
      <c r="A910">
        <v>4073</v>
      </c>
      <c r="B910">
        <v>7</v>
      </c>
      <c r="C910" t="s">
        <v>1045</v>
      </c>
      <c r="D910">
        <v>10</v>
      </c>
      <c r="E910" t="s">
        <v>1045</v>
      </c>
      <c r="F910" s="1">
        <v>0</v>
      </c>
      <c r="G910" s="30">
        <v>0.52666666666666662</v>
      </c>
      <c r="H910" s="30">
        <v>0.75187969924812026</v>
      </c>
      <c r="I910" s="37">
        <v>279.13</v>
      </c>
      <c r="J910" s="37">
        <v>398.5</v>
      </c>
      <c r="K910" s="32">
        <v>46</v>
      </c>
      <c r="L910" s="32">
        <v>58</v>
      </c>
      <c r="M910" s="32">
        <v>12839.98</v>
      </c>
      <c r="N910" s="32">
        <v>23113</v>
      </c>
      <c r="O910" s="32">
        <v>35952.979999999996</v>
      </c>
      <c r="P910" s="32">
        <f t="shared" si="13"/>
        <v>34363.129999999997</v>
      </c>
      <c r="Q910" s="32"/>
      <c r="R910" s="32"/>
      <c r="W910" s="2"/>
      <c r="X910" s="30"/>
      <c r="Y910" s="30"/>
      <c r="Z910" s="32"/>
      <c r="AA910" s="32"/>
      <c r="AB910" s="32"/>
      <c r="AC910" s="32"/>
      <c r="AD910" s="32"/>
      <c r="AE910" s="32"/>
      <c r="AF910" s="32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</row>
    <row r="911" spans="1:50" x14ac:dyDescent="0.25">
      <c r="A911">
        <v>4077</v>
      </c>
      <c r="B911">
        <v>7</v>
      </c>
      <c r="C911" t="s">
        <v>1046</v>
      </c>
      <c r="D911">
        <v>10</v>
      </c>
      <c r="E911" t="s">
        <v>1046</v>
      </c>
      <c r="F911" s="1">
        <v>0</v>
      </c>
      <c r="G911" s="30">
        <v>0.61377245508982037</v>
      </c>
      <c r="H911" s="30">
        <v>0.85766423357664234</v>
      </c>
      <c r="I911" s="37">
        <v>325.3</v>
      </c>
      <c r="J911" s="37">
        <v>454.56</v>
      </c>
      <c r="K911" s="32">
        <v>121</v>
      </c>
      <c r="L911" s="32">
        <v>108</v>
      </c>
      <c r="M911" s="32">
        <v>39361.300000000003</v>
      </c>
      <c r="N911" s="32">
        <v>49092.480000000003</v>
      </c>
      <c r="O911" s="32">
        <v>88453.78</v>
      </c>
      <c r="P911" s="32">
        <f t="shared" si="13"/>
        <v>84542.33</v>
      </c>
      <c r="Q911" s="32"/>
      <c r="R911" s="32"/>
      <c r="W911" s="2"/>
      <c r="X911" s="30"/>
      <c r="Y911" s="30"/>
      <c r="Z911" s="32"/>
      <c r="AA911" s="32"/>
      <c r="AB911" s="32"/>
      <c r="AC911" s="32"/>
      <c r="AD911" s="32"/>
      <c r="AE911" s="32"/>
      <c r="AF911" s="32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</row>
    <row r="912" spans="1:50" x14ac:dyDescent="0.25">
      <c r="A912">
        <v>4079</v>
      </c>
      <c r="B912">
        <v>7</v>
      </c>
      <c r="C912" t="s">
        <v>1047</v>
      </c>
      <c r="D912">
        <v>10</v>
      </c>
      <c r="E912" t="s">
        <v>1047</v>
      </c>
      <c r="F912" s="1">
        <v>0</v>
      </c>
      <c r="G912" s="30">
        <v>0.6216216216216216</v>
      </c>
      <c r="H912" s="30">
        <v>0.7142857142857143</v>
      </c>
      <c r="I912" s="37">
        <v>329.46</v>
      </c>
      <c r="J912" s="37">
        <v>378.57</v>
      </c>
      <c r="K912" s="32">
        <v>14</v>
      </c>
      <c r="L912" s="32">
        <v>11</v>
      </c>
      <c r="M912" s="32">
        <v>4612.4399999999996</v>
      </c>
      <c r="N912" s="32">
        <v>4164.2700000000004</v>
      </c>
      <c r="O912" s="32">
        <v>8776.7099999999991</v>
      </c>
      <c r="P912" s="32">
        <f t="shared" ref="P912:P974" si="14">ROUND(O912*P$11,2)</f>
        <v>8388.6</v>
      </c>
      <c r="Q912" s="32"/>
      <c r="R912" s="32"/>
      <c r="W912" s="2"/>
      <c r="X912" s="30"/>
      <c r="Y912" s="30"/>
      <c r="Z912" s="32"/>
      <c r="AA912" s="32"/>
      <c r="AB912" s="32"/>
      <c r="AC912" s="32"/>
      <c r="AD912" s="32"/>
      <c r="AE912" s="32"/>
      <c r="AF912" s="32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</row>
    <row r="913" spans="1:50" x14ac:dyDescent="0.25">
      <c r="A913">
        <v>4083</v>
      </c>
      <c r="B913">
        <v>7</v>
      </c>
      <c r="C913" t="s">
        <v>1048</v>
      </c>
      <c r="D913">
        <v>10</v>
      </c>
      <c r="E913" t="s">
        <v>1048</v>
      </c>
      <c r="F913" s="1">
        <v>0</v>
      </c>
      <c r="G913" s="30">
        <v>0.77500000000000002</v>
      </c>
      <c r="H913" s="30">
        <v>0.73684210526315785</v>
      </c>
      <c r="I913" s="37">
        <v>410.75</v>
      </c>
      <c r="J913" s="37">
        <v>390.53</v>
      </c>
      <c r="K913" s="32">
        <v>14</v>
      </c>
      <c r="L913" s="32">
        <v>14</v>
      </c>
      <c r="M913" s="32">
        <v>5750.5</v>
      </c>
      <c r="N913" s="32">
        <v>5467.42</v>
      </c>
      <c r="O913" s="32">
        <v>11217.92</v>
      </c>
      <c r="P913" s="32">
        <f t="shared" si="14"/>
        <v>10721.86</v>
      </c>
      <c r="Q913" s="32"/>
      <c r="R913" s="32"/>
      <c r="W913" s="2"/>
      <c r="X913" s="30"/>
      <c r="Y913" s="30"/>
      <c r="Z913" s="32"/>
      <c r="AA913" s="32"/>
      <c r="AB913" s="32"/>
      <c r="AC913" s="32"/>
      <c r="AD913" s="32"/>
      <c r="AE913" s="32"/>
      <c r="AF913" s="32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</row>
    <row r="914" spans="1:50" x14ac:dyDescent="0.25">
      <c r="A914">
        <v>4084</v>
      </c>
      <c r="B914">
        <v>7</v>
      </c>
      <c r="C914" t="s">
        <v>1049</v>
      </c>
      <c r="D914">
        <v>10</v>
      </c>
      <c r="E914" t="s">
        <v>1049</v>
      </c>
      <c r="F914" s="1">
        <v>0</v>
      </c>
      <c r="G914" s="30">
        <v>0.81481481481481477</v>
      </c>
      <c r="H914" s="30">
        <v>0.74264705882352944</v>
      </c>
      <c r="I914" s="37">
        <v>431.85</v>
      </c>
      <c r="J914" s="37">
        <v>393.6</v>
      </c>
      <c r="K914" s="32">
        <v>41</v>
      </c>
      <c r="L914" s="32">
        <v>51</v>
      </c>
      <c r="M914" s="32">
        <v>17705.849999999999</v>
      </c>
      <c r="N914" s="32">
        <v>20073.599999999999</v>
      </c>
      <c r="O914" s="32">
        <v>37779.449999999997</v>
      </c>
      <c r="P914" s="32">
        <f t="shared" si="14"/>
        <v>36108.83</v>
      </c>
      <c r="Q914" s="32"/>
      <c r="R914" s="32"/>
      <c r="W914" s="2"/>
      <c r="X914" s="30"/>
      <c r="Y914" s="30"/>
      <c r="Z914" s="32"/>
      <c r="AA914" s="32"/>
      <c r="AB914" s="32"/>
      <c r="AC914" s="32"/>
      <c r="AD914" s="32"/>
      <c r="AE914" s="32"/>
      <c r="AF914" s="32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</row>
    <row r="915" spans="1:50" x14ac:dyDescent="0.25">
      <c r="A915">
        <v>4086</v>
      </c>
      <c r="B915">
        <v>7</v>
      </c>
      <c r="C915" t="s">
        <v>1050</v>
      </c>
      <c r="D915">
        <v>10</v>
      </c>
      <c r="E915" t="s">
        <v>1050</v>
      </c>
      <c r="F915" s="1">
        <v>0</v>
      </c>
      <c r="G915" s="30">
        <v>0.31868131868131866</v>
      </c>
      <c r="H915" s="30">
        <v>0.62820512820512819</v>
      </c>
      <c r="I915" s="37">
        <v>168.9</v>
      </c>
      <c r="J915" s="37">
        <v>332.95</v>
      </c>
      <c r="K915" s="32">
        <v>23</v>
      </c>
      <c r="L915" s="32">
        <v>25</v>
      </c>
      <c r="M915" s="32">
        <v>3884.7</v>
      </c>
      <c r="N915" s="32">
        <v>8323.75</v>
      </c>
      <c r="O915" s="32">
        <v>12208.45</v>
      </c>
      <c r="P915" s="32">
        <f t="shared" si="14"/>
        <v>11668.59</v>
      </c>
      <c r="Q915" s="32"/>
      <c r="R915" s="32"/>
      <c r="W915" s="2"/>
      <c r="X915" s="30"/>
      <c r="Y915" s="30"/>
      <c r="Z915" s="32"/>
      <c r="AA915" s="32"/>
      <c r="AB915" s="32"/>
      <c r="AC915" s="32"/>
      <c r="AD915" s="32"/>
      <c r="AE915" s="32"/>
      <c r="AF915" s="32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</row>
    <row r="916" spans="1:50" x14ac:dyDescent="0.25">
      <c r="A916">
        <v>4088</v>
      </c>
      <c r="B916">
        <v>7</v>
      </c>
      <c r="C916" t="s">
        <v>1051</v>
      </c>
      <c r="D916">
        <v>10</v>
      </c>
      <c r="E916" t="s">
        <v>1051</v>
      </c>
      <c r="F916" s="1">
        <v>0</v>
      </c>
      <c r="G916" s="30">
        <v>0.25</v>
      </c>
      <c r="H916" s="30">
        <v>0.67391304347826086</v>
      </c>
      <c r="I916" s="37">
        <v>132.5</v>
      </c>
      <c r="J916" s="37">
        <v>357.17</v>
      </c>
      <c r="K916" s="32">
        <v>41</v>
      </c>
      <c r="L916" s="32">
        <v>42</v>
      </c>
      <c r="M916" s="32">
        <v>5432.5</v>
      </c>
      <c r="N916" s="32">
        <v>15001.14</v>
      </c>
      <c r="O916" s="32">
        <v>20433.64</v>
      </c>
      <c r="P916" s="32">
        <f t="shared" si="14"/>
        <v>19530.060000000001</v>
      </c>
      <c r="Q916" s="32"/>
      <c r="R916" s="32"/>
      <c r="W916" s="2"/>
      <c r="X916" s="30"/>
      <c r="Y916" s="30"/>
      <c r="Z916" s="32"/>
      <c r="AA916" s="32"/>
      <c r="AB916" s="32"/>
      <c r="AC916" s="32"/>
      <c r="AD916" s="32"/>
      <c r="AE916" s="32"/>
      <c r="AF916" s="32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</row>
    <row r="917" spans="1:50" x14ac:dyDescent="0.25">
      <c r="A917">
        <v>4089</v>
      </c>
      <c r="B917">
        <v>7</v>
      </c>
      <c r="C917" t="s">
        <v>1272</v>
      </c>
      <c r="D917">
        <v>10</v>
      </c>
      <c r="E917" t="s">
        <v>1272</v>
      </c>
      <c r="F917" s="1">
        <v>0</v>
      </c>
      <c r="G917" s="30">
        <v>0.76190476190476186</v>
      </c>
      <c r="H917" s="30">
        <v>0.8</v>
      </c>
      <c r="I917" s="37">
        <v>403.81</v>
      </c>
      <c r="J917" s="37">
        <v>424</v>
      </c>
      <c r="K917" s="32">
        <v>13</v>
      </c>
      <c r="L917" s="32">
        <v>12</v>
      </c>
      <c r="M917" s="32">
        <v>5249.53</v>
      </c>
      <c r="N917" s="32">
        <v>5088</v>
      </c>
      <c r="O917" s="32">
        <v>10337.529999999999</v>
      </c>
      <c r="P917" s="32">
        <f t="shared" si="14"/>
        <v>9880.4</v>
      </c>
      <c r="Q917" s="32"/>
      <c r="R917" s="32"/>
      <c r="W917" s="2"/>
      <c r="X917" s="30"/>
      <c r="Y917" s="30"/>
      <c r="Z917" s="32"/>
      <c r="AA917" s="32"/>
      <c r="AB917" s="32"/>
      <c r="AC917" s="32"/>
      <c r="AD917" s="32"/>
      <c r="AE917" s="32"/>
      <c r="AF917" s="32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</row>
    <row r="918" spans="1:50" x14ac:dyDescent="0.25">
      <c r="A918">
        <v>4090</v>
      </c>
      <c r="B918">
        <v>7</v>
      </c>
      <c r="C918" t="s">
        <v>1052</v>
      </c>
      <c r="D918">
        <v>10</v>
      </c>
      <c r="E918" t="s">
        <v>1052</v>
      </c>
      <c r="F918" s="1">
        <v>0</v>
      </c>
      <c r="G918" s="30">
        <v>0.82222222222222219</v>
      </c>
      <c r="H918" s="30">
        <v>0.76923076923076927</v>
      </c>
      <c r="I918" s="37">
        <v>435.78</v>
      </c>
      <c r="J918" s="37">
        <v>407.69</v>
      </c>
      <c r="K918" s="32">
        <v>29</v>
      </c>
      <c r="L918" s="32">
        <v>31</v>
      </c>
      <c r="M918" s="32">
        <v>12637.62</v>
      </c>
      <c r="N918" s="32">
        <v>12638.39</v>
      </c>
      <c r="O918" s="32">
        <v>25276.010000000002</v>
      </c>
      <c r="P918" s="32">
        <f t="shared" si="14"/>
        <v>24158.3</v>
      </c>
      <c r="Q918" s="32"/>
      <c r="R918" s="32"/>
      <c r="W918" s="2"/>
      <c r="X918" s="30"/>
      <c r="Y918" s="30"/>
      <c r="Z918" s="32"/>
      <c r="AA918" s="32"/>
      <c r="AB918" s="32"/>
      <c r="AC918" s="32"/>
      <c r="AD918" s="32"/>
      <c r="AE918" s="32"/>
      <c r="AF918" s="32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</row>
    <row r="919" spans="1:50" x14ac:dyDescent="0.25">
      <c r="A919">
        <v>4097</v>
      </c>
      <c r="B919">
        <v>7</v>
      </c>
      <c r="C919" t="s">
        <v>1053</v>
      </c>
      <c r="D919">
        <v>10</v>
      </c>
      <c r="E919" t="s">
        <v>1053</v>
      </c>
      <c r="F919" s="1">
        <v>0</v>
      </c>
      <c r="G919" s="30">
        <v>0.38345864661654133</v>
      </c>
      <c r="H919" s="30">
        <v>0.75206611570247939</v>
      </c>
      <c r="I919" s="37">
        <v>203.23</v>
      </c>
      <c r="J919" s="37">
        <v>398.6</v>
      </c>
      <c r="K919" s="32">
        <v>41</v>
      </c>
      <c r="L919" s="32">
        <v>39</v>
      </c>
      <c r="M919" s="32">
        <v>8332.43</v>
      </c>
      <c r="N919" s="32">
        <v>15545.4</v>
      </c>
      <c r="O919" s="32">
        <v>23877.83</v>
      </c>
      <c r="P919" s="32">
        <f t="shared" si="14"/>
        <v>22821.95</v>
      </c>
      <c r="Q919" s="32"/>
      <c r="R919" s="32"/>
      <c r="W919" s="2"/>
      <c r="X919" s="30"/>
      <c r="Y919" s="30"/>
      <c r="Z919" s="32"/>
      <c r="AA919" s="32"/>
      <c r="AB919" s="32"/>
      <c r="AC919" s="32"/>
      <c r="AD919" s="32"/>
      <c r="AE919" s="32"/>
      <c r="AF919" s="32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</row>
    <row r="920" spans="1:50" x14ac:dyDescent="0.25">
      <c r="A920">
        <v>4098</v>
      </c>
      <c r="B920">
        <v>7</v>
      </c>
      <c r="C920" t="s">
        <v>1054</v>
      </c>
      <c r="D920">
        <v>10</v>
      </c>
      <c r="E920" t="s">
        <v>1054</v>
      </c>
      <c r="F920" s="1">
        <v>0</v>
      </c>
      <c r="G920" s="30">
        <v>0.90128755364806867</v>
      </c>
      <c r="H920" s="30">
        <v>0.79581151832460728</v>
      </c>
      <c r="I920" s="37">
        <v>477.68</v>
      </c>
      <c r="J920" s="37">
        <v>421.78</v>
      </c>
      <c r="K920" s="32">
        <v>78</v>
      </c>
      <c r="L920" s="32">
        <v>76</v>
      </c>
      <c r="M920" s="32">
        <v>37259.040000000001</v>
      </c>
      <c r="N920" s="32">
        <v>32055.279999999999</v>
      </c>
      <c r="O920" s="32">
        <v>69314.320000000007</v>
      </c>
      <c r="P920" s="32">
        <f t="shared" si="14"/>
        <v>66249.22</v>
      </c>
      <c r="Q920" s="32"/>
      <c r="R920" s="32"/>
      <c r="W920" s="2"/>
      <c r="X920" s="30"/>
      <c r="Y920" s="30"/>
      <c r="Z920" s="32"/>
      <c r="AA920" s="32"/>
      <c r="AB920" s="32"/>
      <c r="AC920" s="32"/>
      <c r="AD920" s="32"/>
      <c r="AE920" s="32"/>
      <c r="AF920" s="32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</row>
    <row r="921" spans="1:50" x14ac:dyDescent="0.25">
      <c r="A921">
        <v>4099</v>
      </c>
      <c r="B921">
        <v>7</v>
      </c>
      <c r="C921" t="s">
        <v>1055</v>
      </c>
      <c r="D921">
        <v>10</v>
      </c>
      <c r="E921" t="s">
        <v>1055</v>
      </c>
      <c r="F921" s="1">
        <v>1</v>
      </c>
      <c r="G921" s="30" t="s">
        <v>1328</v>
      </c>
      <c r="H921" s="30" t="s">
        <v>1328</v>
      </c>
      <c r="I921" s="37" t="s">
        <v>1328</v>
      </c>
      <c r="J921" s="37" t="s">
        <v>1328</v>
      </c>
      <c r="K921" s="32">
        <v>0</v>
      </c>
      <c r="L921" s="32">
        <v>0</v>
      </c>
      <c r="M921" s="32" t="s">
        <v>1328</v>
      </c>
      <c r="N921" s="32" t="s">
        <v>1328</v>
      </c>
      <c r="O921" s="32">
        <v>0</v>
      </c>
      <c r="P921" s="32">
        <f t="shared" si="14"/>
        <v>0</v>
      </c>
      <c r="Q921" s="32"/>
      <c r="R921" s="32"/>
      <c r="W921" s="2"/>
      <c r="X921" s="30"/>
      <c r="Y921" s="30"/>
      <c r="Z921" s="32"/>
      <c r="AA921" s="32"/>
      <c r="AB921" s="32"/>
      <c r="AC921" s="32"/>
      <c r="AD921" s="32"/>
      <c r="AE921" s="32"/>
      <c r="AF921" s="32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</row>
    <row r="922" spans="1:50" x14ac:dyDescent="0.25">
      <c r="A922">
        <v>4099</v>
      </c>
      <c r="B922">
        <v>7</v>
      </c>
      <c r="C922" t="s">
        <v>1055</v>
      </c>
      <c r="D922">
        <v>20</v>
      </c>
      <c r="E922" t="s">
        <v>1056</v>
      </c>
      <c r="F922" s="1">
        <v>1</v>
      </c>
      <c r="G922" s="30" t="s">
        <v>1328</v>
      </c>
      <c r="H922" s="30" t="s">
        <v>1328</v>
      </c>
      <c r="I922" s="37" t="s">
        <v>1328</v>
      </c>
      <c r="J922" s="37" t="s">
        <v>1328</v>
      </c>
      <c r="K922" s="32">
        <v>0</v>
      </c>
      <c r="L922" s="32">
        <v>0</v>
      </c>
      <c r="M922" s="32" t="s">
        <v>1328</v>
      </c>
      <c r="N922" s="32" t="s">
        <v>1328</v>
      </c>
      <c r="O922" s="32">
        <v>0</v>
      </c>
      <c r="P922" s="32">
        <f t="shared" si="14"/>
        <v>0</v>
      </c>
      <c r="Q922" s="32"/>
      <c r="R922" s="32"/>
      <c r="W922" s="2"/>
      <c r="X922" s="30"/>
      <c r="Y922" s="30"/>
      <c r="Z922" s="32"/>
      <c r="AA922" s="32"/>
      <c r="AB922" s="32"/>
      <c r="AC922" s="32"/>
      <c r="AD922" s="32"/>
      <c r="AE922" s="32"/>
      <c r="AF922" s="32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</row>
    <row r="923" spans="1:50" x14ac:dyDescent="0.25">
      <c r="A923">
        <v>4100</v>
      </c>
      <c r="B923">
        <v>7</v>
      </c>
      <c r="C923" t="s">
        <v>1273</v>
      </c>
      <c r="D923">
        <v>10</v>
      </c>
      <c r="E923" t="s">
        <v>1273</v>
      </c>
      <c r="F923" s="1">
        <v>0</v>
      </c>
      <c r="G923" s="30">
        <v>0.81481481481481477</v>
      </c>
      <c r="H923" s="30">
        <v>0.9285714285714286</v>
      </c>
      <c r="I923" s="37">
        <v>431.85</v>
      </c>
      <c r="J923" s="37">
        <v>492.14</v>
      </c>
      <c r="K923" s="32">
        <v>10</v>
      </c>
      <c r="L923" s="32">
        <v>11</v>
      </c>
      <c r="M923" s="32">
        <v>4318.5</v>
      </c>
      <c r="N923" s="32">
        <v>5413.54</v>
      </c>
      <c r="O923" s="32">
        <v>9732.0400000000009</v>
      </c>
      <c r="P923" s="32">
        <f t="shared" si="14"/>
        <v>9301.69</v>
      </c>
      <c r="Q923" s="32"/>
      <c r="R923" s="32"/>
      <c r="W923" s="2"/>
      <c r="X923" s="30"/>
      <c r="Y923" s="30"/>
      <c r="Z923" s="32"/>
      <c r="AA923" s="32"/>
      <c r="AB923" s="32"/>
      <c r="AC923" s="32"/>
      <c r="AD923" s="32"/>
      <c r="AE923" s="32"/>
      <c r="AF923" s="32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</row>
    <row r="924" spans="1:50" x14ac:dyDescent="0.25">
      <c r="A924">
        <v>4103</v>
      </c>
      <c r="B924">
        <v>7</v>
      </c>
      <c r="C924" t="s">
        <v>1057</v>
      </c>
      <c r="D924">
        <v>20</v>
      </c>
      <c r="E924" t="s">
        <v>1058</v>
      </c>
      <c r="F924" s="1">
        <v>0</v>
      </c>
      <c r="G924" s="30">
        <v>0.23529411764705882</v>
      </c>
      <c r="H924" s="30">
        <v>0.68518518518518523</v>
      </c>
      <c r="I924" s="37">
        <v>124.71</v>
      </c>
      <c r="J924" s="37">
        <v>363.15</v>
      </c>
      <c r="K924" s="32">
        <v>20</v>
      </c>
      <c r="L924" s="32">
        <v>35</v>
      </c>
      <c r="M924" s="32">
        <v>2494.1999999999998</v>
      </c>
      <c r="N924" s="32">
        <v>12710.25</v>
      </c>
      <c r="O924" s="32">
        <v>15204.45</v>
      </c>
      <c r="P924" s="32">
        <f t="shared" si="14"/>
        <v>14532.11</v>
      </c>
      <c r="Q924" s="32"/>
      <c r="R924" s="32"/>
      <c r="W924" s="2"/>
      <c r="X924" s="30"/>
      <c r="Y924" s="30"/>
      <c r="Z924" s="32"/>
      <c r="AA924" s="32"/>
      <c r="AB924" s="32"/>
      <c r="AC924" s="32"/>
      <c r="AD924" s="32"/>
      <c r="AE924" s="32"/>
      <c r="AF924" s="32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 spans="1:50" x14ac:dyDescent="0.25">
      <c r="A925">
        <v>4113</v>
      </c>
      <c r="B925">
        <v>7</v>
      </c>
      <c r="C925" t="s">
        <v>1274</v>
      </c>
      <c r="D925">
        <v>10</v>
      </c>
      <c r="E925" t="s">
        <v>1274</v>
      </c>
      <c r="F925" s="1">
        <v>0</v>
      </c>
      <c r="G925" s="30">
        <v>0.45</v>
      </c>
      <c r="H925" s="30">
        <v>0.73684210526315785</v>
      </c>
      <c r="I925" s="37">
        <v>238.5</v>
      </c>
      <c r="J925" s="37">
        <v>390.53</v>
      </c>
      <c r="K925" s="32">
        <v>11</v>
      </c>
      <c r="L925" s="32">
        <v>13</v>
      </c>
      <c r="M925" s="32">
        <v>2623.5</v>
      </c>
      <c r="N925" s="32">
        <v>5076.8900000000003</v>
      </c>
      <c r="O925" s="32">
        <v>7700.39</v>
      </c>
      <c r="P925" s="32">
        <f t="shared" si="14"/>
        <v>7359.88</v>
      </c>
      <c r="Q925" s="32"/>
      <c r="R925" s="32"/>
      <c r="W925" s="2"/>
      <c r="X925" s="30"/>
      <c r="Y925" s="30"/>
      <c r="Z925" s="32"/>
      <c r="AA925" s="32"/>
      <c r="AB925" s="32"/>
      <c r="AC925" s="32"/>
      <c r="AD925" s="32"/>
      <c r="AE925" s="32"/>
      <c r="AF925" s="32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</row>
    <row r="926" spans="1:50" x14ac:dyDescent="0.25">
      <c r="A926">
        <v>4116</v>
      </c>
      <c r="B926">
        <v>7</v>
      </c>
      <c r="C926" t="s">
        <v>1059</v>
      </c>
      <c r="D926">
        <v>10</v>
      </c>
      <c r="E926" t="s">
        <v>1059</v>
      </c>
      <c r="F926" s="1">
        <v>0</v>
      </c>
      <c r="G926" s="30">
        <v>0.76190476190476186</v>
      </c>
      <c r="H926" s="30">
        <v>0.85542168674698793</v>
      </c>
      <c r="I926" s="37">
        <v>403.81</v>
      </c>
      <c r="J926" s="37">
        <v>453.37</v>
      </c>
      <c r="K926" s="32">
        <v>95</v>
      </c>
      <c r="L926" s="32">
        <v>98</v>
      </c>
      <c r="M926" s="32">
        <v>38361.949999999997</v>
      </c>
      <c r="N926" s="32">
        <v>44430.26</v>
      </c>
      <c r="O926" s="32">
        <v>82792.209999999992</v>
      </c>
      <c r="P926" s="32">
        <f t="shared" si="14"/>
        <v>79131.12</v>
      </c>
      <c r="Q926" s="32"/>
      <c r="R926" s="32"/>
      <c r="W926" s="2"/>
      <c r="X926" s="30"/>
      <c r="Y926" s="30"/>
      <c r="Z926" s="32"/>
      <c r="AA926" s="32"/>
      <c r="AB926" s="32"/>
      <c r="AC926" s="32"/>
      <c r="AD926" s="32"/>
      <c r="AE926" s="32"/>
      <c r="AF926" s="32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</row>
    <row r="927" spans="1:50" x14ac:dyDescent="0.25">
      <c r="A927">
        <v>4118</v>
      </c>
      <c r="B927">
        <v>7</v>
      </c>
      <c r="C927" t="s">
        <v>1060</v>
      </c>
      <c r="D927">
        <v>10</v>
      </c>
      <c r="E927" t="s">
        <v>1060</v>
      </c>
      <c r="F927" s="1">
        <v>0</v>
      </c>
      <c r="G927" s="30">
        <v>0.88888888888888884</v>
      </c>
      <c r="H927" s="30">
        <v>0.76119402985074625</v>
      </c>
      <c r="I927" s="37">
        <v>471.11</v>
      </c>
      <c r="J927" s="37">
        <v>403.43</v>
      </c>
      <c r="K927" s="32">
        <v>48</v>
      </c>
      <c r="L927" s="32">
        <v>48</v>
      </c>
      <c r="M927" s="32">
        <v>22613.279999999999</v>
      </c>
      <c r="N927" s="32">
        <v>19364.64</v>
      </c>
      <c r="O927" s="32">
        <v>41977.919999999998</v>
      </c>
      <c r="P927" s="32">
        <f t="shared" si="14"/>
        <v>40121.65</v>
      </c>
      <c r="Q927" s="32"/>
      <c r="R927" s="32"/>
      <c r="W927" s="2"/>
      <c r="X927" s="30"/>
      <c r="Y927" s="30"/>
      <c r="Z927" s="32"/>
      <c r="AA927" s="32"/>
      <c r="AB927" s="32"/>
      <c r="AC927" s="32"/>
      <c r="AD927" s="32"/>
      <c r="AE927" s="32"/>
      <c r="AF927" s="32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</row>
    <row r="928" spans="1:50" x14ac:dyDescent="0.25">
      <c r="A928">
        <v>4120</v>
      </c>
      <c r="B928">
        <v>7</v>
      </c>
      <c r="C928" t="s">
        <v>1061</v>
      </c>
      <c r="D928">
        <v>10</v>
      </c>
      <c r="E928" t="s">
        <v>1061</v>
      </c>
      <c r="F928" s="1">
        <v>0</v>
      </c>
      <c r="G928" s="30">
        <v>0.94573643410852715</v>
      </c>
      <c r="H928" s="30">
        <v>0.89387755102040811</v>
      </c>
      <c r="I928" s="37">
        <v>501.24</v>
      </c>
      <c r="J928" s="37">
        <v>473.76</v>
      </c>
      <c r="K928" s="32">
        <v>87</v>
      </c>
      <c r="L928" s="32">
        <v>87</v>
      </c>
      <c r="M928" s="32">
        <v>43607.88</v>
      </c>
      <c r="N928" s="32">
        <v>41217.120000000003</v>
      </c>
      <c r="O928" s="32">
        <v>84825</v>
      </c>
      <c r="P928" s="32">
        <f t="shared" si="14"/>
        <v>81074.02</v>
      </c>
      <c r="Q928" s="32"/>
      <c r="R928" s="32"/>
      <c r="W928" s="2"/>
      <c r="X928" s="30"/>
      <c r="Y928" s="30"/>
      <c r="Z928" s="32"/>
      <c r="AA928" s="32"/>
      <c r="AB928" s="32"/>
      <c r="AC928" s="32"/>
      <c r="AD928" s="32"/>
      <c r="AE928" s="32"/>
      <c r="AF928" s="32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</row>
    <row r="929" spans="1:50" x14ac:dyDescent="0.25">
      <c r="A929">
        <v>4122</v>
      </c>
      <c r="B929">
        <v>7</v>
      </c>
      <c r="C929" t="s">
        <v>1061</v>
      </c>
      <c r="D929">
        <v>20</v>
      </c>
      <c r="E929" t="s">
        <v>1061</v>
      </c>
      <c r="F929" s="1">
        <v>0</v>
      </c>
      <c r="G929" s="30">
        <v>0.93859649122807021</v>
      </c>
      <c r="H929" s="30">
        <v>0.88405797101449279</v>
      </c>
      <c r="I929" s="37">
        <v>497.46</v>
      </c>
      <c r="J929" s="37">
        <v>468.55</v>
      </c>
      <c r="K929" s="32">
        <v>67</v>
      </c>
      <c r="L929" s="32">
        <v>67</v>
      </c>
      <c r="M929" s="32">
        <v>33329.82</v>
      </c>
      <c r="N929" s="32">
        <v>31392.85</v>
      </c>
      <c r="O929" s="32">
        <v>64722.67</v>
      </c>
      <c r="P929" s="32">
        <f t="shared" si="14"/>
        <v>61860.62</v>
      </c>
      <c r="Q929" s="32"/>
      <c r="R929" s="32"/>
      <c r="W929" s="2"/>
      <c r="X929" s="30"/>
      <c r="Y929" s="30"/>
      <c r="Z929" s="32"/>
      <c r="AA929" s="32"/>
      <c r="AB929" s="32"/>
      <c r="AC929" s="32"/>
      <c r="AD929" s="32"/>
      <c r="AE929" s="32"/>
      <c r="AF929" s="32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</row>
    <row r="930" spans="1:50" x14ac:dyDescent="0.25">
      <c r="A930">
        <v>4123</v>
      </c>
      <c r="B930">
        <v>7</v>
      </c>
      <c r="C930" t="s">
        <v>1275</v>
      </c>
      <c r="D930">
        <v>10</v>
      </c>
      <c r="E930" t="s">
        <v>1275</v>
      </c>
      <c r="F930" s="1">
        <v>1</v>
      </c>
      <c r="G930" s="30" t="s">
        <v>1328</v>
      </c>
      <c r="H930" s="30" t="s">
        <v>1328</v>
      </c>
      <c r="I930" s="37" t="s">
        <v>1328</v>
      </c>
      <c r="J930" s="37" t="s">
        <v>1328</v>
      </c>
      <c r="K930" s="32">
        <v>11</v>
      </c>
      <c r="L930" s="32">
        <v>7</v>
      </c>
      <c r="M930" s="32" t="s">
        <v>1328</v>
      </c>
      <c r="N930" s="32" t="s">
        <v>1328</v>
      </c>
      <c r="O930" s="32">
        <v>8308.58</v>
      </c>
      <c r="P930" s="32">
        <f t="shared" si="14"/>
        <v>7941.17</v>
      </c>
      <c r="Q930" s="32"/>
      <c r="R930" s="32"/>
      <c r="W930" s="2"/>
      <c r="X930" s="30"/>
      <c r="Y930" s="30"/>
      <c r="Z930" s="32"/>
      <c r="AA930" s="32"/>
      <c r="AB930" s="32"/>
      <c r="AC930" s="32"/>
      <c r="AD930" s="32"/>
      <c r="AE930" s="32"/>
      <c r="AF930" s="32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</row>
    <row r="931" spans="1:50" x14ac:dyDescent="0.25">
      <c r="A931">
        <v>4124</v>
      </c>
      <c r="B931">
        <v>7</v>
      </c>
      <c r="C931" t="s">
        <v>1062</v>
      </c>
      <c r="D931">
        <v>10</v>
      </c>
      <c r="E931" t="s">
        <v>1062</v>
      </c>
      <c r="F931" s="1">
        <v>0</v>
      </c>
      <c r="G931" s="30">
        <v>0.89436619718309862</v>
      </c>
      <c r="H931" s="30">
        <v>0.84962406015037595</v>
      </c>
      <c r="I931" s="37">
        <v>474.01</v>
      </c>
      <c r="J931" s="37">
        <v>450.3</v>
      </c>
      <c r="K931" s="32">
        <v>48</v>
      </c>
      <c r="L931" s="32">
        <v>48</v>
      </c>
      <c r="M931" s="32">
        <v>22752.48</v>
      </c>
      <c r="N931" s="32">
        <v>21614.400000000001</v>
      </c>
      <c r="O931" s="32">
        <v>44366.880000000005</v>
      </c>
      <c r="P931" s="32">
        <f t="shared" si="14"/>
        <v>42404.97</v>
      </c>
      <c r="Q931" s="32"/>
      <c r="R931" s="32"/>
      <c r="W931" s="2"/>
      <c r="X931" s="30"/>
      <c r="Y931" s="30"/>
      <c r="Z931" s="32"/>
      <c r="AA931" s="32"/>
      <c r="AB931" s="32"/>
      <c r="AC931" s="32"/>
      <c r="AD931" s="32"/>
      <c r="AE931" s="32"/>
      <c r="AF931" s="32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</row>
    <row r="932" spans="1:50" x14ac:dyDescent="0.25">
      <c r="A932">
        <v>4125</v>
      </c>
      <c r="B932">
        <v>7</v>
      </c>
      <c r="C932" t="s">
        <v>1276</v>
      </c>
      <c r="D932">
        <v>10</v>
      </c>
      <c r="E932" t="s">
        <v>1276</v>
      </c>
      <c r="F932" s="1">
        <v>1</v>
      </c>
      <c r="G932" s="30" t="s">
        <v>1328</v>
      </c>
      <c r="H932" s="30" t="s">
        <v>1328</v>
      </c>
      <c r="I932" s="37" t="s">
        <v>1328</v>
      </c>
      <c r="J932" s="37" t="s">
        <v>1328</v>
      </c>
      <c r="K932" s="32">
        <v>0</v>
      </c>
      <c r="L932" s="32">
        <v>0</v>
      </c>
      <c r="M932" s="32" t="s">
        <v>1328</v>
      </c>
      <c r="N932" s="32" t="s">
        <v>1328</v>
      </c>
      <c r="O932" s="32">
        <v>0</v>
      </c>
      <c r="P932" s="32">
        <f t="shared" si="14"/>
        <v>0</v>
      </c>
      <c r="Q932" s="32"/>
      <c r="R932" s="32"/>
      <c r="W932" s="2"/>
      <c r="X932" s="30"/>
      <c r="Y932" s="30"/>
      <c r="Z932" s="32"/>
      <c r="AA932" s="32"/>
      <c r="AB932" s="32"/>
      <c r="AC932" s="32"/>
      <c r="AD932" s="32"/>
      <c r="AE932" s="32"/>
      <c r="AF932" s="32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</row>
    <row r="933" spans="1:50" x14ac:dyDescent="0.25">
      <c r="A933">
        <v>4126</v>
      </c>
      <c r="B933">
        <v>7</v>
      </c>
      <c r="C933" t="s">
        <v>1063</v>
      </c>
      <c r="D933">
        <v>10</v>
      </c>
      <c r="E933" t="s">
        <v>1063</v>
      </c>
      <c r="F933" s="1">
        <v>0</v>
      </c>
      <c r="G933" s="30">
        <v>0.32278481012658228</v>
      </c>
      <c r="H933" s="30">
        <v>0.82638888888888884</v>
      </c>
      <c r="I933" s="37">
        <v>171.08</v>
      </c>
      <c r="J933" s="37">
        <v>437.99</v>
      </c>
      <c r="K933" s="32">
        <v>46</v>
      </c>
      <c r="L933" s="32">
        <v>52</v>
      </c>
      <c r="M933" s="32">
        <v>7869.68</v>
      </c>
      <c r="N933" s="32">
        <v>22775.48</v>
      </c>
      <c r="O933" s="32">
        <v>30645.16</v>
      </c>
      <c r="P933" s="32">
        <f t="shared" si="14"/>
        <v>29290.02</v>
      </c>
      <c r="Q933" s="32"/>
      <c r="R933" s="32"/>
      <c r="W933" s="2"/>
      <c r="X933" s="30"/>
      <c r="Y933" s="30"/>
      <c r="Z933" s="32"/>
      <c r="AA933" s="32"/>
      <c r="AB933" s="32"/>
      <c r="AC933" s="32"/>
      <c r="AD933" s="32"/>
      <c r="AE933" s="32"/>
      <c r="AF933" s="32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</row>
    <row r="934" spans="1:50" x14ac:dyDescent="0.25">
      <c r="A934">
        <v>4127</v>
      </c>
      <c r="B934">
        <v>7</v>
      </c>
      <c r="C934" t="s">
        <v>1064</v>
      </c>
      <c r="D934">
        <v>10</v>
      </c>
      <c r="E934" t="s">
        <v>1064</v>
      </c>
      <c r="F934" s="1">
        <v>0</v>
      </c>
      <c r="G934" s="30">
        <v>0.81666666666666665</v>
      </c>
      <c r="H934" s="30">
        <v>0.70833333333333337</v>
      </c>
      <c r="I934" s="37">
        <v>432.83</v>
      </c>
      <c r="J934" s="37">
        <v>375.42</v>
      </c>
      <c r="K934" s="32">
        <v>25</v>
      </c>
      <c r="L934" s="32">
        <v>17</v>
      </c>
      <c r="M934" s="32">
        <v>10820.75</v>
      </c>
      <c r="N934" s="32">
        <v>6382.14</v>
      </c>
      <c r="O934" s="32">
        <v>17202.89</v>
      </c>
      <c r="P934" s="32">
        <f t="shared" si="14"/>
        <v>16442.169999999998</v>
      </c>
      <c r="Q934" s="32"/>
      <c r="R934" s="32"/>
      <c r="W934" s="2"/>
      <c r="X934" s="30"/>
      <c r="Y934" s="30"/>
      <c r="Z934" s="32"/>
      <c r="AA934" s="32"/>
      <c r="AB934" s="32"/>
      <c r="AC934" s="32"/>
      <c r="AD934" s="32"/>
      <c r="AE934" s="32"/>
      <c r="AF934" s="32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</row>
    <row r="935" spans="1:50" x14ac:dyDescent="0.25">
      <c r="A935">
        <v>4135</v>
      </c>
      <c r="B935">
        <v>7</v>
      </c>
      <c r="C935" t="s">
        <v>1065</v>
      </c>
      <c r="D935">
        <v>10</v>
      </c>
      <c r="E935" t="s">
        <v>1065</v>
      </c>
      <c r="F935" s="1">
        <v>0</v>
      </c>
      <c r="G935" s="30">
        <v>0.77464788732394363</v>
      </c>
      <c r="H935" s="30">
        <v>0.42857142857142855</v>
      </c>
      <c r="I935" s="37">
        <v>410.56</v>
      </c>
      <c r="J935" s="37">
        <v>227.14</v>
      </c>
      <c r="K935" s="32">
        <v>27</v>
      </c>
      <c r="L935" s="32">
        <v>26</v>
      </c>
      <c r="M935" s="32">
        <v>11085.12</v>
      </c>
      <c r="N935" s="32">
        <v>5905.64</v>
      </c>
      <c r="O935" s="32">
        <v>16990.760000000002</v>
      </c>
      <c r="P935" s="32">
        <f t="shared" si="14"/>
        <v>16239.42</v>
      </c>
      <c r="Q935" s="32"/>
      <c r="R935" s="32"/>
      <c r="W935" s="2"/>
      <c r="X935" s="30"/>
      <c r="Y935" s="30"/>
      <c r="Z935" s="32"/>
      <c r="AA935" s="32"/>
      <c r="AB935" s="32"/>
      <c r="AC935" s="32"/>
      <c r="AD935" s="32"/>
      <c r="AE935" s="32"/>
      <c r="AF935" s="32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</row>
    <row r="936" spans="1:50" x14ac:dyDescent="0.25">
      <c r="A936">
        <v>4137</v>
      </c>
      <c r="B936">
        <v>7</v>
      </c>
      <c r="C936" t="s">
        <v>1066</v>
      </c>
      <c r="D936">
        <v>10</v>
      </c>
      <c r="E936" t="s">
        <v>1066</v>
      </c>
      <c r="F936" s="1">
        <v>0</v>
      </c>
      <c r="G936" s="30">
        <v>0.87323943661971826</v>
      </c>
      <c r="H936" s="30">
        <v>0.81818181818181823</v>
      </c>
      <c r="I936" s="37">
        <v>462.82</v>
      </c>
      <c r="J936" s="37">
        <v>433.64</v>
      </c>
      <c r="K936" s="32">
        <v>27</v>
      </c>
      <c r="L936" s="32">
        <v>24</v>
      </c>
      <c r="M936" s="32">
        <v>12496.14</v>
      </c>
      <c r="N936" s="32">
        <v>10407.36</v>
      </c>
      <c r="O936" s="32">
        <v>22903.5</v>
      </c>
      <c r="P936" s="32">
        <f t="shared" si="14"/>
        <v>21890.7</v>
      </c>
      <c r="Q936" s="32"/>
      <c r="R936" s="32"/>
      <c r="W936" s="2"/>
      <c r="X936" s="30"/>
      <c r="Y936" s="30"/>
      <c r="Z936" s="32"/>
      <c r="AA936" s="32"/>
      <c r="AB936" s="32"/>
      <c r="AC936" s="32"/>
      <c r="AD936" s="32"/>
      <c r="AE936" s="32"/>
      <c r="AF936" s="32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</row>
    <row r="937" spans="1:50" x14ac:dyDescent="0.25">
      <c r="A937">
        <v>4138</v>
      </c>
      <c r="B937">
        <v>7</v>
      </c>
      <c r="C937" t="s">
        <v>1277</v>
      </c>
      <c r="D937">
        <v>10</v>
      </c>
      <c r="E937" t="s">
        <v>1277</v>
      </c>
      <c r="F937" s="1">
        <v>1</v>
      </c>
      <c r="G937" s="30" t="s">
        <v>1328</v>
      </c>
      <c r="H937" s="30" t="s">
        <v>1328</v>
      </c>
      <c r="I937" s="37" t="s">
        <v>1328</v>
      </c>
      <c r="J937" s="37" t="s">
        <v>1328</v>
      </c>
      <c r="K937" s="32">
        <v>9</v>
      </c>
      <c r="L937" s="32">
        <v>8</v>
      </c>
      <c r="M937" s="32" t="s">
        <v>1328</v>
      </c>
      <c r="N937" s="32" t="s">
        <v>1328</v>
      </c>
      <c r="O937" s="32">
        <v>6940.59</v>
      </c>
      <c r="P937" s="32">
        <f t="shared" si="14"/>
        <v>6633.68</v>
      </c>
      <c r="Q937" s="32"/>
      <c r="R937" s="32"/>
      <c r="W937" s="2"/>
      <c r="X937" s="30"/>
      <c r="Y937" s="30"/>
      <c r="Z937" s="32"/>
      <c r="AA937" s="32"/>
      <c r="AB937" s="32"/>
      <c r="AC937" s="32"/>
      <c r="AD937" s="32"/>
      <c r="AE937" s="32"/>
      <c r="AF937" s="32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</row>
    <row r="938" spans="1:50" x14ac:dyDescent="0.25">
      <c r="A938">
        <v>4139</v>
      </c>
      <c r="B938">
        <v>7</v>
      </c>
      <c r="C938" t="s">
        <v>1067</v>
      </c>
      <c r="D938">
        <v>10</v>
      </c>
      <c r="E938" t="s">
        <v>1067</v>
      </c>
      <c r="F938" s="1">
        <v>0</v>
      </c>
      <c r="G938" s="30">
        <v>0.39784946236559138</v>
      </c>
      <c r="H938" s="30">
        <v>0.6875</v>
      </c>
      <c r="I938" s="37">
        <v>210.86</v>
      </c>
      <c r="J938" s="37">
        <v>364.38</v>
      </c>
      <c r="K938" s="32">
        <v>33</v>
      </c>
      <c r="L938" s="32">
        <v>23</v>
      </c>
      <c r="M938" s="32">
        <v>6958.38</v>
      </c>
      <c r="N938" s="32">
        <v>8380.74</v>
      </c>
      <c r="O938" s="32">
        <v>15339.119999999999</v>
      </c>
      <c r="P938" s="32">
        <f t="shared" si="14"/>
        <v>14660.82</v>
      </c>
      <c r="Q938" s="32"/>
      <c r="R938" s="32"/>
      <c r="W938" s="2"/>
      <c r="X938" s="30"/>
      <c r="Y938" s="30"/>
      <c r="Z938" s="32"/>
      <c r="AA938" s="32"/>
      <c r="AB938" s="32"/>
      <c r="AC938" s="32"/>
      <c r="AD938" s="32"/>
      <c r="AE938" s="32"/>
      <c r="AF938" s="32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</row>
    <row r="939" spans="1:50" x14ac:dyDescent="0.25">
      <c r="A939">
        <v>4140</v>
      </c>
      <c r="B939">
        <v>7</v>
      </c>
      <c r="C939" t="s">
        <v>1068</v>
      </c>
      <c r="D939">
        <v>10</v>
      </c>
      <c r="E939" t="s">
        <v>1068</v>
      </c>
      <c r="F939" s="1">
        <v>0</v>
      </c>
      <c r="G939" s="30">
        <v>0.81987577639751552</v>
      </c>
      <c r="H939" s="30">
        <v>0.86274509803921573</v>
      </c>
      <c r="I939" s="37">
        <v>434.53</v>
      </c>
      <c r="J939" s="37">
        <v>457.25</v>
      </c>
      <c r="K939" s="32">
        <v>69</v>
      </c>
      <c r="L939" s="32">
        <v>42</v>
      </c>
      <c r="M939" s="32">
        <v>29982.57</v>
      </c>
      <c r="N939" s="32">
        <v>19204.5</v>
      </c>
      <c r="O939" s="32">
        <v>49187.07</v>
      </c>
      <c r="P939" s="32">
        <f t="shared" si="14"/>
        <v>47012.01</v>
      </c>
      <c r="Q939" s="32"/>
      <c r="R939" s="32"/>
      <c r="W939" s="2"/>
      <c r="X939" s="30"/>
      <c r="Y939" s="30"/>
      <c r="Z939" s="32"/>
      <c r="AA939" s="32"/>
      <c r="AB939" s="32"/>
      <c r="AC939" s="32"/>
      <c r="AD939" s="32"/>
      <c r="AE939" s="32"/>
      <c r="AF939" s="32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</row>
    <row r="940" spans="1:50" x14ac:dyDescent="0.25">
      <c r="A940">
        <v>4141</v>
      </c>
      <c r="B940">
        <v>7</v>
      </c>
      <c r="C940" t="s">
        <v>1069</v>
      </c>
      <c r="D940">
        <v>10</v>
      </c>
      <c r="E940" t="s">
        <v>1069</v>
      </c>
      <c r="F940" s="1">
        <v>0</v>
      </c>
      <c r="G940" s="30">
        <v>0.8257575757575758</v>
      </c>
      <c r="H940" s="30">
        <v>0.73949579831932777</v>
      </c>
      <c r="I940" s="37">
        <v>437.65</v>
      </c>
      <c r="J940" s="37">
        <v>391.93</v>
      </c>
      <c r="K940" s="32">
        <v>44</v>
      </c>
      <c r="L940" s="32">
        <v>44</v>
      </c>
      <c r="M940" s="32">
        <v>19256.599999999999</v>
      </c>
      <c r="N940" s="32">
        <v>17244.919999999998</v>
      </c>
      <c r="O940" s="32">
        <v>36501.519999999997</v>
      </c>
      <c r="P940" s="32">
        <f t="shared" si="14"/>
        <v>34887.410000000003</v>
      </c>
      <c r="Q940" s="32"/>
      <c r="R940" s="32"/>
      <c r="W940" s="2"/>
      <c r="X940" s="30"/>
      <c r="Y940" s="30"/>
      <c r="Z940" s="32"/>
      <c r="AA940" s="32"/>
      <c r="AB940" s="32"/>
      <c r="AC940" s="32"/>
      <c r="AD940" s="32"/>
      <c r="AE940" s="32"/>
      <c r="AF940" s="32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</row>
    <row r="941" spans="1:50" x14ac:dyDescent="0.25">
      <c r="A941">
        <v>4142</v>
      </c>
      <c r="B941">
        <v>7</v>
      </c>
      <c r="C941" t="s">
        <v>1070</v>
      </c>
      <c r="D941">
        <v>10</v>
      </c>
      <c r="E941" t="s">
        <v>1070</v>
      </c>
      <c r="F941" s="1">
        <v>0</v>
      </c>
      <c r="G941" s="30">
        <v>0.80165289256198347</v>
      </c>
      <c r="H941" s="30">
        <v>0.7192982456140351</v>
      </c>
      <c r="I941" s="37">
        <v>424.88</v>
      </c>
      <c r="J941" s="37">
        <v>381.23</v>
      </c>
      <c r="K941" s="32">
        <v>42</v>
      </c>
      <c r="L941" s="32">
        <v>44</v>
      </c>
      <c r="M941" s="32">
        <v>17844.96</v>
      </c>
      <c r="N941" s="32">
        <v>16774.12</v>
      </c>
      <c r="O941" s="32">
        <v>34619.08</v>
      </c>
      <c r="P941" s="32">
        <f t="shared" si="14"/>
        <v>33088.22</v>
      </c>
      <c r="Q941" s="32"/>
      <c r="R941" s="32"/>
      <c r="W941" s="2"/>
      <c r="X941" s="30"/>
      <c r="Y941" s="30"/>
      <c r="Z941" s="32"/>
      <c r="AA941" s="32"/>
      <c r="AB941" s="32"/>
      <c r="AC941" s="32"/>
      <c r="AD941" s="32"/>
      <c r="AE941" s="32"/>
      <c r="AF941" s="32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</row>
    <row r="942" spans="1:50" x14ac:dyDescent="0.25">
      <c r="A942">
        <v>4143</v>
      </c>
      <c r="B942">
        <v>7</v>
      </c>
      <c r="C942" t="s">
        <v>1071</v>
      </c>
      <c r="D942">
        <v>10</v>
      </c>
      <c r="E942" t="s">
        <v>1072</v>
      </c>
      <c r="F942" s="1">
        <v>0</v>
      </c>
      <c r="G942" s="30">
        <v>0.47286821705426357</v>
      </c>
      <c r="H942" s="30">
        <v>0.84403669724770647</v>
      </c>
      <c r="I942" s="37">
        <v>250.62</v>
      </c>
      <c r="J942" s="37">
        <v>447.34</v>
      </c>
      <c r="K942" s="32">
        <v>49</v>
      </c>
      <c r="L942" s="32">
        <v>44</v>
      </c>
      <c r="M942" s="32">
        <v>12280.38</v>
      </c>
      <c r="N942" s="32">
        <v>19682.96</v>
      </c>
      <c r="O942" s="32">
        <v>31963.339999999997</v>
      </c>
      <c r="P942" s="32">
        <f t="shared" si="14"/>
        <v>30549.91</v>
      </c>
      <c r="Q942" s="32"/>
      <c r="R942" s="32"/>
      <c r="W942" s="2"/>
      <c r="X942" s="30"/>
      <c r="Y942" s="30"/>
      <c r="Z942" s="32"/>
      <c r="AA942" s="32"/>
      <c r="AB942" s="32"/>
      <c r="AC942" s="32"/>
      <c r="AD942" s="32"/>
      <c r="AE942" s="32"/>
      <c r="AF942" s="32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</row>
    <row r="943" spans="1:50" x14ac:dyDescent="0.25">
      <c r="A943">
        <v>4144</v>
      </c>
      <c r="B943">
        <v>7</v>
      </c>
      <c r="C943" t="s">
        <v>1278</v>
      </c>
      <c r="D943">
        <v>10</v>
      </c>
      <c r="E943" t="s">
        <v>1278</v>
      </c>
      <c r="F943" s="1">
        <v>1</v>
      </c>
      <c r="G943" s="30" t="s">
        <v>1328</v>
      </c>
      <c r="H943" s="30" t="s">
        <v>1328</v>
      </c>
      <c r="I943" s="37" t="s">
        <v>1328</v>
      </c>
      <c r="J943" s="37" t="s">
        <v>1328</v>
      </c>
      <c r="K943" s="32">
        <v>11</v>
      </c>
      <c r="L943" s="32">
        <v>8</v>
      </c>
      <c r="M943" s="32" t="s">
        <v>1328</v>
      </c>
      <c r="N943" s="32" t="s">
        <v>1328</v>
      </c>
      <c r="O943" s="32">
        <v>6996.85</v>
      </c>
      <c r="P943" s="32">
        <f t="shared" si="14"/>
        <v>6687.45</v>
      </c>
      <c r="Q943" s="32"/>
      <c r="R943" s="32"/>
      <c r="W943" s="2"/>
      <c r="X943" s="30"/>
      <c r="Y943" s="30"/>
      <c r="Z943" s="32"/>
      <c r="AA943" s="32"/>
      <c r="AB943" s="32"/>
      <c r="AC943" s="32"/>
      <c r="AD943" s="32"/>
      <c r="AE943" s="32"/>
      <c r="AF943" s="32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</row>
    <row r="944" spans="1:50" x14ac:dyDescent="0.25">
      <c r="A944">
        <v>4145</v>
      </c>
      <c r="B944">
        <v>7</v>
      </c>
      <c r="C944" t="s">
        <v>1279</v>
      </c>
      <c r="D944">
        <v>10</v>
      </c>
      <c r="E944" t="s">
        <v>1279</v>
      </c>
      <c r="F944" s="1">
        <v>1</v>
      </c>
      <c r="G944" s="30" t="s">
        <v>1328</v>
      </c>
      <c r="H944" s="30" t="s">
        <v>1328</v>
      </c>
      <c r="I944" s="37" t="s">
        <v>1328</v>
      </c>
      <c r="J944" s="37" t="s">
        <v>1328</v>
      </c>
      <c r="K944" s="32">
        <v>5</v>
      </c>
      <c r="L944" s="32">
        <v>5</v>
      </c>
      <c r="M944" s="32" t="s">
        <v>1328</v>
      </c>
      <c r="N944" s="32" t="s">
        <v>1328</v>
      </c>
      <c r="O944" s="32">
        <v>3918.8</v>
      </c>
      <c r="P944" s="32">
        <f t="shared" si="14"/>
        <v>3745.51</v>
      </c>
      <c r="Q944" s="32"/>
      <c r="R944" s="32"/>
      <c r="W944" s="2"/>
      <c r="X944" s="30"/>
      <c r="Y944" s="30"/>
      <c r="Z944" s="32"/>
      <c r="AA944" s="32"/>
      <c r="AB944" s="32"/>
      <c r="AC944" s="32"/>
      <c r="AD944" s="32"/>
      <c r="AE944" s="32"/>
      <c r="AF944" s="32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</row>
    <row r="945" spans="1:50" x14ac:dyDescent="0.25">
      <c r="A945">
        <v>4152</v>
      </c>
      <c r="B945">
        <v>7</v>
      </c>
      <c r="C945" t="s">
        <v>1073</v>
      </c>
      <c r="D945">
        <v>10</v>
      </c>
      <c r="E945" t="s">
        <v>1073</v>
      </c>
      <c r="F945" s="1">
        <v>0</v>
      </c>
      <c r="G945" s="30">
        <v>0.87</v>
      </c>
      <c r="H945" s="30">
        <v>0.86250000000000004</v>
      </c>
      <c r="I945" s="37">
        <v>461.1</v>
      </c>
      <c r="J945" s="37">
        <v>457.13</v>
      </c>
      <c r="K945" s="32">
        <v>33</v>
      </c>
      <c r="L945" s="32">
        <v>38</v>
      </c>
      <c r="M945" s="32">
        <v>15216.3</v>
      </c>
      <c r="N945" s="32">
        <v>17370.939999999999</v>
      </c>
      <c r="O945" s="32">
        <v>32587.239999999998</v>
      </c>
      <c r="P945" s="32">
        <f t="shared" si="14"/>
        <v>31146.22</v>
      </c>
      <c r="Q945" s="32"/>
      <c r="R945" s="32"/>
      <c r="W945" s="2"/>
      <c r="X945" s="30"/>
      <c r="Y945" s="30"/>
      <c r="Z945" s="32"/>
      <c r="AA945" s="32"/>
      <c r="AB945" s="32"/>
      <c r="AC945" s="32"/>
      <c r="AD945" s="32"/>
      <c r="AE945" s="32"/>
      <c r="AF945" s="32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</row>
    <row r="946" spans="1:50" x14ac:dyDescent="0.25">
      <c r="A946">
        <v>4153</v>
      </c>
      <c r="B946">
        <v>7</v>
      </c>
      <c r="C946" t="s">
        <v>1074</v>
      </c>
      <c r="D946">
        <v>10</v>
      </c>
      <c r="E946" t="s">
        <v>1074</v>
      </c>
      <c r="F946" s="1">
        <v>0</v>
      </c>
      <c r="G946" s="30">
        <v>0.47191011235955055</v>
      </c>
      <c r="H946" s="30">
        <v>0.79629629629629628</v>
      </c>
      <c r="I946" s="37">
        <v>250.11</v>
      </c>
      <c r="J946" s="37">
        <v>422.04</v>
      </c>
      <c r="K946" s="32">
        <v>38</v>
      </c>
      <c r="L946" s="32">
        <v>32</v>
      </c>
      <c r="M946" s="32">
        <v>9504.18</v>
      </c>
      <c r="N946" s="32">
        <v>13505.28</v>
      </c>
      <c r="O946" s="32">
        <v>23009.46</v>
      </c>
      <c r="P946" s="32">
        <f t="shared" si="14"/>
        <v>21991.98</v>
      </c>
      <c r="Q946" s="32"/>
      <c r="R946" s="32"/>
      <c r="W946" s="2"/>
      <c r="X946" s="30"/>
      <c r="Y946" s="30"/>
      <c r="Z946" s="32"/>
      <c r="AA946" s="32"/>
      <c r="AB946" s="32"/>
      <c r="AC946" s="32"/>
      <c r="AD946" s="32"/>
      <c r="AE946" s="32"/>
      <c r="AF946" s="32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</row>
    <row r="947" spans="1:50" x14ac:dyDescent="0.25">
      <c r="A947">
        <v>4155</v>
      </c>
      <c r="B947">
        <v>7</v>
      </c>
      <c r="C947" t="s">
        <v>1280</v>
      </c>
      <c r="D947">
        <v>10</v>
      </c>
      <c r="E947" t="s">
        <v>1280</v>
      </c>
      <c r="F947" s="1">
        <v>0</v>
      </c>
      <c r="G947" s="30">
        <v>0.36956521739130432</v>
      </c>
      <c r="H947" s="30">
        <v>0.33333333333333331</v>
      </c>
      <c r="I947" s="37">
        <v>195.87</v>
      </c>
      <c r="J947" s="37">
        <v>176.67</v>
      </c>
      <c r="K947" s="32">
        <v>22</v>
      </c>
      <c r="L947" s="32">
        <v>11</v>
      </c>
      <c r="M947" s="32">
        <v>4309.1400000000003</v>
      </c>
      <c r="N947" s="32">
        <v>1943.37</v>
      </c>
      <c r="O947" s="32">
        <v>6252.51</v>
      </c>
      <c r="P947" s="32">
        <f t="shared" si="14"/>
        <v>5976.02</v>
      </c>
      <c r="Q947" s="32"/>
      <c r="R947" s="32"/>
      <c r="W947" s="2"/>
      <c r="X947" s="30"/>
      <c r="Y947" s="30"/>
      <c r="Z947" s="32"/>
      <c r="AA947" s="32"/>
      <c r="AB947" s="32"/>
      <c r="AC947" s="32"/>
      <c r="AD947" s="32"/>
      <c r="AE947" s="32"/>
      <c r="AF947" s="32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</row>
    <row r="948" spans="1:50" x14ac:dyDescent="0.25">
      <c r="A948">
        <v>4159</v>
      </c>
      <c r="B948">
        <v>7</v>
      </c>
      <c r="C948" t="s">
        <v>1075</v>
      </c>
      <c r="D948">
        <v>10</v>
      </c>
      <c r="E948" t="s">
        <v>1075</v>
      </c>
      <c r="F948" s="1">
        <v>0</v>
      </c>
      <c r="G948" s="30">
        <v>0.91818181818181821</v>
      </c>
      <c r="H948" s="30">
        <v>0.80434782608695654</v>
      </c>
      <c r="I948" s="37">
        <v>486.64</v>
      </c>
      <c r="J948" s="37">
        <v>426.3</v>
      </c>
      <c r="K948" s="32">
        <v>69</v>
      </c>
      <c r="L948" s="32">
        <v>66</v>
      </c>
      <c r="M948" s="32">
        <v>33578.160000000003</v>
      </c>
      <c r="N948" s="32">
        <v>28135.8</v>
      </c>
      <c r="O948" s="32">
        <v>61713.960000000006</v>
      </c>
      <c r="P948" s="32">
        <f t="shared" si="14"/>
        <v>58984.95</v>
      </c>
      <c r="Q948" s="32"/>
      <c r="R948" s="32"/>
      <c r="W948" s="2"/>
      <c r="X948" s="30"/>
      <c r="Y948" s="30"/>
      <c r="Z948" s="32"/>
      <c r="AA948" s="32"/>
      <c r="AB948" s="32"/>
      <c r="AC948" s="32"/>
      <c r="AD948" s="32"/>
      <c r="AE948" s="32"/>
      <c r="AF948" s="32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</row>
    <row r="949" spans="1:50" x14ac:dyDescent="0.25">
      <c r="A949">
        <v>4161</v>
      </c>
      <c r="B949">
        <v>7</v>
      </c>
      <c r="C949" t="s">
        <v>1076</v>
      </c>
      <c r="D949">
        <v>10</v>
      </c>
      <c r="E949" t="s">
        <v>1076</v>
      </c>
      <c r="F949" s="1">
        <v>0</v>
      </c>
      <c r="G949" s="30">
        <v>0.53333333333333333</v>
      </c>
      <c r="H949" s="30">
        <v>0.64406779661016944</v>
      </c>
      <c r="I949" s="37">
        <v>282.67</v>
      </c>
      <c r="J949" s="37">
        <v>341.36</v>
      </c>
      <c r="K949" s="32">
        <v>27</v>
      </c>
      <c r="L949" s="32">
        <v>27</v>
      </c>
      <c r="M949" s="32">
        <v>7632.09</v>
      </c>
      <c r="N949" s="32">
        <v>9216.7199999999993</v>
      </c>
      <c r="O949" s="32">
        <v>16848.809999999998</v>
      </c>
      <c r="P949" s="32">
        <f t="shared" si="14"/>
        <v>16103.75</v>
      </c>
      <c r="Q949" s="32"/>
      <c r="R949" s="32"/>
      <c r="W949" s="2"/>
      <c r="X949" s="30"/>
      <c r="Y949" s="30"/>
      <c r="Z949" s="32"/>
      <c r="AA949" s="32"/>
      <c r="AB949" s="32"/>
      <c r="AC949" s="32"/>
      <c r="AD949" s="32"/>
      <c r="AE949" s="32"/>
      <c r="AF949" s="32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</row>
    <row r="950" spans="1:50" x14ac:dyDescent="0.25">
      <c r="A950">
        <v>4162</v>
      </c>
      <c r="B950">
        <v>7</v>
      </c>
      <c r="C950" t="s">
        <v>1077</v>
      </c>
      <c r="D950">
        <v>10</v>
      </c>
      <c r="E950" t="s">
        <v>1077</v>
      </c>
      <c r="F950" s="1">
        <v>0</v>
      </c>
      <c r="G950" s="30">
        <v>0.71794871794871795</v>
      </c>
      <c r="H950" s="30">
        <v>0.74193548387096775</v>
      </c>
      <c r="I950" s="37">
        <v>380.51</v>
      </c>
      <c r="J950" s="37">
        <v>393.23</v>
      </c>
      <c r="K950" s="32">
        <v>14</v>
      </c>
      <c r="L950" s="32">
        <v>11</v>
      </c>
      <c r="M950" s="32">
        <v>5327.14</v>
      </c>
      <c r="N950" s="32">
        <v>4325.53</v>
      </c>
      <c r="O950" s="32">
        <v>9652.67</v>
      </c>
      <c r="P950" s="32">
        <f t="shared" si="14"/>
        <v>9225.83</v>
      </c>
      <c r="Q950" s="32"/>
      <c r="R950" s="32"/>
      <c r="W950" s="2"/>
      <c r="X950" s="30"/>
      <c r="Y950" s="30"/>
      <c r="Z950" s="32"/>
      <c r="AA950" s="32"/>
      <c r="AB950" s="32"/>
      <c r="AC950" s="32"/>
      <c r="AD950" s="32"/>
      <c r="AE950" s="32"/>
      <c r="AF950" s="32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</row>
    <row r="951" spans="1:50" x14ac:dyDescent="0.25">
      <c r="A951">
        <v>4163</v>
      </c>
      <c r="B951">
        <v>7</v>
      </c>
      <c r="C951" t="s">
        <v>1078</v>
      </c>
      <c r="D951">
        <v>10</v>
      </c>
      <c r="E951" t="s">
        <v>1078</v>
      </c>
      <c r="F951" s="1">
        <v>0</v>
      </c>
      <c r="G951" s="30">
        <v>0.36206896551724138</v>
      </c>
      <c r="H951" s="30">
        <v>0.52631578947368418</v>
      </c>
      <c r="I951" s="37">
        <v>191.9</v>
      </c>
      <c r="J951" s="37">
        <v>278.95</v>
      </c>
      <c r="K951" s="32">
        <v>21</v>
      </c>
      <c r="L951" s="32">
        <v>24</v>
      </c>
      <c r="M951" s="32">
        <v>4029.9</v>
      </c>
      <c r="N951" s="32">
        <v>6694.8</v>
      </c>
      <c r="O951" s="32">
        <v>10724.7</v>
      </c>
      <c r="P951" s="32">
        <f t="shared" si="14"/>
        <v>10250.450000000001</v>
      </c>
      <c r="Q951" s="32"/>
      <c r="R951" s="32"/>
      <c r="W951" s="2"/>
      <c r="X951" s="30"/>
      <c r="Y951" s="30"/>
      <c r="Z951" s="32"/>
      <c r="AA951" s="32"/>
      <c r="AB951" s="32"/>
      <c r="AC951" s="32"/>
      <c r="AD951" s="32"/>
      <c r="AE951" s="32"/>
      <c r="AF951" s="32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</row>
    <row r="952" spans="1:50" x14ac:dyDescent="0.25">
      <c r="A952">
        <v>4167</v>
      </c>
      <c r="B952">
        <v>7</v>
      </c>
      <c r="C952" t="s">
        <v>1079</v>
      </c>
      <c r="D952">
        <v>10</v>
      </c>
      <c r="E952" t="s">
        <v>1079</v>
      </c>
      <c r="F952" s="1">
        <v>0</v>
      </c>
      <c r="G952" s="30">
        <v>0.875</v>
      </c>
      <c r="H952" s="30">
        <v>0.8771929824561403</v>
      </c>
      <c r="I952" s="37">
        <v>463.75</v>
      </c>
      <c r="J952" s="37">
        <v>464.91</v>
      </c>
      <c r="K952" s="32">
        <v>38</v>
      </c>
      <c r="L952" s="32">
        <v>24</v>
      </c>
      <c r="M952" s="32">
        <v>17622.5</v>
      </c>
      <c r="N952" s="32">
        <v>11157.84</v>
      </c>
      <c r="O952" s="32">
        <v>28780.34</v>
      </c>
      <c r="P952" s="32">
        <f t="shared" si="14"/>
        <v>27507.67</v>
      </c>
      <c r="Q952" s="32"/>
      <c r="R952" s="32"/>
      <c r="W952" s="2"/>
      <c r="X952" s="30"/>
      <c r="Y952" s="30"/>
      <c r="Z952" s="32"/>
      <c r="AA952" s="32"/>
      <c r="AB952" s="32"/>
      <c r="AC952" s="32"/>
      <c r="AD952" s="32"/>
      <c r="AE952" s="32"/>
      <c r="AF952" s="32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</row>
    <row r="953" spans="1:50" x14ac:dyDescent="0.25">
      <c r="A953">
        <v>4168</v>
      </c>
      <c r="B953">
        <v>7</v>
      </c>
      <c r="C953" t="s">
        <v>1281</v>
      </c>
      <c r="D953">
        <v>10</v>
      </c>
      <c r="E953" t="s">
        <v>1281</v>
      </c>
      <c r="F953" s="1">
        <v>0</v>
      </c>
      <c r="G953" s="30">
        <v>0.82051282051282048</v>
      </c>
      <c r="H953" s="30">
        <v>0.71875</v>
      </c>
      <c r="I953" s="37">
        <v>434.87</v>
      </c>
      <c r="J953" s="37">
        <v>380.94</v>
      </c>
      <c r="K953" s="32">
        <v>16</v>
      </c>
      <c r="L953" s="32">
        <v>10</v>
      </c>
      <c r="M953" s="32">
        <v>6957.92</v>
      </c>
      <c r="N953" s="32">
        <v>3809.4</v>
      </c>
      <c r="O953" s="32">
        <v>10767.32</v>
      </c>
      <c r="P953" s="32">
        <f t="shared" si="14"/>
        <v>10291.19</v>
      </c>
      <c r="Q953" s="32"/>
      <c r="R953" s="32"/>
      <c r="W953" s="2"/>
      <c r="X953" s="30"/>
      <c r="Y953" s="30"/>
      <c r="Z953" s="32"/>
      <c r="AA953" s="32"/>
      <c r="AB953" s="32"/>
      <c r="AC953" s="32"/>
      <c r="AD953" s="32"/>
      <c r="AE953" s="32"/>
      <c r="AF953" s="32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</row>
    <row r="954" spans="1:50" x14ac:dyDescent="0.25">
      <c r="A954">
        <v>4169</v>
      </c>
      <c r="B954">
        <v>7</v>
      </c>
      <c r="C954" t="s">
        <v>1080</v>
      </c>
      <c r="D954">
        <v>10</v>
      </c>
      <c r="E954" t="s">
        <v>1080</v>
      </c>
      <c r="F954" s="1">
        <v>0</v>
      </c>
      <c r="G954" s="30">
        <v>0.25454545454545452</v>
      </c>
      <c r="H954" s="30">
        <v>0.83333333333333337</v>
      </c>
      <c r="I954" s="37">
        <v>134.91</v>
      </c>
      <c r="J954" s="37">
        <v>441.67</v>
      </c>
      <c r="K954" s="32">
        <v>16</v>
      </c>
      <c r="L954" s="32">
        <v>26</v>
      </c>
      <c r="M954" s="32">
        <v>2158.56</v>
      </c>
      <c r="N954" s="32">
        <v>11483.42</v>
      </c>
      <c r="O954" s="32">
        <v>13641.98</v>
      </c>
      <c r="P954" s="32">
        <f t="shared" si="14"/>
        <v>13038.73</v>
      </c>
      <c r="Q954" s="32"/>
      <c r="R954" s="32"/>
      <c r="W954" s="2"/>
      <c r="X954" s="30"/>
      <c r="Y954" s="30"/>
      <c r="Z954" s="32"/>
      <c r="AA954" s="32"/>
      <c r="AB954" s="32"/>
      <c r="AC954" s="32"/>
      <c r="AD954" s="32"/>
      <c r="AE954" s="32"/>
      <c r="AF954" s="32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</row>
    <row r="955" spans="1:50" x14ac:dyDescent="0.25">
      <c r="A955">
        <v>4170</v>
      </c>
      <c r="B955">
        <v>7</v>
      </c>
      <c r="C955" t="s">
        <v>1081</v>
      </c>
      <c r="D955">
        <v>10</v>
      </c>
      <c r="E955" t="s">
        <v>1081</v>
      </c>
      <c r="F955" s="1">
        <v>0</v>
      </c>
      <c r="G955" s="30">
        <v>0.64893617021276595</v>
      </c>
      <c r="H955" s="30">
        <v>0.71818181818181814</v>
      </c>
      <c r="I955" s="37">
        <v>343.94</v>
      </c>
      <c r="J955" s="37">
        <v>380.64</v>
      </c>
      <c r="K955" s="32">
        <v>71</v>
      </c>
      <c r="L955" s="32">
        <v>78</v>
      </c>
      <c r="M955" s="32">
        <v>24419.74</v>
      </c>
      <c r="N955" s="32">
        <v>29689.919999999998</v>
      </c>
      <c r="O955" s="32">
        <v>54109.66</v>
      </c>
      <c r="P955" s="32">
        <f t="shared" si="14"/>
        <v>51716.92</v>
      </c>
      <c r="Q955" s="32"/>
      <c r="R955" s="32"/>
      <c r="W955" s="2"/>
      <c r="X955" s="30"/>
      <c r="Y955" s="30"/>
      <c r="Z955" s="32"/>
      <c r="AA955" s="32"/>
      <c r="AB955" s="32"/>
      <c r="AC955" s="32"/>
      <c r="AD955" s="32"/>
      <c r="AE955" s="32"/>
      <c r="AF955" s="32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</row>
    <row r="956" spans="1:50" x14ac:dyDescent="0.25">
      <c r="A956">
        <v>4171</v>
      </c>
      <c r="B956">
        <v>7</v>
      </c>
      <c r="C956" t="s">
        <v>1082</v>
      </c>
      <c r="D956">
        <v>10</v>
      </c>
      <c r="E956" t="s">
        <v>1082</v>
      </c>
      <c r="F956" s="1">
        <v>0</v>
      </c>
      <c r="G956" s="30">
        <v>0.52571428571428569</v>
      </c>
      <c r="H956" s="30">
        <v>0.75539568345323738</v>
      </c>
      <c r="I956" s="37">
        <v>278.63</v>
      </c>
      <c r="J956" s="37">
        <v>400.36</v>
      </c>
      <c r="K956" s="32">
        <v>60</v>
      </c>
      <c r="L956" s="32">
        <v>66</v>
      </c>
      <c r="M956" s="32">
        <v>16717.8</v>
      </c>
      <c r="N956" s="32">
        <v>26423.759999999998</v>
      </c>
      <c r="O956" s="32">
        <v>43141.56</v>
      </c>
      <c r="P956" s="32">
        <f t="shared" si="14"/>
        <v>41233.83</v>
      </c>
      <c r="Q956" s="32"/>
      <c r="R956" s="32"/>
      <c r="W956" s="2"/>
      <c r="X956" s="30"/>
      <c r="Y956" s="30"/>
      <c r="Z956" s="32"/>
      <c r="AA956" s="32"/>
      <c r="AB956" s="32"/>
      <c r="AC956" s="32"/>
      <c r="AD956" s="32"/>
      <c r="AE956" s="32"/>
      <c r="AF956" s="32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</row>
    <row r="957" spans="1:50" x14ac:dyDescent="0.25">
      <c r="A957">
        <v>4172</v>
      </c>
      <c r="B957">
        <v>7</v>
      </c>
      <c r="C957" t="s">
        <v>1282</v>
      </c>
      <c r="D957">
        <v>10</v>
      </c>
      <c r="E957" t="s">
        <v>1282</v>
      </c>
      <c r="F957" s="1">
        <v>1</v>
      </c>
      <c r="G957" s="30" t="s">
        <v>1328</v>
      </c>
      <c r="H957" s="30" t="s">
        <v>1328</v>
      </c>
      <c r="I957" s="37" t="s">
        <v>1328</v>
      </c>
      <c r="J957" s="37" t="s">
        <v>1328</v>
      </c>
      <c r="K957" s="32">
        <v>10</v>
      </c>
      <c r="L957" s="32">
        <v>7</v>
      </c>
      <c r="M957" s="32" t="s">
        <v>1328</v>
      </c>
      <c r="N957" s="32" t="s">
        <v>1328</v>
      </c>
      <c r="O957" s="32">
        <v>7244.37</v>
      </c>
      <c r="P957" s="32">
        <f t="shared" si="14"/>
        <v>6924.02</v>
      </c>
      <c r="Q957" s="32"/>
      <c r="R957" s="32"/>
      <c r="W957" s="2"/>
      <c r="X957" s="30"/>
      <c r="Y957" s="30"/>
      <c r="Z957" s="32"/>
      <c r="AA957" s="32"/>
      <c r="AB957" s="32"/>
      <c r="AC957" s="32"/>
      <c r="AD957" s="32"/>
      <c r="AE957" s="32"/>
      <c r="AF957" s="32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</row>
    <row r="958" spans="1:50" x14ac:dyDescent="0.25">
      <c r="A958">
        <v>4174</v>
      </c>
      <c r="B958">
        <v>7</v>
      </c>
      <c r="C958" t="s">
        <v>1283</v>
      </c>
      <c r="D958">
        <v>10</v>
      </c>
      <c r="E958" t="s">
        <v>1283</v>
      </c>
      <c r="F958" s="1">
        <v>1</v>
      </c>
      <c r="G958" s="30" t="s">
        <v>1328</v>
      </c>
      <c r="H958" s="30" t="s">
        <v>1328</v>
      </c>
      <c r="I958" s="37" t="s">
        <v>1328</v>
      </c>
      <c r="J958" s="37" t="s">
        <v>1328</v>
      </c>
      <c r="K958" s="32">
        <v>3</v>
      </c>
      <c r="L958" s="32">
        <v>1</v>
      </c>
      <c r="M958" s="32" t="s">
        <v>1328</v>
      </c>
      <c r="N958" s="32" t="s">
        <v>1328</v>
      </c>
      <c r="O958" s="32">
        <v>0</v>
      </c>
      <c r="P958" s="32">
        <f t="shared" si="14"/>
        <v>0</v>
      </c>
      <c r="Q958" s="32"/>
      <c r="R958" s="32"/>
      <c r="W958" s="2"/>
      <c r="X958" s="30"/>
      <c r="Y958" s="30"/>
      <c r="Z958" s="32"/>
      <c r="AA958" s="32"/>
      <c r="AB958" s="32"/>
      <c r="AC958" s="32"/>
      <c r="AD958" s="32"/>
      <c r="AE958" s="32"/>
      <c r="AF958" s="32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</row>
    <row r="959" spans="1:50" x14ac:dyDescent="0.25">
      <c r="A959">
        <v>4177</v>
      </c>
      <c r="B959">
        <v>7</v>
      </c>
      <c r="C959" t="s">
        <v>1284</v>
      </c>
      <c r="D959">
        <v>10</v>
      </c>
      <c r="E959" t="s">
        <v>1284</v>
      </c>
      <c r="F959" s="1">
        <v>1</v>
      </c>
      <c r="G959" s="30" t="s">
        <v>1328</v>
      </c>
      <c r="H959" s="30" t="s">
        <v>1328</v>
      </c>
      <c r="I959" s="37" t="s">
        <v>1328</v>
      </c>
      <c r="J959" s="37" t="s">
        <v>1328</v>
      </c>
      <c r="K959" s="1">
        <v>2</v>
      </c>
      <c r="L959" s="1">
        <v>3</v>
      </c>
      <c r="M959" s="1" t="s">
        <v>1328</v>
      </c>
      <c r="N959" s="1" t="s">
        <v>1328</v>
      </c>
      <c r="O959" s="1">
        <v>1489.05</v>
      </c>
      <c r="P959" s="32">
        <f t="shared" si="14"/>
        <v>1423.2</v>
      </c>
      <c r="Q959" s="32"/>
      <c r="R959" s="32"/>
      <c r="W959" s="2"/>
      <c r="X959" s="30"/>
      <c r="Y959" s="30"/>
      <c r="Z959" s="32"/>
      <c r="AA959" s="32"/>
      <c r="AB959" s="32"/>
      <c r="AC959" s="32"/>
      <c r="AD959" s="32"/>
      <c r="AE959" s="32"/>
      <c r="AF959" s="32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</row>
    <row r="960" spans="1:50" x14ac:dyDescent="0.25">
      <c r="A960">
        <v>4180</v>
      </c>
      <c r="B960">
        <v>7</v>
      </c>
      <c r="C960" t="s">
        <v>1083</v>
      </c>
      <c r="D960">
        <v>10</v>
      </c>
      <c r="E960" t="s">
        <v>1083</v>
      </c>
      <c r="F960" s="1">
        <v>0</v>
      </c>
      <c r="G960" s="30">
        <v>0.31914893617021278</v>
      </c>
      <c r="H960" s="30">
        <v>0.75</v>
      </c>
      <c r="I960" s="37">
        <v>169.15</v>
      </c>
      <c r="J960" s="37">
        <v>397.5</v>
      </c>
      <c r="K960" s="1">
        <v>43</v>
      </c>
      <c r="L960" s="1">
        <v>39</v>
      </c>
      <c r="M960" s="1">
        <v>7273.45</v>
      </c>
      <c r="N960" s="1">
        <v>15502.5</v>
      </c>
      <c r="O960" s="1">
        <v>22775.95</v>
      </c>
      <c r="P960" s="32">
        <f t="shared" si="14"/>
        <v>21768.79</v>
      </c>
      <c r="Q960" s="32"/>
      <c r="R960" s="32"/>
      <c r="W960" s="2"/>
      <c r="X960" s="30"/>
      <c r="Y960" s="30"/>
      <c r="Z960" s="32"/>
      <c r="AA960" s="32"/>
      <c r="AB960" s="32"/>
      <c r="AC960" s="32"/>
      <c r="AD960" s="32"/>
      <c r="AE960" s="32"/>
      <c r="AF960" s="32"/>
    </row>
    <row r="961" spans="1:32" x14ac:dyDescent="0.25">
      <c r="A961">
        <v>4181</v>
      </c>
      <c r="B961">
        <v>7</v>
      </c>
      <c r="C961" t="s">
        <v>1084</v>
      </c>
      <c r="D961">
        <v>10</v>
      </c>
      <c r="E961" t="s">
        <v>1084</v>
      </c>
      <c r="F961" s="1">
        <v>0</v>
      </c>
      <c r="G961" s="30">
        <v>0.25203252032520324</v>
      </c>
      <c r="H961" s="30">
        <v>0.79679144385026734</v>
      </c>
      <c r="I961" s="37">
        <v>133.58000000000001</v>
      </c>
      <c r="J961" s="37">
        <v>422.3</v>
      </c>
      <c r="K961" s="1">
        <v>104</v>
      </c>
      <c r="L961" s="1">
        <v>106</v>
      </c>
      <c r="M961" s="1">
        <v>13892.32</v>
      </c>
      <c r="N961" s="1">
        <v>44763.8</v>
      </c>
      <c r="O961" s="1">
        <v>58656.12</v>
      </c>
      <c r="P961" s="32">
        <f t="shared" si="14"/>
        <v>56062.33</v>
      </c>
      <c r="Q961" s="32"/>
      <c r="R961" s="32"/>
      <c r="W961" s="2"/>
      <c r="X961" s="30"/>
      <c r="Y961" s="30"/>
      <c r="Z961" s="32"/>
      <c r="AA961" s="32"/>
      <c r="AB961" s="32"/>
      <c r="AC961" s="32"/>
      <c r="AD961" s="32"/>
      <c r="AE961" s="32"/>
      <c r="AF961" s="32"/>
    </row>
    <row r="962" spans="1:32" x14ac:dyDescent="0.25">
      <c r="A962">
        <v>4184</v>
      </c>
      <c r="B962">
        <v>7</v>
      </c>
      <c r="C962" t="s">
        <v>1085</v>
      </c>
      <c r="D962">
        <v>10</v>
      </c>
      <c r="E962" t="s">
        <v>1085</v>
      </c>
      <c r="F962" s="1">
        <v>0</v>
      </c>
      <c r="G962" s="30">
        <v>0.94573643410852715</v>
      </c>
      <c r="H962" s="30">
        <v>0.78947368421052633</v>
      </c>
      <c r="I962" s="37">
        <v>501.24</v>
      </c>
      <c r="J962" s="37">
        <v>418.42</v>
      </c>
      <c r="K962" s="1">
        <v>44</v>
      </c>
      <c r="L962" s="1">
        <v>43</v>
      </c>
      <c r="M962" s="1">
        <v>22054.560000000001</v>
      </c>
      <c r="N962" s="1">
        <v>17992.060000000001</v>
      </c>
      <c r="O962" s="1">
        <v>40046.620000000003</v>
      </c>
      <c r="P962" s="32">
        <f t="shared" si="14"/>
        <v>38275.75</v>
      </c>
      <c r="Q962" s="32"/>
      <c r="R962" s="32"/>
      <c r="W962" s="2"/>
      <c r="X962" s="30"/>
      <c r="Y962" s="30"/>
      <c r="Z962" s="32"/>
      <c r="AA962" s="32"/>
      <c r="AB962" s="32"/>
      <c r="AC962" s="32"/>
      <c r="AD962" s="32"/>
      <c r="AE962" s="32"/>
      <c r="AF962" s="32"/>
    </row>
    <row r="963" spans="1:32" x14ac:dyDescent="0.25">
      <c r="A963">
        <v>4185</v>
      </c>
      <c r="B963">
        <v>7</v>
      </c>
      <c r="C963" t="s">
        <v>1086</v>
      </c>
      <c r="D963">
        <v>10</v>
      </c>
      <c r="E963" t="s">
        <v>1086</v>
      </c>
      <c r="F963" s="1">
        <v>0</v>
      </c>
      <c r="G963" s="30">
        <v>0.90551181102362199</v>
      </c>
      <c r="H963" s="30">
        <v>0.79646017699115046</v>
      </c>
      <c r="I963" s="37">
        <v>479.92</v>
      </c>
      <c r="J963" s="37">
        <v>422.12</v>
      </c>
      <c r="K963" s="1">
        <v>52</v>
      </c>
      <c r="L963" s="1">
        <v>52</v>
      </c>
      <c r="M963" s="1">
        <v>24955.84</v>
      </c>
      <c r="N963" s="1">
        <v>21950.240000000002</v>
      </c>
      <c r="O963" s="1">
        <v>46906.080000000002</v>
      </c>
      <c r="P963" s="32">
        <f t="shared" si="14"/>
        <v>44831.88</v>
      </c>
      <c r="Q963" s="32"/>
      <c r="R963" s="32"/>
      <c r="W963" s="2"/>
      <c r="X963" s="30"/>
      <c r="Y963" s="30"/>
      <c r="Z963" s="32"/>
      <c r="AA963" s="32"/>
      <c r="AB963" s="32"/>
      <c r="AC963" s="32"/>
      <c r="AD963" s="32"/>
      <c r="AE963" s="32"/>
      <c r="AF963" s="32"/>
    </row>
    <row r="964" spans="1:32" x14ac:dyDescent="0.25">
      <c r="A964">
        <v>4186</v>
      </c>
      <c r="B964">
        <v>7</v>
      </c>
      <c r="C964" t="s">
        <v>1087</v>
      </c>
      <c r="D964">
        <v>10</v>
      </c>
      <c r="E964" t="s">
        <v>1087</v>
      </c>
      <c r="F964" s="1">
        <v>0</v>
      </c>
      <c r="G964" s="30">
        <v>0.74647887323943662</v>
      </c>
      <c r="H964" s="30">
        <v>0.8303571428571429</v>
      </c>
      <c r="I964" s="37">
        <v>395.63</v>
      </c>
      <c r="J964" s="37">
        <v>440.09</v>
      </c>
      <c r="K964" s="1">
        <v>58</v>
      </c>
      <c r="L964" s="1">
        <v>48</v>
      </c>
      <c r="M964" s="1">
        <v>22946.54</v>
      </c>
      <c r="N964" s="1">
        <v>21124.32</v>
      </c>
      <c r="O964" s="1">
        <v>44070.86</v>
      </c>
      <c r="P964" s="32">
        <f t="shared" si="14"/>
        <v>42122.04</v>
      </c>
      <c r="Q964" s="32"/>
      <c r="R964" s="32"/>
      <c r="W964" s="2"/>
      <c r="X964" s="30"/>
      <c r="Y964" s="30"/>
      <c r="Z964" s="32"/>
      <c r="AA964" s="32"/>
      <c r="AB964" s="32"/>
      <c r="AC964" s="32"/>
      <c r="AD964" s="32"/>
      <c r="AE964" s="32"/>
      <c r="AF964" s="32"/>
    </row>
    <row r="965" spans="1:32" x14ac:dyDescent="0.25">
      <c r="A965">
        <v>4187</v>
      </c>
      <c r="B965">
        <v>7</v>
      </c>
      <c r="C965" t="s">
        <v>1285</v>
      </c>
      <c r="D965">
        <v>10</v>
      </c>
      <c r="E965" t="s">
        <v>1285</v>
      </c>
      <c r="F965" s="1">
        <v>1</v>
      </c>
      <c r="G965" s="30" t="s">
        <v>1328</v>
      </c>
      <c r="H965" s="30" t="s">
        <v>1328</v>
      </c>
      <c r="I965" s="37" t="s">
        <v>1328</v>
      </c>
      <c r="J965" s="37" t="s">
        <v>1328</v>
      </c>
      <c r="K965" s="1">
        <v>8</v>
      </c>
      <c r="L965" s="1">
        <v>13</v>
      </c>
      <c r="M965" s="1" t="s">
        <v>1328</v>
      </c>
      <c r="N965" s="1" t="s">
        <v>1328</v>
      </c>
      <c r="O965" s="1">
        <v>8424.06</v>
      </c>
      <c r="P965" s="32">
        <f t="shared" si="14"/>
        <v>8051.55</v>
      </c>
      <c r="Q965" s="32"/>
      <c r="R965" s="32"/>
      <c r="W965" s="2"/>
      <c r="X965" s="30"/>
      <c r="Y965" s="30"/>
      <c r="Z965" s="32"/>
      <c r="AA965" s="32"/>
      <c r="AB965" s="32"/>
      <c r="AC965" s="32"/>
      <c r="AD965" s="32"/>
      <c r="AE965" s="32"/>
      <c r="AF965" s="32"/>
    </row>
    <row r="966" spans="1:32" x14ac:dyDescent="0.25">
      <c r="A966">
        <v>4188</v>
      </c>
      <c r="B966">
        <v>7</v>
      </c>
      <c r="C966" t="s">
        <v>1088</v>
      </c>
      <c r="D966">
        <v>10</v>
      </c>
      <c r="E966" t="s">
        <v>1088</v>
      </c>
      <c r="F966" s="1">
        <v>0</v>
      </c>
      <c r="G966" s="30">
        <v>0.88172043010752688</v>
      </c>
      <c r="H966" s="30">
        <v>0.74193548387096775</v>
      </c>
      <c r="I966" s="37">
        <v>467.31</v>
      </c>
      <c r="J966" s="37">
        <v>393.23</v>
      </c>
      <c r="K966" s="1">
        <v>48</v>
      </c>
      <c r="L966" s="1">
        <v>23</v>
      </c>
      <c r="M966" s="1">
        <v>22430.880000000001</v>
      </c>
      <c r="N966" s="1">
        <v>9044.2900000000009</v>
      </c>
      <c r="O966" s="1">
        <v>31475.170000000002</v>
      </c>
      <c r="P966" s="32">
        <f t="shared" si="14"/>
        <v>30083.33</v>
      </c>
      <c r="Q966" s="32"/>
      <c r="R966" s="32"/>
      <c r="W966" s="2"/>
      <c r="X966" s="30"/>
      <c r="Y966" s="30"/>
      <c r="Z966" s="32"/>
      <c r="AA966" s="32"/>
      <c r="AB966" s="32"/>
      <c r="AC966" s="32"/>
      <c r="AD966" s="32"/>
      <c r="AE966" s="32"/>
      <c r="AF966" s="32"/>
    </row>
    <row r="967" spans="1:32" x14ac:dyDescent="0.25">
      <c r="A967">
        <v>4189</v>
      </c>
      <c r="B967">
        <v>7</v>
      </c>
      <c r="C967" t="s">
        <v>1286</v>
      </c>
      <c r="D967">
        <v>10</v>
      </c>
      <c r="E967" t="s">
        <v>1286</v>
      </c>
      <c r="F967" s="1">
        <v>0</v>
      </c>
      <c r="G967" s="30">
        <v>0.6</v>
      </c>
      <c r="H967" s="30">
        <v>0.70588235294117652</v>
      </c>
      <c r="I967" s="37">
        <v>318</v>
      </c>
      <c r="J967" s="37">
        <v>374.12</v>
      </c>
      <c r="K967" s="1">
        <v>19</v>
      </c>
      <c r="L967" s="1">
        <v>15</v>
      </c>
      <c r="M967" s="1">
        <v>6042</v>
      </c>
      <c r="N967" s="1">
        <v>5611.8</v>
      </c>
      <c r="O967" s="1">
        <v>11653.8</v>
      </c>
      <c r="P967" s="32">
        <f t="shared" si="14"/>
        <v>11138.47</v>
      </c>
      <c r="Q967" s="32"/>
      <c r="R967" s="32"/>
      <c r="W967" s="2"/>
      <c r="X967" s="30"/>
      <c r="Y967" s="30"/>
      <c r="Z967" s="32"/>
      <c r="AA967" s="32"/>
      <c r="AB967" s="32"/>
      <c r="AC967" s="32"/>
      <c r="AD967" s="32"/>
      <c r="AE967" s="32"/>
      <c r="AF967" s="32"/>
    </row>
    <row r="968" spans="1:32" x14ac:dyDescent="0.25">
      <c r="A968">
        <v>4192</v>
      </c>
      <c r="B968">
        <v>7</v>
      </c>
      <c r="C968" t="s">
        <v>1089</v>
      </c>
      <c r="D968">
        <v>10</v>
      </c>
      <c r="E968" t="s">
        <v>1089</v>
      </c>
      <c r="F968" s="1">
        <v>0</v>
      </c>
      <c r="G968" s="30">
        <v>0.69753086419753085</v>
      </c>
      <c r="H968" s="30">
        <v>0.9263157894736842</v>
      </c>
      <c r="I968" s="37">
        <v>369.69</v>
      </c>
      <c r="J968" s="37">
        <v>490.95</v>
      </c>
      <c r="K968" s="1">
        <v>65</v>
      </c>
      <c r="L968" s="1">
        <v>61</v>
      </c>
      <c r="M968" s="1">
        <v>24029.85</v>
      </c>
      <c r="N968" s="1">
        <v>29947.95</v>
      </c>
      <c r="O968" s="1">
        <v>53977.8</v>
      </c>
      <c r="P968" s="32">
        <f t="shared" si="14"/>
        <v>51590.89</v>
      </c>
      <c r="Q968" s="32"/>
      <c r="R968" s="32"/>
      <c r="W968" s="2"/>
      <c r="X968" s="30"/>
      <c r="Y968" s="30"/>
      <c r="Z968" s="32"/>
      <c r="AA968" s="32"/>
      <c r="AB968" s="32"/>
      <c r="AC968" s="32"/>
      <c r="AD968" s="32"/>
      <c r="AE968" s="32"/>
      <c r="AF968" s="32"/>
    </row>
    <row r="969" spans="1:32" x14ac:dyDescent="0.25">
      <c r="A969">
        <v>4193</v>
      </c>
      <c r="B969">
        <v>7</v>
      </c>
      <c r="C969" t="s">
        <v>1090</v>
      </c>
      <c r="D969">
        <v>10</v>
      </c>
      <c r="E969" t="s">
        <v>1090</v>
      </c>
      <c r="F969" s="1">
        <v>0</v>
      </c>
      <c r="G969" s="30">
        <v>0.32432432432432434</v>
      </c>
      <c r="H969" s="30">
        <v>0.80645161290322576</v>
      </c>
      <c r="I969" s="37">
        <v>171.89</v>
      </c>
      <c r="J969" s="37">
        <v>427.42</v>
      </c>
      <c r="K969" s="1">
        <v>28</v>
      </c>
      <c r="L969" s="1">
        <v>23</v>
      </c>
      <c r="M969" s="1">
        <v>4812.92</v>
      </c>
      <c r="N969" s="1">
        <v>9830.66</v>
      </c>
      <c r="O969" s="1">
        <v>14643.58</v>
      </c>
      <c r="P969" s="32">
        <f t="shared" si="14"/>
        <v>13996.04</v>
      </c>
      <c r="Q969" s="32"/>
      <c r="R969" s="32"/>
      <c r="W969" s="2"/>
      <c r="X969" s="30"/>
      <c r="Y969" s="30"/>
      <c r="Z969" s="32"/>
      <c r="AA969" s="32"/>
      <c r="AB969" s="32"/>
      <c r="AC969" s="32"/>
      <c r="AD969" s="32"/>
      <c r="AE969" s="32"/>
      <c r="AF969" s="32"/>
    </row>
    <row r="970" spans="1:32" x14ac:dyDescent="0.25">
      <c r="A970">
        <v>4194</v>
      </c>
      <c r="B970">
        <v>7</v>
      </c>
      <c r="C970" t="s">
        <v>1091</v>
      </c>
      <c r="D970">
        <v>10</v>
      </c>
      <c r="E970" t="s">
        <v>1091</v>
      </c>
      <c r="F970" s="1">
        <v>0</v>
      </c>
      <c r="G970" s="30">
        <v>0.91666666666666663</v>
      </c>
      <c r="H970" s="30">
        <v>0.7678571428571429</v>
      </c>
      <c r="I970" s="37">
        <v>485.83</v>
      </c>
      <c r="J970" s="37">
        <v>406.96</v>
      </c>
      <c r="K970" s="1">
        <v>20</v>
      </c>
      <c r="L970" s="1">
        <v>22</v>
      </c>
      <c r="M970" s="1">
        <v>9716.6</v>
      </c>
      <c r="N970" s="1">
        <v>8953.1200000000008</v>
      </c>
      <c r="O970" s="1">
        <v>18669.72</v>
      </c>
      <c r="P970" s="32">
        <f t="shared" si="14"/>
        <v>17844.14</v>
      </c>
      <c r="Q970" s="32"/>
      <c r="R970" s="32"/>
      <c r="W970" s="2"/>
      <c r="X970" s="30"/>
      <c r="Y970" s="30"/>
      <c r="Z970" s="32"/>
      <c r="AA970" s="32"/>
      <c r="AB970" s="32"/>
      <c r="AC970" s="32"/>
      <c r="AD970" s="32"/>
      <c r="AE970" s="32"/>
      <c r="AF970" s="32"/>
    </row>
    <row r="971" spans="1:32" x14ac:dyDescent="0.25">
      <c r="A971">
        <v>4195</v>
      </c>
      <c r="B971">
        <v>7</v>
      </c>
      <c r="C971" t="s">
        <v>1287</v>
      </c>
      <c r="D971">
        <v>10</v>
      </c>
      <c r="E971" t="s">
        <v>1287</v>
      </c>
      <c r="F971" s="1">
        <v>1</v>
      </c>
      <c r="G971" s="30" t="s">
        <v>1328</v>
      </c>
      <c r="H971" s="30" t="s">
        <v>1328</v>
      </c>
      <c r="I971" s="37" t="s">
        <v>1328</v>
      </c>
      <c r="J971" s="37" t="s">
        <v>1328</v>
      </c>
      <c r="K971" s="1">
        <v>6</v>
      </c>
      <c r="L971" s="1">
        <v>8</v>
      </c>
      <c r="M971" s="1" t="s">
        <v>1328</v>
      </c>
      <c r="N971" s="1" t="s">
        <v>1328</v>
      </c>
      <c r="O971" s="1">
        <v>3221.2999999999997</v>
      </c>
      <c r="P971" s="32">
        <f t="shared" si="14"/>
        <v>3078.85</v>
      </c>
      <c r="Q971" s="32"/>
      <c r="R971" s="32"/>
      <c r="W971" s="2"/>
      <c r="X971" s="30"/>
      <c r="Y971" s="30"/>
      <c r="Z971" s="32"/>
      <c r="AA971" s="32"/>
      <c r="AB971" s="32"/>
      <c r="AC971" s="32"/>
      <c r="AD971" s="32"/>
      <c r="AE971" s="32"/>
      <c r="AF971" s="32"/>
    </row>
    <row r="972" spans="1:32" x14ac:dyDescent="0.25">
      <c r="A972">
        <v>4198</v>
      </c>
      <c r="B972">
        <v>7</v>
      </c>
      <c r="C972" t="s">
        <v>1302</v>
      </c>
      <c r="D972">
        <v>10</v>
      </c>
      <c r="E972" t="s">
        <v>1302</v>
      </c>
      <c r="F972" s="1">
        <v>0</v>
      </c>
      <c r="G972" s="30">
        <v>0.72222222222222221</v>
      </c>
      <c r="H972" s="30">
        <v>9.0909090909090912E-2</v>
      </c>
      <c r="I972" s="37">
        <v>382.78</v>
      </c>
      <c r="J972" s="37">
        <v>48.18</v>
      </c>
      <c r="K972" s="1">
        <v>19</v>
      </c>
      <c r="L972" s="1">
        <v>17</v>
      </c>
      <c r="M972" s="1">
        <v>7272.82</v>
      </c>
      <c r="N972" s="1">
        <v>819.06</v>
      </c>
      <c r="O972" s="1">
        <v>8091.8799999999992</v>
      </c>
      <c r="P972" s="32">
        <f t="shared" si="14"/>
        <v>7734.06</v>
      </c>
      <c r="Q972" s="32"/>
      <c r="R972" s="32"/>
      <c r="W972" s="2"/>
      <c r="X972" s="30"/>
      <c r="Y972" s="30"/>
      <c r="Z972" s="32"/>
      <c r="AA972" s="32"/>
      <c r="AB972" s="32"/>
      <c r="AC972" s="32"/>
      <c r="AD972" s="32"/>
      <c r="AE972" s="32"/>
      <c r="AF972" s="32"/>
    </row>
    <row r="973" spans="1:32" x14ac:dyDescent="0.25">
      <c r="A973">
        <v>4199</v>
      </c>
      <c r="B973">
        <v>7</v>
      </c>
      <c r="C973" t="s">
        <v>1303</v>
      </c>
      <c r="D973">
        <v>10</v>
      </c>
      <c r="E973" t="s">
        <v>1303</v>
      </c>
      <c r="F973" s="1">
        <v>0</v>
      </c>
      <c r="G973" s="30">
        <v>0.8214285714285714</v>
      </c>
      <c r="H973" s="30">
        <v>0.80952380952380953</v>
      </c>
      <c r="I973" s="37">
        <v>435.36</v>
      </c>
      <c r="J973" s="37">
        <v>429.05</v>
      </c>
      <c r="K973" s="1">
        <v>55</v>
      </c>
      <c r="L973" s="1">
        <v>29</v>
      </c>
      <c r="M973" s="1">
        <v>23944.799999999999</v>
      </c>
      <c r="N973" s="1">
        <v>12442.45</v>
      </c>
      <c r="O973" s="1">
        <v>36387.25</v>
      </c>
      <c r="P973" s="32">
        <f t="shared" si="14"/>
        <v>34778.199999999997</v>
      </c>
      <c r="Q973" s="32"/>
      <c r="R973" s="32"/>
      <c r="W973" s="2"/>
      <c r="X973" s="30"/>
      <c r="Y973" s="30"/>
      <c r="Z973" s="32"/>
      <c r="AA973" s="32"/>
      <c r="AB973" s="32"/>
      <c r="AC973" s="32"/>
      <c r="AD973" s="32"/>
      <c r="AE973" s="32"/>
      <c r="AF973" s="32"/>
    </row>
    <row r="974" spans="1:32" x14ac:dyDescent="0.25">
      <c r="A974">
        <v>4202</v>
      </c>
      <c r="B974">
        <v>7</v>
      </c>
      <c r="C974" t="s">
        <v>1304</v>
      </c>
      <c r="D974">
        <v>10</v>
      </c>
      <c r="E974" t="s">
        <v>1304</v>
      </c>
      <c r="F974" s="1">
        <v>0</v>
      </c>
      <c r="G974" s="30">
        <v>0.4</v>
      </c>
      <c r="H974" s="30">
        <v>0.83333333333333337</v>
      </c>
      <c r="I974" s="37">
        <v>212</v>
      </c>
      <c r="J974" s="37">
        <v>441.67</v>
      </c>
      <c r="K974" s="32">
        <v>37</v>
      </c>
      <c r="L974" s="32">
        <v>28</v>
      </c>
      <c r="M974" s="32">
        <v>7844</v>
      </c>
      <c r="N974" s="32">
        <v>12366.76</v>
      </c>
      <c r="O974" s="32">
        <v>20210.760000000002</v>
      </c>
      <c r="P974" s="32">
        <f t="shared" si="14"/>
        <v>19317.04</v>
      </c>
      <c r="Q974" s="32"/>
      <c r="R974" s="32"/>
      <c r="W974" s="2"/>
      <c r="X974" s="30"/>
      <c r="Y974" s="30"/>
      <c r="Z974" s="32"/>
      <c r="AA974" s="32"/>
      <c r="AB974" s="32"/>
      <c r="AC974" s="32"/>
      <c r="AD974" s="32"/>
      <c r="AE974" s="32"/>
      <c r="AF974" s="32"/>
    </row>
    <row r="976" spans="1:32" x14ac:dyDescent="0.25">
      <c r="A976" t="s">
        <v>1375</v>
      </c>
    </row>
    <row r="978" spans="1:32" x14ac:dyDescent="0.25">
      <c r="A978">
        <v>4197</v>
      </c>
      <c r="B978">
        <v>7</v>
      </c>
      <c r="C978" t="s">
        <v>1288</v>
      </c>
      <c r="D978">
        <v>10</v>
      </c>
      <c r="E978" t="s">
        <v>1288</v>
      </c>
      <c r="F978" s="1">
        <v>0</v>
      </c>
      <c r="G978" s="30">
        <v>0.1875</v>
      </c>
      <c r="H978" s="30">
        <v>0.44444444444444442</v>
      </c>
      <c r="I978" s="37">
        <v>99.38</v>
      </c>
      <c r="J978" s="37">
        <v>235.56</v>
      </c>
      <c r="K978" s="1">
        <v>17</v>
      </c>
      <c r="L978" s="1">
        <v>14</v>
      </c>
      <c r="M978" s="1">
        <v>1689.46</v>
      </c>
      <c r="N978" s="1">
        <v>3297.84</v>
      </c>
      <c r="O978" s="1">
        <v>4987.3</v>
      </c>
      <c r="P978" s="32">
        <f>ROUND(O978*P$11,2)</f>
        <v>4766.76</v>
      </c>
      <c r="Q978" s="32"/>
      <c r="R978" s="32"/>
      <c r="W978" s="2"/>
      <c r="X978" s="30"/>
      <c r="Y978" s="30"/>
      <c r="Z978" s="32"/>
      <c r="AA978" s="32"/>
      <c r="AB978" s="32"/>
      <c r="AC978" s="32"/>
      <c r="AD978" s="32"/>
      <c r="AE978" s="32"/>
      <c r="AF978" s="32"/>
    </row>
  </sheetData>
  <autoFilter ref="A14:A974"/>
  <sortState ref="A12:O956">
    <sortCondition ref="A12:A956"/>
    <sortCondition ref="D12:D956"/>
  </sortState>
  <printOptions gridLines="1"/>
  <pageMargins left="0.75" right="0.7" top="0.5" bottom="0.5" header="0.3" footer="0.3"/>
  <pageSetup scale="70" fitToHeight="2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977"/>
  <sheetViews>
    <sheetView zoomScale="75" zoomScaleNormal="75" workbookViewId="0">
      <pane xSplit="5" ySplit="13" topLeftCell="F14" activePane="bottomRight" state="frozen"/>
      <selection pane="topRight" activeCell="F1" sqref="F1"/>
      <selection pane="bottomLeft" activeCell="A13" sqref="A13"/>
      <selection pane="bottomRight" activeCell="F14" sqref="F14"/>
    </sheetView>
  </sheetViews>
  <sheetFormatPr defaultRowHeight="15" x14ac:dyDescent="0.25"/>
  <cols>
    <col min="1" max="1" width="12.7109375" customWidth="1"/>
    <col min="3" max="3" width="4.7109375" customWidth="1"/>
    <col min="7" max="21" width="10.7109375" customWidth="1"/>
    <col min="22" max="23" width="12.7109375" customWidth="1"/>
    <col min="24" max="25" width="14.7109375" customWidth="1"/>
    <col min="26" max="26" width="14.7109375" style="2" customWidth="1"/>
    <col min="27" max="27" width="14.7109375" customWidth="1"/>
    <col min="28" max="29" width="10.7109375" customWidth="1"/>
    <col min="31" max="31" width="3.7109375" customWidth="1"/>
    <col min="34" max="34" width="14.140625" customWidth="1"/>
  </cols>
  <sheetData>
    <row r="1" spans="1:35" x14ac:dyDescent="0.25">
      <c r="A1" t="s">
        <v>1321</v>
      </c>
      <c r="G1" t="s">
        <v>1373</v>
      </c>
    </row>
    <row r="2" spans="1:35" x14ac:dyDescent="0.25">
      <c r="G2" t="s">
        <v>1330</v>
      </c>
    </row>
    <row r="3" spans="1:35" x14ac:dyDescent="0.25">
      <c r="G3" t="s">
        <v>1329</v>
      </c>
      <c r="Y3" s="1"/>
      <c r="Z3" s="29"/>
      <c r="AA3" s="1"/>
      <c r="AB3" s="1"/>
      <c r="AC3" s="1"/>
    </row>
    <row r="5" spans="1:35" x14ac:dyDescent="0.25">
      <c r="H5" s="1" t="s">
        <v>1094</v>
      </c>
      <c r="I5" s="1" t="s">
        <v>1095</v>
      </c>
      <c r="J5" s="1" t="s">
        <v>1096</v>
      </c>
      <c r="K5" s="1" t="s">
        <v>1097</v>
      </c>
      <c r="L5" s="1" t="s">
        <v>1098</v>
      </c>
      <c r="M5" s="1" t="s">
        <v>1099</v>
      </c>
      <c r="N5" s="1" t="s">
        <v>1100</v>
      </c>
      <c r="O5" s="1" t="s">
        <v>1101</v>
      </c>
      <c r="P5" s="1" t="s">
        <v>1102</v>
      </c>
      <c r="Q5" s="1" t="s">
        <v>1103</v>
      </c>
      <c r="R5" s="1" t="s">
        <v>1104</v>
      </c>
      <c r="S5" s="1" t="s">
        <v>1105</v>
      </c>
      <c r="T5" s="1" t="s">
        <v>1106</v>
      </c>
      <c r="U5" s="1" t="s">
        <v>1107</v>
      </c>
      <c r="V5" s="1" t="s">
        <v>1108</v>
      </c>
      <c r="W5" s="1" t="s">
        <v>1109</v>
      </c>
      <c r="X5" s="1" t="s">
        <v>1110</v>
      </c>
      <c r="Y5" s="1" t="s">
        <v>1111</v>
      </c>
      <c r="Z5" s="29" t="s">
        <v>1112</v>
      </c>
      <c r="AA5" s="1" t="s">
        <v>1359</v>
      </c>
    </row>
    <row r="6" spans="1:35" x14ac:dyDescent="0.25"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9"/>
      <c r="AA6" s="1"/>
    </row>
    <row r="7" spans="1:35" x14ac:dyDescent="0.25">
      <c r="H7" s="1"/>
      <c r="I7" s="1"/>
      <c r="J7" s="1"/>
      <c r="K7" s="1"/>
      <c r="L7" s="1"/>
      <c r="M7" s="1"/>
      <c r="N7" s="1"/>
      <c r="O7" s="1"/>
      <c r="P7" s="1"/>
      <c r="Q7" s="1"/>
      <c r="Y7" s="1"/>
      <c r="Z7" s="29"/>
      <c r="AA7" s="1" t="s">
        <v>1358</v>
      </c>
      <c r="AB7" s="1"/>
      <c r="AC7" s="1"/>
    </row>
    <row r="8" spans="1:35" x14ac:dyDescent="0.25">
      <c r="H8" s="1" t="s">
        <v>1145</v>
      </c>
      <c r="I8" s="1" t="s">
        <v>1145</v>
      </c>
      <c r="J8" s="1" t="s">
        <v>1146</v>
      </c>
      <c r="K8" s="1" t="s">
        <v>1146</v>
      </c>
      <c r="L8" s="1" t="s">
        <v>1147</v>
      </c>
      <c r="M8" s="1" t="s">
        <v>1147</v>
      </c>
      <c r="N8" s="1" t="s">
        <v>1145</v>
      </c>
      <c r="O8" s="1" t="s">
        <v>1145</v>
      </c>
      <c r="P8" s="1" t="s">
        <v>1146</v>
      </c>
      <c r="Q8" s="1" t="s">
        <v>1146</v>
      </c>
      <c r="R8" s="1" t="s">
        <v>1147</v>
      </c>
      <c r="S8" s="1" t="s">
        <v>1147</v>
      </c>
      <c r="T8" s="28" t="s">
        <v>1289</v>
      </c>
      <c r="U8" s="28" t="s">
        <v>1289</v>
      </c>
      <c r="X8" s="1" t="s">
        <v>1123</v>
      </c>
      <c r="Y8" s="1" t="s">
        <v>1123</v>
      </c>
      <c r="Z8" s="1" t="s">
        <v>1356</v>
      </c>
      <c r="AA8" s="1" t="s">
        <v>1292</v>
      </c>
      <c r="AB8" s="1"/>
      <c r="AC8" s="1"/>
    </row>
    <row r="9" spans="1:35" x14ac:dyDescent="0.25">
      <c r="H9" s="1" t="s">
        <v>1113</v>
      </c>
      <c r="I9" s="1" t="s">
        <v>1113</v>
      </c>
      <c r="J9" s="1" t="s">
        <v>1113</v>
      </c>
      <c r="K9" s="1" t="s">
        <v>1113</v>
      </c>
      <c r="L9" s="1" t="s">
        <v>1113</v>
      </c>
      <c r="M9" s="1" t="s">
        <v>1113</v>
      </c>
      <c r="N9" s="1" t="s">
        <v>1092</v>
      </c>
      <c r="O9" s="1" t="s">
        <v>1092</v>
      </c>
      <c r="P9" s="1" t="s">
        <v>1092</v>
      </c>
      <c r="Q9" s="1" t="s">
        <v>1092</v>
      </c>
      <c r="R9" s="1" t="s">
        <v>1092</v>
      </c>
      <c r="S9" s="1" t="s">
        <v>1092</v>
      </c>
      <c r="T9" s="1" t="s">
        <v>1093</v>
      </c>
      <c r="U9" s="1" t="s">
        <v>1093</v>
      </c>
      <c r="V9" s="1" t="s">
        <v>1138</v>
      </c>
      <c r="W9" s="1" t="s">
        <v>1092</v>
      </c>
      <c r="X9" s="1" t="s">
        <v>1138</v>
      </c>
      <c r="Y9" s="1" t="s">
        <v>1092</v>
      </c>
      <c r="Z9" s="29" t="s">
        <v>1139</v>
      </c>
      <c r="AA9" s="1" t="str">
        <f>+"= "&amp;+Z5&amp;" x"</f>
        <v>= S x</v>
      </c>
      <c r="AB9" s="1"/>
      <c r="AC9" s="1"/>
    </row>
    <row r="10" spans="1:35" x14ac:dyDescent="0.25">
      <c r="G10" s="1" t="s">
        <v>1148</v>
      </c>
      <c r="H10" s="1" t="s">
        <v>1123</v>
      </c>
      <c r="I10" s="1" t="s">
        <v>1149</v>
      </c>
      <c r="J10" s="1" t="s">
        <v>1123</v>
      </c>
      <c r="K10" s="1" t="s">
        <v>1149</v>
      </c>
      <c r="L10" s="1" t="s">
        <v>1123</v>
      </c>
      <c r="M10" s="1" t="s">
        <v>1149</v>
      </c>
      <c r="N10" s="1" t="s">
        <v>1123</v>
      </c>
      <c r="O10" s="1" t="s">
        <v>1150</v>
      </c>
      <c r="P10" s="1" t="s">
        <v>1123</v>
      </c>
      <c r="Q10" s="1" t="s">
        <v>1150</v>
      </c>
      <c r="R10" s="1" t="s">
        <v>1123</v>
      </c>
      <c r="S10" s="1" t="s">
        <v>1150</v>
      </c>
      <c r="T10" s="1" t="s">
        <v>1114</v>
      </c>
      <c r="U10" s="1" t="s">
        <v>1290</v>
      </c>
      <c r="V10" s="1" t="s">
        <v>1291</v>
      </c>
      <c r="W10" s="1" t="s">
        <v>1291</v>
      </c>
      <c r="X10" s="1" t="s">
        <v>1292</v>
      </c>
      <c r="Y10" s="1" t="s">
        <v>1292</v>
      </c>
      <c r="Z10" s="1" t="s">
        <v>1292</v>
      </c>
      <c r="AA10" s="36">
        <v>0.95577976076391657</v>
      </c>
    </row>
    <row r="12" spans="1:35" x14ac:dyDescent="0.25">
      <c r="B12" t="s">
        <v>1137</v>
      </c>
      <c r="G12" s="3">
        <f>SUM(G14:G973)</f>
        <v>101</v>
      </c>
      <c r="H12" s="32" t="s">
        <v>1129</v>
      </c>
      <c r="I12" s="32" t="s">
        <v>1129</v>
      </c>
      <c r="J12" s="32" t="s">
        <v>1129</v>
      </c>
      <c r="K12" s="32" t="s">
        <v>1129</v>
      </c>
      <c r="L12" s="32" t="s">
        <v>1129</v>
      </c>
      <c r="M12" s="32" t="s">
        <v>1129</v>
      </c>
      <c r="N12" s="32" t="s">
        <v>1129</v>
      </c>
      <c r="O12" s="32" t="s">
        <v>1129</v>
      </c>
      <c r="P12" s="32" t="s">
        <v>1129</v>
      </c>
      <c r="Q12" s="32" t="s">
        <v>1129</v>
      </c>
      <c r="R12" s="32" t="s">
        <v>1129</v>
      </c>
      <c r="S12" s="32" t="s">
        <v>1129</v>
      </c>
      <c r="T12" s="3">
        <f>SUM(T14:T973)</f>
        <v>61966</v>
      </c>
      <c r="U12" s="3">
        <f>SUM(U14:U973)</f>
        <v>60492</v>
      </c>
      <c r="V12" s="32" t="s">
        <v>1129</v>
      </c>
      <c r="W12" s="32" t="s">
        <v>1129</v>
      </c>
      <c r="X12" s="3">
        <f>SUM(X14:X973)</f>
        <v>25556308.270000033</v>
      </c>
      <c r="Y12" s="3">
        <f>SUM(Y14:Y973)</f>
        <v>24819917.340000004</v>
      </c>
      <c r="Z12" s="3">
        <f>SUM(Z14:Z973)</f>
        <v>50832840.320000067</v>
      </c>
      <c r="AA12" s="3">
        <f>SUM(AA14:AA973)</f>
        <v>48585000.169999987</v>
      </c>
      <c r="AB12" s="3"/>
      <c r="AC12" s="3"/>
      <c r="AH12" s="3"/>
      <c r="AI12" s="3"/>
    </row>
    <row r="13" spans="1:35" x14ac:dyDescent="0.25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AA13" s="3"/>
      <c r="AB13" s="3"/>
      <c r="AC13" s="3"/>
    </row>
    <row r="14" spans="1:35" x14ac:dyDescent="0.25">
      <c r="A14">
        <v>10002</v>
      </c>
      <c r="B14" s="2">
        <v>1</v>
      </c>
      <c r="C14" s="2">
        <v>1</v>
      </c>
      <c r="D14" s="2" t="s">
        <v>0</v>
      </c>
      <c r="E14" s="2">
        <v>2</v>
      </c>
      <c r="F14" s="2" t="s">
        <v>1</v>
      </c>
      <c r="G14" s="3">
        <v>0</v>
      </c>
      <c r="H14" s="32">
        <v>84</v>
      </c>
      <c r="I14" s="32">
        <v>61</v>
      </c>
      <c r="J14" s="32">
        <v>69</v>
      </c>
      <c r="K14" s="32">
        <v>54</v>
      </c>
      <c r="L14" s="32">
        <v>98</v>
      </c>
      <c r="M14" s="32">
        <v>77</v>
      </c>
      <c r="N14" s="32">
        <v>79</v>
      </c>
      <c r="O14" s="32">
        <v>58</v>
      </c>
      <c r="P14" s="32">
        <v>82</v>
      </c>
      <c r="Q14" s="32">
        <v>60</v>
      </c>
      <c r="R14" s="32">
        <v>63</v>
      </c>
      <c r="S14" s="32">
        <v>46</v>
      </c>
      <c r="T14" s="32">
        <v>102</v>
      </c>
      <c r="U14" s="32">
        <v>67</v>
      </c>
      <c r="V14" s="30">
        <v>0.76494023904382469</v>
      </c>
      <c r="W14" s="30">
        <v>0.7321428571428571</v>
      </c>
      <c r="X14" s="32">
        <v>41352.840000000004</v>
      </c>
      <c r="Y14" s="32">
        <v>25998.68</v>
      </c>
      <c r="Z14" s="32">
        <v>67351.520000000004</v>
      </c>
      <c r="AA14" s="3">
        <f>ROUND(Z14*AA$10,2)</f>
        <v>64373.22</v>
      </c>
      <c r="AB14" s="3"/>
      <c r="AC14" s="3"/>
      <c r="AF14" s="3"/>
      <c r="AG14" s="3"/>
      <c r="AH14" s="3"/>
    </row>
    <row r="15" spans="1:35" x14ac:dyDescent="0.25">
      <c r="A15">
        <v>10003</v>
      </c>
      <c r="B15">
        <v>1</v>
      </c>
      <c r="C15">
        <v>1</v>
      </c>
      <c r="D15" t="s">
        <v>1151</v>
      </c>
      <c r="E15">
        <v>3</v>
      </c>
      <c r="F15" t="s">
        <v>1152</v>
      </c>
      <c r="G15" s="3">
        <v>1</v>
      </c>
      <c r="H15" s="32" t="s">
        <v>1328</v>
      </c>
      <c r="I15" s="32" t="s">
        <v>1328</v>
      </c>
      <c r="J15" s="32" t="s">
        <v>1328</v>
      </c>
      <c r="K15" s="32" t="s">
        <v>1328</v>
      </c>
      <c r="L15" s="32" t="s">
        <v>1328</v>
      </c>
      <c r="M15" s="32" t="s">
        <v>1328</v>
      </c>
      <c r="N15" s="32" t="s">
        <v>1328</v>
      </c>
      <c r="O15" s="32" t="s">
        <v>1328</v>
      </c>
      <c r="P15" s="32" t="s">
        <v>1328</v>
      </c>
      <c r="Q15" s="32" t="s">
        <v>1328</v>
      </c>
      <c r="R15" s="32" t="s">
        <v>1328</v>
      </c>
      <c r="S15" s="32" t="s">
        <v>1328</v>
      </c>
      <c r="T15" s="32">
        <v>7</v>
      </c>
      <c r="U15" s="32">
        <v>5</v>
      </c>
      <c r="V15" s="30" t="s">
        <v>1328</v>
      </c>
      <c r="W15" s="30" t="s">
        <v>1328</v>
      </c>
      <c r="X15" s="32" t="s">
        <v>1328</v>
      </c>
      <c r="Y15" s="32" t="s">
        <v>1328</v>
      </c>
      <c r="Z15" s="32">
        <v>4975.3999999999996</v>
      </c>
      <c r="AA15" s="3">
        <f t="shared" ref="AA15:AA78" si="0">ROUND(Z15*AA$10,2)</f>
        <v>4755.3900000000003</v>
      </c>
      <c r="AB15" s="3"/>
      <c r="AC15" s="3"/>
      <c r="AF15" s="3"/>
      <c r="AG15" s="3"/>
      <c r="AH15" s="3"/>
    </row>
    <row r="16" spans="1:35" x14ac:dyDescent="0.25">
      <c r="A16">
        <v>12103</v>
      </c>
      <c r="B16" s="4">
        <v>1.2</v>
      </c>
      <c r="C16" s="2">
        <v>3</v>
      </c>
      <c r="D16" s="2" t="s">
        <v>2</v>
      </c>
      <c r="E16" s="2">
        <v>103</v>
      </c>
      <c r="F16" s="2" t="s">
        <v>3</v>
      </c>
      <c r="G16" s="3">
        <v>0</v>
      </c>
      <c r="H16" s="32">
        <v>74</v>
      </c>
      <c r="I16" s="32">
        <v>62</v>
      </c>
      <c r="J16" s="32">
        <v>75</v>
      </c>
      <c r="K16" s="32">
        <v>61</v>
      </c>
      <c r="L16" s="32">
        <v>79</v>
      </c>
      <c r="M16" s="32">
        <v>68</v>
      </c>
      <c r="N16" s="32">
        <v>68</v>
      </c>
      <c r="O16" s="32">
        <v>54</v>
      </c>
      <c r="P16" s="32">
        <v>51</v>
      </c>
      <c r="Q16" s="32">
        <v>44</v>
      </c>
      <c r="R16" s="32">
        <v>65</v>
      </c>
      <c r="S16" s="32">
        <v>59</v>
      </c>
      <c r="T16" s="32">
        <v>80</v>
      </c>
      <c r="U16" s="32">
        <v>74</v>
      </c>
      <c r="V16" s="30">
        <v>0.83771929824561409</v>
      </c>
      <c r="W16" s="30">
        <v>0.85326086956521741</v>
      </c>
      <c r="X16" s="32">
        <v>35519.199999999997</v>
      </c>
      <c r="Y16" s="32">
        <v>33465.020000000004</v>
      </c>
      <c r="Z16" s="32">
        <v>68984.22</v>
      </c>
      <c r="AA16" s="3">
        <f t="shared" si="0"/>
        <v>65933.72</v>
      </c>
      <c r="AB16" s="3"/>
      <c r="AC16" s="3"/>
      <c r="AF16" s="3"/>
      <c r="AG16" s="3"/>
      <c r="AH16" s="3"/>
    </row>
    <row r="17" spans="1:34" x14ac:dyDescent="0.25">
      <c r="A17">
        <v>12105</v>
      </c>
      <c r="B17" s="4">
        <v>1.2</v>
      </c>
      <c r="C17" s="2">
        <v>3</v>
      </c>
      <c r="D17" s="2" t="s">
        <v>2</v>
      </c>
      <c r="E17" s="2">
        <v>105</v>
      </c>
      <c r="F17" s="2" t="s">
        <v>4</v>
      </c>
      <c r="G17" s="3">
        <v>0</v>
      </c>
      <c r="H17" s="32">
        <v>62</v>
      </c>
      <c r="I17" s="32">
        <v>17</v>
      </c>
      <c r="J17" s="32">
        <v>63</v>
      </c>
      <c r="K17" s="32">
        <v>23</v>
      </c>
      <c r="L17" s="32">
        <v>57</v>
      </c>
      <c r="M17" s="32">
        <v>24</v>
      </c>
      <c r="N17" s="32">
        <v>48</v>
      </c>
      <c r="O17" s="32">
        <v>34</v>
      </c>
      <c r="P17" s="32">
        <v>66</v>
      </c>
      <c r="Q17" s="32">
        <v>45</v>
      </c>
      <c r="R17" s="32">
        <v>52</v>
      </c>
      <c r="S17" s="32">
        <v>34</v>
      </c>
      <c r="T17" s="32">
        <v>55</v>
      </c>
      <c r="U17" s="32">
        <v>74</v>
      </c>
      <c r="V17" s="30">
        <v>0.35164835164835168</v>
      </c>
      <c r="W17" s="30">
        <v>0.68072289156626509</v>
      </c>
      <c r="X17" s="32">
        <v>10250.35</v>
      </c>
      <c r="Y17" s="32">
        <v>26697.719999999998</v>
      </c>
      <c r="Z17" s="32">
        <v>36948.07</v>
      </c>
      <c r="AA17" s="3">
        <f t="shared" si="0"/>
        <v>35314.22</v>
      </c>
      <c r="AB17" s="3"/>
      <c r="AC17" s="3"/>
      <c r="AF17" s="3"/>
      <c r="AG17" s="3"/>
      <c r="AH17" s="3"/>
    </row>
    <row r="18" spans="1:34" x14ac:dyDescent="0.25">
      <c r="A18">
        <v>12106</v>
      </c>
      <c r="B18" s="4">
        <v>1.2</v>
      </c>
      <c r="C18" s="2">
        <v>3</v>
      </c>
      <c r="D18" s="2" t="s">
        <v>2</v>
      </c>
      <c r="E18" s="2">
        <v>106</v>
      </c>
      <c r="F18" s="2" t="s">
        <v>5</v>
      </c>
      <c r="G18" s="3">
        <v>0</v>
      </c>
      <c r="H18" s="32">
        <v>88</v>
      </c>
      <c r="I18" s="32">
        <v>73</v>
      </c>
      <c r="J18" s="32">
        <v>73</v>
      </c>
      <c r="K18" s="32">
        <v>62</v>
      </c>
      <c r="L18" s="32">
        <v>80</v>
      </c>
      <c r="M18" s="32">
        <v>73</v>
      </c>
      <c r="N18" s="32">
        <v>82</v>
      </c>
      <c r="O18" s="32">
        <v>67</v>
      </c>
      <c r="P18" s="32">
        <v>82</v>
      </c>
      <c r="Q18" s="32">
        <v>67</v>
      </c>
      <c r="R18" s="32">
        <v>70</v>
      </c>
      <c r="S18" s="32">
        <v>61</v>
      </c>
      <c r="T18" s="32">
        <v>81</v>
      </c>
      <c r="U18" s="32">
        <v>80</v>
      </c>
      <c r="V18" s="30">
        <v>0.86307053941908718</v>
      </c>
      <c r="W18" s="30">
        <v>0.83333333333333337</v>
      </c>
      <c r="X18" s="32">
        <v>37051.83</v>
      </c>
      <c r="Y18" s="32">
        <v>35333.599999999999</v>
      </c>
      <c r="Z18" s="32">
        <v>72385.429999999993</v>
      </c>
      <c r="AA18" s="3">
        <f t="shared" si="0"/>
        <v>69184.53</v>
      </c>
      <c r="AB18" s="3"/>
      <c r="AC18" s="3"/>
      <c r="AF18" s="3"/>
      <c r="AG18" s="3"/>
      <c r="AH18" s="3"/>
    </row>
    <row r="19" spans="1:34" x14ac:dyDescent="0.25">
      <c r="A19">
        <v>12107</v>
      </c>
      <c r="B19" s="4">
        <v>1.2</v>
      </c>
      <c r="C19" s="2">
        <v>3</v>
      </c>
      <c r="D19" s="2" t="s">
        <v>2</v>
      </c>
      <c r="E19" s="2">
        <v>107</v>
      </c>
      <c r="F19" s="2" t="s">
        <v>6</v>
      </c>
      <c r="G19" s="3">
        <v>0</v>
      </c>
      <c r="H19" s="32">
        <v>57</v>
      </c>
      <c r="I19" s="32">
        <v>18</v>
      </c>
      <c r="J19" s="32">
        <v>53</v>
      </c>
      <c r="K19" s="32">
        <v>20</v>
      </c>
      <c r="L19" s="32">
        <v>42</v>
      </c>
      <c r="M19" s="32">
        <v>13</v>
      </c>
      <c r="N19" s="32">
        <v>27</v>
      </c>
      <c r="O19" s="32">
        <v>17</v>
      </c>
      <c r="P19" s="32">
        <v>28</v>
      </c>
      <c r="Q19" s="32">
        <v>20</v>
      </c>
      <c r="R19" s="32">
        <v>45</v>
      </c>
      <c r="S19" s="32">
        <v>25</v>
      </c>
      <c r="T19" s="32">
        <v>43</v>
      </c>
      <c r="U19" s="32">
        <v>55</v>
      </c>
      <c r="V19" s="30">
        <v>0.33552631578947367</v>
      </c>
      <c r="W19" s="30">
        <v>0.62</v>
      </c>
      <c r="X19" s="32">
        <v>7646.6900000000005</v>
      </c>
      <c r="Y19" s="32">
        <v>18073</v>
      </c>
      <c r="Z19" s="32">
        <v>25719.690000000002</v>
      </c>
      <c r="AA19" s="3">
        <f t="shared" si="0"/>
        <v>24582.36</v>
      </c>
      <c r="AB19" s="3"/>
      <c r="AC19" s="3"/>
      <c r="AF19" s="3"/>
      <c r="AG19" s="3"/>
      <c r="AH19" s="3"/>
    </row>
    <row r="20" spans="1:34" x14ac:dyDescent="0.25">
      <c r="A20">
        <v>12110</v>
      </c>
      <c r="B20" s="4">
        <v>1.2</v>
      </c>
      <c r="C20" s="2">
        <v>3</v>
      </c>
      <c r="D20" s="2" t="s">
        <v>2</v>
      </c>
      <c r="E20" s="2">
        <v>110</v>
      </c>
      <c r="F20" s="2" t="s">
        <v>7</v>
      </c>
      <c r="G20" s="3">
        <v>0</v>
      </c>
      <c r="H20" s="32">
        <v>128</v>
      </c>
      <c r="I20" s="32">
        <v>106</v>
      </c>
      <c r="J20" s="32">
        <v>127</v>
      </c>
      <c r="K20" s="32">
        <v>108</v>
      </c>
      <c r="L20" s="32">
        <v>144</v>
      </c>
      <c r="M20" s="32">
        <v>132</v>
      </c>
      <c r="N20" s="32">
        <v>121</v>
      </c>
      <c r="O20" s="32">
        <v>106</v>
      </c>
      <c r="P20" s="32">
        <v>116</v>
      </c>
      <c r="Q20" s="32">
        <v>104</v>
      </c>
      <c r="R20" s="32">
        <v>118</v>
      </c>
      <c r="S20" s="32">
        <v>106</v>
      </c>
      <c r="T20" s="32">
        <v>146</v>
      </c>
      <c r="U20" s="32">
        <v>125</v>
      </c>
      <c r="V20" s="30">
        <v>0.8671679197994987</v>
      </c>
      <c r="W20" s="30">
        <v>0.89014084507042257</v>
      </c>
      <c r="X20" s="32">
        <v>67101.600000000006</v>
      </c>
      <c r="Y20" s="32">
        <v>58971.25</v>
      </c>
      <c r="Z20" s="32">
        <v>126072.85</v>
      </c>
      <c r="AA20" s="3">
        <f t="shared" si="0"/>
        <v>120497.88</v>
      </c>
      <c r="AB20" s="3"/>
      <c r="AC20" s="3"/>
      <c r="AF20" s="3"/>
      <c r="AG20" s="3"/>
      <c r="AH20" s="3"/>
    </row>
    <row r="21" spans="1:34" x14ac:dyDescent="0.25">
      <c r="A21">
        <v>12121</v>
      </c>
      <c r="B21" s="4">
        <v>1.2</v>
      </c>
      <c r="C21" s="2">
        <v>3</v>
      </c>
      <c r="D21" s="2" t="s">
        <v>2</v>
      </c>
      <c r="E21" s="2">
        <v>121</v>
      </c>
      <c r="F21" s="2" t="s">
        <v>8</v>
      </c>
      <c r="G21" s="3">
        <v>0</v>
      </c>
      <c r="H21" s="32">
        <v>103</v>
      </c>
      <c r="I21" s="32">
        <v>98</v>
      </c>
      <c r="J21" s="32">
        <v>115</v>
      </c>
      <c r="K21" s="32">
        <v>105</v>
      </c>
      <c r="L21" s="32">
        <v>122</v>
      </c>
      <c r="M21" s="32">
        <v>117</v>
      </c>
      <c r="N21" s="32">
        <v>115</v>
      </c>
      <c r="O21" s="32">
        <v>94</v>
      </c>
      <c r="P21" s="32">
        <v>98</v>
      </c>
      <c r="Q21" s="32">
        <v>83</v>
      </c>
      <c r="R21" s="32">
        <v>107</v>
      </c>
      <c r="S21" s="32">
        <v>91</v>
      </c>
      <c r="T21" s="32">
        <v>128</v>
      </c>
      <c r="U21" s="32">
        <v>111</v>
      </c>
      <c r="V21" s="30">
        <v>0.94117647058823528</v>
      </c>
      <c r="W21" s="30">
        <v>0.83750000000000002</v>
      </c>
      <c r="X21" s="32">
        <v>63848.959999999999</v>
      </c>
      <c r="Y21" s="32">
        <v>49270.68</v>
      </c>
      <c r="Z21" s="32">
        <v>113119.64</v>
      </c>
      <c r="AA21" s="3">
        <f t="shared" si="0"/>
        <v>108117.46</v>
      </c>
      <c r="AB21" s="3"/>
      <c r="AC21" s="3"/>
      <c r="AF21" s="3"/>
      <c r="AG21" s="3"/>
      <c r="AH21" s="3"/>
    </row>
    <row r="22" spans="1:34" x14ac:dyDescent="0.25">
      <c r="A22">
        <v>12123</v>
      </c>
      <c r="B22" s="4">
        <v>1.2</v>
      </c>
      <c r="C22" s="2">
        <v>3</v>
      </c>
      <c r="D22" s="2" t="s">
        <v>2</v>
      </c>
      <c r="E22">
        <v>123</v>
      </c>
      <c r="F22" s="2" t="s">
        <v>9</v>
      </c>
      <c r="G22" s="3">
        <v>0</v>
      </c>
      <c r="H22" s="32">
        <v>124</v>
      </c>
      <c r="I22" s="32">
        <v>105</v>
      </c>
      <c r="J22" s="32">
        <v>119</v>
      </c>
      <c r="K22" s="32">
        <v>106</v>
      </c>
      <c r="L22" s="32">
        <v>136</v>
      </c>
      <c r="M22" s="32">
        <v>124</v>
      </c>
      <c r="N22" s="32">
        <v>130</v>
      </c>
      <c r="O22" s="32">
        <v>95</v>
      </c>
      <c r="P22" s="32">
        <v>123</v>
      </c>
      <c r="Q22" s="32">
        <v>108</v>
      </c>
      <c r="R22" s="32">
        <v>115</v>
      </c>
      <c r="S22" s="32">
        <v>93</v>
      </c>
      <c r="T22" s="32">
        <v>135</v>
      </c>
      <c r="U22" s="32">
        <v>123</v>
      </c>
      <c r="V22" s="30">
        <v>0.88390501319261217</v>
      </c>
      <c r="W22" s="30">
        <v>0.80434782608695654</v>
      </c>
      <c r="X22" s="32">
        <v>63243.450000000004</v>
      </c>
      <c r="Y22" s="32">
        <v>52434.9</v>
      </c>
      <c r="Z22" s="32">
        <v>115678.35</v>
      </c>
      <c r="AA22" s="3">
        <f t="shared" si="0"/>
        <v>110563.03</v>
      </c>
      <c r="AB22" s="3"/>
      <c r="AC22" s="3"/>
      <c r="AF22" s="3"/>
      <c r="AG22" s="3"/>
      <c r="AH22" s="3"/>
    </row>
    <row r="23" spans="1:34" x14ac:dyDescent="0.25">
      <c r="A23">
        <v>12124</v>
      </c>
      <c r="B23" s="5">
        <v>1.2</v>
      </c>
      <c r="C23" s="5">
        <v>3</v>
      </c>
      <c r="D23" t="s">
        <v>2</v>
      </c>
      <c r="E23" s="5">
        <v>124</v>
      </c>
      <c r="F23" s="6" t="s">
        <v>10</v>
      </c>
      <c r="G23" s="3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22</v>
      </c>
      <c r="O23" s="32">
        <v>12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0">
        <v>0</v>
      </c>
      <c r="W23" s="30">
        <v>0.54545454545454541</v>
      </c>
      <c r="X23" s="32">
        <v>0</v>
      </c>
      <c r="Y23" s="32">
        <v>0</v>
      </c>
      <c r="Z23" s="32">
        <v>0</v>
      </c>
      <c r="AA23" s="3">
        <f t="shared" si="0"/>
        <v>0</v>
      </c>
      <c r="AB23" s="3"/>
      <c r="AC23" s="3"/>
      <c r="AF23" s="3"/>
      <c r="AG23" s="3"/>
      <c r="AH23" s="3"/>
    </row>
    <row r="24" spans="1:34" x14ac:dyDescent="0.25">
      <c r="A24">
        <v>12130</v>
      </c>
      <c r="B24" s="4">
        <v>1.2</v>
      </c>
      <c r="C24" s="2">
        <v>3</v>
      </c>
      <c r="D24" s="2" t="s">
        <v>2</v>
      </c>
      <c r="E24" s="2">
        <v>130</v>
      </c>
      <c r="F24" s="2" t="s">
        <v>11</v>
      </c>
      <c r="G24" s="3">
        <v>0</v>
      </c>
      <c r="H24" s="32">
        <v>48</v>
      </c>
      <c r="I24" s="32">
        <v>16</v>
      </c>
      <c r="J24" s="32">
        <v>50</v>
      </c>
      <c r="K24" s="32">
        <v>32</v>
      </c>
      <c r="L24" s="32">
        <v>40</v>
      </c>
      <c r="M24" s="32">
        <v>29</v>
      </c>
      <c r="N24" s="32">
        <v>32</v>
      </c>
      <c r="O24" s="32">
        <v>28</v>
      </c>
      <c r="P24" s="32">
        <v>41</v>
      </c>
      <c r="Q24" s="32">
        <v>37</v>
      </c>
      <c r="R24" s="32">
        <v>45</v>
      </c>
      <c r="S24" s="32">
        <v>35</v>
      </c>
      <c r="T24" s="32">
        <v>43</v>
      </c>
      <c r="U24" s="32">
        <v>51</v>
      </c>
      <c r="V24" s="30">
        <v>0.55797101449275366</v>
      </c>
      <c r="W24" s="30">
        <v>0.84745762711864403</v>
      </c>
      <c r="X24" s="32">
        <v>12715.960000000001</v>
      </c>
      <c r="Y24" s="32">
        <v>22906.649999999998</v>
      </c>
      <c r="Z24" s="32">
        <v>35622.61</v>
      </c>
      <c r="AA24" s="3">
        <f t="shared" si="0"/>
        <v>34047.370000000003</v>
      </c>
      <c r="AB24" s="3"/>
      <c r="AC24" s="3"/>
      <c r="AF24" s="3"/>
      <c r="AG24" s="3"/>
      <c r="AH24" s="3"/>
    </row>
    <row r="25" spans="1:34" x14ac:dyDescent="0.25">
      <c r="A25" s="7">
        <v>12134</v>
      </c>
      <c r="B25" s="7">
        <v>1.2</v>
      </c>
      <c r="C25" s="7">
        <v>3</v>
      </c>
      <c r="D25" s="7" t="s">
        <v>2</v>
      </c>
      <c r="E25" s="7">
        <v>134</v>
      </c>
      <c r="F25" s="7" t="s">
        <v>12</v>
      </c>
      <c r="G25" s="3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57</v>
      </c>
      <c r="O25" s="32">
        <v>36</v>
      </c>
      <c r="P25" s="32">
        <v>52</v>
      </c>
      <c r="Q25" s="32">
        <v>41</v>
      </c>
      <c r="R25" s="32">
        <v>58</v>
      </c>
      <c r="S25" s="32">
        <v>39</v>
      </c>
      <c r="T25" s="32">
        <v>0</v>
      </c>
      <c r="U25" s="32">
        <v>64</v>
      </c>
      <c r="V25" s="30">
        <v>0</v>
      </c>
      <c r="W25" s="30">
        <v>0.69461077844311381</v>
      </c>
      <c r="X25" s="32">
        <v>0</v>
      </c>
      <c r="Y25" s="32">
        <v>23560.959999999999</v>
      </c>
      <c r="Z25" s="32">
        <v>23560.959999999999</v>
      </c>
      <c r="AA25" s="3">
        <f t="shared" si="0"/>
        <v>22519.09</v>
      </c>
      <c r="AB25" s="3"/>
      <c r="AC25" s="3"/>
      <c r="AF25" s="3"/>
      <c r="AG25" s="3"/>
      <c r="AH25" s="3"/>
    </row>
    <row r="26" spans="1:34" x14ac:dyDescent="0.25">
      <c r="A26">
        <v>12135</v>
      </c>
      <c r="B26" s="4">
        <v>1.2</v>
      </c>
      <c r="C26" s="2">
        <v>3</v>
      </c>
      <c r="D26" s="2" t="s">
        <v>2</v>
      </c>
      <c r="E26" s="2">
        <v>135</v>
      </c>
      <c r="F26" s="2" t="s">
        <v>13</v>
      </c>
      <c r="G26" s="3">
        <v>0</v>
      </c>
      <c r="H26" s="32">
        <v>45</v>
      </c>
      <c r="I26" s="32">
        <v>33</v>
      </c>
      <c r="J26" s="32">
        <v>56</v>
      </c>
      <c r="K26" s="32">
        <v>39</v>
      </c>
      <c r="L26" s="32">
        <v>48</v>
      </c>
      <c r="M26" s="32">
        <v>42</v>
      </c>
      <c r="N26" s="32">
        <v>38</v>
      </c>
      <c r="O26" s="32">
        <v>20</v>
      </c>
      <c r="P26" s="32">
        <v>61</v>
      </c>
      <c r="Q26" s="32">
        <v>49</v>
      </c>
      <c r="R26" s="32">
        <v>51</v>
      </c>
      <c r="S26" s="32">
        <v>39</v>
      </c>
      <c r="T26" s="32">
        <v>54</v>
      </c>
      <c r="U26" s="32">
        <v>54</v>
      </c>
      <c r="V26" s="30">
        <v>0.7651006711409396</v>
      </c>
      <c r="W26" s="30">
        <v>0.72</v>
      </c>
      <c r="X26" s="32">
        <v>21897</v>
      </c>
      <c r="Y26" s="32">
        <v>20606.400000000001</v>
      </c>
      <c r="Z26" s="32">
        <v>42503.4</v>
      </c>
      <c r="AA26" s="3">
        <f t="shared" si="0"/>
        <v>40623.89</v>
      </c>
      <c r="AB26" s="3"/>
      <c r="AC26" s="3"/>
      <c r="AF26" s="3"/>
      <c r="AG26" s="3"/>
      <c r="AH26" s="3"/>
    </row>
    <row r="27" spans="1:34" x14ac:dyDescent="0.25">
      <c r="A27">
        <v>12136</v>
      </c>
      <c r="B27" s="4">
        <v>1.2</v>
      </c>
      <c r="C27" s="2">
        <v>3</v>
      </c>
      <c r="D27" s="2" t="s">
        <v>2</v>
      </c>
      <c r="E27" s="2">
        <v>136</v>
      </c>
      <c r="F27" s="2" t="s">
        <v>14</v>
      </c>
      <c r="G27" s="3">
        <v>0</v>
      </c>
      <c r="H27" s="32">
        <v>46</v>
      </c>
      <c r="I27" s="32">
        <v>37</v>
      </c>
      <c r="J27" s="32">
        <v>71</v>
      </c>
      <c r="K27" s="32">
        <v>62</v>
      </c>
      <c r="L27" s="32">
        <v>75</v>
      </c>
      <c r="M27" s="32">
        <v>66</v>
      </c>
      <c r="N27" s="32">
        <v>35</v>
      </c>
      <c r="O27" s="32">
        <v>29</v>
      </c>
      <c r="P27" s="32">
        <v>57</v>
      </c>
      <c r="Q27" s="32">
        <v>47</v>
      </c>
      <c r="R27" s="32">
        <v>61</v>
      </c>
      <c r="S27" s="32">
        <v>50</v>
      </c>
      <c r="T27" s="32">
        <v>79</v>
      </c>
      <c r="U27" s="32">
        <v>71</v>
      </c>
      <c r="V27" s="30">
        <v>0.859375</v>
      </c>
      <c r="W27" s="30">
        <v>0.82352941176470584</v>
      </c>
      <c r="X27" s="32">
        <v>35982.130000000005</v>
      </c>
      <c r="Y27" s="32">
        <v>30989.370000000003</v>
      </c>
      <c r="Z27" s="32">
        <v>66971.5</v>
      </c>
      <c r="AA27" s="3">
        <f t="shared" si="0"/>
        <v>64010</v>
      </c>
      <c r="AB27" s="3"/>
      <c r="AC27" s="3"/>
      <c r="AF27" s="3"/>
      <c r="AG27" s="3"/>
      <c r="AH27" s="3"/>
    </row>
    <row r="28" spans="1:34" x14ac:dyDescent="0.25">
      <c r="A28">
        <v>12139</v>
      </c>
      <c r="B28" s="5">
        <v>1.2</v>
      </c>
      <c r="C28" s="5">
        <v>3</v>
      </c>
      <c r="D28" t="s">
        <v>2</v>
      </c>
      <c r="E28" s="5">
        <v>139</v>
      </c>
      <c r="F28" s="6" t="s">
        <v>15</v>
      </c>
      <c r="G28" s="3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28</v>
      </c>
      <c r="O28" s="32">
        <v>14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0">
        <v>0</v>
      </c>
      <c r="W28" s="30">
        <v>0.5</v>
      </c>
      <c r="X28" s="32">
        <v>0</v>
      </c>
      <c r="Y28" s="32">
        <v>0</v>
      </c>
      <c r="Z28" s="32">
        <v>0</v>
      </c>
      <c r="AA28" s="3">
        <f t="shared" si="0"/>
        <v>0</v>
      </c>
      <c r="AB28" s="3"/>
      <c r="AC28" s="3"/>
      <c r="AF28" s="3"/>
      <c r="AG28" s="3"/>
      <c r="AH28" s="3"/>
    </row>
    <row r="29" spans="1:34" x14ac:dyDescent="0.25">
      <c r="A29">
        <v>12140</v>
      </c>
      <c r="B29" s="4">
        <v>1.2</v>
      </c>
      <c r="C29" s="2">
        <v>3</v>
      </c>
      <c r="D29" s="2" t="s">
        <v>2</v>
      </c>
      <c r="E29" s="2">
        <v>140</v>
      </c>
      <c r="F29" s="2" t="s">
        <v>16</v>
      </c>
      <c r="G29" s="3">
        <v>0</v>
      </c>
      <c r="H29" s="32">
        <v>65</v>
      </c>
      <c r="I29" s="32">
        <v>40</v>
      </c>
      <c r="J29" s="32">
        <v>65</v>
      </c>
      <c r="K29" s="32">
        <v>41</v>
      </c>
      <c r="L29" s="32">
        <v>65</v>
      </c>
      <c r="M29" s="32">
        <v>46</v>
      </c>
      <c r="N29" s="32">
        <v>53</v>
      </c>
      <c r="O29" s="32">
        <v>36</v>
      </c>
      <c r="P29" s="32">
        <v>56</v>
      </c>
      <c r="Q29" s="32">
        <v>49</v>
      </c>
      <c r="R29" s="32">
        <v>58</v>
      </c>
      <c r="S29" s="32">
        <v>38</v>
      </c>
      <c r="T29" s="32">
        <v>57</v>
      </c>
      <c r="U29" s="32">
        <v>64</v>
      </c>
      <c r="V29" s="30">
        <v>0.6512820512820513</v>
      </c>
      <c r="W29" s="30">
        <v>0.73652694610778446</v>
      </c>
      <c r="X29" s="32">
        <v>19675.260000000002</v>
      </c>
      <c r="Y29" s="32">
        <v>24983.040000000001</v>
      </c>
      <c r="Z29" s="32">
        <v>44658.3</v>
      </c>
      <c r="AA29" s="3">
        <f t="shared" si="0"/>
        <v>42683.5</v>
      </c>
      <c r="AB29" s="3"/>
      <c r="AC29" s="3"/>
      <c r="AF29" s="3"/>
      <c r="AG29" s="3"/>
      <c r="AH29" s="3"/>
    </row>
    <row r="30" spans="1:34" x14ac:dyDescent="0.25">
      <c r="A30">
        <v>12144</v>
      </c>
      <c r="B30" s="4">
        <v>1.2</v>
      </c>
      <c r="C30" s="2">
        <v>3</v>
      </c>
      <c r="D30" s="2" t="s">
        <v>2</v>
      </c>
      <c r="E30" s="2">
        <v>144</v>
      </c>
      <c r="F30" s="2" t="s">
        <v>17</v>
      </c>
      <c r="G30" s="3">
        <v>0</v>
      </c>
      <c r="H30" s="32">
        <v>56</v>
      </c>
      <c r="I30" s="32">
        <v>28</v>
      </c>
      <c r="J30" s="32">
        <v>64</v>
      </c>
      <c r="K30" s="32">
        <v>29</v>
      </c>
      <c r="L30" s="32">
        <v>61</v>
      </c>
      <c r="M30" s="32">
        <v>39</v>
      </c>
      <c r="N30" s="32">
        <v>35</v>
      </c>
      <c r="O30" s="32">
        <v>25</v>
      </c>
      <c r="P30" s="32">
        <v>53</v>
      </c>
      <c r="Q30" s="32">
        <v>39</v>
      </c>
      <c r="R30" s="32">
        <v>56</v>
      </c>
      <c r="S30" s="32">
        <v>49</v>
      </c>
      <c r="T30" s="32">
        <v>65</v>
      </c>
      <c r="U30" s="32">
        <v>68</v>
      </c>
      <c r="V30" s="30">
        <v>0.53038674033149169</v>
      </c>
      <c r="W30" s="30">
        <v>0.78472222222222221</v>
      </c>
      <c r="X30" s="32">
        <v>18271.5</v>
      </c>
      <c r="Y30" s="32">
        <v>28281.199999999997</v>
      </c>
      <c r="Z30" s="32">
        <v>46552.7</v>
      </c>
      <c r="AA30" s="3">
        <f t="shared" si="0"/>
        <v>44494.13</v>
      </c>
      <c r="AB30" s="3"/>
      <c r="AC30" s="3"/>
      <c r="AF30" s="3"/>
      <c r="AG30" s="3"/>
      <c r="AH30" s="3"/>
    </row>
    <row r="31" spans="1:34" x14ac:dyDescent="0.25">
      <c r="A31">
        <v>12151</v>
      </c>
      <c r="B31" s="4">
        <v>1.2</v>
      </c>
      <c r="C31" s="2">
        <v>3</v>
      </c>
      <c r="D31" s="2" t="s">
        <v>2</v>
      </c>
      <c r="E31" s="2">
        <v>151</v>
      </c>
      <c r="F31" s="2" t="s">
        <v>18</v>
      </c>
      <c r="G31" s="3">
        <v>0</v>
      </c>
      <c r="H31" s="32">
        <v>82</v>
      </c>
      <c r="I31" s="32">
        <v>36</v>
      </c>
      <c r="J31" s="32">
        <v>68</v>
      </c>
      <c r="K31" s="32">
        <v>35</v>
      </c>
      <c r="L31" s="32">
        <v>76</v>
      </c>
      <c r="M31" s="32">
        <v>34</v>
      </c>
      <c r="N31" s="32">
        <v>75</v>
      </c>
      <c r="O31" s="32">
        <v>52</v>
      </c>
      <c r="P31" s="32">
        <v>70</v>
      </c>
      <c r="Q31" s="32">
        <v>52</v>
      </c>
      <c r="R31" s="32">
        <v>62</v>
      </c>
      <c r="S31" s="32">
        <v>53</v>
      </c>
      <c r="T31" s="32">
        <v>78</v>
      </c>
      <c r="U31" s="32">
        <v>79</v>
      </c>
      <c r="V31" s="30">
        <v>0.46460176991150443</v>
      </c>
      <c r="W31" s="30">
        <v>0.75845410628019327</v>
      </c>
      <c r="X31" s="32">
        <v>19206.72</v>
      </c>
      <c r="Y31" s="32">
        <v>31756.420000000002</v>
      </c>
      <c r="Z31" s="32">
        <v>50963.14</v>
      </c>
      <c r="AA31" s="3">
        <f t="shared" si="0"/>
        <v>48709.54</v>
      </c>
      <c r="AB31" s="3"/>
      <c r="AC31" s="3"/>
      <c r="AF31" s="3"/>
      <c r="AG31" s="3"/>
      <c r="AH31" s="3"/>
    </row>
    <row r="32" spans="1:34" x14ac:dyDescent="0.25">
      <c r="A32">
        <v>12152</v>
      </c>
      <c r="B32" s="4">
        <v>1.2</v>
      </c>
      <c r="C32" s="2">
        <v>3</v>
      </c>
      <c r="D32" s="2" t="s">
        <v>2</v>
      </c>
      <c r="E32" s="2">
        <v>152</v>
      </c>
      <c r="F32" s="2" t="s">
        <v>19</v>
      </c>
      <c r="G32" s="3">
        <v>0</v>
      </c>
      <c r="H32" s="32">
        <v>69</v>
      </c>
      <c r="I32" s="32">
        <v>27</v>
      </c>
      <c r="J32" s="32">
        <v>62</v>
      </c>
      <c r="K32" s="32">
        <v>33</v>
      </c>
      <c r="L32" s="32">
        <v>56</v>
      </c>
      <c r="M32" s="32">
        <v>37</v>
      </c>
      <c r="N32" s="32">
        <v>57</v>
      </c>
      <c r="O32" s="32">
        <v>47</v>
      </c>
      <c r="P32" s="32">
        <v>62</v>
      </c>
      <c r="Q32" s="32">
        <v>54</v>
      </c>
      <c r="R32" s="32">
        <v>53</v>
      </c>
      <c r="S32" s="32">
        <v>41</v>
      </c>
      <c r="T32" s="32">
        <v>54</v>
      </c>
      <c r="U32" s="32">
        <v>57</v>
      </c>
      <c r="V32" s="30">
        <v>0.51871657754010692</v>
      </c>
      <c r="W32" s="30">
        <v>0.82558139534883723</v>
      </c>
      <c r="X32" s="32">
        <v>14845.68</v>
      </c>
      <c r="Y32" s="32">
        <v>24940.920000000002</v>
      </c>
      <c r="Z32" s="32">
        <v>39786.600000000006</v>
      </c>
      <c r="AA32" s="3">
        <f t="shared" si="0"/>
        <v>38027.230000000003</v>
      </c>
      <c r="AB32" s="3"/>
      <c r="AC32" s="3"/>
      <c r="AF32" s="3"/>
      <c r="AG32" s="3"/>
      <c r="AH32" s="3"/>
    </row>
    <row r="33" spans="1:34" x14ac:dyDescent="0.25">
      <c r="A33">
        <v>12155</v>
      </c>
      <c r="B33" s="4">
        <v>1.2</v>
      </c>
      <c r="C33" s="2">
        <v>3</v>
      </c>
      <c r="D33" s="2" t="s">
        <v>2</v>
      </c>
      <c r="E33" s="2">
        <v>155</v>
      </c>
      <c r="F33" s="2" t="s">
        <v>20</v>
      </c>
      <c r="G33" s="3">
        <v>0</v>
      </c>
      <c r="H33" s="32">
        <v>85</v>
      </c>
      <c r="I33" s="32">
        <v>39</v>
      </c>
      <c r="J33" s="32">
        <v>88</v>
      </c>
      <c r="K33" s="32">
        <v>45</v>
      </c>
      <c r="L33" s="32">
        <v>89</v>
      </c>
      <c r="M33" s="32">
        <v>51</v>
      </c>
      <c r="N33" s="32">
        <v>69</v>
      </c>
      <c r="O33" s="32">
        <v>50</v>
      </c>
      <c r="P33" s="32">
        <v>74</v>
      </c>
      <c r="Q33" s="32">
        <v>63</v>
      </c>
      <c r="R33" s="32">
        <v>70</v>
      </c>
      <c r="S33" s="32">
        <v>50</v>
      </c>
      <c r="T33" s="32">
        <v>94</v>
      </c>
      <c r="U33" s="32">
        <v>87</v>
      </c>
      <c r="V33" s="30">
        <v>0.51526717557251911</v>
      </c>
      <c r="W33" s="30">
        <v>0.76525821596244137</v>
      </c>
      <c r="X33" s="32">
        <v>25670.46</v>
      </c>
      <c r="Y33" s="32">
        <v>35286.329999999994</v>
      </c>
      <c r="Z33" s="32">
        <v>60956.789999999994</v>
      </c>
      <c r="AA33" s="3">
        <f t="shared" si="0"/>
        <v>58261.27</v>
      </c>
      <c r="AB33" s="3"/>
      <c r="AC33" s="3"/>
      <c r="AF33" s="3"/>
      <c r="AG33" s="3"/>
      <c r="AH33" s="3"/>
    </row>
    <row r="34" spans="1:34" x14ac:dyDescent="0.25">
      <c r="A34">
        <v>12156</v>
      </c>
      <c r="B34" s="4">
        <v>1.2</v>
      </c>
      <c r="C34" s="2">
        <v>3</v>
      </c>
      <c r="D34" s="2" t="s">
        <v>2</v>
      </c>
      <c r="E34" s="2">
        <v>156</v>
      </c>
      <c r="F34" s="2" t="s">
        <v>21</v>
      </c>
      <c r="G34" s="3">
        <v>0</v>
      </c>
      <c r="H34" s="32">
        <v>26</v>
      </c>
      <c r="I34" s="32">
        <v>7</v>
      </c>
      <c r="J34" s="32">
        <v>18</v>
      </c>
      <c r="K34" s="32">
        <v>14</v>
      </c>
      <c r="L34" s="32">
        <v>23</v>
      </c>
      <c r="M34" s="32">
        <v>12</v>
      </c>
      <c r="N34" s="32">
        <v>16</v>
      </c>
      <c r="O34" s="32">
        <v>15</v>
      </c>
      <c r="P34" s="32">
        <v>21</v>
      </c>
      <c r="Q34" s="32">
        <v>19</v>
      </c>
      <c r="R34" s="32">
        <v>17</v>
      </c>
      <c r="S34" s="32">
        <v>12</v>
      </c>
      <c r="T34" s="32">
        <v>23</v>
      </c>
      <c r="U34" s="32">
        <v>22</v>
      </c>
      <c r="V34" s="30">
        <v>0.4925373134328358</v>
      </c>
      <c r="W34" s="30">
        <v>0.85185185185185186</v>
      </c>
      <c r="X34" s="32">
        <v>6003.92</v>
      </c>
      <c r="Y34" s="32">
        <v>9932.5600000000013</v>
      </c>
      <c r="Z34" s="32">
        <v>15936.480000000001</v>
      </c>
      <c r="AA34" s="3">
        <f t="shared" si="0"/>
        <v>15231.77</v>
      </c>
      <c r="AB34" s="3"/>
      <c r="AC34" s="3"/>
      <c r="AF34" s="3"/>
      <c r="AG34" s="3"/>
      <c r="AH34" s="3"/>
    </row>
    <row r="35" spans="1:34" x14ac:dyDescent="0.25">
      <c r="A35">
        <v>12160</v>
      </c>
      <c r="B35" s="4">
        <v>1.2</v>
      </c>
      <c r="C35" s="2">
        <v>3</v>
      </c>
      <c r="D35" s="2" t="s">
        <v>2</v>
      </c>
      <c r="E35" s="2">
        <v>160</v>
      </c>
      <c r="F35" s="2" t="s">
        <v>22</v>
      </c>
      <c r="G35" s="3">
        <v>0</v>
      </c>
      <c r="H35" s="32">
        <v>94</v>
      </c>
      <c r="I35" s="32">
        <v>75</v>
      </c>
      <c r="J35" s="32">
        <v>89</v>
      </c>
      <c r="K35" s="32">
        <v>67</v>
      </c>
      <c r="L35" s="32">
        <v>92</v>
      </c>
      <c r="M35" s="32">
        <v>65</v>
      </c>
      <c r="N35" s="32">
        <v>94</v>
      </c>
      <c r="O35" s="32">
        <v>72</v>
      </c>
      <c r="P35" s="32">
        <v>83</v>
      </c>
      <c r="Q35" s="32">
        <v>70</v>
      </c>
      <c r="R35" s="32">
        <v>87</v>
      </c>
      <c r="S35" s="32">
        <v>60</v>
      </c>
      <c r="T35" s="32">
        <v>92</v>
      </c>
      <c r="U35" s="32">
        <v>96</v>
      </c>
      <c r="V35" s="30">
        <v>0.75272727272727269</v>
      </c>
      <c r="W35" s="30">
        <v>0.76515151515151514</v>
      </c>
      <c r="X35" s="32">
        <v>36703.4</v>
      </c>
      <c r="Y35" s="32">
        <v>38930.879999999997</v>
      </c>
      <c r="Z35" s="32">
        <v>75634.28</v>
      </c>
      <c r="AA35" s="3">
        <f t="shared" si="0"/>
        <v>72289.710000000006</v>
      </c>
      <c r="AB35" s="3"/>
      <c r="AC35" s="3"/>
      <c r="AF35" s="3"/>
      <c r="AG35" s="3"/>
      <c r="AH35" s="3"/>
    </row>
    <row r="36" spans="1:34" x14ac:dyDescent="0.25">
      <c r="A36">
        <v>12161</v>
      </c>
      <c r="B36" s="4">
        <v>1.2</v>
      </c>
      <c r="C36" s="2">
        <v>3</v>
      </c>
      <c r="D36" s="2" t="s">
        <v>2</v>
      </c>
      <c r="E36" s="2">
        <v>161</v>
      </c>
      <c r="F36" s="2" t="s">
        <v>23</v>
      </c>
      <c r="G36" s="3">
        <v>0</v>
      </c>
      <c r="H36" s="32">
        <v>51</v>
      </c>
      <c r="I36" s="32">
        <v>9</v>
      </c>
      <c r="J36" s="32">
        <v>53</v>
      </c>
      <c r="K36" s="32">
        <v>18</v>
      </c>
      <c r="L36" s="32">
        <v>55</v>
      </c>
      <c r="M36" s="32">
        <v>22</v>
      </c>
      <c r="N36" s="32">
        <v>46</v>
      </c>
      <c r="O36" s="32">
        <v>27</v>
      </c>
      <c r="P36" s="32">
        <v>37</v>
      </c>
      <c r="Q36" s="32">
        <v>28</v>
      </c>
      <c r="R36" s="32">
        <v>47</v>
      </c>
      <c r="S36" s="32">
        <v>34</v>
      </c>
      <c r="T36" s="32">
        <v>55</v>
      </c>
      <c r="U36" s="32">
        <v>62</v>
      </c>
      <c r="V36" s="30">
        <v>0.3081761006289308</v>
      </c>
      <c r="W36" s="30">
        <v>0.68461538461538463</v>
      </c>
      <c r="X36" s="32">
        <v>8983.1500000000015</v>
      </c>
      <c r="Y36" s="32">
        <v>22496.7</v>
      </c>
      <c r="Z36" s="32">
        <v>31479.850000000002</v>
      </c>
      <c r="AA36" s="3">
        <f t="shared" si="0"/>
        <v>30087.8</v>
      </c>
      <c r="AB36" s="3"/>
      <c r="AC36" s="3"/>
      <c r="AF36" s="3"/>
      <c r="AG36" s="3"/>
      <c r="AH36" s="3"/>
    </row>
    <row r="37" spans="1:34" x14ac:dyDescent="0.25">
      <c r="A37">
        <v>12165</v>
      </c>
      <c r="B37" s="4">
        <v>1.2</v>
      </c>
      <c r="C37" s="2">
        <v>3</v>
      </c>
      <c r="D37" s="2" t="s">
        <v>2</v>
      </c>
      <c r="E37">
        <v>165</v>
      </c>
      <c r="F37" s="2" t="s">
        <v>24</v>
      </c>
      <c r="G37" s="3">
        <v>0</v>
      </c>
      <c r="H37" s="32">
        <v>78</v>
      </c>
      <c r="I37" s="32">
        <v>47</v>
      </c>
      <c r="J37" s="32">
        <v>75</v>
      </c>
      <c r="K37" s="32">
        <v>45</v>
      </c>
      <c r="L37" s="32">
        <v>64</v>
      </c>
      <c r="M37" s="32">
        <v>48</v>
      </c>
      <c r="N37" s="32">
        <v>48</v>
      </c>
      <c r="O37" s="32">
        <v>38</v>
      </c>
      <c r="P37" s="32">
        <v>61</v>
      </c>
      <c r="Q37" s="32">
        <v>47</v>
      </c>
      <c r="R37" s="32">
        <v>55</v>
      </c>
      <c r="S37" s="32">
        <v>43</v>
      </c>
      <c r="T37" s="32">
        <v>69</v>
      </c>
      <c r="U37" s="32">
        <v>75</v>
      </c>
      <c r="V37" s="30">
        <v>0.64516129032258063</v>
      </c>
      <c r="W37" s="30">
        <v>0.78048780487804881</v>
      </c>
      <c r="X37" s="32">
        <v>23593.86</v>
      </c>
      <c r="Y37" s="32">
        <v>31024.500000000004</v>
      </c>
      <c r="Z37" s="32">
        <v>54618.36</v>
      </c>
      <c r="AA37" s="3">
        <f t="shared" si="0"/>
        <v>52203.12</v>
      </c>
      <c r="AB37" s="3"/>
      <c r="AC37" s="3"/>
      <c r="AF37" s="3"/>
      <c r="AG37" s="3"/>
      <c r="AH37" s="3"/>
    </row>
    <row r="38" spans="1:34" x14ac:dyDescent="0.25">
      <c r="A38">
        <v>12167</v>
      </c>
      <c r="B38" s="4">
        <v>1.2</v>
      </c>
      <c r="C38" s="2">
        <v>3</v>
      </c>
      <c r="D38" s="2" t="s">
        <v>2</v>
      </c>
      <c r="E38" s="2">
        <v>167</v>
      </c>
      <c r="F38" s="2" t="s">
        <v>25</v>
      </c>
      <c r="G38" s="3">
        <v>0</v>
      </c>
      <c r="H38" s="32">
        <v>71</v>
      </c>
      <c r="I38" s="32">
        <v>55</v>
      </c>
      <c r="J38" s="32">
        <v>76</v>
      </c>
      <c r="K38" s="32">
        <v>55</v>
      </c>
      <c r="L38" s="32">
        <v>66</v>
      </c>
      <c r="M38" s="32">
        <v>46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68</v>
      </c>
      <c r="U38" s="32">
        <v>0</v>
      </c>
      <c r="V38" s="30">
        <v>0.73239436619718312</v>
      </c>
      <c r="W38" s="30">
        <v>0</v>
      </c>
      <c r="X38" s="32">
        <v>26395.56</v>
      </c>
      <c r="Y38" s="32">
        <v>0</v>
      </c>
      <c r="Z38" s="32">
        <v>26395.56</v>
      </c>
      <c r="AA38" s="3">
        <f t="shared" si="0"/>
        <v>25228.34</v>
      </c>
      <c r="AB38" s="3"/>
      <c r="AC38" s="3"/>
      <c r="AF38" s="3"/>
      <c r="AG38" s="3"/>
      <c r="AH38" s="3"/>
    </row>
    <row r="39" spans="1:34" x14ac:dyDescent="0.25">
      <c r="A39">
        <v>12170</v>
      </c>
      <c r="B39" s="4">
        <v>1.2</v>
      </c>
      <c r="C39" s="2">
        <v>3</v>
      </c>
      <c r="D39" s="2" t="s">
        <v>2</v>
      </c>
      <c r="E39" s="2">
        <v>170</v>
      </c>
      <c r="F39" s="2" t="s">
        <v>26</v>
      </c>
      <c r="G39" s="3">
        <v>0</v>
      </c>
      <c r="H39" s="32">
        <v>42</v>
      </c>
      <c r="I39" s="32">
        <v>21</v>
      </c>
      <c r="J39" s="32">
        <v>49</v>
      </c>
      <c r="K39" s="32">
        <v>22</v>
      </c>
      <c r="L39" s="32">
        <v>57</v>
      </c>
      <c r="M39" s="32">
        <v>37</v>
      </c>
      <c r="N39" s="32">
        <v>39</v>
      </c>
      <c r="O39" s="32">
        <v>33</v>
      </c>
      <c r="P39" s="32">
        <v>39</v>
      </c>
      <c r="Q39" s="32">
        <v>35</v>
      </c>
      <c r="R39" s="32">
        <v>44</v>
      </c>
      <c r="S39" s="32">
        <v>43</v>
      </c>
      <c r="T39" s="32">
        <v>60</v>
      </c>
      <c r="U39" s="32">
        <v>46</v>
      </c>
      <c r="V39" s="30">
        <v>0.54054054054054057</v>
      </c>
      <c r="W39" s="30">
        <v>0.9098360655737705</v>
      </c>
      <c r="X39" s="32">
        <v>17189.400000000001</v>
      </c>
      <c r="Y39" s="32">
        <v>22181.66</v>
      </c>
      <c r="Z39" s="32">
        <v>39371.06</v>
      </c>
      <c r="AA39" s="3">
        <f t="shared" si="0"/>
        <v>37630.06</v>
      </c>
      <c r="AB39" s="3"/>
      <c r="AC39" s="3"/>
      <c r="AF39" s="3"/>
      <c r="AG39" s="3"/>
      <c r="AH39" s="3"/>
    </row>
    <row r="40" spans="1:34" x14ac:dyDescent="0.25">
      <c r="A40">
        <v>12175</v>
      </c>
      <c r="B40" s="4">
        <v>1.2</v>
      </c>
      <c r="C40" s="2">
        <v>3</v>
      </c>
      <c r="D40" s="2" t="s">
        <v>2</v>
      </c>
      <c r="E40" s="2">
        <v>175</v>
      </c>
      <c r="F40" s="2" t="s">
        <v>27</v>
      </c>
      <c r="G40" s="3">
        <v>0</v>
      </c>
      <c r="H40" s="32">
        <v>104</v>
      </c>
      <c r="I40" s="32">
        <v>52</v>
      </c>
      <c r="J40" s="32">
        <v>94</v>
      </c>
      <c r="K40" s="32">
        <v>32</v>
      </c>
      <c r="L40" s="32">
        <v>98</v>
      </c>
      <c r="M40" s="32">
        <v>60</v>
      </c>
      <c r="N40" s="32">
        <v>83</v>
      </c>
      <c r="O40" s="32">
        <v>51</v>
      </c>
      <c r="P40" s="32">
        <v>98</v>
      </c>
      <c r="Q40" s="32">
        <v>72</v>
      </c>
      <c r="R40" s="32">
        <v>92</v>
      </c>
      <c r="S40" s="32">
        <v>61</v>
      </c>
      <c r="T40" s="32">
        <v>111</v>
      </c>
      <c r="U40" s="32">
        <v>106</v>
      </c>
      <c r="V40" s="30">
        <v>0.48648648648648651</v>
      </c>
      <c r="W40" s="30">
        <v>0.67399267399267404</v>
      </c>
      <c r="X40" s="32">
        <v>28620.239999999998</v>
      </c>
      <c r="Y40" s="32">
        <v>37865.32</v>
      </c>
      <c r="Z40" s="32">
        <v>66485.56</v>
      </c>
      <c r="AA40" s="3">
        <f t="shared" si="0"/>
        <v>63545.55</v>
      </c>
      <c r="AB40" s="3"/>
      <c r="AC40" s="3"/>
      <c r="AF40" s="3"/>
      <c r="AG40" s="3"/>
      <c r="AH40" s="3"/>
    </row>
    <row r="41" spans="1:34" x14ac:dyDescent="0.25">
      <c r="A41">
        <v>12179</v>
      </c>
      <c r="B41" s="4">
        <v>1.2</v>
      </c>
      <c r="C41" s="2">
        <v>3</v>
      </c>
      <c r="D41" s="2" t="s">
        <v>2</v>
      </c>
      <c r="E41" s="2">
        <v>179</v>
      </c>
      <c r="F41" s="2" t="s">
        <v>28</v>
      </c>
      <c r="G41" s="3">
        <v>0</v>
      </c>
      <c r="H41" s="32">
        <v>53</v>
      </c>
      <c r="I41" s="32">
        <v>21</v>
      </c>
      <c r="J41" s="32">
        <v>54</v>
      </c>
      <c r="K41" s="32">
        <v>19</v>
      </c>
      <c r="L41" s="32">
        <v>69</v>
      </c>
      <c r="M41" s="32">
        <v>23</v>
      </c>
      <c r="N41" s="32">
        <v>45</v>
      </c>
      <c r="O41" s="32">
        <v>36</v>
      </c>
      <c r="P41" s="32">
        <v>30</v>
      </c>
      <c r="Q41" s="32">
        <v>21</v>
      </c>
      <c r="R41" s="32">
        <v>43</v>
      </c>
      <c r="S41" s="32">
        <v>34</v>
      </c>
      <c r="T41" s="32">
        <v>73</v>
      </c>
      <c r="U41" s="32">
        <v>61</v>
      </c>
      <c r="V41" s="30">
        <v>0.35795454545454547</v>
      </c>
      <c r="W41" s="30">
        <v>0.77118644067796616</v>
      </c>
      <c r="X41" s="32">
        <v>13849.56</v>
      </c>
      <c r="Y41" s="32">
        <v>24932.530000000002</v>
      </c>
      <c r="Z41" s="32">
        <v>38782.090000000004</v>
      </c>
      <c r="AA41" s="3">
        <f t="shared" si="0"/>
        <v>37067.14</v>
      </c>
      <c r="AB41" s="3"/>
      <c r="AC41" s="3"/>
      <c r="AF41" s="3"/>
      <c r="AG41" s="3"/>
      <c r="AH41" s="3"/>
    </row>
    <row r="42" spans="1:34" x14ac:dyDescent="0.25">
      <c r="A42">
        <v>12180</v>
      </c>
      <c r="B42" s="4">
        <v>1.2</v>
      </c>
      <c r="C42" s="2">
        <v>3</v>
      </c>
      <c r="D42" s="2" t="s">
        <v>2</v>
      </c>
      <c r="E42" s="2">
        <v>180</v>
      </c>
      <c r="F42" s="2" t="s">
        <v>29</v>
      </c>
      <c r="G42" s="3">
        <v>0</v>
      </c>
      <c r="H42" s="32">
        <v>77</v>
      </c>
      <c r="I42" s="32">
        <v>64</v>
      </c>
      <c r="J42" s="32">
        <v>81</v>
      </c>
      <c r="K42" s="32">
        <v>68</v>
      </c>
      <c r="L42" s="32">
        <v>74</v>
      </c>
      <c r="M42" s="32">
        <v>70</v>
      </c>
      <c r="N42" s="32">
        <v>67</v>
      </c>
      <c r="O42" s="32">
        <v>38</v>
      </c>
      <c r="P42" s="32">
        <v>75</v>
      </c>
      <c r="Q42" s="32">
        <v>62</v>
      </c>
      <c r="R42" s="32">
        <v>78</v>
      </c>
      <c r="S42" s="32">
        <v>56</v>
      </c>
      <c r="T42" s="32">
        <v>86</v>
      </c>
      <c r="U42" s="32">
        <v>83</v>
      </c>
      <c r="V42" s="30">
        <v>0.87068965517241381</v>
      </c>
      <c r="W42" s="30">
        <v>0.70909090909090911</v>
      </c>
      <c r="X42" s="32">
        <v>39686.420000000006</v>
      </c>
      <c r="Y42" s="32">
        <v>31193.059999999998</v>
      </c>
      <c r="Z42" s="32">
        <v>70879.48000000001</v>
      </c>
      <c r="AA42" s="3">
        <f t="shared" si="0"/>
        <v>67745.17</v>
      </c>
      <c r="AB42" s="3"/>
      <c r="AC42" s="3"/>
      <c r="AF42" s="3"/>
      <c r="AG42" s="3"/>
      <c r="AH42" s="3"/>
    </row>
    <row r="43" spans="1:34" x14ac:dyDescent="0.25">
      <c r="A43">
        <v>12190</v>
      </c>
      <c r="B43" s="4">
        <v>1.2</v>
      </c>
      <c r="C43" s="2">
        <v>3</v>
      </c>
      <c r="D43" s="2" t="s">
        <v>2</v>
      </c>
      <c r="E43" s="2">
        <v>190</v>
      </c>
      <c r="F43" s="2" t="s">
        <v>30</v>
      </c>
      <c r="G43" s="3">
        <v>0</v>
      </c>
      <c r="H43" s="32">
        <v>136</v>
      </c>
      <c r="I43" s="32">
        <v>29</v>
      </c>
      <c r="J43" s="32">
        <v>129</v>
      </c>
      <c r="K43" s="32">
        <v>39</v>
      </c>
      <c r="L43" s="32">
        <v>122</v>
      </c>
      <c r="M43" s="32">
        <v>45</v>
      </c>
      <c r="N43" s="32">
        <v>106</v>
      </c>
      <c r="O43" s="32">
        <v>61</v>
      </c>
      <c r="P43" s="32">
        <v>98</v>
      </c>
      <c r="Q43" s="32">
        <v>80</v>
      </c>
      <c r="R43" s="32">
        <v>111</v>
      </c>
      <c r="S43" s="32">
        <v>91</v>
      </c>
      <c r="T43" s="32">
        <v>120</v>
      </c>
      <c r="U43" s="32">
        <v>131</v>
      </c>
      <c r="V43" s="30">
        <v>0.29198966408268734</v>
      </c>
      <c r="W43" s="30">
        <v>0.73650793650793656</v>
      </c>
      <c r="X43" s="32">
        <v>18570</v>
      </c>
      <c r="Y43" s="32">
        <v>51135.850000000006</v>
      </c>
      <c r="Z43" s="32">
        <v>69705.850000000006</v>
      </c>
      <c r="AA43" s="3">
        <f t="shared" si="0"/>
        <v>66623.44</v>
      </c>
      <c r="AB43" s="3"/>
      <c r="AC43" s="3"/>
      <c r="AF43" s="3"/>
      <c r="AG43" s="3"/>
      <c r="AH43" s="3"/>
    </row>
    <row r="44" spans="1:34" x14ac:dyDescent="0.25">
      <c r="A44">
        <v>12193</v>
      </c>
      <c r="B44" s="4">
        <v>1.2</v>
      </c>
      <c r="C44" s="2">
        <v>3</v>
      </c>
      <c r="D44" s="2" t="s">
        <v>2</v>
      </c>
      <c r="E44" s="2">
        <v>193</v>
      </c>
      <c r="F44" s="2" t="s">
        <v>32</v>
      </c>
      <c r="G44" s="3">
        <v>0</v>
      </c>
      <c r="H44" s="32">
        <v>64</v>
      </c>
      <c r="I44" s="32">
        <v>20</v>
      </c>
      <c r="J44" s="32">
        <v>46</v>
      </c>
      <c r="K44" s="32">
        <v>13</v>
      </c>
      <c r="L44" s="32">
        <v>54</v>
      </c>
      <c r="M44" s="32">
        <v>28</v>
      </c>
      <c r="N44" s="32">
        <v>37</v>
      </c>
      <c r="O44" s="32">
        <v>25</v>
      </c>
      <c r="P44" s="32">
        <v>49</v>
      </c>
      <c r="Q44" s="32">
        <v>40</v>
      </c>
      <c r="R44" s="32">
        <v>34</v>
      </c>
      <c r="S44" s="32">
        <v>24</v>
      </c>
      <c r="T44" s="32">
        <v>60</v>
      </c>
      <c r="U44" s="32">
        <v>54</v>
      </c>
      <c r="V44" s="30">
        <v>0.37195121951219512</v>
      </c>
      <c r="W44" s="30">
        <v>0.7416666666666667</v>
      </c>
      <c r="X44" s="32">
        <v>11827.8</v>
      </c>
      <c r="Y44" s="32">
        <v>21226.32</v>
      </c>
      <c r="Z44" s="32">
        <v>33054.119999999995</v>
      </c>
      <c r="AA44" s="3">
        <f t="shared" si="0"/>
        <v>31592.46</v>
      </c>
      <c r="AB44" s="3"/>
      <c r="AC44" s="3"/>
      <c r="AF44" s="3"/>
      <c r="AG44" s="3"/>
      <c r="AH44" s="3"/>
    </row>
    <row r="45" spans="1:34" x14ac:dyDescent="0.25">
      <c r="A45">
        <v>12210</v>
      </c>
      <c r="B45" s="5">
        <v>1.2</v>
      </c>
      <c r="C45" s="5">
        <v>3</v>
      </c>
      <c r="D45" t="s">
        <v>2</v>
      </c>
      <c r="E45" s="5">
        <v>210</v>
      </c>
      <c r="F45" s="6" t="s">
        <v>33</v>
      </c>
      <c r="G45" s="3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20</v>
      </c>
      <c r="O45" s="32">
        <v>18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0">
        <v>0</v>
      </c>
      <c r="W45" s="30">
        <v>0.9</v>
      </c>
      <c r="X45" s="32">
        <v>0</v>
      </c>
      <c r="Y45" s="32">
        <v>0</v>
      </c>
      <c r="Z45" s="32">
        <v>0</v>
      </c>
      <c r="AA45" s="3">
        <f t="shared" si="0"/>
        <v>0</v>
      </c>
      <c r="AB45" s="3"/>
      <c r="AC45" s="3"/>
      <c r="AF45" s="3"/>
      <c r="AG45" s="3"/>
      <c r="AH45" s="3"/>
    </row>
    <row r="46" spans="1:34" x14ac:dyDescent="0.25">
      <c r="A46">
        <v>12225</v>
      </c>
      <c r="B46" s="4">
        <v>1.2</v>
      </c>
      <c r="C46" s="2">
        <v>3</v>
      </c>
      <c r="D46" s="2" t="s">
        <v>2</v>
      </c>
      <c r="E46" s="2">
        <v>225</v>
      </c>
      <c r="F46" s="2" t="s">
        <v>34</v>
      </c>
      <c r="G46" s="3">
        <v>0</v>
      </c>
      <c r="H46" s="32">
        <v>39</v>
      </c>
      <c r="I46" s="32">
        <v>15</v>
      </c>
      <c r="J46" s="32">
        <v>39</v>
      </c>
      <c r="K46" s="32">
        <v>9</v>
      </c>
      <c r="L46" s="32">
        <v>41</v>
      </c>
      <c r="M46" s="32">
        <v>12</v>
      </c>
      <c r="N46" s="32">
        <v>32</v>
      </c>
      <c r="O46" s="32">
        <v>21</v>
      </c>
      <c r="P46" s="32">
        <v>34</v>
      </c>
      <c r="Q46" s="32">
        <v>24</v>
      </c>
      <c r="R46" s="32">
        <v>36</v>
      </c>
      <c r="S46" s="32">
        <v>24</v>
      </c>
      <c r="T46" s="32">
        <v>41</v>
      </c>
      <c r="U46" s="32">
        <v>40</v>
      </c>
      <c r="V46" s="30">
        <v>0.30252100840336132</v>
      </c>
      <c r="W46" s="30">
        <v>0.67647058823529416</v>
      </c>
      <c r="X46" s="32">
        <v>6573.9400000000005</v>
      </c>
      <c r="Y46" s="32">
        <v>14341.199999999999</v>
      </c>
      <c r="Z46" s="32">
        <v>20915.14</v>
      </c>
      <c r="AA46" s="3">
        <f t="shared" si="0"/>
        <v>19990.27</v>
      </c>
      <c r="AB46" s="3"/>
      <c r="AC46" s="3"/>
      <c r="AF46" s="3"/>
      <c r="AG46" s="3"/>
      <c r="AH46" s="3"/>
    </row>
    <row r="47" spans="1:34" x14ac:dyDescent="0.25">
      <c r="A47">
        <v>12226</v>
      </c>
      <c r="B47" s="4">
        <v>1.2</v>
      </c>
      <c r="C47" s="2">
        <v>3</v>
      </c>
      <c r="D47" s="2" t="s">
        <v>2</v>
      </c>
      <c r="E47" s="2">
        <v>226</v>
      </c>
      <c r="F47" s="2" t="s">
        <v>35</v>
      </c>
      <c r="G47" s="3">
        <v>0</v>
      </c>
      <c r="H47" s="32">
        <v>58</v>
      </c>
      <c r="I47" s="32">
        <v>40</v>
      </c>
      <c r="J47" s="32">
        <v>64</v>
      </c>
      <c r="K47" s="32">
        <v>47</v>
      </c>
      <c r="L47" s="32">
        <v>63</v>
      </c>
      <c r="M47" s="32">
        <v>50</v>
      </c>
      <c r="N47" s="32">
        <v>62</v>
      </c>
      <c r="O47" s="32">
        <v>39</v>
      </c>
      <c r="P47" s="32">
        <v>49</v>
      </c>
      <c r="Q47" s="32">
        <v>37</v>
      </c>
      <c r="R47" s="32">
        <v>55</v>
      </c>
      <c r="S47" s="32">
        <v>41</v>
      </c>
      <c r="T47" s="32">
        <v>66</v>
      </c>
      <c r="U47" s="32">
        <v>59</v>
      </c>
      <c r="V47" s="30">
        <v>0.74054054054054053</v>
      </c>
      <c r="W47" s="30">
        <v>0.70481927710843373</v>
      </c>
      <c r="X47" s="32">
        <v>25904.34</v>
      </c>
      <c r="Y47" s="32">
        <v>22039.45</v>
      </c>
      <c r="Z47" s="32">
        <v>47943.79</v>
      </c>
      <c r="AA47" s="3">
        <f t="shared" si="0"/>
        <v>45823.7</v>
      </c>
      <c r="AB47" s="3"/>
      <c r="AC47" s="3"/>
      <c r="AF47" s="3"/>
      <c r="AG47" s="3"/>
      <c r="AH47" s="3"/>
    </row>
    <row r="48" spans="1:34" x14ac:dyDescent="0.25">
      <c r="A48">
        <v>12249</v>
      </c>
      <c r="B48" s="4">
        <v>1.2</v>
      </c>
      <c r="C48" s="2">
        <v>3</v>
      </c>
      <c r="D48" s="2" t="s">
        <v>2</v>
      </c>
      <c r="E48">
        <v>249</v>
      </c>
      <c r="F48" s="2" t="s">
        <v>36</v>
      </c>
      <c r="G48" s="3">
        <v>0</v>
      </c>
      <c r="H48" s="32">
        <v>76</v>
      </c>
      <c r="I48" s="32">
        <v>33</v>
      </c>
      <c r="J48" s="32">
        <v>64</v>
      </c>
      <c r="K48" s="32">
        <v>34</v>
      </c>
      <c r="L48" s="32">
        <v>51</v>
      </c>
      <c r="M48" s="32">
        <v>24</v>
      </c>
      <c r="N48" s="32">
        <v>37</v>
      </c>
      <c r="O48" s="32">
        <v>21</v>
      </c>
      <c r="P48" s="32">
        <v>64</v>
      </c>
      <c r="Q48" s="32">
        <v>47</v>
      </c>
      <c r="R48" s="32">
        <v>54</v>
      </c>
      <c r="S48" s="32">
        <v>42</v>
      </c>
      <c r="T48" s="32">
        <v>56</v>
      </c>
      <c r="U48" s="32">
        <v>64</v>
      </c>
      <c r="V48" s="30">
        <v>0.47643979057591623</v>
      </c>
      <c r="W48" s="30">
        <v>0.70967741935483875</v>
      </c>
      <c r="X48" s="32">
        <v>14140.56</v>
      </c>
      <c r="Y48" s="32">
        <v>24072.32</v>
      </c>
      <c r="Z48" s="32">
        <v>38212.879999999997</v>
      </c>
      <c r="AA48" s="3">
        <f t="shared" si="0"/>
        <v>36523.1</v>
      </c>
      <c r="AB48" s="3"/>
      <c r="AC48" s="3"/>
      <c r="AF48" s="3"/>
      <c r="AG48" s="3"/>
      <c r="AH48" s="3"/>
    </row>
    <row r="49" spans="1:34" x14ac:dyDescent="0.25">
      <c r="A49">
        <v>12256</v>
      </c>
      <c r="B49" s="4">
        <v>1.2</v>
      </c>
      <c r="C49" s="2">
        <v>3</v>
      </c>
      <c r="D49" s="2" t="s">
        <v>2</v>
      </c>
      <c r="E49" s="2">
        <v>256</v>
      </c>
      <c r="F49" s="2" t="s">
        <v>37</v>
      </c>
      <c r="G49" s="3">
        <v>0</v>
      </c>
      <c r="H49" s="32">
        <v>54</v>
      </c>
      <c r="I49" s="32">
        <v>15</v>
      </c>
      <c r="J49" s="32">
        <v>66</v>
      </c>
      <c r="K49" s="32">
        <v>18</v>
      </c>
      <c r="L49" s="32">
        <v>56</v>
      </c>
      <c r="M49" s="32">
        <v>22</v>
      </c>
      <c r="N49" s="32">
        <v>50</v>
      </c>
      <c r="O49" s="32">
        <v>35</v>
      </c>
      <c r="P49" s="32">
        <v>49</v>
      </c>
      <c r="Q49" s="32">
        <v>32</v>
      </c>
      <c r="R49" s="32">
        <v>60</v>
      </c>
      <c r="S49" s="32">
        <v>43</v>
      </c>
      <c r="T49" s="32">
        <v>56</v>
      </c>
      <c r="U49" s="32">
        <v>75</v>
      </c>
      <c r="V49" s="30">
        <v>0.3125</v>
      </c>
      <c r="W49" s="30">
        <v>0.69182389937106914</v>
      </c>
      <c r="X49" s="32">
        <v>9275.2799999999988</v>
      </c>
      <c r="Y49" s="32">
        <v>27500.25</v>
      </c>
      <c r="Z49" s="32">
        <v>36775.53</v>
      </c>
      <c r="AA49" s="3">
        <f t="shared" si="0"/>
        <v>35149.31</v>
      </c>
      <c r="AB49" s="3"/>
      <c r="AC49" s="3"/>
      <c r="AF49" s="3"/>
      <c r="AG49" s="3"/>
      <c r="AH49" s="3"/>
    </row>
    <row r="50" spans="1:34" x14ac:dyDescent="0.25">
      <c r="A50">
        <v>12260</v>
      </c>
      <c r="B50" s="4">
        <v>1.2</v>
      </c>
      <c r="C50" s="2">
        <v>3</v>
      </c>
      <c r="D50" s="2" t="s">
        <v>2</v>
      </c>
      <c r="E50" s="2">
        <v>260</v>
      </c>
      <c r="F50" s="2" t="s">
        <v>38</v>
      </c>
      <c r="G50" s="3">
        <v>0</v>
      </c>
      <c r="H50" s="32">
        <v>60</v>
      </c>
      <c r="I50" s="32">
        <v>33</v>
      </c>
      <c r="J50" s="32">
        <v>57</v>
      </c>
      <c r="K50" s="32">
        <v>23</v>
      </c>
      <c r="L50" s="32">
        <v>64</v>
      </c>
      <c r="M50" s="32">
        <v>36</v>
      </c>
      <c r="N50" s="32">
        <v>56</v>
      </c>
      <c r="O50" s="32">
        <v>35</v>
      </c>
      <c r="P50" s="32">
        <v>45</v>
      </c>
      <c r="Q50" s="32">
        <v>41</v>
      </c>
      <c r="R50" s="32">
        <v>54</v>
      </c>
      <c r="S50" s="32">
        <v>39</v>
      </c>
      <c r="T50" s="32">
        <v>64</v>
      </c>
      <c r="U50" s="32">
        <v>56</v>
      </c>
      <c r="V50" s="30">
        <v>0.50828729281767959</v>
      </c>
      <c r="W50" s="30">
        <v>0.74193548387096775</v>
      </c>
      <c r="X50" s="32">
        <v>17240.96</v>
      </c>
      <c r="Y50" s="32">
        <v>22020.880000000001</v>
      </c>
      <c r="Z50" s="32">
        <v>39261.839999999997</v>
      </c>
      <c r="AA50" s="3">
        <f t="shared" si="0"/>
        <v>37525.67</v>
      </c>
      <c r="AB50" s="3"/>
      <c r="AC50" s="3"/>
      <c r="AF50" s="3"/>
      <c r="AG50" s="3"/>
      <c r="AH50" s="3"/>
    </row>
    <row r="51" spans="1:34" x14ac:dyDescent="0.25">
      <c r="A51">
        <v>12282</v>
      </c>
      <c r="B51" s="4">
        <v>1.2</v>
      </c>
      <c r="C51" s="2">
        <v>3</v>
      </c>
      <c r="D51" s="2" t="s">
        <v>2</v>
      </c>
      <c r="E51" s="2">
        <v>282</v>
      </c>
      <c r="F51" s="2" t="s">
        <v>39</v>
      </c>
      <c r="G51" s="3">
        <v>0</v>
      </c>
      <c r="H51" s="32">
        <v>58</v>
      </c>
      <c r="I51" s="32">
        <v>19</v>
      </c>
      <c r="J51" s="32">
        <v>50</v>
      </c>
      <c r="K51" s="32">
        <v>18</v>
      </c>
      <c r="L51" s="32">
        <v>61</v>
      </c>
      <c r="M51" s="32">
        <v>22</v>
      </c>
      <c r="N51" s="32">
        <v>38</v>
      </c>
      <c r="O51" s="32">
        <v>23</v>
      </c>
      <c r="P51" s="32">
        <v>52</v>
      </c>
      <c r="Q51" s="32">
        <v>31</v>
      </c>
      <c r="R51" s="32">
        <v>49</v>
      </c>
      <c r="S51" s="32">
        <v>38</v>
      </c>
      <c r="T51" s="32">
        <v>65</v>
      </c>
      <c r="U51" s="32">
        <v>66</v>
      </c>
      <c r="V51" s="30">
        <v>0.34911242603550297</v>
      </c>
      <c r="W51" s="30">
        <v>0.66187050359712229</v>
      </c>
      <c r="X51" s="32">
        <v>12026.95</v>
      </c>
      <c r="Y51" s="32">
        <v>23152.140000000003</v>
      </c>
      <c r="Z51" s="32">
        <v>35179.090000000004</v>
      </c>
      <c r="AA51" s="3">
        <f t="shared" si="0"/>
        <v>33623.46</v>
      </c>
      <c r="AB51" s="3"/>
      <c r="AC51" s="3"/>
      <c r="AF51" s="3"/>
      <c r="AG51" s="3"/>
      <c r="AH51" s="3"/>
    </row>
    <row r="52" spans="1:34" x14ac:dyDescent="0.25">
      <c r="A52">
        <v>12283</v>
      </c>
      <c r="B52">
        <v>1.2</v>
      </c>
      <c r="C52">
        <v>3</v>
      </c>
      <c r="D52" t="s">
        <v>1153</v>
      </c>
      <c r="E52">
        <v>283</v>
      </c>
      <c r="F52" t="s">
        <v>1154</v>
      </c>
      <c r="G52" s="3">
        <v>1</v>
      </c>
      <c r="H52" s="32" t="s">
        <v>1328</v>
      </c>
      <c r="I52" s="32" t="s">
        <v>1328</v>
      </c>
      <c r="J52" s="32" t="s">
        <v>1328</v>
      </c>
      <c r="K52" s="32" t="s">
        <v>1328</v>
      </c>
      <c r="L52" s="32" t="s">
        <v>1328</v>
      </c>
      <c r="M52" s="32" t="s">
        <v>1328</v>
      </c>
      <c r="N52" s="32" t="s">
        <v>1328</v>
      </c>
      <c r="O52" s="32" t="s">
        <v>1328</v>
      </c>
      <c r="P52" s="32" t="s">
        <v>1328</v>
      </c>
      <c r="Q52" s="32" t="s">
        <v>1328</v>
      </c>
      <c r="R52" s="32" t="s">
        <v>1328</v>
      </c>
      <c r="S52" s="32" t="s">
        <v>1328</v>
      </c>
      <c r="T52" s="32">
        <v>0</v>
      </c>
      <c r="U52" s="32">
        <v>0</v>
      </c>
      <c r="V52" s="30" t="s">
        <v>1328</v>
      </c>
      <c r="W52" s="30" t="s">
        <v>1328</v>
      </c>
      <c r="X52" s="32" t="s">
        <v>1328</v>
      </c>
      <c r="Y52" s="32" t="s">
        <v>1328</v>
      </c>
      <c r="Z52" s="32">
        <v>0</v>
      </c>
      <c r="AA52" s="3">
        <f t="shared" si="0"/>
        <v>0</v>
      </c>
      <c r="AB52" s="3"/>
      <c r="AC52" s="3"/>
      <c r="AF52" s="3"/>
      <c r="AG52" s="3"/>
      <c r="AH52" s="3"/>
    </row>
    <row r="53" spans="1:34" x14ac:dyDescent="0.25">
      <c r="A53">
        <v>12287</v>
      </c>
      <c r="B53" s="4">
        <v>1.2</v>
      </c>
      <c r="C53" s="2">
        <v>3</v>
      </c>
      <c r="D53" s="2" t="s">
        <v>2</v>
      </c>
      <c r="E53" s="2">
        <v>287</v>
      </c>
      <c r="F53" s="2" t="s">
        <v>40</v>
      </c>
      <c r="G53" s="3">
        <v>0</v>
      </c>
      <c r="H53" s="32">
        <v>48</v>
      </c>
      <c r="I53" s="32">
        <v>15</v>
      </c>
      <c r="J53" s="32">
        <v>63</v>
      </c>
      <c r="K53" s="32">
        <v>27</v>
      </c>
      <c r="L53" s="32">
        <v>61</v>
      </c>
      <c r="M53" s="32">
        <v>30</v>
      </c>
      <c r="N53" s="32">
        <v>44</v>
      </c>
      <c r="O53" s="32">
        <v>20</v>
      </c>
      <c r="P53" s="32">
        <v>40</v>
      </c>
      <c r="Q53" s="32">
        <v>35</v>
      </c>
      <c r="R53" s="32">
        <v>52</v>
      </c>
      <c r="S53" s="32">
        <v>41</v>
      </c>
      <c r="T53" s="32">
        <v>62</v>
      </c>
      <c r="U53" s="32">
        <v>57</v>
      </c>
      <c r="V53" s="30">
        <v>0.41860465116279072</v>
      </c>
      <c r="W53" s="30">
        <v>0.70588235294117652</v>
      </c>
      <c r="X53" s="32">
        <v>13755.320000000002</v>
      </c>
      <c r="Y53" s="32">
        <v>21324.84</v>
      </c>
      <c r="Z53" s="32">
        <v>35080.160000000003</v>
      </c>
      <c r="AA53" s="3">
        <f t="shared" si="0"/>
        <v>33528.910000000003</v>
      </c>
      <c r="AB53" s="3"/>
      <c r="AC53" s="3"/>
      <c r="AF53" s="3"/>
      <c r="AG53" s="3"/>
      <c r="AH53" s="3"/>
    </row>
    <row r="54" spans="1:34" x14ac:dyDescent="0.25">
      <c r="A54">
        <v>12288</v>
      </c>
      <c r="B54" s="4">
        <v>1.2</v>
      </c>
      <c r="C54" s="2">
        <v>3</v>
      </c>
      <c r="D54" s="2" t="s">
        <v>2</v>
      </c>
      <c r="E54" s="2">
        <v>288</v>
      </c>
      <c r="F54" s="2" t="s">
        <v>41</v>
      </c>
      <c r="G54" s="3">
        <v>0</v>
      </c>
      <c r="H54" s="32">
        <v>85</v>
      </c>
      <c r="I54" s="32">
        <v>21</v>
      </c>
      <c r="J54" s="32">
        <v>70</v>
      </c>
      <c r="K54" s="32">
        <v>35</v>
      </c>
      <c r="L54" s="32">
        <v>81</v>
      </c>
      <c r="M54" s="32">
        <v>39</v>
      </c>
      <c r="N54" s="32">
        <v>53</v>
      </c>
      <c r="O54" s="32">
        <v>38</v>
      </c>
      <c r="P54" s="32">
        <v>64</v>
      </c>
      <c r="Q54" s="32">
        <v>49</v>
      </c>
      <c r="R54" s="32">
        <v>67</v>
      </c>
      <c r="S54" s="32">
        <v>42</v>
      </c>
      <c r="T54" s="32">
        <v>84</v>
      </c>
      <c r="U54" s="32">
        <v>86</v>
      </c>
      <c r="V54" s="30">
        <v>0.40254237288135591</v>
      </c>
      <c r="W54" s="30">
        <v>0.70108695652173914</v>
      </c>
      <c r="X54" s="32">
        <v>17921.399999999998</v>
      </c>
      <c r="Y54" s="32">
        <v>31955.879999999997</v>
      </c>
      <c r="Z54" s="32">
        <v>49877.279999999999</v>
      </c>
      <c r="AA54" s="3">
        <f t="shared" si="0"/>
        <v>47671.69</v>
      </c>
      <c r="AB54" s="3"/>
      <c r="AC54" s="3"/>
      <c r="AF54" s="3"/>
      <c r="AG54" s="3"/>
      <c r="AH54" s="3"/>
    </row>
    <row r="55" spans="1:34" x14ac:dyDescent="0.25">
      <c r="A55">
        <v>12289</v>
      </c>
      <c r="B55" s="4">
        <v>1.2</v>
      </c>
      <c r="C55" s="2">
        <v>3</v>
      </c>
      <c r="D55" s="2" t="s">
        <v>2</v>
      </c>
      <c r="E55" s="2">
        <v>289</v>
      </c>
      <c r="F55" s="2" t="s">
        <v>42</v>
      </c>
      <c r="G55" s="3">
        <v>0</v>
      </c>
      <c r="H55" s="32">
        <v>93</v>
      </c>
      <c r="I55" s="32">
        <v>56</v>
      </c>
      <c r="J55" s="32">
        <v>91</v>
      </c>
      <c r="K55" s="32">
        <v>55</v>
      </c>
      <c r="L55" s="32">
        <v>100</v>
      </c>
      <c r="M55" s="32">
        <v>58</v>
      </c>
      <c r="N55" s="32">
        <v>50</v>
      </c>
      <c r="O55" s="32">
        <v>39</v>
      </c>
      <c r="P55" s="32">
        <v>84</v>
      </c>
      <c r="Q55" s="32">
        <v>68</v>
      </c>
      <c r="R55" s="32">
        <v>85</v>
      </c>
      <c r="S55" s="32">
        <v>60</v>
      </c>
      <c r="T55" s="32">
        <v>102</v>
      </c>
      <c r="U55" s="32">
        <v>97</v>
      </c>
      <c r="V55" s="30">
        <v>0.59507042253521125</v>
      </c>
      <c r="W55" s="30">
        <v>0.76255707762557079</v>
      </c>
      <c r="X55" s="32">
        <v>32169.78</v>
      </c>
      <c r="Y55" s="32">
        <v>39203.520000000004</v>
      </c>
      <c r="Z55" s="32">
        <v>71373.3</v>
      </c>
      <c r="AA55" s="3">
        <f t="shared" si="0"/>
        <v>68217.16</v>
      </c>
      <c r="AB55" s="3"/>
      <c r="AC55" s="3"/>
      <c r="AF55" s="3"/>
      <c r="AG55" s="3"/>
      <c r="AH55" s="3"/>
    </row>
    <row r="56" spans="1:34" x14ac:dyDescent="0.25">
      <c r="A56">
        <v>12290</v>
      </c>
      <c r="B56" s="4">
        <v>1.2</v>
      </c>
      <c r="C56" s="2">
        <v>3</v>
      </c>
      <c r="D56" s="2" t="s">
        <v>2</v>
      </c>
      <c r="E56" s="2">
        <v>290</v>
      </c>
      <c r="F56" s="2" t="s">
        <v>43</v>
      </c>
      <c r="G56" s="3">
        <v>1</v>
      </c>
      <c r="H56" s="32" t="s">
        <v>1328</v>
      </c>
      <c r="I56" s="32" t="s">
        <v>1328</v>
      </c>
      <c r="J56" s="32" t="s">
        <v>1328</v>
      </c>
      <c r="K56" s="32" t="s">
        <v>1328</v>
      </c>
      <c r="L56" s="32" t="s">
        <v>1328</v>
      </c>
      <c r="M56" s="32" t="s">
        <v>1328</v>
      </c>
      <c r="N56" s="32" t="s">
        <v>1328</v>
      </c>
      <c r="O56" s="32" t="s">
        <v>1328</v>
      </c>
      <c r="P56" s="32" t="s">
        <v>1328</v>
      </c>
      <c r="Q56" s="32" t="s">
        <v>1328</v>
      </c>
      <c r="R56" s="32" t="s">
        <v>1328</v>
      </c>
      <c r="S56" s="32" t="s">
        <v>1328</v>
      </c>
      <c r="T56" s="32">
        <v>8</v>
      </c>
      <c r="U56" s="32">
        <v>7</v>
      </c>
      <c r="V56" s="30" t="s">
        <v>1328</v>
      </c>
      <c r="W56" s="30" t="s">
        <v>1328</v>
      </c>
      <c r="X56" s="32" t="s">
        <v>1328</v>
      </c>
      <c r="Y56" s="32" t="s">
        <v>1328</v>
      </c>
      <c r="Z56" s="32">
        <v>4000.59</v>
      </c>
      <c r="AA56" s="3">
        <f t="shared" si="0"/>
        <v>3823.68</v>
      </c>
      <c r="AB56" s="3"/>
      <c r="AC56" s="3"/>
      <c r="AF56" s="3"/>
      <c r="AG56" s="3"/>
      <c r="AH56" s="3"/>
    </row>
    <row r="57" spans="1:34" x14ac:dyDescent="0.25">
      <c r="A57">
        <v>12291</v>
      </c>
      <c r="B57" s="4">
        <v>1.2</v>
      </c>
      <c r="C57" s="2">
        <v>3</v>
      </c>
      <c r="D57" s="2" t="s">
        <v>2</v>
      </c>
      <c r="E57" s="2">
        <v>291</v>
      </c>
      <c r="F57" s="2" t="s">
        <v>44</v>
      </c>
      <c r="G57" s="3">
        <v>0</v>
      </c>
      <c r="H57" s="32">
        <v>37</v>
      </c>
      <c r="I57" s="32">
        <v>5</v>
      </c>
      <c r="J57" s="32">
        <v>33</v>
      </c>
      <c r="K57" s="32">
        <v>12</v>
      </c>
      <c r="L57" s="32">
        <v>46</v>
      </c>
      <c r="M57" s="32">
        <v>9</v>
      </c>
      <c r="N57" s="32">
        <v>23</v>
      </c>
      <c r="O57" s="32">
        <v>15</v>
      </c>
      <c r="P57" s="32">
        <v>31</v>
      </c>
      <c r="Q57" s="32">
        <v>21</v>
      </c>
      <c r="R57" s="32">
        <v>23</v>
      </c>
      <c r="S57" s="32">
        <v>17</v>
      </c>
      <c r="T57" s="32">
        <v>47</v>
      </c>
      <c r="U57" s="32">
        <v>34</v>
      </c>
      <c r="V57" s="30">
        <v>0.22413793103448276</v>
      </c>
      <c r="W57" s="30">
        <v>0.68831168831168832</v>
      </c>
      <c r="X57" s="32">
        <v>5583.13</v>
      </c>
      <c r="Y57" s="32">
        <v>12403.54</v>
      </c>
      <c r="Z57" s="32">
        <v>17986.670000000002</v>
      </c>
      <c r="AA57" s="3">
        <f t="shared" si="0"/>
        <v>17191.3</v>
      </c>
      <c r="AB57" s="3"/>
      <c r="AC57" s="3"/>
      <c r="AF57" s="3"/>
      <c r="AG57" s="3"/>
      <c r="AH57" s="3"/>
    </row>
    <row r="58" spans="1:34" x14ac:dyDescent="0.25">
      <c r="A58">
        <v>12311</v>
      </c>
      <c r="B58">
        <v>1.2</v>
      </c>
      <c r="C58">
        <v>3</v>
      </c>
      <c r="D58" t="s">
        <v>1153</v>
      </c>
      <c r="E58">
        <v>311</v>
      </c>
      <c r="F58" t="s">
        <v>1155</v>
      </c>
      <c r="G58" s="3">
        <v>1</v>
      </c>
      <c r="H58" s="32" t="s">
        <v>1328</v>
      </c>
      <c r="I58" s="32" t="s">
        <v>1328</v>
      </c>
      <c r="J58" s="32" t="s">
        <v>1328</v>
      </c>
      <c r="K58" s="32" t="s">
        <v>1328</v>
      </c>
      <c r="L58" s="32" t="s">
        <v>1328</v>
      </c>
      <c r="M58" s="32" t="s">
        <v>1328</v>
      </c>
      <c r="N58" s="32" t="s">
        <v>1328</v>
      </c>
      <c r="O58" s="32" t="s">
        <v>1328</v>
      </c>
      <c r="P58" s="32" t="s">
        <v>1328</v>
      </c>
      <c r="Q58" s="32" t="s">
        <v>1328</v>
      </c>
      <c r="R58" s="32" t="s">
        <v>1328</v>
      </c>
      <c r="S58" s="32" t="s">
        <v>1328</v>
      </c>
      <c r="T58" s="32">
        <v>6</v>
      </c>
      <c r="U58" s="32">
        <v>7</v>
      </c>
      <c r="V58" s="30" t="s">
        <v>1328</v>
      </c>
      <c r="W58" s="30" t="s">
        <v>1328</v>
      </c>
      <c r="X58" s="32" t="s">
        <v>1328</v>
      </c>
      <c r="Y58" s="32" t="s">
        <v>1328</v>
      </c>
      <c r="Z58" s="32">
        <v>2755.98</v>
      </c>
      <c r="AA58" s="3">
        <f t="shared" si="0"/>
        <v>2634.11</v>
      </c>
      <c r="AB58" s="3"/>
      <c r="AC58" s="3"/>
      <c r="AF58" s="3"/>
      <c r="AG58" s="3"/>
      <c r="AH58" s="3"/>
    </row>
    <row r="59" spans="1:34" x14ac:dyDescent="0.25">
      <c r="A59">
        <v>12401</v>
      </c>
      <c r="B59">
        <v>1.2</v>
      </c>
      <c r="C59">
        <v>3</v>
      </c>
      <c r="D59" t="s">
        <v>1153</v>
      </c>
      <c r="E59">
        <v>401</v>
      </c>
      <c r="F59" t="s">
        <v>1156</v>
      </c>
      <c r="G59" s="3">
        <v>1</v>
      </c>
      <c r="H59" s="32" t="s">
        <v>1328</v>
      </c>
      <c r="I59" s="32" t="s">
        <v>1328</v>
      </c>
      <c r="J59" s="32" t="s">
        <v>1328</v>
      </c>
      <c r="K59" s="32" t="s">
        <v>1328</v>
      </c>
      <c r="L59" s="32" t="s">
        <v>1328</v>
      </c>
      <c r="M59" s="32" t="s">
        <v>1328</v>
      </c>
      <c r="N59" s="32" t="s">
        <v>1328</v>
      </c>
      <c r="O59" s="32" t="s">
        <v>1328</v>
      </c>
      <c r="P59" s="32" t="s">
        <v>1328</v>
      </c>
      <c r="Q59" s="32" t="s">
        <v>1328</v>
      </c>
      <c r="R59" s="32" t="s">
        <v>1328</v>
      </c>
      <c r="S59" s="32" t="s">
        <v>1328</v>
      </c>
      <c r="T59" s="32">
        <v>0</v>
      </c>
      <c r="U59" s="32">
        <v>1</v>
      </c>
      <c r="V59" s="30" t="s">
        <v>1328</v>
      </c>
      <c r="W59" s="30" t="s">
        <v>1328</v>
      </c>
      <c r="X59" s="32" t="s">
        <v>1328</v>
      </c>
      <c r="Y59" s="32" t="s">
        <v>1328</v>
      </c>
      <c r="Z59" s="32">
        <v>0</v>
      </c>
      <c r="AA59" s="3">
        <f t="shared" si="0"/>
        <v>0</v>
      </c>
      <c r="AB59" s="3"/>
      <c r="AC59" s="3"/>
      <c r="AF59" s="3"/>
      <c r="AG59" s="3"/>
      <c r="AH59" s="3"/>
    </row>
    <row r="60" spans="1:34" x14ac:dyDescent="0.25">
      <c r="A60">
        <v>12405</v>
      </c>
      <c r="B60">
        <v>1.2</v>
      </c>
      <c r="C60">
        <v>3</v>
      </c>
      <c r="D60" t="s">
        <v>1153</v>
      </c>
      <c r="E60">
        <v>405</v>
      </c>
      <c r="F60" t="s">
        <v>1157</v>
      </c>
      <c r="G60" s="3">
        <v>1</v>
      </c>
      <c r="H60" s="32" t="s">
        <v>1328</v>
      </c>
      <c r="I60" s="32" t="s">
        <v>1328</v>
      </c>
      <c r="J60" s="32" t="s">
        <v>1328</v>
      </c>
      <c r="K60" s="32" t="s">
        <v>1328</v>
      </c>
      <c r="L60" s="32" t="s">
        <v>1328</v>
      </c>
      <c r="M60" s="32" t="s">
        <v>1328</v>
      </c>
      <c r="N60" s="32" t="s">
        <v>1328</v>
      </c>
      <c r="O60" s="32" t="s">
        <v>1328</v>
      </c>
      <c r="P60" s="32" t="s">
        <v>1328</v>
      </c>
      <c r="Q60" s="32" t="s">
        <v>1328</v>
      </c>
      <c r="R60" s="32" t="s">
        <v>1328</v>
      </c>
      <c r="S60" s="32" t="s">
        <v>1328</v>
      </c>
      <c r="T60" s="32">
        <v>11</v>
      </c>
      <c r="U60" s="32">
        <v>8</v>
      </c>
      <c r="V60" s="30" t="s">
        <v>1328</v>
      </c>
      <c r="W60" s="30" t="s">
        <v>1328</v>
      </c>
      <c r="X60" s="32" t="s">
        <v>1328</v>
      </c>
      <c r="Y60" s="32" t="s">
        <v>1328</v>
      </c>
      <c r="Z60" s="32">
        <v>5690.65</v>
      </c>
      <c r="AA60" s="3">
        <f t="shared" si="0"/>
        <v>5439.01</v>
      </c>
      <c r="AB60" s="3"/>
      <c r="AC60" s="3"/>
      <c r="AF60" s="3"/>
      <c r="AG60" s="3"/>
      <c r="AH60" s="3"/>
    </row>
    <row r="61" spans="1:34" x14ac:dyDescent="0.25">
      <c r="A61">
        <v>12418</v>
      </c>
      <c r="B61">
        <v>1.2</v>
      </c>
      <c r="C61">
        <v>3</v>
      </c>
      <c r="D61" t="s">
        <v>1153</v>
      </c>
      <c r="E61">
        <v>418</v>
      </c>
      <c r="F61" t="s">
        <v>1158</v>
      </c>
      <c r="G61" s="3">
        <v>1</v>
      </c>
      <c r="H61" s="32" t="s">
        <v>1328</v>
      </c>
      <c r="I61" s="32" t="s">
        <v>1328</v>
      </c>
      <c r="J61" s="32" t="s">
        <v>1328</v>
      </c>
      <c r="K61" s="32" t="s">
        <v>1328</v>
      </c>
      <c r="L61" s="32" t="s">
        <v>1328</v>
      </c>
      <c r="M61" s="32" t="s">
        <v>1328</v>
      </c>
      <c r="N61" s="32" t="s">
        <v>1328</v>
      </c>
      <c r="O61" s="32" t="s">
        <v>1328</v>
      </c>
      <c r="P61" s="32" t="s">
        <v>1328</v>
      </c>
      <c r="Q61" s="32" t="s">
        <v>1328</v>
      </c>
      <c r="R61" s="32" t="s">
        <v>1328</v>
      </c>
      <c r="S61" s="32" t="s">
        <v>1328</v>
      </c>
      <c r="T61" s="32">
        <v>5</v>
      </c>
      <c r="U61" s="32">
        <v>0</v>
      </c>
      <c r="V61" s="30" t="s">
        <v>1328</v>
      </c>
      <c r="W61" s="30" t="s">
        <v>1328</v>
      </c>
      <c r="X61" s="32" t="s">
        <v>1328</v>
      </c>
      <c r="Y61" s="32" t="s">
        <v>1328</v>
      </c>
      <c r="Z61" s="32">
        <v>331.25</v>
      </c>
      <c r="AA61" s="3">
        <f t="shared" si="0"/>
        <v>316.60000000000002</v>
      </c>
      <c r="AB61" s="3"/>
      <c r="AC61" s="3"/>
      <c r="AF61" s="3"/>
      <c r="AG61" s="3"/>
      <c r="AH61" s="3"/>
    </row>
    <row r="62" spans="1:34" x14ac:dyDescent="0.25">
      <c r="A62">
        <v>12625</v>
      </c>
      <c r="B62">
        <v>1.2</v>
      </c>
      <c r="C62">
        <v>3</v>
      </c>
      <c r="D62" t="s">
        <v>1153</v>
      </c>
      <c r="E62">
        <v>625</v>
      </c>
      <c r="F62" t="s">
        <v>1159</v>
      </c>
      <c r="G62" s="3">
        <v>1</v>
      </c>
      <c r="H62" s="32" t="s">
        <v>1328</v>
      </c>
      <c r="I62" s="32" t="s">
        <v>1328</v>
      </c>
      <c r="J62" s="32" t="s">
        <v>1328</v>
      </c>
      <c r="K62" s="32" t="s">
        <v>1328</v>
      </c>
      <c r="L62" s="32" t="s">
        <v>1328</v>
      </c>
      <c r="M62" s="32" t="s">
        <v>1328</v>
      </c>
      <c r="N62" s="32" t="s">
        <v>1328</v>
      </c>
      <c r="O62" s="32" t="s">
        <v>1328</v>
      </c>
      <c r="P62" s="32" t="s">
        <v>1328</v>
      </c>
      <c r="Q62" s="32" t="s">
        <v>1328</v>
      </c>
      <c r="R62" s="32" t="s">
        <v>1328</v>
      </c>
      <c r="S62" s="32" t="s">
        <v>1328</v>
      </c>
      <c r="T62" s="32">
        <v>9</v>
      </c>
      <c r="U62" s="32">
        <v>10</v>
      </c>
      <c r="V62" s="30" t="s">
        <v>1328</v>
      </c>
      <c r="W62" s="30" t="s">
        <v>1328</v>
      </c>
      <c r="X62" s="32" t="s">
        <v>1328</v>
      </c>
      <c r="Y62" s="32" t="s">
        <v>1328</v>
      </c>
      <c r="Z62" s="32">
        <v>4655.6899999999996</v>
      </c>
      <c r="AA62" s="3">
        <f t="shared" si="0"/>
        <v>4449.8100000000004</v>
      </c>
      <c r="AB62" s="3"/>
      <c r="AC62" s="3"/>
      <c r="AF62" s="3"/>
      <c r="AG62" s="3"/>
      <c r="AH62" s="3"/>
    </row>
    <row r="63" spans="1:34" x14ac:dyDescent="0.25">
      <c r="A63">
        <v>12689</v>
      </c>
      <c r="B63">
        <v>1.2</v>
      </c>
      <c r="C63">
        <v>3</v>
      </c>
      <c r="D63" t="s">
        <v>1153</v>
      </c>
      <c r="E63">
        <v>689</v>
      </c>
      <c r="F63" t="s">
        <v>1160</v>
      </c>
      <c r="G63" s="3">
        <v>1</v>
      </c>
      <c r="H63" s="32" t="s">
        <v>1328</v>
      </c>
      <c r="I63" s="32" t="s">
        <v>1328</v>
      </c>
      <c r="J63" s="32" t="s">
        <v>1328</v>
      </c>
      <c r="K63" s="32" t="s">
        <v>1328</v>
      </c>
      <c r="L63" s="32" t="s">
        <v>1328</v>
      </c>
      <c r="M63" s="32" t="s">
        <v>1328</v>
      </c>
      <c r="N63" s="32" t="s">
        <v>1328</v>
      </c>
      <c r="O63" s="32" t="s">
        <v>1328</v>
      </c>
      <c r="P63" s="32" t="s">
        <v>1328</v>
      </c>
      <c r="Q63" s="32" t="s">
        <v>1328</v>
      </c>
      <c r="R63" s="32" t="s">
        <v>1328</v>
      </c>
      <c r="S63" s="32" t="s">
        <v>1328</v>
      </c>
      <c r="T63" s="32">
        <v>5</v>
      </c>
      <c r="U63" s="32">
        <v>9</v>
      </c>
      <c r="V63" s="30" t="s">
        <v>1328</v>
      </c>
      <c r="W63" s="30" t="s">
        <v>1328</v>
      </c>
      <c r="X63" s="32" t="s">
        <v>1328</v>
      </c>
      <c r="Y63" s="32" t="s">
        <v>1328</v>
      </c>
      <c r="Z63" s="32">
        <v>3107.75</v>
      </c>
      <c r="AA63" s="3">
        <f t="shared" si="0"/>
        <v>2970.32</v>
      </c>
      <c r="AB63" s="3"/>
      <c r="AC63" s="3"/>
      <c r="AF63" s="3"/>
      <c r="AG63" s="3"/>
      <c r="AH63" s="3"/>
    </row>
    <row r="64" spans="1:34" x14ac:dyDescent="0.25">
      <c r="A64">
        <v>20001</v>
      </c>
      <c r="B64" s="2">
        <v>2</v>
      </c>
      <c r="C64" s="2">
        <v>1</v>
      </c>
      <c r="D64" s="2" t="s">
        <v>45</v>
      </c>
      <c r="E64" s="2">
        <v>1</v>
      </c>
      <c r="F64" s="2" t="s">
        <v>46</v>
      </c>
      <c r="G64" s="3">
        <v>0</v>
      </c>
      <c r="H64" s="32">
        <v>15</v>
      </c>
      <c r="I64" s="32">
        <v>13</v>
      </c>
      <c r="J64" s="32">
        <v>19</v>
      </c>
      <c r="K64" s="32">
        <v>11</v>
      </c>
      <c r="L64" s="32">
        <v>15</v>
      </c>
      <c r="M64" s="32">
        <v>12</v>
      </c>
      <c r="N64" s="32">
        <v>18</v>
      </c>
      <c r="O64" s="32">
        <v>14</v>
      </c>
      <c r="P64" s="32">
        <v>16</v>
      </c>
      <c r="Q64" s="32">
        <v>13</v>
      </c>
      <c r="R64" s="32">
        <v>19</v>
      </c>
      <c r="S64" s="32">
        <v>13</v>
      </c>
      <c r="T64" s="32">
        <v>15</v>
      </c>
      <c r="U64" s="32">
        <v>20</v>
      </c>
      <c r="V64" s="30">
        <v>0.73469387755102045</v>
      </c>
      <c r="W64" s="30">
        <v>0.75471698113207553</v>
      </c>
      <c r="X64" s="32">
        <v>5840.8499999999995</v>
      </c>
      <c r="Y64" s="32">
        <v>8000</v>
      </c>
      <c r="Z64" s="32">
        <v>13840.849999999999</v>
      </c>
      <c r="AA64" s="3">
        <f t="shared" si="0"/>
        <v>13228.8</v>
      </c>
      <c r="AB64" s="3"/>
      <c r="AC64" s="3"/>
      <c r="AF64" s="3"/>
      <c r="AG64" s="3"/>
      <c r="AH64" s="3"/>
    </row>
    <row r="65" spans="1:34" x14ac:dyDescent="0.25">
      <c r="A65">
        <v>40010</v>
      </c>
      <c r="B65" s="2">
        <v>4</v>
      </c>
      <c r="C65" s="2">
        <v>1</v>
      </c>
      <c r="D65" s="2" t="s">
        <v>47</v>
      </c>
      <c r="E65" s="2">
        <v>10</v>
      </c>
      <c r="F65" s="2" t="s">
        <v>48</v>
      </c>
      <c r="G65" s="3">
        <v>0</v>
      </c>
      <c r="H65" s="32">
        <v>19</v>
      </c>
      <c r="I65" s="32">
        <v>14</v>
      </c>
      <c r="J65" s="32">
        <v>31</v>
      </c>
      <c r="K65" s="32">
        <v>24</v>
      </c>
      <c r="L65" s="32">
        <v>33</v>
      </c>
      <c r="M65" s="32">
        <v>23</v>
      </c>
      <c r="N65" s="32">
        <v>22</v>
      </c>
      <c r="O65" s="32">
        <v>16</v>
      </c>
      <c r="P65" s="32">
        <v>17</v>
      </c>
      <c r="Q65" s="32">
        <v>14</v>
      </c>
      <c r="R65" s="32">
        <v>33</v>
      </c>
      <c r="S65" s="32">
        <v>24</v>
      </c>
      <c r="T65" s="32">
        <v>33</v>
      </c>
      <c r="U65" s="32">
        <v>37</v>
      </c>
      <c r="V65" s="30">
        <v>0.73493975903614461</v>
      </c>
      <c r="W65" s="30">
        <v>0.75</v>
      </c>
      <c r="X65" s="32">
        <v>12854.16</v>
      </c>
      <c r="Y65" s="32">
        <v>14707.5</v>
      </c>
      <c r="Z65" s="32">
        <v>27561.66</v>
      </c>
      <c r="AA65" s="3">
        <f t="shared" si="0"/>
        <v>26342.880000000001</v>
      </c>
      <c r="AB65" s="3"/>
      <c r="AC65" s="3"/>
      <c r="AF65" s="3"/>
      <c r="AG65" s="3"/>
      <c r="AH65" s="3"/>
    </row>
    <row r="66" spans="1:34" x14ac:dyDescent="0.25">
      <c r="A66">
        <v>60735</v>
      </c>
      <c r="B66" s="2">
        <v>6</v>
      </c>
      <c r="C66" s="2">
        <v>3</v>
      </c>
      <c r="D66" s="2" t="s">
        <v>49</v>
      </c>
      <c r="E66" s="2">
        <v>735</v>
      </c>
      <c r="F66" s="2" t="s">
        <v>50</v>
      </c>
      <c r="G66" s="3">
        <v>0</v>
      </c>
      <c r="H66" s="32">
        <v>125</v>
      </c>
      <c r="I66" s="32">
        <v>82</v>
      </c>
      <c r="J66" s="32">
        <v>127</v>
      </c>
      <c r="K66" s="32">
        <v>90</v>
      </c>
      <c r="L66" s="32">
        <v>148</v>
      </c>
      <c r="M66" s="32">
        <v>113</v>
      </c>
      <c r="N66" s="32">
        <v>123</v>
      </c>
      <c r="O66" s="32">
        <v>98</v>
      </c>
      <c r="P66" s="32">
        <v>114</v>
      </c>
      <c r="Q66" s="32">
        <v>91</v>
      </c>
      <c r="R66" s="32">
        <v>130</v>
      </c>
      <c r="S66" s="32">
        <v>105</v>
      </c>
      <c r="T66" s="32">
        <v>149</v>
      </c>
      <c r="U66" s="32">
        <v>137</v>
      </c>
      <c r="V66" s="30">
        <v>0.71250000000000002</v>
      </c>
      <c r="W66" s="30">
        <v>0.80108991825613074</v>
      </c>
      <c r="X66" s="32">
        <v>56266.87</v>
      </c>
      <c r="Y66" s="32">
        <v>58167.46</v>
      </c>
      <c r="Z66" s="32">
        <v>114434.33</v>
      </c>
      <c r="AA66" s="3">
        <f t="shared" si="0"/>
        <v>109374.02</v>
      </c>
      <c r="AB66" s="3"/>
      <c r="AC66" s="3"/>
      <c r="AF66" s="3"/>
      <c r="AG66" s="3"/>
      <c r="AH66" s="3"/>
    </row>
    <row r="67" spans="1:34" x14ac:dyDescent="0.25">
      <c r="A67">
        <v>60737</v>
      </c>
      <c r="B67" s="2">
        <v>6</v>
      </c>
      <c r="C67" s="2">
        <v>3</v>
      </c>
      <c r="D67" s="2" t="s">
        <v>49</v>
      </c>
      <c r="E67" s="2">
        <v>737</v>
      </c>
      <c r="F67" s="2" t="s">
        <v>51</v>
      </c>
      <c r="G67" s="3">
        <v>0</v>
      </c>
      <c r="H67" s="32">
        <v>123</v>
      </c>
      <c r="I67" s="32">
        <v>98</v>
      </c>
      <c r="J67" s="32">
        <v>118</v>
      </c>
      <c r="K67" s="32">
        <v>94</v>
      </c>
      <c r="L67" s="32">
        <v>103</v>
      </c>
      <c r="M67" s="32">
        <v>83</v>
      </c>
      <c r="N67" s="32">
        <v>91</v>
      </c>
      <c r="O67" s="32">
        <v>58</v>
      </c>
      <c r="P67" s="32">
        <v>111</v>
      </c>
      <c r="Q67" s="32">
        <v>72</v>
      </c>
      <c r="R67" s="32">
        <v>111</v>
      </c>
      <c r="S67" s="32">
        <v>80</v>
      </c>
      <c r="T67" s="32">
        <v>107</v>
      </c>
      <c r="U67" s="32">
        <v>119</v>
      </c>
      <c r="V67" s="30">
        <v>0.79941860465116277</v>
      </c>
      <c r="W67" s="30">
        <v>0.67092651757188504</v>
      </c>
      <c r="X67" s="32">
        <v>45334.83</v>
      </c>
      <c r="Y67" s="32">
        <v>42315.21</v>
      </c>
      <c r="Z67" s="32">
        <v>87650.040000000008</v>
      </c>
      <c r="AA67" s="3">
        <f t="shared" si="0"/>
        <v>83774.13</v>
      </c>
      <c r="AB67" s="3"/>
      <c r="AC67" s="3"/>
      <c r="AF67" s="3"/>
      <c r="AG67" s="3"/>
      <c r="AH67" s="3"/>
    </row>
    <row r="68" spans="1:34" x14ac:dyDescent="0.25">
      <c r="A68">
        <v>110400</v>
      </c>
      <c r="B68" s="2">
        <v>11</v>
      </c>
      <c r="C68" s="2">
        <v>1</v>
      </c>
      <c r="D68" s="2" t="s">
        <v>52</v>
      </c>
      <c r="E68" s="2">
        <v>400</v>
      </c>
      <c r="F68" s="2" t="s">
        <v>53</v>
      </c>
      <c r="G68" s="3">
        <v>0</v>
      </c>
      <c r="H68" s="32">
        <v>70</v>
      </c>
      <c r="I68" s="32">
        <v>54</v>
      </c>
      <c r="J68" s="32">
        <v>88</v>
      </c>
      <c r="K68" s="32">
        <v>70</v>
      </c>
      <c r="L68" s="32">
        <v>81</v>
      </c>
      <c r="M68" s="32">
        <v>60</v>
      </c>
      <c r="N68" s="32">
        <v>79</v>
      </c>
      <c r="O68" s="32">
        <v>49</v>
      </c>
      <c r="P68" s="32">
        <v>65</v>
      </c>
      <c r="Q68" s="32">
        <v>60</v>
      </c>
      <c r="R68" s="32">
        <v>75</v>
      </c>
      <c r="S68" s="32">
        <v>62</v>
      </c>
      <c r="T68" s="32">
        <v>80</v>
      </c>
      <c r="U68" s="32">
        <v>82</v>
      </c>
      <c r="V68" s="30">
        <v>0.76987447698744771</v>
      </c>
      <c r="W68" s="30">
        <v>0.78082191780821919</v>
      </c>
      <c r="X68" s="32">
        <v>32642.399999999998</v>
      </c>
      <c r="Y68" s="32">
        <v>33934.879999999997</v>
      </c>
      <c r="Z68" s="32">
        <v>66577.279999999999</v>
      </c>
      <c r="AA68" s="3">
        <f t="shared" si="0"/>
        <v>63633.22</v>
      </c>
      <c r="AB68" s="3"/>
      <c r="AC68" s="3"/>
      <c r="AF68" s="3"/>
      <c r="AG68" s="3"/>
      <c r="AH68" s="3"/>
    </row>
    <row r="69" spans="1:34" x14ac:dyDescent="0.25">
      <c r="A69">
        <v>110401</v>
      </c>
      <c r="B69" s="5">
        <v>11</v>
      </c>
      <c r="C69" s="5">
        <v>1</v>
      </c>
      <c r="D69" t="s">
        <v>52</v>
      </c>
      <c r="E69" s="5">
        <v>401</v>
      </c>
      <c r="F69" s="6" t="s">
        <v>54</v>
      </c>
      <c r="G69" s="3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60</v>
      </c>
      <c r="O69" s="32">
        <v>48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0">
        <v>0</v>
      </c>
      <c r="W69" s="30">
        <v>0.8</v>
      </c>
      <c r="X69" s="32">
        <v>0</v>
      </c>
      <c r="Y69" s="32">
        <v>0</v>
      </c>
      <c r="Z69" s="32">
        <v>0</v>
      </c>
      <c r="AA69" s="3">
        <f t="shared" si="0"/>
        <v>0</v>
      </c>
      <c r="AB69" s="3"/>
      <c r="AC69" s="3"/>
      <c r="AF69" s="3"/>
      <c r="AG69" s="3"/>
      <c r="AH69" s="3"/>
    </row>
    <row r="70" spans="1:34" x14ac:dyDescent="0.25">
      <c r="A70">
        <v>110402</v>
      </c>
      <c r="B70" s="2">
        <v>11</v>
      </c>
      <c r="C70" s="2">
        <v>1</v>
      </c>
      <c r="D70" s="2" t="s">
        <v>52</v>
      </c>
      <c r="E70" s="2">
        <v>402</v>
      </c>
      <c r="F70" s="2" t="s">
        <v>55</v>
      </c>
      <c r="G70" s="3">
        <v>0</v>
      </c>
      <c r="H70" s="32">
        <v>101</v>
      </c>
      <c r="I70" s="32">
        <v>89</v>
      </c>
      <c r="J70" s="32">
        <v>76</v>
      </c>
      <c r="K70" s="32">
        <v>62</v>
      </c>
      <c r="L70" s="32">
        <v>99</v>
      </c>
      <c r="M70" s="32">
        <v>92</v>
      </c>
      <c r="N70" s="32">
        <v>87</v>
      </c>
      <c r="O70" s="32">
        <v>61</v>
      </c>
      <c r="P70" s="32">
        <v>110</v>
      </c>
      <c r="Q70" s="32">
        <v>83</v>
      </c>
      <c r="R70" s="32">
        <v>73</v>
      </c>
      <c r="S70" s="32">
        <v>51</v>
      </c>
      <c r="T70" s="32">
        <v>96</v>
      </c>
      <c r="U70" s="32">
        <v>74</v>
      </c>
      <c r="V70" s="30">
        <v>0.88043478260869568</v>
      </c>
      <c r="W70" s="30">
        <v>0.72222222222222221</v>
      </c>
      <c r="X70" s="32">
        <v>44796.479999999996</v>
      </c>
      <c r="Y70" s="32">
        <v>28325.719999999998</v>
      </c>
      <c r="Z70" s="32">
        <v>73122.2</v>
      </c>
      <c r="AA70" s="3">
        <f t="shared" si="0"/>
        <v>69888.72</v>
      </c>
      <c r="AB70" s="3"/>
      <c r="AC70" s="3"/>
      <c r="AF70" s="3"/>
      <c r="AG70" s="3"/>
      <c r="AH70" s="3"/>
    </row>
    <row r="71" spans="1:34" x14ac:dyDescent="0.25">
      <c r="A71">
        <v>110403</v>
      </c>
      <c r="B71" s="2">
        <v>11</v>
      </c>
      <c r="C71" s="2">
        <v>1</v>
      </c>
      <c r="D71" s="2" t="s">
        <v>52</v>
      </c>
      <c r="E71" s="2">
        <v>403</v>
      </c>
      <c r="F71" s="2" t="s">
        <v>56</v>
      </c>
      <c r="G71" s="3">
        <v>0</v>
      </c>
      <c r="H71" s="32">
        <v>69</v>
      </c>
      <c r="I71" s="32">
        <v>59</v>
      </c>
      <c r="J71" s="32">
        <v>82</v>
      </c>
      <c r="K71" s="32">
        <v>61</v>
      </c>
      <c r="L71" s="32">
        <v>76</v>
      </c>
      <c r="M71" s="32">
        <v>58</v>
      </c>
      <c r="N71" s="32">
        <v>63</v>
      </c>
      <c r="O71" s="32">
        <v>38</v>
      </c>
      <c r="P71" s="32">
        <v>78</v>
      </c>
      <c r="Q71" s="32">
        <v>67</v>
      </c>
      <c r="R71" s="32">
        <v>73</v>
      </c>
      <c r="S71" s="32">
        <v>60</v>
      </c>
      <c r="T71" s="32">
        <v>77</v>
      </c>
      <c r="U71" s="32">
        <v>86</v>
      </c>
      <c r="V71" s="30">
        <v>0.78414096916299558</v>
      </c>
      <c r="W71" s="30">
        <v>0.7710280373831776</v>
      </c>
      <c r="X71" s="32">
        <v>32000.429999999997</v>
      </c>
      <c r="Y71" s="32">
        <v>35143.040000000001</v>
      </c>
      <c r="Z71" s="32">
        <v>67143.47</v>
      </c>
      <c r="AA71" s="3">
        <f t="shared" si="0"/>
        <v>64174.37</v>
      </c>
      <c r="AB71" s="3"/>
      <c r="AC71" s="3"/>
      <c r="AF71" s="3"/>
      <c r="AG71" s="3"/>
      <c r="AH71" s="3"/>
    </row>
    <row r="72" spans="1:34" x14ac:dyDescent="0.25">
      <c r="A72">
        <v>110404</v>
      </c>
      <c r="B72" s="2">
        <v>11</v>
      </c>
      <c r="C72" s="2">
        <v>1</v>
      </c>
      <c r="D72" s="2" t="s">
        <v>52</v>
      </c>
      <c r="E72" s="2">
        <v>404</v>
      </c>
      <c r="F72" s="2" t="s">
        <v>57</v>
      </c>
      <c r="G72" s="3">
        <v>0</v>
      </c>
      <c r="H72" s="32">
        <v>57</v>
      </c>
      <c r="I72" s="32">
        <v>37</v>
      </c>
      <c r="J72" s="32">
        <v>75</v>
      </c>
      <c r="K72" s="32">
        <v>55</v>
      </c>
      <c r="L72" s="32">
        <v>54</v>
      </c>
      <c r="M72" s="32">
        <v>40</v>
      </c>
      <c r="N72" s="32">
        <v>62</v>
      </c>
      <c r="O72" s="32">
        <v>45</v>
      </c>
      <c r="P72" s="32">
        <v>74</v>
      </c>
      <c r="Q72" s="32">
        <v>56</v>
      </c>
      <c r="R72" s="32">
        <v>63</v>
      </c>
      <c r="S72" s="32">
        <v>42</v>
      </c>
      <c r="T72" s="32">
        <v>60</v>
      </c>
      <c r="U72" s="32">
        <v>67</v>
      </c>
      <c r="V72" s="30">
        <v>0.70967741935483875</v>
      </c>
      <c r="W72" s="30">
        <v>0.71859296482412061</v>
      </c>
      <c r="X72" s="32">
        <v>22567.8</v>
      </c>
      <c r="Y72" s="32">
        <v>25516.95</v>
      </c>
      <c r="Z72" s="32">
        <v>48084.75</v>
      </c>
      <c r="AA72" s="3">
        <f t="shared" si="0"/>
        <v>45958.43</v>
      </c>
      <c r="AB72" s="3"/>
      <c r="AC72" s="3"/>
      <c r="AF72" s="3"/>
      <c r="AG72" s="3"/>
      <c r="AH72" s="3"/>
    </row>
    <row r="73" spans="1:34" x14ac:dyDescent="0.25">
      <c r="A73">
        <v>110405</v>
      </c>
      <c r="B73" s="2">
        <v>11</v>
      </c>
      <c r="C73" s="2">
        <v>1</v>
      </c>
      <c r="D73" s="2" t="s">
        <v>52</v>
      </c>
      <c r="E73" s="2">
        <v>405</v>
      </c>
      <c r="F73" s="2" t="s">
        <v>58</v>
      </c>
      <c r="G73" s="3">
        <v>0</v>
      </c>
      <c r="H73" s="32">
        <v>80</v>
      </c>
      <c r="I73" s="32">
        <v>57</v>
      </c>
      <c r="J73" s="32">
        <v>79</v>
      </c>
      <c r="K73" s="32">
        <v>57</v>
      </c>
      <c r="L73" s="32">
        <v>88</v>
      </c>
      <c r="M73" s="32">
        <v>71</v>
      </c>
      <c r="N73" s="32">
        <v>68</v>
      </c>
      <c r="O73" s="32">
        <v>49</v>
      </c>
      <c r="P73" s="32">
        <v>85</v>
      </c>
      <c r="Q73" s="32">
        <v>63</v>
      </c>
      <c r="R73" s="32">
        <v>81</v>
      </c>
      <c r="S73" s="32">
        <v>70</v>
      </c>
      <c r="T73" s="32">
        <v>89</v>
      </c>
      <c r="U73" s="32">
        <v>87</v>
      </c>
      <c r="V73" s="30">
        <v>0.74898785425101211</v>
      </c>
      <c r="W73" s="30">
        <v>0.77777777777777779</v>
      </c>
      <c r="X73" s="32">
        <v>35329.439999999995</v>
      </c>
      <c r="Y73" s="32">
        <v>35863.14</v>
      </c>
      <c r="Z73" s="32">
        <v>71192.579999999987</v>
      </c>
      <c r="AA73" s="3">
        <f t="shared" si="0"/>
        <v>68044.429999999993</v>
      </c>
      <c r="AB73" s="3"/>
      <c r="AC73" s="3"/>
      <c r="AF73" s="3"/>
      <c r="AG73" s="3"/>
      <c r="AH73" s="3"/>
    </row>
    <row r="74" spans="1:34" x14ac:dyDescent="0.25">
      <c r="A74">
        <v>110406</v>
      </c>
      <c r="B74" s="2">
        <v>11</v>
      </c>
      <c r="C74" s="2">
        <v>1</v>
      </c>
      <c r="D74" s="2" t="s">
        <v>52</v>
      </c>
      <c r="E74" s="2">
        <v>406</v>
      </c>
      <c r="F74" s="2" t="s">
        <v>28</v>
      </c>
      <c r="G74" s="3">
        <v>0</v>
      </c>
      <c r="H74" s="32">
        <v>111</v>
      </c>
      <c r="I74" s="32">
        <v>85</v>
      </c>
      <c r="J74" s="32">
        <v>119</v>
      </c>
      <c r="K74" s="32">
        <v>94</v>
      </c>
      <c r="L74" s="32">
        <v>122</v>
      </c>
      <c r="M74" s="32">
        <v>103</v>
      </c>
      <c r="N74" s="32">
        <v>86</v>
      </c>
      <c r="O74" s="32">
        <v>72</v>
      </c>
      <c r="P74" s="32">
        <v>110</v>
      </c>
      <c r="Q74" s="32">
        <v>82</v>
      </c>
      <c r="R74" s="32">
        <v>109</v>
      </c>
      <c r="S74" s="32">
        <v>79</v>
      </c>
      <c r="T74" s="32">
        <v>121</v>
      </c>
      <c r="U74" s="32">
        <v>121</v>
      </c>
      <c r="V74" s="30">
        <v>0.80113636363636365</v>
      </c>
      <c r="W74" s="30">
        <v>0.76393442622950825</v>
      </c>
      <c r="X74" s="32">
        <v>51376.600000000006</v>
      </c>
      <c r="Y74" s="32">
        <v>48991.689999999995</v>
      </c>
      <c r="Z74" s="32">
        <v>100368.29000000001</v>
      </c>
      <c r="AA74" s="3">
        <f t="shared" si="0"/>
        <v>95929.98</v>
      </c>
      <c r="AB74" s="3"/>
      <c r="AC74" s="3"/>
      <c r="AF74" s="3"/>
      <c r="AG74" s="3"/>
      <c r="AH74" s="3"/>
    </row>
    <row r="75" spans="1:34" x14ac:dyDescent="0.25">
      <c r="A75">
        <v>110407</v>
      </c>
      <c r="B75" s="2">
        <v>11</v>
      </c>
      <c r="C75" s="2">
        <v>1</v>
      </c>
      <c r="D75" s="2" t="s">
        <v>52</v>
      </c>
      <c r="E75" s="2">
        <v>407</v>
      </c>
      <c r="F75" s="2" t="s">
        <v>59</v>
      </c>
      <c r="G75" s="3">
        <v>0</v>
      </c>
      <c r="H75" s="32">
        <v>121</v>
      </c>
      <c r="I75" s="32">
        <v>99</v>
      </c>
      <c r="J75" s="32">
        <v>102</v>
      </c>
      <c r="K75" s="32">
        <v>91</v>
      </c>
      <c r="L75" s="32">
        <v>122</v>
      </c>
      <c r="M75" s="32">
        <v>108</v>
      </c>
      <c r="N75" s="32">
        <v>96</v>
      </c>
      <c r="O75" s="32">
        <v>63</v>
      </c>
      <c r="P75" s="32">
        <v>102</v>
      </c>
      <c r="Q75" s="32">
        <v>84</v>
      </c>
      <c r="R75" s="32">
        <v>109</v>
      </c>
      <c r="S75" s="32">
        <v>84</v>
      </c>
      <c r="T75" s="32">
        <v>120</v>
      </c>
      <c r="U75" s="32">
        <v>110</v>
      </c>
      <c r="V75" s="30">
        <v>0.86376811594202896</v>
      </c>
      <c r="W75" s="30">
        <v>0.75244299674267101</v>
      </c>
      <c r="X75" s="32">
        <v>54936</v>
      </c>
      <c r="Y75" s="32">
        <v>43866.9</v>
      </c>
      <c r="Z75" s="32">
        <v>98802.9</v>
      </c>
      <c r="AA75" s="3">
        <f t="shared" si="0"/>
        <v>94433.81</v>
      </c>
      <c r="AB75" s="3"/>
      <c r="AC75" s="3"/>
      <c r="AF75" s="3"/>
      <c r="AG75" s="3"/>
      <c r="AH75" s="3"/>
    </row>
    <row r="76" spans="1:34" x14ac:dyDescent="0.25">
      <c r="A76">
        <v>110408</v>
      </c>
      <c r="B76" s="2">
        <v>11</v>
      </c>
      <c r="C76" s="2">
        <v>1</v>
      </c>
      <c r="D76" s="2" t="s">
        <v>52</v>
      </c>
      <c r="E76" s="2">
        <v>408</v>
      </c>
      <c r="F76" s="2" t="s">
        <v>60</v>
      </c>
      <c r="G76" s="3">
        <v>0</v>
      </c>
      <c r="H76" s="32">
        <v>76</v>
      </c>
      <c r="I76" s="32">
        <v>54</v>
      </c>
      <c r="J76" s="32">
        <v>63</v>
      </c>
      <c r="K76" s="32">
        <v>46</v>
      </c>
      <c r="L76" s="32">
        <v>67</v>
      </c>
      <c r="M76" s="32">
        <v>54</v>
      </c>
      <c r="N76" s="32">
        <v>48</v>
      </c>
      <c r="O76" s="32">
        <v>38</v>
      </c>
      <c r="P76" s="32">
        <v>72</v>
      </c>
      <c r="Q76" s="32">
        <v>61</v>
      </c>
      <c r="R76" s="32">
        <v>66</v>
      </c>
      <c r="S76" s="32">
        <v>41</v>
      </c>
      <c r="T76" s="32">
        <v>64</v>
      </c>
      <c r="U76" s="32">
        <v>72</v>
      </c>
      <c r="V76" s="30">
        <v>0.74757281553398058</v>
      </c>
      <c r="W76" s="30">
        <v>0.75268817204301075</v>
      </c>
      <c r="X76" s="32">
        <v>25357.439999999999</v>
      </c>
      <c r="Y76" s="32">
        <v>28722.240000000002</v>
      </c>
      <c r="Z76" s="32">
        <v>54079.68</v>
      </c>
      <c r="AA76" s="3">
        <f t="shared" si="0"/>
        <v>51688.26</v>
      </c>
      <c r="AB76" s="3"/>
      <c r="AC76" s="3"/>
      <c r="AF76" s="3"/>
      <c r="AG76" s="3"/>
      <c r="AH76" s="3"/>
    </row>
    <row r="77" spans="1:34" x14ac:dyDescent="0.25">
      <c r="A77">
        <v>110409</v>
      </c>
      <c r="B77" s="5">
        <v>11</v>
      </c>
      <c r="C77" s="5">
        <v>1</v>
      </c>
      <c r="D77" t="s">
        <v>52</v>
      </c>
      <c r="E77" s="5">
        <v>409</v>
      </c>
      <c r="F77" s="6" t="s">
        <v>61</v>
      </c>
      <c r="G77" s="3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44</v>
      </c>
      <c r="O77" s="32">
        <v>28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0">
        <v>0</v>
      </c>
      <c r="W77" s="30">
        <v>0.63636363636363635</v>
      </c>
      <c r="X77" s="32">
        <v>0</v>
      </c>
      <c r="Y77" s="32">
        <v>0</v>
      </c>
      <c r="Z77" s="32">
        <v>0</v>
      </c>
      <c r="AA77" s="3">
        <f t="shared" si="0"/>
        <v>0</v>
      </c>
      <c r="AB77" s="3"/>
      <c r="AC77" s="3"/>
      <c r="AF77" s="3"/>
      <c r="AG77" s="3"/>
      <c r="AH77" s="3"/>
    </row>
    <row r="78" spans="1:34" x14ac:dyDescent="0.25">
      <c r="A78">
        <v>110410</v>
      </c>
      <c r="B78" s="2">
        <v>11</v>
      </c>
      <c r="C78" s="2">
        <v>1</v>
      </c>
      <c r="D78" s="2" t="s">
        <v>52</v>
      </c>
      <c r="E78" s="2">
        <v>410</v>
      </c>
      <c r="F78" s="2" t="s">
        <v>62</v>
      </c>
      <c r="G78" s="3">
        <v>0</v>
      </c>
      <c r="H78" s="32">
        <v>85</v>
      </c>
      <c r="I78" s="32">
        <v>63</v>
      </c>
      <c r="J78" s="32">
        <v>85</v>
      </c>
      <c r="K78" s="32">
        <v>63</v>
      </c>
      <c r="L78" s="32">
        <v>87</v>
      </c>
      <c r="M78" s="32">
        <v>66</v>
      </c>
      <c r="N78" s="32">
        <v>75</v>
      </c>
      <c r="O78" s="32">
        <v>68</v>
      </c>
      <c r="P78" s="32">
        <v>86</v>
      </c>
      <c r="Q78" s="32">
        <v>79</v>
      </c>
      <c r="R78" s="32">
        <v>85</v>
      </c>
      <c r="S78" s="32">
        <v>71</v>
      </c>
      <c r="T78" s="32">
        <v>95</v>
      </c>
      <c r="U78" s="32">
        <v>95</v>
      </c>
      <c r="V78" s="30">
        <v>0.74708171206225682</v>
      </c>
      <c r="W78" s="30">
        <v>0.88617886178861793</v>
      </c>
      <c r="X78" s="32">
        <v>37615.25</v>
      </c>
      <c r="Y78" s="32">
        <v>44618.65</v>
      </c>
      <c r="Z78" s="32">
        <v>82233.899999999994</v>
      </c>
      <c r="AA78" s="3">
        <f t="shared" si="0"/>
        <v>78597.5</v>
      </c>
      <c r="AB78" s="3"/>
      <c r="AC78" s="3"/>
      <c r="AF78" s="3"/>
      <c r="AG78" s="3"/>
      <c r="AH78" s="3"/>
    </row>
    <row r="79" spans="1:34" x14ac:dyDescent="0.25">
      <c r="A79">
        <v>110411</v>
      </c>
      <c r="B79" s="2">
        <v>11</v>
      </c>
      <c r="C79" s="2">
        <v>1</v>
      </c>
      <c r="D79" s="2" t="s">
        <v>52</v>
      </c>
      <c r="E79" s="2">
        <v>411</v>
      </c>
      <c r="F79" s="2" t="s">
        <v>63</v>
      </c>
      <c r="G79" s="3">
        <v>0</v>
      </c>
      <c r="H79" s="32">
        <v>130</v>
      </c>
      <c r="I79" s="32">
        <v>102</v>
      </c>
      <c r="J79" s="32">
        <v>129</v>
      </c>
      <c r="K79" s="32">
        <v>107</v>
      </c>
      <c r="L79" s="32">
        <v>135</v>
      </c>
      <c r="M79" s="32">
        <v>114</v>
      </c>
      <c r="N79" s="32">
        <v>135</v>
      </c>
      <c r="O79" s="32">
        <v>123</v>
      </c>
      <c r="P79" s="32">
        <v>131</v>
      </c>
      <c r="Q79" s="32">
        <v>118</v>
      </c>
      <c r="R79" s="32">
        <v>126</v>
      </c>
      <c r="S79" s="32">
        <v>111</v>
      </c>
      <c r="T79" s="32">
        <v>134</v>
      </c>
      <c r="U79" s="32">
        <v>128</v>
      </c>
      <c r="V79" s="30">
        <v>0.81979695431472077</v>
      </c>
      <c r="W79" s="30">
        <v>0.89795918367346939</v>
      </c>
      <c r="X79" s="32">
        <v>58221.66</v>
      </c>
      <c r="Y79" s="32">
        <v>60917.760000000002</v>
      </c>
      <c r="Z79" s="32">
        <v>119139.42000000001</v>
      </c>
      <c r="AA79" s="3">
        <f t="shared" ref="AA79:AA142" si="1">ROUND(Z79*AA$10,2)</f>
        <v>113871.05</v>
      </c>
      <c r="AB79" s="3"/>
      <c r="AC79" s="3"/>
      <c r="AF79" s="3"/>
      <c r="AG79" s="3"/>
      <c r="AH79" s="3"/>
    </row>
    <row r="80" spans="1:34" x14ac:dyDescent="0.25">
      <c r="A80">
        <v>110412</v>
      </c>
      <c r="B80" s="2">
        <v>11</v>
      </c>
      <c r="C80" s="2">
        <v>1</v>
      </c>
      <c r="D80" s="2" t="s">
        <v>52</v>
      </c>
      <c r="E80" s="2">
        <v>412</v>
      </c>
      <c r="F80" s="2" t="s">
        <v>64</v>
      </c>
      <c r="G80" s="3">
        <v>0</v>
      </c>
      <c r="H80" s="32">
        <v>73</v>
      </c>
      <c r="I80" s="32">
        <v>47</v>
      </c>
      <c r="J80" s="32">
        <v>80</v>
      </c>
      <c r="K80" s="32">
        <v>58</v>
      </c>
      <c r="L80" s="32">
        <v>82</v>
      </c>
      <c r="M80" s="32">
        <v>55</v>
      </c>
      <c r="N80" s="32">
        <v>64</v>
      </c>
      <c r="O80" s="32">
        <v>50</v>
      </c>
      <c r="P80" s="32">
        <v>76</v>
      </c>
      <c r="Q80" s="32">
        <v>58</v>
      </c>
      <c r="R80" s="32">
        <v>79</v>
      </c>
      <c r="S80" s="32">
        <v>63</v>
      </c>
      <c r="T80" s="32">
        <v>82</v>
      </c>
      <c r="U80" s="32">
        <v>84</v>
      </c>
      <c r="V80" s="30">
        <v>0.68085106382978722</v>
      </c>
      <c r="W80" s="30">
        <v>0.78082191780821919</v>
      </c>
      <c r="X80" s="32">
        <v>29589.7</v>
      </c>
      <c r="Y80" s="32">
        <v>34762.559999999998</v>
      </c>
      <c r="Z80" s="32">
        <v>64352.259999999995</v>
      </c>
      <c r="AA80" s="3">
        <f t="shared" si="1"/>
        <v>61506.59</v>
      </c>
      <c r="AB80" s="3"/>
      <c r="AC80" s="3"/>
      <c r="AF80" s="3"/>
      <c r="AG80" s="3"/>
      <c r="AH80" s="3"/>
    </row>
    <row r="81" spans="1:34" x14ac:dyDescent="0.25">
      <c r="A81">
        <v>110413</v>
      </c>
      <c r="B81" s="2">
        <v>11</v>
      </c>
      <c r="C81" s="2">
        <v>1</v>
      </c>
      <c r="D81" s="2" t="s">
        <v>52</v>
      </c>
      <c r="E81" s="2">
        <v>413</v>
      </c>
      <c r="F81" s="2" t="s">
        <v>65</v>
      </c>
      <c r="G81" s="3">
        <v>0</v>
      </c>
      <c r="H81" s="32">
        <v>83</v>
      </c>
      <c r="I81" s="32">
        <v>61</v>
      </c>
      <c r="J81" s="32">
        <v>90</v>
      </c>
      <c r="K81" s="32">
        <v>74</v>
      </c>
      <c r="L81" s="32">
        <v>80</v>
      </c>
      <c r="M81" s="32">
        <v>68</v>
      </c>
      <c r="N81" s="32">
        <v>70</v>
      </c>
      <c r="O81" s="32">
        <v>54</v>
      </c>
      <c r="P81" s="32">
        <v>71</v>
      </c>
      <c r="Q81" s="32">
        <v>65</v>
      </c>
      <c r="R81" s="32">
        <v>77</v>
      </c>
      <c r="S81" s="32">
        <v>69</v>
      </c>
      <c r="T81" s="32">
        <v>74</v>
      </c>
      <c r="U81" s="32">
        <v>89</v>
      </c>
      <c r="V81" s="30">
        <v>0.80237154150197632</v>
      </c>
      <c r="W81" s="30">
        <v>0.86238532110091748</v>
      </c>
      <c r="X81" s="32">
        <v>31469.239999999998</v>
      </c>
      <c r="Y81" s="32">
        <v>40678.340000000004</v>
      </c>
      <c r="Z81" s="32">
        <v>72147.58</v>
      </c>
      <c r="AA81" s="3">
        <f t="shared" si="1"/>
        <v>68957.2</v>
      </c>
      <c r="AB81" s="3"/>
      <c r="AC81" s="3"/>
      <c r="AF81" s="3"/>
      <c r="AG81" s="3"/>
      <c r="AH81" s="3"/>
    </row>
    <row r="82" spans="1:34" x14ac:dyDescent="0.25">
      <c r="A82">
        <v>110414</v>
      </c>
      <c r="B82" s="2">
        <v>11</v>
      </c>
      <c r="C82" s="2">
        <v>1</v>
      </c>
      <c r="D82" s="2" t="s">
        <v>52</v>
      </c>
      <c r="E82" s="2">
        <v>414</v>
      </c>
      <c r="F82" s="2" t="s">
        <v>66</v>
      </c>
      <c r="G82" s="3">
        <v>0</v>
      </c>
      <c r="H82" s="32">
        <v>63</v>
      </c>
      <c r="I82" s="32">
        <v>55</v>
      </c>
      <c r="J82" s="32">
        <v>89</v>
      </c>
      <c r="K82" s="32">
        <v>67</v>
      </c>
      <c r="L82" s="32">
        <v>99</v>
      </c>
      <c r="M82" s="32">
        <v>86</v>
      </c>
      <c r="N82" s="32">
        <v>84</v>
      </c>
      <c r="O82" s="32">
        <v>67</v>
      </c>
      <c r="P82" s="32">
        <v>74</v>
      </c>
      <c r="Q82" s="32">
        <v>57</v>
      </c>
      <c r="R82" s="32">
        <v>80</v>
      </c>
      <c r="S82" s="32">
        <v>56</v>
      </c>
      <c r="T82" s="32">
        <v>98</v>
      </c>
      <c r="U82" s="32">
        <v>89</v>
      </c>
      <c r="V82" s="30">
        <v>0.82868525896414347</v>
      </c>
      <c r="W82" s="30">
        <v>0.75630252100840334</v>
      </c>
      <c r="X82" s="32">
        <v>43041.599999999999</v>
      </c>
      <c r="Y82" s="32">
        <v>35674.759999999995</v>
      </c>
      <c r="Z82" s="32">
        <v>78716.359999999986</v>
      </c>
      <c r="AA82" s="3">
        <f t="shared" si="1"/>
        <v>75235.5</v>
      </c>
      <c r="AB82" s="3"/>
      <c r="AC82" s="3"/>
      <c r="AF82" s="3"/>
      <c r="AG82" s="3"/>
      <c r="AH82" s="3"/>
    </row>
    <row r="83" spans="1:34" x14ac:dyDescent="0.25">
      <c r="A83">
        <v>110415</v>
      </c>
      <c r="B83" s="5">
        <v>11</v>
      </c>
      <c r="C83" s="5">
        <v>1</v>
      </c>
      <c r="D83" t="s">
        <v>52</v>
      </c>
      <c r="E83" s="5">
        <v>415</v>
      </c>
      <c r="F83" s="6" t="s">
        <v>67</v>
      </c>
      <c r="G83" s="3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40</v>
      </c>
      <c r="O83" s="32">
        <v>33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0">
        <v>0</v>
      </c>
      <c r="W83" s="30">
        <v>0.82499999999999996</v>
      </c>
      <c r="X83" s="32">
        <v>0</v>
      </c>
      <c r="Y83" s="32">
        <v>0</v>
      </c>
      <c r="Z83" s="32">
        <v>0</v>
      </c>
      <c r="AA83" s="3">
        <f t="shared" si="1"/>
        <v>0</v>
      </c>
      <c r="AB83" s="3"/>
      <c r="AC83" s="3"/>
      <c r="AF83" s="3"/>
      <c r="AG83" s="3"/>
      <c r="AH83" s="3"/>
    </row>
    <row r="84" spans="1:34" x14ac:dyDescent="0.25">
      <c r="A84">
        <v>110416</v>
      </c>
      <c r="B84" s="5">
        <v>11</v>
      </c>
      <c r="C84" s="5">
        <v>1</v>
      </c>
      <c r="D84" t="s">
        <v>52</v>
      </c>
      <c r="E84" s="5">
        <v>416</v>
      </c>
      <c r="F84" s="6" t="s">
        <v>68</v>
      </c>
      <c r="G84" s="3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57</v>
      </c>
      <c r="O84" s="32">
        <v>39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0">
        <v>0</v>
      </c>
      <c r="W84" s="30">
        <v>0.68421052631578949</v>
      </c>
      <c r="X84" s="32">
        <v>0</v>
      </c>
      <c r="Y84" s="32">
        <v>0</v>
      </c>
      <c r="Z84" s="32">
        <v>0</v>
      </c>
      <c r="AA84" s="3">
        <f t="shared" si="1"/>
        <v>0</v>
      </c>
      <c r="AB84" s="3"/>
      <c r="AC84" s="3"/>
      <c r="AF84" s="3"/>
      <c r="AG84" s="3"/>
      <c r="AH84" s="3"/>
    </row>
    <row r="85" spans="1:34" x14ac:dyDescent="0.25">
      <c r="A85">
        <v>110417</v>
      </c>
      <c r="B85" s="2">
        <v>11</v>
      </c>
      <c r="C85" s="2">
        <v>1</v>
      </c>
      <c r="D85" s="2" t="s">
        <v>52</v>
      </c>
      <c r="E85" s="2">
        <v>417</v>
      </c>
      <c r="F85" s="2" t="s">
        <v>69</v>
      </c>
      <c r="G85" s="3">
        <v>0</v>
      </c>
      <c r="H85" s="32">
        <v>108</v>
      </c>
      <c r="I85" s="32">
        <v>80</v>
      </c>
      <c r="J85" s="32">
        <v>116</v>
      </c>
      <c r="K85" s="32">
        <v>97</v>
      </c>
      <c r="L85" s="32">
        <v>110</v>
      </c>
      <c r="M85" s="32">
        <v>90</v>
      </c>
      <c r="N85" s="32">
        <v>99</v>
      </c>
      <c r="O85" s="32">
        <v>86</v>
      </c>
      <c r="P85" s="32">
        <v>110</v>
      </c>
      <c r="Q85" s="32">
        <v>93</v>
      </c>
      <c r="R85" s="32">
        <v>104</v>
      </c>
      <c r="S85" s="32">
        <v>91</v>
      </c>
      <c r="T85" s="32">
        <v>114</v>
      </c>
      <c r="U85" s="32">
        <v>114</v>
      </c>
      <c r="V85" s="30">
        <v>0.79940119760479045</v>
      </c>
      <c r="W85" s="30">
        <v>0.86261980830670926</v>
      </c>
      <c r="X85" s="32">
        <v>48299.520000000004</v>
      </c>
      <c r="Y85" s="32">
        <v>52119.659999999996</v>
      </c>
      <c r="Z85" s="32">
        <v>100419.18</v>
      </c>
      <c r="AA85" s="3">
        <f t="shared" si="1"/>
        <v>95978.62</v>
      </c>
      <c r="AB85" s="3"/>
      <c r="AC85" s="3"/>
      <c r="AF85" s="3"/>
      <c r="AG85" s="3"/>
      <c r="AH85" s="3"/>
    </row>
    <row r="86" spans="1:34" x14ac:dyDescent="0.25">
      <c r="A86">
        <v>110418</v>
      </c>
      <c r="B86" s="2">
        <v>11</v>
      </c>
      <c r="C86" s="2">
        <v>1</v>
      </c>
      <c r="D86" s="2" t="s">
        <v>52</v>
      </c>
      <c r="E86" s="2">
        <v>418</v>
      </c>
      <c r="F86" s="2" t="s">
        <v>70</v>
      </c>
      <c r="G86" s="3">
        <v>0</v>
      </c>
      <c r="H86" s="32">
        <v>95</v>
      </c>
      <c r="I86" s="32">
        <v>56</v>
      </c>
      <c r="J86" s="32">
        <v>69</v>
      </c>
      <c r="K86" s="32">
        <v>52</v>
      </c>
      <c r="L86" s="32">
        <v>91</v>
      </c>
      <c r="M86" s="32">
        <v>54</v>
      </c>
      <c r="N86" s="32">
        <v>80</v>
      </c>
      <c r="O86" s="32">
        <v>64</v>
      </c>
      <c r="P86" s="32">
        <v>70</v>
      </c>
      <c r="Q86" s="32">
        <v>58</v>
      </c>
      <c r="R86" s="32">
        <v>74</v>
      </c>
      <c r="S86" s="32">
        <v>52</v>
      </c>
      <c r="T86" s="32">
        <v>86</v>
      </c>
      <c r="U86" s="32">
        <v>79</v>
      </c>
      <c r="V86" s="30">
        <v>0.63529411764705879</v>
      </c>
      <c r="W86" s="30">
        <v>0.7767857142857143</v>
      </c>
      <c r="X86" s="32">
        <v>28957.059999999998</v>
      </c>
      <c r="Y86" s="32">
        <v>32524.3</v>
      </c>
      <c r="Z86" s="32">
        <v>61481.36</v>
      </c>
      <c r="AA86" s="3">
        <f t="shared" si="1"/>
        <v>58762.64</v>
      </c>
      <c r="AB86" s="3"/>
      <c r="AC86" s="3"/>
      <c r="AF86" s="3"/>
      <c r="AG86" s="3"/>
      <c r="AH86" s="3"/>
    </row>
    <row r="87" spans="1:34" x14ac:dyDescent="0.25">
      <c r="A87">
        <v>110419</v>
      </c>
      <c r="B87" s="5">
        <v>11</v>
      </c>
      <c r="C87" s="5">
        <v>1</v>
      </c>
      <c r="D87" t="s">
        <v>52</v>
      </c>
      <c r="E87" s="5">
        <v>419</v>
      </c>
      <c r="F87" s="6" t="s">
        <v>71</v>
      </c>
      <c r="G87" s="3">
        <v>0</v>
      </c>
      <c r="H87" s="32">
        <v>0</v>
      </c>
      <c r="I87" s="32">
        <v>0</v>
      </c>
      <c r="J87" s="32">
        <v>0</v>
      </c>
      <c r="K87" s="32">
        <v>0</v>
      </c>
      <c r="L87" s="32">
        <v>0</v>
      </c>
      <c r="M87" s="32">
        <v>0</v>
      </c>
      <c r="N87" s="32">
        <v>62</v>
      </c>
      <c r="O87" s="32">
        <v>56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0">
        <v>0</v>
      </c>
      <c r="W87" s="30">
        <v>0.90322580645161288</v>
      </c>
      <c r="X87" s="32">
        <v>0</v>
      </c>
      <c r="Y87" s="32">
        <v>0</v>
      </c>
      <c r="Z87" s="32">
        <v>0</v>
      </c>
      <c r="AA87" s="3">
        <f t="shared" si="1"/>
        <v>0</v>
      </c>
      <c r="AB87" s="3"/>
      <c r="AC87" s="3"/>
      <c r="AF87" s="3"/>
      <c r="AG87" s="3"/>
      <c r="AH87" s="3"/>
    </row>
    <row r="88" spans="1:34" x14ac:dyDescent="0.25">
      <c r="A88">
        <v>110420</v>
      </c>
      <c r="B88" s="2">
        <v>11</v>
      </c>
      <c r="C88" s="2">
        <v>1</v>
      </c>
      <c r="D88" s="2" t="s">
        <v>52</v>
      </c>
      <c r="E88" s="2">
        <v>420</v>
      </c>
      <c r="F88" s="2" t="s">
        <v>72</v>
      </c>
      <c r="G88" s="3">
        <v>0</v>
      </c>
      <c r="H88" s="32">
        <v>97</v>
      </c>
      <c r="I88" s="32">
        <v>73</v>
      </c>
      <c r="J88" s="32">
        <v>97</v>
      </c>
      <c r="K88" s="32">
        <v>76</v>
      </c>
      <c r="L88" s="32">
        <v>88</v>
      </c>
      <c r="M88" s="32">
        <v>65</v>
      </c>
      <c r="N88" s="32">
        <v>73</v>
      </c>
      <c r="O88" s="32">
        <v>50</v>
      </c>
      <c r="P88" s="32">
        <v>116</v>
      </c>
      <c r="Q88" s="32">
        <v>93</v>
      </c>
      <c r="R88" s="32">
        <v>92</v>
      </c>
      <c r="S88" s="32">
        <v>76</v>
      </c>
      <c r="T88" s="32">
        <v>93</v>
      </c>
      <c r="U88" s="32">
        <v>94</v>
      </c>
      <c r="V88" s="30">
        <v>0.75886524822695034</v>
      </c>
      <c r="W88" s="30">
        <v>0.77935943060498225</v>
      </c>
      <c r="X88" s="32">
        <v>37404.6</v>
      </c>
      <c r="Y88" s="32">
        <v>38827.64</v>
      </c>
      <c r="Z88" s="32">
        <v>76232.239999999991</v>
      </c>
      <c r="AA88" s="3">
        <f t="shared" si="1"/>
        <v>72861.23</v>
      </c>
      <c r="AB88" s="3"/>
      <c r="AC88" s="3"/>
      <c r="AF88" s="3"/>
      <c r="AG88" s="3"/>
      <c r="AH88" s="3"/>
    </row>
    <row r="89" spans="1:34" x14ac:dyDescent="0.25">
      <c r="A89">
        <v>110421</v>
      </c>
      <c r="B89" s="2">
        <v>11</v>
      </c>
      <c r="C89" s="2">
        <v>1</v>
      </c>
      <c r="D89" s="2" t="s">
        <v>52</v>
      </c>
      <c r="E89" s="2">
        <v>421</v>
      </c>
      <c r="F89" s="2" t="s">
        <v>73</v>
      </c>
      <c r="G89" s="3">
        <v>0</v>
      </c>
      <c r="H89" s="32">
        <v>61</v>
      </c>
      <c r="I89" s="32">
        <v>38</v>
      </c>
      <c r="J89" s="32">
        <v>94</v>
      </c>
      <c r="K89" s="32">
        <v>45</v>
      </c>
      <c r="L89" s="32">
        <v>76</v>
      </c>
      <c r="M89" s="32">
        <v>47</v>
      </c>
      <c r="N89" s="32">
        <v>78</v>
      </c>
      <c r="O89" s="32">
        <v>52</v>
      </c>
      <c r="P89" s="32">
        <v>57</v>
      </c>
      <c r="Q89" s="32">
        <v>45</v>
      </c>
      <c r="R89" s="32">
        <v>79</v>
      </c>
      <c r="S89" s="32">
        <v>75</v>
      </c>
      <c r="T89" s="32">
        <v>83</v>
      </c>
      <c r="U89" s="32">
        <v>85</v>
      </c>
      <c r="V89" s="30">
        <v>0.56277056277056281</v>
      </c>
      <c r="W89" s="30">
        <v>0.80373831775700932</v>
      </c>
      <c r="X89" s="32">
        <v>24756.41</v>
      </c>
      <c r="Y89" s="32">
        <v>36208.300000000003</v>
      </c>
      <c r="Z89" s="32">
        <v>60964.710000000006</v>
      </c>
      <c r="AA89" s="3">
        <f t="shared" si="1"/>
        <v>58268.84</v>
      </c>
      <c r="AB89" s="3"/>
      <c r="AC89" s="3"/>
      <c r="AF89" s="3"/>
      <c r="AG89" s="3"/>
      <c r="AH89" s="3"/>
    </row>
    <row r="90" spans="1:34" x14ac:dyDescent="0.25">
      <c r="A90">
        <v>110422</v>
      </c>
      <c r="B90" s="2">
        <v>11</v>
      </c>
      <c r="C90" s="2">
        <v>1</v>
      </c>
      <c r="D90" s="2" t="s">
        <v>52</v>
      </c>
      <c r="E90" s="2">
        <v>422</v>
      </c>
      <c r="F90" s="2" t="s">
        <v>74</v>
      </c>
      <c r="G90" s="3">
        <v>0</v>
      </c>
      <c r="H90" s="32">
        <v>60</v>
      </c>
      <c r="I90" s="32">
        <v>49</v>
      </c>
      <c r="J90" s="32">
        <v>98</v>
      </c>
      <c r="K90" s="32">
        <v>78</v>
      </c>
      <c r="L90" s="32">
        <v>109</v>
      </c>
      <c r="M90" s="32">
        <v>82</v>
      </c>
      <c r="N90" s="32">
        <v>63</v>
      </c>
      <c r="O90" s="32">
        <v>46</v>
      </c>
      <c r="P90" s="32">
        <v>88</v>
      </c>
      <c r="Q90" s="32">
        <v>76</v>
      </c>
      <c r="R90" s="32">
        <v>90</v>
      </c>
      <c r="S90" s="32">
        <v>83</v>
      </c>
      <c r="T90" s="32">
        <v>108</v>
      </c>
      <c r="U90" s="32">
        <v>99</v>
      </c>
      <c r="V90" s="30">
        <v>0.78277153558052437</v>
      </c>
      <c r="W90" s="30">
        <v>0.85062240663900412</v>
      </c>
      <c r="X90" s="32">
        <v>44805.96</v>
      </c>
      <c r="Y90" s="32">
        <v>44632.17</v>
      </c>
      <c r="Z90" s="32">
        <v>89438.13</v>
      </c>
      <c r="AA90" s="3">
        <f t="shared" si="1"/>
        <v>85483.15</v>
      </c>
      <c r="AB90" s="3"/>
      <c r="AC90" s="3"/>
      <c r="AF90" s="3"/>
      <c r="AG90" s="3"/>
      <c r="AH90" s="3"/>
    </row>
    <row r="91" spans="1:34" x14ac:dyDescent="0.25">
      <c r="A91">
        <v>110423</v>
      </c>
      <c r="B91" s="2">
        <v>11</v>
      </c>
      <c r="C91" s="2">
        <v>1</v>
      </c>
      <c r="D91" s="2" t="s">
        <v>52</v>
      </c>
      <c r="E91" s="2">
        <v>423</v>
      </c>
      <c r="F91" s="2" t="s">
        <v>75</v>
      </c>
      <c r="G91" s="3">
        <v>0</v>
      </c>
      <c r="H91" s="32">
        <v>221</v>
      </c>
      <c r="I91" s="32">
        <v>177</v>
      </c>
      <c r="J91" s="32">
        <v>167</v>
      </c>
      <c r="K91" s="32">
        <v>144</v>
      </c>
      <c r="L91" s="32">
        <v>208</v>
      </c>
      <c r="M91" s="32">
        <v>179</v>
      </c>
      <c r="N91" s="32">
        <v>202</v>
      </c>
      <c r="O91" s="32">
        <v>158</v>
      </c>
      <c r="P91" s="32">
        <v>203</v>
      </c>
      <c r="Q91" s="32">
        <v>164</v>
      </c>
      <c r="R91" s="32">
        <v>162</v>
      </c>
      <c r="S91" s="32">
        <v>139</v>
      </c>
      <c r="T91" s="32">
        <v>207</v>
      </c>
      <c r="U91" s="32">
        <v>175</v>
      </c>
      <c r="V91" s="30">
        <v>0.83892617449664431</v>
      </c>
      <c r="W91" s="30">
        <v>0.81305114638447973</v>
      </c>
      <c r="X91" s="32">
        <v>92038.41</v>
      </c>
      <c r="Y91" s="32">
        <v>75411</v>
      </c>
      <c r="Z91" s="32">
        <v>167449.41</v>
      </c>
      <c r="AA91" s="3">
        <f t="shared" si="1"/>
        <v>160044.76</v>
      </c>
      <c r="AB91" s="3"/>
      <c r="AC91" s="3"/>
      <c r="AF91" s="3"/>
      <c r="AG91" s="3"/>
      <c r="AH91" s="3"/>
    </row>
    <row r="92" spans="1:34" x14ac:dyDescent="0.25">
      <c r="A92">
        <v>110424</v>
      </c>
      <c r="B92" s="2">
        <v>11</v>
      </c>
      <c r="C92" s="2">
        <v>1</v>
      </c>
      <c r="D92" s="2" t="s">
        <v>52</v>
      </c>
      <c r="E92" s="2">
        <v>424</v>
      </c>
      <c r="F92" s="2" t="s">
        <v>76</v>
      </c>
      <c r="G92" s="3">
        <v>0</v>
      </c>
      <c r="H92" s="32">
        <v>108</v>
      </c>
      <c r="I92" s="32">
        <v>83</v>
      </c>
      <c r="J92" s="32">
        <v>90</v>
      </c>
      <c r="K92" s="32">
        <v>76</v>
      </c>
      <c r="L92" s="32">
        <v>86</v>
      </c>
      <c r="M92" s="32">
        <v>60</v>
      </c>
      <c r="N92" s="32">
        <v>123</v>
      </c>
      <c r="O92" s="32">
        <v>106</v>
      </c>
      <c r="P92" s="32">
        <v>101</v>
      </c>
      <c r="Q92" s="32">
        <v>97</v>
      </c>
      <c r="R92" s="32">
        <v>83</v>
      </c>
      <c r="S92" s="32">
        <v>74</v>
      </c>
      <c r="T92" s="32">
        <v>87</v>
      </c>
      <c r="U92" s="32">
        <v>86</v>
      </c>
      <c r="V92" s="30">
        <v>0.77112676056338025</v>
      </c>
      <c r="W92" s="30">
        <v>0.90228013029315957</v>
      </c>
      <c r="X92" s="32">
        <v>35556.9</v>
      </c>
      <c r="Y92" s="32">
        <v>41126.06</v>
      </c>
      <c r="Z92" s="32">
        <v>76682.959999999992</v>
      </c>
      <c r="AA92" s="3">
        <f t="shared" si="1"/>
        <v>73292.02</v>
      </c>
      <c r="AB92" s="3"/>
      <c r="AC92" s="3"/>
      <c r="AF92" s="3"/>
      <c r="AG92" s="3"/>
      <c r="AH92" s="3"/>
    </row>
    <row r="93" spans="1:34" x14ac:dyDescent="0.25">
      <c r="A93">
        <v>110425</v>
      </c>
      <c r="B93" s="2">
        <v>11</v>
      </c>
      <c r="C93" s="2">
        <v>1</v>
      </c>
      <c r="D93" s="2" t="s">
        <v>52</v>
      </c>
      <c r="E93" s="2">
        <v>425</v>
      </c>
      <c r="F93" s="2" t="s">
        <v>77</v>
      </c>
      <c r="G93" s="3">
        <v>0</v>
      </c>
      <c r="H93" s="32">
        <v>166</v>
      </c>
      <c r="I93" s="32">
        <v>139</v>
      </c>
      <c r="J93" s="32">
        <v>194</v>
      </c>
      <c r="K93" s="32">
        <v>159</v>
      </c>
      <c r="L93" s="32">
        <v>204</v>
      </c>
      <c r="M93" s="32">
        <v>173</v>
      </c>
      <c r="N93" s="32">
        <v>178</v>
      </c>
      <c r="O93" s="32">
        <v>128</v>
      </c>
      <c r="P93" s="32">
        <v>163</v>
      </c>
      <c r="Q93" s="32">
        <v>142</v>
      </c>
      <c r="R93" s="32">
        <v>183</v>
      </c>
      <c r="S93" s="32">
        <v>143</v>
      </c>
      <c r="T93" s="32">
        <v>202</v>
      </c>
      <c r="U93" s="32">
        <v>196</v>
      </c>
      <c r="V93" s="30">
        <v>0.83510638297872342</v>
      </c>
      <c r="W93" s="30">
        <v>0.78816793893129766</v>
      </c>
      <c r="X93" s="32">
        <v>89407.22</v>
      </c>
      <c r="Y93" s="32">
        <v>81875.08</v>
      </c>
      <c r="Z93" s="32">
        <v>171282.3</v>
      </c>
      <c r="AA93" s="3">
        <f t="shared" si="1"/>
        <v>163708.16</v>
      </c>
      <c r="AB93" s="3"/>
      <c r="AC93" s="3"/>
      <c r="AF93" s="3"/>
      <c r="AG93" s="3"/>
      <c r="AH93" s="3"/>
    </row>
    <row r="94" spans="1:34" x14ac:dyDescent="0.25">
      <c r="A94">
        <v>110426</v>
      </c>
      <c r="B94" s="2">
        <v>11</v>
      </c>
      <c r="C94" s="2">
        <v>1</v>
      </c>
      <c r="D94" s="2" t="s">
        <v>52</v>
      </c>
      <c r="E94" s="2">
        <v>426</v>
      </c>
      <c r="F94" s="2" t="s">
        <v>78</v>
      </c>
      <c r="G94" s="3">
        <v>0</v>
      </c>
      <c r="H94" s="32">
        <v>250</v>
      </c>
      <c r="I94" s="32">
        <v>185</v>
      </c>
      <c r="J94" s="32">
        <v>235</v>
      </c>
      <c r="K94" s="32">
        <v>198</v>
      </c>
      <c r="L94" s="32">
        <v>232</v>
      </c>
      <c r="M94" s="32">
        <v>200</v>
      </c>
      <c r="N94" s="32">
        <v>219</v>
      </c>
      <c r="O94" s="32">
        <v>151</v>
      </c>
      <c r="P94" s="32">
        <v>254</v>
      </c>
      <c r="Q94" s="32">
        <v>212</v>
      </c>
      <c r="R94" s="32">
        <v>236</v>
      </c>
      <c r="S94" s="32">
        <v>185</v>
      </c>
      <c r="T94" s="32">
        <v>235</v>
      </c>
      <c r="U94" s="32">
        <v>247</v>
      </c>
      <c r="V94" s="30">
        <v>0.81311018131101809</v>
      </c>
      <c r="W94" s="30">
        <v>0.77291960507757407</v>
      </c>
      <c r="X94" s="32">
        <v>101273.25</v>
      </c>
      <c r="Y94" s="32">
        <v>101183.54999999999</v>
      </c>
      <c r="Z94" s="32">
        <v>202456.8</v>
      </c>
      <c r="AA94" s="3">
        <f t="shared" si="1"/>
        <v>193504.11</v>
      </c>
      <c r="AB94" s="3"/>
      <c r="AC94" s="3"/>
      <c r="AF94" s="3"/>
      <c r="AG94" s="3"/>
      <c r="AH94" s="3"/>
    </row>
    <row r="95" spans="1:34" x14ac:dyDescent="0.25">
      <c r="A95">
        <v>110427</v>
      </c>
      <c r="B95" s="2">
        <v>11</v>
      </c>
      <c r="C95" s="2">
        <v>1</v>
      </c>
      <c r="D95" s="2" t="s">
        <v>52</v>
      </c>
      <c r="E95" s="2">
        <v>427</v>
      </c>
      <c r="F95" s="2" t="s">
        <v>79</v>
      </c>
      <c r="G95" s="3">
        <v>0</v>
      </c>
      <c r="H95" s="32">
        <v>177</v>
      </c>
      <c r="I95" s="32">
        <v>150</v>
      </c>
      <c r="J95" s="32">
        <v>159</v>
      </c>
      <c r="K95" s="32">
        <v>140</v>
      </c>
      <c r="L95" s="32">
        <v>158</v>
      </c>
      <c r="M95" s="32">
        <v>129</v>
      </c>
      <c r="N95" s="32">
        <v>162</v>
      </c>
      <c r="O95" s="32">
        <v>126</v>
      </c>
      <c r="P95" s="32">
        <v>181</v>
      </c>
      <c r="Q95" s="32">
        <v>145</v>
      </c>
      <c r="R95" s="32">
        <v>155</v>
      </c>
      <c r="S95" s="32">
        <v>138</v>
      </c>
      <c r="T95" s="32">
        <v>167</v>
      </c>
      <c r="U95" s="32">
        <v>171</v>
      </c>
      <c r="V95" s="30">
        <v>0.84817813765182182</v>
      </c>
      <c r="W95" s="30">
        <v>0.82128514056224899</v>
      </c>
      <c r="X95" s="32">
        <v>75071.509999999995</v>
      </c>
      <c r="Y95" s="32">
        <v>74432.87999999999</v>
      </c>
      <c r="Z95" s="32">
        <v>149504.38999999998</v>
      </c>
      <c r="AA95" s="3">
        <f t="shared" si="1"/>
        <v>142893.26999999999</v>
      </c>
      <c r="AB95" s="3"/>
      <c r="AC95" s="3"/>
      <c r="AF95" s="3"/>
      <c r="AG95" s="3"/>
      <c r="AH95" s="3"/>
    </row>
    <row r="96" spans="1:34" x14ac:dyDescent="0.25">
      <c r="A96">
        <v>110430</v>
      </c>
      <c r="B96" s="2">
        <v>11</v>
      </c>
      <c r="C96" s="2">
        <v>1</v>
      </c>
      <c r="D96" s="2" t="s">
        <v>52</v>
      </c>
      <c r="E96" s="2">
        <v>430</v>
      </c>
      <c r="F96" s="2" t="s">
        <v>79</v>
      </c>
      <c r="G96" s="3">
        <v>0</v>
      </c>
      <c r="H96" s="32">
        <v>0</v>
      </c>
      <c r="I96" s="32">
        <v>0</v>
      </c>
      <c r="J96" s="32">
        <v>137</v>
      </c>
      <c r="K96" s="32">
        <v>111</v>
      </c>
      <c r="L96" s="32">
        <v>149</v>
      </c>
      <c r="M96" s="32">
        <v>122</v>
      </c>
      <c r="N96" s="32">
        <v>0</v>
      </c>
      <c r="O96" s="32">
        <v>0</v>
      </c>
      <c r="P96" s="32">
        <v>123</v>
      </c>
      <c r="Q96" s="32">
        <v>110</v>
      </c>
      <c r="R96" s="32">
        <v>132</v>
      </c>
      <c r="S96" s="32">
        <v>120</v>
      </c>
      <c r="T96" s="32">
        <v>148</v>
      </c>
      <c r="U96" s="32">
        <v>138</v>
      </c>
      <c r="V96" s="30">
        <v>0.81468531468531469</v>
      </c>
      <c r="W96" s="30">
        <v>0.90196078431372551</v>
      </c>
      <c r="X96" s="32">
        <v>63903.439999999995</v>
      </c>
      <c r="Y96" s="32">
        <v>65969.52</v>
      </c>
      <c r="Z96" s="32">
        <v>129872.95999999999</v>
      </c>
      <c r="AA96" s="3">
        <f t="shared" si="1"/>
        <v>124129.95</v>
      </c>
      <c r="AB96" s="3"/>
      <c r="AC96" s="3"/>
      <c r="AF96" s="3"/>
      <c r="AG96" s="3"/>
      <c r="AH96" s="3"/>
    </row>
    <row r="97" spans="1:34" x14ac:dyDescent="0.25">
      <c r="A97">
        <v>110440</v>
      </c>
      <c r="B97">
        <v>11</v>
      </c>
      <c r="C97">
        <v>1</v>
      </c>
      <c r="D97" t="s">
        <v>1161</v>
      </c>
      <c r="E97">
        <v>440</v>
      </c>
      <c r="F97" t="s">
        <v>1162</v>
      </c>
      <c r="G97" s="3">
        <v>1</v>
      </c>
      <c r="H97" s="32" t="s">
        <v>1328</v>
      </c>
      <c r="I97" s="32" t="s">
        <v>1328</v>
      </c>
      <c r="J97" s="32" t="s">
        <v>1328</v>
      </c>
      <c r="K97" s="32" t="s">
        <v>1328</v>
      </c>
      <c r="L97" s="32" t="s">
        <v>1328</v>
      </c>
      <c r="M97" s="32" t="s">
        <v>1328</v>
      </c>
      <c r="N97" s="32" t="s">
        <v>1328</v>
      </c>
      <c r="O97" s="32" t="s">
        <v>1328</v>
      </c>
      <c r="P97" s="32" t="s">
        <v>1328</v>
      </c>
      <c r="Q97" s="32" t="s">
        <v>1328</v>
      </c>
      <c r="R97" s="32" t="s">
        <v>1328</v>
      </c>
      <c r="S97" s="32" t="s">
        <v>1328</v>
      </c>
      <c r="T97" s="32">
        <v>1</v>
      </c>
      <c r="U97" s="32">
        <v>1</v>
      </c>
      <c r="V97" s="30" t="s">
        <v>1328</v>
      </c>
      <c r="W97" s="30" t="s">
        <v>1328</v>
      </c>
      <c r="X97" s="32" t="s">
        <v>1328</v>
      </c>
      <c r="Y97" s="32" t="s">
        <v>1328</v>
      </c>
      <c r="Z97" s="32">
        <v>530</v>
      </c>
      <c r="AA97" s="3">
        <f t="shared" si="1"/>
        <v>506.56</v>
      </c>
      <c r="AB97" s="3"/>
      <c r="AC97" s="3"/>
      <c r="AF97" s="3"/>
      <c r="AG97" s="3"/>
      <c r="AH97" s="3"/>
    </row>
    <row r="98" spans="1:34" x14ac:dyDescent="0.25">
      <c r="A98">
        <v>110467</v>
      </c>
      <c r="B98">
        <v>11</v>
      </c>
      <c r="C98">
        <v>1</v>
      </c>
      <c r="D98" t="s">
        <v>1161</v>
      </c>
      <c r="E98">
        <v>467</v>
      </c>
      <c r="F98" t="s">
        <v>1163</v>
      </c>
      <c r="G98" s="3">
        <v>1</v>
      </c>
      <c r="H98" s="32" t="s">
        <v>1328</v>
      </c>
      <c r="I98" s="32" t="s">
        <v>1328</v>
      </c>
      <c r="J98" s="32" t="s">
        <v>1328</v>
      </c>
      <c r="K98" s="32" t="s">
        <v>1328</v>
      </c>
      <c r="L98" s="32" t="s">
        <v>1328</v>
      </c>
      <c r="M98" s="32" t="s">
        <v>1328</v>
      </c>
      <c r="N98" s="32" t="s">
        <v>1328</v>
      </c>
      <c r="O98" s="32" t="s">
        <v>1328</v>
      </c>
      <c r="P98" s="32" t="s">
        <v>1328</v>
      </c>
      <c r="Q98" s="32" t="s">
        <v>1328</v>
      </c>
      <c r="R98" s="32" t="s">
        <v>1328</v>
      </c>
      <c r="S98" s="32" t="s">
        <v>1328</v>
      </c>
      <c r="T98" s="32">
        <v>6</v>
      </c>
      <c r="U98" s="32">
        <v>2</v>
      </c>
      <c r="V98" s="30" t="s">
        <v>1328</v>
      </c>
      <c r="W98" s="30" t="s">
        <v>1328</v>
      </c>
      <c r="X98" s="32" t="s">
        <v>1328</v>
      </c>
      <c r="Y98" s="32" t="s">
        <v>1328</v>
      </c>
      <c r="Z98" s="32">
        <v>1696.02</v>
      </c>
      <c r="AA98" s="3">
        <f t="shared" si="1"/>
        <v>1621.02</v>
      </c>
      <c r="AB98" s="3"/>
      <c r="AC98" s="3"/>
      <c r="AF98" s="3"/>
      <c r="AG98" s="3"/>
      <c r="AH98" s="3"/>
    </row>
    <row r="99" spans="1:34" x14ac:dyDescent="0.25">
      <c r="A99">
        <v>120510</v>
      </c>
      <c r="B99" s="2">
        <v>12</v>
      </c>
      <c r="C99" s="2">
        <v>1</v>
      </c>
      <c r="D99" s="2" t="s">
        <v>80</v>
      </c>
      <c r="E99" s="2">
        <v>510</v>
      </c>
      <c r="F99" s="2" t="s">
        <v>81</v>
      </c>
      <c r="G99" s="3">
        <v>0</v>
      </c>
      <c r="H99" s="32">
        <v>80</v>
      </c>
      <c r="I99" s="32">
        <v>63</v>
      </c>
      <c r="J99" s="32">
        <v>81</v>
      </c>
      <c r="K99" s="32">
        <v>65</v>
      </c>
      <c r="L99" s="32">
        <v>76</v>
      </c>
      <c r="M99" s="32">
        <v>65</v>
      </c>
      <c r="N99" s="32">
        <v>83</v>
      </c>
      <c r="O99" s="32">
        <v>70</v>
      </c>
      <c r="P99" s="32">
        <v>68</v>
      </c>
      <c r="Q99" s="32">
        <v>62</v>
      </c>
      <c r="R99" s="32">
        <v>78</v>
      </c>
      <c r="S99" s="32">
        <v>64</v>
      </c>
      <c r="T99" s="32">
        <v>77</v>
      </c>
      <c r="U99" s="32">
        <v>85</v>
      </c>
      <c r="V99" s="30">
        <v>0.81434599156118148</v>
      </c>
      <c r="W99" s="30">
        <v>0.85589519650655022</v>
      </c>
      <c r="X99" s="32">
        <v>33233.200000000004</v>
      </c>
      <c r="Y99" s="32">
        <v>38557.699999999997</v>
      </c>
      <c r="Z99" s="32">
        <v>71790.899999999994</v>
      </c>
      <c r="AA99" s="3">
        <f t="shared" si="1"/>
        <v>68616.289999999994</v>
      </c>
      <c r="AB99" s="3"/>
      <c r="AC99" s="3"/>
      <c r="AF99" s="3"/>
      <c r="AG99" s="3"/>
      <c r="AH99" s="3"/>
    </row>
    <row r="100" spans="1:34" x14ac:dyDescent="0.25">
      <c r="A100">
        <v>120511</v>
      </c>
      <c r="B100" s="2">
        <v>12</v>
      </c>
      <c r="C100" s="2">
        <v>1</v>
      </c>
      <c r="D100" s="2" t="s">
        <v>80</v>
      </c>
      <c r="E100" s="2">
        <v>511</v>
      </c>
      <c r="F100" s="2" t="s">
        <v>82</v>
      </c>
      <c r="G100" s="3">
        <v>0</v>
      </c>
      <c r="H100" s="32">
        <v>91</v>
      </c>
      <c r="I100" s="32">
        <v>85</v>
      </c>
      <c r="J100" s="32">
        <v>98</v>
      </c>
      <c r="K100" s="32">
        <v>87</v>
      </c>
      <c r="L100" s="32">
        <v>110</v>
      </c>
      <c r="M100" s="32">
        <v>103</v>
      </c>
      <c r="N100" s="32">
        <v>83</v>
      </c>
      <c r="O100" s="32">
        <v>69</v>
      </c>
      <c r="P100" s="32">
        <v>92</v>
      </c>
      <c r="Q100" s="32">
        <v>81</v>
      </c>
      <c r="R100" s="32">
        <v>96</v>
      </c>
      <c r="S100" s="32">
        <v>90</v>
      </c>
      <c r="T100" s="32">
        <v>108</v>
      </c>
      <c r="U100" s="32">
        <v>101</v>
      </c>
      <c r="V100" s="30">
        <v>0.91973244147157196</v>
      </c>
      <c r="W100" s="30">
        <v>0.88560885608856088</v>
      </c>
      <c r="X100" s="32">
        <v>52645.68</v>
      </c>
      <c r="Y100" s="32">
        <v>47406.37</v>
      </c>
      <c r="Z100" s="32">
        <v>100052.05</v>
      </c>
      <c r="AA100" s="3">
        <f t="shared" si="1"/>
        <v>95627.72</v>
      </c>
      <c r="AB100" s="3"/>
      <c r="AC100" s="3"/>
      <c r="AF100" s="3"/>
      <c r="AG100" s="3"/>
      <c r="AH100" s="3"/>
    </row>
    <row r="101" spans="1:34" x14ac:dyDescent="0.25">
      <c r="A101">
        <v>120512</v>
      </c>
      <c r="B101" s="2">
        <v>12</v>
      </c>
      <c r="C101" s="2">
        <v>1</v>
      </c>
      <c r="D101" s="2" t="s">
        <v>80</v>
      </c>
      <c r="E101" s="2">
        <v>512</v>
      </c>
      <c r="F101" s="2" t="s">
        <v>83</v>
      </c>
      <c r="G101" s="3">
        <v>0</v>
      </c>
      <c r="H101" s="32">
        <v>68</v>
      </c>
      <c r="I101" s="32">
        <v>56</v>
      </c>
      <c r="J101" s="32">
        <v>51</v>
      </c>
      <c r="K101" s="32">
        <v>44</v>
      </c>
      <c r="L101" s="32">
        <v>72</v>
      </c>
      <c r="M101" s="32">
        <v>69</v>
      </c>
      <c r="N101" s="32">
        <v>55</v>
      </c>
      <c r="O101" s="32">
        <v>42</v>
      </c>
      <c r="P101" s="32">
        <v>61</v>
      </c>
      <c r="Q101" s="32">
        <v>55</v>
      </c>
      <c r="R101" s="32">
        <v>48</v>
      </c>
      <c r="S101" s="32">
        <v>40</v>
      </c>
      <c r="T101" s="32">
        <v>71</v>
      </c>
      <c r="U101" s="32">
        <v>51</v>
      </c>
      <c r="V101" s="30">
        <v>0.88481675392670156</v>
      </c>
      <c r="W101" s="30">
        <v>0.83536585365853655</v>
      </c>
      <c r="X101" s="32">
        <v>33295.449999999997</v>
      </c>
      <c r="Y101" s="32">
        <v>22579.74</v>
      </c>
      <c r="Z101" s="32">
        <v>55875.19</v>
      </c>
      <c r="AA101" s="3">
        <f t="shared" si="1"/>
        <v>53404.38</v>
      </c>
      <c r="AB101" s="3"/>
      <c r="AC101" s="3"/>
      <c r="AF101" s="3"/>
      <c r="AG101" s="3"/>
      <c r="AH101" s="3"/>
    </row>
    <row r="102" spans="1:34" x14ac:dyDescent="0.25">
      <c r="A102">
        <v>120513</v>
      </c>
      <c r="B102" s="2">
        <v>12</v>
      </c>
      <c r="C102" s="2">
        <v>1</v>
      </c>
      <c r="D102" s="2" t="s">
        <v>80</v>
      </c>
      <c r="E102" s="2">
        <v>513</v>
      </c>
      <c r="F102" s="2" t="s">
        <v>84</v>
      </c>
      <c r="G102" s="3">
        <v>0</v>
      </c>
      <c r="H102" s="32">
        <v>98</v>
      </c>
      <c r="I102" s="32">
        <v>80</v>
      </c>
      <c r="J102" s="32">
        <v>106</v>
      </c>
      <c r="K102" s="32">
        <v>98</v>
      </c>
      <c r="L102" s="32">
        <v>92</v>
      </c>
      <c r="M102" s="32">
        <v>81</v>
      </c>
      <c r="N102" s="32">
        <v>94</v>
      </c>
      <c r="O102" s="32">
        <v>73</v>
      </c>
      <c r="P102" s="32">
        <v>95</v>
      </c>
      <c r="Q102" s="32">
        <v>81</v>
      </c>
      <c r="R102" s="32">
        <v>104</v>
      </c>
      <c r="S102" s="32">
        <v>87</v>
      </c>
      <c r="T102" s="32">
        <v>97</v>
      </c>
      <c r="U102" s="32">
        <v>107</v>
      </c>
      <c r="V102" s="30">
        <v>0.875</v>
      </c>
      <c r="W102" s="30">
        <v>0.8225255972696246</v>
      </c>
      <c r="X102" s="32">
        <v>44983.75</v>
      </c>
      <c r="Y102" s="32">
        <v>46645.58</v>
      </c>
      <c r="Z102" s="32">
        <v>91629.33</v>
      </c>
      <c r="AA102" s="3">
        <f t="shared" si="1"/>
        <v>87577.46</v>
      </c>
      <c r="AB102" s="3"/>
      <c r="AC102" s="3"/>
      <c r="AF102" s="3"/>
      <c r="AG102" s="3"/>
      <c r="AH102" s="3"/>
    </row>
    <row r="103" spans="1:34" x14ac:dyDescent="0.25">
      <c r="A103">
        <v>120515</v>
      </c>
      <c r="B103" s="2">
        <v>12</v>
      </c>
      <c r="C103" s="2">
        <v>1</v>
      </c>
      <c r="D103" s="2" t="s">
        <v>80</v>
      </c>
      <c r="E103" s="2">
        <v>515</v>
      </c>
      <c r="F103" s="2" t="s">
        <v>85</v>
      </c>
      <c r="G103" s="3">
        <v>0</v>
      </c>
      <c r="H103" s="32">
        <v>120</v>
      </c>
      <c r="I103" s="32">
        <v>99</v>
      </c>
      <c r="J103" s="32">
        <v>104</v>
      </c>
      <c r="K103" s="32">
        <v>94</v>
      </c>
      <c r="L103" s="32">
        <v>116</v>
      </c>
      <c r="M103" s="32">
        <v>98</v>
      </c>
      <c r="N103" s="32">
        <v>117</v>
      </c>
      <c r="O103" s="32">
        <v>82</v>
      </c>
      <c r="P103" s="32">
        <v>119</v>
      </c>
      <c r="Q103" s="32">
        <v>100</v>
      </c>
      <c r="R103" s="32">
        <v>106</v>
      </c>
      <c r="S103" s="32">
        <v>89</v>
      </c>
      <c r="T103" s="32">
        <v>117</v>
      </c>
      <c r="U103" s="32">
        <v>113</v>
      </c>
      <c r="V103" s="30">
        <v>0.85588235294117643</v>
      </c>
      <c r="W103" s="30">
        <v>0.79239766081871343</v>
      </c>
      <c r="X103" s="32">
        <v>53073.54</v>
      </c>
      <c r="Y103" s="32">
        <v>47456.61</v>
      </c>
      <c r="Z103" s="32">
        <v>100530.15</v>
      </c>
      <c r="AA103" s="3">
        <f t="shared" si="1"/>
        <v>96084.68</v>
      </c>
      <c r="AB103" s="3"/>
      <c r="AC103" s="3"/>
      <c r="AF103" s="3"/>
      <c r="AG103" s="3"/>
      <c r="AH103" s="3"/>
    </row>
    <row r="104" spans="1:34" x14ac:dyDescent="0.25">
      <c r="A104">
        <v>130515</v>
      </c>
      <c r="B104" s="2">
        <v>13</v>
      </c>
      <c r="C104" s="2">
        <v>1</v>
      </c>
      <c r="D104" s="2" t="s">
        <v>86</v>
      </c>
      <c r="E104" s="2">
        <v>515</v>
      </c>
      <c r="F104" s="2" t="s">
        <v>87</v>
      </c>
      <c r="G104" s="3">
        <v>0</v>
      </c>
      <c r="H104" s="32">
        <v>57</v>
      </c>
      <c r="I104" s="32">
        <v>36</v>
      </c>
      <c r="J104" s="32">
        <v>76</v>
      </c>
      <c r="K104" s="32">
        <v>53</v>
      </c>
      <c r="L104" s="32">
        <v>71</v>
      </c>
      <c r="M104" s="32">
        <v>63</v>
      </c>
      <c r="N104" s="32">
        <v>55</v>
      </c>
      <c r="O104" s="32">
        <v>37</v>
      </c>
      <c r="P104" s="32">
        <v>51</v>
      </c>
      <c r="Q104" s="32">
        <v>28</v>
      </c>
      <c r="R104" s="32">
        <v>62</v>
      </c>
      <c r="S104" s="32">
        <v>50</v>
      </c>
      <c r="T104" s="32">
        <v>78</v>
      </c>
      <c r="U104" s="32">
        <v>74</v>
      </c>
      <c r="V104" s="30">
        <v>0.74509803921568629</v>
      </c>
      <c r="W104" s="30">
        <v>0.68452380952380953</v>
      </c>
      <c r="X104" s="32">
        <v>30802.199999999997</v>
      </c>
      <c r="Y104" s="32">
        <v>26847.200000000001</v>
      </c>
      <c r="Z104" s="32">
        <v>57649.399999999994</v>
      </c>
      <c r="AA104" s="3">
        <f t="shared" si="1"/>
        <v>55100.13</v>
      </c>
      <c r="AB104" s="3"/>
      <c r="AC104" s="3"/>
      <c r="AF104" s="3"/>
      <c r="AG104" s="3"/>
      <c r="AH104" s="3"/>
    </row>
    <row r="105" spans="1:34" x14ac:dyDescent="0.25">
      <c r="A105">
        <v>130517</v>
      </c>
      <c r="B105" s="2">
        <v>13</v>
      </c>
      <c r="C105" s="2">
        <v>1</v>
      </c>
      <c r="D105" s="2" t="s">
        <v>86</v>
      </c>
      <c r="E105" s="2">
        <v>517</v>
      </c>
      <c r="F105" s="2" t="s">
        <v>88</v>
      </c>
      <c r="G105" s="3">
        <v>0</v>
      </c>
      <c r="H105" s="32">
        <v>83</v>
      </c>
      <c r="I105" s="32">
        <v>53</v>
      </c>
      <c r="J105" s="32">
        <v>62</v>
      </c>
      <c r="K105" s="32">
        <v>42</v>
      </c>
      <c r="L105" s="32">
        <v>72</v>
      </c>
      <c r="M105" s="32">
        <v>46</v>
      </c>
      <c r="N105" s="32">
        <v>46</v>
      </c>
      <c r="O105" s="32">
        <v>27</v>
      </c>
      <c r="P105" s="32">
        <v>72</v>
      </c>
      <c r="Q105" s="32">
        <v>61</v>
      </c>
      <c r="R105" s="32">
        <v>55</v>
      </c>
      <c r="S105" s="32">
        <v>37</v>
      </c>
      <c r="T105" s="32">
        <v>78</v>
      </c>
      <c r="U105" s="32">
        <v>69</v>
      </c>
      <c r="V105" s="30">
        <v>0.64976958525345618</v>
      </c>
      <c r="W105" s="30">
        <v>0.7225433526011561</v>
      </c>
      <c r="X105" s="32">
        <v>26861.64</v>
      </c>
      <c r="Y105" s="32">
        <v>26423.55</v>
      </c>
      <c r="Z105" s="32">
        <v>53285.19</v>
      </c>
      <c r="AA105" s="3">
        <f t="shared" si="1"/>
        <v>50928.91</v>
      </c>
      <c r="AB105" s="3"/>
      <c r="AC105" s="3"/>
      <c r="AF105" s="3"/>
      <c r="AG105" s="3"/>
      <c r="AH105" s="3"/>
    </row>
    <row r="106" spans="1:34" x14ac:dyDescent="0.25">
      <c r="A106">
        <v>130520</v>
      </c>
      <c r="B106">
        <v>13</v>
      </c>
      <c r="C106" s="2">
        <v>1</v>
      </c>
      <c r="D106" s="2" t="s">
        <v>86</v>
      </c>
      <c r="E106">
        <v>520</v>
      </c>
      <c r="F106" s="2" t="s">
        <v>89</v>
      </c>
      <c r="G106" s="3">
        <v>0</v>
      </c>
      <c r="H106" s="32">
        <v>85</v>
      </c>
      <c r="I106" s="32">
        <v>60</v>
      </c>
      <c r="J106" s="32">
        <v>72</v>
      </c>
      <c r="K106" s="32">
        <v>51</v>
      </c>
      <c r="L106" s="32">
        <v>68</v>
      </c>
      <c r="M106" s="32">
        <v>55</v>
      </c>
      <c r="N106" s="32">
        <v>56</v>
      </c>
      <c r="O106" s="32">
        <v>41</v>
      </c>
      <c r="P106" s="32">
        <v>73</v>
      </c>
      <c r="Q106" s="32">
        <v>43</v>
      </c>
      <c r="R106" s="32">
        <v>64</v>
      </c>
      <c r="S106" s="32">
        <v>41</v>
      </c>
      <c r="T106" s="32">
        <v>68</v>
      </c>
      <c r="U106" s="32">
        <v>70</v>
      </c>
      <c r="V106" s="30">
        <v>0.73777777777777775</v>
      </c>
      <c r="W106" s="30">
        <v>0.64766839378238339</v>
      </c>
      <c r="X106" s="32">
        <v>26589.360000000001</v>
      </c>
      <c r="Y106" s="32">
        <v>24028.2</v>
      </c>
      <c r="Z106" s="32">
        <v>50617.56</v>
      </c>
      <c r="AA106" s="3">
        <f t="shared" si="1"/>
        <v>48379.24</v>
      </c>
      <c r="AB106" s="3"/>
      <c r="AC106" s="3"/>
      <c r="AF106" s="3"/>
      <c r="AG106" s="3"/>
      <c r="AH106" s="3"/>
    </row>
    <row r="107" spans="1:34" x14ac:dyDescent="0.25">
      <c r="A107">
        <v>140546</v>
      </c>
      <c r="B107" s="2">
        <v>14</v>
      </c>
      <c r="C107" s="2">
        <v>1</v>
      </c>
      <c r="D107" s="2" t="s">
        <v>90</v>
      </c>
      <c r="E107" s="2">
        <v>546</v>
      </c>
      <c r="F107" s="2" t="s">
        <v>91</v>
      </c>
      <c r="G107" s="3">
        <v>0</v>
      </c>
      <c r="H107" s="32">
        <v>94</v>
      </c>
      <c r="I107" s="32">
        <v>75</v>
      </c>
      <c r="J107" s="32">
        <v>97</v>
      </c>
      <c r="K107" s="32">
        <v>62</v>
      </c>
      <c r="L107" s="32">
        <v>95</v>
      </c>
      <c r="M107" s="32">
        <v>73</v>
      </c>
      <c r="N107" s="32">
        <v>68</v>
      </c>
      <c r="O107" s="32">
        <v>52</v>
      </c>
      <c r="P107" s="32">
        <v>97</v>
      </c>
      <c r="Q107" s="32">
        <v>84</v>
      </c>
      <c r="R107" s="32">
        <v>84</v>
      </c>
      <c r="S107" s="32">
        <v>67</v>
      </c>
      <c r="T107" s="32">
        <v>91</v>
      </c>
      <c r="U107" s="32">
        <v>100</v>
      </c>
      <c r="V107" s="30">
        <v>0.73426573426573427</v>
      </c>
      <c r="W107" s="30">
        <v>0.81526104417670686</v>
      </c>
      <c r="X107" s="32">
        <v>35413.560000000005</v>
      </c>
      <c r="Y107" s="32">
        <v>43209</v>
      </c>
      <c r="Z107" s="32">
        <v>78622.559999999998</v>
      </c>
      <c r="AA107" s="3">
        <f t="shared" si="1"/>
        <v>75145.850000000006</v>
      </c>
      <c r="AB107" s="3"/>
      <c r="AC107" s="3"/>
      <c r="AF107" s="3"/>
      <c r="AG107" s="3"/>
      <c r="AH107" s="3"/>
    </row>
    <row r="108" spans="1:34" x14ac:dyDescent="0.25">
      <c r="A108">
        <v>140550</v>
      </c>
      <c r="B108" s="2">
        <v>14</v>
      </c>
      <c r="C108" s="2">
        <v>1</v>
      </c>
      <c r="D108" s="2" t="s">
        <v>90</v>
      </c>
      <c r="E108" s="2">
        <v>550</v>
      </c>
      <c r="F108" s="2" t="s">
        <v>92</v>
      </c>
      <c r="G108" s="3">
        <v>0</v>
      </c>
      <c r="H108" s="32">
        <v>97</v>
      </c>
      <c r="I108" s="32">
        <v>76</v>
      </c>
      <c r="J108" s="32">
        <v>115</v>
      </c>
      <c r="K108" s="32">
        <v>70</v>
      </c>
      <c r="L108" s="32">
        <v>106</v>
      </c>
      <c r="M108" s="32">
        <v>79</v>
      </c>
      <c r="N108" s="32">
        <v>74</v>
      </c>
      <c r="O108" s="32">
        <v>47</v>
      </c>
      <c r="P108" s="32">
        <v>83</v>
      </c>
      <c r="Q108" s="32">
        <v>65</v>
      </c>
      <c r="R108" s="32">
        <v>100</v>
      </c>
      <c r="S108" s="32">
        <v>78</v>
      </c>
      <c r="T108" s="32">
        <v>106</v>
      </c>
      <c r="U108" s="32">
        <v>112</v>
      </c>
      <c r="V108" s="30">
        <v>0.70754716981132071</v>
      </c>
      <c r="W108" s="30">
        <v>0.73929961089494167</v>
      </c>
      <c r="X108" s="32">
        <v>39750</v>
      </c>
      <c r="Y108" s="32">
        <v>43884.959999999999</v>
      </c>
      <c r="Z108" s="32">
        <v>83634.959999999992</v>
      </c>
      <c r="AA108" s="3">
        <f t="shared" si="1"/>
        <v>79936.600000000006</v>
      </c>
      <c r="AB108" s="3"/>
      <c r="AC108" s="3"/>
      <c r="AF108" s="3"/>
      <c r="AG108" s="3"/>
      <c r="AH108" s="3"/>
    </row>
    <row r="109" spans="1:34" x14ac:dyDescent="0.25">
      <c r="A109">
        <v>150782</v>
      </c>
      <c r="B109" s="2">
        <v>15</v>
      </c>
      <c r="C109" s="2">
        <v>1</v>
      </c>
      <c r="D109" s="2" t="s">
        <v>93</v>
      </c>
      <c r="E109" s="2">
        <v>782</v>
      </c>
      <c r="F109" s="2" t="s">
        <v>94</v>
      </c>
      <c r="G109" s="3">
        <v>0</v>
      </c>
      <c r="H109" s="32">
        <v>115</v>
      </c>
      <c r="I109" s="32">
        <v>94</v>
      </c>
      <c r="J109" s="32">
        <v>115</v>
      </c>
      <c r="K109" s="32">
        <v>101</v>
      </c>
      <c r="L109" s="32">
        <v>114</v>
      </c>
      <c r="M109" s="32">
        <v>96</v>
      </c>
      <c r="N109" s="32">
        <v>115</v>
      </c>
      <c r="O109" s="32">
        <v>97</v>
      </c>
      <c r="P109" s="32">
        <v>105</v>
      </c>
      <c r="Q109" s="32">
        <v>84</v>
      </c>
      <c r="R109" s="32">
        <v>114</v>
      </c>
      <c r="S109" s="32">
        <v>98</v>
      </c>
      <c r="T109" s="32">
        <v>118</v>
      </c>
      <c r="U109" s="32">
        <v>118</v>
      </c>
      <c r="V109" s="30">
        <v>0.84593023255813948</v>
      </c>
      <c r="W109" s="30">
        <v>0.83532934131736525</v>
      </c>
      <c r="X109" s="32">
        <v>52904.119999999995</v>
      </c>
      <c r="Y109" s="32">
        <v>52240.960000000006</v>
      </c>
      <c r="Z109" s="32">
        <v>105145.08</v>
      </c>
      <c r="AA109" s="3">
        <f t="shared" si="1"/>
        <v>100495.54</v>
      </c>
      <c r="AB109" s="3"/>
      <c r="AC109" s="3"/>
      <c r="AF109" s="3"/>
      <c r="AG109" s="3"/>
      <c r="AH109" s="3"/>
    </row>
    <row r="110" spans="1:34" x14ac:dyDescent="0.25">
      <c r="A110">
        <v>150784</v>
      </c>
      <c r="B110" s="2">
        <v>15</v>
      </c>
      <c r="C110" s="2">
        <v>1</v>
      </c>
      <c r="D110" s="2" t="s">
        <v>93</v>
      </c>
      <c r="E110" s="2">
        <v>784</v>
      </c>
      <c r="F110" s="2" t="s">
        <v>95</v>
      </c>
      <c r="G110" s="3">
        <v>0</v>
      </c>
      <c r="H110" s="32">
        <v>142</v>
      </c>
      <c r="I110" s="32">
        <v>112</v>
      </c>
      <c r="J110" s="32">
        <v>147</v>
      </c>
      <c r="K110" s="32">
        <v>116</v>
      </c>
      <c r="L110" s="32">
        <v>142</v>
      </c>
      <c r="M110" s="32">
        <v>123</v>
      </c>
      <c r="N110" s="32">
        <v>146</v>
      </c>
      <c r="O110" s="32">
        <v>107</v>
      </c>
      <c r="P110" s="32">
        <v>138</v>
      </c>
      <c r="Q110" s="32">
        <v>101</v>
      </c>
      <c r="R110" s="32">
        <v>140</v>
      </c>
      <c r="S110" s="32">
        <v>110</v>
      </c>
      <c r="T110" s="32">
        <v>142</v>
      </c>
      <c r="U110" s="32">
        <v>150</v>
      </c>
      <c r="V110" s="30">
        <v>0.81438515081206497</v>
      </c>
      <c r="W110" s="30">
        <v>0.75</v>
      </c>
      <c r="X110" s="32">
        <v>61290.04</v>
      </c>
      <c r="Y110" s="32">
        <v>59625</v>
      </c>
      <c r="Z110" s="32">
        <v>120915.04000000001</v>
      </c>
      <c r="AA110" s="3">
        <f t="shared" si="1"/>
        <v>115568.15</v>
      </c>
      <c r="AB110" s="3"/>
      <c r="AC110" s="3"/>
      <c r="AF110" s="3"/>
      <c r="AG110" s="3"/>
      <c r="AH110" s="3"/>
    </row>
    <row r="111" spans="1:34" x14ac:dyDescent="0.25">
      <c r="A111">
        <v>150848</v>
      </c>
      <c r="B111">
        <v>15</v>
      </c>
      <c r="C111" s="2">
        <v>1</v>
      </c>
      <c r="D111" s="2" t="s">
        <v>93</v>
      </c>
      <c r="E111">
        <v>848</v>
      </c>
      <c r="F111" s="2" t="s">
        <v>96</v>
      </c>
      <c r="G111" s="3">
        <v>0</v>
      </c>
      <c r="H111" s="32">
        <v>112</v>
      </c>
      <c r="I111" s="32">
        <v>93</v>
      </c>
      <c r="J111" s="32">
        <v>117</v>
      </c>
      <c r="K111" s="32">
        <v>101</v>
      </c>
      <c r="L111" s="32">
        <v>115</v>
      </c>
      <c r="M111" s="32">
        <v>90</v>
      </c>
      <c r="N111" s="32">
        <v>87</v>
      </c>
      <c r="O111" s="32">
        <v>52</v>
      </c>
      <c r="P111" s="32">
        <v>103</v>
      </c>
      <c r="Q111" s="32">
        <v>74</v>
      </c>
      <c r="R111" s="32">
        <v>111</v>
      </c>
      <c r="S111" s="32">
        <v>82</v>
      </c>
      <c r="T111" s="32">
        <v>117</v>
      </c>
      <c r="U111" s="32">
        <v>118</v>
      </c>
      <c r="V111" s="30">
        <v>0.82558139534883723</v>
      </c>
      <c r="W111" s="30">
        <v>0.69102990033222589</v>
      </c>
      <c r="X111" s="32">
        <v>51194.52</v>
      </c>
      <c r="Y111" s="32">
        <v>43217.5</v>
      </c>
      <c r="Z111" s="32">
        <v>94412.01999999999</v>
      </c>
      <c r="AA111" s="3">
        <f t="shared" si="1"/>
        <v>90237.1</v>
      </c>
      <c r="AB111" s="3"/>
      <c r="AC111" s="3"/>
      <c r="AF111" s="3"/>
      <c r="AG111" s="3"/>
      <c r="AH111" s="3"/>
    </row>
    <row r="112" spans="1:34" x14ac:dyDescent="0.25">
      <c r="A112">
        <v>160772</v>
      </c>
      <c r="B112" s="2">
        <v>16</v>
      </c>
      <c r="C112" s="2">
        <v>1</v>
      </c>
      <c r="D112" s="2" t="s">
        <v>97</v>
      </c>
      <c r="E112" s="2">
        <v>772</v>
      </c>
      <c r="F112" s="2" t="s">
        <v>98</v>
      </c>
      <c r="G112" s="3">
        <v>0</v>
      </c>
      <c r="H112" s="32">
        <v>160</v>
      </c>
      <c r="I112" s="32">
        <v>140</v>
      </c>
      <c r="J112" s="32">
        <v>157</v>
      </c>
      <c r="K112" s="32">
        <v>138</v>
      </c>
      <c r="L112" s="32">
        <v>181</v>
      </c>
      <c r="M112" s="32">
        <v>153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183</v>
      </c>
      <c r="U112" s="32">
        <v>0</v>
      </c>
      <c r="V112" s="30">
        <v>0.86546184738955823</v>
      </c>
      <c r="W112" s="30">
        <v>0</v>
      </c>
      <c r="X112" s="32">
        <v>83940.27</v>
      </c>
      <c r="Y112" s="32">
        <v>0</v>
      </c>
      <c r="Z112" s="32">
        <v>83940.27</v>
      </c>
      <c r="AA112" s="3">
        <f t="shared" si="1"/>
        <v>80228.41</v>
      </c>
      <c r="AB112" s="3"/>
      <c r="AC112" s="3"/>
      <c r="AF112" s="3"/>
      <c r="AG112" s="3"/>
      <c r="AH112" s="3"/>
    </row>
    <row r="113" spans="1:34" x14ac:dyDescent="0.25">
      <c r="A113" s="7">
        <v>160773</v>
      </c>
      <c r="B113" s="7">
        <v>16</v>
      </c>
      <c r="C113" s="7">
        <v>1</v>
      </c>
      <c r="D113" s="7" t="s">
        <v>97</v>
      </c>
      <c r="E113" s="7">
        <v>773</v>
      </c>
      <c r="F113" s="7" t="s">
        <v>99</v>
      </c>
      <c r="G113" s="3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332</v>
      </c>
      <c r="O113" s="32">
        <v>243</v>
      </c>
      <c r="P113" s="32">
        <v>336</v>
      </c>
      <c r="Q113" s="32">
        <v>277</v>
      </c>
      <c r="R113" s="32">
        <v>344</v>
      </c>
      <c r="S113" s="32">
        <v>279</v>
      </c>
      <c r="T113" s="32">
        <v>0</v>
      </c>
      <c r="U113" s="32">
        <v>370</v>
      </c>
      <c r="V113" s="30">
        <v>0</v>
      </c>
      <c r="W113" s="30">
        <v>0.78952569169960474</v>
      </c>
      <c r="X113" s="32">
        <v>0</v>
      </c>
      <c r="Y113" s="32">
        <v>154826.5</v>
      </c>
      <c r="Z113" s="32">
        <v>154826.5</v>
      </c>
      <c r="AA113" s="3">
        <f t="shared" si="1"/>
        <v>147980.04</v>
      </c>
      <c r="AB113" s="3"/>
      <c r="AC113" s="3"/>
      <c r="AF113" s="3"/>
      <c r="AG113" s="3"/>
      <c r="AH113" s="3"/>
    </row>
    <row r="114" spans="1:34" x14ac:dyDescent="0.25">
      <c r="A114">
        <v>160774</v>
      </c>
      <c r="B114" s="2">
        <v>16</v>
      </c>
      <c r="C114" s="2">
        <v>1</v>
      </c>
      <c r="D114" s="2" t="s">
        <v>97</v>
      </c>
      <c r="E114" s="2">
        <v>774</v>
      </c>
      <c r="F114" s="2" t="s">
        <v>100</v>
      </c>
      <c r="G114" s="3">
        <v>0</v>
      </c>
      <c r="H114" s="32">
        <v>99</v>
      </c>
      <c r="I114" s="32">
        <v>68</v>
      </c>
      <c r="J114" s="32">
        <v>102</v>
      </c>
      <c r="K114" s="32">
        <v>83</v>
      </c>
      <c r="L114" s="32">
        <v>95</v>
      </c>
      <c r="M114" s="32">
        <v>70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0</v>
      </c>
      <c r="T114" s="32">
        <v>91</v>
      </c>
      <c r="U114" s="32">
        <v>0</v>
      </c>
      <c r="V114" s="30">
        <v>0.7466216216216216</v>
      </c>
      <c r="W114" s="30">
        <v>0</v>
      </c>
      <c r="X114" s="32">
        <v>36009.61</v>
      </c>
      <c r="Y114" s="32">
        <v>0</v>
      </c>
      <c r="Z114" s="32">
        <v>36009.61</v>
      </c>
      <c r="AA114" s="3">
        <f t="shared" si="1"/>
        <v>34417.26</v>
      </c>
      <c r="AB114" s="3"/>
      <c r="AC114" s="3"/>
      <c r="AF114" s="3"/>
      <c r="AG114" s="3"/>
      <c r="AH114" s="3"/>
    </row>
    <row r="115" spans="1:34" x14ac:dyDescent="0.25">
      <c r="A115">
        <v>160775</v>
      </c>
      <c r="B115" s="2">
        <v>16</v>
      </c>
      <c r="C115" s="2">
        <v>1</v>
      </c>
      <c r="D115" s="2" t="s">
        <v>97</v>
      </c>
      <c r="E115" s="2">
        <v>775</v>
      </c>
      <c r="F115" s="2" t="s">
        <v>101</v>
      </c>
      <c r="G115" s="3">
        <v>0</v>
      </c>
      <c r="H115" s="32">
        <v>98</v>
      </c>
      <c r="I115" s="32">
        <v>73</v>
      </c>
      <c r="J115" s="32">
        <v>107</v>
      </c>
      <c r="K115" s="32">
        <v>91</v>
      </c>
      <c r="L115" s="32">
        <v>101</v>
      </c>
      <c r="M115" s="32">
        <v>82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106</v>
      </c>
      <c r="U115" s="32">
        <v>0</v>
      </c>
      <c r="V115" s="30">
        <v>0.80392156862745101</v>
      </c>
      <c r="W115" s="30">
        <v>0</v>
      </c>
      <c r="X115" s="32">
        <v>45164.479999999996</v>
      </c>
      <c r="Y115" s="32">
        <v>0</v>
      </c>
      <c r="Z115" s="32">
        <v>45164.479999999996</v>
      </c>
      <c r="AA115" s="3">
        <f t="shared" si="1"/>
        <v>43167.3</v>
      </c>
      <c r="AB115" s="3"/>
      <c r="AC115" s="3"/>
      <c r="AF115" s="3"/>
      <c r="AG115" s="3"/>
      <c r="AH115" s="3"/>
    </row>
    <row r="116" spans="1:34" x14ac:dyDescent="0.25">
      <c r="A116">
        <v>220010</v>
      </c>
      <c r="B116" s="2">
        <v>22</v>
      </c>
      <c r="C116" s="2">
        <v>1</v>
      </c>
      <c r="D116" s="2" t="s">
        <v>102</v>
      </c>
      <c r="E116" s="2">
        <v>10</v>
      </c>
      <c r="F116" s="2" t="s">
        <v>103</v>
      </c>
      <c r="G116" s="3">
        <v>0</v>
      </c>
      <c r="H116" s="32">
        <v>98</v>
      </c>
      <c r="I116" s="32">
        <v>84</v>
      </c>
      <c r="J116" s="32">
        <v>97</v>
      </c>
      <c r="K116" s="32">
        <v>79</v>
      </c>
      <c r="L116" s="32">
        <v>91</v>
      </c>
      <c r="M116" s="32">
        <v>87</v>
      </c>
      <c r="N116" s="32">
        <v>79</v>
      </c>
      <c r="O116" s="32">
        <v>57</v>
      </c>
      <c r="P116" s="32">
        <v>96</v>
      </c>
      <c r="Q116" s="32">
        <v>58</v>
      </c>
      <c r="R116" s="32">
        <v>93</v>
      </c>
      <c r="S116" s="32">
        <v>67</v>
      </c>
      <c r="T116" s="32">
        <v>99</v>
      </c>
      <c r="U116" s="32">
        <v>95</v>
      </c>
      <c r="V116" s="30">
        <v>0.87412587412587417</v>
      </c>
      <c r="W116" s="30">
        <v>0.67910447761194026</v>
      </c>
      <c r="X116" s="32">
        <v>45865.71</v>
      </c>
      <c r="Y116" s="32">
        <v>34193.35</v>
      </c>
      <c r="Z116" s="32">
        <v>80059.06</v>
      </c>
      <c r="AA116" s="3">
        <f t="shared" si="1"/>
        <v>76518.83</v>
      </c>
      <c r="AB116" s="3"/>
      <c r="AC116" s="3"/>
      <c r="AF116" s="3"/>
      <c r="AG116" s="3"/>
      <c r="AH116" s="3"/>
    </row>
    <row r="117" spans="1:34" x14ac:dyDescent="0.25">
      <c r="A117">
        <v>220060</v>
      </c>
      <c r="B117" s="2">
        <v>22</v>
      </c>
      <c r="C117" s="2">
        <v>1</v>
      </c>
      <c r="D117" s="2" t="s">
        <v>102</v>
      </c>
      <c r="E117" s="2">
        <v>60</v>
      </c>
      <c r="F117" s="2" t="s">
        <v>104</v>
      </c>
      <c r="G117" s="3">
        <v>0</v>
      </c>
      <c r="H117" s="32">
        <v>95</v>
      </c>
      <c r="I117" s="32">
        <v>76</v>
      </c>
      <c r="J117" s="32">
        <v>105</v>
      </c>
      <c r="K117" s="32">
        <v>91</v>
      </c>
      <c r="L117" s="32">
        <v>111</v>
      </c>
      <c r="M117" s="32">
        <v>91</v>
      </c>
      <c r="N117" s="32">
        <v>101</v>
      </c>
      <c r="O117" s="32">
        <v>73</v>
      </c>
      <c r="P117" s="32">
        <v>91</v>
      </c>
      <c r="Q117" s="32">
        <v>65</v>
      </c>
      <c r="R117" s="32">
        <v>100</v>
      </c>
      <c r="S117" s="32">
        <v>75</v>
      </c>
      <c r="T117" s="32">
        <v>117</v>
      </c>
      <c r="U117" s="32">
        <v>117</v>
      </c>
      <c r="V117" s="30">
        <v>0.82958199356913187</v>
      </c>
      <c r="W117" s="30">
        <v>0.72945205479452058</v>
      </c>
      <c r="X117" s="32">
        <v>51442.559999999998</v>
      </c>
      <c r="Y117" s="32">
        <v>45233.37</v>
      </c>
      <c r="Z117" s="32">
        <v>96675.93</v>
      </c>
      <c r="AA117" s="3">
        <f t="shared" si="1"/>
        <v>92400.9</v>
      </c>
      <c r="AB117" s="3"/>
      <c r="AC117" s="3"/>
      <c r="AF117" s="3"/>
      <c r="AG117" s="3"/>
      <c r="AH117" s="3"/>
    </row>
    <row r="118" spans="1:34" x14ac:dyDescent="0.25">
      <c r="A118">
        <v>230010</v>
      </c>
      <c r="B118" s="2">
        <v>23</v>
      </c>
      <c r="C118" s="2">
        <v>1</v>
      </c>
      <c r="D118" s="2" t="s">
        <v>105</v>
      </c>
      <c r="E118" s="2">
        <v>10</v>
      </c>
      <c r="F118" s="2" t="s">
        <v>106</v>
      </c>
      <c r="G118" s="3">
        <v>0</v>
      </c>
      <c r="H118" s="32">
        <v>71</v>
      </c>
      <c r="I118" s="32">
        <v>58</v>
      </c>
      <c r="J118" s="32">
        <v>67</v>
      </c>
      <c r="K118" s="32">
        <v>60</v>
      </c>
      <c r="L118" s="32">
        <v>70</v>
      </c>
      <c r="M118" s="32">
        <v>61</v>
      </c>
      <c r="N118" s="32">
        <v>69</v>
      </c>
      <c r="O118" s="32">
        <v>51</v>
      </c>
      <c r="P118" s="32">
        <v>63</v>
      </c>
      <c r="Q118" s="32">
        <v>47</v>
      </c>
      <c r="R118" s="32">
        <v>68</v>
      </c>
      <c r="S118" s="32">
        <v>58</v>
      </c>
      <c r="T118" s="32">
        <v>75</v>
      </c>
      <c r="U118" s="32">
        <v>73</v>
      </c>
      <c r="V118" s="30">
        <v>0.86057692307692313</v>
      </c>
      <c r="W118" s="30">
        <v>0.78</v>
      </c>
      <c r="X118" s="32">
        <v>34208.25</v>
      </c>
      <c r="Y118" s="32">
        <v>30178.199999999997</v>
      </c>
      <c r="Z118" s="32">
        <v>64386.45</v>
      </c>
      <c r="AA118" s="3">
        <f t="shared" si="1"/>
        <v>61539.27</v>
      </c>
      <c r="AB118" s="3"/>
      <c r="AC118" s="3"/>
      <c r="AF118" s="3"/>
      <c r="AG118" s="3"/>
      <c r="AH118" s="3"/>
    </row>
    <row r="119" spans="1:34" x14ac:dyDescent="0.25">
      <c r="A119">
        <v>250070</v>
      </c>
      <c r="B119">
        <v>25</v>
      </c>
      <c r="C119">
        <v>1</v>
      </c>
      <c r="D119" t="s">
        <v>1164</v>
      </c>
      <c r="E119">
        <v>70</v>
      </c>
      <c r="F119" t="s">
        <v>1165</v>
      </c>
      <c r="G119" s="3">
        <v>1</v>
      </c>
      <c r="H119" s="32" t="s">
        <v>1328</v>
      </c>
      <c r="I119" s="32" t="s">
        <v>1328</v>
      </c>
      <c r="J119" s="32" t="s">
        <v>1328</v>
      </c>
      <c r="K119" s="32" t="s">
        <v>1328</v>
      </c>
      <c r="L119" s="32" t="s">
        <v>1328</v>
      </c>
      <c r="M119" s="32" t="s">
        <v>1328</v>
      </c>
      <c r="N119" s="32" t="s">
        <v>1328</v>
      </c>
      <c r="O119" s="32" t="s">
        <v>1328</v>
      </c>
      <c r="P119" s="32" t="s">
        <v>1328</v>
      </c>
      <c r="Q119" s="32" t="s">
        <v>1328</v>
      </c>
      <c r="R119" s="32" t="s">
        <v>1328</v>
      </c>
      <c r="S119" s="32" t="s">
        <v>1328</v>
      </c>
      <c r="T119" s="32">
        <v>9</v>
      </c>
      <c r="U119" s="32">
        <v>5</v>
      </c>
      <c r="V119" s="30" t="s">
        <v>1328</v>
      </c>
      <c r="W119" s="30" t="s">
        <v>1328</v>
      </c>
      <c r="X119" s="32" t="s">
        <v>1328</v>
      </c>
      <c r="Y119" s="32" t="s">
        <v>1328</v>
      </c>
      <c r="Z119" s="32">
        <v>4129.33</v>
      </c>
      <c r="AA119" s="3">
        <f t="shared" si="1"/>
        <v>3946.73</v>
      </c>
      <c r="AB119" s="3"/>
      <c r="AC119" s="3"/>
      <c r="AF119" s="3"/>
      <c r="AG119" s="3"/>
      <c r="AH119" s="3"/>
    </row>
    <row r="120" spans="1:34" x14ac:dyDescent="0.25">
      <c r="A120">
        <v>310016</v>
      </c>
      <c r="B120" s="2">
        <v>31</v>
      </c>
      <c r="C120" s="2">
        <v>1</v>
      </c>
      <c r="D120" s="2" t="s">
        <v>107</v>
      </c>
      <c r="E120" s="2">
        <v>16</v>
      </c>
      <c r="F120" s="2" t="s">
        <v>108</v>
      </c>
      <c r="G120" s="3">
        <v>0</v>
      </c>
      <c r="H120" s="32">
        <v>85</v>
      </c>
      <c r="I120" s="32">
        <v>64</v>
      </c>
      <c r="J120" s="32">
        <v>104</v>
      </c>
      <c r="K120" s="32">
        <v>78</v>
      </c>
      <c r="L120" s="32">
        <v>96</v>
      </c>
      <c r="M120" s="32">
        <v>86</v>
      </c>
      <c r="N120" s="32">
        <v>82</v>
      </c>
      <c r="O120" s="32">
        <v>60</v>
      </c>
      <c r="P120" s="32">
        <v>84</v>
      </c>
      <c r="Q120" s="32">
        <v>55</v>
      </c>
      <c r="R120" s="32">
        <v>102</v>
      </c>
      <c r="S120" s="32">
        <v>77</v>
      </c>
      <c r="T120" s="32">
        <v>93</v>
      </c>
      <c r="U120" s="32">
        <v>110</v>
      </c>
      <c r="V120" s="30">
        <v>0.8</v>
      </c>
      <c r="W120" s="30">
        <v>0.71641791044776115</v>
      </c>
      <c r="X120" s="32">
        <v>39432</v>
      </c>
      <c r="Y120" s="32">
        <v>41767</v>
      </c>
      <c r="Z120" s="32">
        <v>81199</v>
      </c>
      <c r="AA120" s="3">
        <f t="shared" si="1"/>
        <v>77608.36</v>
      </c>
      <c r="AB120" s="3"/>
      <c r="AC120" s="3"/>
      <c r="AF120" s="3"/>
      <c r="AG120" s="3"/>
      <c r="AH120" s="3"/>
    </row>
    <row r="121" spans="1:34" x14ac:dyDescent="0.25">
      <c r="A121">
        <v>310040</v>
      </c>
      <c r="B121" s="2">
        <v>31</v>
      </c>
      <c r="C121" s="2">
        <v>1</v>
      </c>
      <c r="D121" s="2" t="s">
        <v>107</v>
      </c>
      <c r="E121" s="2">
        <v>40</v>
      </c>
      <c r="F121" s="2" t="s">
        <v>109</v>
      </c>
      <c r="G121" s="3">
        <v>0</v>
      </c>
      <c r="H121" s="32">
        <v>51</v>
      </c>
      <c r="I121" s="32">
        <v>43</v>
      </c>
      <c r="J121" s="32">
        <v>54</v>
      </c>
      <c r="K121" s="32">
        <v>46</v>
      </c>
      <c r="L121" s="32">
        <v>54</v>
      </c>
      <c r="M121" s="32">
        <v>40</v>
      </c>
      <c r="N121" s="32">
        <v>39</v>
      </c>
      <c r="O121" s="32">
        <v>31</v>
      </c>
      <c r="P121" s="32">
        <v>42</v>
      </c>
      <c r="Q121" s="32">
        <v>26</v>
      </c>
      <c r="R121" s="32">
        <v>49</v>
      </c>
      <c r="S121" s="32">
        <v>37</v>
      </c>
      <c r="T121" s="32">
        <v>50</v>
      </c>
      <c r="U121" s="32">
        <v>52</v>
      </c>
      <c r="V121" s="30">
        <v>0.81132075471698117</v>
      </c>
      <c r="W121" s="30">
        <v>0.72307692307692306</v>
      </c>
      <c r="X121" s="32">
        <v>21500</v>
      </c>
      <c r="Y121" s="32">
        <v>19927.96</v>
      </c>
      <c r="Z121" s="32">
        <v>41427.96</v>
      </c>
      <c r="AA121" s="3">
        <f t="shared" si="1"/>
        <v>39596.01</v>
      </c>
      <c r="AB121" s="3"/>
      <c r="AC121" s="3"/>
      <c r="AF121" s="3"/>
      <c r="AG121" s="3"/>
      <c r="AH121" s="3"/>
    </row>
    <row r="122" spans="1:34" x14ac:dyDescent="0.25">
      <c r="A122">
        <v>310050</v>
      </c>
      <c r="B122" s="2">
        <v>31</v>
      </c>
      <c r="C122" s="2">
        <v>1</v>
      </c>
      <c r="D122" s="2" t="s">
        <v>107</v>
      </c>
      <c r="E122" s="2">
        <v>50</v>
      </c>
      <c r="F122" s="2" t="s">
        <v>110</v>
      </c>
      <c r="G122" s="3">
        <v>0</v>
      </c>
      <c r="H122" s="32">
        <v>29</v>
      </c>
      <c r="I122" s="32">
        <v>17</v>
      </c>
      <c r="J122" s="32">
        <v>24</v>
      </c>
      <c r="K122" s="32">
        <v>19</v>
      </c>
      <c r="L122" s="32">
        <v>23</v>
      </c>
      <c r="M122" s="32">
        <v>18</v>
      </c>
      <c r="N122" s="32">
        <v>22</v>
      </c>
      <c r="O122" s="32">
        <v>18</v>
      </c>
      <c r="P122" s="32">
        <v>26</v>
      </c>
      <c r="Q122" s="32">
        <v>19</v>
      </c>
      <c r="R122" s="32">
        <v>17</v>
      </c>
      <c r="S122" s="32">
        <v>13</v>
      </c>
      <c r="T122" s="32">
        <v>23</v>
      </c>
      <c r="U122" s="32">
        <v>24</v>
      </c>
      <c r="V122" s="30">
        <v>0.71052631578947367</v>
      </c>
      <c r="W122" s="30">
        <v>0.76923076923076927</v>
      </c>
      <c r="X122" s="32">
        <v>8661.34</v>
      </c>
      <c r="Y122" s="32">
        <v>9784.56</v>
      </c>
      <c r="Z122" s="32">
        <v>18445.900000000001</v>
      </c>
      <c r="AA122" s="3">
        <f t="shared" si="1"/>
        <v>17630.22</v>
      </c>
      <c r="AB122" s="3"/>
      <c r="AC122" s="3"/>
      <c r="AF122" s="3"/>
      <c r="AG122" s="3"/>
      <c r="AH122" s="3"/>
    </row>
    <row r="123" spans="1:34" x14ac:dyDescent="0.25">
      <c r="A123">
        <v>310060</v>
      </c>
      <c r="B123" s="2">
        <v>31</v>
      </c>
      <c r="C123" s="2">
        <v>1</v>
      </c>
      <c r="D123" s="2" t="s">
        <v>107</v>
      </c>
      <c r="E123" s="2">
        <v>60</v>
      </c>
      <c r="F123" s="2" t="s">
        <v>60</v>
      </c>
      <c r="G123" s="3">
        <v>0</v>
      </c>
      <c r="H123" s="32">
        <v>84</v>
      </c>
      <c r="I123" s="32">
        <v>65</v>
      </c>
      <c r="J123" s="32">
        <v>94</v>
      </c>
      <c r="K123" s="32">
        <v>70</v>
      </c>
      <c r="L123" s="32">
        <v>102</v>
      </c>
      <c r="M123" s="32">
        <v>84</v>
      </c>
      <c r="N123" s="32">
        <v>83</v>
      </c>
      <c r="O123" s="32">
        <v>60</v>
      </c>
      <c r="P123" s="32">
        <v>84</v>
      </c>
      <c r="Q123" s="32">
        <v>59</v>
      </c>
      <c r="R123" s="32">
        <v>88</v>
      </c>
      <c r="S123" s="32">
        <v>67</v>
      </c>
      <c r="T123" s="32">
        <v>102</v>
      </c>
      <c r="U123" s="32">
        <v>94</v>
      </c>
      <c r="V123" s="30">
        <v>0.78214285714285714</v>
      </c>
      <c r="W123" s="30">
        <v>0.72941176470588232</v>
      </c>
      <c r="X123" s="32">
        <v>42283.08</v>
      </c>
      <c r="Y123" s="32">
        <v>36339.46</v>
      </c>
      <c r="Z123" s="32">
        <v>78622.540000000008</v>
      </c>
      <c r="AA123" s="3">
        <f t="shared" si="1"/>
        <v>75145.83</v>
      </c>
      <c r="AB123" s="3"/>
      <c r="AC123" s="3"/>
      <c r="AF123" s="3"/>
      <c r="AG123" s="3"/>
      <c r="AH123" s="3"/>
    </row>
    <row r="124" spans="1:34" x14ac:dyDescent="0.25">
      <c r="A124">
        <v>310080</v>
      </c>
      <c r="B124" s="2">
        <v>31</v>
      </c>
      <c r="C124" s="2">
        <v>1</v>
      </c>
      <c r="D124" s="2" t="s">
        <v>107</v>
      </c>
      <c r="E124" s="2">
        <v>80</v>
      </c>
      <c r="F124" s="2" t="s">
        <v>111</v>
      </c>
      <c r="G124" s="3">
        <v>0</v>
      </c>
      <c r="H124" s="32">
        <v>31</v>
      </c>
      <c r="I124" s="32">
        <v>25</v>
      </c>
      <c r="J124" s="32">
        <v>32</v>
      </c>
      <c r="K124" s="32">
        <v>29</v>
      </c>
      <c r="L124" s="32">
        <v>40</v>
      </c>
      <c r="M124" s="32">
        <v>31</v>
      </c>
      <c r="N124" s="32">
        <v>22</v>
      </c>
      <c r="O124" s="32">
        <v>13</v>
      </c>
      <c r="P124" s="32">
        <v>28</v>
      </c>
      <c r="Q124" s="32">
        <v>23</v>
      </c>
      <c r="R124" s="32">
        <v>32</v>
      </c>
      <c r="S124" s="32">
        <v>28</v>
      </c>
      <c r="T124" s="32">
        <v>42</v>
      </c>
      <c r="U124" s="32">
        <v>34</v>
      </c>
      <c r="V124" s="30">
        <v>0.82524271844660191</v>
      </c>
      <c r="W124" s="30">
        <v>0.78048780487804881</v>
      </c>
      <c r="X124" s="32">
        <v>18369.96</v>
      </c>
      <c r="Y124" s="32">
        <v>14064.44</v>
      </c>
      <c r="Z124" s="32">
        <v>32434.400000000001</v>
      </c>
      <c r="AA124" s="3">
        <f t="shared" si="1"/>
        <v>31000.14</v>
      </c>
      <c r="AB124" s="3"/>
      <c r="AC124" s="3"/>
      <c r="AF124" s="3"/>
      <c r="AG124" s="3"/>
      <c r="AH124" s="3"/>
    </row>
    <row r="125" spans="1:34" x14ac:dyDescent="0.25">
      <c r="A125">
        <v>310100</v>
      </c>
      <c r="B125" s="2">
        <v>31</v>
      </c>
      <c r="C125" s="2">
        <v>1</v>
      </c>
      <c r="D125" s="2" t="s">
        <v>107</v>
      </c>
      <c r="E125" s="2">
        <v>100</v>
      </c>
      <c r="F125" s="2" t="s">
        <v>112</v>
      </c>
      <c r="G125" s="3">
        <v>0</v>
      </c>
      <c r="H125" s="32">
        <v>74</v>
      </c>
      <c r="I125" s="32">
        <v>56</v>
      </c>
      <c r="J125" s="32">
        <v>67</v>
      </c>
      <c r="K125" s="32">
        <v>47</v>
      </c>
      <c r="L125" s="32">
        <v>80</v>
      </c>
      <c r="M125" s="32">
        <v>66</v>
      </c>
      <c r="N125" s="32">
        <v>62</v>
      </c>
      <c r="O125" s="32">
        <v>46</v>
      </c>
      <c r="P125" s="32">
        <v>68</v>
      </c>
      <c r="Q125" s="32">
        <v>50</v>
      </c>
      <c r="R125" s="32">
        <v>65</v>
      </c>
      <c r="S125" s="32">
        <v>53</v>
      </c>
      <c r="T125" s="32">
        <v>86</v>
      </c>
      <c r="U125" s="32">
        <v>70</v>
      </c>
      <c r="V125" s="30">
        <v>0.76470588235294112</v>
      </c>
      <c r="W125" s="30">
        <v>0.76410256410256405</v>
      </c>
      <c r="X125" s="32">
        <v>34854.94</v>
      </c>
      <c r="Y125" s="32">
        <v>28347.9</v>
      </c>
      <c r="Z125" s="32">
        <v>63202.840000000004</v>
      </c>
      <c r="AA125" s="3">
        <f t="shared" si="1"/>
        <v>60408</v>
      </c>
      <c r="AB125" s="3"/>
      <c r="AC125" s="3"/>
      <c r="AF125" s="3"/>
      <c r="AG125" s="3"/>
      <c r="AH125" s="3"/>
    </row>
    <row r="126" spans="1:34" x14ac:dyDescent="0.25">
      <c r="A126">
        <v>320010</v>
      </c>
      <c r="B126" s="2">
        <v>32</v>
      </c>
      <c r="C126" s="2">
        <v>1</v>
      </c>
      <c r="D126" s="2" t="s">
        <v>113</v>
      </c>
      <c r="E126" s="2">
        <v>10</v>
      </c>
      <c r="F126" s="2" t="s">
        <v>114</v>
      </c>
      <c r="G126" s="3">
        <v>0</v>
      </c>
      <c r="H126" s="32">
        <v>50</v>
      </c>
      <c r="I126" s="32">
        <v>47</v>
      </c>
      <c r="J126" s="32">
        <v>44</v>
      </c>
      <c r="K126" s="32">
        <v>39</v>
      </c>
      <c r="L126" s="32">
        <v>44</v>
      </c>
      <c r="M126" s="32">
        <v>42</v>
      </c>
      <c r="N126" s="32">
        <v>42</v>
      </c>
      <c r="O126" s="32">
        <v>33</v>
      </c>
      <c r="P126" s="32">
        <v>47</v>
      </c>
      <c r="Q126" s="32">
        <v>35</v>
      </c>
      <c r="R126" s="32">
        <v>39</v>
      </c>
      <c r="S126" s="32">
        <v>27</v>
      </c>
      <c r="T126" s="32">
        <v>42</v>
      </c>
      <c r="U126" s="32">
        <v>43</v>
      </c>
      <c r="V126" s="30">
        <v>0.92753623188405798</v>
      </c>
      <c r="W126" s="30">
        <v>0.7421875</v>
      </c>
      <c r="X126" s="32">
        <v>20646.78</v>
      </c>
      <c r="Y126" s="32">
        <v>16914.48</v>
      </c>
      <c r="Z126" s="32">
        <v>37561.259999999995</v>
      </c>
      <c r="AA126" s="3">
        <f t="shared" si="1"/>
        <v>35900.29</v>
      </c>
      <c r="AB126" s="3"/>
      <c r="AC126" s="3"/>
      <c r="AF126" s="3"/>
      <c r="AG126" s="3"/>
      <c r="AH126" s="3"/>
    </row>
    <row r="127" spans="1:34" x14ac:dyDescent="0.25">
      <c r="A127">
        <v>360010</v>
      </c>
      <c r="B127" s="2">
        <v>36</v>
      </c>
      <c r="C127" s="2">
        <v>1</v>
      </c>
      <c r="D127" s="2" t="s">
        <v>115</v>
      </c>
      <c r="E127" s="2">
        <v>10</v>
      </c>
      <c r="F127" s="2" t="s">
        <v>116</v>
      </c>
      <c r="G127" s="3">
        <v>0</v>
      </c>
      <c r="H127" s="32">
        <v>13</v>
      </c>
      <c r="I127" s="32">
        <v>6</v>
      </c>
      <c r="J127" s="32">
        <v>17</v>
      </c>
      <c r="K127" s="32">
        <v>13</v>
      </c>
      <c r="L127" s="32">
        <v>18</v>
      </c>
      <c r="M127" s="32">
        <v>12</v>
      </c>
      <c r="N127" s="32">
        <v>17</v>
      </c>
      <c r="O127" s="32">
        <v>9</v>
      </c>
      <c r="P127" s="32">
        <v>11</v>
      </c>
      <c r="Q127" s="32">
        <v>10</v>
      </c>
      <c r="R127" s="32">
        <v>16</v>
      </c>
      <c r="S127" s="32">
        <v>13</v>
      </c>
      <c r="T127" s="32">
        <v>18</v>
      </c>
      <c r="U127" s="32">
        <v>17</v>
      </c>
      <c r="V127" s="30">
        <v>0.64583333333333337</v>
      </c>
      <c r="W127" s="30">
        <v>0.72727272727272729</v>
      </c>
      <c r="X127" s="32">
        <v>6161.22</v>
      </c>
      <c r="Y127" s="32">
        <v>6552.65</v>
      </c>
      <c r="Z127" s="32">
        <v>12713.869999999999</v>
      </c>
      <c r="AA127" s="3">
        <f t="shared" si="1"/>
        <v>12151.66</v>
      </c>
      <c r="AB127" s="3"/>
      <c r="AC127" s="3"/>
      <c r="AF127" s="3"/>
      <c r="AG127" s="3"/>
      <c r="AH127" s="3"/>
    </row>
    <row r="128" spans="1:34" x14ac:dyDescent="0.25">
      <c r="A128">
        <v>380010</v>
      </c>
      <c r="B128" s="2">
        <v>38</v>
      </c>
      <c r="C128" s="2">
        <v>1</v>
      </c>
      <c r="D128" s="2" t="s">
        <v>117</v>
      </c>
      <c r="E128" s="2">
        <v>10</v>
      </c>
      <c r="F128" s="2" t="s">
        <v>118</v>
      </c>
      <c r="G128" s="3">
        <v>0</v>
      </c>
      <c r="H128" s="32">
        <v>86</v>
      </c>
      <c r="I128" s="32">
        <v>49</v>
      </c>
      <c r="J128" s="32">
        <v>93</v>
      </c>
      <c r="K128" s="32">
        <v>54</v>
      </c>
      <c r="L128" s="32">
        <v>105</v>
      </c>
      <c r="M128" s="32">
        <v>57</v>
      </c>
      <c r="N128" s="32">
        <v>95</v>
      </c>
      <c r="O128" s="32">
        <v>70</v>
      </c>
      <c r="P128" s="32">
        <v>64</v>
      </c>
      <c r="Q128" s="32">
        <v>39</v>
      </c>
      <c r="R128" s="32">
        <v>76</v>
      </c>
      <c r="S128" s="32">
        <v>35</v>
      </c>
      <c r="T128" s="32">
        <v>106</v>
      </c>
      <c r="U128" s="32">
        <v>78</v>
      </c>
      <c r="V128" s="30">
        <v>0.56338028169014087</v>
      </c>
      <c r="W128" s="30">
        <v>0.61276595744680851</v>
      </c>
      <c r="X128" s="32">
        <v>31650.539999999997</v>
      </c>
      <c r="Y128" s="32">
        <v>25332.059999999998</v>
      </c>
      <c r="Z128" s="32">
        <v>56982.599999999991</v>
      </c>
      <c r="AA128" s="3">
        <f t="shared" si="1"/>
        <v>54462.82</v>
      </c>
      <c r="AB128" s="3"/>
      <c r="AC128" s="3"/>
      <c r="AF128" s="3"/>
      <c r="AG128" s="3"/>
      <c r="AH128" s="3"/>
    </row>
    <row r="129" spans="1:34" x14ac:dyDescent="0.25">
      <c r="A129">
        <v>380020</v>
      </c>
      <c r="B129" s="2">
        <v>38</v>
      </c>
      <c r="C129" s="2">
        <v>1</v>
      </c>
      <c r="D129" s="2" t="s">
        <v>117</v>
      </c>
      <c r="E129" s="2">
        <v>20</v>
      </c>
      <c r="F129" s="2" t="s">
        <v>119</v>
      </c>
      <c r="G129" s="3">
        <v>0</v>
      </c>
      <c r="H129" s="32">
        <v>28</v>
      </c>
      <c r="I129" s="32">
        <v>8</v>
      </c>
      <c r="J129" s="32">
        <v>20</v>
      </c>
      <c r="K129" s="32">
        <v>5</v>
      </c>
      <c r="L129" s="32">
        <v>26</v>
      </c>
      <c r="M129" s="32">
        <v>7</v>
      </c>
      <c r="N129" s="32">
        <v>18</v>
      </c>
      <c r="O129" s="32">
        <v>16</v>
      </c>
      <c r="P129" s="32">
        <v>23</v>
      </c>
      <c r="Q129" s="32">
        <v>15</v>
      </c>
      <c r="R129" s="32">
        <v>17</v>
      </c>
      <c r="S129" s="32">
        <v>12</v>
      </c>
      <c r="T129" s="32">
        <v>27</v>
      </c>
      <c r="U129" s="32">
        <v>17</v>
      </c>
      <c r="V129" s="30">
        <v>0.27027027027027029</v>
      </c>
      <c r="W129" s="30">
        <v>0.74137931034482762</v>
      </c>
      <c r="X129" s="32">
        <v>3867.4800000000005</v>
      </c>
      <c r="Y129" s="32">
        <v>6679.81</v>
      </c>
      <c r="Z129" s="32">
        <v>10547.29</v>
      </c>
      <c r="AA129" s="3">
        <f t="shared" si="1"/>
        <v>10080.89</v>
      </c>
      <c r="AB129" s="3"/>
      <c r="AC129" s="3"/>
      <c r="AF129" s="3"/>
      <c r="AG129" s="3"/>
      <c r="AH129" s="3"/>
    </row>
    <row r="130" spans="1:34" x14ac:dyDescent="0.25">
      <c r="A130">
        <v>470003</v>
      </c>
      <c r="B130" s="2">
        <v>47</v>
      </c>
      <c r="C130" s="2">
        <v>1</v>
      </c>
      <c r="D130" s="2" t="s">
        <v>120</v>
      </c>
      <c r="E130" s="2">
        <v>3</v>
      </c>
      <c r="F130" s="2" t="s">
        <v>121</v>
      </c>
      <c r="G130" s="3">
        <v>0</v>
      </c>
      <c r="H130" s="32">
        <v>140</v>
      </c>
      <c r="I130" s="32">
        <v>116</v>
      </c>
      <c r="J130" s="32">
        <v>116</v>
      </c>
      <c r="K130" s="32">
        <v>99</v>
      </c>
      <c r="L130" s="32">
        <v>118</v>
      </c>
      <c r="M130" s="32">
        <v>98</v>
      </c>
      <c r="N130" s="32">
        <v>114</v>
      </c>
      <c r="O130" s="32">
        <v>84</v>
      </c>
      <c r="P130" s="32">
        <v>131</v>
      </c>
      <c r="Q130" s="32">
        <v>113</v>
      </c>
      <c r="R130" s="32">
        <v>114</v>
      </c>
      <c r="S130" s="32">
        <v>78</v>
      </c>
      <c r="T130" s="32">
        <v>125</v>
      </c>
      <c r="U130" s="32">
        <v>125</v>
      </c>
      <c r="V130" s="30">
        <v>0.83689839572192515</v>
      </c>
      <c r="W130" s="30">
        <v>0.76601671309192199</v>
      </c>
      <c r="X130" s="32">
        <v>55445</v>
      </c>
      <c r="Y130" s="32">
        <v>50748.75</v>
      </c>
      <c r="Z130" s="32">
        <v>106193.75</v>
      </c>
      <c r="AA130" s="3">
        <f t="shared" si="1"/>
        <v>101497.84</v>
      </c>
      <c r="AB130" s="3"/>
      <c r="AC130" s="3"/>
      <c r="AF130" s="3"/>
      <c r="AG130" s="3"/>
      <c r="AH130" s="3"/>
    </row>
    <row r="131" spans="1:34" x14ac:dyDescent="0.25">
      <c r="A131">
        <v>470006</v>
      </c>
      <c r="B131" s="2">
        <v>47</v>
      </c>
      <c r="C131" s="2">
        <v>1</v>
      </c>
      <c r="D131" s="2" t="s">
        <v>120</v>
      </c>
      <c r="E131" s="2">
        <v>6</v>
      </c>
      <c r="F131" s="2" t="s">
        <v>122</v>
      </c>
      <c r="G131" s="3">
        <v>0</v>
      </c>
      <c r="H131" s="32">
        <v>38</v>
      </c>
      <c r="I131" s="32">
        <v>32</v>
      </c>
      <c r="J131" s="32">
        <v>44</v>
      </c>
      <c r="K131" s="32">
        <v>37</v>
      </c>
      <c r="L131" s="32">
        <v>73</v>
      </c>
      <c r="M131" s="32">
        <v>56</v>
      </c>
      <c r="N131" s="32">
        <v>49</v>
      </c>
      <c r="O131" s="32">
        <v>35</v>
      </c>
      <c r="P131" s="32">
        <v>38</v>
      </c>
      <c r="Q131" s="32">
        <v>24</v>
      </c>
      <c r="R131" s="32">
        <v>44</v>
      </c>
      <c r="S131" s="32">
        <v>30</v>
      </c>
      <c r="T131" s="32">
        <v>71</v>
      </c>
      <c r="U131" s="32">
        <v>44</v>
      </c>
      <c r="V131" s="30">
        <v>0.80645161290322576</v>
      </c>
      <c r="W131" s="30">
        <v>0.67938931297709926</v>
      </c>
      <c r="X131" s="32">
        <v>30346.82</v>
      </c>
      <c r="Y131" s="32">
        <v>15843.519999999999</v>
      </c>
      <c r="Z131" s="32">
        <v>46190.34</v>
      </c>
      <c r="AA131" s="3">
        <f t="shared" si="1"/>
        <v>44147.79</v>
      </c>
      <c r="AB131" s="3"/>
      <c r="AC131" s="3"/>
      <c r="AF131" s="3"/>
      <c r="AG131" s="3"/>
      <c r="AH131" s="3"/>
    </row>
    <row r="132" spans="1:34" x14ac:dyDescent="0.25">
      <c r="A132">
        <v>470007</v>
      </c>
      <c r="B132" s="2">
        <v>47</v>
      </c>
      <c r="C132" s="2">
        <v>1</v>
      </c>
      <c r="D132" s="2" t="s">
        <v>120</v>
      </c>
      <c r="E132" s="2">
        <v>7</v>
      </c>
      <c r="F132" s="2" t="s">
        <v>123</v>
      </c>
      <c r="G132" s="3">
        <v>0</v>
      </c>
      <c r="H132" s="32">
        <v>84</v>
      </c>
      <c r="I132" s="32">
        <v>74</v>
      </c>
      <c r="J132" s="32">
        <v>104</v>
      </c>
      <c r="K132" s="32">
        <v>82</v>
      </c>
      <c r="L132" s="32">
        <v>103</v>
      </c>
      <c r="M132" s="32">
        <v>77</v>
      </c>
      <c r="N132" s="32">
        <v>107</v>
      </c>
      <c r="O132" s="32">
        <v>77</v>
      </c>
      <c r="P132" s="32">
        <v>73</v>
      </c>
      <c r="Q132" s="32">
        <v>53</v>
      </c>
      <c r="R132" s="32">
        <v>95</v>
      </c>
      <c r="S132" s="32">
        <v>69</v>
      </c>
      <c r="T132" s="32">
        <v>102</v>
      </c>
      <c r="U132" s="32">
        <v>110</v>
      </c>
      <c r="V132" s="30">
        <v>0.80068728522336774</v>
      </c>
      <c r="W132" s="30">
        <v>0.72363636363636363</v>
      </c>
      <c r="X132" s="32">
        <v>43284.72</v>
      </c>
      <c r="Y132" s="32">
        <v>42188.299999999996</v>
      </c>
      <c r="Z132" s="32">
        <v>85473.01999999999</v>
      </c>
      <c r="AA132" s="3">
        <f t="shared" si="1"/>
        <v>81693.38</v>
      </c>
      <c r="AB132" s="3"/>
      <c r="AC132" s="3"/>
      <c r="AF132" s="3"/>
      <c r="AG132" s="3"/>
      <c r="AH132" s="3"/>
    </row>
    <row r="133" spans="1:34" x14ac:dyDescent="0.25">
      <c r="A133">
        <v>510010</v>
      </c>
      <c r="B133" s="2">
        <v>51</v>
      </c>
      <c r="C133" s="2">
        <v>1</v>
      </c>
      <c r="D133" s="2" t="s">
        <v>124</v>
      </c>
      <c r="E133" s="2">
        <v>10</v>
      </c>
      <c r="F133" s="2" t="s">
        <v>125</v>
      </c>
      <c r="G133" s="3">
        <v>0</v>
      </c>
      <c r="H133" s="32">
        <v>150</v>
      </c>
      <c r="I133" s="32">
        <v>118</v>
      </c>
      <c r="J133" s="32">
        <v>116</v>
      </c>
      <c r="K133" s="32">
        <v>102</v>
      </c>
      <c r="L133" s="32">
        <v>137</v>
      </c>
      <c r="M133" s="32">
        <v>123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158</v>
      </c>
      <c r="U133" s="32">
        <v>0</v>
      </c>
      <c r="V133" s="30">
        <v>0.85111662531017374</v>
      </c>
      <c r="W133" s="30">
        <v>0</v>
      </c>
      <c r="X133" s="32">
        <v>71272.22</v>
      </c>
      <c r="Y133" s="32">
        <v>0</v>
      </c>
      <c r="Z133" s="32">
        <v>71272.22</v>
      </c>
      <c r="AA133" s="3">
        <f t="shared" si="1"/>
        <v>68120.55</v>
      </c>
      <c r="AB133" s="3"/>
      <c r="AC133" s="3"/>
      <c r="AF133" s="3"/>
      <c r="AG133" s="3"/>
      <c r="AH133" s="3"/>
    </row>
    <row r="134" spans="1:34" x14ac:dyDescent="0.25">
      <c r="A134" s="7">
        <v>510030</v>
      </c>
      <c r="B134" s="7">
        <v>51</v>
      </c>
      <c r="C134" s="7">
        <v>1</v>
      </c>
      <c r="D134" s="7" t="s">
        <v>124</v>
      </c>
      <c r="E134" s="7">
        <v>30</v>
      </c>
      <c r="F134" s="7" t="s">
        <v>126</v>
      </c>
      <c r="G134" s="3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137</v>
      </c>
      <c r="O134" s="32">
        <v>100</v>
      </c>
      <c r="P134" s="32">
        <v>148</v>
      </c>
      <c r="Q134" s="32">
        <v>124</v>
      </c>
      <c r="R134" s="32">
        <v>112</v>
      </c>
      <c r="S134" s="32">
        <v>79</v>
      </c>
      <c r="T134" s="32">
        <v>0</v>
      </c>
      <c r="U134" s="32">
        <v>118</v>
      </c>
      <c r="V134" s="30">
        <v>0</v>
      </c>
      <c r="W134" s="30">
        <v>0.76322418136020154</v>
      </c>
      <c r="X134" s="32">
        <v>0</v>
      </c>
      <c r="Y134" s="32">
        <v>47732.18</v>
      </c>
      <c r="Z134" s="32">
        <v>47732.18</v>
      </c>
      <c r="AA134" s="3">
        <f t="shared" si="1"/>
        <v>45621.45</v>
      </c>
      <c r="AB134" s="3"/>
      <c r="AC134" s="3"/>
      <c r="AF134" s="3"/>
      <c r="AG134" s="3"/>
      <c r="AH134" s="3"/>
    </row>
    <row r="135" spans="1:34" x14ac:dyDescent="0.25">
      <c r="A135">
        <v>750010</v>
      </c>
      <c r="B135" s="2">
        <v>75</v>
      </c>
      <c r="C135" s="2">
        <v>1</v>
      </c>
      <c r="D135" s="2" t="s">
        <v>128</v>
      </c>
      <c r="E135" s="2">
        <v>10</v>
      </c>
      <c r="F135" s="2" t="s">
        <v>129</v>
      </c>
      <c r="G135" s="3">
        <v>0</v>
      </c>
      <c r="H135" s="32">
        <v>52</v>
      </c>
      <c r="I135" s="32">
        <v>47</v>
      </c>
      <c r="J135" s="32">
        <v>31</v>
      </c>
      <c r="K135" s="32">
        <v>26</v>
      </c>
      <c r="L135" s="32">
        <v>44</v>
      </c>
      <c r="M135" s="32">
        <v>37</v>
      </c>
      <c r="N135" s="32">
        <v>45</v>
      </c>
      <c r="O135" s="32">
        <v>34</v>
      </c>
      <c r="P135" s="32">
        <v>48</v>
      </c>
      <c r="Q135" s="32">
        <v>38</v>
      </c>
      <c r="R135" s="32">
        <v>31</v>
      </c>
      <c r="S135" s="32">
        <v>22</v>
      </c>
      <c r="T135" s="32">
        <v>44</v>
      </c>
      <c r="U135" s="32">
        <v>32</v>
      </c>
      <c r="V135" s="30">
        <v>0.86614173228346458</v>
      </c>
      <c r="W135" s="30">
        <v>0.75806451612903225</v>
      </c>
      <c r="X135" s="32">
        <v>20198.64</v>
      </c>
      <c r="Y135" s="32">
        <v>12856.64</v>
      </c>
      <c r="Z135" s="32">
        <v>33055.279999999999</v>
      </c>
      <c r="AA135" s="3">
        <f t="shared" si="1"/>
        <v>31593.57</v>
      </c>
      <c r="AB135" s="3"/>
      <c r="AC135" s="3"/>
      <c r="AF135" s="3"/>
      <c r="AG135" s="3"/>
      <c r="AH135" s="3"/>
    </row>
    <row r="136" spans="1:34" x14ac:dyDescent="0.25">
      <c r="A136">
        <v>770010</v>
      </c>
      <c r="B136" s="2">
        <v>77</v>
      </c>
      <c r="C136" s="2">
        <v>1</v>
      </c>
      <c r="D136" s="2" t="s">
        <v>130</v>
      </c>
      <c r="E136" s="2">
        <v>10</v>
      </c>
      <c r="F136" s="2" t="s">
        <v>131</v>
      </c>
      <c r="G136" s="3">
        <v>0</v>
      </c>
      <c r="H136" s="32">
        <v>75</v>
      </c>
      <c r="I136" s="32">
        <v>60</v>
      </c>
      <c r="J136" s="32">
        <v>63</v>
      </c>
      <c r="K136" s="32">
        <v>49</v>
      </c>
      <c r="L136" s="32">
        <v>57</v>
      </c>
      <c r="M136" s="32">
        <v>51</v>
      </c>
      <c r="N136" s="32">
        <v>84</v>
      </c>
      <c r="O136" s="32">
        <v>75</v>
      </c>
      <c r="P136" s="32">
        <v>56</v>
      </c>
      <c r="Q136" s="32">
        <v>47</v>
      </c>
      <c r="R136" s="32">
        <v>58</v>
      </c>
      <c r="S136" s="32">
        <v>51</v>
      </c>
      <c r="T136" s="32">
        <v>57</v>
      </c>
      <c r="U136" s="32">
        <v>63</v>
      </c>
      <c r="V136" s="30">
        <v>0.82051282051282048</v>
      </c>
      <c r="W136" s="30">
        <v>0.8737373737373737</v>
      </c>
      <c r="X136" s="32">
        <v>24787.59</v>
      </c>
      <c r="Y136" s="32">
        <v>29174.039999999997</v>
      </c>
      <c r="Z136" s="32">
        <v>53961.63</v>
      </c>
      <c r="AA136" s="3">
        <f t="shared" si="1"/>
        <v>51575.43</v>
      </c>
      <c r="AB136" s="3"/>
      <c r="AC136" s="3"/>
      <c r="AF136" s="3"/>
      <c r="AG136" s="3"/>
      <c r="AH136" s="3"/>
    </row>
    <row r="137" spans="1:34" x14ac:dyDescent="0.25">
      <c r="A137">
        <v>770020</v>
      </c>
      <c r="B137" s="2">
        <v>77</v>
      </c>
      <c r="C137" s="2">
        <v>1</v>
      </c>
      <c r="D137" s="2" t="s">
        <v>130</v>
      </c>
      <c r="E137" s="2">
        <v>20</v>
      </c>
      <c r="F137" s="2" t="s">
        <v>58</v>
      </c>
      <c r="G137" s="3">
        <v>0</v>
      </c>
      <c r="H137" s="32">
        <v>79</v>
      </c>
      <c r="I137" s="32">
        <v>67</v>
      </c>
      <c r="J137" s="32">
        <v>98</v>
      </c>
      <c r="K137" s="32">
        <v>88</v>
      </c>
      <c r="L137" s="32">
        <v>98</v>
      </c>
      <c r="M137" s="32">
        <v>87</v>
      </c>
      <c r="N137" s="32">
        <v>82</v>
      </c>
      <c r="O137" s="32">
        <v>67</v>
      </c>
      <c r="P137" s="32">
        <v>82</v>
      </c>
      <c r="Q137" s="32">
        <v>66</v>
      </c>
      <c r="R137" s="32">
        <v>87</v>
      </c>
      <c r="S137" s="32">
        <v>72</v>
      </c>
      <c r="T137" s="32">
        <v>100</v>
      </c>
      <c r="U137" s="32">
        <v>94</v>
      </c>
      <c r="V137" s="30">
        <v>0.88</v>
      </c>
      <c r="W137" s="30">
        <v>0.81673306772908372</v>
      </c>
      <c r="X137" s="32">
        <v>46640</v>
      </c>
      <c r="Y137" s="32">
        <v>40689.78</v>
      </c>
      <c r="Z137" s="32">
        <v>87329.78</v>
      </c>
      <c r="AA137" s="3">
        <f t="shared" si="1"/>
        <v>83468.039999999994</v>
      </c>
      <c r="AB137" s="3"/>
      <c r="AC137" s="3"/>
      <c r="AF137" s="3"/>
      <c r="AG137" s="3"/>
      <c r="AH137" s="3"/>
    </row>
    <row r="138" spans="1:34" x14ac:dyDescent="0.25">
      <c r="A138">
        <v>770030</v>
      </c>
      <c r="B138" s="2">
        <v>77</v>
      </c>
      <c r="C138" s="2">
        <v>1</v>
      </c>
      <c r="D138" s="2" t="s">
        <v>130</v>
      </c>
      <c r="E138" s="2">
        <v>30</v>
      </c>
      <c r="F138" s="2" t="s">
        <v>28</v>
      </c>
      <c r="G138" s="3">
        <v>0</v>
      </c>
      <c r="H138" s="32">
        <v>35</v>
      </c>
      <c r="I138" s="32">
        <v>26</v>
      </c>
      <c r="J138" s="32">
        <v>43</v>
      </c>
      <c r="K138" s="32">
        <v>35</v>
      </c>
      <c r="L138" s="32">
        <v>46</v>
      </c>
      <c r="M138" s="32">
        <v>42</v>
      </c>
      <c r="N138" s="32">
        <v>41</v>
      </c>
      <c r="O138" s="32">
        <v>33</v>
      </c>
      <c r="P138" s="32">
        <v>32</v>
      </c>
      <c r="Q138" s="32">
        <v>29</v>
      </c>
      <c r="R138" s="32">
        <v>41</v>
      </c>
      <c r="S138" s="32">
        <v>39</v>
      </c>
      <c r="T138" s="32">
        <v>46</v>
      </c>
      <c r="U138" s="32">
        <v>44</v>
      </c>
      <c r="V138" s="30">
        <v>0.83064516129032262</v>
      </c>
      <c r="W138" s="30">
        <v>0.88596491228070173</v>
      </c>
      <c r="X138" s="32">
        <v>20251.04</v>
      </c>
      <c r="Y138" s="32">
        <v>20660.64</v>
      </c>
      <c r="Z138" s="32">
        <v>40911.68</v>
      </c>
      <c r="AA138" s="3">
        <f t="shared" si="1"/>
        <v>39102.559999999998</v>
      </c>
      <c r="AB138" s="3"/>
      <c r="AC138" s="3"/>
      <c r="AF138" s="3"/>
      <c r="AG138" s="3"/>
      <c r="AH138" s="3"/>
    </row>
    <row r="139" spans="1:34" x14ac:dyDescent="0.25">
      <c r="A139">
        <v>770040</v>
      </c>
      <c r="B139" s="2">
        <v>77</v>
      </c>
      <c r="C139" s="2">
        <v>1</v>
      </c>
      <c r="D139" s="2" t="s">
        <v>130</v>
      </c>
      <c r="E139" s="2">
        <v>40</v>
      </c>
      <c r="F139" s="2" t="s">
        <v>65</v>
      </c>
      <c r="G139" s="3">
        <v>0</v>
      </c>
      <c r="H139" s="32">
        <v>75</v>
      </c>
      <c r="I139" s="32">
        <v>62</v>
      </c>
      <c r="J139" s="32">
        <v>74</v>
      </c>
      <c r="K139" s="32">
        <v>68</v>
      </c>
      <c r="L139" s="32">
        <v>64</v>
      </c>
      <c r="M139" s="32">
        <v>60</v>
      </c>
      <c r="N139" s="32">
        <v>80</v>
      </c>
      <c r="O139" s="32">
        <v>64</v>
      </c>
      <c r="P139" s="32">
        <v>72</v>
      </c>
      <c r="Q139" s="32">
        <v>63</v>
      </c>
      <c r="R139" s="32">
        <v>66</v>
      </c>
      <c r="S139" s="32">
        <v>56</v>
      </c>
      <c r="T139" s="32">
        <v>63</v>
      </c>
      <c r="U139" s="32">
        <v>66</v>
      </c>
      <c r="V139" s="30">
        <v>0.892018779342723</v>
      </c>
      <c r="W139" s="30">
        <v>0.83944954128440363</v>
      </c>
      <c r="X139" s="32">
        <v>29784.51</v>
      </c>
      <c r="Y139" s="32">
        <v>29364.06</v>
      </c>
      <c r="Z139" s="32">
        <v>59148.57</v>
      </c>
      <c r="AA139" s="3">
        <f t="shared" si="1"/>
        <v>56533.01</v>
      </c>
      <c r="AB139" s="3"/>
      <c r="AC139" s="3"/>
      <c r="AF139" s="3"/>
      <c r="AG139" s="3"/>
      <c r="AH139" s="3"/>
    </row>
    <row r="140" spans="1:34" x14ac:dyDescent="0.25">
      <c r="A140">
        <v>770050</v>
      </c>
      <c r="B140" s="2">
        <v>77</v>
      </c>
      <c r="C140" s="2">
        <v>1</v>
      </c>
      <c r="D140" s="2" t="s">
        <v>130</v>
      </c>
      <c r="E140" s="2">
        <v>50</v>
      </c>
      <c r="F140" s="2" t="s">
        <v>104</v>
      </c>
      <c r="G140" s="3">
        <v>0</v>
      </c>
      <c r="H140" s="32">
        <v>71</v>
      </c>
      <c r="I140" s="32">
        <v>58</v>
      </c>
      <c r="J140" s="32">
        <v>53</v>
      </c>
      <c r="K140" s="32">
        <v>48</v>
      </c>
      <c r="L140" s="32">
        <v>69</v>
      </c>
      <c r="M140" s="32">
        <v>60</v>
      </c>
      <c r="N140" s="32">
        <v>56</v>
      </c>
      <c r="O140" s="32">
        <v>40</v>
      </c>
      <c r="P140" s="32">
        <v>58</v>
      </c>
      <c r="Q140" s="32">
        <v>42</v>
      </c>
      <c r="R140" s="32">
        <v>46</v>
      </c>
      <c r="S140" s="32">
        <v>29</v>
      </c>
      <c r="T140" s="32">
        <v>69</v>
      </c>
      <c r="U140" s="32">
        <v>48</v>
      </c>
      <c r="V140" s="30">
        <v>0.86010362694300513</v>
      </c>
      <c r="W140" s="30">
        <v>0.69374999999999998</v>
      </c>
      <c r="X140" s="32">
        <v>31453.65</v>
      </c>
      <c r="Y140" s="32">
        <v>17649.12</v>
      </c>
      <c r="Z140" s="32">
        <v>49102.770000000004</v>
      </c>
      <c r="AA140" s="3">
        <f t="shared" si="1"/>
        <v>46931.43</v>
      </c>
      <c r="AB140" s="3"/>
      <c r="AC140" s="3"/>
      <c r="AF140" s="3"/>
      <c r="AG140" s="3"/>
      <c r="AH140" s="3"/>
    </row>
    <row r="141" spans="1:34" x14ac:dyDescent="0.25">
      <c r="A141">
        <v>770060</v>
      </c>
      <c r="B141" s="2">
        <v>77</v>
      </c>
      <c r="C141" s="2">
        <v>1</v>
      </c>
      <c r="D141" s="2" t="s">
        <v>130</v>
      </c>
      <c r="E141" s="2">
        <v>60</v>
      </c>
      <c r="F141" s="2" t="s">
        <v>132</v>
      </c>
      <c r="G141" s="3">
        <v>0</v>
      </c>
      <c r="H141" s="32">
        <v>23</v>
      </c>
      <c r="I141" s="32">
        <v>22</v>
      </c>
      <c r="J141" s="32">
        <v>19</v>
      </c>
      <c r="K141" s="32">
        <v>18</v>
      </c>
      <c r="L141" s="32">
        <v>21</v>
      </c>
      <c r="M141" s="32">
        <v>19</v>
      </c>
      <c r="N141" s="32">
        <v>19</v>
      </c>
      <c r="O141" s="32">
        <v>17</v>
      </c>
      <c r="P141" s="32">
        <v>24</v>
      </c>
      <c r="Q141" s="32">
        <v>22</v>
      </c>
      <c r="R141" s="32">
        <v>20</v>
      </c>
      <c r="S141" s="32">
        <v>17</v>
      </c>
      <c r="T141" s="32">
        <v>22</v>
      </c>
      <c r="U141" s="32">
        <v>23</v>
      </c>
      <c r="V141" s="30">
        <v>0.93650793650793651</v>
      </c>
      <c r="W141" s="30">
        <v>0.88888888888888884</v>
      </c>
      <c r="X141" s="32">
        <v>10919.7</v>
      </c>
      <c r="Y141" s="32">
        <v>10835.53</v>
      </c>
      <c r="Z141" s="32">
        <v>21755.230000000003</v>
      </c>
      <c r="AA141" s="3">
        <f t="shared" si="1"/>
        <v>20793.21</v>
      </c>
      <c r="AB141" s="3"/>
      <c r="AC141" s="3"/>
      <c r="AF141" s="3"/>
      <c r="AG141" s="3"/>
      <c r="AH141" s="3"/>
    </row>
    <row r="142" spans="1:34" x14ac:dyDescent="0.25">
      <c r="A142">
        <v>770070</v>
      </c>
      <c r="B142" s="2">
        <v>77</v>
      </c>
      <c r="C142" s="2">
        <v>1</v>
      </c>
      <c r="D142" s="2" t="s">
        <v>130</v>
      </c>
      <c r="E142" s="2">
        <v>70</v>
      </c>
      <c r="F142" s="2" t="s">
        <v>132</v>
      </c>
      <c r="G142" s="3">
        <v>0</v>
      </c>
      <c r="H142" s="32">
        <v>0</v>
      </c>
      <c r="I142" s="32">
        <v>0</v>
      </c>
      <c r="J142" s="32">
        <v>60</v>
      </c>
      <c r="K142" s="32">
        <v>46</v>
      </c>
      <c r="L142" s="32">
        <v>45</v>
      </c>
      <c r="M142" s="32">
        <v>38</v>
      </c>
      <c r="N142" s="32">
        <v>0</v>
      </c>
      <c r="O142" s="32">
        <v>0</v>
      </c>
      <c r="P142" s="32">
        <v>48</v>
      </c>
      <c r="Q142" s="32">
        <v>41</v>
      </c>
      <c r="R142" s="32">
        <v>54</v>
      </c>
      <c r="S142" s="32">
        <v>46</v>
      </c>
      <c r="T142" s="32">
        <v>46</v>
      </c>
      <c r="U142" s="32">
        <v>59</v>
      </c>
      <c r="V142" s="30">
        <v>0.8</v>
      </c>
      <c r="W142" s="30">
        <v>0.8529411764705882</v>
      </c>
      <c r="X142" s="32">
        <v>19504</v>
      </c>
      <c r="Y142" s="32">
        <v>26671.54</v>
      </c>
      <c r="Z142" s="32">
        <v>46175.54</v>
      </c>
      <c r="AA142" s="3">
        <f t="shared" si="1"/>
        <v>44133.65</v>
      </c>
      <c r="AB142" s="3"/>
      <c r="AC142" s="3"/>
      <c r="AF142" s="3"/>
      <c r="AG142" s="3"/>
      <c r="AH142" s="3"/>
    </row>
    <row r="143" spans="1:34" x14ac:dyDescent="0.25">
      <c r="A143">
        <v>770080</v>
      </c>
      <c r="B143" s="2">
        <v>77</v>
      </c>
      <c r="C143" s="2">
        <v>1</v>
      </c>
      <c r="D143" s="2" t="s">
        <v>130</v>
      </c>
      <c r="E143" s="2">
        <v>80</v>
      </c>
      <c r="F143" s="2" t="s">
        <v>71</v>
      </c>
      <c r="G143" s="3">
        <v>0</v>
      </c>
      <c r="H143" s="32">
        <v>75</v>
      </c>
      <c r="I143" s="32">
        <v>49</v>
      </c>
      <c r="J143" s="32">
        <v>57</v>
      </c>
      <c r="K143" s="32">
        <v>48</v>
      </c>
      <c r="L143" s="32">
        <v>64</v>
      </c>
      <c r="M143" s="32">
        <v>59</v>
      </c>
      <c r="N143" s="32">
        <v>51</v>
      </c>
      <c r="O143" s="32">
        <v>45</v>
      </c>
      <c r="P143" s="32">
        <v>61</v>
      </c>
      <c r="Q143" s="32">
        <v>57</v>
      </c>
      <c r="R143" s="32">
        <v>55</v>
      </c>
      <c r="S143" s="32">
        <v>51</v>
      </c>
      <c r="T143" s="32">
        <v>60</v>
      </c>
      <c r="U143" s="32">
        <v>61</v>
      </c>
      <c r="V143" s="30">
        <v>0.79591836734693877</v>
      </c>
      <c r="W143" s="30">
        <v>0.91616766467065869</v>
      </c>
      <c r="X143" s="32">
        <v>25310.399999999998</v>
      </c>
      <c r="Y143" s="32">
        <v>29619.77</v>
      </c>
      <c r="Z143" s="32">
        <v>54930.17</v>
      </c>
      <c r="AA143" s="3">
        <f t="shared" ref="AA143:AA206" si="2">ROUND(Z143*AA$10,2)</f>
        <v>52501.14</v>
      </c>
      <c r="AB143" s="3"/>
      <c r="AC143" s="3"/>
      <c r="AF143" s="3"/>
      <c r="AG143" s="3"/>
      <c r="AH143" s="3"/>
    </row>
    <row r="144" spans="1:34" x14ac:dyDescent="0.25">
      <c r="A144">
        <v>770090</v>
      </c>
      <c r="B144" s="2">
        <v>77</v>
      </c>
      <c r="C144" s="2">
        <v>1</v>
      </c>
      <c r="D144" s="2" t="s">
        <v>130</v>
      </c>
      <c r="E144" s="2">
        <v>90</v>
      </c>
      <c r="F144" s="2" t="s">
        <v>56</v>
      </c>
      <c r="G144" s="3">
        <v>0</v>
      </c>
      <c r="H144" s="32">
        <v>89</v>
      </c>
      <c r="I144" s="32">
        <v>72</v>
      </c>
      <c r="J144" s="32">
        <v>60</v>
      </c>
      <c r="K144" s="32">
        <v>52</v>
      </c>
      <c r="L144" s="32">
        <v>62</v>
      </c>
      <c r="M144" s="32">
        <v>53</v>
      </c>
      <c r="N144" s="32">
        <v>65</v>
      </c>
      <c r="O144" s="32">
        <v>45</v>
      </c>
      <c r="P144" s="32">
        <v>65</v>
      </c>
      <c r="Q144" s="32">
        <v>39</v>
      </c>
      <c r="R144" s="32">
        <v>57</v>
      </c>
      <c r="S144" s="32">
        <v>37</v>
      </c>
      <c r="T144" s="32">
        <v>63</v>
      </c>
      <c r="U144" s="32">
        <v>68</v>
      </c>
      <c r="V144" s="30">
        <v>0.83886255924170616</v>
      </c>
      <c r="W144" s="30">
        <v>0.6470588235294118</v>
      </c>
      <c r="X144" s="32">
        <v>28009.800000000003</v>
      </c>
      <c r="Y144" s="32">
        <v>23319.919999999998</v>
      </c>
      <c r="Z144" s="32">
        <v>51329.72</v>
      </c>
      <c r="AA144" s="3">
        <f t="shared" si="2"/>
        <v>49059.91</v>
      </c>
      <c r="AB144" s="3"/>
      <c r="AC144" s="3"/>
      <c r="AF144" s="3"/>
      <c r="AG144" s="3"/>
      <c r="AH144" s="3"/>
    </row>
    <row r="145" spans="1:34" x14ac:dyDescent="0.25">
      <c r="A145">
        <v>770150</v>
      </c>
      <c r="B145" s="2">
        <v>77</v>
      </c>
      <c r="C145" s="2">
        <v>1</v>
      </c>
      <c r="D145" s="2" t="s">
        <v>130</v>
      </c>
      <c r="E145" s="2">
        <v>150</v>
      </c>
      <c r="F145" s="2" t="s">
        <v>133</v>
      </c>
      <c r="G145" s="3">
        <v>0</v>
      </c>
      <c r="H145" s="32">
        <v>54</v>
      </c>
      <c r="I145" s="32">
        <v>48</v>
      </c>
      <c r="J145" s="32">
        <v>54</v>
      </c>
      <c r="K145" s="32">
        <v>47</v>
      </c>
      <c r="L145" s="32">
        <v>47</v>
      </c>
      <c r="M145" s="32">
        <v>45</v>
      </c>
      <c r="N145" s="32">
        <v>41</v>
      </c>
      <c r="O145" s="32">
        <v>33</v>
      </c>
      <c r="P145" s="32">
        <v>50</v>
      </c>
      <c r="Q145" s="32">
        <v>41</v>
      </c>
      <c r="R145" s="32">
        <v>49</v>
      </c>
      <c r="S145" s="32">
        <v>45</v>
      </c>
      <c r="T145" s="32">
        <v>47</v>
      </c>
      <c r="U145" s="32">
        <v>55</v>
      </c>
      <c r="V145" s="30">
        <v>0.90322580645161288</v>
      </c>
      <c r="W145" s="30">
        <v>0.85</v>
      </c>
      <c r="X145" s="32">
        <v>22499.37</v>
      </c>
      <c r="Y145" s="32">
        <v>24777.5</v>
      </c>
      <c r="Z145" s="32">
        <v>47276.869999999995</v>
      </c>
      <c r="AA145" s="3">
        <f t="shared" si="2"/>
        <v>45186.28</v>
      </c>
      <c r="AB145" s="3"/>
      <c r="AC145" s="3"/>
      <c r="AF145" s="3"/>
      <c r="AG145" s="3"/>
      <c r="AH145" s="3"/>
    </row>
    <row r="146" spans="1:34" x14ac:dyDescent="0.25">
      <c r="A146">
        <v>770370</v>
      </c>
      <c r="B146">
        <v>77</v>
      </c>
      <c r="C146">
        <v>1</v>
      </c>
      <c r="D146" t="s">
        <v>1166</v>
      </c>
      <c r="E146">
        <v>370</v>
      </c>
      <c r="F146" t="s">
        <v>1167</v>
      </c>
      <c r="G146" s="3">
        <v>1</v>
      </c>
      <c r="H146" s="32" t="s">
        <v>1328</v>
      </c>
      <c r="I146" s="32" t="s">
        <v>1328</v>
      </c>
      <c r="J146" s="32" t="s">
        <v>1328</v>
      </c>
      <c r="K146" s="32" t="s">
        <v>1328</v>
      </c>
      <c r="L146" s="32" t="s">
        <v>1328</v>
      </c>
      <c r="M146" s="32" t="s">
        <v>1328</v>
      </c>
      <c r="N146" s="32" t="s">
        <v>1328</v>
      </c>
      <c r="O146" s="32" t="s">
        <v>1328</v>
      </c>
      <c r="P146" s="32" t="s">
        <v>1328</v>
      </c>
      <c r="Q146" s="32" t="s">
        <v>1328</v>
      </c>
      <c r="R146" s="32" t="s">
        <v>1328</v>
      </c>
      <c r="S146" s="32" t="s">
        <v>1328</v>
      </c>
      <c r="T146" s="32">
        <v>0</v>
      </c>
      <c r="U146" s="32">
        <v>0</v>
      </c>
      <c r="V146" s="30" t="s">
        <v>1328</v>
      </c>
      <c r="W146" s="30" t="s">
        <v>1328</v>
      </c>
      <c r="X146" s="32" t="s">
        <v>1328</v>
      </c>
      <c r="Y146" s="32" t="s">
        <v>1328</v>
      </c>
      <c r="Z146" s="32">
        <v>0</v>
      </c>
      <c r="AA146" s="3">
        <f t="shared" si="2"/>
        <v>0</v>
      </c>
      <c r="AB146" s="3"/>
      <c r="AC146" s="3"/>
      <c r="AF146" s="3"/>
      <c r="AG146" s="3"/>
      <c r="AH146" s="3"/>
    </row>
    <row r="147" spans="1:34" x14ac:dyDescent="0.25">
      <c r="A147">
        <v>810010</v>
      </c>
      <c r="B147">
        <v>81</v>
      </c>
      <c r="C147">
        <v>1</v>
      </c>
      <c r="D147" t="s">
        <v>1168</v>
      </c>
      <c r="E147">
        <v>10</v>
      </c>
      <c r="F147" t="s">
        <v>1169</v>
      </c>
      <c r="G147" s="3">
        <v>1</v>
      </c>
      <c r="H147" s="32" t="s">
        <v>1328</v>
      </c>
      <c r="I147" s="32" t="s">
        <v>1328</v>
      </c>
      <c r="J147" s="32" t="s">
        <v>1328</v>
      </c>
      <c r="K147" s="32" t="s">
        <v>1328</v>
      </c>
      <c r="L147" s="32" t="s">
        <v>1328</v>
      </c>
      <c r="M147" s="32" t="s">
        <v>1328</v>
      </c>
      <c r="N147" s="32" t="s">
        <v>1328</v>
      </c>
      <c r="O147" s="32" t="s">
        <v>1328</v>
      </c>
      <c r="P147" s="32" t="s">
        <v>1328</v>
      </c>
      <c r="Q147" s="32" t="s">
        <v>1328</v>
      </c>
      <c r="R147" s="32" t="s">
        <v>1328</v>
      </c>
      <c r="S147" s="32" t="s">
        <v>1328</v>
      </c>
      <c r="T147" s="32">
        <v>15</v>
      </c>
      <c r="U147" s="32">
        <v>11</v>
      </c>
      <c r="V147" s="30" t="s">
        <v>1328</v>
      </c>
      <c r="W147" s="30" t="s">
        <v>1328</v>
      </c>
      <c r="X147" s="32" t="s">
        <v>1328</v>
      </c>
      <c r="Y147" s="32" t="s">
        <v>1328</v>
      </c>
      <c r="Z147" s="32">
        <v>10312.950000000001</v>
      </c>
      <c r="AA147" s="3">
        <f t="shared" si="2"/>
        <v>9856.91</v>
      </c>
      <c r="AB147" s="3"/>
      <c r="AC147" s="3"/>
      <c r="AF147" s="3"/>
      <c r="AG147" s="3"/>
      <c r="AH147" s="3"/>
    </row>
    <row r="148" spans="1:34" x14ac:dyDescent="0.25">
      <c r="A148">
        <v>840010</v>
      </c>
      <c r="B148" s="2">
        <v>84</v>
      </c>
      <c r="C148" s="2">
        <v>1</v>
      </c>
      <c r="D148" s="2" t="s">
        <v>134</v>
      </c>
      <c r="E148" s="2">
        <v>10</v>
      </c>
      <c r="F148" s="2" t="s">
        <v>135</v>
      </c>
      <c r="G148" s="3">
        <v>0</v>
      </c>
      <c r="H148" s="32">
        <v>35</v>
      </c>
      <c r="I148" s="32">
        <v>22</v>
      </c>
      <c r="J148" s="32">
        <v>46</v>
      </c>
      <c r="K148" s="32">
        <v>40</v>
      </c>
      <c r="L148" s="32">
        <v>36</v>
      </c>
      <c r="M148" s="32">
        <v>35</v>
      </c>
      <c r="N148" s="32">
        <v>50</v>
      </c>
      <c r="O148" s="32">
        <v>45</v>
      </c>
      <c r="P148" s="32">
        <v>28</v>
      </c>
      <c r="Q148" s="32">
        <v>28</v>
      </c>
      <c r="R148" s="32">
        <v>43</v>
      </c>
      <c r="S148" s="32">
        <v>36</v>
      </c>
      <c r="T148" s="32">
        <v>43</v>
      </c>
      <c r="U148" s="32">
        <v>51</v>
      </c>
      <c r="V148" s="30">
        <v>0.82905982905982911</v>
      </c>
      <c r="W148" s="30">
        <v>0.90082644628099173</v>
      </c>
      <c r="X148" s="32">
        <v>18894.2</v>
      </c>
      <c r="Y148" s="32">
        <v>24349.439999999999</v>
      </c>
      <c r="Z148" s="32">
        <v>43243.64</v>
      </c>
      <c r="AA148" s="3">
        <f t="shared" si="2"/>
        <v>41331.4</v>
      </c>
      <c r="AB148" s="3"/>
      <c r="AC148" s="3"/>
      <c r="AF148" s="3"/>
      <c r="AG148" s="3"/>
      <c r="AH148" s="3"/>
    </row>
    <row r="149" spans="1:34" x14ac:dyDescent="0.25">
      <c r="A149">
        <v>850002</v>
      </c>
      <c r="B149" s="2">
        <v>85</v>
      </c>
      <c r="C149" s="2">
        <v>1</v>
      </c>
      <c r="D149" s="2" t="s">
        <v>136</v>
      </c>
      <c r="E149" s="2">
        <v>2</v>
      </c>
      <c r="F149" s="2" t="s">
        <v>137</v>
      </c>
      <c r="G149" s="3">
        <v>0</v>
      </c>
      <c r="H149" s="32">
        <v>34</v>
      </c>
      <c r="I149" s="32">
        <v>30</v>
      </c>
      <c r="J149" s="32">
        <v>36</v>
      </c>
      <c r="K149" s="32">
        <v>32</v>
      </c>
      <c r="L149" s="32">
        <v>44</v>
      </c>
      <c r="M149" s="32">
        <v>39</v>
      </c>
      <c r="N149" s="32">
        <v>41</v>
      </c>
      <c r="O149" s="32">
        <v>33</v>
      </c>
      <c r="P149" s="32">
        <v>34</v>
      </c>
      <c r="Q149" s="32">
        <v>29</v>
      </c>
      <c r="R149" s="32">
        <v>36</v>
      </c>
      <c r="S149" s="32">
        <v>33</v>
      </c>
      <c r="T149" s="32">
        <v>45</v>
      </c>
      <c r="U149" s="32">
        <v>40</v>
      </c>
      <c r="V149" s="30">
        <v>0.88596491228070173</v>
      </c>
      <c r="W149" s="30">
        <v>0.85585585585585588</v>
      </c>
      <c r="X149" s="32">
        <v>21130.2</v>
      </c>
      <c r="Y149" s="32">
        <v>18144</v>
      </c>
      <c r="Z149" s="32">
        <v>39274.199999999997</v>
      </c>
      <c r="AA149" s="3">
        <f t="shared" si="2"/>
        <v>37537.49</v>
      </c>
      <c r="AB149" s="3"/>
      <c r="AC149" s="3"/>
      <c r="AF149" s="3"/>
      <c r="AG149" s="3"/>
      <c r="AH149" s="3"/>
    </row>
    <row r="150" spans="1:34" x14ac:dyDescent="0.25">
      <c r="A150">
        <v>880020</v>
      </c>
      <c r="B150" s="2">
        <v>88</v>
      </c>
      <c r="C150" s="2">
        <v>1</v>
      </c>
      <c r="D150" s="2" t="s">
        <v>138</v>
      </c>
      <c r="E150" s="2">
        <v>20</v>
      </c>
      <c r="F150" s="2" t="s">
        <v>28</v>
      </c>
      <c r="G150" s="3">
        <v>0</v>
      </c>
      <c r="H150" s="32">
        <v>148</v>
      </c>
      <c r="I150" s="32">
        <v>107</v>
      </c>
      <c r="J150" s="32">
        <v>140</v>
      </c>
      <c r="K150" s="32">
        <v>117</v>
      </c>
      <c r="L150" s="32">
        <v>140</v>
      </c>
      <c r="M150" s="32">
        <v>119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143</v>
      </c>
      <c r="U150" s="32">
        <v>0</v>
      </c>
      <c r="V150" s="30">
        <v>0.80140186915887845</v>
      </c>
      <c r="W150" s="30">
        <v>0</v>
      </c>
      <c r="X150" s="32">
        <v>60737.82</v>
      </c>
      <c r="Y150" s="32">
        <v>0</v>
      </c>
      <c r="Z150" s="32">
        <v>60737.82</v>
      </c>
      <c r="AA150" s="3">
        <f t="shared" si="2"/>
        <v>58051.98</v>
      </c>
      <c r="AB150" s="3"/>
      <c r="AC150" s="3"/>
      <c r="AF150" s="3"/>
      <c r="AG150" s="3"/>
      <c r="AH150" s="3"/>
    </row>
    <row r="151" spans="1:34" x14ac:dyDescent="0.25">
      <c r="A151" s="7">
        <v>880030</v>
      </c>
      <c r="B151" s="7">
        <v>88</v>
      </c>
      <c r="C151" s="7">
        <v>1</v>
      </c>
      <c r="D151" s="7" t="s">
        <v>138</v>
      </c>
      <c r="E151" s="7">
        <v>30</v>
      </c>
      <c r="F151" s="7" t="s">
        <v>71</v>
      </c>
      <c r="G151" s="3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162</v>
      </c>
      <c r="O151" s="32">
        <v>118</v>
      </c>
      <c r="P151" s="32">
        <v>145</v>
      </c>
      <c r="Q151" s="32">
        <v>100</v>
      </c>
      <c r="R151" s="32">
        <v>135</v>
      </c>
      <c r="S151" s="32">
        <v>105</v>
      </c>
      <c r="T151" s="32">
        <v>0</v>
      </c>
      <c r="U151" s="32">
        <v>146</v>
      </c>
      <c r="V151" s="30">
        <v>0</v>
      </c>
      <c r="W151" s="30">
        <v>0.73076923076923073</v>
      </c>
      <c r="X151" s="32">
        <v>0</v>
      </c>
      <c r="Y151" s="32">
        <v>56547.26</v>
      </c>
      <c r="Z151" s="32">
        <v>56547.26</v>
      </c>
      <c r="AA151" s="3">
        <f t="shared" si="2"/>
        <v>54046.73</v>
      </c>
      <c r="AB151" s="3"/>
      <c r="AC151" s="3"/>
      <c r="AF151" s="3"/>
      <c r="AG151" s="3"/>
      <c r="AH151" s="3"/>
    </row>
    <row r="152" spans="1:34" x14ac:dyDescent="0.25">
      <c r="A152">
        <v>910001</v>
      </c>
      <c r="B152" s="2">
        <v>91</v>
      </c>
      <c r="C152" s="2">
        <v>1</v>
      </c>
      <c r="D152" s="2" t="s">
        <v>139</v>
      </c>
      <c r="E152" s="2">
        <v>1</v>
      </c>
      <c r="F152" s="2" t="s">
        <v>140</v>
      </c>
      <c r="G152" s="3">
        <v>0</v>
      </c>
      <c r="H152" s="32">
        <v>65</v>
      </c>
      <c r="I152" s="32">
        <v>55</v>
      </c>
      <c r="J152" s="32">
        <v>67</v>
      </c>
      <c r="K152" s="32">
        <v>51</v>
      </c>
      <c r="L152" s="32">
        <v>66</v>
      </c>
      <c r="M152" s="32">
        <v>56</v>
      </c>
      <c r="N152" s="32">
        <v>54</v>
      </c>
      <c r="O152" s="32">
        <v>44</v>
      </c>
      <c r="P152" s="32">
        <v>66</v>
      </c>
      <c r="Q152" s="32">
        <v>48</v>
      </c>
      <c r="R152" s="32">
        <v>61</v>
      </c>
      <c r="S152" s="32">
        <v>40</v>
      </c>
      <c r="T152" s="32">
        <v>66</v>
      </c>
      <c r="U152" s="32">
        <v>61</v>
      </c>
      <c r="V152" s="30">
        <v>0.81818181818181823</v>
      </c>
      <c r="W152" s="30">
        <v>0.72928176795580113</v>
      </c>
      <c r="X152" s="32">
        <v>28620.239999999998</v>
      </c>
      <c r="Y152" s="32">
        <v>23577.719999999998</v>
      </c>
      <c r="Z152" s="32">
        <v>52197.959999999992</v>
      </c>
      <c r="AA152" s="3">
        <f t="shared" si="2"/>
        <v>49889.75</v>
      </c>
      <c r="AB152" s="3"/>
      <c r="AC152" s="3"/>
      <c r="AF152" s="3"/>
      <c r="AG152" s="3"/>
      <c r="AH152" s="3"/>
    </row>
    <row r="153" spans="1:34" x14ac:dyDescent="0.25">
      <c r="A153">
        <v>930002</v>
      </c>
      <c r="B153" s="2">
        <v>93</v>
      </c>
      <c r="C153" s="2">
        <v>1</v>
      </c>
      <c r="D153" s="2" t="s">
        <v>141</v>
      </c>
      <c r="E153" s="2">
        <v>2</v>
      </c>
      <c r="F153" s="2" t="s">
        <v>142</v>
      </c>
      <c r="G153" s="3">
        <v>0</v>
      </c>
      <c r="H153" s="32">
        <v>40</v>
      </c>
      <c r="I153" s="32">
        <v>32</v>
      </c>
      <c r="J153" s="32">
        <v>47</v>
      </c>
      <c r="K153" s="32">
        <v>39</v>
      </c>
      <c r="L153" s="32">
        <v>39</v>
      </c>
      <c r="M153" s="32">
        <v>35</v>
      </c>
      <c r="N153" s="32">
        <v>33</v>
      </c>
      <c r="O153" s="32">
        <v>19</v>
      </c>
      <c r="P153" s="32">
        <v>33</v>
      </c>
      <c r="Q153" s="32">
        <v>29</v>
      </c>
      <c r="R153" s="32">
        <v>43</v>
      </c>
      <c r="S153" s="32">
        <v>35</v>
      </c>
      <c r="T153" s="32">
        <v>41</v>
      </c>
      <c r="U153" s="32">
        <v>48</v>
      </c>
      <c r="V153" s="30">
        <v>0.84126984126984128</v>
      </c>
      <c r="W153" s="30">
        <v>0.76146788990825687</v>
      </c>
      <c r="X153" s="32">
        <v>18280.670000000002</v>
      </c>
      <c r="Y153" s="32">
        <v>19371.84</v>
      </c>
      <c r="Z153" s="32">
        <v>37652.51</v>
      </c>
      <c r="AA153" s="3">
        <f t="shared" si="2"/>
        <v>35987.51</v>
      </c>
      <c r="AB153" s="3"/>
      <c r="AC153" s="3"/>
      <c r="AF153" s="3"/>
      <c r="AG153" s="3"/>
      <c r="AH153" s="3"/>
    </row>
    <row r="154" spans="1:34" x14ac:dyDescent="0.25">
      <c r="A154">
        <v>940101</v>
      </c>
      <c r="B154" s="2">
        <v>94</v>
      </c>
      <c r="C154" s="2">
        <v>1</v>
      </c>
      <c r="D154" s="2" t="s">
        <v>143</v>
      </c>
      <c r="E154" s="2">
        <v>101</v>
      </c>
      <c r="F154" s="2" t="s">
        <v>144</v>
      </c>
      <c r="G154" s="3">
        <v>0</v>
      </c>
      <c r="H154" s="32">
        <v>71</v>
      </c>
      <c r="I154" s="32">
        <v>62</v>
      </c>
      <c r="J154" s="32">
        <v>78</v>
      </c>
      <c r="K154" s="32">
        <v>77</v>
      </c>
      <c r="L154" s="32">
        <v>73</v>
      </c>
      <c r="M154" s="32">
        <v>73</v>
      </c>
      <c r="N154" s="32">
        <v>77</v>
      </c>
      <c r="O154" s="32">
        <v>55</v>
      </c>
      <c r="P154" s="32">
        <v>68</v>
      </c>
      <c r="Q154" s="32">
        <v>44</v>
      </c>
      <c r="R154" s="32">
        <v>76</v>
      </c>
      <c r="S154" s="32">
        <v>61</v>
      </c>
      <c r="T154" s="32">
        <v>79</v>
      </c>
      <c r="U154" s="32">
        <v>82</v>
      </c>
      <c r="V154" s="30">
        <v>0.95495495495495497</v>
      </c>
      <c r="W154" s="30">
        <v>0.72398190045248867</v>
      </c>
      <c r="X154" s="32">
        <v>39984.269999999997</v>
      </c>
      <c r="Y154" s="32">
        <v>31464.219999999998</v>
      </c>
      <c r="Z154" s="32">
        <v>71448.489999999991</v>
      </c>
      <c r="AA154" s="3">
        <f t="shared" si="2"/>
        <v>68289.02</v>
      </c>
      <c r="AB154" s="3"/>
      <c r="AC154" s="3"/>
      <c r="AF154" s="3"/>
      <c r="AG154" s="3"/>
      <c r="AH154" s="3"/>
    </row>
    <row r="155" spans="1:34" x14ac:dyDescent="0.25">
      <c r="A155">
        <v>940105</v>
      </c>
      <c r="B155" s="2">
        <v>94</v>
      </c>
      <c r="C155" s="2">
        <v>1</v>
      </c>
      <c r="D155" s="2" t="s">
        <v>143</v>
      </c>
      <c r="E155" s="2">
        <v>105</v>
      </c>
      <c r="F155" s="2" t="s">
        <v>71</v>
      </c>
      <c r="G155" s="3">
        <v>0</v>
      </c>
      <c r="H155" s="32">
        <v>88</v>
      </c>
      <c r="I155" s="32">
        <v>75</v>
      </c>
      <c r="J155" s="32">
        <v>100</v>
      </c>
      <c r="K155" s="32">
        <v>85</v>
      </c>
      <c r="L155" s="32">
        <v>99</v>
      </c>
      <c r="M155" s="32">
        <v>82</v>
      </c>
      <c r="N155" s="32">
        <v>72</v>
      </c>
      <c r="O155" s="32">
        <v>48</v>
      </c>
      <c r="P155" s="32">
        <v>86</v>
      </c>
      <c r="Q155" s="32">
        <v>65</v>
      </c>
      <c r="R155" s="32">
        <v>98</v>
      </c>
      <c r="S155" s="32">
        <v>64</v>
      </c>
      <c r="T155" s="32">
        <v>101</v>
      </c>
      <c r="U155" s="32">
        <v>107</v>
      </c>
      <c r="V155" s="30">
        <v>0.84320557491289194</v>
      </c>
      <c r="W155" s="30">
        <v>0.69140625</v>
      </c>
      <c r="X155" s="32">
        <v>45136.899999999994</v>
      </c>
      <c r="Y155" s="32">
        <v>39210.15</v>
      </c>
      <c r="Z155" s="32">
        <v>84347.049999999988</v>
      </c>
      <c r="AA155" s="3">
        <f t="shared" si="2"/>
        <v>80617.2</v>
      </c>
      <c r="AB155" s="3"/>
      <c r="AC155" s="3"/>
      <c r="AF155" s="3"/>
      <c r="AG155" s="3"/>
      <c r="AH155" s="3"/>
    </row>
    <row r="156" spans="1:34" x14ac:dyDescent="0.25">
      <c r="A156">
        <v>940109</v>
      </c>
      <c r="B156">
        <v>94</v>
      </c>
      <c r="C156">
        <v>1</v>
      </c>
      <c r="D156" t="s">
        <v>1170</v>
      </c>
      <c r="E156">
        <v>109</v>
      </c>
      <c r="F156" t="s">
        <v>1171</v>
      </c>
      <c r="G156" s="3">
        <v>1</v>
      </c>
      <c r="H156" s="32" t="s">
        <v>1328</v>
      </c>
      <c r="I156" s="32" t="s">
        <v>1328</v>
      </c>
      <c r="J156" s="32" t="s">
        <v>1328</v>
      </c>
      <c r="K156" s="32" t="s">
        <v>1328</v>
      </c>
      <c r="L156" s="32" t="s">
        <v>1328</v>
      </c>
      <c r="M156" s="32" t="s">
        <v>1328</v>
      </c>
      <c r="N156" s="32" t="s">
        <v>1328</v>
      </c>
      <c r="O156" s="32" t="s">
        <v>1328</v>
      </c>
      <c r="P156" s="32" t="s">
        <v>1328</v>
      </c>
      <c r="Q156" s="32" t="s">
        <v>1328</v>
      </c>
      <c r="R156" s="32" t="s">
        <v>1328</v>
      </c>
      <c r="S156" s="32" t="s">
        <v>1328</v>
      </c>
      <c r="T156" s="32">
        <v>3</v>
      </c>
      <c r="U156" s="32">
        <v>1</v>
      </c>
      <c r="V156" s="30" t="s">
        <v>1328</v>
      </c>
      <c r="W156" s="30" t="s">
        <v>1328</v>
      </c>
      <c r="X156" s="32" t="s">
        <v>1328</v>
      </c>
      <c r="Y156" s="32" t="s">
        <v>1328</v>
      </c>
      <c r="Z156" s="32">
        <v>636</v>
      </c>
      <c r="AA156" s="3">
        <f t="shared" si="2"/>
        <v>607.88</v>
      </c>
      <c r="AB156" s="3"/>
      <c r="AC156" s="3"/>
      <c r="AF156" s="3"/>
      <c r="AG156" s="3"/>
      <c r="AH156" s="3"/>
    </row>
    <row r="157" spans="1:34" x14ac:dyDescent="0.25">
      <c r="A157">
        <v>950010</v>
      </c>
      <c r="B157" s="2">
        <v>95</v>
      </c>
      <c r="C157" s="2">
        <v>1</v>
      </c>
      <c r="D157" s="2" t="s">
        <v>145</v>
      </c>
      <c r="E157" s="2">
        <v>10</v>
      </c>
      <c r="F157" s="2" t="s">
        <v>146</v>
      </c>
      <c r="G157" s="3">
        <v>0</v>
      </c>
      <c r="H157" s="32">
        <v>29</v>
      </c>
      <c r="I157" s="32">
        <v>26</v>
      </c>
      <c r="J157" s="32">
        <v>21</v>
      </c>
      <c r="K157" s="32">
        <v>16</v>
      </c>
      <c r="L157" s="32">
        <v>15</v>
      </c>
      <c r="M157" s="32">
        <v>14</v>
      </c>
      <c r="N157" s="32">
        <v>16</v>
      </c>
      <c r="O157" s="32">
        <v>16</v>
      </c>
      <c r="P157" s="32">
        <v>27</v>
      </c>
      <c r="Q157" s="32">
        <v>23</v>
      </c>
      <c r="R157" s="32">
        <v>20</v>
      </c>
      <c r="S157" s="32">
        <v>9</v>
      </c>
      <c r="T157" s="32">
        <v>15</v>
      </c>
      <c r="U157" s="32">
        <v>22</v>
      </c>
      <c r="V157" s="30">
        <v>0.86153846153846159</v>
      </c>
      <c r="W157" s="30">
        <v>0.76190476190476186</v>
      </c>
      <c r="X157" s="32">
        <v>6849.3</v>
      </c>
      <c r="Y157" s="32">
        <v>8883.82</v>
      </c>
      <c r="Z157" s="32">
        <v>15733.119999999999</v>
      </c>
      <c r="AA157" s="3">
        <f t="shared" si="2"/>
        <v>15037.4</v>
      </c>
      <c r="AB157" s="3"/>
      <c r="AC157" s="3"/>
      <c r="AF157" s="3"/>
      <c r="AG157" s="3"/>
      <c r="AH157" s="3"/>
    </row>
    <row r="158" spans="1:34" x14ac:dyDescent="0.25">
      <c r="A158">
        <v>970020</v>
      </c>
      <c r="B158" s="2">
        <v>97</v>
      </c>
      <c r="C158" s="2">
        <v>1</v>
      </c>
      <c r="D158" s="2" t="s">
        <v>147</v>
      </c>
      <c r="E158" s="2">
        <v>20</v>
      </c>
      <c r="F158" s="2" t="s">
        <v>148</v>
      </c>
      <c r="G158" s="3">
        <v>0</v>
      </c>
      <c r="H158" s="32">
        <v>53</v>
      </c>
      <c r="I158" s="32">
        <v>39</v>
      </c>
      <c r="J158" s="32">
        <v>48</v>
      </c>
      <c r="K158" s="32">
        <v>42</v>
      </c>
      <c r="L158" s="32">
        <v>33</v>
      </c>
      <c r="M158" s="32">
        <v>25</v>
      </c>
      <c r="N158" s="32">
        <v>53</v>
      </c>
      <c r="O158" s="32">
        <v>32</v>
      </c>
      <c r="P158" s="32">
        <v>51</v>
      </c>
      <c r="Q158" s="32">
        <v>44</v>
      </c>
      <c r="R158" s="32">
        <v>44</v>
      </c>
      <c r="S158" s="32">
        <v>28</v>
      </c>
      <c r="T158" s="32">
        <v>34</v>
      </c>
      <c r="U158" s="32">
        <v>48</v>
      </c>
      <c r="V158" s="30">
        <v>0.79104477611940294</v>
      </c>
      <c r="W158" s="30">
        <v>0.70270270270270274</v>
      </c>
      <c r="X158" s="32">
        <v>14254.5</v>
      </c>
      <c r="Y158" s="32">
        <v>17876.64</v>
      </c>
      <c r="Z158" s="32">
        <v>32131.14</v>
      </c>
      <c r="AA158" s="3">
        <f t="shared" si="2"/>
        <v>30710.29</v>
      </c>
      <c r="AB158" s="3"/>
      <c r="AC158" s="3"/>
      <c r="AF158" s="3"/>
      <c r="AG158" s="3"/>
      <c r="AH158" s="3"/>
    </row>
    <row r="159" spans="1:34" x14ac:dyDescent="0.25">
      <c r="A159">
        <v>990030</v>
      </c>
      <c r="B159" s="2">
        <v>99</v>
      </c>
      <c r="C159" s="2">
        <v>1</v>
      </c>
      <c r="D159" s="2" t="s">
        <v>149</v>
      </c>
      <c r="E159" s="2">
        <v>30</v>
      </c>
      <c r="F159" s="2" t="s">
        <v>150</v>
      </c>
      <c r="G159" s="3">
        <v>0</v>
      </c>
      <c r="H159" s="32">
        <v>77</v>
      </c>
      <c r="I159" s="32">
        <v>64</v>
      </c>
      <c r="J159" s="32">
        <v>85</v>
      </c>
      <c r="K159" s="32">
        <v>78</v>
      </c>
      <c r="L159" s="32">
        <v>92</v>
      </c>
      <c r="M159" s="32">
        <v>87</v>
      </c>
      <c r="N159" s="32">
        <v>89</v>
      </c>
      <c r="O159" s="32">
        <v>67</v>
      </c>
      <c r="P159" s="32">
        <v>80</v>
      </c>
      <c r="Q159" s="32">
        <v>63</v>
      </c>
      <c r="R159" s="32">
        <v>81</v>
      </c>
      <c r="S159" s="32">
        <v>63</v>
      </c>
      <c r="T159" s="32">
        <v>92</v>
      </c>
      <c r="U159" s="32">
        <v>85</v>
      </c>
      <c r="V159" s="30">
        <v>0.90157480314960625</v>
      </c>
      <c r="W159" s="30">
        <v>0.77200000000000002</v>
      </c>
      <c r="X159" s="32">
        <v>43960.36</v>
      </c>
      <c r="Y159" s="32">
        <v>34778.6</v>
      </c>
      <c r="Z159" s="32">
        <v>78738.959999999992</v>
      </c>
      <c r="AA159" s="3">
        <f t="shared" si="2"/>
        <v>75257.100000000006</v>
      </c>
      <c r="AB159" s="3"/>
      <c r="AC159" s="3"/>
      <c r="AF159" s="3"/>
      <c r="AG159" s="3"/>
      <c r="AH159" s="3"/>
    </row>
    <row r="160" spans="1:34" x14ac:dyDescent="0.25">
      <c r="A160">
        <v>1000001</v>
      </c>
      <c r="B160" s="2">
        <v>100</v>
      </c>
      <c r="C160" s="2">
        <v>1</v>
      </c>
      <c r="D160" s="2" t="s">
        <v>151</v>
      </c>
      <c r="E160" s="2">
        <v>1</v>
      </c>
      <c r="F160" s="2" t="s">
        <v>152</v>
      </c>
      <c r="G160" s="3">
        <v>0</v>
      </c>
      <c r="H160" s="32">
        <v>32</v>
      </c>
      <c r="I160" s="32">
        <v>26</v>
      </c>
      <c r="J160" s="32">
        <v>24</v>
      </c>
      <c r="K160" s="32">
        <v>15</v>
      </c>
      <c r="L160" s="32">
        <v>21</v>
      </c>
      <c r="M160" s="32">
        <v>15</v>
      </c>
      <c r="N160" s="32">
        <v>21</v>
      </c>
      <c r="O160" s="32">
        <v>19</v>
      </c>
      <c r="P160" s="32">
        <v>30</v>
      </c>
      <c r="Q160" s="32">
        <v>24</v>
      </c>
      <c r="R160" s="32">
        <v>18</v>
      </c>
      <c r="S160" s="32">
        <v>12</v>
      </c>
      <c r="T160" s="32">
        <v>26</v>
      </c>
      <c r="U160" s="32">
        <v>21</v>
      </c>
      <c r="V160" s="30">
        <v>0.72727272727272729</v>
      </c>
      <c r="W160" s="30">
        <v>0.79710144927536231</v>
      </c>
      <c r="X160" s="32">
        <v>10021.699999999999</v>
      </c>
      <c r="Y160" s="32">
        <v>8871.66</v>
      </c>
      <c r="Z160" s="32">
        <v>18893.36</v>
      </c>
      <c r="AA160" s="3">
        <f t="shared" si="2"/>
        <v>18057.89</v>
      </c>
      <c r="AB160" s="3"/>
      <c r="AC160" s="3"/>
      <c r="AF160" s="3"/>
      <c r="AG160" s="3"/>
      <c r="AH160" s="3"/>
    </row>
    <row r="161" spans="1:34" x14ac:dyDescent="0.25">
      <c r="A161">
        <v>1080040</v>
      </c>
      <c r="B161" s="2">
        <v>108</v>
      </c>
      <c r="C161" s="2">
        <v>1</v>
      </c>
      <c r="D161" s="2" t="s">
        <v>153</v>
      </c>
      <c r="E161" s="2">
        <v>40</v>
      </c>
      <c r="F161" s="2" t="s">
        <v>110</v>
      </c>
      <c r="G161" s="3">
        <v>0</v>
      </c>
      <c r="H161" s="32">
        <v>66</v>
      </c>
      <c r="I161" s="32">
        <v>54</v>
      </c>
      <c r="J161" s="32">
        <v>66</v>
      </c>
      <c r="K161" s="32">
        <v>48</v>
      </c>
      <c r="L161" s="32">
        <v>70</v>
      </c>
      <c r="M161" s="32">
        <v>54</v>
      </c>
      <c r="N161" s="32">
        <v>72</v>
      </c>
      <c r="O161" s="32">
        <v>60</v>
      </c>
      <c r="P161" s="32">
        <v>60</v>
      </c>
      <c r="Q161" s="32">
        <v>53</v>
      </c>
      <c r="R161" s="32">
        <v>66</v>
      </c>
      <c r="S161" s="32">
        <v>59</v>
      </c>
      <c r="T161" s="32">
        <v>71</v>
      </c>
      <c r="U161" s="32">
        <v>72</v>
      </c>
      <c r="V161" s="30">
        <v>0.7722772277227723</v>
      </c>
      <c r="W161" s="30">
        <v>0.86868686868686873</v>
      </c>
      <c r="X161" s="32">
        <v>29061.01</v>
      </c>
      <c r="Y161" s="32">
        <v>33148.799999999996</v>
      </c>
      <c r="Z161" s="32">
        <v>62209.81</v>
      </c>
      <c r="AA161" s="3">
        <f t="shared" si="2"/>
        <v>59458.879999999997</v>
      </c>
      <c r="AB161" s="3"/>
      <c r="AC161" s="3"/>
      <c r="AF161" s="3"/>
      <c r="AG161" s="3"/>
      <c r="AH161" s="3"/>
    </row>
    <row r="162" spans="1:34" x14ac:dyDescent="0.25">
      <c r="A162">
        <v>1100110</v>
      </c>
      <c r="B162" s="2">
        <v>110</v>
      </c>
      <c r="C162" s="2">
        <v>1</v>
      </c>
      <c r="D162" s="2" t="s">
        <v>154</v>
      </c>
      <c r="E162" s="2">
        <v>110</v>
      </c>
      <c r="F162" s="2" t="s">
        <v>155</v>
      </c>
      <c r="G162" s="3">
        <v>0</v>
      </c>
      <c r="H162" s="32">
        <v>144</v>
      </c>
      <c r="I162" s="32">
        <v>132</v>
      </c>
      <c r="J162" s="32">
        <v>128</v>
      </c>
      <c r="K162" s="32">
        <v>120</v>
      </c>
      <c r="L162" s="32">
        <v>116</v>
      </c>
      <c r="M162" s="32">
        <v>107</v>
      </c>
      <c r="N162" s="32">
        <v>97</v>
      </c>
      <c r="O162" s="32">
        <v>74</v>
      </c>
      <c r="P162" s="32">
        <v>138</v>
      </c>
      <c r="Q162" s="32">
        <v>119</v>
      </c>
      <c r="R162" s="32">
        <v>128</v>
      </c>
      <c r="S162" s="32">
        <v>108</v>
      </c>
      <c r="T162" s="32">
        <v>114</v>
      </c>
      <c r="U162" s="32">
        <v>129</v>
      </c>
      <c r="V162" s="30">
        <v>0.92525773195876293</v>
      </c>
      <c r="W162" s="30">
        <v>0.82920110192837471</v>
      </c>
      <c r="X162" s="32">
        <v>55904.46</v>
      </c>
      <c r="Y162" s="32">
        <v>56692.920000000006</v>
      </c>
      <c r="Z162" s="32">
        <v>112597.38</v>
      </c>
      <c r="AA162" s="3">
        <f t="shared" si="2"/>
        <v>107618.3</v>
      </c>
      <c r="AB162" s="3"/>
      <c r="AC162" s="3"/>
      <c r="AF162" s="3"/>
      <c r="AG162" s="3"/>
      <c r="AH162" s="3"/>
    </row>
    <row r="163" spans="1:34" x14ac:dyDescent="0.25">
      <c r="A163">
        <v>1100120</v>
      </c>
      <c r="B163" s="2">
        <v>110</v>
      </c>
      <c r="C163" s="2">
        <v>1</v>
      </c>
      <c r="D163" s="2" t="s">
        <v>154</v>
      </c>
      <c r="E163" s="2">
        <v>120</v>
      </c>
      <c r="F163" s="2" t="s">
        <v>156</v>
      </c>
      <c r="G163" s="3">
        <v>0</v>
      </c>
      <c r="H163" s="32">
        <v>125</v>
      </c>
      <c r="I163" s="32">
        <v>111</v>
      </c>
      <c r="J163" s="32">
        <v>142</v>
      </c>
      <c r="K163" s="32">
        <v>131</v>
      </c>
      <c r="L163" s="32">
        <v>145</v>
      </c>
      <c r="M163" s="32">
        <v>136</v>
      </c>
      <c r="N163" s="32">
        <v>109</v>
      </c>
      <c r="O163" s="32">
        <v>90</v>
      </c>
      <c r="P163" s="32">
        <v>126</v>
      </c>
      <c r="Q163" s="32">
        <v>111</v>
      </c>
      <c r="R163" s="32">
        <v>136</v>
      </c>
      <c r="S163" s="32">
        <v>117</v>
      </c>
      <c r="T163" s="32">
        <v>147</v>
      </c>
      <c r="U163" s="32">
        <v>141</v>
      </c>
      <c r="V163" s="30">
        <v>0.91747572815533984</v>
      </c>
      <c r="W163" s="30">
        <v>0.8571428571428571</v>
      </c>
      <c r="X163" s="32">
        <v>71480.22</v>
      </c>
      <c r="Y163" s="32">
        <v>64054.89</v>
      </c>
      <c r="Z163" s="32">
        <v>135535.10999999999</v>
      </c>
      <c r="AA163" s="3">
        <f t="shared" si="2"/>
        <v>129541.72</v>
      </c>
      <c r="AB163" s="3"/>
      <c r="AC163" s="3"/>
      <c r="AF163" s="3"/>
      <c r="AG163" s="3"/>
      <c r="AH163" s="3"/>
    </row>
    <row r="164" spans="1:34" x14ac:dyDescent="0.25">
      <c r="A164">
        <v>1110839</v>
      </c>
      <c r="B164" s="2">
        <v>111</v>
      </c>
      <c r="C164" s="2">
        <v>1</v>
      </c>
      <c r="D164" s="2" t="s">
        <v>157</v>
      </c>
      <c r="E164" s="2">
        <v>839</v>
      </c>
      <c r="F164" s="2" t="s">
        <v>158</v>
      </c>
      <c r="G164" s="3">
        <v>0</v>
      </c>
      <c r="H164" s="32">
        <v>106</v>
      </c>
      <c r="I164" s="32">
        <v>85</v>
      </c>
      <c r="J164" s="32">
        <v>139</v>
      </c>
      <c r="K164" s="32">
        <v>109</v>
      </c>
      <c r="L164" s="32">
        <v>116</v>
      </c>
      <c r="M164" s="32">
        <v>84</v>
      </c>
      <c r="N164" s="32">
        <v>133</v>
      </c>
      <c r="O164" s="32">
        <v>110</v>
      </c>
      <c r="P164" s="32">
        <v>105</v>
      </c>
      <c r="Q164" s="32">
        <v>88</v>
      </c>
      <c r="R164" s="32">
        <v>136</v>
      </c>
      <c r="S164" s="32">
        <v>105</v>
      </c>
      <c r="T164" s="32">
        <v>118</v>
      </c>
      <c r="U164" s="32">
        <v>143</v>
      </c>
      <c r="V164" s="30">
        <v>0.77008310249307477</v>
      </c>
      <c r="W164" s="30">
        <v>0.81016042780748665</v>
      </c>
      <c r="X164" s="32">
        <v>48160.52</v>
      </c>
      <c r="Y164" s="32">
        <v>61402.77</v>
      </c>
      <c r="Z164" s="32">
        <v>109563.29</v>
      </c>
      <c r="AA164" s="3">
        <f t="shared" si="2"/>
        <v>104718.38</v>
      </c>
      <c r="AB164" s="3"/>
      <c r="AC164" s="3"/>
      <c r="AF164" s="3"/>
      <c r="AG164" s="3"/>
      <c r="AH164" s="3"/>
    </row>
    <row r="165" spans="1:34" x14ac:dyDescent="0.25">
      <c r="A165">
        <v>1120505</v>
      </c>
      <c r="B165" s="2">
        <v>112</v>
      </c>
      <c r="C165" s="2">
        <v>1</v>
      </c>
      <c r="D165" s="2" t="s">
        <v>159</v>
      </c>
      <c r="E165" s="2">
        <v>505</v>
      </c>
      <c r="F165" s="2" t="s">
        <v>160</v>
      </c>
      <c r="G165" s="3">
        <v>0</v>
      </c>
      <c r="H165" s="32">
        <v>95</v>
      </c>
      <c r="I165" s="32">
        <v>85</v>
      </c>
      <c r="J165" s="32">
        <v>86</v>
      </c>
      <c r="K165" s="32">
        <v>77</v>
      </c>
      <c r="L165" s="32">
        <v>82</v>
      </c>
      <c r="M165" s="32">
        <v>69</v>
      </c>
      <c r="N165" s="32">
        <v>109</v>
      </c>
      <c r="O165" s="32">
        <v>83</v>
      </c>
      <c r="P165" s="32">
        <v>93</v>
      </c>
      <c r="Q165" s="32">
        <v>60</v>
      </c>
      <c r="R165" s="32">
        <v>81</v>
      </c>
      <c r="S165" s="32">
        <v>58</v>
      </c>
      <c r="T165" s="32">
        <v>83</v>
      </c>
      <c r="U165" s="32">
        <v>88</v>
      </c>
      <c r="V165" s="30">
        <v>0.87832699619771859</v>
      </c>
      <c r="W165" s="30">
        <v>0.71024734982332161</v>
      </c>
      <c r="X165" s="32">
        <v>38637.33</v>
      </c>
      <c r="Y165" s="32">
        <v>33125.840000000004</v>
      </c>
      <c r="Z165" s="32">
        <v>71763.170000000013</v>
      </c>
      <c r="AA165" s="3">
        <f t="shared" si="2"/>
        <v>68589.789999999994</v>
      </c>
      <c r="AB165" s="3"/>
      <c r="AC165" s="3"/>
      <c r="AF165" s="3"/>
      <c r="AG165" s="3"/>
      <c r="AH165" s="3"/>
    </row>
    <row r="166" spans="1:34" x14ac:dyDescent="0.25">
      <c r="A166">
        <v>1120506</v>
      </c>
      <c r="B166" s="2">
        <v>112</v>
      </c>
      <c r="C166" s="2">
        <v>1</v>
      </c>
      <c r="D166" s="2" t="s">
        <v>159</v>
      </c>
      <c r="E166" s="2">
        <v>506</v>
      </c>
      <c r="F166" s="2" t="s">
        <v>161</v>
      </c>
      <c r="G166" s="3">
        <v>0</v>
      </c>
      <c r="H166" s="32">
        <v>103</v>
      </c>
      <c r="I166" s="32">
        <v>97</v>
      </c>
      <c r="J166" s="32">
        <v>99</v>
      </c>
      <c r="K166" s="32">
        <v>89</v>
      </c>
      <c r="L166" s="32">
        <v>73</v>
      </c>
      <c r="M166" s="32">
        <v>64</v>
      </c>
      <c r="N166" s="32">
        <v>105</v>
      </c>
      <c r="O166" s="32">
        <v>79</v>
      </c>
      <c r="P166" s="32">
        <v>105</v>
      </c>
      <c r="Q166" s="32">
        <v>81</v>
      </c>
      <c r="R166" s="32">
        <v>97</v>
      </c>
      <c r="S166" s="32">
        <v>79</v>
      </c>
      <c r="T166" s="32">
        <v>76</v>
      </c>
      <c r="U166" s="32">
        <v>103</v>
      </c>
      <c r="V166" s="30">
        <v>0.90909090909090906</v>
      </c>
      <c r="W166" s="30">
        <v>0.77850162866449513</v>
      </c>
      <c r="X166" s="32">
        <v>36618.32</v>
      </c>
      <c r="Y166" s="32">
        <v>42498.83</v>
      </c>
      <c r="Z166" s="32">
        <v>79117.149999999994</v>
      </c>
      <c r="AA166" s="3">
        <f t="shared" si="2"/>
        <v>75618.570000000007</v>
      </c>
      <c r="AB166" s="3"/>
      <c r="AC166" s="3"/>
      <c r="AF166" s="3"/>
      <c r="AG166" s="3"/>
      <c r="AH166" s="3"/>
    </row>
    <row r="167" spans="1:34" x14ac:dyDescent="0.25">
      <c r="A167">
        <v>1120507</v>
      </c>
      <c r="B167" s="2">
        <v>112</v>
      </c>
      <c r="C167" s="2">
        <v>1</v>
      </c>
      <c r="D167" s="2" t="s">
        <v>159</v>
      </c>
      <c r="E167" s="2">
        <v>507</v>
      </c>
      <c r="F167" s="2" t="s">
        <v>162</v>
      </c>
      <c r="G167" s="3">
        <v>0</v>
      </c>
      <c r="H167" s="32">
        <v>32</v>
      </c>
      <c r="I167" s="32">
        <v>27</v>
      </c>
      <c r="J167" s="32">
        <v>44</v>
      </c>
      <c r="K167" s="32">
        <v>41</v>
      </c>
      <c r="L167" s="32">
        <v>36</v>
      </c>
      <c r="M167" s="32">
        <v>30</v>
      </c>
      <c r="N167" s="32">
        <v>33</v>
      </c>
      <c r="O167" s="32">
        <v>27</v>
      </c>
      <c r="P167" s="32">
        <v>26</v>
      </c>
      <c r="Q167" s="32">
        <v>22</v>
      </c>
      <c r="R167" s="32">
        <v>42</v>
      </c>
      <c r="S167" s="32">
        <v>31</v>
      </c>
      <c r="T167" s="32">
        <v>37</v>
      </c>
      <c r="U167" s="32">
        <v>43</v>
      </c>
      <c r="V167" s="30">
        <v>0.875</v>
      </c>
      <c r="W167" s="30">
        <v>0.79207920792079212</v>
      </c>
      <c r="X167" s="32">
        <v>17158.75</v>
      </c>
      <c r="Y167" s="32">
        <v>18051.400000000001</v>
      </c>
      <c r="Z167" s="32">
        <v>35210.15</v>
      </c>
      <c r="AA167" s="3">
        <f t="shared" si="2"/>
        <v>33653.15</v>
      </c>
      <c r="AB167" s="3"/>
      <c r="AC167" s="3"/>
      <c r="AF167" s="3"/>
      <c r="AG167" s="3"/>
      <c r="AH167" s="3"/>
    </row>
    <row r="168" spans="1:34" x14ac:dyDescent="0.25">
      <c r="A168">
        <v>1120510</v>
      </c>
      <c r="B168" s="2">
        <v>112</v>
      </c>
      <c r="C168" s="2">
        <v>1</v>
      </c>
      <c r="D168" s="2" t="s">
        <v>159</v>
      </c>
      <c r="E168" s="2">
        <v>510</v>
      </c>
      <c r="F168" s="2" t="s">
        <v>163</v>
      </c>
      <c r="G168" s="3">
        <v>0</v>
      </c>
      <c r="H168" s="32">
        <v>103</v>
      </c>
      <c r="I168" s="32">
        <v>95</v>
      </c>
      <c r="J168" s="32">
        <v>91</v>
      </c>
      <c r="K168" s="32">
        <v>76</v>
      </c>
      <c r="L168" s="32">
        <v>82</v>
      </c>
      <c r="M168" s="32">
        <v>77</v>
      </c>
      <c r="N168" s="32">
        <v>98</v>
      </c>
      <c r="O168" s="32">
        <v>78</v>
      </c>
      <c r="P168" s="32">
        <v>95</v>
      </c>
      <c r="Q168" s="32">
        <v>81</v>
      </c>
      <c r="R168" s="32">
        <v>89</v>
      </c>
      <c r="S168" s="32">
        <v>69</v>
      </c>
      <c r="T168" s="32">
        <v>86</v>
      </c>
      <c r="U168" s="32">
        <v>102</v>
      </c>
      <c r="V168" s="30">
        <v>0.89855072463768115</v>
      </c>
      <c r="W168" s="30">
        <v>0.80851063829787229</v>
      </c>
      <c r="X168" s="32">
        <v>40955.78</v>
      </c>
      <c r="Y168" s="32">
        <v>43708.02</v>
      </c>
      <c r="Z168" s="32">
        <v>84663.799999999988</v>
      </c>
      <c r="AA168" s="3">
        <f t="shared" si="2"/>
        <v>80919.95</v>
      </c>
      <c r="AB168" s="3"/>
      <c r="AC168" s="3"/>
      <c r="AF168" s="3"/>
      <c r="AG168" s="3"/>
      <c r="AH168" s="3"/>
    </row>
    <row r="169" spans="1:34" x14ac:dyDescent="0.25">
      <c r="A169">
        <v>1120511</v>
      </c>
      <c r="B169" s="2">
        <v>112</v>
      </c>
      <c r="C169" s="2">
        <v>1</v>
      </c>
      <c r="D169" s="2" t="s">
        <v>159</v>
      </c>
      <c r="E169" s="2">
        <v>511</v>
      </c>
      <c r="F169" s="2" t="s">
        <v>164</v>
      </c>
      <c r="G169" s="3">
        <v>0</v>
      </c>
      <c r="H169" s="32">
        <v>141</v>
      </c>
      <c r="I169" s="32">
        <v>125</v>
      </c>
      <c r="J169" s="32">
        <v>129</v>
      </c>
      <c r="K169" s="32">
        <v>117</v>
      </c>
      <c r="L169" s="32">
        <v>145</v>
      </c>
      <c r="M169" s="32">
        <v>136</v>
      </c>
      <c r="N169" s="32">
        <v>113</v>
      </c>
      <c r="O169" s="32">
        <v>84</v>
      </c>
      <c r="P169" s="32">
        <v>137</v>
      </c>
      <c r="Q169" s="32">
        <v>113</v>
      </c>
      <c r="R169" s="32">
        <v>121</v>
      </c>
      <c r="S169" s="32">
        <v>103</v>
      </c>
      <c r="T169" s="32">
        <v>145</v>
      </c>
      <c r="U169" s="32">
        <v>124</v>
      </c>
      <c r="V169" s="30">
        <v>0.91084337349397593</v>
      </c>
      <c r="W169" s="30">
        <v>0.80862533692722371</v>
      </c>
      <c r="X169" s="32">
        <v>69998.75</v>
      </c>
      <c r="Y169" s="32">
        <v>53142.68</v>
      </c>
      <c r="Z169" s="32">
        <v>123141.43</v>
      </c>
      <c r="AA169" s="3">
        <f t="shared" si="2"/>
        <v>117696.09</v>
      </c>
      <c r="AB169" s="3"/>
      <c r="AC169" s="3"/>
      <c r="AF169" s="3"/>
      <c r="AG169" s="3"/>
      <c r="AH169" s="3"/>
    </row>
    <row r="170" spans="1:34" x14ac:dyDescent="0.25">
      <c r="A170">
        <v>1120512</v>
      </c>
      <c r="B170" s="2">
        <v>112</v>
      </c>
      <c r="C170" s="2">
        <v>1</v>
      </c>
      <c r="D170" s="2" t="s">
        <v>159</v>
      </c>
      <c r="E170" s="2">
        <v>512</v>
      </c>
      <c r="F170" s="2" t="s">
        <v>165</v>
      </c>
      <c r="G170" s="3">
        <v>0</v>
      </c>
      <c r="H170" s="32">
        <v>136</v>
      </c>
      <c r="I170" s="32">
        <v>116</v>
      </c>
      <c r="J170" s="32">
        <v>112</v>
      </c>
      <c r="K170" s="32">
        <v>97</v>
      </c>
      <c r="L170" s="32">
        <v>118</v>
      </c>
      <c r="M170" s="32">
        <v>105</v>
      </c>
      <c r="N170" s="32">
        <v>116</v>
      </c>
      <c r="O170" s="32">
        <v>91</v>
      </c>
      <c r="P170" s="32">
        <v>132</v>
      </c>
      <c r="Q170" s="32">
        <v>95</v>
      </c>
      <c r="R170" s="32">
        <v>105</v>
      </c>
      <c r="S170" s="32">
        <v>76</v>
      </c>
      <c r="T170" s="32">
        <v>119</v>
      </c>
      <c r="U170" s="32">
        <v>116</v>
      </c>
      <c r="V170" s="30">
        <v>0.86885245901639341</v>
      </c>
      <c r="W170" s="30">
        <v>0.74220963172804533</v>
      </c>
      <c r="X170" s="32">
        <v>54798.31</v>
      </c>
      <c r="Y170" s="32">
        <v>45630.92</v>
      </c>
      <c r="Z170" s="32">
        <v>100429.23</v>
      </c>
      <c r="AA170" s="3">
        <f t="shared" si="2"/>
        <v>95988.23</v>
      </c>
      <c r="AB170" s="3"/>
      <c r="AC170" s="3"/>
      <c r="AF170" s="3"/>
      <c r="AG170" s="3"/>
      <c r="AH170" s="3"/>
    </row>
    <row r="171" spans="1:34" x14ac:dyDescent="0.25">
      <c r="A171">
        <v>1120513</v>
      </c>
      <c r="B171" s="2">
        <v>112</v>
      </c>
      <c r="C171" s="2">
        <v>1</v>
      </c>
      <c r="D171" s="2" t="s">
        <v>159</v>
      </c>
      <c r="E171" s="2">
        <v>513</v>
      </c>
      <c r="F171" s="2" t="s">
        <v>166</v>
      </c>
      <c r="G171" s="3">
        <v>0</v>
      </c>
      <c r="H171" s="32">
        <v>110</v>
      </c>
      <c r="I171" s="32">
        <v>92</v>
      </c>
      <c r="J171" s="32">
        <v>97</v>
      </c>
      <c r="K171" s="32">
        <v>85</v>
      </c>
      <c r="L171" s="32">
        <v>88</v>
      </c>
      <c r="M171" s="32">
        <v>78</v>
      </c>
      <c r="N171" s="32">
        <v>80</v>
      </c>
      <c r="O171" s="32">
        <v>65</v>
      </c>
      <c r="P171" s="32">
        <v>110</v>
      </c>
      <c r="Q171" s="32">
        <v>88</v>
      </c>
      <c r="R171" s="32">
        <v>92</v>
      </c>
      <c r="S171" s="32">
        <v>69</v>
      </c>
      <c r="T171" s="32">
        <v>90</v>
      </c>
      <c r="U171" s="32">
        <v>100</v>
      </c>
      <c r="V171" s="30">
        <v>0.86440677966101698</v>
      </c>
      <c r="W171" s="30">
        <v>0.78723404255319152</v>
      </c>
      <c r="X171" s="32">
        <v>41232.6</v>
      </c>
      <c r="Y171" s="32">
        <v>41723</v>
      </c>
      <c r="Z171" s="32">
        <v>82955.600000000006</v>
      </c>
      <c r="AA171" s="3">
        <f t="shared" si="2"/>
        <v>79287.28</v>
      </c>
      <c r="AB171" s="3"/>
      <c r="AC171" s="3"/>
      <c r="AF171" s="3"/>
      <c r="AG171" s="3"/>
      <c r="AH171" s="3"/>
    </row>
    <row r="172" spans="1:34" x14ac:dyDescent="0.25">
      <c r="A172">
        <v>1130010</v>
      </c>
      <c r="B172" s="2">
        <v>113</v>
      </c>
      <c r="C172" s="2">
        <v>1</v>
      </c>
      <c r="D172" s="2" t="s">
        <v>167</v>
      </c>
      <c r="E172" s="2">
        <v>10</v>
      </c>
      <c r="F172" s="2" t="s">
        <v>168</v>
      </c>
      <c r="G172" s="3">
        <v>0</v>
      </c>
      <c r="H172" s="32">
        <v>64</v>
      </c>
      <c r="I172" s="32">
        <v>37</v>
      </c>
      <c r="J172" s="32">
        <v>59</v>
      </c>
      <c r="K172" s="32">
        <v>43</v>
      </c>
      <c r="L172" s="32">
        <v>68</v>
      </c>
      <c r="M172" s="32">
        <v>44</v>
      </c>
      <c r="N172" s="32">
        <v>52</v>
      </c>
      <c r="O172" s="32">
        <v>35</v>
      </c>
      <c r="P172" s="32">
        <v>69</v>
      </c>
      <c r="Q172" s="32">
        <v>54</v>
      </c>
      <c r="R172" s="32">
        <v>56</v>
      </c>
      <c r="S172" s="32">
        <v>47</v>
      </c>
      <c r="T172" s="32">
        <v>73</v>
      </c>
      <c r="U172" s="32">
        <v>61</v>
      </c>
      <c r="V172" s="30">
        <v>0.64921465968586389</v>
      </c>
      <c r="W172" s="30">
        <v>0.76836158192090398</v>
      </c>
      <c r="X172" s="32">
        <v>25117.84</v>
      </c>
      <c r="Y172" s="32">
        <v>24841.030000000002</v>
      </c>
      <c r="Z172" s="32">
        <v>49958.87</v>
      </c>
      <c r="AA172" s="3">
        <f t="shared" si="2"/>
        <v>47749.68</v>
      </c>
      <c r="AB172" s="3"/>
      <c r="AC172" s="3"/>
      <c r="AF172" s="3"/>
      <c r="AG172" s="3"/>
      <c r="AH172" s="3"/>
    </row>
    <row r="173" spans="1:34" x14ac:dyDescent="0.25">
      <c r="A173">
        <v>1150010</v>
      </c>
      <c r="B173" s="2">
        <v>115</v>
      </c>
      <c r="C173" s="2">
        <v>1</v>
      </c>
      <c r="D173" s="2" t="s">
        <v>169</v>
      </c>
      <c r="E173" s="2">
        <v>10</v>
      </c>
      <c r="F173" s="2" t="s">
        <v>170</v>
      </c>
      <c r="G173" s="3">
        <v>0</v>
      </c>
      <c r="H173" s="32">
        <v>86</v>
      </c>
      <c r="I173" s="32">
        <v>50</v>
      </c>
      <c r="J173" s="32">
        <v>91</v>
      </c>
      <c r="K173" s="32">
        <v>51</v>
      </c>
      <c r="L173" s="32">
        <v>96</v>
      </c>
      <c r="M173" s="32">
        <v>60</v>
      </c>
      <c r="N173" s="32">
        <v>90</v>
      </c>
      <c r="O173" s="32">
        <v>63</v>
      </c>
      <c r="P173" s="32">
        <v>79</v>
      </c>
      <c r="Q173" s="32">
        <v>55</v>
      </c>
      <c r="R173" s="32">
        <v>83</v>
      </c>
      <c r="S173" s="32">
        <v>59</v>
      </c>
      <c r="T173" s="32">
        <v>96</v>
      </c>
      <c r="U173" s="32">
        <v>95</v>
      </c>
      <c r="V173" s="30">
        <v>0.58974358974358976</v>
      </c>
      <c r="W173" s="30">
        <v>0.70238095238095233</v>
      </c>
      <c r="X173" s="32">
        <v>30005.760000000002</v>
      </c>
      <c r="Y173" s="32">
        <v>35364.699999999997</v>
      </c>
      <c r="Z173" s="32">
        <v>65370.46</v>
      </c>
      <c r="AA173" s="3">
        <f t="shared" si="2"/>
        <v>62479.76</v>
      </c>
      <c r="AB173" s="3"/>
      <c r="AC173" s="3"/>
      <c r="AF173" s="3"/>
      <c r="AG173" s="3"/>
      <c r="AH173" s="3"/>
    </row>
    <row r="174" spans="1:34" x14ac:dyDescent="0.25">
      <c r="A174">
        <v>1160010</v>
      </c>
      <c r="B174" s="2">
        <v>116</v>
      </c>
      <c r="C174" s="2">
        <v>1</v>
      </c>
      <c r="D174" s="2" t="s">
        <v>171</v>
      </c>
      <c r="E174" s="2">
        <v>10</v>
      </c>
      <c r="F174" s="2" t="s">
        <v>172</v>
      </c>
      <c r="G174" s="3">
        <v>0</v>
      </c>
      <c r="H174" s="32">
        <v>51</v>
      </c>
      <c r="I174" s="32">
        <v>44</v>
      </c>
      <c r="J174" s="32">
        <v>70</v>
      </c>
      <c r="K174" s="32">
        <v>55</v>
      </c>
      <c r="L174" s="32">
        <v>61</v>
      </c>
      <c r="M174" s="32">
        <v>46</v>
      </c>
      <c r="N174" s="32">
        <v>52</v>
      </c>
      <c r="O174" s="32">
        <v>38</v>
      </c>
      <c r="P174" s="32">
        <v>56</v>
      </c>
      <c r="Q174" s="32">
        <v>43</v>
      </c>
      <c r="R174" s="32">
        <v>66</v>
      </c>
      <c r="S174" s="32">
        <v>62</v>
      </c>
      <c r="T174" s="32">
        <v>61</v>
      </c>
      <c r="U174" s="32">
        <v>68</v>
      </c>
      <c r="V174" s="30">
        <v>0.79670329670329665</v>
      </c>
      <c r="W174" s="30">
        <v>0.82183908045977017</v>
      </c>
      <c r="X174" s="32">
        <v>25757.25</v>
      </c>
      <c r="Y174" s="32">
        <v>29618.76</v>
      </c>
      <c r="Z174" s="32">
        <v>55376.009999999995</v>
      </c>
      <c r="AA174" s="3">
        <f t="shared" si="2"/>
        <v>52927.27</v>
      </c>
      <c r="AB174" s="3"/>
      <c r="AC174" s="3"/>
      <c r="AF174" s="3"/>
      <c r="AG174" s="3"/>
      <c r="AH174" s="3"/>
    </row>
    <row r="175" spans="1:34" x14ac:dyDescent="0.25">
      <c r="A175">
        <v>1180010</v>
      </c>
      <c r="B175" s="2">
        <v>118</v>
      </c>
      <c r="C175" s="2">
        <v>1</v>
      </c>
      <c r="D175" s="2" t="s">
        <v>173</v>
      </c>
      <c r="E175" s="2">
        <v>10</v>
      </c>
      <c r="F175" s="2" t="s">
        <v>174</v>
      </c>
      <c r="G175" s="3">
        <v>0</v>
      </c>
      <c r="H175" s="32">
        <v>18</v>
      </c>
      <c r="I175" s="32">
        <v>15</v>
      </c>
      <c r="J175" s="32">
        <v>26</v>
      </c>
      <c r="K175" s="32">
        <v>20</v>
      </c>
      <c r="L175" s="32">
        <v>21</v>
      </c>
      <c r="M175" s="32">
        <v>19</v>
      </c>
      <c r="N175" s="32">
        <v>18</v>
      </c>
      <c r="O175" s="32">
        <v>12</v>
      </c>
      <c r="P175" s="32">
        <v>23</v>
      </c>
      <c r="Q175" s="32">
        <v>12</v>
      </c>
      <c r="R175" s="32">
        <v>22</v>
      </c>
      <c r="S175" s="32">
        <v>16</v>
      </c>
      <c r="T175" s="32">
        <v>22</v>
      </c>
      <c r="U175" s="32">
        <v>26</v>
      </c>
      <c r="V175" s="30">
        <v>0.83076923076923082</v>
      </c>
      <c r="W175" s="30">
        <v>0.63492063492063489</v>
      </c>
      <c r="X175" s="32">
        <v>9686.82</v>
      </c>
      <c r="Y175" s="32">
        <v>8749.26</v>
      </c>
      <c r="Z175" s="32">
        <v>18436.080000000002</v>
      </c>
      <c r="AA175" s="3">
        <f t="shared" si="2"/>
        <v>17620.830000000002</v>
      </c>
      <c r="AB175" s="3"/>
      <c r="AC175" s="3"/>
      <c r="AF175" s="3"/>
      <c r="AG175" s="3"/>
      <c r="AH175" s="3"/>
    </row>
    <row r="176" spans="1:34" x14ac:dyDescent="0.25">
      <c r="A176">
        <v>1180030</v>
      </c>
      <c r="B176" s="5">
        <v>118</v>
      </c>
      <c r="C176" s="5">
        <v>1</v>
      </c>
      <c r="D176" t="s">
        <v>173</v>
      </c>
      <c r="E176" s="5">
        <v>30</v>
      </c>
      <c r="F176" s="6" t="s">
        <v>175</v>
      </c>
      <c r="G176" s="3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0">
        <v>0</v>
      </c>
      <c r="W176" s="30">
        <v>0</v>
      </c>
      <c r="X176" s="32">
        <v>0</v>
      </c>
      <c r="Y176" s="32">
        <v>0</v>
      </c>
      <c r="Z176" s="32">
        <v>0</v>
      </c>
      <c r="AA176" s="3">
        <f t="shared" si="2"/>
        <v>0</v>
      </c>
      <c r="AB176" s="3"/>
      <c r="AC176" s="3"/>
      <c r="AF176" s="3"/>
      <c r="AG176" s="3"/>
      <c r="AH176" s="3"/>
    </row>
    <row r="177" spans="1:34" x14ac:dyDescent="0.25">
      <c r="A177">
        <v>1290010</v>
      </c>
      <c r="B177">
        <v>129</v>
      </c>
      <c r="C177" s="2">
        <v>1</v>
      </c>
      <c r="D177" s="2" t="s">
        <v>176</v>
      </c>
      <c r="E177">
        <v>10</v>
      </c>
      <c r="F177" s="2" t="s">
        <v>75</v>
      </c>
      <c r="G177" s="3">
        <v>0</v>
      </c>
      <c r="H177" s="32">
        <v>0</v>
      </c>
      <c r="I177" s="32">
        <v>0</v>
      </c>
      <c r="J177" s="32">
        <v>87</v>
      </c>
      <c r="K177" s="32">
        <v>64</v>
      </c>
      <c r="L177" s="32">
        <v>80</v>
      </c>
      <c r="M177" s="32">
        <v>61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83</v>
      </c>
      <c r="U177" s="32">
        <v>0</v>
      </c>
      <c r="V177" s="30">
        <v>0.74850299401197606</v>
      </c>
      <c r="W177" s="30">
        <v>0</v>
      </c>
      <c r="X177" s="32">
        <v>32926.93</v>
      </c>
      <c r="Y177" s="32">
        <v>0</v>
      </c>
      <c r="Z177" s="32">
        <v>32926.93</v>
      </c>
      <c r="AA177" s="3">
        <f t="shared" si="2"/>
        <v>31470.89</v>
      </c>
      <c r="AB177" s="3"/>
      <c r="AC177" s="3"/>
      <c r="AF177" s="3"/>
      <c r="AG177" s="3"/>
      <c r="AH177" s="3"/>
    </row>
    <row r="178" spans="1:34" x14ac:dyDescent="0.25">
      <c r="A178">
        <v>1290020</v>
      </c>
      <c r="B178" s="2">
        <v>129</v>
      </c>
      <c r="C178" s="2">
        <v>1</v>
      </c>
      <c r="D178" s="2" t="s">
        <v>176</v>
      </c>
      <c r="E178" s="2">
        <v>20</v>
      </c>
      <c r="F178" s="2" t="s">
        <v>177</v>
      </c>
      <c r="G178" s="3">
        <v>0</v>
      </c>
      <c r="H178" s="32">
        <v>98</v>
      </c>
      <c r="I178" s="32">
        <v>77</v>
      </c>
      <c r="J178" s="32">
        <v>0</v>
      </c>
      <c r="K178" s="32">
        <v>0</v>
      </c>
      <c r="L178" s="32">
        <v>0</v>
      </c>
      <c r="M178" s="32">
        <v>0</v>
      </c>
      <c r="N178" s="32">
        <v>90</v>
      </c>
      <c r="O178" s="32">
        <v>71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0">
        <v>0.7857142857142857</v>
      </c>
      <c r="W178" s="30">
        <v>0.78888888888888886</v>
      </c>
      <c r="X178" s="32">
        <v>0</v>
      </c>
      <c r="Y178" s="32">
        <v>0</v>
      </c>
      <c r="Z178" s="32">
        <v>0</v>
      </c>
      <c r="AA178" s="3">
        <f t="shared" si="2"/>
        <v>0</v>
      </c>
      <c r="AB178" s="3"/>
      <c r="AC178" s="3"/>
      <c r="AF178" s="3"/>
      <c r="AG178" s="3"/>
      <c r="AH178" s="3"/>
    </row>
    <row r="179" spans="1:34" x14ac:dyDescent="0.25">
      <c r="A179">
        <v>1290030</v>
      </c>
      <c r="B179" s="2">
        <v>129</v>
      </c>
      <c r="C179" s="2">
        <v>1</v>
      </c>
      <c r="D179" s="2" t="s">
        <v>1364</v>
      </c>
      <c r="E179" s="2">
        <v>30</v>
      </c>
      <c r="F179" s="2" t="s">
        <v>1365</v>
      </c>
      <c r="G179" s="3">
        <v>0</v>
      </c>
      <c r="H179" s="32">
        <v>0</v>
      </c>
      <c r="I179" s="32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81</v>
      </c>
      <c r="S179" s="32">
        <v>65</v>
      </c>
      <c r="T179" s="32">
        <v>0</v>
      </c>
      <c r="U179" s="32">
        <v>91</v>
      </c>
      <c r="V179" s="30">
        <v>0</v>
      </c>
      <c r="W179" s="30">
        <v>0.80246913580246915</v>
      </c>
      <c r="X179" s="32">
        <v>0</v>
      </c>
      <c r="Y179" s="32">
        <v>38703.21</v>
      </c>
      <c r="Z179" s="32">
        <v>38703.21</v>
      </c>
      <c r="AA179" s="3">
        <f t="shared" si="2"/>
        <v>36991.74</v>
      </c>
      <c r="AB179" s="3"/>
      <c r="AC179" s="3"/>
      <c r="AF179" s="3"/>
      <c r="AG179" s="3"/>
      <c r="AH179" s="3"/>
    </row>
    <row r="180" spans="1:34" x14ac:dyDescent="0.25">
      <c r="A180">
        <v>1380045</v>
      </c>
      <c r="B180">
        <v>138</v>
      </c>
      <c r="C180">
        <v>1</v>
      </c>
      <c r="D180" t="s">
        <v>178</v>
      </c>
      <c r="E180">
        <v>45</v>
      </c>
      <c r="F180" t="s">
        <v>179</v>
      </c>
      <c r="G180" s="3">
        <v>0</v>
      </c>
      <c r="H180" s="32">
        <v>246</v>
      </c>
      <c r="I180" s="32">
        <v>213</v>
      </c>
      <c r="J180" s="32">
        <v>244</v>
      </c>
      <c r="K180" s="32">
        <v>218</v>
      </c>
      <c r="L180" s="32">
        <v>246</v>
      </c>
      <c r="M180" s="32">
        <v>203</v>
      </c>
      <c r="N180" s="32">
        <v>247</v>
      </c>
      <c r="O180" s="32">
        <v>200</v>
      </c>
      <c r="P180" s="32">
        <v>239</v>
      </c>
      <c r="Q180" s="32">
        <v>201</v>
      </c>
      <c r="R180" s="32">
        <v>218</v>
      </c>
      <c r="S180" s="32">
        <v>172</v>
      </c>
      <c r="T180" s="32">
        <v>243</v>
      </c>
      <c r="U180" s="32">
        <v>235</v>
      </c>
      <c r="V180" s="30">
        <v>0.86141304347826086</v>
      </c>
      <c r="W180" s="30">
        <v>0.81392045454545459</v>
      </c>
      <c r="X180" s="32">
        <v>110941.65000000001</v>
      </c>
      <c r="Y180" s="32">
        <v>101374.3</v>
      </c>
      <c r="Z180" s="32">
        <v>212315.95</v>
      </c>
      <c r="AA180" s="3">
        <f t="shared" si="2"/>
        <v>202927.29</v>
      </c>
      <c r="AB180" s="3"/>
      <c r="AC180" s="3"/>
      <c r="AF180" s="3"/>
      <c r="AG180" s="3"/>
      <c r="AH180" s="3"/>
    </row>
    <row r="181" spans="1:34" x14ac:dyDescent="0.25">
      <c r="A181">
        <v>1380070</v>
      </c>
      <c r="B181" s="2">
        <v>138</v>
      </c>
      <c r="C181" s="2">
        <v>1</v>
      </c>
      <c r="D181" s="2" t="s">
        <v>1172</v>
      </c>
      <c r="E181" s="2">
        <v>70</v>
      </c>
      <c r="F181" s="2" t="s">
        <v>1173</v>
      </c>
      <c r="G181" s="3">
        <v>1</v>
      </c>
      <c r="H181" s="32" t="s">
        <v>1328</v>
      </c>
      <c r="I181" s="32" t="s">
        <v>1328</v>
      </c>
      <c r="J181" s="32" t="s">
        <v>1328</v>
      </c>
      <c r="K181" s="32" t="s">
        <v>1328</v>
      </c>
      <c r="L181" s="32" t="s">
        <v>1328</v>
      </c>
      <c r="M181" s="32" t="s">
        <v>1328</v>
      </c>
      <c r="N181" s="32" t="s">
        <v>1328</v>
      </c>
      <c r="O181" s="32" t="s">
        <v>1328</v>
      </c>
      <c r="P181" s="32" t="s">
        <v>1328</v>
      </c>
      <c r="Q181" s="32" t="s">
        <v>1328</v>
      </c>
      <c r="R181" s="32" t="s">
        <v>1328</v>
      </c>
      <c r="S181" s="32" t="s">
        <v>1328</v>
      </c>
      <c r="T181" s="32">
        <v>1</v>
      </c>
      <c r="U181" s="32">
        <v>1</v>
      </c>
      <c r="V181" s="30" t="s">
        <v>1328</v>
      </c>
      <c r="W181" s="30" t="s">
        <v>1328</v>
      </c>
      <c r="X181" s="32" t="s">
        <v>1328</v>
      </c>
      <c r="Y181" s="32" t="s">
        <v>1328</v>
      </c>
      <c r="Z181" s="32">
        <v>1060</v>
      </c>
      <c r="AA181" s="3">
        <f t="shared" si="2"/>
        <v>1013.13</v>
      </c>
      <c r="AB181" s="3"/>
      <c r="AC181" s="3"/>
      <c r="AF181" s="3"/>
      <c r="AG181" s="3"/>
      <c r="AH181" s="3"/>
    </row>
    <row r="182" spans="1:34" x14ac:dyDescent="0.25">
      <c r="A182">
        <v>1390010</v>
      </c>
      <c r="B182" s="2">
        <v>139</v>
      </c>
      <c r="C182" s="2">
        <v>1</v>
      </c>
      <c r="D182" s="2" t="s">
        <v>180</v>
      </c>
      <c r="E182" s="2">
        <v>10</v>
      </c>
      <c r="F182" s="2" t="s">
        <v>181</v>
      </c>
      <c r="G182" s="3">
        <v>0</v>
      </c>
      <c r="H182" s="32">
        <v>60</v>
      </c>
      <c r="I182" s="32">
        <v>55</v>
      </c>
      <c r="J182" s="32">
        <v>62</v>
      </c>
      <c r="K182" s="32">
        <v>49</v>
      </c>
      <c r="L182" s="32">
        <v>72</v>
      </c>
      <c r="M182" s="32">
        <v>63</v>
      </c>
      <c r="N182" s="32">
        <v>65</v>
      </c>
      <c r="O182" s="32">
        <v>35</v>
      </c>
      <c r="P182" s="32">
        <v>59</v>
      </c>
      <c r="Q182" s="32">
        <v>35</v>
      </c>
      <c r="R182" s="32">
        <v>59</v>
      </c>
      <c r="S182" s="32">
        <v>35</v>
      </c>
      <c r="T182" s="32">
        <v>72</v>
      </c>
      <c r="U182" s="32">
        <v>61</v>
      </c>
      <c r="V182" s="30">
        <v>0.86082474226804129</v>
      </c>
      <c r="W182" s="30">
        <v>0.57377049180327866</v>
      </c>
      <c r="X182" s="32">
        <v>32849.279999999999</v>
      </c>
      <c r="Y182" s="32">
        <v>18550.100000000002</v>
      </c>
      <c r="Z182" s="32">
        <v>51399.380000000005</v>
      </c>
      <c r="AA182" s="3">
        <f t="shared" si="2"/>
        <v>49126.49</v>
      </c>
      <c r="AB182" s="3"/>
      <c r="AC182" s="3"/>
      <c r="AF182" s="3"/>
      <c r="AG182" s="3"/>
      <c r="AH182" s="3"/>
    </row>
    <row r="183" spans="1:34" x14ac:dyDescent="0.25">
      <c r="A183">
        <v>1460010</v>
      </c>
      <c r="B183" s="2">
        <v>146</v>
      </c>
      <c r="C183" s="2">
        <v>1</v>
      </c>
      <c r="D183" s="2" t="s">
        <v>182</v>
      </c>
      <c r="E183" s="2">
        <v>10</v>
      </c>
      <c r="F183" s="2" t="s">
        <v>183</v>
      </c>
      <c r="G183" s="3">
        <v>0</v>
      </c>
      <c r="H183" s="32">
        <v>59</v>
      </c>
      <c r="I183" s="32">
        <v>49</v>
      </c>
      <c r="J183" s="32">
        <v>54</v>
      </c>
      <c r="K183" s="32">
        <v>45</v>
      </c>
      <c r="L183" s="32">
        <v>68</v>
      </c>
      <c r="M183" s="32">
        <v>64</v>
      </c>
      <c r="N183" s="32">
        <v>63</v>
      </c>
      <c r="O183" s="32">
        <v>44</v>
      </c>
      <c r="P183" s="32">
        <v>58</v>
      </c>
      <c r="Q183" s="32">
        <v>48</v>
      </c>
      <c r="R183" s="32">
        <v>54</v>
      </c>
      <c r="S183" s="32">
        <v>50</v>
      </c>
      <c r="T183" s="32">
        <v>71</v>
      </c>
      <c r="U183" s="32">
        <v>58</v>
      </c>
      <c r="V183" s="30">
        <v>0.8729281767955801</v>
      </c>
      <c r="W183" s="30">
        <v>0.81142857142857139</v>
      </c>
      <c r="X183" s="32">
        <v>32848.15</v>
      </c>
      <c r="Y183" s="32">
        <v>24943.48</v>
      </c>
      <c r="Z183" s="32">
        <v>57791.630000000005</v>
      </c>
      <c r="AA183" s="3">
        <f t="shared" si="2"/>
        <v>55236.07</v>
      </c>
      <c r="AB183" s="3"/>
      <c r="AC183" s="3"/>
      <c r="AF183" s="3"/>
      <c r="AG183" s="3"/>
      <c r="AH183" s="3"/>
    </row>
    <row r="184" spans="1:34" x14ac:dyDescent="0.25">
      <c r="A184">
        <v>1500010</v>
      </c>
      <c r="B184">
        <v>150</v>
      </c>
      <c r="C184">
        <v>1</v>
      </c>
      <c r="D184" t="s">
        <v>184</v>
      </c>
      <c r="E184">
        <v>10</v>
      </c>
      <c r="F184" t="s">
        <v>185</v>
      </c>
      <c r="G184" s="3">
        <v>0</v>
      </c>
      <c r="H184" s="32">
        <v>73</v>
      </c>
      <c r="I184" s="32">
        <v>64</v>
      </c>
      <c r="J184" s="32">
        <v>60</v>
      </c>
      <c r="K184" s="32">
        <v>51</v>
      </c>
      <c r="L184" s="32">
        <v>66</v>
      </c>
      <c r="M184" s="32">
        <v>59</v>
      </c>
      <c r="N184" s="32">
        <v>64</v>
      </c>
      <c r="O184" s="32">
        <v>37</v>
      </c>
      <c r="P184" s="32">
        <v>69</v>
      </c>
      <c r="Q184" s="32">
        <v>52</v>
      </c>
      <c r="R184" s="32">
        <v>59</v>
      </c>
      <c r="S184" s="32">
        <v>37</v>
      </c>
      <c r="T184" s="32">
        <v>66</v>
      </c>
      <c r="U184" s="32">
        <v>64</v>
      </c>
      <c r="V184" s="30">
        <v>0.87437185929648242</v>
      </c>
      <c r="W184" s="30">
        <v>0.65625</v>
      </c>
      <c r="X184" s="32">
        <v>30585.72</v>
      </c>
      <c r="Y184" s="32">
        <v>22259.84</v>
      </c>
      <c r="Z184" s="32">
        <v>52845.56</v>
      </c>
      <c r="AA184" s="3">
        <f t="shared" si="2"/>
        <v>50508.72</v>
      </c>
      <c r="AB184" s="3"/>
      <c r="AC184" s="3"/>
      <c r="AF184" s="3"/>
      <c r="AG184" s="3"/>
      <c r="AH184" s="3"/>
    </row>
    <row r="185" spans="1:34" x14ac:dyDescent="0.25">
      <c r="A185">
        <v>1500011</v>
      </c>
      <c r="B185" s="2">
        <v>150</v>
      </c>
      <c r="C185" s="2">
        <v>1</v>
      </c>
      <c r="D185" s="2" t="s">
        <v>1174</v>
      </c>
      <c r="E185" s="2">
        <v>11</v>
      </c>
      <c r="F185" s="2" t="s">
        <v>1175</v>
      </c>
      <c r="G185" s="3">
        <v>1</v>
      </c>
      <c r="H185" s="32" t="s">
        <v>1328</v>
      </c>
      <c r="I185" s="32" t="s">
        <v>1328</v>
      </c>
      <c r="J185" s="32" t="s">
        <v>1328</v>
      </c>
      <c r="K185" s="32" t="s">
        <v>1328</v>
      </c>
      <c r="L185" s="32" t="s">
        <v>1328</v>
      </c>
      <c r="M185" s="32" t="s">
        <v>1328</v>
      </c>
      <c r="N185" s="32" t="s">
        <v>1328</v>
      </c>
      <c r="O185" s="32" t="s">
        <v>1328</v>
      </c>
      <c r="P185" s="32" t="s">
        <v>1328</v>
      </c>
      <c r="Q185" s="32" t="s">
        <v>1328</v>
      </c>
      <c r="R185" s="32" t="s">
        <v>1328</v>
      </c>
      <c r="S185" s="32" t="s">
        <v>1328</v>
      </c>
      <c r="T185" s="32">
        <v>6</v>
      </c>
      <c r="U185" s="32">
        <v>3</v>
      </c>
      <c r="V185" s="30" t="s">
        <v>1328</v>
      </c>
      <c r="W185" s="30" t="s">
        <v>1328</v>
      </c>
      <c r="X185" s="32" t="s">
        <v>1328</v>
      </c>
      <c r="Y185" s="32" t="s">
        <v>1328</v>
      </c>
      <c r="Z185" s="32">
        <v>3057.7200000000003</v>
      </c>
      <c r="AA185" s="3">
        <f t="shared" si="2"/>
        <v>2922.51</v>
      </c>
      <c r="AB185" s="3"/>
      <c r="AC185" s="3"/>
      <c r="AF185" s="3"/>
      <c r="AG185" s="3"/>
      <c r="AH185" s="3"/>
    </row>
    <row r="186" spans="1:34" x14ac:dyDescent="0.25">
      <c r="A186">
        <v>1520187</v>
      </c>
      <c r="B186" s="2">
        <v>152</v>
      </c>
      <c r="C186" s="2">
        <v>1</v>
      </c>
      <c r="D186" s="2" t="s">
        <v>186</v>
      </c>
      <c r="E186" s="2">
        <v>187</v>
      </c>
      <c r="F186" s="2" t="s">
        <v>187</v>
      </c>
      <c r="G186" s="3">
        <v>0</v>
      </c>
      <c r="H186" s="32">
        <v>142</v>
      </c>
      <c r="I186" s="32">
        <v>91</v>
      </c>
      <c r="J186" s="32">
        <v>118</v>
      </c>
      <c r="K186" s="32">
        <v>97</v>
      </c>
      <c r="L186" s="32">
        <v>129</v>
      </c>
      <c r="M186" s="32">
        <v>86</v>
      </c>
      <c r="N186" s="32">
        <v>122</v>
      </c>
      <c r="O186" s="32">
        <v>97</v>
      </c>
      <c r="P186" s="32">
        <v>136</v>
      </c>
      <c r="Q186" s="32">
        <v>110</v>
      </c>
      <c r="R186" s="32">
        <v>110</v>
      </c>
      <c r="S186" s="32">
        <v>96</v>
      </c>
      <c r="T186" s="32">
        <v>133</v>
      </c>
      <c r="U186" s="32">
        <v>122</v>
      </c>
      <c r="V186" s="30">
        <v>0.70437017994858608</v>
      </c>
      <c r="W186" s="30">
        <v>0.82336956521739135</v>
      </c>
      <c r="X186" s="32">
        <v>49651.56</v>
      </c>
      <c r="Y186" s="32">
        <v>53239.58</v>
      </c>
      <c r="Z186" s="32">
        <v>102891.14</v>
      </c>
      <c r="AA186" s="3">
        <f t="shared" si="2"/>
        <v>98341.27</v>
      </c>
      <c r="AB186" s="3"/>
      <c r="AC186" s="3"/>
      <c r="AF186" s="3"/>
      <c r="AG186" s="3"/>
      <c r="AH186" s="3"/>
    </row>
    <row r="187" spans="1:34" x14ac:dyDescent="0.25">
      <c r="A187">
        <v>1520188</v>
      </c>
      <c r="B187" s="2">
        <v>152</v>
      </c>
      <c r="C187" s="2">
        <v>1</v>
      </c>
      <c r="D187" s="2" t="s">
        <v>186</v>
      </c>
      <c r="E187" s="2">
        <v>188</v>
      </c>
      <c r="F187" s="2" t="s">
        <v>188</v>
      </c>
      <c r="G187" s="3">
        <v>0</v>
      </c>
      <c r="H187" s="32">
        <v>129</v>
      </c>
      <c r="I187" s="32">
        <v>93</v>
      </c>
      <c r="J187" s="32">
        <v>123</v>
      </c>
      <c r="K187" s="32">
        <v>85</v>
      </c>
      <c r="L187" s="32">
        <v>130</v>
      </c>
      <c r="M187" s="32">
        <v>105</v>
      </c>
      <c r="N187" s="32">
        <v>100</v>
      </c>
      <c r="O187" s="32">
        <v>78</v>
      </c>
      <c r="P187" s="32">
        <v>116</v>
      </c>
      <c r="Q187" s="32">
        <v>84</v>
      </c>
      <c r="R187" s="32">
        <v>108</v>
      </c>
      <c r="S187" s="32">
        <v>87</v>
      </c>
      <c r="T187" s="32">
        <v>140</v>
      </c>
      <c r="U187" s="32">
        <v>126</v>
      </c>
      <c r="V187" s="30">
        <v>0.74083769633507857</v>
      </c>
      <c r="W187" s="30">
        <v>0.76851851851851849</v>
      </c>
      <c r="X187" s="32">
        <v>54969.599999999999</v>
      </c>
      <c r="Y187" s="32">
        <v>51321.06</v>
      </c>
      <c r="Z187" s="32">
        <v>106290.66</v>
      </c>
      <c r="AA187" s="3">
        <f t="shared" si="2"/>
        <v>101590.46</v>
      </c>
      <c r="AB187" s="3"/>
      <c r="AC187" s="3"/>
      <c r="AF187" s="3"/>
      <c r="AG187" s="3"/>
      <c r="AH187" s="3"/>
    </row>
    <row r="188" spans="1:34" x14ac:dyDescent="0.25">
      <c r="A188">
        <v>1520189</v>
      </c>
      <c r="B188" s="2">
        <v>152</v>
      </c>
      <c r="C188" s="2">
        <v>1</v>
      </c>
      <c r="D188" s="2" t="s">
        <v>186</v>
      </c>
      <c r="E188" s="2">
        <v>189</v>
      </c>
      <c r="F188" s="2" t="s">
        <v>189</v>
      </c>
      <c r="G188" s="3">
        <v>0</v>
      </c>
      <c r="H188" s="32">
        <v>168</v>
      </c>
      <c r="I188" s="32">
        <v>125</v>
      </c>
      <c r="J188" s="32">
        <v>149</v>
      </c>
      <c r="K188" s="32">
        <v>112</v>
      </c>
      <c r="L188" s="32">
        <v>147</v>
      </c>
      <c r="M188" s="32">
        <v>118</v>
      </c>
      <c r="N188" s="32">
        <v>127</v>
      </c>
      <c r="O188" s="32">
        <v>101</v>
      </c>
      <c r="P188" s="32">
        <v>151</v>
      </c>
      <c r="Q188" s="32">
        <v>121</v>
      </c>
      <c r="R188" s="32">
        <v>148</v>
      </c>
      <c r="S188" s="32">
        <v>129</v>
      </c>
      <c r="T188" s="32">
        <v>149</v>
      </c>
      <c r="U188" s="32">
        <v>155</v>
      </c>
      <c r="V188" s="30">
        <v>0.76508620689655171</v>
      </c>
      <c r="W188" s="30">
        <v>0.823943661971831</v>
      </c>
      <c r="X188" s="32">
        <v>60419.5</v>
      </c>
      <c r="Y188" s="32">
        <v>67686.95</v>
      </c>
      <c r="Z188" s="32">
        <v>128106.45</v>
      </c>
      <c r="AA188" s="3">
        <f t="shared" si="2"/>
        <v>122441.55</v>
      </c>
      <c r="AB188" s="3"/>
      <c r="AC188" s="3"/>
      <c r="AF188" s="3"/>
      <c r="AG188" s="3"/>
      <c r="AH188" s="3"/>
    </row>
    <row r="189" spans="1:34" x14ac:dyDescent="0.25">
      <c r="A189">
        <v>1620010</v>
      </c>
      <c r="B189" s="2">
        <v>162</v>
      </c>
      <c r="C189" s="2">
        <v>1</v>
      </c>
      <c r="D189" s="2" t="s">
        <v>190</v>
      </c>
      <c r="E189" s="2">
        <v>10</v>
      </c>
      <c r="F189" s="2" t="s">
        <v>191</v>
      </c>
      <c r="G189" s="3">
        <v>0</v>
      </c>
      <c r="H189" s="32">
        <v>70</v>
      </c>
      <c r="I189" s="32">
        <v>43</v>
      </c>
      <c r="J189" s="32">
        <v>65</v>
      </c>
      <c r="K189" s="32">
        <v>46</v>
      </c>
      <c r="L189" s="32">
        <v>68</v>
      </c>
      <c r="M189" s="32">
        <v>45</v>
      </c>
      <c r="N189" s="32">
        <v>71</v>
      </c>
      <c r="O189" s="32">
        <v>40</v>
      </c>
      <c r="P189" s="32">
        <v>73</v>
      </c>
      <c r="Q189" s="32">
        <v>42</v>
      </c>
      <c r="R189" s="32">
        <v>59</v>
      </c>
      <c r="S189" s="32">
        <v>53</v>
      </c>
      <c r="T189" s="32">
        <v>70</v>
      </c>
      <c r="U189" s="32">
        <v>66</v>
      </c>
      <c r="V189" s="30">
        <v>0.66009852216748766</v>
      </c>
      <c r="W189" s="30">
        <v>0.66502463054187189</v>
      </c>
      <c r="X189" s="32">
        <v>24489.5</v>
      </c>
      <c r="Y189" s="32">
        <v>23262.359999999997</v>
      </c>
      <c r="Z189" s="32">
        <v>47751.86</v>
      </c>
      <c r="AA189" s="3">
        <f t="shared" si="2"/>
        <v>45640.26</v>
      </c>
      <c r="AB189" s="3"/>
      <c r="AC189" s="3"/>
      <c r="AF189" s="3"/>
      <c r="AG189" s="3"/>
      <c r="AH189" s="3"/>
    </row>
    <row r="190" spans="1:34" x14ac:dyDescent="0.25">
      <c r="A190">
        <v>1660060</v>
      </c>
      <c r="B190" s="2">
        <v>166</v>
      </c>
      <c r="C190" s="2">
        <v>1</v>
      </c>
      <c r="D190" s="2" t="s">
        <v>192</v>
      </c>
      <c r="E190" s="2">
        <v>60</v>
      </c>
      <c r="F190" s="2" t="s">
        <v>193</v>
      </c>
      <c r="G190" s="3">
        <v>0</v>
      </c>
      <c r="H190" s="32">
        <v>33</v>
      </c>
      <c r="I190" s="32">
        <v>27</v>
      </c>
      <c r="J190" s="32">
        <v>23</v>
      </c>
      <c r="K190" s="32">
        <v>15</v>
      </c>
      <c r="L190" s="32">
        <v>26</v>
      </c>
      <c r="M190" s="32">
        <v>20</v>
      </c>
      <c r="N190" s="32">
        <v>25</v>
      </c>
      <c r="O190" s="32">
        <v>22</v>
      </c>
      <c r="P190" s="32">
        <v>32</v>
      </c>
      <c r="Q190" s="32">
        <v>26</v>
      </c>
      <c r="R190" s="32">
        <v>21</v>
      </c>
      <c r="S190" s="32">
        <v>17</v>
      </c>
      <c r="T190" s="32">
        <v>23</v>
      </c>
      <c r="U190" s="32">
        <v>24</v>
      </c>
      <c r="V190" s="30">
        <v>0.75609756097560976</v>
      </c>
      <c r="W190" s="30">
        <v>0.83333333333333337</v>
      </c>
      <c r="X190" s="32">
        <v>9216.7900000000009</v>
      </c>
      <c r="Y190" s="32">
        <v>10600.08</v>
      </c>
      <c r="Z190" s="32">
        <v>19816.870000000003</v>
      </c>
      <c r="AA190" s="3">
        <f t="shared" si="2"/>
        <v>18940.560000000001</v>
      </c>
      <c r="AB190" s="3"/>
      <c r="AC190" s="3"/>
      <c r="AF190" s="3"/>
      <c r="AG190" s="3"/>
      <c r="AH190" s="3"/>
    </row>
    <row r="191" spans="1:34" x14ac:dyDescent="0.25">
      <c r="A191">
        <v>1730010</v>
      </c>
      <c r="B191" s="2">
        <v>173</v>
      </c>
      <c r="C191" s="2">
        <v>1</v>
      </c>
      <c r="D191" s="2" t="s">
        <v>194</v>
      </c>
      <c r="E191" s="2">
        <v>10</v>
      </c>
      <c r="F191" s="2" t="s">
        <v>195</v>
      </c>
      <c r="G191" s="3">
        <v>0</v>
      </c>
      <c r="H191" s="32">
        <v>38</v>
      </c>
      <c r="I191" s="32">
        <v>25</v>
      </c>
      <c r="J191" s="32">
        <v>39</v>
      </c>
      <c r="K191" s="32">
        <v>36</v>
      </c>
      <c r="L191" s="32">
        <v>27</v>
      </c>
      <c r="M191" s="32">
        <v>26</v>
      </c>
      <c r="N191" s="32">
        <v>35</v>
      </c>
      <c r="O191" s="32">
        <v>31</v>
      </c>
      <c r="P191" s="32">
        <v>37</v>
      </c>
      <c r="Q191" s="32">
        <v>33</v>
      </c>
      <c r="R191" s="32">
        <v>38</v>
      </c>
      <c r="S191" s="32">
        <v>34</v>
      </c>
      <c r="T191" s="32">
        <v>27</v>
      </c>
      <c r="U191" s="32">
        <v>40</v>
      </c>
      <c r="V191" s="30">
        <v>0.83653846153846156</v>
      </c>
      <c r="W191" s="30">
        <v>0.89090909090909087</v>
      </c>
      <c r="X191" s="32">
        <v>11970.99</v>
      </c>
      <c r="Y191" s="32">
        <v>18887.2</v>
      </c>
      <c r="Z191" s="32">
        <v>30858.190000000002</v>
      </c>
      <c r="AA191" s="3">
        <f t="shared" si="2"/>
        <v>29493.63</v>
      </c>
      <c r="AB191" s="3"/>
      <c r="AC191" s="3"/>
      <c r="AF191" s="3"/>
      <c r="AG191" s="3"/>
      <c r="AH191" s="3"/>
    </row>
    <row r="192" spans="1:34" x14ac:dyDescent="0.25">
      <c r="A192" s="7">
        <v>1770030</v>
      </c>
      <c r="B192" s="8">
        <v>177</v>
      </c>
      <c r="C192" s="8">
        <v>1</v>
      </c>
      <c r="D192" s="8" t="s">
        <v>196</v>
      </c>
      <c r="E192" s="8">
        <v>30</v>
      </c>
      <c r="F192" s="8" t="s">
        <v>197</v>
      </c>
      <c r="G192" s="3">
        <v>0</v>
      </c>
      <c r="H192" s="32">
        <v>81</v>
      </c>
      <c r="I192" s="32">
        <v>55</v>
      </c>
      <c r="J192" s="32">
        <v>74</v>
      </c>
      <c r="K192" s="32">
        <v>60</v>
      </c>
      <c r="L192" s="32">
        <v>72</v>
      </c>
      <c r="M192" s="32">
        <v>58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79</v>
      </c>
      <c r="U192" s="32">
        <v>0</v>
      </c>
      <c r="V192" s="30">
        <v>0.76211453744493396</v>
      </c>
      <c r="W192" s="30">
        <v>0</v>
      </c>
      <c r="X192" s="32">
        <v>31909.68</v>
      </c>
      <c r="Y192" s="32">
        <v>0</v>
      </c>
      <c r="Z192" s="32">
        <v>31909.68</v>
      </c>
      <c r="AA192" s="3">
        <f t="shared" si="2"/>
        <v>30498.63</v>
      </c>
      <c r="AB192" s="3"/>
      <c r="AC192" s="3"/>
      <c r="AF192" s="3"/>
      <c r="AG192" s="3"/>
      <c r="AH192" s="3"/>
    </row>
    <row r="193" spans="1:34" x14ac:dyDescent="0.25">
      <c r="A193">
        <v>1770060</v>
      </c>
      <c r="B193" s="2">
        <v>177</v>
      </c>
      <c r="C193" s="2">
        <v>1</v>
      </c>
      <c r="D193" s="2" t="s">
        <v>196</v>
      </c>
      <c r="E193" s="2">
        <v>60</v>
      </c>
      <c r="F193" s="2" t="s">
        <v>198</v>
      </c>
      <c r="G193" s="3">
        <v>0</v>
      </c>
      <c r="H193" s="32">
        <v>0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57</v>
      </c>
      <c r="O193" s="32">
        <v>42</v>
      </c>
      <c r="P193" s="32">
        <v>72</v>
      </c>
      <c r="Q193" s="32">
        <v>59</v>
      </c>
      <c r="R193" s="32">
        <v>64</v>
      </c>
      <c r="S193" s="32">
        <v>57</v>
      </c>
      <c r="T193" s="32">
        <v>0</v>
      </c>
      <c r="U193" s="32">
        <v>77</v>
      </c>
      <c r="V193" s="30">
        <v>0</v>
      </c>
      <c r="W193" s="30">
        <v>0.81865284974093266</v>
      </c>
      <c r="X193" s="32">
        <v>0</v>
      </c>
      <c r="Y193" s="32">
        <v>33409.53</v>
      </c>
      <c r="Z193" s="32">
        <v>33409.53</v>
      </c>
      <c r="AA193" s="3">
        <f t="shared" si="2"/>
        <v>31932.15</v>
      </c>
      <c r="AB193" s="3"/>
      <c r="AC193" s="3"/>
      <c r="AF193" s="3"/>
      <c r="AG193" s="3"/>
      <c r="AH193" s="3"/>
    </row>
    <row r="194" spans="1:34" x14ac:dyDescent="0.25">
      <c r="A194">
        <v>1810004</v>
      </c>
      <c r="B194" s="2">
        <v>181</v>
      </c>
      <c r="C194" s="2">
        <v>1</v>
      </c>
      <c r="D194" s="2" t="s">
        <v>199</v>
      </c>
      <c r="E194" s="2">
        <v>4</v>
      </c>
      <c r="F194" s="2" t="s">
        <v>200</v>
      </c>
      <c r="G194" s="3">
        <v>0</v>
      </c>
      <c r="H194" s="32">
        <v>115</v>
      </c>
      <c r="I194" s="32">
        <v>99</v>
      </c>
      <c r="J194" s="32">
        <v>97</v>
      </c>
      <c r="K194" s="32">
        <v>94</v>
      </c>
      <c r="L194" s="32">
        <v>105</v>
      </c>
      <c r="M194" s="32">
        <v>100</v>
      </c>
      <c r="N194" s="32">
        <v>101</v>
      </c>
      <c r="O194" s="32">
        <v>79</v>
      </c>
      <c r="P194" s="32">
        <v>108</v>
      </c>
      <c r="Q194" s="32">
        <v>95</v>
      </c>
      <c r="R194" s="32">
        <v>101</v>
      </c>
      <c r="S194" s="32">
        <v>79</v>
      </c>
      <c r="T194" s="32">
        <v>108</v>
      </c>
      <c r="U194" s="32">
        <v>105</v>
      </c>
      <c r="V194" s="30">
        <v>0.9242902208201893</v>
      </c>
      <c r="W194" s="30">
        <v>0.81612903225806455</v>
      </c>
      <c r="X194" s="32">
        <v>52905.96</v>
      </c>
      <c r="Y194" s="32">
        <v>45417.75</v>
      </c>
      <c r="Z194" s="32">
        <v>98323.709999999992</v>
      </c>
      <c r="AA194" s="3">
        <f t="shared" si="2"/>
        <v>93975.81</v>
      </c>
      <c r="AB194" s="3"/>
      <c r="AC194" s="3"/>
      <c r="AF194" s="3"/>
      <c r="AG194" s="3"/>
      <c r="AH194" s="3"/>
    </row>
    <row r="195" spans="1:34" x14ac:dyDescent="0.25">
      <c r="A195">
        <v>1810008</v>
      </c>
      <c r="B195" s="2">
        <v>181</v>
      </c>
      <c r="C195" s="2">
        <v>1</v>
      </c>
      <c r="D195" s="2" t="s">
        <v>199</v>
      </c>
      <c r="E195" s="2">
        <v>8</v>
      </c>
      <c r="F195" s="2" t="s">
        <v>201</v>
      </c>
      <c r="G195" s="3">
        <v>0</v>
      </c>
      <c r="H195" s="32">
        <v>77</v>
      </c>
      <c r="I195" s="32">
        <v>56</v>
      </c>
      <c r="J195" s="32">
        <v>79</v>
      </c>
      <c r="K195" s="32">
        <v>67</v>
      </c>
      <c r="L195" s="32">
        <v>82</v>
      </c>
      <c r="M195" s="32">
        <v>71</v>
      </c>
      <c r="N195" s="32">
        <v>89</v>
      </c>
      <c r="O195" s="32">
        <v>72</v>
      </c>
      <c r="P195" s="32">
        <v>71</v>
      </c>
      <c r="Q195" s="32">
        <v>63</v>
      </c>
      <c r="R195" s="32">
        <v>67</v>
      </c>
      <c r="S195" s="32">
        <v>51</v>
      </c>
      <c r="T195" s="32">
        <v>84</v>
      </c>
      <c r="U195" s="32">
        <v>76</v>
      </c>
      <c r="V195" s="30">
        <v>0.81512605042016806</v>
      </c>
      <c r="W195" s="30">
        <v>0.81938325991189431</v>
      </c>
      <c r="X195" s="32">
        <v>36289.68</v>
      </c>
      <c r="Y195" s="32">
        <v>33004.519999999997</v>
      </c>
      <c r="Z195" s="32">
        <v>69294.2</v>
      </c>
      <c r="AA195" s="3">
        <f t="shared" si="2"/>
        <v>66229.990000000005</v>
      </c>
      <c r="AB195" s="3"/>
      <c r="AC195" s="3"/>
      <c r="AF195" s="3"/>
      <c r="AG195" s="3"/>
      <c r="AH195" s="3"/>
    </row>
    <row r="196" spans="1:34" x14ac:dyDescent="0.25">
      <c r="A196">
        <v>1810009</v>
      </c>
      <c r="B196" s="2">
        <v>181</v>
      </c>
      <c r="C196" s="2">
        <v>1</v>
      </c>
      <c r="D196" s="2" t="s">
        <v>199</v>
      </c>
      <c r="E196" s="2">
        <v>9</v>
      </c>
      <c r="F196" s="2" t="s">
        <v>202</v>
      </c>
      <c r="G196" s="3">
        <v>0</v>
      </c>
      <c r="H196" s="32">
        <v>51</v>
      </c>
      <c r="I196" s="32">
        <v>44</v>
      </c>
      <c r="J196" s="32">
        <v>51</v>
      </c>
      <c r="K196" s="32">
        <v>47</v>
      </c>
      <c r="L196" s="32">
        <v>37</v>
      </c>
      <c r="M196" s="32">
        <v>30</v>
      </c>
      <c r="N196" s="32">
        <v>38</v>
      </c>
      <c r="O196" s="32">
        <v>27</v>
      </c>
      <c r="P196" s="32">
        <v>43</v>
      </c>
      <c r="Q196" s="32">
        <v>31</v>
      </c>
      <c r="R196" s="32">
        <v>43</v>
      </c>
      <c r="S196" s="32">
        <v>31</v>
      </c>
      <c r="T196" s="32">
        <v>39</v>
      </c>
      <c r="U196" s="32">
        <v>53</v>
      </c>
      <c r="V196" s="30">
        <v>0.87050359712230219</v>
      </c>
      <c r="W196" s="30">
        <v>0.717741935483871</v>
      </c>
      <c r="X196" s="32">
        <v>17993.43</v>
      </c>
      <c r="Y196" s="32">
        <v>20161.199999999997</v>
      </c>
      <c r="Z196" s="32">
        <v>38154.629999999997</v>
      </c>
      <c r="AA196" s="3">
        <f t="shared" si="2"/>
        <v>36467.42</v>
      </c>
      <c r="AB196" s="3"/>
      <c r="AC196" s="3"/>
      <c r="AF196" s="3"/>
      <c r="AG196" s="3"/>
      <c r="AH196" s="3"/>
    </row>
    <row r="197" spans="1:34" x14ac:dyDescent="0.25">
      <c r="A197">
        <v>1810011</v>
      </c>
      <c r="B197" s="2">
        <v>181</v>
      </c>
      <c r="C197" s="2">
        <v>1</v>
      </c>
      <c r="D197" s="2" t="s">
        <v>199</v>
      </c>
      <c r="E197" s="2">
        <v>11</v>
      </c>
      <c r="F197" s="2" t="s">
        <v>203</v>
      </c>
      <c r="G197" s="3">
        <v>0</v>
      </c>
      <c r="H197" s="32">
        <v>73</v>
      </c>
      <c r="I197" s="32">
        <v>61</v>
      </c>
      <c r="J197" s="32">
        <v>82</v>
      </c>
      <c r="K197" s="32">
        <v>73</v>
      </c>
      <c r="L197" s="32">
        <v>73</v>
      </c>
      <c r="M197" s="32">
        <v>67</v>
      </c>
      <c r="N197" s="32">
        <v>82</v>
      </c>
      <c r="O197" s="32">
        <v>70</v>
      </c>
      <c r="P197" s="32">
        <v>74</v>
      </c>
      <c r="Q197" s="32">
        <v>62</v>
      </c>
      <c r="R197" s="32">
        <v>79</v>
      </c>
      <c r="S197" s="32">
        <v>70</v>
      </c>
      <c r="T197" s="32">
        <v>74</v>
      </c>
      <c r="U197" s="32">
        <v>84</v>
      </c>
      <c r="V197" s="30">
        <v>0.88157894736842102</v>
      </c>
      <c r="W197" s="30">
        <v>0.8595744680851064</v>
      </c>
      <c r="X197" s="32">
        <v>34575.760000000002</v>
      </c>
      <c r="Y197" s="32">
        <v>38267.879999999997</v>
      </c>
      <c r="Z197" s="32">
        <v>72843.64</v>
      </c>
      <c r="AA197" s="3">
        <f t="shared" si="2"/>
        <v>69622.48</v>
      </c>
      <c r="AB197" s="3"/>
      <c r="AC197" s="3"/>
      <c r="AF197" s="3"/>
      <c r="AG197" s="3"/>
      <c r="AH197" s="3"/>
    </row>
    <row r="198" spans="1:34" x14ac:dyDescent="0.25">
      <c r="A198">
        <v>1810012</v>
      </c>
      <c r="B198" s="2">
        <v>181</v>
      </c>
      <c r="C198" s="2">
        <v>1</v>
      </c>
      <c r="D198" s="2" t="s">
        <v>199</v>
      </c>
      <c r="E198" s="2">
        <v>12</v>
      </c>
      <c r="F198" s="2" t="s">
        <v>204</v>
      </c>
      <c r="G198" s="3">
        <v>0</v>
      </c>
      <c r="H198" s="32">
        <v>116</v>
      </c>
      <c r="I198" s="32">
        <v>84</v>
      </c>
      <c r="J198" s="32">
        <v>109</v>
      </c>
      <c r="K198" s="32">
        <v>100</v>
      </c>
      <c r="L198" s="32">
        <v>108</v>
      </c>
      <c r="M198" s="32">
        <v>90</v>
      </c>
      <c r="N198" s="32">
        <v>82</v>
      </c>
      <c r="O198" s="32">
        <v>49</v>
      </c>
      <c r="P198" s="32">
        <v>104</v>
      </c>
      <c r="Q198" s="32">
        <v>92</v>
      </c>
      <c r="R198" s="32">
        <v>104</v>
      </c>
      <c r="S198" s="32">
        <v>75</v>
      </c>
      <c r="T198" s="32">
        <v>105</v>
      </c>
      <c r="U198" s="32">
        <v>120</v>
      </c>
      <c r="V198" s="30">
        <v>0.82282282282282282</v>
      </c>
      <c r="W198" s="30">
        <v>0.7448275862068966</v>
      </c>
      <c r="X198" s="32">
        <v>45790.5</v>
      </c>
      <c r="Y198" s="32">
        <v>47371.199999999997</v>
      </c>
      <c r="Z198" s="32">
        <v>93161.7</v>
      </c>
      <c r="AA198" s="3">
        <f t="shared" si="2"/>
        <v>89042.07</v>
      </c>
      <c r="AB198" s="3"/>
      <c r="AC198" s="3"/>
      <c r="AF198" s="3"/>
      <c r="AG198" s="3"/>
      <c r="AH198" s="3"/>
    </row>
    <row r="199" spans="1:34" x14ac:dyDescent="0.25">
      <c r="A199">
        <v>1810015</v>
      </c>
      <c r="B199">
        <v>181</v>
      </c>
      <c r="C199">
        <v>1</v>
      </c>
      <c r="D199" t="s">
        <v>199</v>
      </c>
      <c r="E199">
        <v>15</v>
      </c>
      <c r="F199" t="s">
        <v>205</v>
      </c>
      <c r="G199" s="3">
        <v>0</v>
      </c>
      <c r="H199" s="32">
        <v>47</v>
      </c>
      <c r="I199" s="32">
        <v>39</v>
      </c>
      <c r="J199" s="32">
        <v>56</v>
      </c>
      <c r="K199" s="32">
        <v>45</v>
      </c>
      <c r="L199" s="32">
        <v>46</v>
      </c>
      <c r="M199" s="32">
        <v>41</v>
      </c>
      <c r="N199" s="32">
        <v>46</v>
      </c>
      <c r="O199" s="32">
        <v>35</v>
      </c>
      <c r="P199" s="32">
        <v>45</v>
      </c>
      <c r="Q199" s="32">
        <v>37</v>
      </c>
      <c r="R199" s="32">
        <v>56</v>
      </c>
      <c r="S199" s="32">
        <v>44</v>
      </c>
      <c r="T199" s="32">
        <v>47</v>
      </c>
      <c r="U199" s="32">
        <v>60</v>
      </c>
      <c r="V199" s="30">
        <v>0.83892617449664431</v>
      </c>
      <c r="W199" s="30">
        <v>0.78911564625850339</v>
      </c>
      <c r="X199" s="32">
        <v>20897.61</v>
      </c>
      <c r="Y199" s="32">
        <v>25093.800000000003</v>
      </c>
      <c r="Z199" s="32">
        <v>45991.41</v>
      </c>
      <c r="AA199" s="3">
        <f t="shared" si="2"/>
        <v>43957.66</v>
      </c>
      <c r="AB199" s="3"/>
      <c r="AC199" s="3"/>
      <c r="AF199" s="3"/>
      <c r="AG199" s="3"/>
      <c r="AH199" s="3"/>
    </row>
    <row r="200" spans="1:34" x14ac:dyDescent="0.25">
      <c r="A200">
        <v>1810017</v>
      </c>
      <c r="B200" s="2">
        <v>181</v>
      </c>
      <c r="C200" s="2">
        <v>1</v>
      </c>
      <c r="D200" s="2" t="s">
        <v>1176</v>
      </c>
      <c r="E200" s="2">
        <v>17</v>
      </c>
      <c r="F200" s="2" t="s">
        <v>1177</v>
      </c>
      <c r="G200" s="3">
        <v>1</v>
      </c>
      <c r="H200" s="32" t="s">
        <v>1328</v>
      </c>
      <c r="I200" s="32" t="s">
        <v>1328</v>
      </c>
      <c r="J200" s="32" t="s">
        <v>1328</v>
      </c>
      <c r="K200" s="32" t="s">
        <v>1328</v>
      </c>
      <c r="L200" s="32" t="s">
        <v>1328</v>
      </c>
      <c r="M200" s="32" t="s">
        <v>1328</v>
      </c>
      <c r="N200" s="32" t="s">
        <v>1328</v>
      </c>
      <c r="O200" s="32" t="s">
        <v>1328</v>
      </c>
      <c r="P200" s="32" t="s">
        <v>1328</v>
      </c>
      <c r="Q200" s="32" t="s">
        <v>1328</v>
      </c>
      <c r="R200" s="32" t="s">
        <v>1328</v>
      </c>
      <c r="S200" s="32" t="s">
        <v>1328</v>
      </c>
      <c r="T200" s="32">
        <v>0</v>
      </c>
      <c r="U200" s="32">
        <v>1</v>
      </c>
      <c r="V200" s="30" t="s">
        <v>1328</v>
      </c>
      <c r="W200" s="30" t="s">
        <v>1328</v>
      </c>
      <c r="X200" s="32" t="s">
        <v>1328</v>
      </c>
      <c r="Y200" s="32" t="s">
        <v>1328</v>
      </c>
      <c r="Z200" s="32">
        <v>265</v>
      </c>
      <c r="AA200" s="3">
        <f t="shared" si="2"/>
        <v>253.28</v>
      </c>
      <c r="AB200" s="3"/>
      <c r="AC200" s="3"/>
      <c r="AF200" s="3"/>
      <c r="AG200" s="3"/>
      <c r="AH200" s="3"/>
    </row>
    <row r="201" spans="1:34" x14ac:dyDescent="0.25">
      <c r="A201">
        <v>1820006</v>
      </c>
      <c r="B201" s="2">
        <v>182</v>
      </c>
      <c r="C201" s="2">
        <v>1</v>
      </c>
      <c r="D201" s="2" t="s">
        <v>206</v>
      </c>
      <c r="E201" s="2">
        <v>6</v>
      </c>
      <c r="F201" s="2" t="s">
        <v>207</v>
      </c>
      <c r="G201" s="3">
        <v>0</v>
      </c>
      <c r="H201" s="32">
        <v>85</v>
      </c>
      <c r="I201" s="32">
        <v>55</v>
      </c>
      <c r="J201" s="32">
        <v>85</v>
      </c>
      <c r="K201" s="32">
        <v>50</v>
      </c>
      <c r="L201" s="32">
        <v>91</v>
      </c>
      <c r="M201" s="32">
        <v>61</v>
      </c>
      <c r="N201" s="32">
        <v>73</v>
      </c>
      <c r="O201" s="32">
        <v>52</v>
      </c>
      <c r="P201" s="32">
        <v>84</v>
      </c>
      <c r="Q201" s="32">
        <v>63</v>
      </c>
      <c r="R201" s="32">
        <v>79</v>
      </c>
      <c r="S201" s="32">
        <v>64</v>
      </c>
      <c r="T201" s="32">
        <v>93</v>
      </c>
      <c r="U201" s="32">
        <v>88</v>
      </c>
      <c r="V201" s="30">
        <v>0.63601532567049812</v>
      </c>
      <c r="W201" s="30">
        <v>0.75847457627118642</v>
      </c>
      <c r="X201" s="32">
        <v>31349.37</v>
      </c>
      <c r="Y201" s="32">
        <v>35375.120000000003</v>
      </c>
      <c r="Z201" s="32">
        <v>66724.490000000005</v>
      </c>
      <c r="AA201" s="3">
        <f t="shared" si="2"/>
        <v>63773.919999999998</v>
      </c>
      <c r="AB201" s="3"/>
      <c r="AC201" s="3"/>
      <c r="AF201" s="3"/>
      <c r="AG201" s="3"/>
      <c r="AH201" s="3"/>
    </row>
    <row r="202" spans="1:34" x14ac:dyDescent="0.25">
      <c r="A202">
        <v>1860010</v>
      </c>
      <c r="B202" s="2">
        <v>186</v>
      </c>
      <c r="C202" s="2">
        <v>1</v>
      </c>
      <c r="D202" s="2" t="s">
        <v>208</v>
      </c>
      <c r="E202" s="2">
        <v>10</v>
      </c>
      <c r="F202" s="2" t="s">
        <v>209</v>
      </c>
      <c r="G202" s="3">
        <v>0</v>
      </c>
      <c r="H202" s="32">
        <v>110</v>
      </c>
      <c r="I202" s="32">
        <v>95</v>
      </c>
      <c r="J202" s="32">
        <v>120</v>
      </c>
      <c r="K202" s="32">
        <v>101</v>
      </c>
      <c r="L202" s="32">
        <v>118</v>
      </c>
      <c r="M202" s="32">
        <v>101</v>
      </c>
      <c r="N202" s="32">
        <v>110</v>
      </c>
      <c r="O202" s="32">
        <v>84</v>
      </c>
      <c r="P202" s="32">
        <v>112</v>
      </c>
      <c r="Q202" s="32">
        <v>85</v>
      </c>
      <c r="R202" s="32">
        <v>109</v>
      </c>
      <c r="S202" s="32">
        <v>84</v>
      </c>
      <c r="T202" s="32">
        <v>120</v>
      </c>
      <c r="U202" s="32">
        <v>119</v>
      </c>
      <c r="V202" s="30">
        <v>0.85344827586206895</v>
      </c>
      <c r="W202" s="30">
        <v>0.7643504531722054</v>
      </c>
      <c r="X202" s="32">
        <v>54279.6</v>
      </c>
      <c r="Y202" s="32">
        <v>48208.090000000004</v>
      </c>
      <c r="Z202" s="32">
        <v>102487.69</v>
      </c>
      <c r="AA202" s="3">
        <f t="shared" si="2"/>
        <v>97955.66</v>
      </c>
      <c r="AB202" s="3"/>
      <c r="AC202" s="3"/>
      <c r="AF202" s="3"/>
      <c r="AG202" s="3"/>
      <c r="AH202" s="3"/>
    </row>
    <row r="203" spans="1:34" x14ac:dyDescent="0.25">
      <c r="A203">
        <v>1910482</v>
      </c>
      <c r="B203" s="2">
        <v>191</v>
      </c>
      <c r="C203" s="2">
        <v>1</v>
      </c>
      <c r="D203" s="2" t="s">
        <v>210</v>
      </c>
      <c r="E203" s="2">
        <v>482</v>
      </c>
      <c r="F203" s="2" t="s">
        <v>211</v>
      </c>
      <c r="G203" s="3">
        <v>0</v>
      </c>
      <c r="H203" s="32">
        <v>54</v>
      </c>
      <c r="I203" s="32">
        <v>38</v>
      </c>
      <c r="J203" s="32">
        <v>61</v>
      </c>
      <c r="K203" s="32">
        <v>41</v>
      </c>
      <c r="L203" s="32">
        <v>65</v>
      </c>
      <c r="M203" s="32">
        <v>53</v>
      </c>
      <c r="N203" s="32">
        <v>46</v>
      </c>
      <c r="O203" s="32">
        <v>38</v>
      </c>
      <c r="P203" s="32">
        <v>49</v>
      </c>
      <c r="Q203" s="32">
        <v>44</v>
      </c>
      <c r="R203" s="32">
        <v>54</v>
      </c>
      <c r="S203" s="32">
        <v>51</v>
      </c>
      <c r="T203" s="32">
        <v>66</v>
      </c>
      <c r="U203" s="32">
        <v>57</v>
      </c>
      <c r="V203" s="30">
        <v>0.73333333333333328</v>
      </c>
      <c r="W203" s="30">
        <v>0.89261744966442957</v>
      </c>
      <c r="X203" s="32">
        <v>25652.22</v>
      </c>
      <c r="Y203" s="32">
        <v>26966.129999999997</v>
      </c>
      <c r="Z203" s="32">
        <v>52618.35</v>
      </c>
      <c r="AA203" s="3">
        <f t="shared" si="2"/>
        <v>50291.55</v>
      </c>
      <c r="AB203" s="3"/>
      <c r="AC203" s="3"/>
      <c r="AF203" s="3"/>
      <c r="AG203" s="3"/>
      <c r="AH203" s="3"/>
    </row>
    <row r="204" spans="1:34" x14ac:dyDescent="0.25">
      <c r="A204">
        <v>1910483</v>
      </c>
      <c r="B204" s="2">
        <v>191</v>
      </c>
      <c r="C204" s="2">
        <v>1</v>
      </c>
      <c r="D204" s="2" t="s">
        <v>210</v>
      </c>
      <c r="E204" s="2">
        <v>483</v>
      </c>
      <c r="F204" s="2" t="s">
        <v>212</v>
      </c>
      <c r="G204" s="3">
        <v>0</v>
      </c>
      <c r="H204" s="32">
        <v>48</v>
      </c>
      <c r="I204" s="32">
        <v>32</v>
      </c>
      <c r="J204" s="32">
        <v>66</v>
      </c>
      <c r="K204" s="32">
        <v>52</v>
      </c>
      <c r="L204" s="32">
        <v>52</v>
      </c>
      <c r="M204" s="32">
        <v>37</v>
      </c>
      <c r="N204" s="32">
        <v>66</v>
      </c>
      <c r="O204" s="32">
        <v>51</v>
      </c>
      <c r="P204" s="32">
        <v>45</v>
      </c>
      <c r="Q204" s="32">
        <v>37</v>
      </c>
      <c r="R204" s="32">
        <v>58</v>
      </c>
      <c r="S204" s="32">
        <v>42</v>
      </c>
      <c r="T204" s="32">
        <v>51</v>
      </c>
      <c r="U204" s="32">
        <v>66</v>
      </c>
      <c r="V204" s="30">
        <v>0.72891566265060237</v>
      </c>
      <c r="W204" s="30">
        <v>0.76923076923076927</v>
      </c>
      <c r="X204" s="32">
        <v>19702.829999999998</v>
      </c>
      <c r="Y204" s="32">
        <v>26907.54</v>
      </c>
      <c r="Z204" s="32">
        <v>46610.369999999995</v>
      </c>
      <c r="AA204" s="3">
        <f t="shared" si="2"/>
        <v>44549.25</v>
      </c>
      <c r="AB204" s="3"/>
      <c r="AC204" s="3"/>
      <c r="AF204" s="3"/>
      <c r="AG204" s="3"/>
      <c r="AH204" s="3"/>
    </row>
    <row r="205" spans="1:34" x14ac:dyDescent="0.25">
      <c r="A205">
        <v>1910484</v>
      </c>
      <c r="B205" s="2">
        <v>191</v>
      </c>
      <c r="C205" s="2">
        <v>1</v>
      </c>
      <c r="D205" s="2" t="s">
        <v>210</v>
      </c>
      <c r="E205" s="2">
        <v>484</v>
      </c>
      <c r="F205" s="2" t="s">
        <v>213</v>
      </c>
      <c r="G205" s="3">
        <v>0</v>
      </c>
      <c r="H205" s="32">
        <v>72</v>
      </c>
      <c r="I205" s="32">
        <v>54</v>
      </c>
      <c r="J205" s="32">
        <v>72</v>
      </c>
      <c r="K205" s="32">
        <v>45</v>
      </c>
      <c r="L205" s="32">
        <v>80</v>
      </c>
      <c r="M205" s="32">
        <v>68</v>
      </c>
      <c r="N205" s="32">
        <v>65</v>
      </c>
      <c r="O205" s="32">
        <v>56</v>
      </c>
      <c r="P205" s="32">
        <v>72</v>
      </c>
      <c r="Q205" s="32">
        <v>65</v>
      </c>
      <c r="R205" s="32">
        <v>59</v>
      </c>
      <c r="S205" s="32">
        <v>57</v>
      </c>
      <c r="T205" s="32">
        <v>81</v>
      </c>
      <c r="U205" s="32">
        <v>75</v>
      </c>
      <c r="V205" s="30">
        <v>0.7455357142857143</v>
      </c>
      <c r="W205" s="30">
        <v>0.90816326530612246</v>
      </c>
      <c r="X205" s="32">
        <v>32005.53</v>
      </c>
      <c r="Y205" s="32">
        <v>36099.75</v>
      </c>
      <c r="Z205" s="32">
        <v>68105.279999999999</v>
      </c>
      <c r="AA205" s="3">
        <f t="shared" si="2"/>
        <v>65093.65</v>
      </c>
      <c r="AB205" s="3"/>
      <c r="AC205" s="3"/>
      <c r="AF205" s="3"/>
      <c r="AG205" s="3"/>
      <c r="AH205" s="3"/>
    </row>
    <row r="206" spans="1:34" x14ac:dyDescent="0.25">
      <c r="A206">
        <v>1910485</v>
      </c>
      <c r="B206" s="2">
        <v>191</v>
      </c>
      <c r="C206" s="2">
        <v>1</v>
      </c>
      <c r="D206" s="2" t="s">
        <v>210</v>
      </c>
      <c r="E206" s="2">
        <v>485</v>
      </c>
      <c r="F206" s="2" t="s">
        <v>214</v>
      </c>
      <c r="G206" s="3">
        <v>0</v>
      </c>
      <c r="H206" s="32">
        <v>57</v>
      </c>
      <c r="I206" s="32">
        <v>47</v>
      </c>
      <c r="J206" s="32">
        <v>47</v>
      </c>
      <c r="K206" s="32">
        <v>43</v>
      </c>
      <c r="L206" s="32">
        <v>50</v>
      </c>
      <c r="M206" s="32">
        <v>41</v>
      </c>
      <c r="N206" s="32">
        <v>62</v>
      </c>
      <c r="O206" s="32">
        <v>54</v>
      </c>
      <c r="P206" s="32">
        <v>48</v>
      </c>
      <c r="Q206" s="32">
        <v>41</v>
      </c>
      <c r="R206" s="32">
        <v>43</v>
      </c>
      <c r="S206" s="32">
        <v>35</v>
      </c>
      <c r="T206" s="32">
        <v>49</v>
      </c>
      <c r="U206" s="32">
        <v>45</v>
      </c>
      <c r="V206" s="30">
        <v>0.85064935064935066</v>
      </c>
      <c r="W206" s="30">
        <v>0.84967320261437906</v>
      </c>
      <c r="X206" s="32">
        <v>22091.16</v>
      </c>
      <c r="Y206" s="32">
        <v>20264.849999999999</v>
      </c>
      <c r="Z206" s="32">
        <v>42356.009999999995</v>
      </c>
      <c r="AA206" s="3">
        <f t="shared" si="2"/>
        <v>40483.019999999997</v>
      </c>
      <c r="AB206" s="3"/>
      <c r="AC206" s="3"/>
      <c r="AF206" s="3"/>
      <c r="AG206" s="3"/>
      <c r="AH206" s="3"/>
    </row>
    <row r="207" spans="1:34" x14ac:dyDescent="0.25">
      <c r="A207">
        <v>1910486</v>
      </c>
      <c r="B207" s="2">
        <v>191</v>
      </c>
      <c r="C207" s="2">
        <v>1</v>
      </c>
      <c r="D207" s="2" t="s">
        <v>210</v>
      </c>
      <c r="E207" s="2">
        <v>486</v>
      </c>
      <c r="F207" s="2" t="s">
        <v>215</v>
      </c>
      <c r="G207" s="3">
        <v>0</v>
      </c>
      <c r="H207" s="32">
        <v>67</v>
      </c>
      <c r="I207" s="32">
        <v>47</v>
      </c>
      <c r="J207" s="32">
        <v>72</v>
      </c>
      <c r="K207" s="32">
        <v>43</v>
      </c>
      <c r="L207" s="32">
        <v>58</v>
      </c>
      <c r="M207" s="32">
        <v>41</v>
      </c>
      <c r="N207" s="32">
        <v>53</v>
      </c>
      <c r="O207" s="32">
        <v>46</v>
      </c>
      <c r="P207" s="32">
        <v>58</v>
      </c>
      <c r="Q207" s="32">
        <v>54</v>
      </c>
      <c r="R207" s="32">
        <v>58</v>
      </c>
      <c r="S207" s="32">
        <v>48</v>
      </c>
      <c r="T207" s="32">
        <v>61</v>
      </c>
      <c r="U207" s="32">
        <v>65</v>
      </c>
      <c r="V207" s="30">
        <v>0.6649746192893401</v>
      </c>
      <c r="W207" s="30">
        <v>0.87573964497041423</v>
      </c>
      <c r="X207" s="32">
        <v>21498.84</v>
      </c>
      <c r="Y207" s="32">
        <v>30169.1</v>
      </c>
      <c r="Z207" s="32">
        <v>51667.94</v>
      </c>
      <c r="AA207" s="3">
        <f t="shared" ref="AA207:AA270" si="3">ROUND(Z207*AA$10,2)</f>
        <v>49383.17</v>
      </c>
      <c r="AB207" s="3"/>
      <c r="AC207" s="3"/>
      <c r="AF207" s="3"/>
      <c r="AG207" s="3"/>
      <c r="AH207" s="3"/>
    </row>
    <row r="208" spans="1:34" x14ac:dyDescent="0.25">
      <c r="A208">
        <v>1910487</v>
      </c>
      <c r="B208" s="2">
        <v>191</v>
      </c>
      <c r="C208" s="2">
        <v>1</v>
      </c>
      <c r="D208" s="2" t="s">
        <v>210</v>
      </c>
      <c r="E208" s="2">
        <v>487</v>
      </c>
      <c r="F208" s="2" t="s">
        <v>216</v>
      </c>
      <c r="G208" s="3">
        <v>0</v>
      </c>
      <c r="H208" s="32">
        <v>97</v>
      </c>
      <c r="I208" s="32">
        <v>75</v>
      </c>
      <c r="J208" s="32">
        <v>74</v>
      </c>
      <c r="K208" s="32">
        <v>50</v>
      </c>
      <c r="L208" s="32">
        <v>84</v>
      </c>
      <c r="M208" s="32">
        <v>64</v>
      </c>
      <c r="N208" s="32">
        <v>66</v>
      </c>
      <c r="O208" s="32">
        <v>60</v>
      </c>
      <c r="P208" s="32">
        <v>84</v>
      </c>
      <c r="Q208" s="32">
        <v>66</v>
      </c>
      <c r="R208" s="32">
        <v>70</v>
      </c>
      <c r="S208" s="32">
        <v>56</v>
      </c>
      <c r="T208" s="32">
        <v>87</v>
      </c>
      <c r="U208" s="32">
        <v>75</v>
      </c>
      <c r="V208" s="30">
        <v>0.74117647058823533</v>
      </c>
      <c r="W208" s="30">
        <v>0.82727272727272727</v>
      </c>
      <c r="X208" s="32">
        <v>34175.339999999997</v>
      </c>
      <c r="Y208" s="32">
        <v>32883.75</v>
      </c>
      <c r="Z208" s="32">
        <v>67059.09</v>
      </c>
      <c r="AA208" s="3">
        <f t="shared" si="3"/>
        <v>64093.72</v>
      </c>
      <c r="AB208" s="3"/>
      <c r="AC208" s="3"/>
      <c r="AF208" s="3"/>
      <c r="AG208" s="3"/>
      <c r="AH208" s="3"/>
    </row>
    <row r="209" spans="1:34" x14ac:dyDescent="0.25">
      <c r="A209">
        <v>1910488</v>
      </c>
      <c r="B209" s="2">
        <v>191</v>
      </c>
      <c r="C209" s="2">
        <v>1</v>
      </c>
      <c r="D209" s="2" t="s">
        <v>210</v>
      </c>
      <c r="E209" s="2">
        <v>488</v>
      </c>
      <c r="F209" s="2" t="s">
        <v>217</v>
      </c>
      <c r="G209" s="3">
        <v>0</v>
      </c>
      <c r="H209" s="32">
        <v>54</v>
      </c>
      <c r="I209" s="32">
        <v>41</v>
      </c>
      <c r="J209" s="32">
        <v>53</v>
      </c>
      <c r="K209" s="32">
        <v>34</v>
      </c>
      <c r="L209" s="32">
        <v>53</v>
      </c>
      <c r="M209" s="32">
        <v>40</v>
      </c>
      <c r="N209" s="32">
        <v>42</v>
      </c>
      <c r="O209" s="32">
        <v>31</v>
      </c>
      <c r="P209" s="32">
        <v>48</v>
      </c>
      <c r="Q209" s="32">
        <v>36</v>
      </c>
      <c r="R209" s="32">
        <v>49</v>
      </c>
      <c r="S209" s="32">
        <v>34</v>
      </c>
      <c r="T209" s="32">
        <v>50</v>
      </c>
      <c r="U209" s="32">
        <v>56</v>
      </c>
      <c r="V209" s="30">
        <v>0.71875</v>
      </c>
      <c r="W209" s="30">
        <v>0.72661870503597126</v>
      </c>
      <c r="X209" s="32">
        <v>19047</v>
      </c>
      <c r="Y209" s="32">
        <v>21566.16</v>
      </c>
      <c r="Z209" s="32">
        <v>40613.160000000003</v>
      </c>
      <c r="AA209" s="3">
        <f t="shared" si="3"/>
        <v>38817.24</v>
      </c>
      <c r="AB209" s="3"/>
      <c r="AC209" s="3"/>
      <c r="AF209" s="3"/>
      <c r="AG209" s="3"/>
      <c r="AH209" s="3"/>
    </row>
    <row r="210" spans="1:34" x14ac:dyDescent="0.25">
      <c r="A210">
        <v>1910489</v>
      </c>
      <c r="B210" s="2">
        <v>191</v>
      </c>
      <c r="C210" s="2">
        <v>1</v>
      </c>
      <c r="D210" s="2" t="s">
        <v>210</v>
      </c>
      <c r="E210" s="2">
        <v>489</v>
      </c>
      <c r="F210" s="2" t="s">
        <v>218</v>
      </c>
      <c r="G210" s="3">
        <v>0</v>
      </c>
      <c r="H210" s="32">
        <v>69</v>
      </c>
      <c r="I210" s="32">
        <v>44</v>
      </c>
      <c r="J210" s="32">
        <v>89</v>
      </c>
      <c r="K210" s="32">
        <v>53</v>
      </c>
      <c r="L210" s="32">
        <v>91</v>
      </c>
      <c r="M210" s="32">
        <v>57</v>
      </c>
      <c r="N210" s="32">
        <v>62</v>
      </c>
      <c r="O210" s="32">
        <v>49</v>
      </c>
      <c r="P210" s="32">
        <v>62</v>
      </c>
      <c r="Q210" s="32">
        <v>49</v>
      </c>
      <c r="R210" s="32">
        <v>73</v>
      </c>
      <c r="S210" s="32">
        <v>57</v>
      </c>
      <c r="T210" s="32">
        <v>93</v>
      </c>
      <c r="U210" s="32">
        <v>82</v>
      </c>
      <c r="V210" s="30">
        <v>0.61847389558232935</v>
      </c>
      <c r="W210" s="30">
        <v>0.78680203045685282</v>
      </c>
      <c r="X210" s="32">
        <v>30484.47</v>
      </c>
      <c r="Y210" s="32">
        <v>34194.82</v>
      </c>
      <c r="Z210" s="32">
        <v>64679.29</v>
      </c>
      <c r="AA210" s="3">
        <f t="shared" si="3"/>
        <v>61819.16</v>
      </c>
      <c r="AB210" s="3"/>
      <c r="AC210" s="3"/>
      <c r="AF210" s="3"/>
      <c r="AG210" s="3"/>
      <c r="AH210" s="3"/>
    </row>
    <row r="211" spans="1:34" x14ac:dyDescent="0.25">
      <c r="A211">
        <v>1910490</v>
      </c>
      <c r="B211" s="2">
        <v>191</v>
      </c>
      <c r="C211" s="2">
        <v>1</v>
      </c>
      <c r="D211" s="2" t="s">
        <v>210</v>
      </c>
      <c r="E211" s="2">
        <v>490</v>
      </c>
      <c r="F211" s="2" t="s">
        <v>219</v>
      </c>
      <c r="G211" s="3">
        <v>0</v>
      </c>
      <c r="H211" s="32">
        <v>92</v>
      </c>
      <c r="I211" s="32">
        <v>62</v>
      </c>
      <c r="J211" s="32">
        <v>86</v>
      </c>
      <c r="K211" s="32">
        <v>62</v>
      </c>
      <c r="L211" s="32">
        <v>90</v>
      </c>
      <c r="M211" s="32">
        <v>62</v>
      </c>
      <c r="N211" s="32">
        <v>81</v>
      </c>
      <c r="O211" s="32">
        <v>67</v>
      </c>
      <c r="P211" s="32">
        <v>83</v>
      </c>
      <c r="Q211" s="32">
        <v>61</v>
      </c>
      <c r="R211" s="32">
        <v>79</v>
      </c>
      <c r="S211" s="32">
        <v>55</v>
      </c>
      <c r="T211" s="32">
        <v>87</v>
      </c>
      <c r="U211" s="32">
        <v>84</v>
      </c>
      <c r="V211" s="30">
        <v>0.69402985074626866</v>
      </c>
      <c r="W211" s="30">
        <v>0.75308641975308643</v>
      </c>
      <c r="X211" s="32">
        <v>32002.079999999998</v>
      </c>
      <c r="Y211" s="32">
        <v>33527.760000000002</v>
      </c>
      <c r="Z211" s="32">
        <v>65529.84</v>
      </c>
      <c r="AA211" s="3">
        <f t="shared" si="3"/>
        <v>62632.09</v>
      </c>
      <c r="AB211" s="3"/>
      <c r="AC211" s="3"/>
      <c r="AF211" s="3"/>
      <c r="AG211" s="3"/>
      <c r="AH211" s="3"/>
    </row>
    <row r="212" spans="1:34" x14ac:dyDescent="0.25">
      <c r="A212">
        <v>1910491</v>
      </c>
      <c r="B212">
        <v>191</v>
      </c>
      <c r="C212">
        <v>1</v>
      </c>
      <c r="D212" t="s">
        <v>210</v>
      </c>
      <c r="E212">
        <v>491</v>
      </c>
      <c r="F212" t="s">
        <v>220</v>
      </c>
      <c r="G212" s="3">
        <v>0</v>
      </c>
      <c r="H212" s="32">
        <v>103</v>
      </c>
      <c r="I212" s="32">
        <v>88</v>
      </c>
      <c r="J212" s="32">
        <v>85</v>
      </c>
      <c r="K212" s="32">
        <v>74</v>
      </c>
      <c r="L212" s="32">
        <v>101</v>
      </c>
      <c r="M212" s="32">
        <v>90</v>
      </c>
      <c r="N212" s="32">
        <v>86</v>
      </c>
      <c r="O212" s="32">
        <v>64</v>
      </c>
      <c r="P212" s="32">
        <v>101</v>
      </c>
      <c r="Q212" s="32">
        <v>84</v>
      </c>
      <c r="R212" s="32">
        <v>84</v>
      </c>
      <c r="S212" s="32">
        <v>72</v>
      </c>
      <c r="T212" s="32">
        <v>99</v>
      </c>
      <c r="U212" s="32">
        <v>92</v>
      </c>
      <c r="V212" s="30">
        <v>0.87197231833910038</v>
      </c>
      <c r="W212" s="30">
        <v>0.81180811808118081</v>
      </c>
      <c r="X212" s="32">
        <v>45752.85</v>
      </c>
      <c r="Y212" s="32">
        <v>39583.919999999998</v>
      </c>
      <c r="Z212" s="32">
        <v>85336.76999999999</v>
      </c>
      <c r="AA212" s="3">
        <f t="shared" si="3"/>
        <v>81563.16</v>
      </c>
      <c r="AB212" s="3"/>
      <c r="AC212" s="3"/>
      <c r="AF212" s="3"/>
      <c r="AG212" s="3"/>
      <c r="AH212" s="3"/>
    </row>
    <row r="213" spans="1:34" x14ac:dyDescent="0.25">
      <c r="A213">
        <v>1910509</v>
      </c>
      <c r="B213" s="2">
        <v>191</v>
      </c>
      <c r="C213" s="2">
        <v>1</v>
      </c>
      <c r="D213" s="2" t="s">
        <v>1178</v>
      </c>
      <c r="E213" s="2">
        <v>509</v>
      </c>
      <c r="F213" s="2" t="s">
        <v>1179</v>
      </c>
      <c r="G213" s="3">
        <v>1</v>
      </c>
      <c r="H213" s="32" t="s">
        <v>1328</v>
      </c>
      <c r="I213" s="32" t="s">
        <v>1328</v>
      </c>
      <c r="J213" s="32" t="s">
        <v>1328</v>
      </c>
      <c r="K213" s="32" t="s">
        <v>1328</v>
      </c>
      <c r="L213" s="32" t="s">
        <v>1328</v>
      </c>
      <c r="M213" s="32" t="s">
        <v>1328</v>
      </c>
      <c r="N213" s="32" t="s">
        <v>1328</v>
      </c>
      <c r="O213" s="32" t="s">
        <v>1328</v>
      </c>
      <c r="P213" s="32" t="s">
        <v>1328</v>
      </c>
      <c r="Q213" s="32" t="s">
        <v>1328</v>
      </c>
      <c r="R213" s="32" t="s">
        <v>1328</v>
      </c>
      <c r="S213" s="32" t="s">
        <v>1328</v>
      </c>
      <c r="T213" s="32">
        <v>0</v>
      </c>
      <c r="U213" s="32">
        <v>0</v>
      </c>
      <c r="V213" s="30" t="s">
        <v>1328</v>
      </c>
      <c r="W213" s="30" t="s">
        <v>1328</v>
      </c>
      <c r="X213" s="32" t="s">
        <v>1328</v>
      </c>
      <c r="Y213" s="32" t="s">
        <v>1328</v>
      </c>
      <c r="Z213" s="32">
        <v>0</v>
      </c>
      <c r="AA213" s="3">
        <f t="shared" si="3"/>
        <v>0</v>
      </c>
      <c r="AB213" s="3"/>
      <c r="AC213" s="3"/>
      <c r="AF213" s="3"/>
      <c r="AG213" s="3"/>
      <c r="AH213" s="3"/>
    </row>
    <row r="214" spans="1:34" x14ac:dyDescent="0.25">
      <c r="A214">
        <v>1920010</v>
      </c>
      <c r="B214" s="2">
        <v>192</v>
      </c>
      <c r="C214" s="2">
        <v>1</v>
      </c>
      <c r="D214" s="2" t="s">
        <v>221</v>
      </c>
      <c r="E214" s="2">
        <v>10</v>
      </c>
      <c r="F214" s="2" t="s">
        <v>222</v>
      </c>
      <c r="G214" s="3">
        <v>0</v>
      </c>
      <c r="H214" s="32">
        <v>76</v>
      </c>
      <c r="I214" s="32">
        <v>60</v>
      </c>
      <c r="J214" s="32">
        <v>100</v>
      </c>
      <c r="K214" s="32">
        <v>78</v>
      </c>
      <c r="L214" s="32">
        <v>116</v>
      </c>
      <c r="M214" s="32">
        <v>95</v>
      </c>
      <c r="N214" s="32">
        <v>87</v>
      </c>
      <c r="O214" s="32">
        <v>76</v>
      </c>
      <c r="P214" s="32">
        <v>78</v>
      </c>
      <c r="Q214" s="32">
        <v>63</v>
      </c>
      <c r="R214" s="32">
        <v>91</v>
      </c>
      <c r="S214" s="32">
        <v>66</v>
      </c>
      <c r="T214" s="32">
        <v>114</v>
      </c>
      <c r="U214" s="32">
        <v>98</v>
      </c>
      <c r="V214" s="30">
        <v>0.79794520547945202</v>
      </c>
      <c r="W214" s="30">
        <v>0.80078125</v>
      </c>
      <c r="X214" s="32">
        <v>48211.740000000005</v>
      </c>
      <c r="Y214" s="32">
        <v>41592.18</v>
      </c>
      <c r="Z214" s="32">
        <v>89803.920000000013</v>
      </c>
      <c r="AA214" s="3">
        <f t="shared" si="3"/>
        <v>85832.77</v>
      </c>
      <c r="AB214" s="3"/>
      <c r="AC214" s="3"/>
      <c r="AF214" s="3"/>
      <c r="AG214" s="3"/>
      <c r="AH214" s="3"/>
    </row>
    <row r="215" spans="1:34" x14ac:dyDescent="0.25">
      <c r="A215">
        <v>1920040</v>
      </c>
      <c r="B215" s="2">
        <v>192</v>
      </c>
      <c r="C215" s="2">
        <v>1</v>
      </c>
      <c r="D215" s="2" t="s">
        <v>221</v>
      </c>
      <c r="E215" s="2">
        <v>40</v>
      </c>
      <c r="F215" s="2" t="s">
        <v>223</v>
      </c>
      <c r="G215" s="3">
        <v>0</v>
      </c>
      <c r="H215" s="32">
        <v>106</v>
      </c>
      <c r="I215" s="32">
        <v>89</v>
      </c>
      <c r="J215" s="32">
        <v>102</v>
      </c>
      <c r="K215" s="32">
        <v>84</v>
      </c>
      <c r="L215" s="32">
        <v>124</v>
      </c>
      <c r="M215" s="32">
        <v>113</v>
      </c>
      <c r="N215" s="32">
        <v>103</v>
      </c>
      <c r="O215" s="32">
        <v>77</v>
      </c>
      <c r="P215" s="32">
        <v>103</v>
      </c>
      <c r="Q215" s="32">
        <v>84</v>
      </c>
      <c r="R215" s="32">
        <v>102</v>
      </c>
      <c r="S215" s="32">
        <v>85</v>
      </c>
      <c r="T215" s="32">
        <v>124</v>
      </c>
      <c r="U215" s="32">
        <v>103</v>
      </c>
      <c r="V215" s="30">
        <v>0.86144578313253017</v>
      </c>
      <c r="W215" s="30">
        <v>0.79870129870129869</v>
      </c>
      <c r="X215" s="32">
        <v>56614.68</v>
      </c>
      <c r="Y215" s="32">
        <v>43600.93</v>
      </c>
      <c r="Z215" s="32">
        <v>100215.61</v>
      </c>
      <c r="AA215" s="3">
        <f t="shared" si="3"/>
        <v>95784.05</v>
      </c>
      <c r="AB215" s="3"/>
      <c r="AC215" s="3"/>
      <c r="AF215" s="3"/>
      <c r="AG215" s="3"/>
      <c r="AH215" s="3"/>
    </row>
    <row r="216" spans="1:34" x14ac:dyDescent="0.25">
      <c r="A216">
        <v>1920080</v>
      </c>
      <c r="B216" s="2">
        <v>192</v>
      </c>
      <c r="C216" s="2">
        <v>1</v>
      </c>
      <c r="D216" s="2" t="s">
        <v>221</v>
      </c>
      <c r="E216" s="2">
        <v>80</v>
      </c>
      <c r="F216" s="2" t="s">
        <v>224</v>
      </c>
      <c r="G216" s="3">
        <v>0</v>
      </c>
      <c r="H216" s="32">
        <v>109</v>
      </c>
      <c r="I216" s="32">
        <v>98</v>
      </c>
      <c r="J216" s="32">
        <v>111</v>
      </c>
      <c r="K216" s="32">
        <v>99</v>
      </c>
      <c r="L216" s="32">
        <v>111</v>
      </c>
      <c r="M216" s="32">
        <v>103</v>
      </c>
      <c r="N216" s="32">
        <v>112</v>
      </c>
      <c r="O216" s="32">
        <v>79</v>
      </c>
      <c r="P216" s="32">
        <v>102</v>
      </c>
      <c r="Q216" s="32">
        <v>86</v>
      </c>
      <c r="R216" s="32">
        <v>103</v>
      </c>
      <c r="S216" s="32">
        <v>79</v>
      </c>
      <c r="T216" s="32">
        <v>112</v>
      </c>
      <c r="U216" s="32">
        <v>106</v>
      </c>
      <c r="V216" s="30">
        <v>0.90634441087613293</v>
      </c>
      <c r="W216" s="30">
        <v>0.7697160883280757</v>
      </c>
      <c r="X216" s="32">
        <v>53800.32</v>
      </c>
      <c r="Y216" s="32">
        <v>43242.7</v>
      </c>
      <c r="Z216" s="32">
        <v>97043.01999999999</v>
      </c>
      <c r="AA216" s="3">
        <f t="shared" si="3"/>
        <v>92751.75</v>
      </c>
      <c r="AB216" s="3"/>
      <c r="AC216" s="3"/>
      <c r="AF216" s="3"/>
      <c r="AG216" s="3"/>
      <c r="AH216" s="3"/>
    </row>
    <row r="217" spans="1:34" x14ac:dyDescent="0.25">
      <c r="A217">
        <v>1920100</v>
      </c>
      <c r="B217" s="2">
        <v>192</v>
      </c>
      <c r="C217" s="2">
        <v>1</v>
      </c>
      <c r="D217" s="2" t="s">
        <v>221</v>
      </c>
      <c r="E217" s="2">
        <v>100</v>
      </c>
      <c r="F217" s="2" t="s">
        <v>225</v>
      </c>
      <c r="G217" s="3">
        <v>0</v>
      </c>
      <c r="H217" s="32">
        <v>126</v>
      </c>
      <c r="I217" s="32">
        <v>98</v>
      </c>
      <c r="J217" s="32">
        <v>113</v>
      </c>
      <c r="K217" s="32">
        <v>90</v>
      </c>
      <c r="L217" s="32">
        <v>124</v>
      </c>
      <c r="M217" s="32">
        <v>105</v>
      </c>
      <c r="N217" s="32">
        <v>70</v>
      </c>
      <c r="O217" s="32">
        <v>47</v>
      </c>
      <c r="P217" s="32">
        <v>120</v>
      </c>
      <c r="Q217" s="32">
        <v>94</v>
      </c>
      <c r="R217" s="32">
        <v>118</v>
      </c>
      <c r="S217" s="32">
        <v>72</v>
      </c>
      <c r="T217" s="32">
        <v>133</v>
      </c>
      <c r="U217" s="32">
        <v>127</v>
      </c>
      <c r="V217" s="30">
        <v>0.80716253443526176</v>
      </c>
      <c r="W217" s="30">
        <v>0.69155844155844159</v>
      </c>
      <c r="X217" s="32">
        <v>56897.4</v>
      </c>
      <c r="Y217" s="32">
        <v>46549.31</v>
      </c>
      <c r="Z217" s="32">
        <v>103446.70999999999</v>
      </c>
      <c r="AA217" s="3">
        <f t="shared" si="3"/>
        <v>98872.27</v>
      </c>
      <c r="AB217" s="3"/>
      <c r="AC217" s="3"/>
      <c r="AF217" s="3"/>
      <c r="AG217" s="3"/>
      <c r="AH217" s="3"/>
    </row>
    <row r="218" spans="1:34" x14ac:dyDescent="0.25">
      <c r="A218">
        <v>1920621</v>
      </c>
      <c r="B218" s="2">
        <v>192</v>
      </c>
      <c r="C218" s="2">
        <v>1</v>
      </c>
      <c r="D218" s="2" t="s">
        <v>221</v>
      </c>
      <c r="E218" s="2">
        <v>621</v>
      </c>
      <c r="F218" s="2" t="s">
        <v>226</v>
      </c>
      <c r="G218" s="3">
        <v>0</v>
      </c>
      <c r="H218" s="32">
        <v>102</v>
      </c>
      <c r="I218" s="32">
        <v>74</v>
      </c>
      <c r="J218" s="32">
        <v>115</v>
      </c>
      <c r="K218" s="32">
        <v>98</v>
      </c>
      <c r="L218" s="32">
        <v>99</v>
      </c>
      <c r="M218" s="32">
        <v>75</v>
      </c>
      <c r="N218" s="32">
        <v>110</v>
      </c>
      <c r="O218" s="32">
        <v>88</v>
      </c>
      <c r="P218" s="32">
        <v>98</v>
      </c>
      <c r="Q218" s="32">
        <v>67</v>
      </c>
      <c r="R218" s="32">
        <v>112</v>
      </c>
      <c r="S218" s="32">
        <v>85</v>
      </c>
      <c r="T218" s="32">
        <v>103</v>
      </c>
      <c r="U218" s="32">
        <v>117</v>
      </c>
      <c r="V218" s="30">
        <v>0.78164556962025311</v>
      </c>
      <c r="W218" s="30">
        <v>0.75</v>
      </c>
      <c r="X218" s="32">
        <v>42669.81</v>
      </c>
      <c r="Y218" s="32">
        <v>46507.5</v>
      </c>
      <c r="Z218" s="32">
        <v>89177.31</v>
      </c>
      <c r="AA218" s="3">
        <f t="shared" si="3"/>
        <v>85233.87</v>
      </c>
      <c r="AB218" s="3"/>
      <c r="AC218" s="3"/>
      <c r="AF218" s="3"/>
      <c r="AG218" s="3"/>
      <c r="AH218" s="3"/>
    </row>
    <row r="219" spans="1:34" x14ac:dyDescent="0.25">
      <c r="A219">
        <v>1940591</v>
      </c>
      <c r="B219" s="2">
        <v>194</v>
      </c>
      <c r="C219" s="2">
        <v>1</v>
      </c>
      <c r="D219" s="2" t="s">
        <v>227</v>
      </c>
      <c r="E219" s="2">
        <v>591</v>
      </c>
      <c r="F219" s="2" t="s">
        <v>131</v>
      </c>
      <c r="G219" s="3">
        <v>0</v>
      </c>
      <c r="H219" s="32">
        <v>98</v>
      </c>
      <c r="I219" s="32">
        <v>86</v>
      </c>
      <c r="J219" s="32">
        <v>96</v>
      </c>
      <c r="K219" s="32">
        <v>87</v>
      </c>
      <c r="L219" s="32">
        <v>98</v>
      </c>
      <c r="M219" s="32">
        <v>93</v>
      </c>
      <c r="N219" s="32">
        <v>100</v>
      </c>
      <c r="O219" s="32">
        <v>74</v>
      </c>
      <c r="P219" s="32">
        <v>93</v>
      </c>
      <c r="Q219" s="32">
        <v>76</v>
      </c>
      <c r="R219" s="32">
        <v>85</v>
      </c>
      <c r="S219" s="32">
        <v>69</v>
      </c>
      <c r="T219" s="32">
        <v>98</v>
      </c>
      <c r="U219" s="32">
        <v>89</v>
      </c>
      <c r="V219" s="30">
        <v>0.91095890410958902</v>
      </c>
      <c r="W219" s="30">
        <v>0.78776978417266186</v>
      </c>
      <c r="X219" s="32">
        <v>47315.38</v>
      </c>
      <c r="Y219" s="32">
        <v>37159.279999999999</v>
      </c>
      <c r="Z219" s="32">
        <v>84474.66</v>
      </c>
      <c r="AA219" s="3">
        <f t="shared" si="3"/>
        <v>80739.17</v>
      </c>
      <c r="AB219" s="3"/>
      <c r="AC219" s="3"/>
      <c r="AF219" s="3"/>
      <c r="AG219" s="3"/>
      <c r="AH219" s="3"/>
    </row>
    <row r="220" spans="1:34" x14ac:dyDescent="0.25">
      <c r="A220">
        <v>1940592</v>
      </c>
      <c r="B220" s="2">
        <v>194</v>
      </c>
      <c r="C220" s="2">
        <v>1</v>
      </c>
      <c r="D220" s="2" t="s">
        <v>227</v>
      </c>
      <c r="E220" s="2">
        <v>592</v>
      </c>
      <c r="F220" s="2" t="s">
        <v>228</v>
      </c>
      <c r="G220" s="3">
        <v>0</v>
      </c>
      <c r="H220" s="32">
        <v>51</v>
      </c>
      <c r="I220" s="32">
        <v>42</v>
      </c>
      <c r="J220" s="32">
        <v>66</v>
      </c>
      <c r="K220" s="32">
        <v>59</v>
      </c>
      <c r="L220" s="32">
        <v>99</v>
      </c>
      <c r="M220" s="32">
        <v>84</v>
      </c>
      <c r="N220" s="32">
        <v>69</v>
      </c>
      <c r="O220" s="32">
        <v>60</v>
      </c>
      <c r="P220" s="32">
        <v>51</v>
      </c>
      <c r="Q220" s="32">
        <v>43</v>
      </c>
      <c r="R220" s="32">
        <v>76</v>
      </c>
      <c r="S220" s="32">
        <v>54</v>
      </c>
      <c r="T220" s="32">
        <v>101</v>
      </c>
      <c r="U220" s="32">
        <v>80</v>
      </c>
      <c r="V220" s="30">
        <v>0.85648148148148151</v>
      </c>
      <c r="W220" s="30">
        <v>0.80102040816326525</v>
      </c>
      <c r="X220" s="32">
        <v>45847.94</v>
      </c>
      <c r="Y220" s="32">
        <v>33963.200000000004</v>
      </c>
      <c r="Z220" s="32">
        <v>79811.140000000014</v>
      </c>
      <c r="AA220" s="3">
        <f t="shared" si="3"/>
        <v>76281.87</v>
      </c>
      <c r="AB220" s="3"/>
      <c r="AC220" s="3"/>
      <c r="AF220" s="3"/>
      <c r="AG220" s="3"/>
      <c r="AH220" s="3"/>
    </row>
    <row r="221" spans="1:34" x14ac:dyDescent="0.25">
      <c r="A221">
        <v>1940593</v>
      </c>
      <c r="B221" s="2">
        <v>194</v>
      </c>
      <c r="C221" s="2">
        <v>1</v>
      </c>
      <c r="D221" s="2" t="s">
        <v>227</v>
      </c>
      <c r="E221" s="2">
        <v>593</v>
      </c>
      <c r="F221" s="2" t="s">
        <v>229</v>
      </c>
      <c r="G221" s="3">
        <v>0</v>
      </c>
      <c r="H221" s="32">
        <v>65</v>
      </c>
      <c r="I221" s="32">
        <v>60</v>
      </c>
      <c r="J221" s="32">
        <v>60</v>
      </c>
      <c r="K221" s="32">
        <v>57</v>
      </c>
      <c r="L221" s="32">
        <v>84</v>
      </c>
      <c r="M221" s="32">
        <v>79</v>
      </c>
      <c r="N221" s="32">
        <v>53</v>
      </c>
      <c r="O221" s="32">
        <v>40</v>
      </c>
      <c r="P221" s="32">
        <v>61</v>
      </c>
      <c r="Q221" s="32">
        <v>53</v>
      </c>
      <c r="R221" s="32">
        <v>84</v>
      </c>
      <c r="S221" s="32">
        <v>68</v>
      </c>
      <c r="T221" s="32">
        <v>84</v>
      </c>
      <c r="U221" s="32">
        <v>89</v>
      </c>
      <c r="V221" s="30">
        <v>0.93779904306220097</v>
      </c>
      <c r="W221" s="30">
        <v>0.81313131313131315</v>
      </c>
      <c r="X221" s="32">
        <v>41750.519999999997</v>
      </c>
      <c r="Y221" s="32">
        <v>38355.439999999995</v>
      </c>
      <c r="Z221" s="32">
        <v>80105.959999999992</v>
      </c>
      <c r="AA221" s="3">
        <f t="shared" si="3"/>
        <v>76563.66</v>
      </c>
      <c r="AB221" s="3"/>
      <c r="AC221" s="3"/>
      <c r="AF221" s="3"/>
      <c r="AG221" s="3"/>
      <c r="AH221" s="3"/>
    </row>
    <row r="222" spans="1:34" x14ac:dyDescent="0.25">
      <c r="A222">
        <v>1940594</v>
      </c>
      <c r="B222" s="2">
        <v>194</v>
      </c>
      <c r="C222" s="2">
        <v>1</v>
      </c>
      <c r="D222" s="2" t="s">
        <v>227</v>
      </c>
      <c r="E222" s="2">
        <v>594</v>
      </c>
      <c r="F222" s="2" t="s">
        <v>230</v>
      </c>
      <c r="G222" s="3">
        <v>0</v>
      </c>
      <c r="H222" s="32">
        <v>64</v>
      </c>
      <c r="I222" s="32">
        <v>44</v>
      </c>
      <c r="J222" s="32">
        <v>74</v>
      </c>
      <c r="K222" s="32">
        <v>64</v>
      </c>
      <c r="L222" s="32">
        <v>0</v>
      </c>
      <c r="M222" s="32">
        <v>0</v>
      </c>
      <c r="N222" s="32">
        <v>79</v>
      </c>
      <c r="O222" s="32">
        <v>51</v>
      </c>
      <c r="P222" s="32">
        <v>64</v>
      </c>
      <c r="Q222" s="32">
        <v>59</v>
      </c>
      <c r="R222" s="32">
        <v>0</v>
      </c>
      <c r="S222" s="32">
        <v>0</v>
      </c>
      <c r="T222" s="32">
        <v>0</v>
      </c>
      <c r="U222" s="32">
        <v>0</v>
      </c>
      <c r="V222" s="30">
        <v>0.78260869565217395</v>
      </c>
      <c r="W222" s="30">
        <v>0.76923076923076927</v>
      </c>
      <c r="X222" s="32">
        <v>0</v>
      </c>
      <c r="Y222" s="32">
        <v>0</v>
      </c>
      <c r="Z222" s="32">
        <v>0</v>
      </c>
      <c r="AA222" s="3">
        <f t="shared" si="3"/>
        <v>0</v>
      </c>
      <c r="AB222" s="3"/>
      <c r="AC222" s="3"/>
      <c r="AF222" s="3"/>
      <c r="AG222" s="3"/>
      <c r="AH222" s="3"/>
    </row>
    <row r="223" spans="1:34" x14ac:dyDescent="0.25">
      <c r="A223">
        <v>1940595</v>
      </c>
      <c r="B223" s="2">
        <v>194</v>
      </c>
      <c r="C223" s="2">
        <v>1</v>
      </c>
      <c r="D223" s="2" t="s">
        <v>227</v>
      </c>
      <c r="E223" s="2">
        <v>595</v>
      </c>
      <c r="F223" s="2" t="s">
        <v>231</v>
      </c>
      <c r="G223" s="3">
        <v>0</v>
      </c>
      <c r="H223" s="32">
        <v>104</v>
      </c>
      <c r="I223" s="32">
        <v>92</v>
      </c>
      <c r="J223" s="32">
        <v>106</v>
      </c>
      <c r="K223" s="32">
        <v>96</v>
      </c>
      <c r="L223" s="32">
        <v>86</v>
      </c>
      <c r="M223" s="32">
        <v>81</v>
      </c>
      <c r="N223" s="32">
        <v>84</v>
      </c>
      <c r="O223" s="32">
        <v>52</v>
      </c>
      <c r="P223" s="32">
        <v>102</v>
      </c>
      <c r="Q223" s="32">
        <v>90</v>
      </c>
      <c r="R223" s="32">
        <v>96</v>
      </c>
      <c r="S223" s="32">
        <v>87</v>
      </c>
      <c r="T223" s="32">
        <v>86</v>
      </c>
      <c r="U223" s="32">
        <v>98</v>
      </c>
      <c r="V223" s="30">
        <v>0.90878378378378377</v>
      </c>
      <c r="W223" s="30">
        <v>0.81205673758865249</v>
      </c>
      <c r="X223" s="32">
        <v>41422.76</v>
      </c>
      <c r="Y223" s="32">
        <v>42178.22</v>
      </c>
      <c r="Z223" s="32">
        <v>83600.98000000001</v>
      </c>
      <c r="AA223" s="3">
        <f t="shared" si="3"/>
        <v>79904.12</v>
      </c>
      <c r="AB223" s="3"/>
      <c r="AC223" s="3"/>
      <c r="AF223" s="3"/>
      <c r="AG223" s="3"/>
      <c r="AH223" s="3"/>
    </row>
    <row r="224" spans="1:34" x14ac:dyDescent="0.25">
      <c r="A224">
        <v>1940596</v>
      </c>
      <c r="B224" s="2">
        <v>194</v>
      </c>
      <c r="C224" s="2">
        <v>1</v>
      </c>
      <c r="D224" s="2" t="s">
        <v>227</v>
      </c>
      <c r="E224" s="2">
        <v>596</v>
      </c>
      <c r="F224" s="2" t="s">
        <v>232</v>
      </c>
      <c r="G224" s="3">
        <v>0</v>
      </c>
      <c r="H224" s="32">
        <v>92</v>
      </c>
      <c r="I224" s="32">
        <v>86</v>
      </c>
      <c r="J224" s="32">
        <v>104</v>
      </c>
      <c r="K224" s="32">
        <v>98</v>
      </c>
      <c r="L224" s="32">
        <v>84</v>
      </c>
      <c r="M224" s="32">
        <v>81</v>
      </c>
      <c r="N224" s="32">
        <v>93</v>
      </c>
      <c r="O224" s="32">
        <v>71</v>
      </c>
      <c r="P224" s="32">
        <v>93</v>
      </c>
      <c r="Q224" s="32">
        <v>76</v>
      </c>
      <c r="R224" s="32">
        <v>96</v>
      </c>
      <c r="S224" s="32">
        <v>72</v>
      </c>
      <c r="T224" s="32">
        <v>85</v>
      </c>
      <c r="U224" s="32">
        <v>104</v>
      </c>
      <c r="V224" s="30">
        <v>0.9464285714285714</v>
      </c>
      <c r="W224" s="30">
        <v>0.77659574468085102</v>
      </c>
      <c r="X224" s="32">
        <v>42636.85</v>
      </c>
      <c r="Y224" s="32">
        <v>42806.400000000001</v>
      </c>
      <c r="Z224" s="32">
        <v>85443.25</v>
      </c>
      <c r="AA224" s="3">
        <f t="shared" si="3"/>
        <v>81664.929999999993</v>
      </c>
      <c r="AB224" s="3"/>
      <c r="AC224" s="3"/>
      <c r="AF224" s="3"/>
      <c r="AG224" s="3"/>
      <c r="AH224" s="3"/>
    </row>
    <row r="225" spans="1:34" x14ac:dyDescent="0.25">
      <c r="A225">
        <v>1940597</v>
      </c>
      <c r="B225" s="2">
        <v>194</v>
      </c>
      <c r="C225" s="2">
        <v>1</v>
      </c>
      <c r="D225" s="2" t="s">
        <v>227</v>
      </c>
      <c r="E225" s="2">
        <v>597</v>
      </c>
      <c r="F225" s="2" t="s">
        <v>233</v>
      </c>
      <c r="G225" s="3">
        <v>0</v>
      </c>
      <c r="H225" s="32">
        <v>107</v>
      </c>
      <c r="I225" s="32">
        <v>98</v>
      </c>
      <c r="J225" s="32">
        <v>99</v>
      </c>
      <c r="K225" s="32">
        <v>96</v>
      </c>
      <c r="L225" s="32">
        <v>109</v>
      </c>
      <c r="M225" s="32">
        <v>108</v>
      </c>
      <c r="N225" s="32">
        <v>107</v>
      </c>
      <c r="O225" s="32">
        <v>84</v>
      </c>
      <c r="P225" s="32">
        <v>104</v>
      </c>
      <c r="Q225" s="32">
        <v>95</v>
      </c>
      <c r="R225" s="32">
        <v>92</v>
      </c>
      <c r="S225" s="32">
        <v>75</v>
      </c>
      <c r="T225" s="32">
        <v>109</v>
      </c>
      <c r="U225" s="32">
        <v>93</v>
      </c>
      <c r="V225" s="30">
        <v>0.95873015873015877</v>
      </c>
      <c r="W225" s="30">
        <v>0.83828382838283833</v>
      </c>
      <c r="X225" s="32">
        <v>55386.17</v>
      </c>
      <c r="Y225" s="32">
        <v>41318.97</v>
      </c>
      <c r="Z225" s="32">
        <v>96705.14</v>
      </c>
      <c r="AA225" s="3">
        <f t="shared" si="3"/>
        <v>92428.82</v>
      </c>
      <c r="AB225" s="3"/>
      <c r="AC225" s="3"/>
      <c r="AF225" s="3"/>
      <c r="AG225" s="3"/>
      <c r="AH225" s="3"/>
    </row>
    <row r="226" spans="1:34" x14ac:dyDescent="0.25">
      <c r="A226">
        <v>1940598</v>
      </c>
      <c r="B226">
        <v>194</v>
      </c>
      <c r="C226" s="2">
        <v>1</v>
      </c>
      <c r="D226" s="2" t="s">
        <v>227</v>
      </c>
      <c r="E226">
        <v>598</v>
      </c>
      <c r="F226" s="2" t="s">
        <v>234</v>
      </c>
      <c r="G226" s="3">
        <v>0</v>
      </c>
      <c r="H226" s="32">
        <v>99</v>
      </c>
      <c r="I226" s="32">
        <v>85</v>
      </c>
      <c r="J226" s="32">
        <v>108</v>
      </c>
      <c r="K226" s="32">
        <v>98</v>
      </c>
      <c r="L226" s="32">
        <v>95</v>
      </c>
      <c r="M226" s="32">
        <v>85</v>
      </c>
      <c r="N226" s="32">
        <v>114</v>
      </c>
      <c r="O226" s="32">
        <v>88</v>
      </c>
      <c r="P226" s="32">
        <v>95</v>
      </c>
      <c r="Q226" s="32">
        <v>79</v>
      </c>
      <c r="R226" s="32">
        <v>107</v>
      </c>
      <c r="S226" s="32">
        <v>88</v>
      </c>
      <c r="T226" s="32">
        <v>96</v>
      </c>
      <c r="U226" s="32">
        <v>115</v>
      </c>
      <c r="V226" s="30">
        <v>0.88741721854304634</v>
      </c>
      <c r="W226" s="30">
        <v>0.80696202531645567</v>
      </c>
      <c r="X226" s="32">
        <v>45151.68</v>
      </c>
      <c r="Y226" s="32">
        <v>49184.35</v>
      </c>
      <c r="Z226" s="32">
        <v>94336.03</v>
      </c>
      <c r="AA226" s="3">
        <f t="shared" si="3"/>
        <v>90164.47</v>
      </c>
      <c r="AB226" s="3"/>
      <c r="AC226" s="3"/>
      <c r="AF226" s="3"/>
      <c r="AG226" s="3"/>
      <c r="AH226" s="3"/>
    </row>
    <row r="227" spans="1:34" x14ac:dyDescent="0.25">
      <c r="A227">
        <v>1940599</v>
      </c>
      <c r="B227" s="2">
        <v>194</v>
      </c>
      <c r="C227" s="2">
        <v>1</v>
      </c>
      <c r="D227" s="2" t="s">
        <v>227</v>
      </c>
      <c r="E227" s="2">
        <v>599</v>
      </c>
      <c r="F227" s="2" t="s">
        <v>235</v>
      </c>
      <c r="G227" s="3">
        <v>0</v>
      </c>
      <c r="H227" s="32">
        <v>82</v>
      </c>
      <c r="I227" s="32">
        <v>73</v>
      </c>
      <c r="J227" s="32">
        <v>65</v>
      </c>
      <c r="K227" s="32">
        <v>55</v>
      </c>
      <c r="L227" s="32">
        <v>128</v>
      </c>
      <c r="M227" s="32">
        <v>117</v>
      </c>
      <c r="N227" s="32">
        <v>74</v>
      </c>
      <c r="O227" s="32">
        <v>55</v>
      </c>
      <c r="P227" s="32">
        <v>75</v>
      </c>
      <c r="Q227" s="32">
        <v>52</v>
      </c>
      <c r="R227" s="32">
        <v>116</v>
      </c>
      <c r="S227" s="32">
        <v>96</v>
      </c>
      <c r="T227" s="32">
        <v>127</v>
      </c>
      <c r="U227" s="32">
        <v>121</v>
      </c>
      <c r="V227" s="30">
        <v>0.89090909090909087</v>
      </c>
      <c r="W227" s="30">
        <v>0.76603773584905666</v>
      </c>
      <c r="X227" s="32">
        <v>59966.86</v>
      </c>
      <c r="Y227" s="32">
        <v>49126</v>
      </c>
      <c r="Z227" s="32">
        <v>109092.86</v>
      </c>
      <c r="AA227" s="3">
        <f t="shared" si="3"/>
        <v>104268.75</v>
      </c>
      <c r="AB227" s="3"/>
      <c r="AC227" s="3"/>
      <c r="AF227" s="3"/>
      <c r="AG227" s="3"/>
      <c r="AH227" s="3"/>
    </row>
    <row r="228" spans="1:34" x14ac:dyDescent="0.25">
      <c r="A228">
        <v>1950010</v>
      </c>
      <c r="B228">
        <v>195</v>
      </c>
      <c r="C228">
        <v>1</v>
      </c>
      <c r="D228" t="s">
        <v>236</v>
      </c>
      <c r="E228">
        <v>10</v>
      </c>
      <c r="F228" t="s">
        <v>237</v>
      </c>
      <c r="G228" s="3">
        <v>0</v>
      </c>
      <c r="H228" s="32">
        <v>38</v>
      </c>
      <c r="I228" s="32">
        <v>36</v>
      </c>
      <c r="J228" s="32">
        <v>33</v>
      </c>
      <c r="K228" s="32">
        <v>32</v>
      </c>
      <c r="L228" s="32">
        <v>55</v>
      </c>
      <c r="M228" s="32">
        <v>50</v>
      </c>
      <c r="N228" s="32">
        <v>43</v>
      </c>
      <c r="O228" s="32">
        <v>31</v>
      </c>
      <c r="P228" s="32">
        <v>39</v>
      </c>
      <c r="Q228" s="32">
        <v>23</v>
      </c>
      <c r="R228" s="32">
        <v>33</v>
      </c>
      <c r="S228" s="32">
        <v>17</v>
      </c>
      <c r="T228" s="32">
        <v>56</v>
      </c>
      <c r="U228" s="32">
        <v>34</v>
      </c>
      <c r="V228" s="30">
        <v>0.93650793650793651</v>
      </c>
      <c r="W228" s="30">
        <v>0.61739130434782608</v>
      </c>
      <c r="X228" s="32">
        <v>27795.600000000002</v>
      </c>
      <c r="Y228" s="32">
        <v>11125.480000000001</v>
      </c>
      <c r="Z228" s="32">
        <v>38921.08</v>
      </c>
      <c r="AA228" s="3">
        <f t="shared" si="3"/>
        <v>37199.980000000003</v>
      </c>
      <c r="AB228" s="3"/>
      <c r="AC228" s="3"/>
      <c r="AF228" s="3"/>
      <c r="AG228" s="3"/>
      <c r="AH228" s="3"/>
    </row>
    <row r="229" spans="1:34" x14ac:dyDescent="0.25">
      <c r="A229">
        <v>1960100</v>
      </c>
      <c r="B229" s="2">
        <v>196</v>
      </c>
      <c r="C229" s="2">
        <v>1</v>
      </c>
      <c r="D229" s="2" t="s">
        <v>1180</v>
      </c>
      <c r="E229" s="2">
        <v>100</v>
      </c>
      <c r="F229" s="2" t="s">
        <v>1181</v>
      </c>
      <c r="G229" s="3">
        <v>1</v>
      </c>
      <c r="H229" s="32" t="s">
        <v>1328</v>
      </c>
      <c r="I229" s="32" t="s">
        <v>1328</v>
      </c>
      <c r="J229" s="32" t="s">
        <v>1328</v>
      </c>
      <c r="K229" s="32" t="s">
        <v>1328</v>
      </c>
      <c r="L229" s="32" t="s">
        <v>1328</v>
      </c>
      <c r="M229" s="32" t="s">
        <v>1328</v>
      </c>
      <c r="N229" s="32" t="s">
        <v>1328</v>
      </c>
      <c r="O229" s="32" t="s">
        <v>1328</v>
      </c>
      <c r="P229" s="32" t="s">
        <v>1328</v>
      </c>
      <c r="Q229" s="32" t="s">
        <v>1328</v>
      </c>
      <c r="R229" s="32" t="s">
        <v>1328</v>
      </c>
      <c r="S229" s="32" t="s">
        <v>1328</v>
      </c>
      <c r="T229" s="32">
        <v>2</v>
      </c>
      <c r="U229" s="32">
        <v>3</v>
      </c>
      <c r="V229" s="30" t="s">
        <v>1328</v>
      </c>
      <c r="W229" s="30" t="s">
        <v>1328</v>
      </c>
      <c r="X229" s="32" t="s">
        <v>1328</v>
      </c>
      <c r="Y229" s="32" t="s">
        <v>1328</v>
      </c>
      <c r="Z229" s="32">
        <v>1501.67</v>
      </c>
      <c r="AA229" s="3">
        <f t="shared" si="3"/>
        <v>1435.27</v>
      </c>
      <c r="AB229" s="3"/>
      <c r="AC229" s="3"/>
      <c r="AF229" s="3"/>
      <c r="AG229" s="3"/>
      <c r="AH229" s="3"/>
    </row>
    <row r="230" spans="1:34" x14ac:dyDescent="0.25">
      <c r="A230">
        <v>1960705</v>
      </c>
      <c r="B230" s="2">
        <v>196</v>
      </c>
      <c r="C230" s="2">
        <v>1</v>
      </c>
      <c r="D230" s="2" t="s">
        <v>238</v>
      </c>
      <c r="E230" s="2">
        <v>705</v>
      </c>
      <c r="F230" s="2" t="s">
        <v>239</v>
      </c>
      <c r="G230" s="3">
        <v>0</v>
      </c>
      <c r="H230" s="32">
        <v>126</v>
      </c>
      <c r="I230" s="32">
        <v>106</v>
      </c>
      <c r="J230" s="32">
        <v>89</v>
      </c>
      <c r="K230" s="32">
        <v>69</v>
      </c>
      <c r="L230" s="32">
        <v>110</v>
      </c>
      <c r="M230" s="32">
        <v>102</v>
      </c>
      <c r="N230" s="32">
        <v>101</v>
      </c>
      <c r="O230" s="32">
        <v>84</v>
      </c>
      <c r="P230" s="32">
        <v>120</v>
      </c>
      <c r="Q230" s="32">
        <v>92</v>
      </c>
      <c r="R230" s="32">
        <v>84</v>
      </c>
      <c r="S230" s="32">
        <v>70</v>
      </c>
      <c r="T230" s="32">
        <v>116</v>
      </c>
      <c r="U230" s="32">
        <v>93</v>
      </c>
      <c r="V230" s="30">
        <v>0.85230769230769232</v>
      </c>
      <c r="W230" s="30">
        <v>0.80655737704918029</v>
      </c>
      <c r="X230" s="32">
        <v>52399.520000000004</v>
      </c>
      <c r="Y230" s="32">
        <v>39755.64</v>
      </c>
      <c r="Z230" s="32">
        <v>92155.16</v>
      </c>
      <c r="AA230" s="3">
        <f t="shared" si="3"/>
        <v>88080.04</v>
      </c>
      <c r="AB230" s="3"/>
      <c r="AC230" s="3"/>
      <c r="AF230" s="3"/>
      <c r="AG230" s="3"/>
      <c r="AH230" s="3"/>
    </row>
    <row r="231" spans="1:34" x14ac:dyDescent="0.25">
      <c r="A231">
        <v>1960706</v>
      </c>
      <c r="B231" s="2">
        <v>196</v>
      </c>
      <c r="C231" s="2">
        <v>1</v>
      </c>
      <c r="D231" s="2" t="s">
        <v>238</v>
      </c>
      <c r="E231" s="2">
        <v>706</v>
      </c>
      <c r="F231" s="2" t="s">
        <v>240</v>
      </c>
      <c r="G231" s="3">
        <v>0</v>
      </c>
      <c r="H231" s="32">
        <v>80</v>
      </c>
      <c r="I231" s="32">
        <v>67</v>
      </c>
      <c r="J231" s="32">
        <v>66</v>
      </c>
      <c r="K231" s="32">
        <v>62</v>
      </c>
      <c r="L231" s="32">
        <v>69</v>
      </c>
      <c r="M231" s="32">
        <v>59</v>
      </c>
      <c r="N231" s="32">
        <v>90</v>
      </c>
      <c r="O231" s="32">
        <v>73</v>
      </c>
      <c r="P231" s="32">
        <v>75</v>
      </c>
      <c r="Q231" s="32">
        <v>58</v>
      </c>
      <c r="R231" s="32">
        <v>62</v>
      </c>
      <c r="S231" s="32">
        <v>50</v>
      </c>
      <c r="T231" s="32">
        <v>70</v>
      </c>
      <c r="U231" s="32">
        <v>64</v>
      </c>
      <c r="V231" s="30">
        <v>0.87441860465116283</v>
      </c>
      <c r="W231" s="30">
        <v>0.79735682819383258</v>
      </c>
      <c r="X231" s="32">
        <v>32440.799999999999</v>
      </c>
      <c r="Y231" s="32">
        <v>27046.400000000001</v>
      </c>
      <c r="Z231" s="32">
        <v>59487.199999999997</v>
      </c>
      <c r="AA231" s="3">
        <f t="shared" si="3"/>
        <v>56856.66</v>
      </c>
      <c r="AB231" s="3"/>
      <c r="AC231" s="3"/>
      <c r="AF231" s="3"/>
      <c r="AG231" s="3"/>
      <c r="AH231" s="3"/>
    </row>
    <row r="232" spans="1:34" x14ac:dyDescent="0.25">
      <c r="A232">
        <v>1960707</v>
      </c>
      <c r="B232" s="2">
        <v>196</v>
      </c>
      <c r="C232" s="2">
        <v>1</v>
      </c>
      <c r="D232" s="2" t="s">
        <v>238</v>
      </c>
      <c r="E232" s="2">
        <v>707</v>
      </c>
      <c r="F232" s="2" t="s">
        <v>241</v>
      </c>
      <c r="G232" s="3">
        <v>0</v>
      </c>
      <c r="H232" s="32">
        <v>96</v>
      </c>
      <c r="I232" s="32">
        <v>71</v>
      </c>
      <c r="J232" s="32">
        <v>74</v>
      </c>
      <c r="K232" s="32">
        <v>62</v>
      </c>
      <c r="L232" s="32">
        <v>79</v>
      </c>
      <c r="M232" s="32">
        <v>69</v>
      </c>
      <c r="N232" s="32">
        <v>89</v>
      </c>
      <c r="O232" s="32">
        <v>72</v>
      </c>
      <c r="P232" s="32">
        <v>87</v>
      </c>
      <c r="Q232" s="32">
        <v>69</v>
      </c>
      <c r="R232" s="32">
        <v>66</v>
      </c>
      <c r="S232" s="32">
        <v>51</v>
      </c>
      <c r="T232" s="32">
        <v>83</v>
      </c>
      <c r="U232" s="32">
        <v>72</v>
      </c>
      <c r="V232" s="30">
        <v>0.8112449799196787</v>
      </c>
      <c r="W232" s="30">
        <v>0.79338842975206614</v>
      </c>
      <c r="X232" s="32">
        <v>35686.68</v>
      </c>
      <c r="Y232" s="32">
        <v>30276</v>
      </c>
      <c r="Z232" s="32">
        <v>65962.679999999993</v>
      </c>
      <c r="AA232" s="3">
        <f t="shared" si="3"/>
        <v>63045.79</v>
      </c>
      <c r="AB232" s="3"/>
      <c r="AC232" s="3"/>
      <c r="AF232" s="3"/>
      <c r="AG232" s="3"/>
      <c r="AH232" s="3"/>
    </row>
    <row r="233" spans="1:34" x14ac:dyDescent="0.25">
      <c r="A233">
        <v>1960708</v>
      </c>
      <c r="B233" s="2">
        <v>196</v>
      </c>
      <c r="C233" s="2">
        <v>1</v>
      </c>
      <c r="D233" s="2" t="s">
        <v>238</v>
      </c>
      <c r="E233" s="2">
        <v>708</v>
      </c>
      <c r="F233" s="2" t="s">
        <v>155</v>
      </c>
      <c r="G233" s="3">
        <v>0</v>
      </c>
      <c r="H233" s="32">
        <v>97</v>
      </c>
      <c r="I233" s="32">
        <v>85</v>
      </c>
      <c r="J233" s="32">
        <v>108</v>
      </c>
      <c r="K233" s="32">
        <v>99</v>
      </c>
      <c r="L233" s="32">
        <v>110</v>
      </c>
      <c r="M233" s="32">
        <v>105</v>
      </c>
      <c r="N233" s="32">
        <v>124</v>
      </c>
      <c r="O233" s="32">
        <v>95</v>
      </c>
      <c r="P233" s="32">
        <v>87</v>
      </c>
      <c r="Q233" s="32">
        <v>66</v>
      </c>
      <c r="R233" s="32">
        <v>103</v>
      </c>
      <c r="S233" s="32">
        <v>95</v>
      </c>
      <c r="T233" s="32">
        <v>110</v>
      </c>
      <c r="U233" s="32">
        <v>112</v>
      </c>
      <c r="V233" s="30">
        <v>0.91746031746031742</v>
      </c>
      <c r="W233" s="30">
        <v>0.8152866242038217</v>
      </c>
      <c r="X233" s="32">
        <v>53487.5</v>
      </c>
      <c r="Y233" s="32">
        <v>48395.200000000004</v>
      </c>
      <c r="Z233" s="32">
        <v>101882.70000000001</v>
      </c>
      <c r="AA233" s="3">
        <f t="shared" si="3"/>
        <v>97377.42</v>
      </c>
      <c r="AB233" s="3"/>
      <c r="AC233" s="3"/>
      <c r="AF233" s="3"/>
      <c r="AG233" s="3"/>
      <c r="AH233" s="3"/>
    </row>
    <row r="234" spans="1:34" x14ac:dyDescent="0.25">
      <c r="A234">
        <v>1960709</v>
      </c>
      <c r="B234" s="2">
        <v>196</v>
      </c>
      <c r="C234" s="2">
        <v>1</v>
      </c>
      <c r="D234" s="2" t="s">
        <v>238</v>
      </c>
      <c r="E234" s="2">
        <v>709</v>
      </c>
      <c r="F234" s="2" t="s">
        <v>242</v>
      </c>
      <c r="G234" s="3">
        <v>0</v>
      </c>
      <c r="H234" s="32">
        <v>126</v>
      </c>
      <c r="I234" s="32">
        <v>94</v>
      </c>
      <c r="J234" s="32">
        <v>129</v>
      </c>
      <c r="K234" s="32">
        <v>108</v>
      </c>
      <c r="L234" s="32">
        <v>139</v>
      </c>
      <c r="M234" s="32">
        <v>112</v>
      </c>
      <c r="N234" s="32">
        <v>125</v>
      </c>
      <c r="O234" s="32">
        <v>94</v>
      </c>
      <c r="P234" s="32">
        <v>120</v>
      </c>
      <c r="Q234" s="32">
        <v>106</v>
      </c>
      <c r="R234" s="32">
        <v>121</v>
      </c>
      <c r="S234" s="32">
        <v>97</v>
      </c>
      <c r="T234" s="32">
        <v>140</v>
      </c>
      <c r="U234" s="32">
        <v>134</v>
      </c>
      <c r="V234" s="30">
        <v>0.79695431472081213</v>
      </c>
      <c r="W234" s="30">
        <v>0.81147540983606559</v>
      </c>
      <c r="X234" s="32">
        <v>59134.6</v>
      </c>
      <c r="Y234" s="32">
        <v>57630.720000000001</v>
      </c>
      <c r="Z234" s="32">
        <v>116765.32</v>
      </c>
      <c r="AA234" s="3">
        <f t="shared" si="3"/>
        <v>111601.93</v>
      </c>
      <c r="AB234" s="3"/>
      <c r="AC234" s="3"/>
      <c r="AF234" s="3"/>
      <c r="AG234" s="3"/>
      <c r="AH234" s="3"/>
    </row>
    <row r="235" spans="1:34" x14ac:dyDescent="0.25">
      <c r="A235">
        <v>1960710</v>
      </c>
      <c r="B235" s="2">
        <v>196</v>
      </c>
      <c r="C235" s="2">
        <v>1</v>
      </c>
      <c r="D235" s="2" t="s">
        <v>238</v>
      </c>
      <c r="E235" s="2">
        <v>710</v>
      </c>
      <c r="F235" s="2" t="s">
        <v>243</v>
      </c>
      <c r="G235" s="3">
        <v>0</v>
      </c>
      <c r="H235" s="32">
        <v>122</v>
      </c>
      <c r="I235" s="32">
        <v>102</v>
      </c>
      <c r="J235" s="32">
        <v>131</v>
      </c>
      <c r="K235" s="32">
        <v>116</v>
      </c>
      <c r="L235" s="32">
        <v>131</v>
      </c>
      <c r="M235" s="32">
        <v>114</v>
      </c>
      <c r="N235" s="32">
        <v>108</v>
      </c>
      <c r="O235" s="32">
        <v>82</v>
      </c>
      <c r="P235" s="32">
        <v>118</v>
      </c>
      <c r="Q235" s="32">
        <v>84</v>
      </c>
      <c r="R235" s="32">
        <v>132</v>
      </c>
      <c r="S235" s="32">
        <v>99</v>
      </c>
      <c r="T235" s="32">
        <v>140</v>
      </c>
      <c r="U235" s="32">
        <v>140</v>
      </c>
      <c r="V235" s="30">
        <v>0.86458333333333337</v>
      </c>
      <c r="W235" s="30">
        <v>0.74022346368715086</v>
      </c>
      <c r="X235" s="32">
        <v>64152.200000000004</v>
      </c>
      <c r="Y235" s="32">
        <v>54924.799999999996</v>
      </c>
      <c r="Z235" s="32">
        <v>119077</v>
      </c>
      <c r="AA235" s="3">
        <f t="shared" si="3"/>
        <v>113811.39</v>
      </c>
      <c r="AB235" s="3"/>
      <c r="AC235" s="3"/>
      <c r="AF235" s="3"/>
      <c r="AG235" s="3"/>
      <c r="AH235" s="3"/>
    </row>
    <row r="236" spans="1:34" x14ac:dyDescent="0.25">
      <c r="A236">
        <v>1960711</v>
      </c>
      <c r="B236" s="2">
        <v>196</v>
      </c>
      <c r="C236" s="2">
        <v>1</v>
      </c>
      <c r="D236" s="2" t="s">
        <v>238</v>
      </c>
      <c r="E236" s="2">
        <v>711</v>
      </c>
      <c r="F236" s="2" t="s">
        <v>244</v>
      </c>
      <c r="G236" s="3">
        <v>0</v>
      </c>
      <c r="H236" s="32">
        <v>152</v>
      </c>
      <c r="I236" s="32">
        <v>129</v>
      </c>
      <c r="J236" s="32">
        <v>130</v>
      </c>
      <c r="K236" s="32">
        <v>118</v>
      </c>
      <c r="L236" s="32">
        <v>156</v>
      </c>
      <c r="M236" s="32">
        <v>132</v>
      </c>
      <c r="N236" s="32">
        <v>153</v>
      </c>
      <c r="O236" s="32">
        <v>118</v>
      </c>
      <c r="P236" s="32">
        <v>143</v>
      </c>
      <c r="Q236" s="32">
        <v>121</v>
      </c>
      <c r="R236" s="32">
        <v>121</v>
      </c>
      <c r="S236" s="32">
        <v>104</v>
      </c>
      <c r="T236" s="32">
        <v>162</v>
      </c>
      <c r="U236" s="32">
        <v>128</v>
      </c>
      <c r="V236" s="30">
        <v>0.86529680365296802</v>
      </c>
      <c r="W236" s="30">
        <v>0.82254196642685851</v>
      </c>
      <c r="X236" s="32">
        <v>74294.820000000007</v>
      </c>
      <c r="Y236" s="32">
        <v>55801.599999999999</v>
      </c>
      <c r="Z236" s="32">
        <v>130096.42000000001</v>
      </c>
      <c r="AA236" s="3">
        <f t="shared" si="3"/>
        <v>124343.53</v>
      </c>
      <c r="AB236" s="3"/>
      <c r="AC236" s="3"/>
      <c r="AF236" s="3"/>
      <c r="AG236" s="3"/>
      <c r="AH236" s="3"/>
    </row>
    <row r="237" spans="1:34" x14ac:dyDescent="0.25">
      <c r="A237">
        <v>1960712</v>
      </c>
      <c r="B237" s="2">
        <v>196</v>
      </c>
      <c r="C237" s="2">
        <v>1</v>
      </c>
      <c r="D237" s="2" t="s">
        <v>238</v>
      </c>
      <c r="E237" s="2">
        <v>712</v>
      </c>
      <c r="F237" s="2" t="s">
        <v>245</v>
      </c>
      <c r="G237" s="3">
        <v>0</v>
      </c>
      <c r="H237" s="32">
        <v>99</v>
      </c>
      <c r="I237" s="32">
        <v>78</v>
      </c>
      <c r="J237" s="32">
        <v>106</v>
      </c>
      <c r="K237" s="32">
        <v>89</v>
      </c>
      <c r="L237" s="32">
        <v>106</v>
      </c>
      <c r="M237" s="32">
        <v>82</v>
      </c>
      <c r="N237" s="32">
        <v>91</v>
      </c>
      <c r="O237" s="32">
        <v>67</v>
      </c>
      <c r="P237" s="32">
        <v>96</v>
      </c>
      <c r="Q237" s="32">
        <v>72</v>
      </c>
      <c r="R237" s="32">
        <v>99</v>
      </c>
      <c r="S237" s="32">
        <v>70</v>
      </c>
      <c r="T237" s="32">
        <v>103</v>
      </c>
      <c r="U237" s="32">
        <v>106</v>
      </c>
      <c r="V237" s="30">
        <v>0.80064308681672025</v>
      </c>
      <c r="W237" s="30">
        <v>0.73076923076923073</v>
      </c>
      <c r="X237" s="32">
        <v>43707.02</v>
      </c>
      <c r="Y237" s="32">
        <v>41054.86</v>
      </c>
      <c r="Z237" s="32">
        <v>84761.88</v>
      </c>
      <c r="AA237" s="3">
        <f t="shared" si="3"/>
        <v>81013.69</v>
      </c>
      <c r="AB237" s="3"/>
      <c r="AC237" s="3"/>
      <c r="AF237" s="3"/>
      <c r="AG237" s="3"/>
      <c r="AH237" s="3"/>
    </row>
    <row r="238" spans="1:34" x14ac:dyDescent="0.25">
      <c r="A238">
        <v>1960713</v>
      </c>
      <c r="B238" s="2">
        <v>196</v>
      </c>
      <c r="C238" s="2">
        <v>1</v>
      </c>
      <c r="D238" s="2" t="s">
        <v>238</v>
      </c>
      <c r="E238" s="2">
        <v>713</v>
      </c>
      <c r="F238" s="2" t="s">
        <v>246</v>
      </c>
      <c r="G238" s="3">
        <v>0</v>
      </c>
      <c r="H238" s="32">
        <v>71</v>
      </c>
      <c r="I238" s="32">
        <v>61</v>
      </c>
      <c r="J238" s="32">
        <v>58</v>
      </c>
      <c r="K238" s="32">
        <v>52</v>
      </c>
      <c r="L238" s="32">
        <v>78</v>
      </c>
      <c r="M238" s="32">
        <v>70</v>
      </c>
      <c r="N238" s="32">
        <v>81</v>
      </c>
      <c r="O238" s="32">
        <v>67</v>
      </c>
      <c r="P238" s="32">
        <v>66</v>
      </c>
      <c r="Q238" s="32">
        <v>61</v>
      </c>
      <c r="R238" s="32">
        <v>53</v>
      </c>
      <c r="S238" s="32">
        <v>42</v>
      </c>
      <c r="T238" s="32">
        <v>78</v>
      </c>
      <c r="U238" s="32">
        <v>55</v>
      </c>
      <c r="V238" s="30">
        <v>0.88405797101449279</v>
      </c>
      <c r="W238" s="30">
        <v>0.85</v>
      </c>
      <c r="X238" s="32">
        <v>36546.9</v>
      </c>
      <c r="Y238" s="32">
        <v>24777.5</v>
      </c>
      <c r="Z238" s="32">
        <v>61324.4</v>
      </c>
      <c r="AA238" s="3">
        <f t="shared" si="3"/>
        <v>58612.62</v>
      </c>
      <c r="AB238" s="3"/>
      <c r="AC238" s="3"/>
      <c r="AF238" s="3"/>
      <c r="AG238" s="3"/>
      <c r="AH238" s="3"/>
    </row>
    <row r="239" spans="1:34" x14ac:dyDescent="0.25">
      <c r="A239">
        <v>1960714</v>
      </c>
      <c r="B239" s="2">
        <v>196</v>
      </c>
      <c r="C239" s="2">
        <v>1</v>
      </c>
      <c r="D239" s="2" t="s">
        <v>238</v>
      </c>
      <c r="E239" s="2">
        <v>714</v>
      </c>
      <c r="F239" s="2" t="s">
        <v>247</v>
      </c>
      <c r="G239" s="3">
        <v>0</v>
      </c>
      <c r="H239" s="32">
        <v>120</v>
      </c>
      <c r="I239" s="32">
        <v>101</v>
      </c>
      <c r="J239" s="32">
        <v>125</v>
      </c>
      <c r="K239" s="32">
        <v>103</v>
      </c>
      <c r="L239" s="32">
        <v>96</v>
      </c>
      <c r="M239" s="32">
        <v>83</v>
      </c>
      <c r="N239" s="32">
        <v>121</v>
      </c>
      <c r="O239" s="32">
        <v>82</v>
      </c>
      <c r="P239" s="32">
        <v>115</v>
      </c>
      <c r="Q239" s="32">
        <v>93</v>
      </c>
      <c r="R239" s="32">
        <v>120</v>
      </c>
      <c r="S239" s="32">
        <v>93</v>
      </c>
      <c r="T239" s="32">
        <v>101</v>
      </c>
      <c r="U239" s="32">
        <v>130</v>
      </c>
      <c r="V239" s="30">
        <v>0.84164222873900296</v>
      </c>
      <c r="W239" s="30">
        <v>0.7528089887640449</v>
      </c>
      <c r="X239" s="32">
        <v>45053.07</v>
      </c>
      <c r="Y239" s="32">
        <v>51868.700000000004</v>
      </c>
      <c r="Z239" s="32">
        <v>96921.77</v>
      </c>
      <c r="AA239" s="3">
        <f t="shared" si="3"/>
        <v>92635.87</v>
      </c>
      <c r="AB239" s="3"/>
      <c r="AC239" s="3"/>
      <c r="AF239" s="3"/>
      <c r="AG239" s="3"/>
      <c r="AH239" s="3"/>
    </row>
    <row r="240" spans="1:34" x14ac:dyDescent="0.25">
      <c r="A240">
        <v>1960715</v>
      </c>
      <c r="B240" s="2">
        <v>196</v>
      </c>
      <c r="C240" s="2">
        <v>1</v>
      </c>
      <c r="D240" s="2" t="s">
        <v>238</v>
      </c>
      <c r="E240" s="2">
        <v>715</v>
      </c>
      <c r="F240" s="2" t="s">
        <v>87</v>
      </c>
      <c r="G240" s="3">
        <v>0</v>
      </c>
      <c r="H240" s="32">
        <v>104</v>
      </c>
      <c r="I240" s="32">
        <v>85</v>
      </c>
      <c r="J240" s="32">
        <v>100</v>
      </c>
      <c r="K240" s="32">
        <v>85</v>
      </c>
      <c r="L240" s="32">
        <v>102</v>
      </c>
      <c r="M240" s="32">
        <v>94</v>
      </c>
      <c r="N240" s="32">
        <v>97</v>
      </c>
      <c r="O240" s="32">
        <v>85</v>
      </c>
      <c r="P240" s="32">
        <v>100</v>
      </c>
      <c r="Q240" s="32">
        <v>93</v>
      </c>
      <c r="R240" s="32">
        <v>101</v>
      </c>
      <c r="S240" s="32">
        <v>85</v>
      </c>
      <c r="T240" s="32">
        <v>112</v>
      </c>
      <c r="U240" s="32">
        <v>106</v>
      </c>
      <c r="V240" s="30">
        <v>0.86274509803921573</v>
      </c>
      <c r="W240" s="30">
        <v>0.8825503355704698</v>
      </c>
      <c r="X240" s="32">
        <v>51212</v>
      </c>
      <c r="Y240" s="32">
        <v>49581.5</v>
      </c>
      <c r="Z240" s="32">
        <v>100793.5</v>
      </c>
      <c r="AA240" s="3">
        <f t="shared" si="3"/>
        <v>96336.39</v>
      </c>
      <c r="AB240" s="3"/>
      <c r="AC240" s="3"/>
      <c r="AF240" s="3"/>
      <c r="AG240" s="3"/>
      <c r="AH240" s="3"/>
    </row>
    <row r="241" spans="1:34" x14ac:dyDescent="0.25">
      <c r="A241">
        <v>1960716</v>
      </c>
      <c r="B241" s="2">
        <v>196</v>
      </c>
      <c r="C241" s="2">
        <v>1</v>
      </c>
      <c r="D241" s="2" t="s">
        <v>238</v>
      </c>
      <c r="E241" s="2">
        <v>716</v>
      </c>
      <c r="F241" s="2" t="s">
        <v>248</v>
      </c>
      <c r="G241" s="3">
        <v>0</v>
      </c>
      <c r="H241" s="32">
        <v>78</v>
      </c>
      <c r="I241" s="32">
        <v>61</v>
      </c>
      <c r="J241" s="32">
        <v>88</v>
      </c>
      <c r="K241" s="32">
        <v>79</v>
      </c>
      <c r="L241" s="32">
        <v>107</v>
      </c>
      <c r="M241" s="32">
        <v>99</v>
      </c>
      <c r="N241" s="32">
        <v>76</v>
      </c>
      <c r="O241" s="32">
        <v>69</v>
      </c>
      <c r="P241" s="32">
        <v>74</v>
      </c>
      <c r="Q241" s="32">
        <v>71</v>
      </c>
      <c r="R241" s="32">
        <v>86</v>
      </c>
      <c r="S241" s="32">
        <v>74</v>
      </c>
      <c r="T241" s="32">
        <v>107</v>
      </c>
      <c r="U241" s="32">
        <v>92</v>
      </c>
      <c r="V241" s="30">
        <v>0.87545787545787546</v>
      </c>
      <c r="W241" s="30">
        <v>0.90677966101694918</v>
      </c>
      <c r="X241" s="32">
        <v>49646.93</v>
      </c>
      <c r="Y241" s="32">
        <v>44214.28</v>
      </c>
      <c r="Z241" s="32">
        <v>93861.209999999992</v>
      </c>
      <c r="AA241" s="3">
        <f t="shared" si="3"/>
        <v>89710.64</v>
      </c>
      <c r="AB241" s="3"/>
      <c r="AC241" s="3"/>
      <c r="AF241" s="3"/>
      <c r="AG241" s="3"/>
      <c r="AH241" s="3"/>
    </row>
    <row r="242" spans="1:34" x14ac:dyDescent="0.25">
      <c r="A242">
        <v>1960717</v>
      </c>
      <c r="B242">
        <v>196</v>
      </c>
      <c r="C242" s="2">
        <v>1</v>
      </c>
      <c r="D242" s="2" t="s">
        <v>238</v>
      </c>
      <c r="E242">
        <v>717</v>
      </c>
      <c r="F242" s="2" t="s">
        <v>249</v>
      </c>
      <c r="G242" s="3">
        <v>0</v>
      </c>
      <c r="H242" s="32">
        <v>92</v>
      </c>
      <c r="I242" s="32">
        <v>78</v>
      </c>
      <c r="J242" s="32">
        <v>81</v>
      </c>
      <c r="K242" s="32">
        <v>72</v>
      </c>
      <c r="L242" s="32">
        <v>79</v>
      </c>
      <c r="M242" s="32">
        <v>65</v>
      </c>
      <c r="N242" s="32">
        <v>89</v>
      </c>
      <c r="O242" s="32">
        <v>68</v>
      </c>
      <c r="P242" s="32">
        <v>85</v>
      </c>
      <c r="Q242" s="32">
        <v>70</v>
      </c>
      <c r="R242" s="32">
        <v>75</v>
      </c>
      <c r="S242" s="32">
        <v>63</v>
      </c>
      <c r="T242" s="32">
        <v>79</v>
      </c>
      <c r="U242" s="32">
        <v>82</v>
      </c>
      <c r="V242" s="30">
        <v>0.85317460317460314</v>
      </c>
      <c r="W242" s="30">
        <v>0.80722891566265065</v>
      </c>
      <c r="X242" s="32">
        <v>35722.22</v>
      </c>
      <c r="Y242" s="32">
        <v>35082.06</v>
      </c>
      <c r="Z242" s="32">
        <v>70804.28</v>
      </c>
      <c r="AA242" s="3">
        <f t="shared" si="3"/>
        <v>67673.3</v>
      </c>
      <c r="AB242" s="3"/>
      <c r="AC242" s="3"/>
      <c r="AF242" s="3"/>
      <c r="AG242" s="3"/>
      <c r="AH242" s="3"/>
    </row>
    <row r="243" spans="1:34" x14ac:dyDescent="0.25">
      <c r="A243">
        <v>1960718</v>
      </c>
      <c r="B243" s="2">
        <v>196</v>
      </c>
      <c r="C243" s="2">
        <v>1</v>
      </c>
      <c r="D243" s="2" t="s">
        <v>238</v>
      </c>
      <c r="E243" s="2">
        <v>718</v>
      </c>
      <c r="F243" s="2" t="s">
        <v>250</v>
      </c>
      <c r="G243" s="3">
        <v>0</v>
      </c>
      <c r="H243" s="32">
        <v>124</v>
      </c>
      <c r="I243" s="32">
        <v>115</v>
      </c>
      <c r="J243" s="32">
        <v>101</v>
      </c>
      <c r="K243" s="32">
        <v>93</v>
      </c>
      <c r="L243" s="32">
        <v>117</v>
      </c>
      <c r="M243" s="32">
        <v>103</v>
      </c>
      <c r="N243" s="32">
        <v>118</v>
      </c>
      <c r="O243" s="32">
        <v>96</v>
      </c>
      <c r="P243" s="32">
        <v>124</v>
      </c>
      <c r="Q243" s="32">
        <v>111</v>
      </c>
      <c r="R243" s="32">
        <v>98</v>
      </c>
      <c r="S243" s="32">
        <v>80</v>
      </c>
      <c r="T243" s="32">
        <v>117</v>
      </c>
      <c r="U243" s="32">
        <v>105</v>
      </c>
      <c r="V243" s="30">
        <v>0.90935672514619881</v>
      </c>
      <c r="W243" s="30">
        <v>0.84411764705882353</v>
      </c>
      <c r="X243" s="32">
        <v>56389.32</v>
      </c>
      <c r="Y243" s="32">
        <v>46974.9</v>
      </c>
      <c r="Z243" s="32">
        <v>103364.22</v>
      </c>
      <c r="AA243" s="3">
        <f t="shared" si="3"/>
        <v>98793.43</v>
      </c>
      <c r="AB243" s="3"/>
      <c r="AC243" s="3"/>
      <c r="AF243" s="3"/>
      <c r="AG243" s="3"/>
      <c r="AH243" s="3"/>
    </row>
    <row r="244" spans="1:34" x14ac:dyDescent="0.25">
      <c r="A244">
        <v>1960719</v>
      </c>
      <c r="B244" s="2">
        <v>196</v>
      </c>
      <c r="C244" s="2">
        <v>1</v>
      </c>
      <c r="D244" s="2" t="s">
        <v>238</v>
      </c>
      <c r="E244" s="2">
        <v>719</v>
      </c>
      <c r="F244" s="2" t="s">
        <v>251</v>
      </c>
      <c r="G244" s="3">
        <v>0</v>
      </c>
      <c r="H244" s="32">
        <v>132</v>
      </c>
      <c r="I244" s="32">
        <v>109</v>
      </c>
      <c r="J244" s="32">
        <v>117</v>
      </c>
      <c r="K244" s="32">
        <v>106</v>
      </c>
      <c r="L244" s="32">
        <v>127</v>
      </c>
      <c r="M244" s="32">
        <v>115</v>
      </c>
      <c r="N244" s="32">
        <v>123</v>
      </c>
      <c r="O244" s="32">
        <v>101</v>
      </c>
      <c r="P244" s="32">
        <v>127</v>
      </c>
      <c r="Q244" s="32">
        <v>117</v>
      </c>
      <c r="R244" s="32">
        <v>118</v>
      </c>
      <c r="S244" s="32">
        <v>113</v>
      </c>
      <c r="T244" s="32">
        <v>129</v>
      </c>
      <c r="U244" s="32">
        <v>127</v>
      </c>
      <c r="V244" s="30">
        <v>0.87765957446808507</v>
      </c>
      <c r="W244" s="30">
        <v>0.89945652173913049</v>
      </c>
      <c r="X244" s="32">
        <v>60005.640000000007</v>
      </c>
      <c r="Y244" s="32">
        <v>60542.17</v>
      </c>
      <c r="Z244" s="32">
        <v>120547.81</v>
      </c>
      <c r="AA244" s="3">
        <f t="shared" si="3"/>
        <v>115217.16</v>
      </c>
      <c r="AB244" s="3"/>
      <c r="AC244" s="3"/>
      <c r="AF244" s="3"/>
      <c r="AG244" s="3"/>
      <c r="AH244" s="3"/>
    </row>
    <row r="245" spans="1:34" x14ac:dyDescent="0.25">
      <c r="A245">
        <v>1960720</v>
      </c>
      <c r="B245" s="2">
        <v>196</v>
      </c>
      <c r="C245" s="2">
        <v>1</v>
      </c>
      <c r="D245" s="2" t="s">
        <v>238</v>
      </c>
      <c r="E245" s="2">
        <v>720</v>
      </c>
      <c r="F245" s="2" t="s">
        <v>252</v>
      </c>
      <c r="G245" s="3">
        <v>0</v>
      </c>
      <c r="H245" s="32">
        <v>99</v>
      </c>
      <c r="I245" s="32">
        <v>82</v>
      </c>
      <c r="J245" s="32">
        <v>98</v>
      </c>
      <c r="K245" s="32">
        <v>82</v>
      </c>
      <c r="L245" s="32">
        <v>99</v>
      </c>
      <c r="M245" s="32">
        <v>75</v>
      </c>
      <c r="N245" s="32">
        <v>97</v>
      </c>
      <c r="O245" s="32">
        <v>77</v>
      </c>
      <c r="P245" s="32">
        <v>93</v>
      </c>
      <c r="Q245" s="32">
        <v>85</v>
      </c>
      <c r="R245" s="32">
        <v>97</v>
      </c>
      <c r="S245" s="32">
        <v>80</v>
      </c>
      <c r="T245" s="32">
        <v>98</v>
      </c>
      <c r="U245" s="32">
        <v>102</v>
      </c>
      <c r="V245" s="30">
        <v>0.80743243243243246</v>
      </c>
      <c r="W245" s="30">
        <v>0.84320557491289194</v>
      </c>
      <c r="X245" s="32">
        <v>41938.120000000003</v>
      </c>
      <c r="Y245" s="32">
        <v>45583.799999999996</v>
      </c>
      <c r="Z245" s="32">
        <v>87521.919999999998</v>
      </c>
      <c r="AA245" s="3">
        <f t="shared" si="3"/>
        <v>83651.679999999993</v>
      </c>
      <c r="AB245" s="3"/>
      <c r="AC245" s="3"/>
      <c r="AF245" s="3"/>
      <c r="AG245" s="3"/>
      <c r="AH245" s="3"/>
    </row>
    <row r="246" spans="1:34" x14ac:dyDescent="0.25">
      <c r="A246">
        <v>1960764</v>
      </c>
      <c r="B246" s="2">
        <v>196</v>
      </c>
      <c r="C246" s="2">
        <v>1</v>
      </c>
      <c r="D246" s="2" t="s">
        <v>238</v>
      </c>
      <c r="E246" s="2">
        <v>764</v>
      </c>
      <c r="F246" s="2" t="s">
        <v>253</v>
      </c>
      <c r="G246" s="3">
        <v>0</v>
      </c>
      <c r="H246" s="32">
        <v>92</v>
      </c>
      <c r="I246" s="32">
        <v>79</v>
      </c>
      <c r="J246" s="32">
        <v>71</v>
      </c>
      <c r="K246" s="32">
        <v>64</v>
      </c>
      <c r="L246" s="32">
        <v>116</v>
      </c>
      <c r="M246" s="32">
        <v>102</v>
      </c>
      <c r="N246" s="32">
        <v>72</v>
      </c>
      <c r="O246" s="32">
        <v>51</v>
      </c>
      <c r="P246" s="32">
        <v>79</v>
      </c>
      <c r="Q246" s="32">
        <v>74</v>
      </c>
      <c r="R246" s="32">
        <v>67</v>
      </c>
      <c r="S246" s="32">
        <v>61</v>
      </c>
      <c r="T246" s="32">
        <v>120</v>
      </c>
      <c r="U246" s="32">
        <v>83</v>
      </c>
      <c r="V246" s="30">
        <v>0.87813620071684584</v>
      </c>
      <c r="W246" s="30">
        <v>0.85321100917431192</v>
      </c>
      <c r="X246" s="32">
        <v>55849.200000000004</v>
      </c>
      <c r="Y246" s="32">
        <v>37532.6</v>
      </c>
      <c r="Z246" s="32">
        <v>93381.8</v>
      </c>
      <c r="AA246" s="3">
        <f t="shared" si="3"/>
        <v>89252.43</v>
      </c>
      <c r="AB246" s="3"/>
      <c r="AC246" s="3"/>
      <c r="AF246" s="3"/>
      <c r="AG246" s="3"/>
      <c r="AH246" s="3"/>
    </row>
    <row r="247" spans="1:34" x14ac:dyDescent="0.25">
      <c r="A247">
        <v>1960765</v>
      </c>
      <c r="B247" s="2">
        <v>196</v>
      </c>
      <c r="C247" s="2">
        <v>1</v>
      </c>
      <c r="D247" s="2" t="s">
        <v>238</v>
      </c>
      <c r="E247" s="2">
        <v>765</v>
      </c>
      <c r="F247" s="2" t="s">
        <v>254</v>
      </c>
      <c r="G247" s="3">
        <v>0</v>
      </c>
      <c r="H247" s="32">
        <v>146</v>
      </c>
      <c r="I247" s="32">
        <v>126</v>
      </c>
      <c r="J247" s="32">
        <v>141</v>
      </c>
      <c r="K247" s="32">
        <v>120</v>
      </c>
      <c r="L247" s="32">
        <v>171</v>
      </c>
      <c r="M247" s="32">
        <v>153</v>
      </c>
      <c r="N247" s="32">
        <v>176</v>
      </c>
      <c r="O247" s="32">
        <v>141</v>
      </c>
      <c r="P247" s="32">
        <v>143</v>
      </c>
      <c r="Q247" s="32">
        <v>132</v>
      </c>
      <c r="R247" s="32">
        <v>136</v>
      </c>
      <c r="S247" s="32">
        <v>110</v>
      </c>
      <c r="T247" s="32">
        <v>167</v>
      </c>
      <c r="U247" s="32">
        <v>143</v>
      </c>
      <c r="V247" s="30">
        <v>0.87117903930131002</v>
      </c>
      <c r="W247" s="30">
        <v>0.84175824175824177</v>
      </c>
      <c r="X247" s="32">
        <v>77107.240000000005</v>
      </c>
      <c r="Y247" s="32">
        <v>63796.59</v>
      </c>
      <c r="Z247" s="32">
        <v>140903.83000000002</v>
      </c>
      <c r="AA247" s="3">
        <f t="shared" si="3"/>
        <v>134673.03</v>
      </c>
      <c r="AB247" s="3"/>
      <c r="AC247" s="3"/>
      <c r="AF247" s="3"/>
      <c r="AG247" s="3"/>
      <c r="AH247" s="3"/>
    </row>
    <row r="248" spans="1:34" x14ac:dyDescent="0.25">
      <c r="A248">
        <v>1970815</v>
      </c>
      <c r="B248" s="2">
        <v>197</v>
      </c>
      <c r="C248" s="2">
        <v>1</v>
      </c>
      <c r="D248" s="2" t="s">
        <v>255</v>
      </c>
      <c r="E248" s="2">
        <v>815</v>
      </c>
      <c r="F248" s="2" t="s">
        <v>256</v>
      </c>
      <c r="G248" s="3">
        <v>0</v>
      </c>
      <c r="H248" s="32">
        <v>63</v>
      </c>
      <c r="I248" s="32">
        <v>46</v>
      </c>
      <c r="J248" s="32">
        <v>55</v>
      </c>
      <c r="K248" s="32">
        <v>37</v>
      </c>
      <c r="L248" s="32">
        <v>80</v>
      </c>
      <c r="M248" s="32">
        <v>45</v>
      </c>
      <c r="N248" s="32">
        <v>59</v>
      </c>
      <c r="O248" s="32">
        <v>37</v>
      </c>
      <c r="P248" s="32">
        <v>63</v>
      </c>
      <c r="Q248" s="32">
        <v>55</v>
      </c>
      <c r="R248" s="32">
        <v>55</v>
      </c>
      <c r="S248" s="32">
        <v>46</v>
      </c>
      <c r="T248" s="32">
        <v>77</v>
      </c>
      <c r="U248" s="32">
        <v>60</v>
      </c>
      <c r="V248" s="30">
        <v>0.64646464646464652</v>
      </c>
      <c r="W248" s="30">
        <v>0.77966101694915257</v>
      </c>
      <c r="X248" s="32">
        <v>26382.51</v>
      </c>
      <c r="Y248" s="32">
        <v>24793.200000000001</v>
      </c>
      <c r="Z248" s="32">
        <v>51175.71</v>
      </c>
      <c r="AA248" s="3">
        <f t="shared" si="3"/>
        <v>48912.71</v>
      </c>
      <c r="AB248" s="3"/>
      <c r="AC248" s="3"/>
      <c r="AF248" s="3"/>
      <c r="AG248" s="3"/>
      <c r="AH248" s="3"/>
    </row>
    <row r="249" spans="1:34" x14ac:dyDescent="0.25">
      <c r="A249">
        <v>1970816</v>
      </c>
      <c r="B249" s="2">
        <v>197</v>
      </c>
      <c r="C249" s="2">
        <v>1</v>
      </c>
      <c r="D249" s="2" t="s">
        <v>255</v>
      </c>
      <c r="E249" s="2">
        <v>816</v>
      </c>
      <c r="F249" s="2" t="s">
        <v>257</v>
      </c>
      <c r="G249" s="3">
        <v>0</v>
      </c>
      <c r="H249" s="32">
        <v>66</v>
      </c>
      <c r="I249" s="32">
        <v>60</v>
      </c>
      <c r="J249" s="32">
        <v>61</v>
      </c>
      <c r="K249" s="32">
        <v>53</v>
      </c>
      <c r="L249" s="32">
        <v>47</v>
      </c>
      <c r="M249" s="32">
        <v>42</v>
      </c>
      <c r="N249" s="32">
        <v>63</v>
      </c>
      <c r="O249" s="32">
        <v>43</v>
      </c>
      <c r="P249" s="32">
        <v>65</v>
      </c>
      <c r="Q249" s="32">
        <v>59</v>
      </c>
      <c r="R249" s="32">
        <v>59</v>
      </c>
      <c r="S249" s="32">
        <v>49</v>
      </c>
      <c r="T249" s="32">
        <v>50</v>
      </c>
      <c r="U249" s="32">
        <v>64</v>
      </c>
      <c r="V249" s="30">
        <v>0.89080459770114939</v>
      </c>
      <c r="W249" s="30">
        <v>0.80748663101604279</v>
      </c>
      <c r="X249" s="32">
        <v>23606.5</v>
      </c>
      <c r="Y249" s="32">
        <v>27390.080000000002</v>
      </c>
      <c r="Z249" s="32">
        <v>50996.58</v>
      </c>
      <c r="AA249" s="3">
        <f t="shared" si="3"/>
        <v>48741.5</v>
      </c>
      <c r="AB249" s="3"/>
      <c r="AC249" s="3"/>
      <c r="AF249" s="3"/>
      <c r="AG249" s="3"/>
      <c r="AH249" s="3"/>
    </row>
    <row r="250" spans="1:34" x14ac:dyDescent="0.25">
      <c r="A250">
        <v>1970817</v>
      </c>
      <c r="B250" s="2">
        <v>197</v>
      </c>
      <c r="C250" s="2">
        <v>1</v>
      </c>
      <c r="D250" s="2" t="s">
        <v>255</v>
      </c>
      <c r="E250" s="2">
        <v>817</v>
      </c>
      <c r="F250" s="2" t="s">
        <v>258</v>
      </c>
      <c r="G250" s="3">
        <v>0</v>
      </c>
      <c r="H250" s="32">
        <v>66</v>
      </c>
      <c r="I250" s="32">
        <v>39</v>
      </c>
      <c r="J250" s="32">
        <v>77</v>
      </c>
      <c r="K250" s="32">
        <v>42</v>
      </c>
      <c r="L250" s="32">
        <v>86</v>
      </c>
      <c r="M250" s="32">
        <v>51</v>
      </c>
      <c r="N250" s="32">
        <v>57</v>
      </c>
      <c r="O250" s="32">
        <v>34</v>
      </c>
      <c r="P250" s="32">
        <v>60</v>
      </c>
      <c r="Q250" s="32">
        <v>45</v>
      </c>
      <c r="R250" s="32">
        <v>71</v>
      </c>
      <c r="S250" s="32">
        <v>56</v>
      </c>
      <c r="T250" s="32">
        <v>87</v>
      </c>
      <c r="U250" s="32">
        <v>81</v>
      </c>
      <c r="V250" s="30">
        <v>0.57641921397379914</v>
      </c>
      <c r="W250" s="30">
        <v>0.71808510638297873</v>
      </c>
      <c r="X250" s="32">
        <v>26578.5</v>
      </c>
      <c r="Y250" s="32">
        <v>30827.789999999997</v>
      </c>
      <c r="Z250" s="32">
        <v>57406.289999999994</v>
      </c>
      <c r="AA250" s="3">
        <f t="shared" si="3"/>
        <v>54867.77</v>
      </c>
      <c r="AB250" s="3"/>
      <c r="AC250" s="3"/>
      <c r="AF250" s="3"/>
      <c r="AG250" s="3"/>
      <c r="AH250" s="3"/>
    </row>
    <row r="251" spans="1:34" x14ac:dyDescent="0.25">
      <c r="A251">
        <v>1970819</v>
      </c>
      <c r="B251" s="2">
        <v>197</v>
      </c>
      <c r="C251" s="2">
        <v>1</v>
      </c>
      <c r="D251" s="2" t="s">
        <v>255</v>
      </c>
      <c r="E251" s="2">
        <v>819</v>
      </c>
      <c r="F251" s="2" t="s">
        <v>259</v>
      </c>
      <c r="G251" s="3">
        <v>0</v>
      </c>
      <c r="H251" s="32">
        <v>71</v>
      </c>
      <c r="I251" s="32">
        <v>67</v>
      </c>
      <c r="J251" s="32">
        <v>79</v>
      </c>
      <c r="K251" s="32">
        <v>75</v>
      </c>
      <c r="L251" s="32">
        <v>73</v>
      </c>
      <c r="M251" s="32">
        <v>71</v>
      </c>
      <c r="N251" s="32">
        <v>68</v>
      </c>
      <c r="O251" s="32">
        <v>50</v>
      </c>
      <c r="P251" s="32">
        <v>66</v>
      </c>
      <c r="Q251" s="32">
        <v>53</v>
      </c>
      <c r="R251" s="32">
        <v>76</v>
      </c>
      <c r="S251" s="32">
        <v>67</v>
      </c>
      <c r="T251" s="32">
        <v>74</v>
      </c>
      <c r="U251" s="32">
        <v>81</v>
      </c>
      <c r="V251" s="30">
        <v>0.95515695067264572</v>
      </c>
      <c r="W251" s="30">
        <v>0.80952380952380953</v>
      </c>
      <c r="X251" s="32">
        <v>37461.020000000004</v>
      </c>
      <c r="Y251" s="32">
        <v>34753.050000000003</v>
      </c>
      <c r="Z251" s="32">
        <v>72214.070000000007</v>
      </c>
      <c r="AA251" s="3">
        <f t="shared" si="3"/>
        <v>69020.75</v>
      </c>
      <c r="AB251" s="3"/>
      <c r="AC251" s="3"/>
      <c r="AF251" s="3"/>
      <c r="AG251" s="3"/>
      <c r="AH251" s="3"/>
    </row>
    <row r="252" spans="1:34" x14ac:dyDescent="0.25">
      <c r="A252">
        <v>1970820</v>
      </c>
      <c r="B252" s="2">
        <v>197</v>
      </c>
      <c r="C252" s="2">
        <v>1</v>
      </c>
      <c r="D252" s="2" t="s">
        <v>255</v>
      </c>
      <c r="E252" s="2">
        <v>820</v>
      </c>
      <c r="F252" s="2" t="s">
        <v>260</v>
      </c>
      <c r="G252" s="3">
        <v>0</v>
      </c>
      <c r="H252" s="32">
        <v>45</v>
      </c>
      <c r="I252" s="32">
        <v>33</v>
      </c>
      <c r="J252" s="32">
        <v>56</v>
      </c>
      <c r="K252" s="32">
        <v>48</v>
      </c>
      <c r="L252" s="32">
        <v>46</v>
      </c>
      <c r="M252" s="32">
        <v>38</v>
      </c>
      <c r="N252" s="32">
        <v>49</v>
      </c>
      <c r="O252" s="32">
        <v>41</v>
      </c>
      <c r="P252" s="32">
        <v>43</v>
      </c>
      <c r="Q252" s="32">
        <v>34</v>
      </c>
      <c r="R252" s="32">
        <v>55</v>
      </c>
      <c r="S252" s="32">
        <v>37</v>
      </c>
      <c r="T252" s="32">
        <v>52</v>
      </c>
      <c r="U252" s="32">
        <v>58</v>
      </c>
      <c r="V252" s="30">
        <v>0.80952380952380953</v>
      </c>
      <c r="W252" s="30">
        <v>0.76190476190476186</v>
      </c>
      <c r="X252" s="32">
        <v>22310.600000000002</v>
      </c>
      <c r="Y252" s="32">
        <v>23420.98</v>
      </c>
      <c r="Z252" s="32">
        <v>45731.58</v>
      </c>
      <c r="AA252" s="3">
        <f t="shared" si="3"/>
        <v>43709.32</v>
      </c>
      <c r="AB252" s="3"/>
      <c r="AC252" s="3"/>
      <c r="AF252" s="3"/>
      <c r="AG252" s="3"/>
      <c r="AH252" s="3"/>
    </row>
    <row r="253" spans="1:34" x14ac:dyDescent="0.25">
      <c r="A253">
        <v>1990574</v>
      </c>
      <c r="B253" s="2">
        <v>199</v>
      </c>
      <c r="C253" s="2">
        <v>1</v>
      </c>
      <c r="D253" s="2" t="s">
        <v>261</v>
      </c>
      <c r="E253" s="2">
        <v>574</v>
      </c>
      <c r="F253" s="2" t="s">
        <v>262</v>
      </c>
      <c r="G253" s="3">
        <v>0</v>
      </c>
      <c r="H253" s="32">
        <v>38</v>
      </c>
      <c r="I253" s="32">
        <v>37</v>
      </c>
      <c r="J253" s="32">
        <v>26</v>
      </c>
      <c r="K253" s="32">
        <v>26</v>
      </c>
      <c r="L253" s="32">
        <v>32</v>
      </c>
      <c r="M253" s="32">
        <v>32</v>
      </c>
      <c r="N253" s="32">
        <v>32</v>
      </c>
      <c r="O253" s="32">
        <v>29</v>
      </c>
      <c r="P253" s="32">
        <v>33</v>
      </c>
      <c r="Q253" s="32">
        <v>32</v>
      </c>
      <c r="R253" s="32">
        <v>25</v>
      </c>
      <c r="S253" s="32">
        <v>22</v>
      </c>
      <c r="T253" s="32">
        <v>32</v>
      </c>
      <c r="U253" s="32">
        <v>27</v>
      </c>
      <c r="V253" s="30">
        <v>0.98958333333333337</v>
      </c>
      <c r="W253" s="30">
        <v>0.92222222222222228</v>
      </c>
      <c r="X253" s="32">
        <v>16783.36</v>
      </c>
      <c r="Y253" s="32">
        <v>13197.06</v>
      </c>
      <c r="Z253" s="32">
        <v>29980.42</v>
      </c>
      <c r="AA253" s="3">
        <f t="shared" si="3"/>
        <v>28654.68</v>
      </c>
      <c r="AB253" s="3"/>
      <c r="AC253" s="3"/>
      <c r="AF253" s="3"/>
      <c r="AG253" s="3"/>
      <c r="AH253" s="3"/>
    </row>
    <row r="254" spans="1:34" x14ac:dyDescent="0.25">
      <c r="A254">
        <v>1990575</v>
      </c>
      <c r="B254" s="2">
        <v>199</v>
      </c>
      <c r="C254" s="2">
        <v>1</v>
      </c>
      <c r="D254" s="2" t="s">
        <v>261</v>
      </c>
      <c r="E254" s="2">
        <v>575</v>
      </c>
      <c r="F254" s="2" t="s">
        <v>263</v>
      </c>
      <c r="G254" s="3">
        <v>0</v>
      </c>
      <c r="H254" s="32">
        <v>105</v>
      </c>
      <c r="I254" s="32">
        <v>75</v>
      </c>
      <c r="J254" s="32">
        <v>111</v>
      </c>
      <c r="K254" s="32">
        <v>83</v>
      </c>
      <c r="L254" s="32">
        <v>101</v>
      </c>
      <c r="M254" s="32">
        <v>85</v>
      </c>
      <c r="N254" s="32">
        <v>103</v>
      </c>
      <c r="O254" s="32">
        <v>79</v>
      </c>
      <c r="P254" s="32">
        <v>95</v>
      </c>
      <c r="Q254" s="32">
        <v>79</v>
      </c>
      <c r="R254" s="32">
        <v>110</v>
      </c>
      <c r="S254" s="32">
        <v>86</v>
      </c>
      <c r="T254" s="32">
        <v>112</v>
      </c>
      <c r="U254" s="32">
        <v>123</v>
      </c>
      <c r="V254" s="30">
        <v>0.7665615141955836</v>
      </c>
      <c r="W254" s="30">
        <v>0.79220779220779225</v>
      </c>
      <c r="X254" s="32">
        <v>45503.360000000001</v>
      </c>
      <c r="Y254" s="32">
        <v>51644.01</v>
      </c>
      <c r="Z254" s="32">
        <v>97147.37</v>
      </c>
      <c r="AA254" s="3">
        <f t="shared" si="3"/>
        <v>92851.49</v>
      </c>
      <c r="AB254" s="3"/>
      <c r="AC254" s="3"/>
      <c r="AF254" s="3"/>
      <c r="AG254" s="3"/>
      <c r="AH254" s="3"/>
    </row>
    <row r="255" spans="1:34" x14ac:dyDescent="0.25">
      <c r="A255">
        <v>1990577</v>
      </c>
      <c r="B255" s="2">
        <v>199</v>
      </c>
      <c r="C255" s="2">
        <v>1</v>
      </c>
      <c r="D255" s="2" t="s">
        <v>261</v>
      </c>
      <c r="E255" s="2">
        <v>577</v>
      </c>
      <c r="F255" s="2" t="s">
        <v>264</v>
      </c>
      <c r="G255" s="3">
        <v>0</v>
      </c>
      <c r="H255" s="32">
        <v>78</v>
      </c>
      <c r="I255" s="32">
        <v>54</v>
      </c>
      <c r="J255" s="32">
        <v>91</v>
      </c>
      <c r="K255" s="32">
        <v>78</v>
      </c>
      <c r="L255" s="32">
        <v>89</v>
      </c>
      <c r="M255" s="32">
        <v>71</v>
      </c>
      <c r="N255" s="32">
        <v>89</v>
      </c>
      <c r="O255" s="32">
        <v>71</v>
      </c>
      <c r="P255" s="32">
        <v>79</v>
      </c>
      <c r="Q255" s="32">
        <v>69</v>
      </c>
      <c r="R255" s="32">
        <v>86</v>
      </c>
      <c r="S255" s="32">
        <v>75</v>
      </c>
      <c r="T255" s="32">
        <v>91</v>
      </c>
      <c r="U255" s="32">
        <v>92</v>
      </c>
      <c r="V255" s="30">
        <v>0.78682170542635654</v>
      </c>
      <c r="W255" s="30">
        <v>0.84645669291338588</v>
      </c>
      <c r="X255" s="32">
        <v>37948.82</v>
      </c>
      <c r="Y255" s="32">
        <v>41273.040000000001</v>
      </c>
      <c r="Z255" s="32">
        <v>79221.86</v>
      </c>
      <c r="AA255" s="3">
        <f t="shared" si="3"/>
        <v>75718.649999999994</v>
      </c>
      <c r="AB255" s="3"/>
      <c r="AC255" s="3"/>
      <c r="AF255" s="3"/>
      <c r="AG255" s="3"/>
      <c r="AH255" s="3"/>
    </row>
    <row r="256" spans="1:34" x14ac:dyDescent="0.25">
      <c r="A256">
        <v>1990578</v>
      </c>
      <c r="B256" s="2">
        <v>199</v>
      </c>
      <c r="C256" s="2">
        <v>1</v>
      </c>
      <c r="D256" s="2" t="s">
        <v>261</v>
      </c>
      <c r="E256" s="2">
        <v>578</v>
      </c>
      <c r="F256" s="2" t="s">
        <v>265</v>
      </c>
      <c r="G256" s="3">
        <v>0</v>
      </c>
      <c r="H256" s="32">
        <v>56</v>
      </c>
      <c r="I256" s="32">
        <v>34</v>
      </c>
      <c r="J256" s="32">
        <v>57</v>
      </c>
      <c r="K256" s="32">
        <v>43</v>
      </c>
      <c r="L256" s="32">
        <v>53</v>
      </c>
      <c r="M256" s="32">
        <v>35</v>
      </c>
      <c r="N256" s="32">
        <v>51</v>
      </c>
      <c r="O256" s="32">
        <v>40</v>
      </c>
      <c r="P256" s="32">
        <v>48</v>
      </c>
      <c r="Q256" s="32">
        <v>40</v>
      </c>
      <c r="R256" s="32">
        <v>43</v>
      </c>
      <c r="S256" s="32">
        <v>39</v>
      </c>
      <c r="T256" s="32">
        <v>54</v>
      </c>
      <c r="U256" s="32">
        <v>50</v>
      </c>
      <c r="V256" s="30">
        <v>0.67469879518072284</v>
      </c>
      <c r="W256" s="30">
        <v>0.8380281690140845</v>
      </c>
      <c r="X256" s="32">
        <v>19309.859999999997</v>
      </c>
      <c r="Y256" s="32">
        <v>22207.5</v>
      </c>
      <c r="Z256" s="32">
        <v>41517.360000000001</v>
      </c>
      <c r="AA256" s="3">
        <f t="shared" si="3"/>
        <v>39681.449999999997</v>
      </c>
      <c r="AB256" s="3"/>
      <c r="AC256" s="3"/>
      <c r="AF256" s="3"/>
      <c r="AG256" s="3"/>
      <c r="AH256" s="3"/>
    </row>
    <row r="257" spans="1:34" x14ac:dyDescent="0.25">
      <c r="A257">
        <v>2000609</v>
      </c>
      <c r="B257" s="2">
        <v>200</v>
      </c>
      <c r="C257" s="2">
        <v>1</v>
      </c>
      <c r="D257" s="2" t="s">
        <v>266</v>
      </c>
      <c r="E257" s="2">
        <v>609</v>
      </c>
      <c r="F257" s="2" t="s">
        <v>131</v>
      </c>
      <c r="G257" s="3">
        <v>0</v>
      </c>
      <c r="H257" s="32">
        <v>97</v>
      </c>
      <c r="I257" s="32">
        <v>71</v>
      </c>
      <c r="J257" s="32">
        <v>92</v>
      </c>
      <c r="K257" s="32">
        <v>74</v>
      </c>
      <c r="L257" s="32">
        <v>101</v>
      </c>
      <c r="M257" s="32">
        <v>87</v>
      </c>
      <c r="N257" s="32">
        <v>97</v>
      </c>
      <c r="O257" s="32">
        <v>61</v>
      </c>
      <c r="P257" s="32">
        <v>90</v>
      </c>
      <c r="Q257" s="32">
        <v>71</v>
      </c>
      <c r="R257" s="32">
        <v>90</v>
      </c>
      <c r="S257" s="32">
        <v>70</v>
      </c>
      <c r="T257" s="32">
        <v>103</v>
      </c>
      <c r="U257" s="32">
        <v>96</v>
      </c>
      <c r="V257" s="30">
        <v>0.8</v>
      </c>
      <c r="W257" s="30">
        <v>0.72924187725631773</v>
      </c>
      <c r="X257" s="32">
        <v>43672</v>
      </c>
      <c r="Y257" s="32">
        <v>37104</v>
      </c>
      <c r="Z257" s="32">
        <v>80776</v>
      </c>
      <c r="AA257" s="3">
        <f t="shared" si="3"/>
        <v>77204.070000000007</v>
      </c>
      <c r="AB257" s="3"/>
      <c r="AC257" s="3"/>
      <c r="AF257" s="3"/>
      <c r="AG257" s="3"/>
      <c r="AH257" s="3"/>
    </row>
    <row r="258" spans="1:34" x14ac:dyDescent="0.25">
      <c r="A258">
        <v>2000610</v>
      </c>
      <c r="B258" s="2">
        <v>200</v>
      </c>
      <c r="C258" s="2">
        <v>1</v>
      </c>
      <c r="D258" s="2" t="s">
        <v>266</v>
      </c>
      <c r="E258" s="2">
        <v>610</v>
      </c>
      <c r="F258" s="2" t="s">
        <v>267</v>
      </c>
      <c r="G258" s="3">
        <v>0</v>
      </c>
      <c r="H258" s="32">
        <v>126</v>
      </c>
      <c r="I258" s="32">
        <v>101</v>
      </c>
      <c r="J258" s="32">
        <v>128</v>
      </c>
      <c r="K258" s="32">
        <v>102</v>
      </c>
      <c r="L258" s="32">
        <v>103</v>
      </c>
      <c r="M258" s="32">
        <v>88</v>
      </c>
      <c r="N258" s="32">
        <v>96</v>
      </c>
      <c r="O258" s="32">
        <v>57</v>
      </c>
      <c r="P258" s="32">
        <v>117</v>
      </c>
      <c r="Q258" s="32">
        <v>89</v>
      </c>
      <c r="R258" s="32">
        <v>121</v>
      </c>
      <c r="S258" s="32">
        <v>100</v>
      </c>
      <c r="T258" s="32">
        <v>106</v>
      </c>
      <c r="U258" s="32">
        <v>132</v>
      </c>
      <c r="V258" s="30">
        <v>0.81512605042016806</v>
      </c>
      <c r="W258" s="30">
        <v>0.73652694610778446</v>
      </c>
      <c r="X258" s="32">
        <v>45794.119999999995</v>
      </c>
      <c r="Y258" s="32">
        <v>51527.520000000004</v>
      </c>
      <c r="Z258" s="32">
        <v>97321.64</v>
      </c>
      <c r="AA258" s="3">
        <f t="shared" si="3"/>
        <v>93018.05</v>
      </c>
      <c r="AB258" s="3"/>
      <c r="AC258" s="3"/>
      <c r="AF258" s="3"/>
      <c r="AG258" s="3"/>
      <c r="AH258" s="3"/>
    </row>
    <row r="259" spans="1:34" x14ac:dyDescent="0.25">
      <c r="A259">
        <v>2000612</v>
      </c>
      <c r="B259" s="2">
        <v>200</v>
      </c>
      <c r="C259" s="2">
        <v>1</v>
      </c>
      <c r="D259" s="2" t="s">
        <v>266</v>
      </c>
      <c r="E259" s="2">
        <v>612</v>
      </c>
      <c r="F259" s="2" t="s">
        <v>268</v>
      </c>
      <c r="G259" s="3">
        <v>0</v>
      </c>
      <c r="H259" s="32">
        <v>98</v>
      </c>
      <c r="I259" s="32">
        <v>77</v>
      </c>
      <c r="J259" s="32">
        <v>112</v>
      </c>
      <c r="K259" s="32">
        <v>97</v>
      </c>
      <c r="L259" s="32">
        <v>118</v>
      </c>
      <c r="M259" s="32">
        <v>105</v>
      </c>
      <c r="N259" s="32">
        <v>96</v>
      </c>
      <c r="O259" s="32">
        <v>71</v>
      </c>
      <c r="P259" s="32">
        <v>98</v>
      </c>
      <c r="Q259" s="32">
        <v>83</v>
      </c>
      <c r="R259" s="32">
        <v>96</v>
      </c>
      <c r="S259" s="32">
        <v>75</v>
      </c>
      <c r="T259" s="32">
        <v>120</v>
      </c>
      <c r="U259" s="32">
        <v>100</v>
      </c>
      <c r="V259" s="30">
        <v>0.85060975609756095</v>
      </c>
      <c r="W259" s="30">
        <v>0.78965517241379313</v>
      </c>
      <c r="X259" s="32">
        <v>54098.400000000001</v>
      </c>
      <c r="Y259" s="32">
        <v>41852</v>
      </c>
      <c r="Z259" s="32">
        <v>95950.399999999994</v>
      </c>
      <c r="AA259" s="3">
        <f t="shared" si="3"/>
        <v>91707.45</v>
      </c>
      <c r="AB259" s="3"/>
      <c r="AC259" s="3"/>
      <c r="AF259" s="3"/>
      <c r="AG259" s="3"/>
      <c r="AH259" s="3"/>
    </row>
    <row r="260" spans="1:34" x14ac:dyDescent="0.25">
      <c r="A260" s="7">
        <v>2030002</v>
      </c>
      <c r="B260" s="7">
        <v>203</v>
      </c>
      <c r="C260" s="7">
        <v>1</v>
      </c>
      <c r="D260" s="7" t="s">
        <v>269</v>
      </c>
      <c r="E260" s="7">
        <v>2</v>
      </c>
      <c r="F260" s="7" t="s">
        <v>270</v>
      </c>
      <c r="G260" s="3">
        <v>0</v>
      </c>
      <c r="H260" s="32">
        <v>59</v>
      </c>
      <c r="I260" s="32">
        <v>47</v>
      </c>
      <c r="J260" s="32">
        <v>62</v>
      </c>
      <c r="K260" s="32">
        <v>48</v>
      </c>
      <c r="L260" s="32">
        <v>51</v>
      </c>
      <c r="M260" s="32">
        <v>37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52</v>
      </c>
      <c r="U260" s="32">
        <v>0</v>
      </c>
      <c r="V260" s="30">
        <v>0.76744186046511631</v>
      </c>
      <c r="W260" s="30">
        <v>0</v>
      </c>
      <c r="X260" s="32">
        <v>21150.48</v>
      </c>
      <c r="Y260" s="32">
        <v>0</v>
      </c>
      <c r="Z260" s="32">
        <v>21150.48</v>
      </c>
      <c r="AA260" s="3">
        <f t="shared" si="3"/>
        <v>20215.2</v>
      </c>
      <c r="AB260" s="3"/>
      <c r="AC260" s="3"/>
      <c r="AF260" s="3"/>
      <c r="AG260" s="3"/>
      <c r="AH260" s="3"/>
    </row>
    <row r="261" spans="1:34" x14ac:dyDescent="0.25">
      <c r="A261">
        <v>2030003</v>
      </c>
      <c r="B261" s="2">
        <v>203</v>
      </c>
      <c r="C261" s="2">
        <v>1</v>
      </c>
      <c r="D261" s="2" t="s">
        <v>269</v>
      </c>
      <c r="E261" s="2">
        <v>3</v>
      </c>
      <c r="F261" s="2" t="s">
        <v>271</v>
      </c>
      <c r="G261" s="3">
        <v>0</v>
      </c>
      <c r="H261" s="32">
        <v>0</v>
      </c>
      <c r="I261" s="32">
        <v>0</v>
      </c>
      <c r="J261" s="32">
        <v>0</v>
      </c>
      <c r="K261" s="32">
        <v>0</v>
      </c>
      <c r="L261" s="32">
        <v>0</v>
      </c>
      <c r="M261" s="32">
        <v>0</v>
      </c>
      <c r="N261" s="32">
        <v>66</v>
      </c>
      <c r="O261" s="32">
        <v>51</v>
      </c>
      <c r="P261" s="32">
        <v>56</v>
      </c>
      <c r="Q261" s="32">
        <v>43</v>
      </c>
      <c r="R261" s="32">
        <v>60</v>
      </c>
      <c r="S261" s="32">
        <v>51</v>
      </c>
      <c r="T261" s="32">
        <v>0</v>
      </c>
      <c r="U261" s="32">
        <v>64</v>
      </c>
      <c r="V261" s="30">
        <v>0</v>
      </c>
      <c r="W261" s="30">
        <v>0.79670329670329665</v>
      </c>
      <c r="X261" s="32">
        <v>0</v>
      </c>
      <c r="Y261" s="32">
        <v>27024</v>
      </c>
      <c r="Z261" s="32">
        <v>27024</v>
      </c>
      <c r="AA261" s="3">
        <f t="shared" si="3"/>
        <v>25828.99</v>
      </c>
      <c r="AB261" s="3"/>
      <c r="AC261" s="3"/>
      <c r="AF261" s="3"/>
      <c r="AG261" s="3"/>
      <c r="AH261" s="3"/>
    </row>
    <row r="262" spans="1:34" x14ac:dyDescent="0.25">
      <c r="A262">
        <v>2040010</v>
      </c>
      <c r="B262" s="2">
        <v>204</v>
      </c>
      <c r="C262" s="2">
        <v>1</v>
      </c>
      <c r="D262" s="2" t="s">
        <v>272</v>
      </c>
      <c r="E262" s="2">
        <v>10</v>
      </c>
      <c r="F262" s="2" t="s">
        <v>273</v>
      </c>
      <c r="G262" s="3">
        <v>0</v>
      </c>
      <c r="H262" s="32">
        <v>167</v>
      </c>
      <c r="I262" s="32">
        <v>147</v>
      </c>
      <c r="J262" s="32">
        <v>178</v>
      </c>
      <c r="K262" s="32">
        <v>156</v>
      </c>
      <c r="L262" s="32">
        <v>154</v>
      </c>
      <c r="M262" s="32">
        <v>141</v>
      </c>
      <c r="N262" s="32">
        <v>160</v>
      </c>
      <c r="O262" s="32">
        <v>136</v>
      </c>
      <c r="P262" s="32">
        <v>164</v>
      </c>
      <c r="Q262" s="32">
        <v>144</v>
      </c>
      <c r="R262" s="32">
        <v>176</v>
      </c>
      <c r="S262" s="32">
        <v>148</v>
      </c>
      <c r="T262" s="32">
        <v>154</v>
      </c>
      <c r="U262" s="32">
        <v>181</v>
      </c>
      <c r="V262" s="30">
        <v>0.88977955911823647</v>
      </c>
      <c r="W262" s="30">
        <v>0.85599999999999998</v>
      </c>
      <c r="X262" s="32">
        <v>72623.319999999992</v>
      </c>
      <c r="Y262" s="32">
        <v>82116.08</v>
      </c>
      <c r="Z262" s="32">
        <v>154739.4</v>
      </c>
      <c r="AA262" s="3">
        <f t="shared" si="3"/>
        <v>147896.79</v>
      </c>
      <c r="AB262" s="3"/>
      <c r="AC262" s="3"/>
      <c r="AF262" s="3"/>
      <c r="AG262" s="3"/>
      <c r="AH262" s="3"/>
    </row>
    <row r="263" spans="1:34" x14ac:dyDescent="0.25">
      <c r="A263">
        <v>2060110</v>
      </c>
      <c r="B263" s="2">
        <v>206</v>
      </c>
      <c r="C263" s="2">
        <v>1</v>
      </c>
      <c r="D263" s="2" t="s">
        <v>274</v>
      </c>
      <c r="E263" s="2">
        <v>110</v>
      </c>
      <c r="F263" s="2" t="s">
        <v>275</v>
      </c>
      <c r="G263" s="3">
        <v>0</v>
      </c>
      <c r="H263" s="32">
        <v>22</v>
      </c>
      <c r="I263" s="32">
        <v>21</v>
      </c>
      <c r="J263" s="32">
        <v>23</v>
      </c>
      <c r="K263" s="32">
        <v>21</v>
      </c>
      <c r="L263" s="32">
        <v>22</v>
      </c>
      <c r="M263" s="32">
        <v>22</v>
      </c>
      <c r="N263" s="32">
        <v>13</v>
      </c>
      <c r="O263" s="32">
        <v>11</v>
      </c>
      <c r="P263" s="32">
        <v>22</v>
      </c>
      <c r="Q263" s="32">
        <v>17</v>
      </c>
      <c r="R263" s="32">
        <v>24</v>
      </c>
      <c r="S263" s="32">
        <v>23</v>
      </c>
      <c r="T263" s="32">
        <v>21</v>
      </c>
      <c r="U263" s="32">
        <v>24</v>
      </c>
      <c r="V263" s="30">
        <v>0.95522388059701491</v>
      </c>
      <c r="W263" s="30">
        <v>0.86440677966101698</v>
      </c>
      <c r="X263" s="32">
        <v>10631.67</v>
      </c>
      <c r="Y263" s="32">
        <v>10995.36</v>
      </c>
      <c r="Z263" s="32">
        <v>21627.03</v>
      </c>
      <c r="AA263" s="3">
        <f t="shared" si="3"/>
        <v>20670.68</v>
      </c>
      <c r="AB263" s="3"/>
      <c r="AC263" s="3"/>
      <c r="AF263" s="3"/>
      <c r="AG263" s="3"/>
      <c r="AH263" s="3"/>
    </row>
    <row r="264" spans="1:34" x14ac:dyDescent="0.25">
      <c r="A264">
        <v>2060120</v>
      </c>
      <c r="B264" s="2">
        <v>206</v>
      </c>
      <c r="C264" s="2">
        <v>1</v>
      </c>
      <c r="D264" s="2" t="s">
        <v>274</v>
      </c>
      <c r="E264" s="2">
        <v>120</v>
      </c>
      <c r="F264" s="2" t="s">
        <v>201</v>
      </c>
      <c r="G264" s="3">
        <v>0</v>
      </c>
      <c r="H264" s="32">
        <v>16</v>
      </c>
      <c r="I264" s="32">
        <v>13</v>
      </c>
      <c r="J264" s="32">
        <v>27</v>
      </c>
      <c r="K264" s="32">
        <v>21</v>
      </c>
      <c r="L264" s="32">
        <v>25</v>
      </c>
      <c r="M264" s="32">
        <v>24</v>
      </c>
      <c r="N264" s="32">
        <v>23</v>
      </c>
      <c r="O264" s="32">
        <v>22</v>
      </c>
      <c r="P264" s="32">
        <v>17</v>
      </c>
      <c r="Q264" s="32">
        <v>13</v>
      </c>
      <c r="R264" s="32">
        <v>25</v>
      </c>
      <c r="S264" s="32">
        <v>21</v>
      </c>
      <c r="T264" s="32">
        <v>23</v>
      </c>
      <c r="U264" s="32">
        <v>26</v>
      </c>
      <c r="V264" s="30">
        <v>0.8529411764705882</v>
      </c>
      <c r="W264" s="30">
        <v>0.86153846153846159</v>
      </c>
      <c r="X264" s="32">
        <v>10397.379999999999</v>
      </c>
      <c r="Y264" s="32">
        <v>11872.12</v>
      </c>
      <c r="Z264" s="32">
        <v>22269.5</v>
      </c>
      <c r="AA264" s="3">
        <f t="shared" si="3"/>
        <v>21284.74</v>
      </c>
      <c r="AB264" s="3"/>
      <c r="AC264" s="3"/>
      <c r="AF264" s="3"/>
      <c r="AG264" s="3"/>
      <c r="AH264" s="3"/>
    </row>
    <row r="265" spans="1:34" x14ac:dyDescent="0.25">
      <c r="A265">
        <v>2060130</v>
      </c>
      <c r="B265" s="2">
        <v>206</v>
      </c>
      <c r="C265" s="2">
        <v>1</v>
      </c>
      <c r="D265" s="2" t="s">
        <v>274</v>
      </c>
      <c r="E265" s="2">
        <v>130</v>
      </c>
      <c r="F265" s="2" t="s">
        <v>60</v>
      </c>
      <c r="G265" s="3">
        <v>0</v>
      </c>
      <c r="H265" s="32">
        <v>72</v>
      </c>
      <c r="I265" s="32">
        <v>61</v>
      </c>
      <c r="J265" s="32">
        <v>77</v>
      </c>
      <c r="K265" s="32">
        <v>69</v>
      </c>
      <c r="L265" s="32">
        <v>66</v>
      </c>
      <c r="M265" s="32">
        <v>56</v>
      </c>
      <c r="N265" s="32">
        <v>70</v>
      </c>
      <c r="O265" s="32">
        <v>52</v>
      </c>
      <c r="P265" s="32">
        <v>74</v>
      </c>
      <c r="Q265" s="32">
        <v>57</v>
      </c>
      <c r="R265" s="32">
        <v>71</v>
      </c>
      <c r="S265" s="32">
        <v>62</v>
      </c>
      <c r="T265" s="32">
        <v>69</v>
      </c>
      <c r="U265" s="32">
        <v>76</v>
      </c>
      <c r="V265" s="30">
        <v>0.8651162790697674</v>
      </c>
      <c r="W265" s="30">
        <v>0.79534883720930227</v>
      </c>
      <c r="X265" s="32">
        <v>31637.19</v>
      </c>
      <c r="Y265" s="32">
        <v>32036.28</v>
      </c>
      <c r="Z265" s="32">
        <v>63673.47</v>
      </c>
      <c r="AA265" s="3">
        <f t="shared" si="3"/>
        <v>60857.81</v>
      </c>
      <c r="AB265" s="3"/>
      <c r="AC265" s="3"/>
      <c r="AF265" s="3"/>
      <c r="AG265" s="3"/>
      <c r="AH265" s="3"/>
    </row>
    <row r="266" spans="1:34" x14ac:dyDescent="0.25">
      <c r="A266">
        <v>2060140</v>
      </c>
      <c r="B266" s="2">
        <v>206</v>
      </c>
      <c r="C266" s="2">
        <v>1</v>
      </c>
      <c r="D266" s="2" t="s">
        <v>274</v>
      </c>
      <c r="E266" s="2">
        <v>140</v>
      </c>
      <c r="F266" s="2" t="s">
        <v>276</v>
      </c>
      <c r="G266" s="3">
        <v>0</v>
      </c>
      <c r="H266" s="32">
        <v>20</v>
      </c>
      <c r="I266" s="32">
        <v>13</v>
      </c>
      <c r="J266" s="32">
        <v>19</v>
      </c>
      <c r="K266" s="32">
        <v>15</v>
      </c>
      <c r="L266" s="32">
        <v>25</v>
      </c>
      <c r="M266" s="32">
        <v>20</v>
      </c>
      <c r="N266" s="32">
        <v>20</v>
      </c>
      <c r="O266" s="32">
        <v>16</v>
      </c>
      <c r="P266" s="32">
        <v>20</v>
      </c>
      <c r="Q266" s="32">
        <v>19</v>
      </c>
      <c r="R266" s="32">
        <v>22</v>
      </c>
      <c r="S266" s="32">
        <v>18</v>
      </c>
      <c r="T266" s="32">
        <v>25</v>
      </c>
      <c r="U266" s="32">
        <v>22</v>
      </c>
      <c r="V266" s="30">
        <v>0.75</v>
      </c>
      <c r="W266" s="30">
        <v>0.85483870967741937</v>
      </c>
      <c r="X266" s="32">
        <v>9937.5</v>
      </c>
      <c r="Y266" s="32">
        <v>9967.32</v>
      </c>
      <c r="Z266" s="32">
        <v>19904.82</v>
      </c>
      <c r="AA266" s="3">
        <f t="shared" si="3"/>
        <v>19024.62</v>
      </c>
      <c r="AB266" s="3"/>
      <c r="AC266" s="3"/>
      <c r="AF266" s="3"/>
      <c r="AG266" s="3"/>
      <c r="AH266" s="3"/>
    </row>
    <row r="267" spans="1:34" x14ac:dyDescent="0.25">
      <c r="A267">
        <v>2060150</v>
      </c>
      <c r="B267" s="2">
        <v>206</v>
      </c>
      <c r="C267" s="2">
        <v>1</v>
      </c>
      <c r="D267" s="2" t="s">
        <v>274</v>
      </c>
      <c r="E267" s="2">
        <v>150</v>
      </c>
      <c r="F267" s="2" t="s">
        <v>71</v>
      </c>
      <c r="G267" s="3">
        <v>0</v>
      </c>
      <c r="H267" s="32">
        <v>78</v>
      </c>
      <c r="I267" s="32">
        <v>55</v>
      </c>
      <c r="J267" s="32">
        <v>62</v>
      </c>
      <c r="K267" s="32">
        <v>54</v>
      </c>
      <c r="L267" s="32">
        <v>76</v>
      </c>
      <c r="M267" s="32">
        <v>69</v>
      </c>
      <c r="N267" s="32">
        <v>77</v>
      </c>
      <c r="O267" s="32">
        <v>60</v>
      </c>
      <c r="P267" s="32">
        <v>66</v>
      </c>
      <c r="Q267" s="32">
        <v>58</v>
      </c>
      <c r="R267" s="32">
        <v>54</v>
      </c>
      <c r="S267" s="32">
        <v>32</v>
      </c>
      <c r="T267" s="32">
        <v>77</v>
      </c>
      <c r="U267" s="32">
        <v>58</v>
      </c>
      <c r="V267" s="30">
        <v>0.82407407407407407</v>
      </c>
      <c r="W267" s="30">
        <v>0.76142131979695427</v>
      </c>
      <c r="X267" s="32">
        <v>33630.519999999997</v>
      </c>
      <c r="Y267" s="32">
        <v>23405.9</v>
      </c>
      <c r="Z267" s="32">
        <v>57036.42</v>
      </c>
      <c r="AA267" s="3">
        <f t="shared" si="3"/>
        <v>54514.26</v>
      </c>
      <c r="AB267" s="3"/>
      <c r="AC267" s="3"/>
      <c r="AF267" s="3"/>
      <c r="AG267" s="3"/>
      <c r="AH267" s="3"/>
    </row>
    <row r="268" spans="1:34" x14ac:dyDescent="0.25">
      <c r="A268">
        <v>2060160</v>
      </c>
      <c r="B268">
        <v>206</v>
      </c>
      <c r="C268" s="2">
        <v>1</v>
      </c>
      <c r="D268" s="2" t="s">
        <v>274</v>
      </c>
      <c r="E268">
        <v>160</v>
      </c>
      <c r="F268" s="2" t="s">
        <v>277</v>
      </c>
      <c r="G268" s="3">
        <v>0</v>
      </c>
      <c r="H268" s="32">
        <v>64</v>
      </c>
      <c r="I268" s="32">
        <v>49</v>
      </c>
      <c r="J268" s="32">
        <v>63</v>
      </c>
      <c r="K268" s="32">
        <v>55</v>
      </c>
      <c r="L268" s="32">
        <v>79</v>
      </c>
      <c r="M268" s="32">
        <v>71</v>
      </c>
      <c r="N268" s="32">
        <v>67</v>
      </c>
      <c r="O268" s="32">
        <v>54</v>
      </c>
      <c r="P268" s="32">
        <v>59</v>
      </c>
      <c r="Q268" s="32">
        <v>49</v>
      </c>
      <c r="R268" s="32">
        <v>58</v>
      </c>
      <c r="S268" s="32">
        <v>53</v>
      </c>
      <c r="T268" s="32">
        <v>79</v>
      </c>
      <c r="U268" s="32">
        <v>62</v>
      </c>
      <c r="V268" s="30">
        <v>0.84951456310679607</v>
      </c>
      <c r="W268" s="30">
        <v>0.84782608695652173</v>
      </c>
      <c r="X268" s="32">
        <v>35568.959999999999</v>
      </c>
      <c r="Y268" s="32">
        <v>27859.7</v>
      </c>
      <c r="Z268" s="32">
        <v>63428.66</v>
      </c>
      <c r="AA268" s="3">
        <f t="shared" si="3"/>
        <v>60623.83</v>
      </c>
      <c r="AB268" s="3"/>
      <c r="AC268" s="3"/>
      <c r="AF268" s="3"/>
      <c r="AG268" s="3"/>
      <c r="AH268" s="3"/>
    </row>
    <row r="269" spans="1:34" x14ac:dyDescent="0.25">
      <c r="A269">
        <v>2070001</v>
      </c>
      <c r="B269">
        <v>207</v>
      </c>
      <c r="C269">
        <v>1</v>
      </c>
      <c r="D269" t="s">
        <v>278</v>
      </c>
      <c r="E269">
        <v>1</v>
      </c>
      <c r="F269" t="s">
        <v>279</v>
      </c>
      <c r="G269" s="3">
        <v>0</v>
      </c>
      <c r="H269" s="32">
        <v>14</v>
      </c>
      <c r="I269" s="32">
        <v>12</v>
      </c>
      <c r="J269" s="32">
        <v>22</v>
      </c>
      <c r="K269" s="32">
        <v>17</v>
      </c>
      <c r="L269" s="32">
        <v>28</v>
      </c>
      <c r="M269" s="32">
        <v>27</v>
      </c>
      <c r="N269" s="32">
        <v>20</v>
      </c>
      <c r="O269" s="32">
        <v>10</v>
      </c>
      <c r="P269" s="32">
        <v>15</v>
      </c>
      <c r="Q269" s="32">
        <v>9</v>
      </c>
      <c r="R269" s="32">
        <v>18</v>
      </c>
      <c r="S269" s="32">
        <v>17</v>
      </c>
      <c r="T269" s="32">
        <v>29</v>
      </c>
      <c r="U269" s="32">
        <v>19</v>
      </c>
      <c r="V269" s="30">
        <v>0.875</v>
      </c>
      <c r="W269" s="30">
        <v>0.67924528301886788</v>
      </c>
      <c r="X269" s="32">
        <v>13448.75</v>
      </c>
      <c r="Y269" s="32">
        <v>6840</v>
      </c>
      <c r="Z269" s="32">
        <v>20288.75</v>
      </c>
      <c r="AA269" s="3">
        <f t="shared" si="3"/>
        <v>19391.580000000002</v>
      </c>
      <c r="AB269" s="3"/>
      <c r="AC269" s="3"/>
      <c r="AF269" s="3"/>
      <c r="AG269" s="3"/>
      <c r="AH269" s="3"/>
    </row>
    <row r="270" spans="1:34" x14ac:dyDescent="0.25">
      <c r="A270">
        <v>2080001</v>
      </c>
      <c r="B270" s="2">
        <v>208</v>
      </c>
      <c r="C270" s="2">
        <v>1</v>
      </c>
      <c r="D270" s="2" t="s">
        <v>1182</v>
      </c>
      <c r="E270" s="2">
        <v>1</v>
      </c>
      <c r="F270" s="2" t="s">
        <v>1183</v>
      </c>
      <c r="G270" s="3">
        <v>1</v>
      </c>
      <c r="H270" s="32" t="s">
        <v>1328</v>
      </c>
      <c r="I270" s="32" t="s">
        <v>1328</v>
      </c>
      <c r="J270" s="32" t="s">
        <v>1328</v>
      </c>
      <c r="K270" s="32" t="s">
        <v>1328</v>
      </c>
      <c r="L270" s="32" t="s">
        <v>1328</v>
      </c>
      <c r="M270" s="32" t="s">
        <v>1328</v>
      </c>
      <c r="N270" s="32" t="s">
        <v>1328</v>
      </c>
      <c r="O270" s="32" t="s">
        <v>1328</v>
      </c>
      <c r="P270" s="32" t="s">
        <v>1328</v>
      </c>
      <c r="Q270" s="32" t="s">
        <v>1328</v>
      </c>
      <c r="R270" s="32" t="s">
        <v>1328</v>
      </c>
      <c r="S270" s="32" t="s">
        <v>1328</v>
      </c>
      <c r="T270" s="32">
        <v>4</v>
      </c>
      <c r="U270" s="32">
        <v>11</v>
      </c>
      <c r="V270" s="30" t="s">
        <v>1328</v>
      </c>
      <c r="W270" s="30" t="s">
        <v>1328</v>
      </c>
      <c r="X270" s="32" t="s">
        <v>1328</v>
      </c>
      <c r="Y270" s="32" t="s">
        <v>1328</v>
      </c>
      <c r="Z270" s="32">
        <v>6693.85</v>
      </c>
      <c r="AA270" s="3">
        <f t="shared" si="3"/>
        <v>6397.85</v>
      </c>
      <c r="AB270" s="3"/>
      <c r="AC270" s="3"/>
      <c r="AF270" s="3"/>
      <c r="AG270" s="3"/>
      <c r="AH270" s="3"/>
    </row>
    <row r="271" spans="1:34" x14ac:dyDescent="0.25">
      <c r="A271">
        <v>2130010</v>
      </c>
      <c r="B271" s="2">
        <v>213</v>
      </c>
      <c r="C271" s="2">
        <v>1</v>
      </c>
      <c r="D271" s="2" t="s">
        <v>280</v>
      </c>
      <c r="E271" s="2">
        <v>10</v>
      </c>
      <c r="F271" s="2" t="s">
        <v>281</v>
      </c>
      <c r="G271" s="3">
        <v>0</v>
      </c>
      <c r="H271" s="32">
        <v>40</v>
      </c>
      <c r="I271" s="32">
        <v>33</v>
      </c>
      <c r="J271" s="32">
        <v>51</v>
      </c>
      <c r="K271" s="32">
        <v>42</v>
      </c>
      <c r="L271" s="32">
        <v>59</v>
      </c>
      <c r="M271" s="32">
        <v>54</v>
      </c>
      <c r="N271" s="32">
        <v>56</v>
      </c>
      <c r="O271" s="32">
        <v>42</v>
      </c>
      <c r="P271" s="32">
        <v>41</v>
      </c>
      <c r="Q271" s="32">
        <v>27</v>
      </c>
      <c r="R271" s="32">
        <v>48</v>
      </c>
      <c r="S271" s="32">
        <v>36</v>
      </c>
      <c r="T271" s="32">
        <v>60</v>
      </c>
      <c r="U271" s="32">
        <v>51</v>
      </c>
      <c r="V271" s="30">
        <v>0.86</v>
      </c>
      <c r="W271" s="30">
        <v>0.72413793103448276</v>
      </c>
      <c r="X271" s="32">
        <v>27348</v>
      </c>
      <c r="Y271" s="32">
        <v>19573.29</v>
      </c>
      <c r="Z271" s="32">
        <v>46921.29</v>
      </c>
      <c r="AA271" s="3">
        <f t="shared" ref="AA271:AA334" si="4">ROUND(Z271*AA$10,2)</f>
        <v>44846.42</v>
      </c>
      <c r="AB271" s="3"/>
      <c r="AC271" s="3"/>
      <c r="AF271" s="3"/>
      <c r="AG271" s="3"/>
      <c r="AH271" s="3"/>
    </row>
    <row r="272" spans="1:34" x14ac:dyDescent="0.25">
      <c r="A272">
        <v>2270002</v>
      </c>
      <c r="B272" s="2">
        <v>227</v>
      </c>
      <c r="C272" s="2">
        <v>1</v>
      </c>
      <c r="D272" s="2" t="s">
        <v>282</v>
      </c>
      <c r="E272" s="2">
        <v>2</v>
      </c>
      <c r="F272" s="2" t="s">
        <v>283</v>
      </c>
      <c r="G272" s="3">
        <v>0</v>
      </c>
      <c r="H272" s="32">
        <v>53</v>
      </c>
      <c r="I272" s="32">
        <v>36</v>
      </c>
      <c r="J272" s="32">
        <v>75</v>
      </c>
      <c r="K272" s="32">
        <v>50</v>
      </c>
      <c r="L272" s="32">
        <v>65</v>
      </c>
      <c r="M272" s="32">
        <v>47</v>
      </c>
      <c r="N272" s="32">
        <v>60</v>
      </c>
      <c r="O272" s="32">
        <v>50</v>
      </c>
      <c r="P272" s="32">
        <v>52</v>
      </c>
      <c r="Q272" s="32">
        <v>42</v>
      </c>
      <c r="R272" s="32">
        <v>69</v>
      </c>
      <c r="S272" s="32">
        <v>59</v>
      </c>
      <c r="T272" s="32">
        <v>68</v>
      </c>
      <c r="U272" s="32">
        <v>72</v>
      </c>
      <c r="V272" s="30">
        <v>0.68911917098445596</v>
      </c>
      <c r="W272" s="30">
        <v>0.83425414364640882</v>
      </c>
      <c r="X272" s="32">
        <v>24835.64</v>
      </c>
      <c r="Y272" s="32">
        <v>31834.799999999999</v>
      </c>
      <c r="Z272" s="32">
        <v>56670.44</v>
      </c>
      <c r="AA272" s="3">
        <f t="shared" si="4"/>
        <v>54164.46</v>
      </c>
      <c r="AB272" s="3"/>
      <c r="AC272" s="3"/>
      <c r="AF272" s="3"/>
      <c r="AG272" s="3"/>
      <c r="AH272" s="3"/>
    </row>
    <row r="273" spans="1:34" x14ac:dyDescent="0.25">
      <c r="A273">
        <v>2290010</v>
      </c>
      <c r="B273" s="2">
        <v>229</v>
      </c>
      <c r="C273" s="2">
        <v>1</v>
      </c>
      <c r="D273" s="2" t="s">
        <v>284</v>
      </c>
      <c r="E273" s="2">
        <v>10</v>
      </c>
      <c r="F273" s="2" t="s">
        <v>285</v>
      </c>
      <c r="G273" s="3">
        <v>0</v>
      </c>
      <c r="H273" s="32">
        <v>26</v>
      </c>
      <c r="I273" s="32">
        <v>24</v>
      </c>
      <c r="J273" s="32">
        <v>19</v>
      </c>
      <c r="K273" s="32">
        <v>13</v>
      </c>
      <c r="L273" s="32">
        <v>33</v>
      </c>
      <c r="M273" s="32">
        <v>31</v>
      </c>
      <c r="N273" s="32">
        <v>22</v>
      </c>
      <c r="O273" s="32">
        <v>16</v>
      </c>
      <c r="P273" s="32">
        <v>25</v>
      </c>
      <c r="Q273" s="32">
        <v>22</v>
      </c>
      <c r="R273" s="32">
        <v>19</v>
      </c>
      <c r="S273" s="32">
        <v>17</v>
      </c>
      <c r="T273" s="32">
        <v>33</v>
      </c>
      <c r="U273" s="32">
        <v>20</v>
      </c>
      <c r="V273" s="30">
        <v>0.87179487179487181</v>
      </c>
      <c r="W273" s="30">
        <v>0.83333333333333337</v>
      </c>
      <c r="X273" s="32">
        <v>15247.65</v>
      </c>
      <c r="Y273" s="32">
        <v>8833.4</v>
      </c>
      <c r="Z273" s="32">
        <v>24081.05</v>
      </c>
      <c r="AA273" s="3">
        <f t="shared" si="4"/>
        <v>23016.18</v>
      </c>
      <c r="AB273" s="3"/>
      <c r="AC273" s="3"/>
      <c r="AF273" s="3"/>
      <c r="AG273" s="3"/>
      <c r="AH273" s="3"/>
    </row>
    <row r="274" spans="1:34" x14ac:dyDescent="0.25">
      <c r="A274">
        <v>2380001</v>
      </c>
      <c r="B274" s="2">
        <v>238</v>
      </c>
      <c r="C274" s="2">
        <v>1</v>
      </c>
      <c r="D274" s="2" t="s">
        <v>286</v>
      </c>
      <c r="E274" s="2">
        <v>1</v>
      </c>
      <c r="F274" s="2" t="s">
        <v>287</v>
      </c>
      <c r="G274" s="3">
        <v>0</v>
      </c>
      <c r="H274" s="32">
        <v>14</v>
      </c>
      <c r="I274" s="32">
        <v>7</v>
      </c>
      <c r="J274" s="32">
        <v>19</v>
      </c>
      <c r="K274" s="32">
        <v>11</v>
      </c>
      <c r="L274" s="32">
        <v>28</v>
      </c>
      <c r="M274" s="32">
        <v>23</v>
      </c>
      <c r="N274" s="32">
        <v>26</v>
      </c>
      <c r="O274" s="32">
        <v>21</v>
      </c>
      <c r="P274" s="32">
        <v>15</v>
      </c>
      <c r="Q274" s="32">
        <v>14</v>
      </c>
      <c r="R274" s="32">
        <v>17</v>
      </c>
      <c r="S274" s="32">
        <v>12</v>
      </c>
      <c r="T274" s="32">
        <v>27</v>
      </c>
      <c r="U274" s="32">
        <v>19</v>
      </c>
      <c r="V274" s="30">
        <v>0.67213114754098358</v>
      </c>
      <c r="W274" s="30">
        <v>0.81034482758620685</v>
      </c>
      <c r="X274" s="32">
        <v>9618.2100000000009</v>
      </c>
      <c r="Y274" s="32">
        <v>8160.1200000000008</v>
      </c>
      <c r="Z274" s="32">
        <v>17778.330000000002</v>
      </c>
      <c r="AA274" s="3">
        <f t="shared" si="4"/>
        <v>16992.169999999998</v>
      </c>
      <c r="AB274" s="3"/>
      <c r="AC274" s="3"/>
      <c r="AF274" s="3"/>
      <c r="AG274" s="3"/>
      <c r="AH274" s="3"/>
    </row>
    <row r="275" spans="1:34" x14ac:dyDescent="0.25">
      <c r="A275">
        <v>2390001</v>
      </c>
      <c r="B275" s="2">
        <v>239</v>
      </c>
      <c r="C275" s="2">
        <v>1</v>
      </c>
      <c r="D275" s="2" t="s">
        <v>288</v>
      </c>
      <c r="E275" s="2">
        <v>1</v>
      </c>
      <c r="F275" s="2" t="s">
        <v>289</v>
      </c>
      <c r="G275" s="3">
        <v>0</v>
      </c>
      <c r="H275" s="32">
        <v>51</v>
      </c>
      <c r="I275" s="32">
        <v>49</v>
      </c>
      <c r="J275" s="32">
        <v>51</v>
      </c>
      <c r="K275" s="32">
        <v>43</v>
      </c>
      <c r="L275" s="32">
        <v>42</v>
      </c>
      <c r="M275" s="32">
        <v>35</v>
      </c>
      <c r="N275" s="32">
        <v>41</v>
      </c>
      <c r="O275" s="32">
        <v>32</v>
      </c>
      <c r="P275" s="32">
        <v>47</v>
      </c>
      <c r="Q275" s="32">
        <v>38</v>
      </c>
      <c r="R275" s="32">
        <v>49</v>
      </c>
      <c r="S275" s="32">
        <v>42</v>
      </c>
      <c r="T275" s="32">
        <v>42</v>
      </c>
      <c r="U275" s="32">
        <v>51</v>
      </c>
      <c r="V275" s="30">
        <v>0.88194444444444442</v>
      </c>
      <c r="W275" s="30">
        <v>0.81751824817518248</v>
      </c>
      <c r="X275" s="32">
        <v>19632.060000000001</v>
      </c>
      <c r="Y275" s="32">
        <v>22097.279999999999</v>
      </c>
      <c r="Z275" s="32">
        <v>41729.339999999997</v>
      </c>
      <c r="AA275" s="3">
        <f t="shared" si="4"/>
        <v>39884.06</v>
      </c>
      <c r="AB275" s="3"/>
      <c r="AC275" s="3"/>
      <c r="AF275" s="3"/>
      <c r="AG275" s="3"/>
      <c r="AH275" s="3"/>
    </row>
    <row r="276" spans="1:34" x14ac:dyDescent="0.25">
      <c r="A276">
        <v>2410110</v>
      </c>
      <c r="B276" s="2">
        <v>241</v>
      </c>
      <c r="C276" s="2">
        <v>1</v>
      </c>
      <c r="D276" s="2" t="s">
        <v>290</v>
      </c>
      <c r="E276" s="2">
        <v>110</v>
      </c>
      <c r="F276" s="2" t="s">
        <v>291</v>
      </c>
      <c r="G276" s="3">
        <v>0</v>
      </c>
      <c r="H276" s="32">
        <v>49</v>
      </c>
      <c r="I276" s="32">
        <v>30</v>
      </c>
      <c r="J276" s="32">
        <v>53</v>
      </c>
      <c r="K276" s="32">
        <v>32</v>
      </c>
      <c r="L276" s="32">
        <v>50</v>
      </c>
      <c r="M276" s="32">
        <v>36</v>
      </c>
      <c r="N276" s="32">
        <v>69</v>
      </c>
      <c r="O276" s="32">
        <v>51</v>
      </c>
      <c r="P276" s="32">
        <v>45</v>
      </c>
      <c r="Q276" s="32">
        <v>38</v>
      </c>
      <c r="R276" s="32">
        <v>53</v>
      </c>
      <c r="S276" s="32">
        <v>36</v>
      </c>
      <c r="T276" s="32">
        <v>49</v>
      </c>
      <c r="U276" s="32">
        <v>58</v>
      </c>
      <c r="V276" s="30">
        <v>0.64473684210526316</v>
      </c>
      <c r="W276" s="30">
        <v>0.74850299401197606</v>
      </c>
      <c r="X276" s="32">
        <v>16743.789999999997</v>
      </c>
      <c r="Y276" s="32">
        <v>23009.18</v>
      </c>
      <c r="Z276" s="32">
        <v>39752.97</v>
      </c>
      <c r="AA276" s="3">
        <f t="shared" si="4"/>
        <v>37995.08</v>
      </c>
      <c r="AB276" s="3"/>
      <c r="AC276" s="3"/>
      <c r="AF276" s="3"/>
      <c r="AG276" s="3"/>
      <c r="AH276" s="3"/>
    </row>
    <row r="277" spans="1:34" x14ac:dyDescent="0.25">
      <c r="A277">
        <v>2410120</v>
      </c>
      <c r="B277" s="2">
        <v>241</v>
      </c>
      <c r="C277" s="2">
        <v>1</v>
      </c>
      <c r="D277" s="2" t="s">
        <v>290</v>
      </c>
      <c r="E277" s="2">
        <v>120</v>
      </c>
      <c r="F277" s="2" t="s">
        <v>292</v>
      </c>
      <c r="G277" s="3">
        <v>0</v>
      </c>
      <c r="H277" s="32">
        <v>64</v>
      </c>
      <c r="I277" s="32">
        <v>41</v>
      </c>
      <c r="J277" s="32">
        <v>55</v>
      </c>
      <c r="K277" s="32">
        <v>35</v>
      </c>
      <c r="L277" s="32">
        <v>50</v>
      </c>
      <c r="M277" s="32">
        <v>40</v>
      </c>
      <c r="N277" s="32">
        <v>53</v>
      </c>
      <c r="O277" s="32">
        <v>43</v>
      </c>
      <c r="P277" s="32">
        <v>60</v>
      </c>
      <c r="Q277" s="32">
        <v>49</v>
      </c>
      <c r="R277" s="32">
        <v>50</v>
      </c>
      <c r="S277" s="32">
        <v>28</v>
      </c>
      <c r="T277" s="32">
        <v>50</v>
      </c>
      <c r="U277" s="32">
        <v>56</v>
      </c>
      <c r="V277" s="30">
        <v>0.68639053254437865</v>
      </c>
      <c r="W277" s="30">
        <v>0.73619631901840488</v>
      </c>
      <c r="X277" s="32">
        <v>18189.5</v>
      </c>
      <c r="Y277" s="32">
        <v>21850.080000000002</v>
      </c>
      <c r="Z277" s="32">
        <v>40039.58</v>
      </c>
      <c r="AA277" s="3">
        <f t="shared" si="4"/>
        <v>38269.019999999997</v>
      </c>
      <c r="AB277" s="3"/>
      <c r="AC277" s="3"/>
      <c r="AF277" s="3"/>
      <c r="AG277" s="3"/>
      <c r="AH277" s="3"/>
    </row>
    <row r="278" spans="1:34" x14ac:dyDescent="0.25">
      <c r="A278">
        <v>2410130</v>
      </c>
      <c r="B278">
        <v>241</v>
      </c>
      <c r="C278" s="2">
        <v>1</v>
      </c>
      <c r="D278" s="2" t="s">
        <v>290</v>
      </c>
      <c r="E278">
        <v>130</v>
      </c>
      <c r="F278" s="2" t="s">
        <v>233</v>
      </c>
      <c r="G278" s="3">
        <v>0</v>
      </c>
      <c r="H278" s="32">
        <v>48</v>
      </c>
      <c r="I278" s="32">
        <v>42</v>
      </c>
      <c r="J278" s="32">
        <v>78</v>
      </c>
      <c r="K278" s="32">
        <v>69</v>
      </c>
      <c r="L278" s="32">
        <v>72</v>
      </c>
      <c r="M278" s="32">
        <v>54</v>
      </c>
      <c r="N278" s="32">
        <v>60</v>
      </c>
      <c r="O278" s="32">
        <v>45</v>
      </c>
      <c r="P278" s="32">
        <v>45</v>
      </c>
      <c r="Q278" s="32">
        <v>37</v>
      </c>
      <c r="R278" s="32">
        <v>77</v>
      </c>
      <c r="S278" s="32">
        <v>60</v>
      </c>
      <c r="T278" s="32">
        <v>72</v>
      </c>
      <c r="U278" s="32">
        <v>83</v>
      </c>
      <c r="V278" s="30">
        <v>0.83333333333333337</v>
      </c>
      <c r="W278" s="30">
        <v>0.78021978021978022</v>
      </c>
      <c r="X278" s="32">
        <v>31800.240000000002</v>
      </c>
      <c r="Y278" s="32">
        <v>34322.159999999996</v>
      </c>
      <c r="Z278" s="32">
        <v>66122.399999999994</v>
      </c>
      <c r="AA278" s="3">
        <f t="shared" si="4"/>
        <v>63198.45</v>
      </c>
      <c r="AB278" s="3"/>
      <c r="AC278" s="3"/>
      <c r="AF278" s="3"/>
      <c r="AG278" s="3"/>
      <c r="AH278" s="3"/>
    </row>
    <row r="279" spans="1:34" x14ac:dyDescent="0.25">
      <c r="A279">
        <v>2410140</v>
      </c>
      <c r="B279" s="2">
        <v>241</v>
      </c>
      <c r="C279" s="2">
        <v>1</v>
      </c>
      <c r="D279" s="2" t="s">
        <v>290</v>
      </c>
      <c r="E279" s="2">
        <v>140</v>
      </c>
      <c r="F279" s="2" t="s">
        <v>293</v>
      </c>
      <c r="G279" s="3">
        <v>0</v>
      </c>
      <c r="H279" s="32">
        <v>68</v>
      </c>
      <c r="I279" s="32">
        <v>42</v>
      </c>
      <c r="J279" s="32">
        <v>49</v>
      </c>
      <c r="K279" s="32">
        <v>32</v>
      </c>
      <c r="L279" s="32">
        <v>62</v>
      </c>
      <c r="M279" s="32">
        <v>46</v>
      </c>
      <c r="N279" s="32">
        <v>55</v>
      </c>
      <c r="O279" s="32">
        <v>45</v>
      </c>
      <c r="P279" s="32">
        <v>67</v>
      </c>
      <c r="Q279" s="32">
        <v>60</v>
      </c>
      <c r="R279" s="32">
        <v>48</v>
      </c>
      <c r="S279" s="32">
        <v>40</v>
      </c>
      <c r="T279" s="32">
        <v>62</v>
      </c>
      <c r="U279" s="32">
        <v>50</v>
      </c>
      <c r="V279" s="30">
        <v>0.67039106145251393</v>
      </c>
      <c r="W279" s="30">
        <v>0.8529411764705882</v>
      </c>
      <c r="X279" s="32">
        <v>22029.22</v>
      </c>
      <c r="Y279" s="32">
        <v>22603</v>
      </c>
      <c r="Z279" s="32">
        <v>44632.22</v>
      </c>
      <c r="AA279" s="3">
        <f t="shared" si="4"/>
        <v>42658.57</v>
      </c>
      <c r="AB279" s="3"/>
      <c r="AC279" s="3"/>
      <c r="AF279" s="3"/>
      <c r="AG279" s="3"/>
      <c r="AH279" s="3"/>
    </row>
    <row r="280" spans="1:34" x14ac:dyDescent="0.25">
      <c r="A280">
        <v>2420002</v>
      </c>
      <c r="B280" s="2">
        <v>242</v>
      </c>
      <c r="C280" s="2">
        <v>1</v>
      </c>
      <c r="D280" s="2" t="s">
        <v>294</v>
      </c>
      <c r="E280" s="2">
        <v>2</v>
      </c>
      <c r="F280" s="2" t="s">
        <v>295</v>
      </c>
      <c r="G280" s="3">
        <v>0</v>
      </c>
      <c r="H280" s="32">
        <v>32</v>
      </c>
      <c r="I280" s="32">
        <v>26</v>
      </c>
      <c r="J280" s="32">
        <v>39</v>
      </c>
      <c r="K280" s="32">
        <v>33</v>
      </c>
      <c r="L280" s="32">
        <v>56</v>
      </c>
      <c r="M280" s="32">
        <v>44</v>
      </c>
      <c r="N280" s="32">
        <v>32</v>
      </c>
      <c r="O280" s="32">
        <v>23</v>
      </c>
      <c r="P280" s="32">
        <v>33</v>
      </c>
      <c r="Q280" s="32">
        <v>28</v>
      </c>
      <c r="R280" s="32">
        <v>36</v>
      </c>
      <c r="S280" s="32">
        <v>30</v>
      </c>
      <c r="T280" s="32">
        <v>55</v>
      </c>
      <c r="U280" s="32">
        <v>38</v>
      </c>
      <c r="V280" s="30">
        <v>0.8110236220472441</v>
      </c>
      <c r="W280" s="30">
        <v>0.80198019801980203</v>
      </c>
      <c r="X280" s="32">
        <v>23641.199999999997</v>
      </c>
      <c r="Y280" s="32">
        <v>16151.9</v>
      </c>
      <c r="Z280" s="32">
        <v>39793.1</v>
      </c>
      <c r="AA280" s="3">
        <f t="shared" si="4"/>
        <v>38033.440000000002</v>
      </c>
      <c r="AB280" s="3"/>
      <c r="AC280" s="3"/>
      <c r="AF280" s="3"/>
      <c r="AG280" s="3"/>
      <c r="AH280" s="3"/>
    </row>
    <row r="281" spans="1:34" x14ac:dyDescent="0.25">
      <c r="A281">
        <v>2520001</v>
      </c>
      <c r="B281" s="2">
        <v>252</v>
      </c>
      <c r="C281" s="2">
        <v>1</v>
      </c>
      <c r="D281" s="2" t="s">
        <v>296</v>
      </c>
      <c r="E281" s="2">
        <v>1</v>
      </c>
      <c r="F281" s="2" t="s">
        <v>297</v>
      </c>
      <c r="G281" s="3">
        <v>0</v>
      </c>
      <c r="H281" s="32">
        <v>81</v>
      </c>
      <c r="I281" s="32">
        <v>67</v>
      </c>
      <c r="J281" s="32">
        <v>83</v>
      </c>
      <c r="K281" s="32">
        <v>75</v>
      </c>
      <c r="L281" s="32">
        <v>87</v>
      </c>
      <c r="M281" s="32">
        <v>76</v>
      </c>
      <c r="N281" s="32">
        <v>84</v>
      </c>
      <c r="O281" s="32">
        <v>71</v>
      </c>
      <c r="P281" s="32">
        <v>76</v>
      </c>
      <c r="Q281" s="32">
        <v>65</v>
      </c>
      <c r="R281" s="32">
        <v>81</v>
      </c>
      <c r="S281" s="32">
        <v>65</v>
      </c>
      <c r="T281" s="32">
        <v>87</v>
      </c>
      <c r="U281" s="32">
        <v>86</v>
      </c>
      <c r="V281" s="30">
        <v>0.86852589641434264</v>
      </c>
      <c r="W281" s="30">
        <v>0.8340248962655602</v>
      </c>
      <c r="X281" s="32">
        <v>40047.839999999997</v>
      </c>
      <c r="Y281" s="32">
        <v>38014.579999999994</v>
      </c>
      <c r="Z281" s="32">
        <v>78062.419999999984</v>
      </c>
      <c r="AA281" s="3">
        <f t="shared" si="4"/>
        <v>74610.48</v>
      </c>
      <c r="AB281" s="3"/>
      <c r="AC281" s="3"/>
      <c r="AF281" s="3"/>
      <c r="AG281" s="3"/>
      <c r="AH281" s="3"/>
    </row>
    <row r="282" spans="1:34" x14ac:dyDescent="0.25">
      <c r="A282">
        <v>2530001</v>
      </c>
      <c r="B282" s="2">
        <v>253</v>
      </c>
      <c r="C282" s="2">
        <v>1</v>
      </c>
      <c r="D282" s="2" t="s">
        <v>298</v>
      </c>
      <c r="E282" s="2">
        <v>1</v>
      </c>
      <c r="F282" s="2" t="s">
        <v>299</v>
      </c>
      <c r="G282" s="3">
        <v>0</v>
      </c>
      <c r="H282" s="32">
        <v>50</v>
      </c>
      <c r="I282" s="32">
        <v>45</v>
      </c>
      <c r="J282" s="32">
        <v>33</v>
      </c>
      <c r="K282" s="32">
        <v>30</v>
      </c>
      <c r="L282" s="32">
        <v>54</v>
      </c>
      <c r="M282" s="32">
        <v>42</v>
      </c>
      <c r="N282" s="32">
        <v>37</v>
      </c>
      <c r="O282" s="32">
        <v>26</v>
      </c>
      <c r="P282" s="32">
        <v>49</v>
      </c>
      <c r="Q282" s="32">
        <v>34</v>
      </c>
      <c r="R282" s="32">
        <v>34</v>
      </c>
      <c r="S282" s="32">
        <v>23</v>
      </c>
      <c r="T282" s="32">
        <v>57</v>
      </c>
      <c r="U282" s="32">
        <v>38</v>
      </c>
      <c r="V282" s="30">
        <v>0.85401459854014594</v>
      </c>
      <c r="W282" s="30">
        <v>0.69166666666666665</v>
      </c>
      <c r="X282" s="32">
        <v>25799.91</v>
      </c>
      <c r="Y282" s="32">
        <v>13930.039999999999</v>
      </c>
      <c r="Z282" s="32">
        <v>39729.949999999997</v>
      </c>
      <c r="AA282" s="3">
        <f t="shared" si="4"/>
        <v>37973.08</v>
      </c>
      <c r="AB282" s="3"/>
      <c r="AC282" s="3"/>
      <c r="AF282" s="3"/>
      <c r="AG282" s="3"/>
      <c r="AH282" s="3"/>
    </row>
    <row r="283" spans="1:34" x14ac:dyDescent="0.25">
      <c r="A283">
        <v>2550010</v>
      </c>
      <c r="B283" s="2">
        <v>255</v>
      </c>
      <c r="C283" s="2">
        <v>1</v>
      </c>
      <c r="D283" s="2" t="s">
        <v>300</v>
      </c>
      <c r="E283" s="2">
        <v>10</v>
      </c>
      <c r="F283" s="2" t="s">
        <v>301</v>
      </c>
      <c r="G283" s="3">
        <v>0</v>
      </c>
      <c r="H283" s="32">
        <v>90</v>
      </c>
      <c r="I283" s="32">
        <v>71</v>
      </c>
      <c r="J283" s="32">
        <v>86</v>
      </c>
      <c r="K283" s="32">
        <v>76</v>
      </c>
      <c r="L283" s="32">
        <v>96</v>
      </c>
      <c r="M283" s="32">
        <v>88</v>
      </c>
      <c r="N283" s="32">
        <v>96</v>
      </c>
      <c r="O283" s="32">
        <v>51</v>
      </c>
      <c r="P283" s="32">
        <v>83</v>
      </c>
      <c r="Q283" s="32">
        <v>65</v>
      </c>
      <c r="R283" s="32">
        <v>82</v>
      </c>
      <c r="S283" s="32">
        <v>64</v>
      </c>
      <c r="T283" s="32">
        <v>98</v>
      </c>
      <c r="U283" s="32">
        <v>85</v>
      </c>
      <c r="V283" s="30">
        <v>0.86397058823529416</v>
      </c>
      <c r="W283" s="30">
        <v>0.68965517241379315</v>
      </c>
      <c r="X283" s="32">
        <v>44874.2</v>
      </c>
      <c r="Y283" s="32">
        <v>31069.199999999997</v>
      </c>
      <c r="Z283" s="32">
        <v>75943.399999999994</v>
      </c>
      <c r="AA283" s="3">
        <f t="shared" si="4"/>
        <v>72585.16</v>
      </c>
      <c r="AB283" s="3"/>
      <c r="AC283" s="3"/>
      <c r="AF283" s="3"/>
      <c r="AG283" s="3"/>
      <c r="AH283" s="3"/>
    </row>
    <row r="284" spans="1:34" x14ac:dyDescent="0.25">
      <c r="A284">
        <v>2560537</v>
      </c>
      <c r="B284" s="2">
        <v>256</v>
      </c>
      <c r="C284" s="2">
        <v>1</v>
      </c>
      <c r="D284" s="2" t="s">
        <v>302</v>
      </c>
      <c r="E284" s="2">
        <v>537</v>
      </c>
      <c r="F284" s="2" t="s">
        <v>303</v>
      </c>
      <c r="G284" s="3">
        <v>0</v>
      </c>
      <c r="H284" s="32">
        <v>201</v>
      </c>
      <c r="I284" s="32">
        <v>157</v>
      </c>
      <c r="J284" s="32">
        <v>206</v>
      </c>
      <c r="K284" s="32">
        <v>160</v>
      </c>
      <c r="L284" s="32">
        <v>187</v>
      </c>
      <c r="M284" s="32">
        <v>156</v>
      </c>
      <c r="N284" s="32">
        <v>181</v>
      </c>
      <c r="O284" s="32">
        <v>138</v>
      </c>
      <c r="P284" s="32">
        <v>183</v>
      </c>
      <c r="Q284" s="32">
        <v>150</v>
      </c>
      <c r="R284" s="32">
        <v>185</v>
      </c>
      <c r="S284" s="32">
        <v>152</v>
      </c>
      <c r="T284" s="32">
        <v>188</v>
      </c>
      <c r="U284" s="32">
        <v>214</v>
      </c>
      <c r="V284" s="30">
        <v>0.79629629629629628</v>
      </c>
      <c r="W284" s="30">
        <v>0.80145719489981782</v>
      </c>
      <c r="X284" s="32">
        <v>79343.520000000004</v>
      </c>
      <c r="Y284" s="32">
        <v>90900.78</v>
      </c>
      <c r="Z284" s="32">
        <v>170244.3</v>
      </c>
      <c r="AA284" s="3">
        <f t="shared" si="4"/>
        <v>162716.06</v>
      </c>
      <c r="AB284" s="3"/>
      <c r="AC284" s="3"/>
      <c r="AF284" s="3"/>
      <c r="AG284" s="3"/>
      <c r="AH284" s="3"/>
    </row>
    <row r="285" spans="1:34" x14ac:dyDescent="0.25">
      <c r="A285">
        <v>2610010</v>
      </c>
      <c r="B285">
        <v>261</v>
      </c>
      <c r="C285">
        <v>1</v>
      </c>
      <c r="D285" t="s">
        <v>304</v>
      </c>
      <c r="E285">
        <v>10</v>
      </c>
      <c r="F285" t="s">
        <v>305</v>
      </c>
      <c r="G285" s="3">
        <v>0</v>
      </c>
      <c r="H285" s="32">
        <v>18</v>
      </c>
      <c r="I285" s="32">
        <v>15</v>
      </c>
      <c r="J285" s="32">
        <v>20</v>
      </c>
      <c r="K285" s="32">
        <v>15</v>
      </c>
      <c r="L285" s="32">
        <v>24</v>
      </c>
      <c r="M285" s="32">
        <v>20</v>
      </c>
      <c r="N285" s="32">
        <v>21</v>
      </c>
      <c r="O285" s="32">
        <v>16</v>
      </c>
      <c r="P285" s="32">
        <v>17</v>
      </c>
      <c r="Q285" s="32">
        <v>14</v>
      </c>
      <c r="R285" s="32">
        <v>18</v>
      </c>
      <c r="S285" s="32">
        <v>13</v>
      </c>
      <c r="T285" s="32">
        <v>23</v>
      </c>
      <c r="U285" s="32">
        <v>18</v>
      </c>
      <c r="V285" s="30">
        <v>0.80645161290322576</v>
      </c>
      <c r="W285" s="30">
        <v>0.7678571428571429</v>
      </c>
      <c r="X285" s="32">
        <v>9830.66</v>
      </c>
      <c r="Y285" s="32">
        <v>7325.28</v>
      </c>
      <c r="Z285" s="32">
        <v>17155.939999999999</v>
      </c>
      <c r="AA285" s="3">
        <f t="shared" si="4"/>
        <v>16397.3</v>
      </c>
      <c r="AB285" s="3"/>
      <c r="AC285" s="3"/>
      <c r="AF285" s="3"/>
      <c r="AG285" s="3"/>
      <c r="AH285" s="3"/>
    </row>
    <row r="286" spans="1:34" x14ac:dyDescent="0.25">
      <c r="A286">
        <v>2640001</v>
      </c>
      <c r="B286" s="2">
        <v>264</v>
      </c>
      <c r="C286" s="2">
        <v>1</v>
      </c>
      <c r="D286" s="2" t="s">
        <v>1184</v>
      </c>
      <c r="E286" s="2">
        <v>1</v>
      </c>
      <c r="F286" s="2" t="s">
        <v>1185</v>
      </c>
      <c r="G286" s="3">
        <v>1</v>
      </c>
      <c r="H286" s="32" t="s">
        <v>1328</v>
      </c>
      <c r="I286" s="32" t="s">
        <v>1328</v>
      </c>
      <c r="J286" s="32" t="s">
        <v>1328</v>
      </c>
      <c r="K286" s="32" t="s">
        <v>1328</v>
      </c>
      <c r="L286" s="32" t="s">
        <v>1328</v>
      </c>
      <c r="M286" s="32" t="s">
        <v>1328</v>
      </c>
      <c r="N286" s="32" t="s">
        <v>1328</v>
      </c>
      <c r="O286" s="32" t="s">
        <v>1328</v>
      </c>
      <c r="P286" s="32" t="s">
        <v>1328</v>
      </c>
      <c r="Q286" s="32" t="s">
        <v>1328</v>
      </c>
      <c r="R286" s="32" t="s">
        <v>1328</v>
      </c>
      <c r="S286" s="32" t="s">
        <v>1328</v>
      </c>
      <c r="T286" s="32">
        <v>4</v>
      </c>
      <c r="U286" s="32">
        <v>9</v>
      </c>
      <c r="V286" s="30" t="s">
        <v>1328</v>
      </c>
      <c r="W286" s="30" t="s">
        <v>1328</v>
      </c>
      <c r="X286" s="32" t="s">
        <v>1328</v>
      </c>
      <c r="Y286" s="32" t="s">
        <v>1328</v>
      </c>
      <c r="Z286" s="32">
        <v>4416.6099999999997</v>
      </c>
      <c r="AA286" s="3">
        <f t="shared" si="4"/>
        <v>4221.3100000000004</v>
      </c>
      <c r="AB286" s="3"/>
      <c r="AC286" s="3"/>
      <c r="AF286" s="3"/>
      <c r="AG286" s="3"/>
      <c r="AH286" s="3"/>
    </row>
    <row r="287" spans="1:34" x14ac:dyDescent="0.25">
      <c r="A287">
        <v>2700561</v>
      </c>
      <c r="B287" s="2">
        <v>270</v>
      </c>
      <c r="C287" s="2">
        <v>1</v>
      </c>
      <c r="D287" s="2" t="s">
        <v>306</v>
      </c>
      <c r="E287" s="2">
        <v>561</v>
      </c>
      <c r="F287" s="2" t="s">
        <v>307</v>
      </c>
      <c r="G287" s="3">
        <v>0</v>
      </c>
      <c r="H287" s="32">
        <v>92</v>
      </c>
      <c r="I287" s="32">
        <v>66</v>
      </c>
      <c r="J287" s="32">
        <v>91</v>
      </c>
      <c r="K287" s="32">
        <v>61</v>
      </c>
      <c r="L287" s="32">
        <v>69</v>
      </c>
      <c r="M287" s="32">
        <v>43</v>
      </c>
      <c r="N287" s="32">
        <v>75</v>
      </c>
      <c r="O287" s="32">
        <v>45</v>
      </c>
      <c r="P287" s="32">
        <v>87</v>
      </c>
      <c r="Q287" s="32">
        <v>60</v>
      </c>
      <c r="R287" s="32">
        <v>80</v>
      </c>
      <c r="S287" s="32">
        <v>55</v>
      </c>
      <c r="T287" s="32">
        <v>68</v>
      </c>
      <c r="U287" s="32">
        <v>90</v>
      </c>
      <c r="V287" s="30">
        <v>0.67460317460317465</v>
      </c>
      <c r="W287" s="30">
        <v>0.66115702479338845</v>
      </c>
      <c r="X287" s="32">
        <v>24312.720000000001</v>
      </c>
      <c r="Y287" s="32">
        <v>31536.9</v>
      </c>
      <c r="Z287" s="32">
        <v>55849.62</v>
      </c>
      <c r="AA287" s="3">
        <f t="shared" si="4"/>
        <v>53379.94</v>
      </c>
      <c r="AB287" s="3"/>
      <c r="AC287" s="3"/>
      <c r="AF287" s="3"/>
      <c r="AG287" s="3"/>
      <c r="AH287" s="3"/>
    </row>
    <row r="288" spans="1:34" x14ac:dyDescent="0.25">
      <c r="A288">
        <v>2700563</v>
      </c>
      <c r="B288" s="2">
        <v>270</v>
      </c>
      <c r="C288" s="2">
        <v>1</v>
      </c>
      <c r="D288" s="2" t="s">
        <v>306</v>
      </c>
      <c r="E288" s="2">
        <v>563</v>
      </c>
      <c r="F288" s="2" t="s">
        <v>308</v>
      </c>
      <c r="G288" s="3">
        <v>0</v>
      </c>
      <c r="H288" s="32">
        <v>71</v>
      </c>
      <c r="I288" s="32">
        <v>63</v>
      </c>
      <c r="J288" s="32">
        <v>71</v>
      </c>
      <c r="K288" s="32">
        <v>62</v>
      </c>
      <c r="L288" s="32">
        <v>66</v>
      </c>
      <c r="M288" s="32">
        <v>60</v>
      </c>
      <c r="N288" s="32">
        <v>69</v>
      </c>
      <c r="O288" s="32">
        <v>51</v>
      </c>
      <c r="P288" s="32">
        <v>72</v>
      </c>
      <c r="Q288" s="32">
        <v>49</v>
      </c>
      <c r="R288" s="32">
        <v>78</v>
      </c>
      <c r="S288" s="32">
        <v>64</v>
      </c>
      <c r="T288" s="32">
        <v>72</v>
      </c>
      <c r="U288" s="32">
        <v>85</v>
      </c>
      <c r="V288" s="30">
        <v>0.88942307692307687</v>
      </c>
      <c r="W288" s="30">
        <v>0.74885844748858443</v>
      </c>
      <c r="X288" s="32">
        <v>33940.080000000002</v>
      </c>
      <c r="Y288" s="32">
        <v>33735.65</v>
      </c>
      <c r="Z288" s="32">
        <v>67675.73000000001</v>
      </c>
      <c r="AA288" s="3">
        <f t="shared" si="4"/>
        <v>64683.09</v>
      </c>
      <c r="AB288" s="3"/>
      <c r="AC288" s="3"/>
      <c r="AF288" s="3"/>
      <c r="AG288" s="3"/>
      <c r="AH288" s="3"/>
    </row>
    <row r="289" spans="1:34" x14ac:dyDescent="0.25">
      <c r="A289">
        <v>2700566</v>
      </c>
      <c r="B289" s="2">
        <v>270</v>
      </c>
      <c r="C289" s="2">
        <v>1</v>
      </c>
      <c r="D289" s="2" t="s">
        <v>306</v>
      </c>
      <c r="E289" s="2">
        <v>566</v>
      </c>
      <c r="F289" s="2" t="s">
        <v>74</v>
      </c>
      <c r="G289" s="3">
        <v>0</v>
      </c>
      <c r="H289" s="32">
        <v>92</v>
      </c>
      <c r="I289" s="32">
        <v>59</v>
      </c>
      <c r="J289" s="32">
        <v>110</v>
      </c>
      <c r="K289" s="32">
        <v>73</v>
      </c>
      <c r="L289" s="32">
        <v>130</v>
      </c>
      <c r="M289" s="32">
        <v>95</v>
      </c>
      <c r="N289" s="32">
        <v>61</v>
      </c>
      <c r="O289" s="32">
        <v>38</v>
      </c>
      <c r="P289" s="32">
        <v>77</v>
      </c>
      <c r="Q289" s="32">
        <v>67</v>
      </c>
      <c r="R289" s="32">
        <v>99</v>
      </c>
      <c r="S289" s="32">
        <v>90</v>
      </c>
      <c r="T289" s="32">
        <v>135</v>
      </c>
      <c r="U289" s="32">
        <v>109</v>
      </c>
      <c r="V289" s="30">
        <v>0.6837349397590361</v>
      </c>
      <c r="W289" s="30">
        <v>0.82278481012658233</v>
      </c>
      <c r="X289" s="32">
        <v>48921.3</v>
      </c>
      <c r="Y289" s="32">
        <v>47532.72</v>
      </c>
      <c r="Z289" s="32">
        <v>96454.02</v>
      </c>
      <c r="AA289" s="3">
        <f t="shared" si="4"/>
        <v>92188.800000000003</v>
      </c>
      <c r="AB289" s="3"/>
      <c r="AC289" s="3"/>
      <c r="AF289" s="3"/>
      <c r="AG289" s="3"/>
      <c r="AH289" s="3"/>
    </row>
    <row r="290" spans="1:34" x14ac:dyDescent="0.25">
      <c r="A290">
        <v>2700567</v>
      </c>
      <c r="B290">
        <v>270</v>
      </c>
      <c r="C290" s="2">
        <v>1</v>
      </c>
      <c r="D290" s="2" t="s">
        <v>306</v>
      </c>
      <c r="E290">
        <v>567</v>
      </c>
      <c r="F290" s="2" t="s">
        <v>309</v>
      </c>
      <c r="G290" s="3">
        <v>0</v>
      </c>
      <c r="H290" s="32">
        <v>79</v>
      </c>
      <c r="I290" s="32">
        <v>68</v>
      </c>
      <c r="J290" s="32">
        <v>82</v>
      </c>
      <c r="K290" s="32">
        <v>58</v>
      </c>
      <c r="L290" s="32">
        <v>69</v>
      </c>
      <c r="M290" s="32">
        <v>51</v>
      </c>
      <c r="N290" s="32">
        <v>70</v>
      </c>
      <c r="O290" s="32">
        <v>54</v>
      </c>
      <c r="P290" s="32">
        <v>76</v>
      </c>
      <c r="Q290" s="32">
        <v>55</v>
      </c>
      <c r="R290" s="32">
        <v>75</v>
      </c>
      <c r="S290" s="32">
        <v>50</v>
      </c>
      <c r="T290" s="32">
        <v>69</v>
      </c>
      <c r="U290" s="32">
        <v>83</v>
      </c>
      <c r="V290" s="30">
        <v>0.76956521739130435</v>
      </c>
      <c r="W290" s="30">
        <v>0.71945701357466063</v>
      </c>
      <c r="X290" s="32">
        <v>28143.03</v>
      </c>
      <c r="Y290" s="32">
        <v>31648.73</v>
      </c>
      <c r="Z290" s="32">
        <v>59791.759999999995</v>
      </c>
      <c r="AA290" s="3">
        <f t="shared" si="4"/>
        <v>57147.75</v>
      </c>
      <c r="AB290" s="3"/>
      <c r="AC290" s="3"/>
      <c r="AF290" s="3"/>
      <c r="AG290" s="3"/>
      <c r="AH290" s="3"/>
    </row>
    <row r="291" spans="1:34" x14ac:dyDescent="0.25">
      <c r="A291">
        <v>2700569</v>
      </c>
      <c r="B291" s="2">
        <v>270</v>
      </c>
      <c r="C291" s="2">
        <v>1</v>
      </c>
      <c r="D291" s="2" t="s">
        <v>306</v>
      </c>
      <c r="E291" s="2">
        <v>569</v>
      </c>
      <c r="F291" s="2" t="s">
        <v>310</v>
      </c>
      <c r="G291" s="3">
        <v>0</v>
      </c>
      <c r="H291" s="32">
        <v>89</v>
      </c>
      <c r="I291" s="32">
        <v>73</v>
      </c>
      <c r="J291" s="32">
        <v>57</v>
      </c>
      <c r="K291" s="32">
        <v>39</v>
      </c>
      <c r="L291" s="32">
        <v>87</v>
      </c>
      <c r="M291" s="32">
        <v>66</v>
      </c>
      <c r="N291" s="32">
        <v>78</v>
      </c>
      <c r="O291" s="32">
        <v>59</v>
      </c>
      <c r="P291" s="32">
        <v>76</v>
      </c>
      <c r="Q291" s="32">
        <v>66</v>
      </c>
      <c r="R291" s="32">
        <v>52</v>
      </c>
      <c r="S291" s="32">
        <v>36</v>
      </c>
      <c r="T291" s="32">
        <v>86</v>
      </c>
      <c r="U291" s="32">
        <v>59</v>
      </c>
      <c r="V291" s="30">
        <v>0.76394849785407726</v>
      </c>
      <c r="W291" s="30">
        <v>0.78155339805825241</v>
      </c>
      <c r="X291" s="32">
        <v>34820.54</v>
      </c>
      <c r="Y291" s="32">
        <v>24438.980000000003</v>
      </c>
      <c r="Z291" s="32">
        <v>59259.520000000004</v>
      </c>
      <c r="AA291" s="3">
        <f t="shared" si="4"/>
        <v>56639.05</v>
      </c>
      <c r="AB291" s="3"/>
      <c r="AC291" s="3"/>
      <c r="AF291" s="3"/>
      <c r="AG291" s="3"/>
      <c r="AH291" s="3"/>
    </row>
    <row r="292" spans="1:34" x14ac:dyDescent="0.25">
      <c r="A292">
        <v>2700570</v>
      </c>
      <c r="B292" s="2">
        <v>270</v>
      </c>
      <c r="C292" s="2">
        <v>1</v>
      </c>
      <c r="D292" s="2" t="s">
        <v>306</v>
      </c>
      <c r="E292" s="2">
        <v>570</v>
      </c>
      <c r="F292" s="2" t="s">
        <v>311</v>
      </c>
      <c r="G292" s="3">
        <v>0</v>
      </c>
      <c r="H292" s="32">
        <v>102</v>
      </c>
      <c r="I292" s="32">
        <v>85</v>
      </c>
      <c r="J292" s="32">
        <v>79</v>
      </c>
      <c r="K292" s="32">
        <v>67</v>
      </c>
      <c r="L292" s="32">
        <v>83</v>
      </c>
      <c r="M292" s="32">
        <v>78</v>
      </c>
      <c r="N292" s="32">
        <v>91</v>
      </c>
      <c r="O292" s="32">
        <v>69</v>
      </c>
      <c r="P292" s="32">
        <v>98</v>
      </c>
      <c r="Q292" s="32">
        <v>85</v>
      </c>
      <c r="R292" s="32">
        <v>75</v>
      </c>
      <c r="S292" s="32">
        <v>65</v>
      </c>
      <c r="T292" s="32">
        <v>82</v>
      </c>
      <c r="U292" s="32">
        <v>79</v>
      </c>
      <c r="V292" s="30">
        <v>0.87121212121212122</v>
      </c>
      <c r="W292" s="30">
        <v>0.82954545454545459</v>
      </c>
      <c r="X292" s="32">
        <v>37862.68</v>
      </c>
      <c r="Y292" s="32">
        <v>34733.14</v>
      </c>
      <c r="Z292" s="32">
        <v>72595.820000000007</v>
      </c>
      <c r="AA292" s="3">
        <f t="shared" si="4"/>
        <v>69385.62</v>
      </c>
      <c r="AB292" s="3"/>
      <c r="AC292" s="3"/>
      <c r="AF292" s="3"/>
      <c r="AG292" s="3"/>
      <c r="AH292" s="3"/>
    </row>
    <row r="293" spans="1:34" x14ac:dyDescent="0.25">
      <c r="A293">
        <v>2710432</v>
      </c>
      <c r="B293" s="2">
        <v>271</v>
      </c>
      <c r="C293" s="2">
        <v>1</v>
      </c>
      <c r="D293" s="2" t="s">
        <v>312</v>
      </c>
      <c r="E293" s="2">
        <v>432</v>
      </c>
      <c r="F293" s="2" t="s">
        <v>313</v>
      </c>
      <c r="G293" s="3">
        <v>0</v>
      </c>
      <c r="H293" s="32">
        <v>90</v>
      </c>
      <c r="I293" s="32">
        <v>67</v>
      </c>
      <c r="J293" s="32">
        <v>72</v>
      </c>
      <c r="K293" s="32">
        <v>51</v>
      </c>
      <c r="L293" s="32">
        <v>64</v>
      </c>
      <c r="M293" s="32">
        <v>45</v>
      </c>
      <c r="N293" s="32">
        <v>80</v>
      </c>
      <c r="O293" s="32">
        <v>50</v>
      </c>
      <c r="P293" s="32">
        <v>81</v>
      </c>
      <c r="Q293" s="32">
        <v>61</v>
      </c>
      <c r="R293" s="32">
        <v>61</v>
      </c>
      <c r="S293" s="32">
        <v>40</v>
      </c>
      <c r="T293" s="32">
        <v>68</v>
      </c>
      <c r="U293" s="32">
        <v>70</v>
      </c>
      <c r="V293" s="30">
        <v>0.72123893805309736</v>
      </c>
      <c r="W293" s="30">
        <v>0.68018018018018023</v>
      </c>
      <c r="X293" s="32">
        <v>25993.68</v>
      </c>
      <c r="Y293" s="32">
        <v>25235</v>
      </c>
      <c r="Z293" s="32">
        <v>51228.68</v>
      </c>
      <c r="AA293" s="3">
        <f t="shared" si="4"/>
        <v>48963.34</v>
      </c>
      <c r="AB293" s="3"/>
      <c r="AC293" s="3"/>
      <c r="AF293" s="3"/>
      <c r="AG293" s="3"/>
      <c r="AH293" s="3"/>
    </row>
    <row r="294" spans="1:34" x14ac:dyDescent="0.25">
      <c r="A294">
        <v>2710443</v>
      </c>
      <c r="B294" s="2">
        <v>271</v>
      </c>
      <c r="C294" s="2">
        <v>1</v>
      </c>
      <c r="D294" s="2" t="s">
        <v>312</v>
      </c>
      <c r="E294" s="2">
        <v>443</v>
      </c>
      <c r="F294" s="2" t="s">
        <v>314</v>
      </c>
      <c r="G294" s="3">
        <v>0</v>
      </c>
      <c r="H294" s="32">
        <v>77</v>
      </c>
      <c r="I294" s="32">
        <v>69</v>
      </c>
      <c r="J294" s="32">
        <v>63</v>
      </c>
      <c r="K294" s="32">
        <v>56</v>
      </c>
      <c r="L294" s="32">
        <v>74</v>
      </c>
      <c r="M294" s="32">
        <v>66</v>
      </c>
      <c r="N294" s="32">
        <v>61</v>
      </c>
      <c r="O294" s="32">
        <v>45</v>
      </c>
      <c r="P294" s="32">
        <v>74</v>
      </c>
      <c r="Q294" s="32">
        <v>63</v>
      </c>
      <c r="R294" s="32">
        <v>63</v>
      </c>
      <c r="S294" s="32">
        <v>57</v>
      </c>
      <c r="T294" s="32">
        <v>80</v>
      </c>
      <c r="U294" s="32">
        <v>68</v>
      </c>
      <c r="V294" s="30">
        <v>0.89252336448598135</v>
      </c>
      <c r="W294" s="30">
        <v>0.83333333333333337</v>
      </c>
      <c r="X294" s="32">
        <v>37843.200000000004</v>
      </c>
      <c r="Y294" s="32">
        <v>30033.56</v>
      </c>
      <c r="Z294" s="32">
        <v>67876.760000000009</v>
      </c>
      <c r="AA294" s="3">
        <f t="shared" si="4"/>
        <v>64875.23</v>
      </c>
      <c r="AB294" s="3"/>
      <c r="AC294" s="3"/>
      <c r="AF294" s="3"/>
      <c r="AG294" s="3"/>
      <c r="AH294" s="3"/>
    </row>
    <row r="295" spans="1:34" x14ac:dyDescent="0.25">
      <c r="A295">
        <v>2710446</v>
      </c>
      <c r="B295" s="2">
        <v>271</v>
      </c>
      <c r="C295" s="2">
        <v>1</v>
      </c>
      <c r="D295" s="2" t="s">
        <v>312</v>
      </c>
      <c r="E295" s="2">
        <v>446</v>
      </c>
      <c r="F295" s="2" t="s">
        <v>315</v>
      </c>
      <c r="G295" s="3">
        <v>0</v>
      </c>
      <c r="H295" s="32">
        <v>77</v>
      </c>
      <c r="I295" s="32">
        <v>49</v>
      </c>
      <c r="J295" s="32">
        <v>64</v>
      </c>
      <c r="K295" s="32">
        <v>39</v>
      </c>
      <c r="L295" s="32">
        <v>51</v>
      </c>
      <c r="M295" s="32">
        <v>41</v>
      </c>
      <c r="N295" s="32">
        <v>65</v>
      </c>
      <c r="O295" s="32">
        <v>48</v>
      </c>
      <c r="P295" s="32">
        <v>78</v>
      </c>
      <c r="Q295" s="32">
        <v>68</v>
      </c>
      <c r="R295" s="32">
        <v>64</v>
      </c>
      <c r="S295" s="32">
        <v>53</v>
      </c>
      <c r="T295" s="32">
        <v>52</v>
      </c>
      <c r="U295" s="32">
        <v>67</v>
      </c>
      <c r="V295" s="30">
        <v>0.671875</v>
      </c>
      <c r="W295" s="30">
        <v>0.81642512077294682</v>
      </c>
      <c r="X295" s="32">
        <v>18516.68</v>
      </c>
      <c r="Y295" s="32">
        <v>28991.57</v>
      </c>
      <c r="Z295" s="32">
        <v>47508.25</v>
      </c>
      <c r="AA295" s="3">
        <f t="shared" si="4"/>
        <v>45407.42</v>
      </c>
      <c r="AB295" s="3"/>
      <c r="AC295" s="3"/>
      <c r="AF295" s="3"/>
      <c r="AG295" s="3"/>
      <c r="AH295" s="3"/>
    </row>
    <row r="296" spans="1:34" x14ac:dyDescent="0.25">
      <c r="A296">
        <v>2710447</v>
      </c>
      <c r="B296">
        <v>271</v>
      </c>
      <c r="C296" s="2">
        <v>1</v>
      </c>
      <c r="D296" s="2" t="s">
        <v>312</v>
      </c>
      <c r="E296">
        <v>447</v>
      </c>
      <c r="F296" s="2" t="s">
        <v>316</v>
      </c>
      <c r="G296" s="3">
        <v>0</v>
      </c>
      <c r="H296" s="32">
        <v>69</v>
      </c>
      <c r="I296" s="32">
        <v>50</v>
      </c>
      <c r="J296" s="32">
        <v>86</v>
      </c>
      <c r="K296" s="32">
        <v>73</v>
      </c>
      <c r="L296" s="32">
        <v>95</v>
      </c>
      <c r="M296" s="32">
        <v>81</v>
      </c>
      <c r="N296" s="32">
        <v>84</v>
      </c>
      <c r="O296" s="32">
        <v>65</v>
      </c>
      <c r="P296" s="32">
        <v>63</v>
      </c>
      <c r="Q296" s="32">
        <v>61</v>
      </c>
      <c r="R296" s="32">
        <v>95</v>
      </c>
      <c r="S296" s="32">
        <v>71</v>
      </c>
      <c r="T296" s="32">
        <v>99</v>
      </c>
      <c r="U296" s="32">
        <v>100</v>
      </c>
      <c r="V296" s="30">
        <v>0.81599999999999995</v>
      </c>
      <c r="W296" s="30">
        <v>0.81404958677685946</v>
      </c>
      <c r="X296" s="32">
        <v>42815.520000000004</v>
      </c>
      <c r="Y296" s="32">
        <v>43145</v>
      </c>
      <c r="Z296" s="32">
        <v>85960.52</v>
      </c>
      <c r="AA296" s="3">
        <f t="shared" si="4"/>
        <v>82159.33</v>
      </c>
      <c r="AB296" s="3"/>
      <c r="AC296" s="3"/>
      <c r="AF296" s="3"/>
      <c r="AG296" s="3"/>
      <c r="AH296" s="3"/>
    </row>
    <row r="297" spans="1:34" x14ac:dyDescent="0.25">
      <c r="A297">
        <v>2710448</v>
      </c>
      <c r="B297" s="2">
        <v>271</v>
      </c>
      <c r="C297" s="2">
        <v>1</v>
      </c>
      <c r="D297" s="2" t="s">
        <v>312</v>
      </c>
      <c r="E297" s="2">
        <v>448</v>
      </c>
      <c r="F297" s="2" t="s">
        <v>317</v>
      </c>
      <c r="G297" s="3">
        <v>0</v>
      </c>
      <c r="H297" s="32">
        <v>86</v>
      </c>
      <c r="I297" s="32">
        <v>57</v>
      </c>
      <c r="J297" s="32">
        <v>78</v>
      </c>
      <c r="K297" s="32">
        <v>63</v>
      </c>
      <c r="L297" s="32">
        <v>58</v>
      </c>
      <c r="M297" s="32">
        <v>46</v>
      </c>
      <c r="N297" s="32">
        <v>79</v>
      </c>
      <c r="O297" s="32">
        <v>42</v>
      </c>
      <c r="P297" s="32">
        <v>75</v>
      </c>
      <c r="Q297" s="32">
        <v>59</v>
      </c>
      <c r="R297" s="32">
        <v>69</v>
      </c>
      <c r="S297" s="32">
        <v>54</v>
      </c>
      <c r="T297" s="32">
        <v>56</v>
      </c>
      <c r="U297" s="32">
        <v>72</v>
      </c>
      <c r="V297" s="30">
        <v>0.74774774774774777</v>
      </c>
      <c r="W297" s="30">
        <v>0.69506726457399104</v>
      </c>
      <c r="X297" s="32">
        <v>22193.360000000001</v>
      </c>
      <c r="Y297" s="32">
        <v>26524.079999999998</v>
      </c>
      <c r="Z297" s="32">
        <v>48717.440000000002</v>
      </c>
      <c r="AA297" s="3">
        <f t="shared" si="4"/>
        <v>46563.14</v>
      </c>
      <c r="AB297" s="3"/>
      <c r="AC297" s="3"/>
      <c r="AF297" s="3"/>
      <c r="AG297" s="3"/>
      <c r="AH297" s="3"/>
    </row>
    <row r="298" spans="1:34" x14ac:dyDescent="0.25">
      <c r="A298">
        <v>2710450</v>
      </c>
      <c r="B298" s="2">
        <v>271</v>
      </c>
      <c r="C298" s="2">
        <v>1</v>
      </c>
      <c r="D298" s="2" t="s">
        <v>312</v>
      </c>
      <c r="E298" s="2">
        <v>450</v>
      </c>
      <c r="F298" s="2" t="s">
        <v>318</v>
      </c>
      <c r="G298" s="3">
        <v>0</v>
      </c>
      <c r="H298" s="32">
        <v>85</v>
      </c>
      <c r="I298" s="32">
        <v>76</v>
      </c>
      <c r="J298" s="32">
        <v>83</v>
      </c>
      <c r="K298" s="32">
        <v>71</v>
      </c>
      <c r="L298" s="32">
        <v>93</v>
      </c>
      <c r="M298" s="32">
        <v>71</v>
      </c>
      <c r="N298" s="32">
        <v>74</v>
      </c>
      <c r="O298" s="32">
        <v>62</v>
      </c>
      <c r="P298" s="32">
        <v>85</v>
      </c>
      <c r="Q298" s="32">
        <v>74</v>
      </c>
      <c r="R298" s="32">
        <v>91</v>
      </c>
      <c r="S298" s="32">
        <v>75</v>
      </c>
      <c r="T298" s="32">
        <v>92</v>
      </c>
      <c r="U298" s="32">
        <v>95</v>
      </c>
      <c r="V298" s="30">
        <v>0.83524904214559392</v>
      </c>
      <c r="W298" s="30">
        <v>0.84399999999999997</v>
      </c>
      <c r="X298" s="32">
        <v>40726.559999999998</v>
      </c>
      <c r="Y298" s="32">
        <v>42495.4</v>
      </c>
      <c r="Z298" s="32">
        <v>83221.959999999992</v>
      </c>
      <c r="AA298" s="3">
        <f t="shared" si="4"/>
        <v>79541.87</v>
      </c>
      <c r="AB298" s="3"/>
      <c r="AC298" s="3"/>
      <c r="AF298" s="3"/>
      <c r="AG298" s="3"/>
      <c r="AH298" s="3"/>
    </row>
    <row r="299" spans="1:34" x14ac:dyDescent="0.25">
      <c r="A299">
        <v>2710454</v>
      </c>
      <c r="B299" s="2">
        <v>271</v>
      </c>
      <c r="C299" s="2">
        <v>1</v>
      </c>
      <c r="D299" s="2" t="s">
        <v>312</v>
      </c>
      <c r="E299" s="2">
        <v>454</v>
      </c>
      <c r="F299" s="2" t="s">
        <v>319</v>
      </c>
      <c r="G299" s="3">
        <v>0</v>
      </c>
      <c r="H299" s="32">
        <v>62</v>
      </c>
      <c r="I299" s="32">
        <v>52</v>
      </c>
      <c r="J299" s="32">
        <v>57</v>
      </c>
      <c r="K299" s="32">
        <v>44</v>
      </c>
      <c r="L299" s="32">
        <v>78</v>
      </c>
      <c r="M299" s="32">
        <v>60</v>
      </c>
      <c r="N299" s="32">
        <v>59</v>
      </c>
      <c r="O299" s="32">
        <v>43</v>
      </c>
      <c r="P299" s="32">
        <v>59</v>
      </c>
      <c r="Q299" s="32">
        <v>53</v>
      </c>
      <c r="R299" s="32">
        <v>63</v>
      </c>
      <c r="S299" s="32">
        <v>55</v>
      </c>
      <c r="T299" s="32">
        <v>78</v>
      </c>
      <c r="U299" s="32">
        <v>66</v>
      </c>
      <c r="V299" s="30">
        <v>0.79187817258883253</v>
      </c>
      <c r="W299" s="30">
        <v>0.83425414364640882</v>
      </c>
      <c r="X299" s="32">
        <v>32736.6</v>
      </c>
      <c r="Y299" s="32">
        <v>29181.899999999998</v>
      </c>
      <c r="Z299" s="32">
        <v>61918.5</v>
      </c>
      <c r="AA299" s="3">
        <f t="shared" si="4"/>
        <v>59180.45</v>
      </c>
      <c r="AB299" s="3"/>
      <c r="AC299" s="3"/>
      <c r="AF299" s="3"/>
      <c r="AG299" s="3"/>
      <c r="AH299" s="3"/>
    </row>
    <row r="300" spans="1:34" x14ac:dyDescent="0.25">
      <c r="A300">
        <v>2710455</v>
      </c>
      <c r="B300" s="2">
        <v>271</v>
      </c>
      <c r="C300" s="2">
        <v>1</v>
      </c>
      <c r="D300" s="2" t="s">
        <v>312</v>
      </c>
      <c r="E300" s="2">
        <v>455</v>
      </c>
      <c r="F300" s="2" t="s">
        <v>320</v>
      </c>
      <c r="G300" s="3">
        <v>0</v>
      </c>
      <c r="H300" s="32">
        <v>66</v>
      </c>
      <c r="I300" s="32">
        <v>51</v>
      </c>
      <c r="J300" s="32">
        <v>73</v>
      </c>
      <c r="K300" s="32">
        <v>65</v>
      </c>
      <c r="L300" s="32">
        <v>67</v>
      </c>
      <c r="M300" s="32">
        <v>54</v>
      </c>
      <c r="N300" s="32">
        <v>60</v>
      </c>
      <c r="O300" s="32">
        <v>53</v>
      </c>
      <c r="P300" s="32">
        <v>81</v>
      </c>
      <c r="Q300" s="32">
        <v>72</v>
      </c>
      <c r="R300" s="32">
        <v>66</v>
      </c>
      <c r="S300" s="32">
        <v>60</v>
      </c>
      <c r="T300" s="32">
        <v>68</v>
      </c>
      <c r="U300" s="32">
        <v>70</v>
      </c>
      <c r="V300" s="30">
        <v>0.82524271844660191</v>
      </c>
      <c r="W300" s="30">
        <v>0.893719806763285</v>
      </c>
      <c r="X300" s="32">
        <v>29741.84</v>
      </c>
      <c r="Y300" s="32">
        <v>33156.9</v>
      </c>
      <c r="Z300" s="32">
        <v>62898.740000000005</v>
      </c>
      <c r="AA300" s="3">
        <f t="shared" si="4"/>
        <v>60117.34</v>
      </c>
      <c r="AB300" s="3"/>
      <c r="AC300" s="3"/>
      <c r="AF300" s="3"/>
      <c r="AG300" s="3"/>
      <c r="AH300" s="3"/>
    </row>
    <row r="301" spans="1:34" x14ac:dyDescent="0.25">
      <c r="A301">
        <v>2710459</v>
      </c>
      <c r="B301" s="2">
        <v>271</v>
      </c>
      <c r="C301" s="2">
        <v>1</v>
      </c>
      <c r="D301" s="2" t="s">
        <v>312</v>
      </c>
      <c r="E301" s="2">
        <v>459</v>
      </c>
      <c r="F301" s="2" t="s">
        <v>89</v>
      </c>
      <c r="G301" s="3">
        <v>0</v>
      </c>
      <c r="H301" s="32">
        <v>93</v>
      </c>
      <c r="I301" s="32">
        <v>53</v>
      </c>
      <c r="J301" s="32">
        <v>97</v>
      </c>
      <c r="K301" s="32">
        <v>60</v>
      </c>
      <c r="L301" s="32">
        <v>92</v>
      </c>
      <c r="M301" s="32">
        <v>60</v>
      </c>
      <c r="N301" s="32">
        <v>92</v>
      </c>
      <c r="O301" s="32">
        <v>55</v>
      </c>
      <c r="P301" s="32">
        <v>75</v>
      </c>
      <c r="Q301" s="32">
        <v>56</v>
      </c>
      <c r="R301" s="32">
        <v>71</v>
      </c>
      <c r="S301" s="32">
        <v>50</v>
      </c>
      <c r="T301" s="32">
        <v>94</v>
      </c>
      <c r="U301" s="32">
        <v>83</v>
      </c>
      <c r="V301" s="30">
        <v>0.61347517730496459</v>
      </c>
      <c r="W301" s="30">
        <v>0.67647058823529416</v>
      </c>
      <c r="X301" s="32">
        <v>30563.16</v>
      </c>
      <c r="Y301" s="32">
        <v>29757.989999999998</v>
      </c>
      <c r="Z301" s="32">
        <v>60321.149999999994</v>
      </c>
      <c r="AA301" s="3">
        <f t="shared" si="4"/>
        <v>57653.73</v>
      </c>
      <c r="AB301" s="3"/>
      <c r="AC301" s="3"/>
      <c r="AF301" s="3"/>
      <c r="AG301" s="3"/>
      <c r="AH301" s="3"/>
    </row>
    <row r="302" spans="1:34" x14ac:dyDescent="0.25">
      <c r="A302">
        <v>2710461</v>
      </c>
      <c r="B302" s="2">
        <v>271</v>
      </c>
      <c r="C302" s="2">
        <v>1</v>
      </c>
      <c r="D302" s="2" t="s">
        <v>312</v>
      </c>
      <c r="E302" s="2">
        <v>461</v>
      </c>
      <c r="F302" s="2" t="s">
        <v>321</v>
      </c>
      <c r="G302" s="3">
        <v>0</v>
      </c>
      <c r="H302" s="32">
        <v>51</v>
      </c>
      <c r="I302" s="32">
        <v>42</v>
      </c>
      <c r="J302" s="32">
        <v>55</v>
      </c>
      <c r="K302" s="32">
        <v>41</v>
      </c>
      <c r="L302" s="32">
        <v>61</v>
      </c>
      <c r="M302" s="32">
        <v>49</v>
      </c>
      <c r="N302" s="32">
        <v>66</v>
      </c>
      <c r="O302" s="32">
        <v>41</v>
      </c>
      <c r="P302" s="32">
        <v>44</v>
      </c>
      <c r="Q302" s="32">
        <v>37</v>
      </c>
      <c r="R302" s="32">
        <v>56</v>
      </c>
      <c r="S302" s="32">
        <v>38</v>
      </c>
      <c r="T302" s="32">
        <v>63</v>
      </c>
      <c r="U302" s="32">
        <v>67</v>
      </c>
      <c r="V302" s="30">
        <v>0.79041916167664672</v>
      </c>
      <c r="W302" s="30">
        <v>0.6987951807228916</v>
      </c>
      <c r="X302" s="32">
        <v>26391.960000000003</v>
      </c>
      <c r="Y302" s="32">
        <v>24814.120000000003</v>
      </c>
      <c r="Z302" s="32">
        <v>51206.080000000002</v>
      </c>
      <c r="AA302" s="3">
        <f t="shared" si="4"/>
        <v>48941.73</v>
      </c>
      <c r="AB302" s="3"/>
      <c r="AC302" s="3"/>
      <c r="AF302" s="3"/>
      <c r="AG302" s="3"/>
      <c r="AH302" s="3"/>
    </row>
    <row r="303" spans="1:34" x14ac:dyDescent="0.25">
      <c r="A303">
        <v>2720880</v>
      </c>
      <c r="B303" s="2">
        <v>272</v>
      </c>
      <c r="C303" s="2">
        <v>1</v>
      </c>
      <c r="D303" s="2" t="s">
        <v>322</v>
      </c>
      <c r="E303" s="2">
        <v>880</v>
      </c>
      <c r="F303" s="2" t="s">
        <v>1366</v>
      </c>
      <c r="G303" s="3">
        <v>0</v>
      </c>
      <c r="H303" s="32">
        <v>0</v>
      </c>
      <c r="I303" s="32">
        <v>0</v>
      </c>
      <c r="J303" s="32">
        <v>0</v>
      </c>
      <c r="K303" s="32">
        <v>0</v>
      </c>
      <c r="L303" s="32">
        <v>102</v>
      </c>
      <c r="M303" s="32">
        <v>100</v>
      </c>
      <c r="N303" s="32">
        <v>0</v>
      </c>
      <c r="O303" s="32">
        <v>0</v>
      </c>
      <c r="P303" s="32">
        <v>0</v>
      </c>
      <c r="Q303" s="32">
        <v>0</v>
      </c>
      <c r="R303" s="32">
        <v>124</v>
      </c>
      <c r="S303" s="32">
        <v>103</v>
      </c>
      <c r="T303" s="32">
        <v>98</v>
      </c>
      <c r="U303" s="32">
        <v>135</v>
      </c>
      <c r="V303" s="30">
        <v>0.98039215686274506</v>
      </c>
      <c r="W303" s="30">
        <v>0.83064516129032262</v>
      </c>
      <c r="X303" s="32">
        <v>50921.78</v>
      </c>
      <c r="Y303" s="32">
        <v>59432.4</v>
      </c>
      <c r="Z303" s="32">
        <v>110354.18</v>
      </c>
      <c r="AA303" s="3">
        <f t="shared" si="4"/>
        <v>105474.29</v>
      </c>
      <c r="AB303" s="3"/>
      <c r="AC303" s="3"/>
      <c r="AF303" s="3"/>
      <c r="AG303" s="3"/>
      <c r="AH303" s="3"/>
    </row>
    <row r="304" spans="1:34" x14ac:dyDescent="0.25">
      <c r="A304">
        <v>2720881</v>
      </c>
      <c r="B304" s="2">
        <v>272</v>
      </c>
      <c r="C304" s="2">
        <v>1</v>
      </c>
      <c r="D304" s="2" t="s">
        <v>322</v>
      </c>
      <c r="E304" s="2">
        <v>881</v>
      </c>
      <c r="F304" s="2" t="s">
        <v>323</v>
      </c>
      <c r="G304" s="3">
        <v>0</v>
      </c>
      <c r="H304" s="32">
        <v>141</v>
      </c>
      <c r="I304" s="32">
        <v>129</v>
      </c>
      <c r="J304" s="32">
        <v>103</v>
      </c>
      <c r="K304" s="32">
        <v>91</v>
      </c>
      <c r="L304" s="32">
        <v>99</v>
      </c>
      <c r="M304" s="32">
        <v>79</v>
      </c>
      <c r="N304" s="32">
        <v>144</v>
      </c>
      <c r="O304" s="32">
        <v>124</v>
      </c>
      <c r="P304" s="32">
        <v>127</v>
      </c>
      <c r="Q304" s="32">
        <v>101</v>
      </c>
      <c r="R304" s="32">
        <v>91</v>
      </c>
      <c r="S304" s="32">
        <v>68</v>
      </c>
      <c r="T304" s="32">
        <v>103</v>
      </c>
      <c r="U304" s="32">
        <v>96</v>
      </c>
      <c r="V304" s="30">
        <v>0.8717201166180758</v>
      </c>
      <c r="W304" s="30">
        <v>0.80939226519337015</v>
      </c>
      <c r="X304" s="32">
        <v>47587.03</v>
      </c>
      <c r="Y304" s="32">
        <v>41182.080000000002</v>
      </c>
      <c r="Z304" s="32">
        <v>88769.11</v>
      </c>
      <c r="AA304" s="3">
        <f t="shared" si="4"/>
        <v>84843.72</v>
      </c>
      <c r="AB304" s="3"/>
      <c r="AC304" s="3"/>
      <c r="AF304" s="3"/>
      <c r="AG304" s="3"/>
      <c r="AH304" s="3"/>
    </row>
    <row r="305" spans="1:34" x14ac:dyDescent="0.25">
      <c r="A305">
        <v>2720882</v>
      </c>
      <c r="B305" s="2">
        <v>272</v>
      </c>
      <c r="C305" s="2">
        <v>1</v>
      </c>
      <c r="D305" s="2" t="s">
        <v>322</v>
      </c>
      <c r="E305" s="2">
        <v>882</v>
      </c>
      <c r="F305" s="2" t="s">
        <v>324</v>
      </c>
      <c r="G305" s="3">
        <v>0</v>
      </c>
      <c r="H305" s="32">
        <v>120</v>
      </c>
      <c r="I305" s="32">
        <v>102</v>
      </c>
      <c r="J305" s="32">
        <v>136</v>
      </c>
      <c r="K305" s="32">
        <v>106</v>
      </c>
      <c r="L305" s="32">
        <v>86</v>
      </c>
      <c r="M305" s="32">
        <v>76</v>
      </c>
      <c r="N305" s="32">
        <v>111</v>
      </c>
      <c r="O305" s="32">
        <v>99</v>
      </c>
      <c r="P305" s="32">
        <v>109</v>
      </c>
      <c r="Q305" s="32">
        <v>104</v>
      </c>
      <c r="R305" s="32">
        <v>80</v>
      </c>
      <c r="S305" s="32">
        <v>75</v>
      </c>
      <c r="T305" s="32">
        <v>89</v>
      </c>
      <c r="U305" s="32">
        <v>95</v>
      </c>
      <c r="V305" s="30">
        <v>0.83040935672514615</v>
      </c>
      <c r="W305" s="30">
        <v>0.92666666666666664</v>
      </c>
      <c r="X305" s="32">
        <v>39170.68</v>
      </c>
      <c r="Y305" s="32">
        <v>46657.35</v>
      </c>
      <c r="Z305" s="32">
        <v>85828.03</v>
      </c>
      <c r="AA305" s="3">
        <f t="shared" si="4"/>
        <v>82032.69</v>
      </c>
      <c r="AB305" s="3"/>
      <c r="AC305" s="3"/>
      <c r="AF305" s="3"/>
      <c r="AG305" s="3"/>
      <c r="AH305" s="3"/>
    </row>
    <row r="306" spans="1:34" x14ac:dyDescent="0.25">
      <c r="A306">
        <v>2720883</v>
      </c>
      <c r="B306" s="2">
        <v>272</v>
      </c>
      <c r="C306" s="2">
        <v>1</v>
      </c>
      <c r="D306" s="2" t="s">
        <v>322</v>
      </c>
      <c r="E306" s="2">
        <v>883</v>
      </c>
      <c r="F306" s="2" t="s">
        <v>325</v>
      </c>
      <c r="G306" s="3">
        <v>0</v>
      </c>
      <c r="H306" s="32">
        <v>180</v>
      </c>
      <c r="I306" s="32">
        <v>154</v>
      </c>
      <c r="J306" s="32">
        <v>162</v>
      </c>
      <c r="K306" s="32">
        <v>142</v>
      </c>
      <c r="L306" s="32">
        <v>139</v>
      </c>
      <c r="M306" s="32">
        <v>110</v>
      </c>
      <c r="N306" s="32">
        <v>164</v>
      </c>
      <c r="O306" s="32">
        <v>131</v>
      </c>
      <c r="P306" s="32">
        <v>158</v>
      </c>
      <c r="Q306" s="32">
        <v>135</v>
      </c>
      <c r="R306" s="32">
        <v>120</v>
      </c>
      <c r="S306" s="32">
        <v>103</v>
      </c>
      <c r="T306" s="32">
        <v>144</v>
      </c>
      <c r="U306" s="32">
        <v>129</v>
      </c>
      <c r="V306" s="30">
        <v>0.84407484407484412</v>
      </c>
      <c r="W306" s="30">
        <v>0.83484162895927605</v>
      </c>
      <c r="X306" s="32">
        <v>64419.840000000004</v>
      </c>
      <c r="Y306" s="32">
        <v>57078.630000000005</v>
      </c>
      <c r="Z306" s="32">
        <v>121498.47</v>
      </c>
      <c r="AA306" s="3">
        <f t="shared" si="4"/>
        <v>116125.78</v>
      </c>
      <c r="AB306" s="3"/>
      <c r="AC306" s="3"/>
      <c r="AF306" s="3"/>
      <c r="AG306" s="3"/>
      <c r="AH306" s="3"/>
    </row>
    <row r="307" spans="1:34" x14ac:dyDescent="0.25">
      <c r="A307">
        <v>2720886</v>
      </c>
      <c r="B307" s="2">
        <v>272</v>
      </c>
      <c r="C307" s="2">
        <v>1</v>
      </c>
      <c r="D307" s="2" t="s">
        <v>322</v>
      </c>
      <c r="E307" s="2">
        <v>886</v>
      </c>
      <c r="F307" s="2" t="s">
        <v>326</v>
      </c>
      <c r="G307" s="3">
        <v>0</v>
      </c>
      <c r="H307" s="32">
        <v>123</v>
      </c>
      <c r="I307" s="32">
        <v>98</v>
      </c>
      <c r="J307" s="32">
        <v>114</v>
      </c>
      <c r="K307" s="32">
        <v>107</v>
      </c>
      <c r="L307" s="32">
        <v>105</v>
      </c>
      <c r="M307" s="32">
        <v>96</v>
      </c>
      <c r="N307" s="32">
        <v>88</v>
      </c>
      <c r="O307" s="32">
        <v>76</v>
      </c>
      <c r="P307" s="32">
        <v>118</v>
      </c>
      <c r="Q307" s="32">
        <v>100</v>
      </c>
      <c r="R307" s="32">
        <v>108</v>
      </c>
      <c r="S307" s="32">
        <v>94</v>
      </c>
      <c r="T307" s="32">
        <v>106</v>
      </c>
      <c r="U307" s="32">
        <v>108</v>
      </c>
      <c r="V307" s="30">
        <v>0.88011695906432752</v>
      </c>
      <c r="W307" s="30">
        <v>0.85987261146496818</v>
      </c>
      <c r="X307" s="32">
        <v>49444.759999999995</v>
      </c>
      <c r="Y307" s="32">
        <v>49218.840000000004</v>
      </c>
      <c r="Z307" s="32">
        <v>98663.6</v>
      </c>
      <c r="AA307" s="3">
        <f t="shared" si="4"/>
        <v>94300.67</v>
      </c>
      <c r="AB307" s="3"/>
      <c r="AC307" s="3"/>
      <c r="AF307" s="3"/>
      <c r="AG307" s="3"/>
      <c r="AH307" s="3"/>
    </row>
    <row r="308" spans="1:34" x14ac:dyDescent="0.25">
      <c r="A308">
        <v>2720887</v>
      </c>
      <c r="B308" s="2">
        <v>272</v>
      </c>
      <c r="C308" s="2">
        <v>1</v>
      </c>
      <c r="D308" s="2" t="s">
        <v>322</v>
      </c>
      <c r="E308" s="2">
        <v>887</v>
      </c>
      <c r="F308" s="2" t="s">
        <v>327</v>
      </c>
      <c r="G308" s="3">
        <v>0</v>
      </c>
      <c r="H308" s="32">
        <v>165</v>
      </c>
      <c r="I308" s="32">
        <v>147</v>
      </c>
      <c r="J308" s="32">
        <v>172</v>
      </c>
      <c r="K308" s="32">
        <v>153</v>
      </c>
      <c r="L308" s="32">
        <v>107</v>
      </c>
      <c r="M308" s="32">
        <v>97</v>
      </c>
      <c r="N308" s="32">
        <v>156</v>
      </c>
      <c r="O308" s="32">
        <v>123</v>
      </c>
      <c r="P308" s="32">
        <v>148</v>
      </c>
      <c r="Q308" s="32">
        <v>125</v>
      </c>
      <c r="R308" s="32">
        <v>117</v>
      </c>
      <c r="S308" s="32">
        <v>92</v>
      </c>
      <c r="T308" s="32">
        <v>111</v>
      </c>
      <c r="U308" s="32">
        <v>127</v>
      </c>
      <c r="V308" s="30">
        <v>0.89414414414414412</v>
      </c>
      <c r="W308" s="30">
        <v>0.80760095011876487</v>
      </c>
      <c r="X308" s="32">
        <v>52602.899999999994</v>
      </c>
      <c r="Y308" s="32">
        <v>54359.81</v>
      </c>
      <c r="Z308" s="32">
        <v>106962.70999999999</v>
      </c>
      <c r="AA308" s="3">
        <f t="shared" si="4"/>
        <v>102232.79</v>
      </c>
      <c r="AB308" s="3"/>
      <c r="AC308" s="3"/>
      <c r="AF308" s="3"/>
      <c r="AG308" s="3"/>
      <c r="AH308" s="3"/>
    </row>
    <row r="309" spans="1:34" x14ac:dyDescent="0.25">
      <c r="A309">
        <v>2730526</v>
      </c>
      <c r="B309" s="2">
        <v>273</v>
      </c>
      <c r="C309" s="2">
        <v>1</v>
      </c>
      <c r="D309" s="2" t="s">
        <v>328</v>
      </c>
      <c r="E309" s="2">
        <v>526</v>
      </c>
      <c r="F309" s="2" t="s">
        <v>329</v>
      </c>
      <c r="G309" s="3">
        <v>0</v>
      </c>
      <c r="H309" s="32">
        <v>132</v>
      </c>
      <c r="I309" s="32">
        <v>118</v>
      </c>
      <c r="J309" s="32">
        <v>126</v>
      </c>
      <c r="K309" s="32">
        <v>121</v>
      </c>
      <c r="L309" s="32">
        <v>126</v>
      </c>
      <c r="M309" s="32">
        <v>122</v>
      </c>
      <c r="N309" s="32">
        <v>122</v>
      </c>
      <c r="O309" s="32">
        <v>110</v>
      </c>
      <c r="P309" s="32">
        <v>131</v>
      </c>
      <c r="Q309" s="32">
        <v>110</v>
      </c>
      <c r="R309" s="32">
        <v>118</v>
      </c>
      <c r="S309" s="32">
        <v>105</v>
      </c>
      <c r="T309" s="32">
        <v>128</v>
      </c>
      <c r="U309" s="32">
        <v>133</v>
      </c>
      <c r="V309" s="30">
        <v>0.94010416666666663</v>
      </c>
      <c r="W309" s="30">
        <v>0.87601078167115898</v>
      </c>
      <c r="X309" s="32">
        <v>63777.279999999999</v>
      </c>
      <c r="Y309" s="32">
        <v>61750.57</v>
      </c>
      <c r="Z309" s="32">
        <v>125527.85</v>
      </c>
      <c r="AA309" s="3">
        <f t="shared" si="4"/>
        <v>119976.98</v>
      </c>
      <c r="AB309" s="3"/>
      <c r="AC309" s="3"/>
      <c r="AF309" s="3"/>
      <c r="AG309" s="3"/>
      <c r="AH309" s="3"/>
    </row>
    <row r="310" spans="1:34" x14ac:dyDescent="0.25">
      <c r="A310">
        <v>2730527</v>
      </c>
      <c r="B310" s="2">
        <v>273</v>
      </c>
      <c r="C310" s="2">
        <v>1</v>
      </c>
      <c r="D310" s="2" t="s">
        <v>328</v>
      </c>
      <c r="E310" s="2">
        <v>527</v>
      </c>
      <c r="F310" s="2" t="s">
        <v>330</v>
      </c>
      <c r="G310" s="3">
        <v>0</v>
      </c>
      <c r="H310" s="32">
        <v>87</v>
      </c>
      <c r="I310" s="32">
        <v>76</v>
      </c>
      <c r="J310" s="32">
        <v>90</v>
      </c>
      <c r="K310" s="32">
        <v>76</v>
      </c>
      <c r="L310" s="32">
        <v>89</v>
      </c>
      <c r="M310" s="32">
        <v>83</v>
      </c>
      <c r="N310" s="32">
        <v>94</v>
      </c>
      <c r="O310" s="32">
        <v>76</v>
      </c>
      <c r="P310" s="32">
        <v>84</v>
      </c>
      <c r="Q310" s="32">
        <v>74</v>
      </c>
      <c r="R310" s="32">
        <v>82</v>
      </c>
      <c r="S310" s="32">
        <v>67</v>
      </c>
      <c r="T310" s="32">
        <v>90</v>
      </c>
      <c r="U310" s="32">
        <v>100</v>
      </c>
      <c r="V310" s="30">
        <v>0.88345864661654139</v>
      </c>
      <c r="W310" s="30">
        <v>0.83461538461538465</v>
      </c>
      <c r="X310" s="32">
        <v>42140.700000000004</v>
      </c>
      <c r="Y310" s="32">
        <v>44235</v>
      </c>
      <c r="Z310" s="32">
        <v>86375.700000000012</v>
      </c>
      <c r="AA310" s="3">
        <f t="shared" si="4"/>
        <v>82556.149999999994</v>
      </c>
      <c r="AB310" s="3"/>
      <c r="AC310" s="3"/>
      <c r="AF310" s="3"/>
      <c r="AG310" s="3"/>
      <c r="AH310" s="3"/>
    </row>
    <row r="311" spans="1:34" x14ac:dyDescent="0.25">
      <c r="A311">
        <v>2730528</v>
      </c>
      <c r="B311">
        <v>273</v>
      </c>
      <c r="C311" s="2">
        <v>1</v>
      </c>
      <c r="D311" s="2" t="s">
        <v>328</v>
      </c>
      <c r="E311">
        <v>528</v>
      </c>
      <c r="F311" s="2" t="s">
        <v>331</v>
      </c>
      <c r="G311" s="3">
        <v>0</v>
      </c>
      <c r="H311" s="32">
        <v>102</v>
      </c>
      <c r="I311" s="32">
        <v>88</v>
      </c>
      <c r="J311" s="32">
        <v>102</v>
      </c>
      <c r="K311" s="32">
        <v>95</v>
      </c>
      <c r="L311" s="32">
        <v>103</v>
      </c>
      <c r="M311" s="32">
        <v>97</v>
      </c>
      <c r="N311" s="32">
        <v>99</v>
      </c>
      <c r="O311" s="32">
        <v>79</v>
      </c>
      <c r="P311" s="32">
        <v>101</v>
      </c>
      <c r="Q311" s="32">
        <v>87</v>
      </c>
      <c r="R311" s="32">
        <v>101</v>
      </c>
      <c r="S311" s="32">
        <v>81</v>
      </c>
      <c r="T311" s="32">
        <v>103</v>
      </c>
      <c r="U311" s="32">
        <v>104</v>
      </c>
      <c r="V311" s="30">
        <v>0.91205211726384361</v>
      </c>
      <c r="W311" s="30">
        <v>0.82059800664451832</v>
      </c>
      <c r="X311" s="32">
        <v>49789.17</v>
      </c>
      <c r="Y311" s="32">
        <v>45231.68</v>
      </c>
      <c r="Z311" s="32">
        <v>95020.85</v>
      </c>
      <c r="AA311" s="3">
        <f t="shared" si="4"/>
        <v>90819.01</v>
      </c>
      <c r="AB311" s="3"/>
      <c r="AC311" s="3"/>
      <c r="AF311" s="3"/>
      <c r="AG311" s="3"/>
      <c r="AH311" s="3"/>
    </row>
    <row r="312" spans="1:34" x14ac:dyDescent="0.25">
      <c r="A312">
        <v>2730529</v>
      </c>
      <c r="B312" s="2">
        <v>273</v>
      </c>
      <c r="C312" s="2">
        <v>1</v>
      </c>
      <c r="D312" s="2" t="s">
        <v>328</v>
      </c>
      <c r="E312" s="2">
        <v>529</v>
      </c>
      <c r="F312" s="2" t="s">
        <v>332</v>
      </c>
      <c r="G312" s="3">
        <v>0</v>
      </c>
      <c r="H312" s="32">
        <v>95</v>
      </c>
      <c r="I312" s="32">
        <v>84</v>
      </c>
      <c r="J312" s="32">
        <v>95</v>
      </c>
      <c r="K312" s="32">
        <v>89</v>
      </c>
      <c r="L312" s="32">
        <v>87</v>
      </c>
      <c r="M312" s="32">
        <v>86</v>
      </c>
      <c r="N312" s="32">
        <v>86</v>
      </c>
      <c r="O312" s="32">
        <v>68</v>
      </c>
      <c r="P312" s="32">
        <v>97</v>
      </c>
      <c r="Q312" s="32">
        <v>91</v>
      </c>
      <c r="R312" s="32">
        <v>96</v>
      </c>
      <c r="S312" s="32">
        <v>77</v>
      </c>
      <c r="T312" s="32">
        <v>88</v>
      </c>
      <c r="U312" s="32">
        <v>96</v>
      </c>
      <c r="V312" s="30">
        <v>0.93501805054151621</v>
      </c>
      <c r="W312" s="30">
        <v>0.84587813620071683</v>
      </c>
      <c r="X312" s="32">
        <v>43609.279999999999</v>
      </c>
      <c r="Y312" s="32">
        <v>43038.720000000001</v>
      </c>
      <c r="Z312" s="32">
        <v>86648</v>
      </c>
      <c r="AA312" s="3">
        <f t="shared" si="4"/>
        <v>82816.399999999994</v>
      </c>
      <c r="AB312" s="3"/>
      <c r="AC312" s="3"/>
      <c r="AF312" s="3"/>
      <c r="AG312" s="3"/>
      <c r="AH312" s="3"/>
    </row>
    <row r="313" spans="1:34" x14ac:dyDescent="0.25">
      <c r="A313">
        <v>2730532</v>
      </c>
      <c r="B313" s="2">
        <v>273</v>
      </c>
      <c r="C313" s="2">
        <v>1</v>
      </c>
      <c r="D313" s="2" t="s">
        <v>328</v>
      </c>
      <c r="E313" s="2">
        <v>532</v>
      </c>
      <c r="F313" s="2" t="s">
        <v>333</v>
      </c>
      <c r="G313" s="3">
        <v>0</v>
      </c>
      <c r="H313" s="32">
        <v>100</v>
      </c>
      <c r="I313" s="32">
        <v>90</v>
      </c>
      <c r="J313" s="32">
        <v>99</v>
      </c>
      <c r="K313" s="32">
        <v>91</v>
      </c>
      <c r="L313" s="32">
        <v>110</v>
      </c>
      <c r="M313" s="32">
        <v>106</v>
      </c>
      <c r="N313" s="32">
        <v>97</v>
      </c>
      <c r="O313" s="32">
        <v>74</v>
      </c>
      <c r="P313" s="32">
        <v>101</v>
      </c>
      <c r="Q313" s="32">
        <v>75</v>
      </c>
      <c r="R313" s="32">
        <v>100</v>
      </c>
      <c r="S313" s="32">
        <v>83</v>
      </c>
      <c r="T313" s="32">
        <v>115</v>
      </c>
      <c r="U313" s="32">
        <v>108</v>
      </c>
      <c r="V313" s="30">
        <v>0.92880258899676371</v>
      </c>
      <c r="W313" s="30">
        <v>0.77852348993288589</v>
      </c>
      <c r="X313" s="32">
        <v>56611.049999999996</v>
      </c>
      <c r="Y313" s="32">
        <v>44562.96</v>
      </c>
      <c r="Z313" s="32">
        <v>101174.01</v>
      </c>
      <c r="AA313" s="3">
        <f t="shared" si="4"/>
        <v>96700.07</v>
      </c>
      <c r="AB313" s="3"/>
      <c r="AC313" s="3"/>
      <c r="AF313" s="3"/>
      <c r="AG313" s="3"/>
      <c r="AH313" s="3"/>
    </row>
    <row r="314" spans="1:34" x14ac:dyDescent="0.25">
      <c r="A314">
        <v>2730533</v>
      </c>
      <c r="B314" s="2">
        <v>273</v>
      </c>
      <c r="C314" s="2">
        <v>1</v>
      </c>
      <c r="D314" s="2" t="s">
        <v>328</v>
      </c>
      <c r="E314" s="2">
        <v>533</v>
      </c>
      <c r="F314" s="2" t="s">
        <v>334</v>
      </c>
      <c r="G314" s="3">
        <v>0</v>
      </c>
      <c r="H314" s="32">
        <v>103</v>
      </c>
      <c r="I314" s="32">
        <v>99</v>
      </c>
      <c r="J314" s="32">
        <v>98</v>
      </c>
      <c r="K314" s="32">
        <v>93</v>
      </c>
      <c r="L314" s="32">
        <v>104</v>
      </c>
      <c r="M314" s="32">
        <v>99</v>
      </c>
      <c r="N314" s="32">
        <v>102</v>
      </c>
      <c r="O314" s="32">
        <v>84</v>
      </c>
      <c r="P314" s="32">
        <v>96</v>
      </c>
      <c r="Q314" s="32">
        <v>84</v>
      </c>
      <c r="R314" s="32">
        <v>96</v>
      </c>
      <c r="S314" s="32">
        <v>84</v>
      </c>
      <c r="T314" s="32">
        <v>102</v>
      </c>
      <c r="U314" s="32">
        <v>97</v>
      </c>
      <c r="V314" s="30">
        <v>0.95409836065573772</v>
      </c>
      <c r="W314" s="30">
        <v>0.8571428571428571</v>
      </c>
      <c r="X314" s="32">
        <v>51578.340000000004</v>
      </c>
      <c r="Y314" s="32">
        <v>44066.130000000005</v>
      </c>
      <c r="Z314" s="32">
        <v>95644.47</v>
      </c>
      <c r="AA314" s="3">
        <f t="shared" si="4"/>
        <v>91415.05</v>
      </c>
      <c r="AB314" s="3"/>
      <c r="AC314" s="3"/>
      <c r="AF314" s="3"/>
      <c r="AG314" s="3"/>
      <c r="AH314" s="3"/>
    </row>
    <row r="315" spans="1:34" x14ac:dyDescent="0.25">
      <c r="A315">
        <v>2760601</v>
      </c>
      <c r="B315" s="2">
        <v>276</v>
      </c>
      <c r="C315" s="2">
        <v>1</v>
      </c>
      <c r="D315" s="2" t="s">
        <v>335</v>
      </c>
      <c r="E315" s="2">
        <v>601</v>
      </c>
      <c r="F315" s="2" t="s">
        <v>336</v>
      </c>
      <c r="G315" s="3">
        <v>0</v>
      </c>
      <c r="H315" s="32">
        <v>96</v>
      </c>
      <c r="I315" s="32">
        <v>84</v>
      </c>
      <c r="J315" s="32">
        <v>83</v>
      </c>
      <c r="K315" s="32">
        <v>74</v>
      </c>
      <c r="L315" s="32">
        <v>116</v>
      </c>
      <c r="M315" s="32">
        <v>104</v>
      </c>
      <c r="N315" s="32">
        <v>86</v>
      </c>
      <c r="O315" s="32">
        <v>74</v>
      </c>
      <c r="P315" s="32">
        <v>94</v>
      </c>
      <c r="Q315" s="32">
        <v>75</v>
      </c>
      <c r="R315" s="32">
        <v>78</v>
      </c>
      <c r="S315" s="32">
        <v>70</v>
      </c>
      <c r="T315" s="32">
        <v>118</v>
      </c>
      <c r="U315" s="32">
        <v>82</v>
      </c>
      <c r="V315" s="30">
        <v>0.88813559322033897</v>
      </c>
      <c r="W315" s="30">
        <v>0.84883720930232553</v>
      </c>
      <c r="X315" s="32">
        <v>55543.78</v>
      </c>
      <c r="Y315" s="32">
        <v>36890.159999999996</v>
      </c>
      <c r="Z315" s="32">
        <v>92433.94</v>
      </c>
      <c r="AA315" s="3">
        <f t="shared" si="4"/>
        <v>88346.49</v>
      </c>
      <c r="AB315" s="3"/>
      <c r="AC315" s="3"/>
      <c r="AF315" s="3"/>
      <c r="AG315" s="3"/>
      <c r="AH315" s="3"/>
    </row>
    <row r="316" spans="1:34" x14ac:dyDescent="0.25">
      <c r="A316">
        <v>2760602</v>
      </c>
      <c r="B316" s="2">
        <v>276</v>
      </c>
      <c r="C316" s="2">
        <v>1</v>
      </c>
      <c r="D316" s="2" t="s">
        <v>335</v>
      </c>
      <c r="E316" s="2">
        <v>602</v>
      </c>
      <c r="F316" s="2" t="s">
        <v>337</v>
      </c>
      <c r="G316" s="3">
        <v>0</v>
      </c>
      <c r="H316" s="32">
        <v>83</v>
      </c>
      <c r="I316" s="32">
        <v>76</v>
      </c>
      <c r="J316" s="32">
        <v>85</v>
      </c>
      <c r="K316" s="32">
        <v>79</v>
      </c>
      <c r="L316" s="32">
        <v>95</v>
      </c>
      <c r="M316" s="32">
        <v>93</v>
      </c>
      <c r="N316" s="32">
        <v>81</v>
      </c>
      <c r="O316" s="32">
        <v>69</v>
      </c>
      <c r="P316" s="32">
        <v>80</v>
      </c>
      <c r="Q316" s="32">
        <v>74</v>
      </c>
      <c r="R316" s="32">
        <v>74</v>
      </c>
      <c r="S316" s="32">
        <v>67</v>
      </c>
      <c r="T316" s="32">
        <v>96</v>
      </c>
      <c r="U316" s="32">
        <v>82</v>
      </c>
      <c r="V316" s="30">
        <v>0.94296577946768056</v>
      </c>
      <c r="W316" s="30">
        <v>0.8936170212765957</v>
      </c>
      <c r="X316" s="32">
        <v>47977.919999999998</v>
      </c>
      <c r="Y316" s="32">
        <v>38836.840000000004</v>
      </c>
      <c r="Z316" s="32">
        <v>86814.760000000009</v>
      </c>
      <c r="AA316" s="3">
        <f t="shared" si="4"/>
        <v>82975.789999999994</v>
      </c>
      <c r="AB316" s="3"/>
      <c r="AC316" s="3"/>
      <c r="AF316" s="3"/>
      <c r="AG316" s="3"/>
      <c r="AH316" s="3"/>
    </row>
    <row r="317" spans="1:34" x14ac:dyDescent="0.25">
      <c r="A317">
        <v>2760603</v>
      </c>
      <c r="B317" s="2">
        <v>276</v>
      </c>
      <c r="C317" s="2">
        <v>1</v>
      </c>
      <c r="D317" s="2" t="s">
        <v>335</v>
      </c>
      <c r="E317" s="2">
        <v>603</v>
      </c>
      <c r="F317" s="2" t="s">
        <v>338</v>
      </c>
      <c r="G317" s="3">
        <v>0</v>
      </c>
      <c r="H317" s="32">
        <v>122</v>
      </c>
      <c r="I317" s="32">
        <v>112</v>
      </c>
      <c r="J317" s="32">
        <v>136</v>
      </c>
      <c r="K317" s="32">
        <v>130</v>
      </c>
      <c r="L317" s="32">
        <v>133</v>
      </c>
      <c r="M317" s="32">
        <v>124</v>
      </c>
      <c r="N317" s="32">
        <v>122</v>
      </c>
      <c r="O317" s="32">
        <v>98</v>
      </c>
      <c r="P317" s="32">
        <v>122</v>
      </c>
      <c r="Q317" s="32">
        <v>106</v>
      </c>
      <c r="R317" s="32">
        <v>139</v>
      </c>
      <c r="S317" s="32">
        <v>127</v>
      </c>
      <c r="T317" s="32">
        <v>138</v>
      </c>
      <c r="U317" s="32">
        <v>146</v>
      </c>
      <c r="V317" s="30">
        <v>0.93606138107416881</v>
      </c>
      <c r="W317" s="30">
        <v>0.86422976501305482</v>
      </c>
      <c r="X317" s="32">
        <v>68463.180000000008</v>
      </c>
      <c r="Y317" s="32">
        <v>66873.84</v>
      </c>
      <c r="Z317" s="32">
        <v>135337.02000000002</v>
      </c>
      <c r="AA317" s="3">
        <f t="shared" si="4"/>
        <v>129352.38</v>
      </c>
      <c r="AB317" s="3"/>
      <c r="AC317" s="3"/>
      <c r="AF317" s="3"/>
      <c r="AG317" s="3"/>
      <c r="AH317" s="3"/>
    </row>
    <row r="318" spans="1:34" x14ac:dyDescent="0.25">
      <c r="A318">
        <v>2760604</v>
      </c>
      <c r="B318" s="2">
        <v>276</v>
      </c>
      <c r="C318" s="2">
        <v>1</v>
      </c>
      <c r="D318" s="2" t="s">
        <v>335</v>
      </c>
      <c r="E318" s="2">
        <v>604</v>
      </c>
      <c r="F318" s="2" t="s">
        <v>339</v>
      </c>
      <c r="G318" s="3">
        <v>0</v>
      </c>
      <c r="H318" s="32">
        <v>82</v>
      </c>
      <c r="I318" s="32">
        <v>75</v>
      </c>
      <c r="J318" s="32">
        <v>97</v>
      </c>
      <c r="K318" s="32">
        <v>91</v>
      </c>
      <c r="L318" s="32">
        <v>103</v>
      </c>
      <c r="M318" s="32">
        <v>93</v>
      </c>
      <c r="N318" s="32">
        <v>93</v>
      </c>
      <c r="O318" s="32">
        <v>82</v>
      </c>
      <c r="P318" s="32">
        <v>78</v>
      </c>
      <c r="Q318" s="32">
        <v>63</v>
      </c>
      <c r="R318" s="32">
        <v>97</v>
      </c>
      <c r="S318" s="32">
        <v>83</v>
      </c>
      <c r="T318" s="32">
        <v>103</v>
      </c>
      <c r="U318" s="32">
        <v>106</v>
      </c>
      <c r="V318" s="30">
        <v>0.91843971631205679</v>
      </c>
      <c r="W318" s="30">
        <v>0.85074626865671643</v>
      </c>
      <c r="X318" s="32">
        <v>50137.31</v>
      </c>
      <c r="Y318" s="32">
        <v>47795.399999999994</v>
      </c>
      <c r="Z318" s="32">
        <v>97932.709999999992</v>
      </c>
      <c r="AA318" s="3">
        <f t="shared" si="4"/>
        <v>93602.1</v>
      </c>
      <c r="AB318" s="3"/>
      <c r="AC318" s="3"/>
      <c r="AF318" s="3"/>
      <c r="AG318" s="3"/>
      <c r="AH318" s="3"/>
    </row>
    <row r="319" spans="1:34" x14ac:dyDescent="0.25">
      <c r="A319">
        <v>2760605</v>
      </c>
      <c r="B319" s="2">
        <v>276</v>
      </c>
      <c r="C319" s="2">
        <v>1</v>
      </c>
      <c r="D319" s="2" t="s">
        <v>335</v>
      </c>
      <c r="E319" s="2">
        <v>605</v>
      </c>
      <c r="F319" s="2" t="s">
        <v>340</v>
      </c>
      <c r="G319" s="3">
        <v>0</v>
      </c>
      <c r="H319" s="32">
        <v>133</v>
      </c>
      <c r="I319" s="32">
        <v>122</v>
      </c>
      <c r="J319" s="32">
        <v>150</v>
      </c>
      <c r="K319" s="32">
        <v>135</v>
      </c>
      <c r="L319" s="32">
        <v>150</v>
      </c>
      <c r="M319" s="32">
        <v>135</v>
      </c>
      <c r="N319" s="32">
        <v>122</v>
      </c>
      <c r="O319" s="32">
        <v>83</v>
      </c>
      <c r="P319" s="32">
        <v>130</v>
      </c>
      <c r="Q319" s="32">
        <v>112</v>
      </c>
      <c r="R319" s="32">
        <v>145</v>
      </c>
      <c r="S319" s="32">
        <v>111</v>
      </c>
      <c r="T319" s="32">
        <v>147</v>
      </c>
      <c r="U319" s="32">
        <v>154</v>
      </c>
      <c r="V319" s="30">
        <v>0.90531177829099307</v>
      </c>
      <c r="W319" s="30">
        <v>0.77078085642317384</v>
      </c>
      <c r="X319" s="32">
        <v>70533.539999999994</v>
      </c>
      <c r="Y319" s="32">
        <v>62910.54</v>
      </c>
      <c r="Z319" s="32">
        <v>133444.07999999999</v>
      </c>
      <c r="AA319" s="3">
        <f t="shared" si="4"/>
        <v>127543.15</v>
      </c>
      <c r="AB319" s="3"/>
      <c r="AC319" s="3"/>
      <c r="AF319" s="3"/>
      <c r="AG319" s="3"/>
      <c r="AH319" s="3"/>
    </row>
    <row r="320" spans="1:34" x14ac:dyDescent="0.25">
      <c r="A320">
        <v>2760606</v>
      </c>
      <c r="B320" s="2">
        <v>276</v>
      </c>
      <c r="C320" s="2">
        <v>1</v>
      </c>
      <c r="D320" s="2" t="s">
        <v>335</v>
      </c>
      <c r="E320" s="2">
        <v>606</v>
      </c>
      <c r="F320" s="2" t="s">
        <v>341</v>
      </c>
      <c r="G320" s="3">
        <v>0</v>
      </c>
      <c r="H320" s="32">
        <v>82</v>
      </c>
      <c r="I320" s="32">
        <v>75</v>
      </c>
      <c r="J320" s="32">
        <v>104</v>
      </c>
      <c r="K320" s="32">
        <v>98</v>
      </c>
      <c r="L320" s="32">
        <v>122</v>
      </c>
      <c r="M320" s="32">
        <v>112</v>
      </c>
      <c r="N320" s="32">
        <v>97</v>
      </c>
      <c r="O320" s="32">
        <v>82</v>
      </c>
      <c r="P320" s="32">
        <v>80</v>
      </c>
      <c r="Q320" s="32">
        <v>71</v>
      </c>
      <c r="R320" s="32">
        <v>110</v>
      </c>
      <c r="S320" s="32">
        <v>95</v>
      </c>
      <c r="T320" s="32">
        <v>123</v>
      </c>
      <c r="U320" s="32">
        <v>118</v>
      </c>
      <c r="V320" s="30">
        <v>0.92532467532467533</v>
      </c>
      <c r="W320" s="30">
        <v>0.86411149825783973</v>
      </c>
      <c r="X320" s="32">
        <v>60321.66</v>
      </c>
      <c r="Y320" s="32">
        <v>54041.64</v>
      </c>
      <c r="Z320" s="32">
        <v>114363.3</v>
      </c>
      <c r="AA320" s="3">
        <f t="shared" si="4"/>
        <v>109306.13</v>
      </c>
      <c r="AB320" s="3"/>
      <c r="AC320" s="3"/>
      <c r="AF320" s="3"/>
      <c r="AG320" s="3"/>
      <c r="AH320" s="3"/>
    </row>
    <row r="321" spans="1:34" x14ac:dyDescent="0.25">
      <c r="A321">
        <v>2770615</v>
      </c>
      <c r="B321" s="2">
        <v>277</v>
      </c>
      <c r="C321" s="2">
        <v>1</v>
      </c>
      <c r="D321" s="2" t="s">
        <v>342</v>
      </c>
      <c r="E321" s="2">
        <v>615</v>
      </c>
      <c r="F321" s="2" t="s">
        <v>343</v>
      </c>
      <c r="G321" s="3">
        <v>0</v>
      </c>
      <c r="H321" s="32">
        <v>71</v>
      </c>
      <c r="I321" s="32">
        <v>69</v>
      </c>
      <c r="J321" s="32">
        <v>91</v>
      </c>
      <c r="K321" s="32">
        <v>90</v>
      </c>
      <c r="L321" s="32">
        <v>82</v>
      </c>
      <c r="M321" s="32">
        <v>79</v>
      </c>
      <c r="N321" s="32">
        <v>71</v>
      </c>
      <c r="O321" s="32">
        <v>56</v>
      </c>
      <c r="P321" s="32">
        <v>65</v>
      </c>
      <c r="Q321" s="32">
        <v>56</v>
      </c>
      <c r="R321" s="32">
        <v>78</v>
      </c>
      <c r="S321" s="32">
        <v>70</v>
      </c>
      <c r="T321" s="32">
        <v>87</v>
      </c>
      <c r="U321" s="32">
        <v>86</v>
      </c>
      <c r="V321" s="30">
        <v>0.97540983606557374</v>
      </c>
      <c r="W321" s="30">
        <v>0.85046728971962615</v>
      </c>
      <c r="X321" s="32">
        <v>44976.39</v>
      </c>
      <c r="Y321" s="32">
        <v>38764.5</v>
      </c>
      <c r="Z321" s="32">
        <v>83740.89</v>
      </c>
      <c r="AA321" s="3">
        <f t="shared" si="4"/>
        <v>80037.850000000006</v>
      </c>
      <c r="AB321" s="3"/>
      <c r="AC321" s="3"/>
      <c r="AF321" s="3"/>
      <c r="AG321" s="3"/>
      <c r="AH321" s="3"/>
    </row>
    <row r="322" spans="1:34" x14ac:dyDescent="0.25">
      <c r="A322">
        <v>2770616</v>
      </c>
      <c r="B322" s="2">
        <v>277</v>
      </c>
      <c r="C322" s="2">
        <v>1</v>
      </c>
      <c r="D322" s="2" t="s">
        <v>342</v>
      </c>
      <c r="E322" s="2">
        <v>616</v>
      </c>
      <c r="F322" s="2" t="s">
        <v>344</v>
      </c>
      <c r="G322" s="3">
        <v>0</v>
      </c>
      <c r="H322" s="32">
        <v>72</v>
      </c>
      <c r="I322" s="32">
        <v>64</v>
      </c>
      <c r="J322" s="32">
        <v>76</v>
      </c>
      <c r="K322" s="32">
        <v>72</v>
      </c>
      <c r="L322" s="32">
        <v>89</v>
      </c>
      <c r="M322" s="32">
        <v>88</v>
      </c>
      <c r="N322" s="32">
        <v>65</v>
      </c>
      <c r="O322" s="32">
        <v>46</v>
      </c>
      <c r="P322" s="32">
        <v>69</v>
      </c>
      <c r="Q322" s="32">
        <v>49</v>
      </c>
      <c r="R322" s="32">
        <v>76</v>
      </c>
      <c r="S322" s="32">
        <v>61</v>
      </c>
      <c r="T322" s="32">
        <v>94</v>
      </c>
      <c r="U322" s="32">
        <v>81</v>
      </c>
      <c r="V322" s="30">
        <v>0.94514767932489452</v>
      </c>
      <c r="W322" s="30">
        <v>0.74285714285714288</v>
      </c>
      <c r="X322" s="32">
        <v>47087.42</v>
      </c>
      <c r="Y322" s="32">
        <v>31890.51</v>
      </c>
      <c r="Z322" s="32">
        <v>78977.929999999993</v>
      </c>
      <c r="AA322" s="3">
        <f t="shared" si="4"/>
        <v>75485.509999999995</v>
      </c>
      <c r="AB322" s="3"/>
      <c r="AC322" s="3"/>
      <c r="AF322" s="3"/>
      <c r="AG322" s="3"/>
      <c r="AH322" s="3"/>
    </row>
    <row r="323" spans="1:34" x14ac:dyDescent="0.25">
      <c r="A323">
        <v>2780662</v>
      </c>
      <c r="B323" s="2">
        <v>278</v>
      </c>
      <c r="C323" s="2">
        <v>1</v>
      </c>
      <c r="D323" s="2" t="s">
        <v>345</v>
      </c>
      <c r="E323" s="2">
        <v>662</v>
      </c>
      <c r="F323" s="2" t="s">
        <v>346</v>
      </c>
      <c r="G323" s="3">
        <v>0</v>
      </c>
      <c r="H323" s="32">
        <v>183</v>
      </c>
      <c r="I323" s="32">
        <v>160</v>
      </c>
      <c r="J323" s="32">
        <v>192</v>
      </c>
      <c r="K323" s="32">
        <v>166</v>
      </c>
      <c r="L323" s="32">
        <v>191</v>
      </c>
      <c r="M323" s="32">
        <v>174</v>
      </c>
      <c r="N323" s="32">
        <v>204</v>
      </c>
      <c r="O323" s="32">
        <v>160</v>
      </c>
      <c r="P323" s="32">
        <v>183</v>
      </c>
      <c r="Q323" s="32">
        <v>156</v>
      </c>
      <c r="R323" s="32">
        <v>186</v>
      </c>
      <c r="S323" s="32">
        <v>169</v>
      </c>
      <c r="T323" s="32">
        <v>192</v>
      </c>
      <c r="U323" s="32">
        <v>198</v>
      </c>
      <c r="V323" s="30">
        <v>0.88339222614840984</v>
      </c>
      <c r="W323" s="30">
        <v>0.84642233856893545</v>
      </c>
      <c r="X323" s="32">
        <v>89894.399999999994</v>
      </c>
      <c r="Y323" s="32">
        <v>88822.8</v>
      </c>
      <c r="Z323" s="32">
        <v>178717.2</v>
      </c>
      <c r="AA323" s="3">
        <f t="shared" si="4"/>
        <v>170814.28</v>
      </c>
      <c r="AB323" s="3"/>
      <c r="AC323" s="3"/>
      <c r="AF323" s="3"/>
      <c r="AG323" s="3"/>
      <c r="AH323" s="3"/>
    </row>
    <row r="324" spans="1:34" x14ac:dyDescent="0.25">
      <c r="A324">
        <v>2790665</v>
      </c>
      <c r="B324" s="2">
        <v>279</v>
      </c>
      <c r="C324" s="2">
        <v>1</v>
      </c>
      <c r="D324" s="2" t="s">
        <v>347</v>
      </c>
      <c r="E324" s="2">
        <v>665</v>
      </c>
      <c r="F324" s="2" t="s">
        <v>249</v>
      </c>
      <c r="G324" s="3">
        <v>0</v>
      </c>
      <c r="H324" s="32">
        <v>145</v>
      </c>
      <c r="I324" s="32">
        <v>112</v>
      </c>
      <c r="J324" s="32">
        <v>152</v>
      </c>
      <c r="K324" s="32">
        <v>112</v>
      </c>
      <c r="L324" s="32">
        <v>144</v>
      </c>
      <c r="M324" s="32">
        <v>116</v>
      </c>
      <c r="N324" s="32">
        <v>129</v>
      </c>
      <c r="O324" s="32">
        <v>97</v>
      </c>
      <c r="P324" s="32">
        <v>142</v>
      </c>
      <c r="Q324" s="32">
        <v>120</v>
      </c>
      <c r="R324" s="32">
        <v>147</v>
      </c>
      <c r="S324" s="32">
        <v>130</v>
      </c>
      <c r="T324" s="32">
        <v>148</v>
      </c>
      <c r="U324" s="32">
        <v>159</v>
      </c>
      <c r="V324" s="30">
        <v>0.77097505668934241</v>
      </c>
      <c r="W324" s="30">
        <v>0.83014354066985641</v>
      </c>
      <c r="X324" s="32">
        <v>60475.76</v>
      </c>
      <c r="Y324" s="32">
        <v>69956.820000000007</v>
      </c>
      <c r="Z324" s="32">
        <v>130432.58000000002</v>
      </c>
      <c r="AA324" s="3">
        <f t="shared" si="4"/>
        <v>124664.82</v>
      </c>
      <c r="AB324" s="3"/>
      <c r="AC324" s="3"/>
      <c r="AF324" s="3"/>
      <c r="AG324" s="3"/>
      <c r="AH324" s="3"/>
    </row>
    <row r="325" spans="1:34" x14ac:dyDescent="0.25">
      <c r="A325">
        <v>2790668</v>
      </c>
      <c r="B325" s="2">
        <v>279</v>
      </c>
      <c r="C325" s="2">
        <v>1</v>
      </c>
      <c r="D325" s="2" t="s">
        <v>347</v>
      </c>
      <c r="E325" s="2">
        <v>668</v>
      </c>
      <c r="F325" s="2" t="s">
        <v>348</v>
      </c>
      <c r="G325" s="3">
        <v>0</v>
      </c>
      <c r="H325" s="32">
        <v>141</v>
      </c>
      <c r="I325" s="32">
        <v>89</v>
      </c>
      <c r="J325" s="32">
        <v>121</v>
      </c>
      <c r="K325" s="32">
        <v>85</v>
      </c>
      <c r="L325" s="32">
        <v>135</v>
      </c>
      <c r="M325" s="32">
        <v>97</v>
      </c>
      <c r="N325" s="32">
        <v>114</v>
      </c>
      <c r="O325" s="32">
        <v>75</v>
      </c>
      <c r="P325" s="32">
        <v>141</v>
      </c>
      <c r="Q325" s="32">
        <v>114</v>
      </c>
      <c r="R325" s="32">
        <v>111</v>
      </c>
      <c r="S325" s="32">
        <v>83</v>
      </c>
      <c r="T325" s="32">
        <v>136</v>
      </c>
      <c r="U325" s="32">
        <v>127</v>
      </c>
      <c r="V325" s="30">
        <v>0.68261964735516378</v>
      </c>
      <c r="W325" s="30">
        <v>0.74316939890710387</v>
      </c>
      <c r="X325" s="32">
        <v>49203.44</v>
      </c>
      <c r="Y325" s="32">
        <v>50022.76</v>
      </c>
      <c r="Z325" s="32">
        <v>99226.200000000012</v>
      </c>
      <c r="AA325" s="3">
        <f t="shared" si="4"/>
        <v>94838.39</v>
      </c>
      <c r="AB325" s="3"/>
      <c r="AC325" s="3"/>
      <c r="AF325" s="3"/>
      <c r="AG325" s="3"/>
      <c r="AH325" s="3"/>
    </row>
    <row r="326" spans="1:34" x14ac:dyDescent="0.25">
      <c r="A326">
        <v>2790669</v>
      </c>
      <c r="B326" s="2">
        <v>279</v>
      </c>
      <c r="C326" s="2">
        <v>1</v>
      </c>
      <c r="D326" s="2" t="s">
        <v>347</v>
      </c>
      <c r="E326" s="2">
        <v>669</v>
      </c>
      <c r="F326" s="2" t="s">
        <v>349</v>
      </c>
      <c r="G326" s="3">
        <v>0</v>
      </c>
      <c r="H326" s="32">
        <v>150</v>
      </c>
      <c r="I326" s="32">
        <v>142</v>
      </c>
      <c r="J326" s="32">
        <v>150</v>
      </c>
      <c r="K326" s="32">
        <v>145</v>
      </c>
      <c r="L326" s="32">
        <v>129</v>
      </c>
      <c r="M326" s="32">
        <v>129</v>
      </c>
      <c r="N326" s="32">
        <v>125</v>
      </c>
      <c r="O326" s="32">
        <v>100</v>
      </c>
      <c r="P326" s="32">
        <v>144</v>
      </c>
      <c r="Q326" s="32">
        <v>119</v>
      </c>
      <c r="R326" s="32">
        <v>140</v>
      </c>
      <c r="S326" s="32">
        <v>117</v>
      </c>
      <c r="T326" s="32">
        <v>134</v>
      </c>
      <c r="U326" s="32">
        <v>148</v>
      </c>
      <c r="V326" s="30">
        <v>0.96969696969696972</v>
      </c>
      <c r="W326" s="30">
        <v>0.82151589242053791</v>
      </c>
      <c r="X326" s="32">
        <v>68867.960000000006</v>
      </c>
      <c r="Y326" s="32">
        <v>64439.199999999997</v>
      </c>
      <c r="Z326" s="32">
        <v>133307.16</v>
      </c>
      <c r="AA326" s="3">
        <f t="shared" si="4"/>
        <v>127412.29</v>
      </c>
      <c r="AB326" s="3"/>
      <c r="AC326" s="3"/>
      <c r="AF326" s="3"/>
      <c r="AG326" s="3"/>
      <c r="AH326" s="3"/>
    </row>
    <row r="327" spans="1:34" x14ac:dyDescent="0.25">
      <c r="A327">
        <v>2790670</v>
      </c>
      <c r="B327" s="2">
        <v>279</v>
      </c>
      <c r="C327" s="2">
        <v>1</v>
      </c>
      <c r="D327" s="2" t="s">
        <v>347</v>
      </c>
      <c r="E327" s="2">
        <v>670</v>
      </c>
      <c r="F327" s="2" t="s">
        <v>350</v>
      </c>
      <c r="G327" s="3">
        <v>0</v>
      </c>
      <c r="H327" s="32">
        <v>150</v>
      </c>
      <c r="I327" s="32">
        <v>138</v>
      </c>
      <c r="J327" s="32">
        <v>167</v>
      </c>
      <c r="K327" s="32">
        <v>149</v>
      </c>
      <c r="L327" s="32">
        <v>137</v>
      </c>
      <c r="M327" s="32">
        <v>119</v>
      </c>
      <c r="N327" s="32">
        <v>119</v>
      </c>
      <c r="O327" s="32">
        <v>78</v>
      </c>
      <c r="P327" s="32">
        <v>139</v>
      </c>
      <c r="Q327" s="32">
        <v>104</v>
      </c>
      <c r="R327" s="32">
        <v>154</v>
      </c>
      <c r="S327" s="32">
        <v>119</v>
      </c>
      <c r="T327" s="32">
        <v>142</v>
      </c>
      <c r="U327" s="32">
        <v>167</v>
      </c>
      <c r="V327" s="30">
        <v>0.89427312775330392</v>
      </c>
      <c r="W327" s="30">
        <v>0.73058252427184467</v>
      </c>
      <c r="X327" s="32">
        <v>67302.319999999992</v>
      </c>
      <c r="Y327" s="32">
        <v>64664.07</v>
      </c>
      <c r="Z327" s="32">
        <v>131966.38999999998</v>
      </c>
      <c r="AA327" s="3">
        <f t="shared" si="4"/>
        <v>126130.8</v>
      </c>
      <c r="AB327" s="3"/>
      <c r="AC327" s="3"/>
      <c r="AF327" s="3"/>
      <c r="AG327" s="3"/>
      <c r="AH327" s="3"/>
    </row>
    <row r="328" spans="1:34" x14ac:dyDescent="0.25">
      <c r="A328">
        <v>2790671</v>
      </c>
      <c r="B328" s="2">
        <v>279</v>
      </c>
      <c r="C328" s="2">
        <v>1</v>
      </c>
      <c r="D328" s="2" t="s">
        <v>347</v>
      </c>
      <c r="E328" s="2">
        <v>671</v>
      </c>
      <c r="F328" s="2" t="s">
        <v>351</v>
      </c>
      <c r="G328" s="3">
        <v>0</v>
      </c>
      <c r="H328" s="32">
        <v>81</v>
      </c>
      <c r="I328" s="32">
        <v>43</v>
      </c>
      <c r="J328" s="32">
        <v>83</v>
      </c>
      <c r="K328" s="32">
        <v>60</v>
      </c>
      <c r="L328" s="32">
        <v>81</v>
      </c>
      <c r="M328" s="32">
        <v>58</v>
      </c>
      <c r="N328" s="32">
        <v>60</v>
      </c>
      <c r="O328" s="32">
        <v>46</v>
      </c>
      <c r="P328" s="32">
        <v>72</v>
      </c>
      <c r="Q328" s="32">
        <v>52</v>
      </c>
      <c r="R328" s="32">
        <v>90</v>
      </c>
      <c r="S328" s="32">
        <v>85</v>
      </c>
      <c r="T328" s="32">
        <v>83</v>
      </c>
      <c r="U328" s="32">
        <v>94</v>
      </c>
      <c r="V328" s="30">
        <v>0.65714285714285714</v>
      </c>
      <c r="W328" s="30">
        <v>0.82432432432432434</v>
      </c>
      <c r="X328" s="32">
        <v>28908.070000000003</v>
      </c>
      <c r="Y328" s="32">
        <v>41067.659999999996</v>
      </c>
      <c r="Z328" s="32">
        <v>69975.73</v>
      </c>
      <c r="AA328" s="3">
        <f t="shared" si="4"/>
        <v>66881.39</v>
      </c>
      <c r="AB328" s="3"/>
      <c r="AC328" s="3"/>
      <c r="AF328" s="3"/>
      <c r="AG328" s="3"/>
      <c r="AH328" s="3"/>
    </row>
    <row r="329" spans="1:34" x14ac:dyDescent="0.25">
      <c r="A329">
        <v>2790672</v>
      </c>
      <c r="B329" s="2">
        <v>279</v>
      </c>
      <c r="C329" s="2">
        <v>1</v>
      </c>
      <c r="D329" s="2" t="s">
        <v>347</v>
      </c>
      <c r="E329" s="2">
        <v>672</v>
      </c>
      <c r="F329" s="2" t="s">
        <v>352</v>
      </c>
      <c r="G329" s="3">
        <v>0</v>
      </c>
      <c r="H329" s="32">
        <v>49</v>
      </c>
      <c r="I329" s="32">
        <v>22</v>
      </c>
      <c r="J329" s="32">
        <v>43</v>
      </c>
      <c r="K329" s="32">
        <v>20</v>
      </c>
      <c r="L329" s="32">
        <v>37</v>
      </c>
      <c r="M329" s="32">
        <v>20</v>
      </c>
      <c r="N329" s="32">
        <v>28</v>
      </c>
      <c r="O329" s="32">
        <v>21</v>
      </c>
      <c r="P329" s="32">
        <v>36</v>
      </c>
      <c r="Q329" s="32">
        <v>34</v>
      </c>
      <c r="R329" s="32">
        <v>36</v>
      </c>
      <c r="S329" s="32">
        <v>26</v>
      </c>
      <c r="T329" s="32">
        <v>42</v>
      </c>
      <c r="U329" s="32">
        <v>47</v>
      </c>
      <c r="V329" s="30">
        <v>0.48062015503875971</v>
      </c>
      <c r="W329" s="30">
        <v>0.81</v>
      </c>
      <c r="X329" s="32">
        <v>10698.66</v>
      </c>
      <c r="Y329" s="32">
        <v>20177.100000000002</v>
      </c>
      <c r="Z329" s="32">
        <v>30875.760000000002</v>
      </c>
      <c r="AA329" s="3">
        <f t="shared" si="4"/>
        <v>29510.43</v>
      </c>
      <c r="AB329" s="3"/>
      <c r="AC329" s="3"/>
      <c r="AF329" s="3"/>
      <c r="AG329" s="3"/>
      <c r="AH329" s="3"/>
    </row>
    <row r="330" spans="1:34" x14ac:dyDescent="0.25">
      <c r="A330">
        <v>2790673</v>
      </c>
      <c r="B330" s="2">
        <v>279</v>
      </c>
      <c r="C330" s="2">
        <v>1</v>
      </c>
      <c r="D330" s="2" t="s">
        <v>347</v>
      </c>
      <c r="E330" s="2">
        <v>673</v>
      </c>
      <c r="F330" s="2" t="s">
        <v>353</v>
      </c>
      <c r="G330" s="3">
        <v>0</v>
      </c>
      <c r="H330" s="32">
        <v>115</v>
      </c>
      <c r="I330" s="32">
        <v>94</v>
      </c>
      <c r="J330" s="32">
        <v>109</v>
      </c>
      <c r="K330" s="32">
        <v>90</v>
      </c>
      <c r="L330" s="32">
        <v>108</v>
      </c>
      <c r="M330" s="32">
        <v>91</v>
      </c>
      <c r="N330" s="32">
        <v>109</v>
      </c>
      <c r="O330" s="32">
        <v>88</v>
      </c>
      <c r="P330" s="32">
        <v>121</v>
      </c>
      <c r="Q330" s="32">
        <v>96</v>
      </c>
      <c r="R330" s="32">
        <v>122</v>
      </c>
      <c r="S330" s="32">
        <v>105</v>
      </c>
      <c r="T330" s="32">
        <v>108</v>
      </c>
      <c r="U330" s="32">
        <v>128</v>
      </c>
      <c r="V330" s="30">
        <v>0.82831325301204817</v>
      </c>
      <c r="W330" s="30">
        <v>0.82102272727272729</v>
      </c>
      <c r="X330" s="32">
        <v>47413.08</v>
      </c>
      <c r="Y330" s="32">
        <v>55697.919999999998</v>
      </c>
      <c r="Z330" s="32">
        <v>103111</v>
      </c>
      <c r="AA330" s="3">
        <f t="shared" si="4"/>
        <v>98551.41</v>
      </c>
      <c r="AB330" s="3"/>
      <c r="AC330" s="3"/>
      <c r="AF330" s="3"/>
      <c r="AG330" s="3"/>
      <c r="AH330" s="3"/>
    </row>
    <row r="331" spans="1:34" x14ac:dyDescent="0.25">
      <c r="A331">
        <v>2790674</v>
      </c>
      <c r="B331" s="2">
        <v>279</v>
      </c>
      <c r="C331" s="2">
        <v>1</v>
      </c>
      <c r="D331" s="2" t="s">
        <v>347</v>
      </c>
      <c r="E331" s="2">
        <v>674</v>
      </c>
      <c r="F331" s="2" t="s">
        <v>354</v>
      </c>
      <c r="G331" s="3">
        <v>0</v>
      </c>
      <c r="H331" s="32">
        <v>67</v>
      </c>
      <c r="I331" s="32">
        <v>29</v>
      </c>
      <c r="J331" s="32">
        <v>66</v>
      </c>
      <c r="K331" s="32">
        <v>28</v>
      </c>
      <c r="L331" s="32">
        <v>81</v>
      </c>
      <c r="M331" s="32">
        <v>43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84</v>
      </c>
      <c r="U331" s="32">
        <v>0</v>
      </c>
      <c r="V331" s="30">
        <v>0.46728971962616822</v>
      </c>
      <c r="W331" s="30">
        <v>0</v>
      </c>
      <c r="X331" s="32">
        <v>20803.439999999999</v>
      </c>
      <c r="Y331" s="32">
        <v>0</v>
      </c>
      <c r="Z331" s="32">
        <v>20803.439999999999</v>
      </c>
      <c r="AA331" s="3">
        <f t="shared" si="4"/>
        <v>19883.509999999998</v>
      </c>
      <c r="AB331" s="3"/>
      <c r="AC331" s="3"/>
      <c r="AF331" s="3"/>
      <c r="AG331" s="3"/>
      <c r="AH331" s="3"/>
    </row>
    <row r="332" spans="1:34" x14ac:dyDescent="0.25">
      <c r="A332">
        <v>2790675</v>
      </c>
      <c r="B332" s="2">
        <v>279</v>
      </c>
      <c r="C332" s="2">
        <v>1</v>
      </c>
      <c r="D332" s="2" t="s">
        <v>347</v>
      </c>
      <c r="E332" s="2">
        <v>675</v>
      </c>
      <c r="F332" s="2" t="s">
        <v>355</v>
      </c>
      <c r="G332" s="3">
        <v>0</v>
      </c>
      <c r="H332" s="32">
        <v>51</v>
      </c>
      <c r="I332" s="32">
        <v>22</v>
      </c>
      <c r="J332" s="32">
        <v>43</v>
      </c>
      <c r="K332" s="32">
        <v>23</v>
      </c>
      <c r="L332" s="32">
        <v>50</v>
      </c>
      <c r="M332" s="32">
        <v>27</v>
      </c>
      <c r="N332" s="32">
        <v>41</v>
      </c>
      <c r="O332" s="32">
        <v>33</v>
      </c>
      <c r="P332" s="32">
        <v>42</v>
      </c>
      <c r="Q332" s="32">
        <v>30</v>
      </c>
      <c r="R332" s="32">
        <v>35</v>
      </c>
      <c r="S332" s="32">
        <v>27</v>
      </c>
      <c r="T332" s="32">
        <v>49</v>
      </c>
      <c r="U332" s="32">
        <v>46</v>
      </c>
      <c r="V332" s="30">
        <v>0.5</v>
      </c>
      <c r="W332" s="30">
        <v>0.76271186440677963</v>
      </c>
      <c r="X332" s="32">
        <v>12985</v>
      </c>
      <c r="Y332" s="32">
        <v>18595.04</v>
      </c>
      <c r="Z332" s="32">
        <v>31580.04</v>
      </c>
      <c r="AA332" s="3">
        <f t="shared" si="4"/>
        <v>30183.56</v>
      </c>
      <c r="AB332" s="3"/>
      <c r="AC332" s="3"/>
      <c r="AF332" s="3"/>
      <c r="AG332" s="3"/>
      <c r="AH332" s="3"/>
    </row>
    <row r="333" spans="1:34" x14ac:dyDescent="0.25">
      <c r="A333">
        <v>2790678</v>
      </c>
      <c r="B333" s="2">
        <v>279</v>
      </c>
      <c r="C333" s="2">
        <v>1</v>
      </c>
      <c r="D333" s="2" t="s">
        <v>347</v>
      </c>
      <c r="E333" s="2">
        <v>678</v>
      </c>
      <c r="F333" s="2" t="s">
        <v>356</v>
      </c>
      <c r="G333" s="3">
        <v>0</v>
      </c>
      <c r="H333" s="32">
        <v>88</v>
      </c>
      <c r="I333" s="32">
        <v>50</v>
      </c>
      <c r="J333" s="32">
        <v>116</v>
      </c>
      <c r="K333" s="32">
        <v>64</v>
      </c>
      <c r="L333" s="32">
        <v>98</v>
      </c>
      <c r="M333" s="32">
        <v>63</v>
      </c>
      <c r="N333" s="32">
        <v>104</v>
      </c>
      <c r="O333" s="32">
        <v>76</v>
      </c>
      <c r="P333" s="32">
        <v>85</v>
      </c>
      <c r="Q333" s="32">
        <v>67</v>
      </c>
      <c r="R333" s="32">
        <v>95</v>
      </c>
      <c r="S333" s="32">
        <v>78</v>
      </c>
      <c r="T333" s="32">
        <v>96</v>
      </c>
      <c r="U333" s="32">
        <v>107</v>
      </c>
      <c r="V333" s="30">
        <v>0.58609271523178808</v>
      </c>
      <c r="W333" s="30">
        <v>0.778169014084507</v>
      </c>
      <c r="X333" s="32">
        <v>29820.48</v>
      </c>
      <c r="Y333" s="32">
        <v>44130.01</v>
      </c>
      <c r="Z333" s="32">
        <v>73950.490000000005</v>
      </c>
      <c r="AA333" s="3">
        <f t="shared" si="4"/>
        <v>70680.38</v>
      </c>
      <c r="AB333" s="3"/>
      <c r="AC333" s="3"/>
      <c r="AF333" s="3"/>
      <c r="AG333" s="3"/>
      <c r="AH333" s="3"/>
    </row>
    <row r="334" spans="1:34" x14ac:dyDescent="0.25">
      <c r="A334">
        <v>2790679</v>
      </c>
      <c r="B334" s="2">
        <v>279</v>
      </c>
      <c r="C334" s="2">
        <v>1</v>
      </c>
      <c r="D334" s="2" t="s">
        <v>347</v>
      </c>
      <c r="E334" s="2">
        <v>679</v>
      </c>
      <c r="F334" s="2" t="s">
        <v>357</v>
      </c>
      <c r="G334" s="3">
        <v>0</v>
      </c>
      <c r="H334" s="32">
        <v>51</v>
      </c>
      <c r="I334" s="32">
        <v>17</v>
      </c>
      <c r="J334" s="32">
        <v>44</v>
      </c>
      <c r="K334" s="32">
        <v>31</v>
      </c>
      <c r="L334" s="32">
        <v>43</v>
      </c>
      <c r="M334" s="32">
        <v>30</v>
      </c>
      <c r="N334" s="32">
        <v>47</v>
      </c>
      <c r="O334" s="32">
        <v>34</v>
      </c>
      <c r="P334" s="32">
        <v>44</v>
      </c>
      <c r="Q334" s="32">
        <v>35</v>
      </c>
      <c r="R334" s="32">
        <v>39</v>
      </c>
      <c r="S334" s="32">
        <v>32</v>
      </c>
      <c r="T334" s="32">
        <v>44</v>
      </c>
      <c r="U334" s="32">
        <v>46</v>
      </c>
      <c r="V334" s="30">
        <v>0.56521739130434778</v>
      </c>
      <c r="W334" s="30">
        <v>0.77692307692307694</v>
      </c>
      <c r="X334" s="32">
        <v>13181.08</v>
      </c>
      <c r="Y334" s="32">
        <v>18941.419999999998</v>
      </c>
      <c r="Z334" s="32">
        <v>32122.5</v>
      </c>
      <c r="AA334" s="3">
        <f t="shared" si="4"/>
        <v>30702.04</v>
      </c>
      <c r="AB334" s="3"/>
      <c r="AC334" s="3"/>
      <c r="AF334" s="3"/>
      <c r="AG334" s="3"/>
      <c r="AH334" s="3"/>
    </row>
    <row r="335" spans="1:34" x14ac:dyDescent="0.25">
      <c r="A335">
        <v>2790681</v>
      </c>
      <c r="B335" s="2">
        <v>279</v>
      </c>
      <c r="C335" s="2">
        <v>1</v>
      </c>
      <c r="D335" s="2" t="s">
        <v>347</v>
      </c>
      <c r="E335" s="2">
        <v>681</v>
      </c>
      <c r="F335" s="2" t="s">
        <v>358</v>
      </c>
      <c r="G335" s="3">
        <v>0</v>
      </c>
      <c r="H335" s="32">
        <v>70</v>
      </c>
      <c r="I335" s="32">
        <v>37</v>
      </c>
      <c r="J335" s="32">
        <v>55</v>
      </c>
      <c r="K335" s="32">
        <v>21</v>
      </c>
      <c r="L335" s="32">
        <v>49</v>
      </c>
      <c r="M335" s="32">
        <v>27</v>
      </c>
      <c r="N335" s="32">
        <v>59</v>
      </c>
      <c r="O335" s="32">
        <v>38</v>
      </c>
      <c r="P335" s="32">
        <v>59</v>
      </c>
      <c r="Q335" s="32">
        <v>42</v>
      </c>
      <c r="R335" s="32">
        <v>47</v>
      </c>
      <c r="S335" s="32">
        <v>37</v>
      </c>
      <c r="T335" s="32">
        <v>50</v>
      </c>
      <c r="U335" s="32">
        <v>55</v>
      </c>
      <c r="V335" s="30">
        <v>0.4885057471264368</v>
      </c>
      <c r="W335" s="30">
        <v>0.70909090909090911</v>
      </c>
      <c r="X335" s="32">
        <v>12945.500000000002</v>
      </c>
      <c r="Y335" s="32">
        <v>20670.099999999999</v>
      </c>
      <c r="Z335" s="32">
        <v>33615.599999999999</v>
      </c>
      <c r="AA335" s="3">
        <f t="shared" ref="AA335:AA398" si="5">ROUND(Z335*AA$10,2)</f>
        <v>32129.11</v>
      </c>
      <c r="AB335" s="3"/>
      <c r="AC335" s="3"/>
      <c r="AF335" s="3"/>
      <c r="AG335" s="3"/>
      <c r="AH335" s="3"/>
    </row>
    <row r="336" spans="1:34" x14ac:dyDescent="0.25">
      <c r="A336">
        <v>2790682</v>
      </c>
      <c r="B336" s="2">
        <v>279</v>
      </c>
      <c r="C336" s="2">
        <v>1</v>
      </c>
      <c r="D336" s="2" t="s">
        <v>347</v>
      </c>
      <c r="E336" s="2">
        <v>682</v>
      </c>
      <c r="F336" s="2" t="s">
        <v>359</v>
      </c>
      <c r="G336" s="3">
        <v>0</v>
      </c>
      <c r="H336" s="32">
        <v>101</v>
      </c>
      <c r="I336" s="32">
        <v>88</v>
      </c>
      <c r="J336" s="32">
        <v>99</v>
      </c>
      <c r="K336" s="32">
        <v>80</v>
      </c>
      <c r="L336" s="32">
        <v>112</v>
      </c>
      <c r="M336" s="32">
        <v>97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113</v>
      </c>
      <c r="U336" s="32">
        <v>0</v>
      </c>
      <c r="V336" s="30">
        <v>0.84935897435897434</v>
      </c>
      <c r="W336" s="30">
        <v>0</v>
      </c>
      <c r="X336" s="32">
        <v>50868.08</v>
      </c>
      <c r="Y336" s="32">
        <v>0</v>
      </c>
      <c r="Z336" s="32">
        <v>50868.08</v>
      </c>
      <c r="AA336" s="3">
        <f t="shared" si="5"/>
        <v>48618.68</v>
      </c>
      <c r="AB336" s="3"/>
      <c r="AC336" s="3"/>
      <c r="AF336" s="3"/>
      <c r="AG336" s="3"/>
      <c r="AH336" s="3"/>
    </row>
    <row r="337" spans="1:34" x14ac:dyDescent="0.25">
      <c r="A337">
        <v>2790684</v>
      </c>
      <c r="B337" s="2">
        <v>279</v>
      </c>
      <c r="C337" s="2">
        <v>1</v>
      </c>
      <c r="D337" s="2" t="s">
        <v>347</v>
      </c>
      <c r="E337" s="2">
        <v>684</v>
      </c>
      <c r="F337" s="2" t="s">
        <v>360</v>
      </c>
      <c r="G337" s="3">
        <v>0</v>
      </c>
      <c r="H337" s="32">
        <v>100</v>
      </c>
      <c r="I337" s="32">
        <v>81</v>
      </c>
      <c r="J337" s="32">
        <v>85</v>
      </c>
      <c r="K337" s="32">
        <v>69</v>
      </c>
      <c r="L337" s="32">
        <v>78</v>
      </c>
      <c r="M337" s="32">
        <v>62</v>
      </c>
      <c r="N337" s="32">
        <v>86</v>
      </c>
      <c r="O337" s="32">
        <v>63</v>
      </c>
      <c r="P337" s="32">
        <v>99</v>
      </c>
      <c r="Q337" s="32">
        <v>82</v>
      </c>
      <c r="R337" s="32">
        <v>77</v>
      </c>
      <c r="S337" s="32">
        <v>63</v>
      </c>
      <c r="T337" s="32">
        <v>83</v>
      </c>
      <c r="U337" s="32">
        <v>85</v>
      </c>
      <c r="V337" s="30">
        <v>0.80608365019011408</v>
      </c>
      <c r="W337" s="30">
        <v>0.79389312977099236</v>
      </c>
      <c r="X337" s="32">
        <v>35459.26</v>
      </c>
      <c r="Y337" s="32">
        <v>35764.6</v>
      </c>
      <c r="Z337" s="32">
        <v>71223.86</v>
      </c>
      <c r="AA337" s="3">
        <f t="shared" si="5"/>
        <v>68074.320000000007</v>
      </c>
      <c r="AB337" s="3"/>
      <c r="AC337" s="3"/>
      <c r="AF337" s="3"/>
      <c r="AG337" s="3"/>
      <c r="AH337" s="3"/>
    </row>
    <row r="338" spans="1:34" x14ac:dyDescent="0.25">
      <c r="A338" s="7">
        <v>2790685</v>
      </c>
      <c r="B338" s="7">
        <v>279</v>
      </c>
      <c r="C338" s="7">
        <v>1</v>
      </c>
      <c r="D338" s="7" t="s">
        <v>347</v>
      </c>
      <c r="E338" s="7">
        <v>685</v>
      </c>
      <c r="F338" s="7" t="s">
        <v>84</v>
      </c>
      <c r="G338" s="3">
        <v>0</v>
      </c>
      <c r="H338" s="32">
        <v>90</v>
      </c>
      <c r="I338" s="32">
        <v>59</v>
      </c>
      <c r="J338" s="32">
        <v>102</v>
      </c>
      <c r="K338" s="32">
        <v>87</v>
      </c>
      <c r="L338" s="32">
        <v>99</v>
      </c>
      <c r="M338" s="32">
        <v>69</v>
      </c>
      <c r="N338" s="32">
        <v>89</v>
      </c>
      <c r="O338" s="32">
        <v>76</v>
      </c>
      <c r="P338" s="32">
        <v>87</v>
      </c>
      <c r="Q338" s="32">
        <v>78</v>
      </c>
      <c r="R338" s="32">
        <v>87</v>
      </c>
      <c r="S338" s="32">
        <v>83</v>
      </c>
      <c r="T338" s="32">
        <v>97</v>
      </c>
      <c r="U338" s="32">
        <v>98</v>
      </c>
      <c r="V338" s="30">
        <v>0.73883161512027495</v>
      </c>
      <c r="W338" s="30">
        <v>0.90114068441064643</v>
      </c>
      <c r="X338" s="32">
        <v>37983.26</v>
      </c>
      <c r="Y338" s="32">
        <v>46804.800000000003</v>
      </c>
      <c r="Z338" s="32">
        <v>84788.06</v>
      </c>
      <c r="AA338" s="3">
        <f t="shared" si="5"/>
        <v>81038.710000000006</v>
      </c>
      <c r="AB338" s="3"/>
      <c r="AC338" s="3"/>
      <c r="AF338" s="3"/>
      <c r="AG338" s="3"/>
      <c r="AH338" s="3"/>
    </row>
    <row r="339" spans="1:34" x14ac:dyDescent="0.25">
      <c r="A339">
        <v>2790689</v>
      </c>
      <c r="B339" s="2">
        <v>279</v>
      </c>
      <c r="C339" s="2">
        <v>1</v>
      </c>
      <c r="D339" s="2" t="s">
        <v>347</v>
      </c>
      <c r="E339" s="2">
        <v>689</v>
      </c>
      <c r="F339" s="2" t="s">
        <v>361</v>
      </c>
      <c r="G339" s="3">
        <v>0</v>
      </c>
      <c r="H339" s="32">
        <v>129</v>
      </c>
      <c r="I339" s="32">
        <v>109</v>
      </c>
      <c r="J339" s="32">
        <v>132</v>
      </c>
      <c r="K339" s="32">
        <v>101</v>
      </c>
      <c r="L339" s="32">
        <v>124</v>
      </c>
      <c r="M339" s="32">
        <v>109</v>
      </c>
      <c r="N339" s="32">
        <v>136</v>
      </c>
      <c r="O339" s="32">
        <v>104</v>
      </c>
      <c r="P339" s="32">
        <v>121</v>
      </c>
      <c r="Q339" s="32">
        <v>96</v>
      </c>
      <c r="R339" s="32">
        <v>125</v>
      </c>
      <c r="S339" s="32">
        <v>110</v>
      </c>
      <c r="T339" s="32">
        <v>129</v>
      </c>
      <c r="U339" s="32">
        <v>133</v>
      </c>
      <c r="V339" s="30">
        <v>0.82857142857142863</v>
      </c>
      <c r="W339" s="30">
        <v>0.81151832460732987</v>
      </c>
      <c r="X339" s="32">
        <v>56649.06</v>
      </c>
      <c r="Y339" s="32">
        <v>57203.3</v>
      </c>
      <c r="Z339" s="32">
        <v>113852.36</v>
      </c>
      <c r="AA339" s="3">
        <f t="shared" si="5"/>
        <v>108817.78</v>
      </c>
      <c r="AB339" s="3"/>
      <c r="AC339" s="3"/>
      <c r="AF339" s="3"/>
      <c r="AG339" s="3"/>
      <c r="AH339" s="3"/>
    </row>
    <row r="340" spans="1:34" x14ac:dyDescent="0.25">
      <c r="A340">
        <v>2790696</v>
      </c>
      <c r="B340" s="2">
        <v>279</v>
      </c>
      <c r="C340" s="2">
        <v>1</v>
      </c>
      <c r="D340" s="2" t="s">
        <v>347</v>
      </c>
      <c r="E340" s="2">
        <v>696</v>
      </c>
      <c r="F340" s="2" t="s">
        <v>362</v>
      </c>
      <c r="G340" s="3">
        <v>0</v>
      </c>
      <c r="H340" s="32">
        <v>0</v>
      </c>
      <c r="I340" s="32">
        <v>0</v>
      </c>
      <c r="J340" s="32">
        <v>0</v>
      </c>
      <c r="K340" s="32">
        <v>0</v>
      </c>
      <c r="L340" s="32">
        <v>0</v>
      </c>
      <c r="M340" s="32">
        <v>0</v>
      </c>
      <c r="N340" s="32">
        <v>153</v>
      </c>
      <c r="O340" s="32">
        <v>105</v>
      </c>
      <c r="P340" s="32">
        <v>135</v>
      </c>
      <c r="Q340" s="32">
        <v>100</v>
      </c>
      <c r="R340" s="32">
        <v>119</v>
      </c>
      <c r="S340" s="32">
        <v>86</v>
      </c>
      <c r="T340" s="32">
        <v>0</v>
      </c>
      <c r="U340" s="32">
        <v>138</v>
      </c>
      <c r="V340" s="30">
        <v>0</v>
      </c>
      <c r="W340" s="30">
        <v>0.71498771498771496</v>
      </c>
      <c r="X340" s="32">
        <v>0</v>
      </c>
      <c r="Y340" s="32">
        <v>52293.72</v>
      </c>
      <c r="Z340" s="32">
        <v>52293.72</v>
      </c>
      <c r="AA340" s="3">
        <f t="shared" si="5"/>
        <v>49981.279999999999</v>
      </c>
      <c r="AB340" s="3"/>
      <c r="AC340" s="3"/>
      <c r="AF340" s="3"/>
      <c r="AG340" s="3"/>
      <c r="AH340" s="3"/>
    </row>
    <row r="341" spans="1:34" x14ac:dyDescent="0.25">
      <c r="A341">
        <v>2800036</v>
      </c>
      <c r="B341" s="2">
        <v>280</v>
      </c>
      <c r="C341" s="2">
        <v>1</v>
      </c>
      <c r="D341" s="2" t="s">
        <v>363</v>
      </c>
      <c r="E341" s="2">
        <v>36</v>
      </c>
      <c r="F341" s="2" t="s">
        <v>364</v>
      </c>
      <c r="G341" s="3">
        <v>0</v>
      </c>
      <c r="H341" s="32">
        <v>301</v>
      </c>
      <c r="I341" s="32">
        <v>150</v>
      </c>
      <c r="J341" s="32">
        <v>112</v>
      </c>
      <c r="K341" s="32">
        <v>73</v>
      </c>
      <c r="L341" s="32">
        <v>105</v>
      </c>
      <c r="M341" s="32">
        <v>70</v>
      </c>
      <c r="N341" s="32">
        <v>224</v>
      </c>
      <c r="O341" s="32">
        <v>155</v>
      </c>
      <c r="P341" s="32">
        <v>212</v>
      </c>
      <c r="Q341" s="32">
        <v>171</v>
      </c>
      <c r="R341" s="32">
        <v>97</v>
      </c>
      <c r="S341" s="32">
        <v>78</v>
      </c>
      <c r="T341" s="32">
        <v>106</v>
      </c>
      <c r="U341" s="32">
        <v>118</v>
      </c>
      <c r="V341" s="30">
        <v>0.56563706563706562</v>
      </c>
      <c r="W341" s="30">
        <v>0.75797373358348963</v>
      </c>
      <c r="X341" s="32">
        <v>31777.74</v>
      </c>
      <c r="Y341" s="32">
        <v>47404.14</v>
      </c>
      <c r="Z341" s="32">
        <v>79181.88</v>
      </c>
      <c r="AA341" s="3">
        <f t="shared" si="5"/>
        <v>75680.44</v>
      </c>
      <c r="AB341" s="3"/>
      <c r="AC341" s="3"/>
      <c r="AF341" s="3"/>
      <c r="AG341" s="3"/>
      <c r="AH341" s="3"/>
    </row>
    <row r="342" spans="1:34" x14ac:dyDescent="0.25">
      <c r="A342">
        <v>2800695</v>
      </c>
      <c r="B342" s="2">
        <v>280</v>
      </c>
      <c r="C342" s="2">
        <v>1</v>
      </c>
      <c r="D342" s="2" t="s">
        <v>363</v>
      </c>
      <c r="E342" s="2">
        <v>695</v>
      </c>
      <c r="F342" s="2" t="s">
        <v>364</v>
      </c>
      <c r="G342" s="3">
        <v>0</v>
      </c>
      <c r="H342" s="32">
        <v>0</v>
      </c>
      <c r="I342" s="32">
        <v>0</v>
      </c>
      <c r="J342" s="32">
        <v>55</v>
      </c>
      <c r="K342" s="32">
        <v>29</v>
      </c>
      <c r="L342" s="32">
        <v>62</v>
      </c>
      <c r="M342" s="32">
        <v>42</v>
      </c>
      <c r="N342" s="32">
        <v>0</v>
      </c>
      <c r="O342" s="32">
        <v>0</v>
      </c>
      <c r="P342" s="32">
        <v>40</v>
      </c>
      <c r="Q342" s="32">
        <v>31</v>
      </c>
      <c r="R342" s="32">
        <v>44</v>
      </c>
      <c r="S342" s="32">
        <v>36</v>
      </c>
      <c r="T342" s="32">
        <v>58</v>
      </c>
      <c r="U342" s="32">
        <v>56</v>
      </c>
      <c r="V342" s="30">
        <v>0.60683760683760679</v>
      </c>
      <c r="W342" s="30">
        <v>0.79761904761904767</v>
      </c>
      <c r="X342" s="32">
        <v>18653.96</v>
      </c>
      <c r="Y342" s="32">
        <v>23673.440000000002</v>
      </c>
      <c r="Z342" s="32">
        <v>42327.4</v>
      </c>
      <c r="AA342" s="3">
        <f t="shared" si="5"/>
        <v>40455.67</v>
      </c>
      <c r="AB342" s="3"/>
      <c r="AC342" s="3"/>
      <c r="AF342" s="3"/>
      <c r="AG342" s="3"/>
      <c r="AH342" s="3"/>
    </row>
    <row r="343" spans="1:34" x14ac:dyDescent="0.25">
      <c r="A343">
        <v>2800701</v>
      </c>
      <c r="B343" s="2">
        <v>280</v>
      </c>
      <c r="C343" s="2">
        <v>1</v>
      </c>
      <c r="D343" s="2" t="s">
        <v>363</v>
      </c>
      <c r="E343" s="2">
        <v>701</v>
      </c>
      <c r="F343" s="2" t="s">
        <v>364</v>
      </c>
      <c r="G343" s="3">
        <v>0</v>
      </c>
      <c r="H343" s="32">
        <v>0</v>
      </c>
      <c r="I343" s="32">
        <v>0</v>
      </c>
      <c r="J343" s="32">
        <v>66</v>
      </c>
      <c r="K343" s="32">
        <v>40</v>
      </c>
      <c r="L343" s="32">
        <v>78</v>
      </c>
      <c r="M343" s="32">
        <v>59</v>
      </c>
      <c r="N343" s="32">
        <v>0</v>
      </c>
      <c r="O343" s="32">
        <v>0</v>
      </c>
      <c r="P343" s="32">
        <v>29</v>
      </c>
      <c r="Q343" s="32">
        <v>19</v>
      </c>
      <c r="R343" s="32">
        <v>58</v>
      </c>
      <c r="S343" s="32">
        <v>47</v>
      </c>
      <c r="T343" s="32">
        <v>84</v>
      </c>
      <c r="U343" s="32">
        <v>73</v>
      </c>
      <c r="V343" s="30">
        <v>0.6875</v>
      </c>
      <c r="W343" s="30">
        <v>0.75862068965517238</v>
      </c>
      <c r="X343" s="32">
        <v>30607.919999999998</v>
      </c>
      <c r="Y343" s="32">
        <v>29351.11</v>
      </c>
      <c r="Z343" s="32">
        <v>59959.03</v>
      </c>
      <c r="AA343" s="3">
        <f t="shared" si="5"/>
        <v>57307.63</v>
      </c>
      <c r="AB343" s="3"/>
      <c r="AC343" s="3"/>
      <c r="AF343" s="3"/>
      <c r="AG343" s="3"/>
      <c r="AH343" s="3"/>
    </row>
    <row r="344" spans="1:34" x14ac:dyDescent="0.25">
      <c r="A344">
        <v>2800705</v>
      </c>
      <c r="B344" s="2">
        <v>280</v>
      </c>
      <c r="C344" s="2">
        <v>1</v>
      </c>
      <c r="D344" s="2" t="s">
        <v>363</v>
      </c>
      <c r="E344" s="2">
        <v>705</v>
      </c>
      <c r="F344" s="2" t="s">
        <v>364</v>
      </c>
      <c r="G344" s="3">
        <v>0</v>
      </c>
      <c r="H344" s="32">
        <v>0</v>
      </c>
      <c r="I344" s="32">
        <v>0</v>
      </c>
      <c r="J344" s="32">
        <v>74</v>
      </c>
      <c r="K344" s="32">
        <v>40</v>
      </c>
      <c r="L344" s="32">
        <v>63</v>
      </c>
      <c r="M344" s="32">
        <v>33</v>
      </c>
      <c r="N344" s="32">
        <v>0</v>
      </c>
      <c r="O344" s="32">
        <v>0</v>
      </c>
      <c r="P344" s="32">
        <v>0</v>
      </c>
      <c r="Q344" s="32">
        <v>0</v>
      </c>
      <c r="R344" s="32">
        <v>65</v>
      </c>
      <c r="S344" s="32">
        <v>54</v>
      </c>
      <c r="T344" s="32">
        <v>66</v>
      </c>
      <c r="U344" s="32">
        <v>66</v>
      </c>
      <c r="V344" s="30">
        <v>0.53284671532846717</v>
      </c>
      <c r="W344" s="30">
        <v>0.83076923076923082</v>
      </c>
      <c r="X344" s="32">
        <v>18639.060000000001</v>
      </c>
      <c r="Y344" s="32">
        <v>29060.46</v>
      </c>
      <c r="Z344" s="32">
        <v>47699.520000000004</v>
      </c>
      <c r="AA344" s="3">
        <f t="shared" si="5"/>
        <v>45590.239999999998</v>
      </c>
      <c r="AB344" s="3"/>
      <c r="AC344" s="3"/>
      <c r="AF344" s="3"/>
      <c r="AG344" s="3"/>
      <c r="AH344" s="3"/>
    </row>
    <row r="345" spans="1:34" x14ac:dyDescent="0.25">
      <c r="A345">
        <v>2810004</v>
      </c>
      <c r="B345" s="2">
        <v>281</v>
      </c>
      <c r="C345" s="2">
        <v>1</v>
      </c>
      <c r="D345" s="2" t="s">
        <v>365</v>
      </c>
      <c r="E345" s="2">
        <v>4</v>
      </c>
      <c r="F345" s="2" t="s">
        <v>366</v>
      </c>
      <c r="G345" s="3">
        <v>0</v>
      </c>
      <c r="H345" s="32">
        <v>119</v>
      </c>
      <c r="I345" s="32">
        <v>89</v>
      </c>
      <c r="J345" s="32">
        <v>105</v>
      </c>
      <c r="K345" s="32">
        <v>80</v>
      </c>
      <c r="L345" s="32">
        <v>110</v>
      </c>
      <c r="M345" s="32">
        <v>90</v>
      </c>
      <c r="N345" s="32">
        <v>89</v>
      </c>
      <c r="O345" s="32">
        <v>67</v>
      </c>
      <c r="P345" s="32">
        <v>118</v>
      </c>
      <c r="Q345" s="32">
        <v>94</v>
      </c>
      <c r="R345" s="32">
        <v>95</v>
      </c>
      <c r="S345" s="32">
        <v>75</v>
      </c>
      <c r="T345" s="32">
        <v>116</v>
      </c>
      <c r="U345" s="32">
        <v>105</v>
      </c>
      <c r="V345" s="30">
        <v>0.77544910179640714</v>
      </c>
      <c r="W345" s="30">
        <v>0.7814569536423841</v>
      </c>
      <c r="X345" s="32">
        <v>47674.840000000004</v>
      </c>
      <c r="Y345" s="32">
        <v>43487.85</v>
      </c>
      <c r="Z345" s="32">
        <v>91162.69</v>
      </c>
      <c r="AA345" s="3">
        <f t="shared" si="5"/>
        <v>87131.45</v>
      </c>
      <c r="AB345" s="3"/>
      <c r="AC345" s="3"/>
      <c r="AF345" s="3"/>
      <c r="AG345" s="3"/>
      <c r="AH345" s="3"/>
    </row>
    <row r="346" spans="1:34" x14ac:dyDescent="0.25">
      <c r="A346">
        <v>2810006</v>
      </c>
      <c r="B346" s="2">
        <v>281</v>
      </c>
      <c r="C346" s="2">
        <v>1</v>
      </c>
      <c r="D346" s="2" t="s">
        <v>365</v>
      </c>
      <c r="E346" s="2">
        <v>6</v>
      </c>
      <c r="F346" s="2" t="s">
        <v>233</v>
      </c>
      <c r="G346" s="3">
        <v>0</v>
      </c>
      <c r="H346" s="32">
        <v>71</v>
      </c>
      <c r="I346" s="32">
        <v>45</v>
      </c>
      <c r="J346" s="32">
        <v>73</v>
      </c>
      <c r="K346" s="32">
        <v>50</v>
      </c>
      <c r="L346" s="32">
        <v>68</v>
      </c>
      <c r="M346" s="32">
        <v>45</v>
      </c>
      <c r="N346" s="32">
        <v>64</v>
      </c>
      <c r="O346" s="32">
        <v>41</v>
      </c>
      <c r="P346" s="32">
        <v>58</v>
      </c>
      <c r="Q346" s="32">
        <v>45</v>
      </c>
      <c r="R346" s="32">
        <v>59</v>
      </c>
      <c r="S346" s="32">
        <v>43</v>
      </c>
      <c r="T346" s="32">
        <v>69</v>
      </c>
      <c r="U346" s="32">
        <v>73</v>
      </c>
      <c r="V346" s="30">
        <v>0.660377358490566</v>
      </c>
      <c r="W346" s="30">
        <v>0.71270718232044195</v>
      </c>
      <c r="X346" s="32">
        <v>24150</v>
      </c>
      <c r="Y346" s="32">
        <v>27574.29</v>
      </c>
      <c r="Z346" s="32">
        <v>51724.29</v>
      </c>
      <c r="AA346" s="3">
        <f t="shared" si="5"/>
        <v>49437.03</v>
      </c>
      <c r="AB346" s="3"/>
      <c r="AC346" s="3"/>
      <c r="AF346" s="3"/>
      <c r="AG346" s="3"/>
      <c r="AH346" s="3"/>
    </row>
    <row r="347" spans="1:34" x14ac:dyDescent="0.25">
      <c r="A347">
        <v>2810010</v>
      </c>
      <c r="B347" s="2">
        <v>281</v>
      </c>
      <c r="C347" s="2">
        <v>1</v>
      </c>
      <c r="D347" s="2" t="s">
        <v>365</v>
      </c>
      <c r="E347" s="2">
        <v>10</v>
      </c>
      <c r="F347" s="2" t="s">
        <v>367</v>
      </c>
      <c r="G347" s="3">
        <v>0</v>
      </c>
      <c r="H347" s="32">
        <v>93</v>
      </c>
      <c r="I347" s="32">
        <v>51</v>
      </c>
      <c r="J347" s="32">
        <v>103</v>
      </c>
      <c r="K347" s="32">
        <v>68</v>
      </c>
      <c r="L347" s="32">
        <v>105</v>
      </c>
      <c r="M347" s="32">
        <v>70</v>
      </c>
      <c r="N347" s="32">
        <v>91</v>
      </c>
      <c r="O347" s="32">
        <v>63</v>
      </c>
      <c r="P347" s="32">
        <v>85</v>
      </c>
      <c r="Q347" s="32">
        <v>70</v>
      </c>
      <c r="R347" s="32">
        <v>109</v>
      </c>
      <c r="S347" s="32">
        <v>66</v>
      </c>
      <c r="T347" s="32">
        <v>101</v>
      </c>
      <c r="U347" s="32">
        <v>116</v>
      </c>
      <c r="V347" s="30">
        <v>0.62790697674418605</v>
      </c>
      <c r="W347" s="30">
        <v>0.69824561403508767</v>
      </c>
      <c r="X347" s="32">
        <v>33611.79</v>
      </c>
      <c r="Y347" s="32">
        <v>42928.12</v>
      </c>
      <c r="Z347" s="32">
        <v>76539.91</v>
      </c>
      <c r="AA347" s="3">
        <f t="shared" si="5"/>
        <v>73155.3</v>
      </c>
      <c r="AB347" s="3"/>
      <c r="AC347" s="3"/>
      <c r="AF347" s="3"/>
      <c r="AG347" s="3"/>
      <c r="AH347" s="3"/>
    </row>
    <row r="348" spans="1:34" x14ac:dyDescent="0.25">
      <c r="A348">
        <v>2810011</v>
      </c>
      <c r="B348" s="2">
        <v>281</v>
      </c>
      <c r="C348" s="2">
        <v>1</v>
      </c>
      <c r="D348" s="2" t="s">
        <v>365</v>
      </c>
      <c r="E348" s="2">
        <v>11</v>
      </c>
      <c r="F348" s="2" t="s">
        <v>368</v>
      </c>
      <c r="G348" s="3">
        <v>0</v>
      </c>
      <c r="H348" s="32">
        <v>114</v>
      </c>
      <c r="I348" s="32">
        <v>77</v>
      </c>
      <c r="J348" s="32">
        <v>99</v>
      </c>
      <c r="K348" s="32">
        <v>68</v>
      </c>
      <c r="L348" s="32">
        <v>87</v>
      </c>
      <c r="M348" s="32">
        <v>74</v>
      </c>
      <c r="N348" s="32">
        <v>68</v>
      </c>
      <c r="O348" s="32">
        <v>57</v>
      </c>
      <c r="P348" s="32">
        <v>104</v>
      </c>
      <c r="Q348" s="32">
        <v>79</v>
      </c>
      <c r="R348" s="32">
        <v>83</v>
      </c>
      <c r="S348" s="32">
        <v>62</v>
      </c>
      <c r="T348" s="32">
        <v>89</v>
      </c>
      <c r="U348" s="32">
        <v>100</v>
      </c>
      <c r="V348" s="30">
        <v>0.73</v>
      </c>
      <c r="W348" s="30">
        <v>0.77647058823529413</v>
      </c>
      <c r="X348" s="32">
        <v>34434.1</v>
      </c>
      <c r="Y348" s="32">
        <v>41153</v>
      </c>
      <c r="Z348" s="32">
        <v>75587.100000000006</v>
      </c>
      <c r="AA348" s="3">
        <f t="shared" si="5"/>
        <v>72244.62</v>
      </c>
      <c r="AB348" s="3"/>
      <c r="AC348" s="3"/>
      <c r="AF348" s="3"/>
      <c r="AG348" s="3"/>
      <c r="AH348" s="3"/>
    </row>
    <row r="349" spans="1:34" x14ac:dyDescent="0.25">
      <c r="A349">
        <v>2810012</v>
      </c>
      <c r="B349" s="2">
        <v>281</v>
      </c>
      <c r="C349" s="2">
        <v>1</v>
      </c>
      <c r="D349" s="2" t="s">
        <v>365</v>
      </c>
      <c r="E349" s="2">
        <v>12</v>
      </c>
      <c r="F349" s="2" t="s">
        <v>369</v>
      </c>
      <c r="G349" s="3">
        <v>0</v>
      </c>
      <c r="H349" s="32">
        <v>108</v>
      </c>
      <c r="I349" s="32">
        <v>99</v>
      </c>
      <c r="J349" s="32">
        <v>107</v>
      </c>
      <c r="K349" s="32">
        <v>102</v>
      </c>
      <c r="L349" s="32">
        <v>116</v>
      </c>
      <c r="M349" s="32">
        <v>107</v>
      </c>
      <c r="N349" s="32">
        <v>101</v>
      </c>
      <c r="O349" s="32">
        <v>75</v>
      </c>
      <c r="P349" s="32">
        <v>104</v>
      </c>
      <c r="Q349" s="32">
        <v>93</v>
      </c>
      <c r="R349" s="32">
        <v>103</v>
      </c>
      <c r="S349" s="32">
        <v>80</v>
      </c>
      <c r="T349" s="32">
        <v>116</v>
      </c>
      <c r="U349" s="32">
        <v>104</v>
      </c>
      <c r="V349" s="30">
        <v>0.93051359516616317</v>
      </c>
      <c r="W349" s="30">
        <v>0.80519480519480524</v>
      </c>
      <c r="X349" s="32">
        <v>57207.72</v>
      </c>
      <c r="Y349" s="32">
        <v>44382</v>
      </c>
      <c r="Z349" s="32">
        <v>101589.72</v>
      </c>
      <c r="AA349" s="3">
        <f t="shared" si="5"/>
        <v>97097.4</v>
      </c>
      <c r="AB349" s="3"/>
      <c r="AC349" s="3"/>
      <c r="AF349" s="3"/>
      <c r="AG349" s="3"/>
      <c r="AH349" s="3"/>
    </row>
    <row r="350" spans="1:34" x14ac:dyDescent="0.25">
      <c r="A350">
        <v>2810017</v>
      </c>
      <c r="B350" s="2">
        <v>281</v>
      </c>
      <c r="C350" s="2">
        <v>1</v>
      </c>
      <c r="D350" s="2" t="s">
        <v>365</v>
      </c>
      <c r="E350" s="2">
        <v>17</v>
      </c>
      <c r="F350" s="2" t="s">
        <v>370</v>
      </c>
      <c r="G350" s="3">
        <v>0</v>
      </c>
      <c r="H350" s="32">
        <v>74</v>
      </c>
      <c r="I350" s="32">
        <v>45</v>
      </c>
      <c r="J350" s="32">
        <v>76</v>
      </c>
      <c r="K350" s="32">
        <v>48</v>
      </c>
      <c r="L350" s="32">
        <v>65</v>
      </c>
      <c r="M350" s="32">
        <v>52</v>
      </c>
      <c r="N350" s="32">
        <v>59</v>
      </c>
      <c r="O350" s="32">
        <v>40</v>
      </c>
      <c r="P350" s="32">
        <v>71</v>
      </c>
      <c r="Q350" s="32">
        <v>57</v>
      </c>
      <c r="R350" s="32">
        <v>72</v>
      </c>
      <c r="S350" s="32">
        <v>52</v>
      </c>
      <c r="T350" s="32">
        <v>64</v>
      </c>
      <c r="U350" s="32">
        <v>80</v>
      </c>
      <c r="V350" s="30">
        <v>0.67441860465116277</v>
      </c>
      <c r="W350" s="30">
        <v>0.73762376237623761</v>
      </c>
      <c r="X350" s="32">
        <v>22876.16</v>
      </c>
      <c r="Y350" s="32">
        <v>31275.200000000001</v>
      </c>
      <c r="Z350" s="32">
        <v>54151.360000000001</v>
      </c>
      <c r="AA350" s="3">
        <f t="shared" si="5"/>
        <v>51756.77</v>
      </c>
      <c r="AB350" s="3"/>
      <c r="AC350" s="3"/>
      <c r="AF350" s="3"/>
      <c r="AG350" s="3"/>
      <c r="AH350" s="3"/>
    </row>
    <row r="351" spans="1:34" x14ac:dyDescent="0.25">
      <c r="A351">
        <v>2810019</v>
      </c>
      <c r="B351" s="2">
        <v>281</v>
      </c>
      <c r="C351" s="2">
        <v>1</v>
      </c>
      <c r="D351" s="2" t="s">
        <v>365</v>
      </c>
      <c r="E351" s="2">
        <v>19</v>
      </c>
      <c r="F351" s="2" t="s">
        <v>371</v>
      </c>
      <c r="G351" s="3">
        <v>0</v>
      </c>
      <c r="H351" s="32">
        <v>84</v>
      </c>
      <c r="I351" s="32">
        <v>47</v>
      </c>
      <c r="J351" s="32">
        <v>99</v>
      </c>
      <c r="K351" s="32">
        <v>57</v>
      </c>
      <c r="L351" s="32">
        <v>83</v>
      </c>
      <c r="M351" s="32">
        <v>57</v>
      </c>
      <c r="N351" s="32">
        <v>75</v>
      </c>
      <c r="O351" s="32">
        <v>56</v>
      </c>
      <c r="P351" s="32">
        <v>77</v>
      </c>
      <c r="Q351" s="32">
        <v>58</v>
      </c>
      <c r="R351" s="32">
        <v>83</v>
      </c>
      <c r="S351" s="32">
        <v>60</v>
      </c>
      <c r="T351" s="32">
        <v>84</v>
      </c>
      <c r="U351" s="32">
        <v>100</v>
      </c>
      <c r="V351" s="30">
        <v>0.60526315789473684</v>
      </c>
      <c r="W351" s="30">
        <v>0.74042553191489358</v>
      </c>
      <c r="X351" s="32">
        <v>26946.36</v>
      </c>
      <c r="Y351" s="32">
        <v>39243</v>
      </c>
      <c r="Z351" s="32">
        <v>66189.36</v>
      </c>
      <c r="AA351" s="3">
        <f t="shared" si="5"/>
        <v>63262.45</v>
      </c>
      <c r="AB351" s="3"/>
      <c r="AC351" s="3"/>
      <c r="AF351" s="3"/>
      <c r="AG351" s="3"/>
      <c r="AH351" s="3"/>
    </row>
    <row r="352" spans="1:34" x14ac:dyDescent="0.25">
      <c r="A352">
        <v>2810022</v>
      </c>
      <c r="B352" s="2">
        <v>281</v>
      </c>
      <c r="C352" s="2">
        <v>1</v>
      </c>
      <c r="D352" s="2" t="s">
        <v>365</v>
      </c>
      <c r="E352" s="2">
        <v>22</v>
      </c>
      <c r="F352" s="2" t="s">
        <v>372</v>
      </c>
      <c r="G352" s="3">
        <v>0</v>
      </c>
      <c r="H352" s="32">
        <v>98</v>
      </c>
      <c r="I352" s="32">
        <v>60</v>
      </c>
      <c r="J352" s="32">
        <v>101</v>
      </c>
      <c r="K352" s="32">
        <v>67</v>
      </c>
      <c r="L352" s="32">
        <v>113</v>
      </c>
      <c r="M352" s="32">
        <v>90</v>
      </c>
      <c r="N352" s="32">
        <v>82</v>
      </c>
      <c r="O352" s="32">
        <v>63</v>
      </c>
      <c r="P352" s="32">
        <v>96</v>
      </c>
      <c r="Q352" s="32">
        <v>83</v>
      </c>
      <c r="R352" s="32">
        <v>79</v>
      </c>
      <c r="S352" s="32">
        <v>52</v>
      </c>
      <c r="T352" s="32">
        <v>127</v>
      </c>
      <c r="U352" s="32">
        <v>92</v>
      </c>
      <c r="V352" s="30">
        <v>0.69551282051282048</v>
      </c>
      <c r="W352" s="30">
        <v>0.77042801556420237</v>
      </c>
      <c r="X352" s="32">
        <v>46814.74</v>
      </c>
      <c r="Y352" s="32">
        <v>37566.36</v>
      </c>
      <c r="Z352" s="32">
        <v>84381.1</v>
      </c>
      <c r="AA352" s="3">
        <f t="shared" si="5"/>
        <v>80649.75</v>
      </c>
      <c r="AB352" s="3"/>
      <c r="AC352" s="3"/>
      <c r="AF352" s="3"/>
      <c r="AG352" s="3"/>
      <c r="AH352" s="3"/>
    </row>
    <row r="353" spans="1:34" x14ac:dyDescent="0.25">
      <c r="A353">
        <v>2810030</v>
      </c>
      <c r="B353" s="2">
        <v>281</v>
      </c>
      <c r="C353" s="2">
        <v>1</v>
      </c>
      <c r="D353" s="2" t="s">
        <v>365</v>
      </c>
      <c r="E353" s="2">
        <v>30</v>
      </c>
      <c r="F353" s="2" t="s">
        <v>373</v>
      </c>
      <c r="G353" s="3">
        <v>0</v>
      </c>
      <c r="H353" s="32">
        <v>123</v>
      </c>
      <c r="I353" s="32">
        <v>106</v>
      </c>
      <c r="J353" s="32">
        <v>90</v>
      </c>
      <c r="K353" s="32">
        <v>84</v>
      </c>
      <c r="L353" s="32">
        <v>98</v>
      </c>
      <c r="M353" s="32">
        <v>90</v>
      </c>
      <c r="N353" s="32">
        <v>91</v>
      </c>
      <c r="O353" s="32">
        <v>80</v>
      </c>
      <c r="P353" s="32">
        <v>109</v>
      </c>
      <c r="Q353" s="32">
        <v>101</v>
      </c>
      <c r="R353" s="32">
        <v>90</v>
      </c>
      <c r="S353" s="32">
        <v>74</v>
      </c>
      <c r="T353" s="32">
        <v>96</v>
      </c>
      <c r="U353" s="32">
        <v>94</v>
      </c>
      <c r="V353" s="30">
        <v>0.90032154340836013</v>
      </c>
      <c r="W353" s="30">
        <v>0.87931034482758619</v>
      </c>
      <c r="X353" s="32">
        <v>45808.32</v>
      </c>
      <c r="Y353" s="32">
        <v>43806.82</v>
      </c>
      <c r="Z353" s="32">
        <v>89615.14</v>
      </c>
      <c r="AA353" s="3">
        <f t="shared" si="5"/>
        <v>85652.34</v>
      </c>
      <c r="AB353" s="3"/>
      <c r="AC353" s="3"/>
      <c r="AF353" s="3"/>
      <c r="AG353" s="3"/>
      <c r="AH353" s="3"/>
    </row>
    <row r="354" spans="1:34" x14ac:dyDescent="0.25">
      <c r="A354" s="7">
        <v>2820040</v>
      </c>
      <c r="B354" s="7">
        <v>282</v>
      </c>
      <c r="C354" s="7">
        <v>1</v>
      </c>
      <c r="D354" s="7" t="s">
        <v>374</v>
      </c>
      <c r="E354" s="7">
        <v>40</v>
      </c>
      <c r="F354" s="7" t="s">
        <v>375</v>
      </c>
      <c r="G354" s="3">
        <v>0</v>
      </c>
      <c r="H354" s="32">
        <v>107</v>
      </c>
      <c r="I354" s="32">
        <v>88</v>
      </c>
      <c r="J354" s="32">
        <v>124</v>
      </c>
      <c r="K354" s="32">
        <v>106</v>
      </c>
      <c r="L354" s="32">
        <v>117</v>
      </c>
      <c r="M354" s="32">
        <v>102</v>
      </c>
      <c r="N354" s="32">
        <v>133</v>
      </c>
      <c r="O354" s="32">
        <v>99</v>
      </c>
      <c r="P354" s="32">
        <v>102</v>
      </c>
      <c r="Q354" s="32">
        <v>90</v>
      </c>
      <c r="R354" s="32">
        <v>119</v>
      </c>
      <c r="S354" s="32">
        <v>91</v>
      </c>
      <c r="T354" s="32">
        <v>118</v>
      </c>
      <c r="U354" s="32">
        <v>128</v>
      </c>
      <c r="V354" s="30">
        <v>0.85057471264367812</v>
      </c>
      <c r="W354" s="30">
        <v>0.79096045197740117</v>
      </c>
      <c r="X354" s="32">
        <v>53194.400000000001</v>
      </c>
      <c r="Y354" s="32">
        <v>53658.879999999997</v>
      </c>
      <c r="Z354" s="32">
        <v>106853.28</v>
      </c>
      <c r="AA354" s="3">
        <f t="shared" si="5"/>
        <v>102128.2</v>
      </c>
      <c r="AB354" s="3"/>
      <c r="AC354" s="3"/>
      <c r="AF354" s="3"/>
      <c r="AG354" s="3"/>
      <c r="AH354" s="3"/>
    </row>
    <row r="355" spans="1:34" x14ac:dyDescent="0.25">
      <c r="A355">
        <v>2830745</v>
      </c>
      <c r="B355" s="2">
        <v>283</v>
      </c>
      <c r="C355" s="2">
        <v>1</v>
      </c>
      <c r="D355" s="2" t="s">
        <v>376</v>
      </c>
      <c r="E355" s="2">
        <v>745</v>
      </c>
      <c r="F355" s="2" t="s">
        <v>377</v>
      </c>
      <c r="G355" s="3">
        <v>0</v>
      </c>
      <c r="H355" s="32">
        <v>104</v>
      </c>
      <c r="I355" s="32">
        <v>75</v>
      </c>
      <c r="J355" s="32">
        <v>58</v>
      </c>
      <c r="K355" s="32">
        <v>44</v>
      </c>
      <c r="L355" s="32">
        <v>28</v>
      </c>
      <c r="M355" s="32">
        <v>23</v>
      </c>
      <c r="N355" s="32">
        <v>0</v>
      </c>
      <c r="O355" s="32">
        <v>0</v>
      </c>
      <c r="P355" s="32">
        <v>71</v>
      </c>
      <c r="Q355" s="32">
        <v>62</v>
      </c>
      <c r="R355" s="32">
        <v>53</v>
      </c>
      <c r="S355" s="32">
        <v>44</v>
      </c>
      <c r="T355" s="32">
        <v>80</v>
      </c>
      <c r="U355" s="32">
        <v>59</v>
      </c>
      <c r="V355" s="30">
        <v>0.74736842105263157</v>
      </c>
      <c r="W355" s="30">
        <v>0.85483870967741937</v>
      </c>
      <c r="X355" s="32">
        <v>31688.800000000003</v>
      </c>
      <c r="Y355" s="32">
        <v>26730.54</v>
      </c>
      <c r="Z355" s="32">
        <v>58419.340000000004</v>
      </c>
      <c r="AA355" s="3">
        <f t="shared" si="5"/>
        <v>55836.02</v>
      </c>
      <c r="AB355" s="3"/>
      <c r="AC355" s="3"/>
      <c r="AF355" s="3"/>
      <c r="AG355" s="3"/>
      <c r="AH355" s="3"/>
    </row>
    <row r="356" spans="1:34" x14ac:dyDescent="0.25">
      <c r="A356">
        <v>2830747</v>
      </c>
      <c r="B356" s="2">
        <v>283</v>
      </c>
      <c r="C356" s="2">
        <v>1</v>
      </c>
      <c r="D356" s="2" t="s">
        <v>376</v>
      </c>
      <c r="E356" s="2">
        <v>747</v>
      </c>
      <c r="F356" s="2" t="s">
        <v>378</v>
      </c>
      <c r="G356" s="3">
        <v>0</v>
      </c>
      <c r="H356" s="32">
        <v>0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94</v>
      </c>
      <c r="O356" s="32">
        <v>68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0">
        <v>0</v>
      </c>
      <c r="W356" s="30">
        <v>0.72340425531914898</v>
      </c>
      <c r="X356" s="32">
        <v>0</v>
      </c>
      <c r="Y356" s="32">
        <v>0</v>
      </c>
      <c r="Z356" s="32">
        <v>0</v>
      </c>
      <c r="AA356" s="3">
        <f t="shared" si="5"/>
        <v>0</v>
      </c>
      <c r="AB356" s="3"/>
      <c r="AC356" s="3"/>
      <c r="AF356" s="3"/>
      <c r="AG356" s="3"/>
      <c r="AH356" s="3"/>
    </row>
    <row r="357" spans="1:34" x14ac:dyDescent="0.25">
      <c r="A357">
        <v>2830754</v>
      </c>
      <c r="B357">
        <v>283</v>
      </c>
      <c r="C357" s="2">
        <v>1</v>
      </c>
      <c r="D357" s="2" t="s">
        <v>376</v>
      </c>
      <c r="E357">
        <v>754</v>
      </c>
      <c r="F357" s="2" t="s">
        <v>379</v>
      </c>
      <c r="G357" s="3">
        <v>0</v>
      </c>
      <c r="H357" s="32">
        <v>135</v>
      </c>
      <c r="I357" s="32">
        <v>101</v>
      </c>
      <c r="J357" s="32">
        <v>94</v>
      </c>
      <c r="K357" s="32">
        <v>71</v>
      </c>
      <c r="L357" s="32">
        <v>97</v>
      </c>
      <c r="M357" s="32">
        <v>84</v>
      </c>
      <c r="N357" s="32">
        <v>0</v>
      </c>
      <c r="O357" s="32">
        <v>0</v>
      </c>
      <c r="P357" s="32">
        <v>75</v>
      </c>
      <c r="Q357" s="32">
        <v>62</v>
      </c>
      <c r="R357" s="32">
        <v>87</v>
      </c>
      <c r="S357" s="32">
        <v>82</v>
      </c>
      <c r="T357" s="32">
        <v>101</v>
      </c>
      <c r="U357" s="32">
        <v>95</v>
      </c>
      <c r="V357" s="30">
        <v>0.78527607361963192</v>
      </c>
      <c r="W357" s="30">
        <v>0.88888888888888884</v>
      </c>
      <c r="X357" s="32">
        <v>42036.2</v>
      </c>
      <c r="Y357" s="32">
        <v>44755.450000000004</v>
      </c>
      <c r="Z357" s="32">
        <v>86791.65</v>
      </c>
      <c r="AA357" s="3">
        <f t="shared" si="5"/>
        <v>82953.7</v>
      </c>
      <c r="AB357" s="3"/>
      <c r="AC357" s="3"/>
      <c r="AF357" s="3"/>
      <c r="AG357" s="3"/>
      <c r="AH357" s="3"/>
    </row>
    <row r="358" spans="1:34" x14ac:dyDescent="0.25">
      <c r="A358">
        <v>2830755</v>
      </c>
      <c r="B358" s="2">
        <v>283</v>
      </c>
      <c r="C358" s="2">
        <v>1</v>
      </c>
      <c r="D358" s="2" t="s">
        <v>376</v>
      </c>
      <c r="E358" s="2">
        <v>755</v>
      </c>
      <c r="F358" s="2" t="s">
        <v>380</v>
      </c>
      <c r="G358" s="3">
        <v>0</v>
      </c>
      <c r="H358" s="32">
        <v>0</v>
      </c>
      <c r="I358" s="32">
        <v>0</v>
      </c>
      <c r="J358" s="32">
        <v>74</v>
      </c>
      <c r="K358" s="32">
        <v>66</v>
      </c>
      <c r="L358" s="32">
        <v>79</v>
      </c>
      <c r="M358" s="32">
        <v>54</v>
      </c>
      <c r="N358" s="32">
        <v>114</v>
      </c>
      <c r="O358" s="32">
        <v>93</v>
      </c>
      <c r="P358" s="32">
        <v>74</v>
      </c>
      <c r="Q358" s="32">
        <v>70</v>
      </c>
      <c r="R358" s="32">
        <v>68</v>
      </c>
      <c r="S358" s="32">
        <v>54</v>
      </c>
      <c r="T358" s="32">
        <v>81</v>
      </c>
      <c r="U358" s="32">
        <v>78</v>
      </c>
      <c r="V358" s="30">
        <v>0.78431372549019607</v>
      </c>
      <c r="W358" s="30">
        <v>0.84765625</v>
      </c>
      <c r="X358" s="32">
        <v>33670.89</v>
      </c>
      <c r="Y358" s="32">
        <v>35042.28</v>
      </c>
      <c r="Z358" s="32">
        <v>68713.17</v>
      </c>
      <c r="AA358" s="3">
        <f t="shared" si="5"/>
        <v>65674.66</v>
      </c>
      <c r="AB358" s="3"/>
      <c r="AC358" s="3"/>
      <c r="AF358" s="3"/>
      <c r="AG358" s="3"/>
      <c r="AH358" s="3"/>
    </row>
    <row r="359" spans="1:34" x14ac:dyDescent="0.25">
      <c r="A359">
        <v>2830758</v>
      </c>
      <c r="B359" s="2">
        <v>283</v>
      </c>
      <c r="C359" s="2">
        <v>1</v>
      </c>
      <c r="D359" s="2" t="s">
        <v>376</v>
      </c>
      <c r="E359" s="2">
        <v>758</v>
      </c>
      <c r="F359" s="2" t="s">
        <v>381</v>
      </c>
      <c r="G359" s="3">
        <v>0</v>
      </c>
      <c r="H359" s="32">
        <v>93</v>
      </c>
      <c r="I359" s="32">
        <v>85</v>
      </c>
      <c r="J359" s="32">
        <v>85</v>
      </c>
      <c r="K359" s="32">
        <v>82</v>
      </c>
      <c r="L359" s="32">
        <v>91</v>
      </c>
      <c r="M359" s="32">
        <v>89</v>
      </c>
      <c r="N359" s="32">
        <v>79</v>
      </c>
      <c r="O359" s="32">
        <v>72</v>
      </c>
      <c r="P359" s="32">
        <v>89</v>
      </c>
      <c r="Q359" s="32">
        <v>76</v>
      </c>
      <c r="R359" s="32">
        <v>78</v>
      </c>
      <c r="S359" s="32">
        <v>62</v>
      </c>
      <c r="T359" s="32">
        <v>91</v>
      </c>
      <c r="U359" s="32">
        <v>84</v>
      </c>
      <c r="V359" s="30">
        <v>0.95167286245353155</v>
      </c>
      <c r="W359" s="30">
        <v>0.85365853658536583</v>
      </c>
      <c r="X359" s="32">
        <v>45899.49</v>
      </c>
      <c r="Y359" s="32">
        <v>38004.959999999999</v>
      </c>
      <c r="Z359" s="32">
        <v>83904.45</v>
      </c>
      <c r="AA359" s="3">
        <f t="shared" si="5"/>
        <v>80194.179999999993</v>
      </c>
      <c r="AB359" s="3"/>
      <c r="AC359" s="3"/>
      <c r="AF359" s="3"/>
      <c r="AG359" s="3"/>
      <c r="AH359" s="3"/>
    </row>
    <row r="360" spans="1:34" x14ac:dyDescent="0.25">
      <c r="A360">
        <v>2840804</v>
      </c>
      <c r="B360">
        <v>284</v>
      </c>
      <c r="C360" s="2">
        <v>1</v>
      </c>
      <c r="D360" s="2" t="s">
        <v>382</v>
      </c>
      <c r="E360">
        <v>804</v>
      </c>
      <c r="F360" s="2" t="s">
        <v>383</v>
      </c>
      <c r="G360" s="3">
        <v>0</v>
      </c>
      <c r="H360" s="32">
        <v>100</v>
      </c>
      <c r="I360" s="32">
        <v>85</v>
      </c>
      <c r="J360" s="32">
        <v>97</v>
      </c>
      <c r="K360" s="32">
        <v>86</v>
      </c>
      <c r="L360" s="32">
        <v>107</v>
      </c>
      <c r="M360" s="32">
        <v>96</v>
      </c>
      <c r="N360" s="32">
        <v>91</v>
      </c>
      <c r="O360" s="32">
        <v>71</v>
      </c>
      <c r="P360" s="32">
        <v>100</v>
      </c>
      <c r="Q360" s="32">
        <v>85</v>
      </c>
      <c r="R360" s="32">
        <v>91</v>
      </c>
      <c r="S360" s="32">
        <v>72</v>
      </c>
      <c r="T360" s="32">
        <v>109</v>
      </c>
      <c r="U360" s="32">
        <v>100</v>
      </c>
      <c r="V360" s="30">
        <v>0.87828947368421051</v>
      </c>
      <c r="W360" s="30">
        <v>0.80851063829787229</v>
      </c>
      <c r="X360" s="32">
        <v>50738.41</v>
      </c>
      <c r="Y360" s="32">
        <v>42851</v>
      </c>
      <c r="Z360" s="32">
        <v>93589.41</v>
      </c>
      <c r="AA360" s="3">
        <f t="shared" si="5"/>
        <v>89450.86</v>
      </c>
      <c r="AB360" s="3"/>
      <c r="AC360" s="3"/>
      <c r="AF360" s="3"/>
      <c r="AG360" s="3"/>
      <c r="AH360" s="3"/>
    </row>
    <row r="361" spans="1:34" x14ac:dyDescent="0.25">
      <c r="A361">
        <v>2840806</v>
      </c>
      <c r="B361" s="2">
        <v>284</v>
      </c>
      <c r="C361" s="2">
        <v>1</v>
      </c>
      <c r="D361" s="2" t="s">
        <v>382</v>
      </c>
      <c r="E361" s="2">
        <v>806</v>
      </c>
      <c r="F361" s="2" t="s">
        <v>384</v>
      </c>
      <c r="G361" s="3">
        <v>0</v>
      </c>
      <c r="H361" s="32">
        <v>106</v>
      </c>
      <c r="I361" s="32">
        <v>102</v>
      </c>
      <c r="J361" s="32">
        <v>91</v>
      </c>
      <c r="K361" s="32">
        <v>87</v>
      </c>
      <c r="L361" s="32">
        <v>125</v>
      </c>
      <c r="M361" s="32">
        <v>115</v>
      </c>
      <c r="N361" s="32">
        <v>102</v>
      </c>
      <c r="O361" s="32">
        <v>82</v>
      </c>
      <c r="P361" s="32">
        <v>99</v>
      </c>
      <c r="Q361" s="32">
        <v>86</v>
      </c>
      <c r="R361" s="32">
        <v>92</v>
      </c>
      <c r="S361" s="32">
        <v>73</v>
      </c>
      <c r="T361" s="32">
        <v>122</v>
      </c>
      <c r="U361" s="32">
        <v>102</v>
      </c>
      <c r="V361" s="30">
        <v>0.94409937888198758</v>
      </c>
      <c r="W361" s="30">
        <v>0.8225255972696246</v>
      </c>
      <c r="X361" s="32">
        <v>61045.14</v>
      </c>
      <c r="Y361" s="32">
        <v>44465.88</v>
      </c>
      <c r="Z361" s="32">
        <v>105511.01999999999</v>
      </c>
      <c r="AA361" s="3">
        <f t="shared" si="5"/>
        <v>100845.3</v>
      </c>
      <c r="AB361" s="3"/>
      <c r="AC361" s="3"/>
      <c r="AF361" s="3"/>
      <c r="AG361" s="3"/>
      <c r="AH361" s="3"/>
    </row>
    <row r="362" spans="1:34" x14ac:dyDescent="0.25">
      <c r="A362">
        <v>2840807</v>
      </c>
      <c r="B362" s="2">
        <v>284</v>
      </c>
      <c r="C362" s="2">
        <v>1</v>
      </c>
      <c r="D362" s="2" t="s">
        <v>382</v>
      </c>
      <c r="E362" s="2">
        <v>807</v>
      </c>
      <c r="F362" s="2" t="s">
        <v>385</v>
      </c>
      <c r="G362" s="3">
        <v>0</v>
      </c>
      <c r="H362" s="32">
        <v>65</v>
      </c>
      <c r="I362" s="32">
        <v>61</v>
      </c>
      <c r="J362" s="32">
        <v>88</v>
      </c>
      <c r="K362" s="32">
        <v>73</v>
      </c>
      <c r="L362" s="32">
        <v>70</v>
      </c>
      <c r="M362" s="32">
        <v>67</v>
      </c>
      <c r="N362" s="32">
        <v>94</v>
      </c>
      <c r="O362" s="32">
        <v>73</v>
      </c>
      <c r="P362" s="32">
        <v>67</v>
      </c>
      <c r="Q362" s="32">
        <v>56</v>
      </c>
      <c r="R362" s="32">
        <v>87</v>
      </c>
      <c r="S362" s="32">
        <v>76</v>
      </c>
      <c r="T362" s="32">
        <v>78</v>
      </c>
      <c r="U362" s="32">
        <v>102</v>
      </c>
      <c r="V362" s="30">
        <v>0.90134529147982068</v>
      </c>
      <c r="W362" s="30">
        <v>0.82661290322580649</v>
      </c>
      <c r="X362" s="32">
        <v>37261.379999999997</v>
      </c>
      <c r="Y362" s="32">
        <v>44686.200000000004</v>
      </c>
      <c r="Z362" s="32">
        <v>81947.58</v>
      </c>
      <c r="AA362" s="3">
        <f t="shared" si="5"/>
        <v>78323.839999999997</v>
      </c>
      <c r="AB362" s="3"/>
      <c r="AC362" s="3"/>
      <c r="AF362" s="3"/>
      <c r="AG362" s="3"/>
      <c r="AH362" s="3"/>
    </row>
    <row r="363" spans="1:34" x14ac:dyDescent="0.25">
      <c r="A363">
        <v>2840808</v>
      </c>
      <c r="B363" s="2">
        <v>284</v>
      </c>
      <c r="C363" s="2">
        <v>1</v>
      </c>
      <c r="D363" s="2" t="s">
        <v>382</v>
      </c>
      <c r="E363" s="2">
        <v>808</v>
      </c>
      <c r="F363" s="2" t="s">
        <v>386</v>
      </c>
      <c r="G363" s="3">
        <v>0</v>
      </c>
      <c r="H363" s="32">
        <v>90</v>
      </c>
      <c r="I363" s="32">
        <v>75</v>
      </c>
      <c r="J363" s="32">
        <v>86</v>
      </c>
      <c r="K363" s="32">
        <v>77</v>
      </c>
      <c r="L363" s="32">
        <v>102</v>
      </c>
      <c r="M363" s="32">
        <v>89</v>
      </c>
      <c r="N363" s="32">
        <v>90</v>
      </c>
      <c r="O363" s="32">
        <v>73</v>
      </c>
      <c r="P363" s="32">
        <v>87</v>
      </c>
      <c r="Q363" s="32">
        <v>73</v>
      </c>
      <c r="R363" s="32">
        <v>81</v>
      </c>
      <c r="S363" s="32">
        <v>64</v>
      </c>
      <c r="T363" s="32">
        <v>102</v>
      </c>
      <c r="U363" s="32">
        <v>93</v>
      </c>
      <c r="V363" s="30">
        <v>0.86690647482014394</v>
      </c>
      <c r="W363" s="30">
        <v>0.81395348837209303</v>
      </c>
      <c r="X363" s="32">
        <v>46864.92</v>
      </c>
      <c r="Y363" s="32">
        <v>40120.199999999997</v>
      </c>
      <c r="Z363" s="32">
        <v>86985.12</v>
      </c>
      <c r="AA363" s="3">
        <f t="shared" si="5"/>
        <v>83138.62</v>
      </c>
      <c r="AB363" s="3"/>
      <c r="AC363" s="3"/>
      <c r="AF363" s="3"/>
      <c r="AG363" s="3"/>
      <c r="AH363" s="3"/>
    </row>
    <row r="364" spans="1:34" x14ac:dyDescent="0.25">
      <c r="A364">
        <v>2840810</v>
      </c>
      <c r="B364" s="2">
        <v>284</v>
      </c>
      <c r="C364" s="2">
        <v>1</v>
      </c>
      <c r="D364" s="2" t="s">
        <v>382</v>
      </c>
      <c r="E364" s="2">
        <v>810</v>
      </c>
      <c r="F364" s="2" t="s">
        <v>387</v>
      </c>
      <c r="G364" s="3">
        <v>0</v>
      </c>
      <c r="H364" s="32">
        <v>144</v>
      </c>
      <c r="I364" s="32">
        <v>130</v>
      </c>
      <c r="J364" s="32">
        <v>123</v>
      </c>
      <c r="K364" s="32">
        <v>112</v>
      </c>
      <c r="L364" s="32">
        <v>116</v>
      </c>
      <c r="M364" s="32">
        <v>105</v>
      </c>
      <c r="N364" s="32">
        <v>111</v>
      </c>
      <c r="O364" s="32">
        <v>99</v>
      </c>
      <c r="P364" s="32">
        <v>138</v>
      </c>
      <c r="Q364" s="32">
        <v>122</v>
      </c>
      <c r="R364" s="32">
        <v>119</v>
      </c>
      <c r="S364" s="32">
        <v>105</v>
      </c>
      <c r="T364" s="32">
        <v>118</v>
      </c>
      <c r="U364" s="32">
        <v>128</v>
      </c>
      <c r="V364" s="30">
        <v>0.90600522193211486</v>
      </c>
      <c r="W364" s="30">
        <v>0.88586956521739135</v>
      </c>
      <c r="X364" s="32">
        <v>56661.24</v>
      </c>
      <c r="Y364" s="32">
        <v>60097.279999999999</v>
      </c>
      <c r="Z364" s="32">
        <v>116758.51999999999</v>
      </c>
      <c r="AA364" s="3">
        <f t="shared" si="5"/>
        <v>111595.43</v>
      </c>
      <c r="AB364" s="3"/>
      <c r="AC364" s="3"/>
      <c r="AF364" s="3"/>
      <c r="AG364" s="3"/>
      <c r="AH364" s="3"/>
    </row>
    <row r="365" spans="1:34" x14ac:dyDescent="0.25">
      <c r="A365">
        <v>2840811</v>
      </c>
      <c r="B365" s="2">
        <v>284</v>
      </c>
      <c r="C365" s="2">
        <v>1</v>
      </c>
      <c r="D365" s="2" t="s">
        <v>382</v>
      </c>
      <c r="E365" s="2">
        <v>811</v>
      </c>
      <c r="F365" s="2" t="s">
        <v>388</v>
      </c>
      <c r="G365" s="3">
        <v>0</v>
      </c>
      <c r="H365" s="32">
        <v>118</v>
      </c>
      <c r="I365" s="32">
        <v>107</v>
      </c>
      <c r="J365" s="32">
        <v>96</v>
      </c>
      <c r="K365" s="32">
        <v>90</v>
      </c>
      <c r="L365" s="32">
        <v>112</v>
      </c>
      <c r="M365" s="32">
        <v>98</v>
      </c>
      <c r="N365" s="32">
        <v>101</v>
      </c>
      <c r="O365" s="32">
        <v>75</v>
      </c>
      <c r="P365" s="32">
        <v>115</v>
      </c>
      <c r="Q365" s="32">
        <v>99</v>
      </c>
      <c r="R365" s="32">
        <v>94</v>
      </c>
      <c r="S365" s="32">
        <v>77</v>
      </c>
      <c r="T365" s="32">
        <v>115</v>
      </c>
      <c r="U365" s="32">
        <v>99</v>
      </c>
      <c r="V365" s="30">
        <v>0.90490797546012269</v>
      </c>
      <c r="W365" s="30">
        <v>0.80967741935483872</v>
      </c>
      <c r="X365" s="32">
        <v>55154</v>
      </c>
      <c r="Y365" s="32">
        <v>42483.87</v>
      </c>
      <c r="Z365" s="32">
        <v>97637.87</v>
      </c>
      <c r="AA365" s="3">
        <f t="shared" si="5"/>
        <v>93320.3</v>
      </c>
      <c r="AB365" s="3"/>
      <c r="AC365" s="3"/>
      <c r="AF365" s="3"/>
      <c r="AG365" s="3"/>
      <c r="AH365" s="3"/>
    </row>
    <row r="366" spans="1:34" x14ac:dyDescent="0.25">
      <c r="A366">
        <v>2840812</v>
      </c>
      <c r="B366">
        <v>284</v>
      </c>
      <c r="C366">
        <v>1</v>
      </c>
      <c r="D366" t="s">
        <v>382</v>
      </c>
      <c r="E366">
        <v>812</v>
      </c>
      <c r="F366" t="s">
        <v>389</v>
      </c>
      <c r="G366" s="3">
        <v>0</v>
      </c>
      <c r="H366" s="32">
        <v>133</v>
      </c>
      <c r="I366" s="32">
        <v>123</v>
      </c>
      <c r="J366" s="32">
        <v>144</v>
      </c>
      <c r="K366" s="32">
        <v>137</v>
      </c>
      <c r="L366" s="32">
        <v>122</v>
      </c>
      <c r="M366" s="32">
        <v>117</v>
      </c>
      <c r="N366" s="32">
        <v>133</v>
      </c>
      <c r="O366" s="32">
        <v>111</v>
      </c>
      <c r="P366" s="32">
        <v>133</v>
      </c>
      <c r="Q366" s="32">
        <v>121</v>
      </c>
      <c r="R366" s="32">
        <v>141</v>
      </c>
      <c r="S366" s="32">
        <v>134</v>
      </c>
      <c r="T366" s="32">
        <v>122</v>
      </c>
      <c r="U366" s="32">
        <v>145</v>
      </c>
      <c r="V366" s="30">
        <v>0.94486215538847118</v>
      </c>
      <c r="W366" s="30">
        <v>0.89926289926289926</v>
      </c>
      <c r="X366" s="32">
        <v>61095.159999999996</v>
      </c>
      <c r="Y366" s="32">
        <v>69108.45</v>
      </c>
      <c r="Z366" s="32">
        <v>130203.60999999999</v>
      </c>
      <c r="AA366" s="3">
        <f t="shared" si="5"/>
        <v>124445.98</v>
      </c>
      <c r="AB366" s="3"/>
      <c r="AC366" s="3"/>
      <c r="AF366" s="3"/>
      <c r="AG366" s="3"/>
      <c r="AH366" s="3"/>
    </row>
    <row r="367" spans="1:34" x14ac:dyDescent="0.25">
      <c r="A367">
        <v>2860480</v>
      </c>
      <c r="B367">
        <v>286</v>
      </c>
      <c r="C367" s="2">
        <v>1</v>
      </c>
      <c r="D367" s="2" t="s">
        <v>390</v>
      </c>
      <c r="E367">
        <v>480</v>
      </c>
      <c r="F367" s="2" t="s">
        <v>391</v>
      </c>
      <c r="G367" s="3">
        <v>0</v>
      </c>
      <c r="H367" s="32">
        <v>150</v>
      </c>
      <c r="I367" s="32">
        <v>100</v>
      </c>
      <c r="J367" s="32">
        <v>157</v>
      </c>
      <c r="K367" s="32">
        <v>107</v>
      </c>
      <c r="L367" s="32">
        <v>172</v>
      </c>
      <c r="M367" s="32">
        <v>102</v>
      </c>
      <c r="N367" s="32">
        <v>121</v>
      </c>
      <c r="O367" s="32">
        <v>94</v>
      </c>
      <c r="P367" s="32">
        <v>136</v>
      </c>
      <c r="Q367" s="32">
        <v>98</v>
      </c>
      <c r="R367" s="32">
        <v>138</v>
      </c>
      <c r="S367" s="32">
        <v>108</v>
      </c>
      <c r="T367" s="32">
        <v>169</v>
      </c>
      <c r="U367" s="32">
        <v>156</v>
      </c>
      <c r="V367" s="30">
        <v>0.64509394572025047</v>
      </c>
      <c r="W367" s="30">
        <v>0.759493670886076</v>
      </c>
      <c r="X367" s="32">
        <v>57781.1</v>
      </c>
      <c r="Y367" s="32">
        <v>62794.679999999993</v>
      </c>
      <c r="Z367" s="32">
        <v>120575.78</v>
      </c>
      <c r="AA367" s="3">
        <f t="shared" si="5"/>
        <v>115243.89</v>
      </c>
      <c r="AB367" s="3"/>
      <c r="AC367" s="3"/>
      <c r="AF367" s="3"/>
      <c r="AG367" s="3"/>
      <c r="AH367" s="3"/>
    </row>
    <row r="368" spans="1:34" x14ac:dyDescent="0.25">
      <c r="A368">
        <v>2940008</v>
      </c>
      <c r="B368" s="2">
        <v>294</v>
      </c>
      <c r="C368" s="2">
        <v>1</v>
      </c>
      <c r="D368" s="2" t="s">
        <v>1186</v>
      </c>
      <c r="E368" s="2">
        <v>8</v>
      </c>
      <c r="F368" s="2" t="s">
        <v>1187</v>
      </c>
      <c r="G368" s="3">
        <v>1</v>
      </c>
      <c r="H368" s="32" t="s">
        <v>1328</v>
      </c>
      <c r="I368" s="32" t="s">
        <v>1328</v>
      </c>
      <c r="J368" s="32" t="s">
        <v>1328</v>
      </c>
      <c r="K368" s="32" t="s">
        <v>1328</v>
      </c>
      <c r="L368" s="32" t="s">
        <v>1328</v>
      </c>
      <c r="M368" s="32" t="s">
        <v>1328</v>
      </c>
      <c r="N368" s="32" t="s">
        <v>1328</v>
      </c>
      <c r="O368" s="32" t="s">
        <v>1328</v>
      </c>
      <c r="P368" s="32" t="s">
        <v>1328</v>
      </c>
      <c r="Q368" s="32" t="s">
        <v>1328</v>
      </c>
      <c r="R368" s="32" t="s">
        <v>1328</v>
      </c>
      <c r="S368" s="32" t="s">
        <v>1328</v>
      </c>
      <c r="T368" s="32">
        <v>0</v>
      </c>
      <c r="U368" s="32">
        <v>0</v>
      </c>
      <c r="V368" s="30" t="s">
        <v>1328</v>
      </c>
      <c r="W368" s="30" t="s">
        <v>1328</v>
      </c>
      <c r="X368" s="32" t="s">
        <v>1328</v>
      </c>
      <c r="Y368" s="32" t="s">
        <v>1328</v>
      </c>
      <c r="Z368" s="32">
        <v>0</v>
      </c>
      <c r="AA368" s="3">
        <f t="shared" si="5"/>
        <v>0</v>
      </c>
      <c r="AB368" s="3"/>
      <c r="AC368" s="3"/>
      <c r="AF368" s="3"/>
      <c r="AG368" s="3"/>
      <c r="AH368" s="3"/>
    </row>
    <row r="369" spans="1:34" x14ac:dyDescent="0.25">
      <c r="A369">
        <v>2940010</v>
      </c>
      <c r="B369" s="2">
        <v>294</v>
      </c>
      <c r="C369" s="2">
        <v>1</v>
      </c>
      <c r="D369" s="2" t="s">
        <v>392</v>
      </c>
      <c r="E369" s="2">
        <v>10</v>
      </c>
      <c r="F369" s="2" t="s">
        <v>393</v>
      </c>
      <c r="G369" s="3">
        <v>0</v>
      </c>
      <c r="H369" s="32">
        <v>36</v>
      </c>
      <c r="I369" s="32">
        <v>31</v>
      </c>
      <c r="J369" s="32">
        <v>31</v>
      </c>
      <c r="K369" s="32">
        <v>29</v>
      </c>
      <c r="L369" s="32">
        <v>37</v>
      </c>
      <c r="M369" s="32">
        <v>34</v>
      </c>
      <c r="N369" s="32">
        <v>27</v>
      </c>
      <c r="O369" s="32">
        <v>22</v>
      </c>
      <c r="P369" s="32">
        <v>33</v>
      </c>
      <c r="Q369" s="32">
        <v>29</v>
      </c>
      <c r="R369" s="32">
        <v>30</v>
      </c>
      <c r="S369" s="32">
        <v>26</v>
      </c>
      <c r="T369" s="32">
        <v>35</v>
      </c>
      <c r="U369" s="32">
        <v>31</v>
      </c>
      <c r="V369" s="30">
        <v>0.90384615384615385</v>
      </c>
      <c r="W369" s="30">
        <v>0.85555555555555551</v>
      </c>
      <c r="X369" s="32">
        <v>16766.400000000001</v>
      </c>
      <c r="Y369" s="32">
        <v>14056.64</v>
      </c>
      <c r="Z369" s="32">
        <v>30823.040000000001</v>
      </c>
      <c r="AA369" s="3">
        <f t="shared" si="5"/>
        <v>29460.04</v>
      </c>
      <c r="AB369" s="3"/>
      <c r="AC369" s="3"/>
      <c r="AF369" s="3"/>
      <c r="AG369" s="3"/>
      <c r="AH369" s="3"/>
    </row>
    <row r="370" spans="1:34" x14ac:dyDescent="0.25">
      <c r="A370">
        <v>2940012</v>
      </c>
      <c r="B370" s="2">
        <v>294</v>
      </c>
      <c r="C370" s="2">
        <v>1</v>
      </c>
      <c r="D370" s="2" t="s">
        <v>392</v>
      </c>
      <c r="E370" s="2">
        <v>12</v>
      </c>
      <c r="F370" s="2" t="s">
        <v>394</v>
      </c>
      <c r="G370" s="3">
        <v>0</v>
      </c>
      <c r="H370" s="32">
        <v>90</v>
      </c>
      <c r="I370" s="32">
        <v>65</v>
      </c>
      <c r="J370" s="32">
        <v>79</v>
      </c>
      <c r="K370" s="32">
        <v>55</v>
      </c>
      <c r="L370" s="32">
        <v>119</v>
      </c>
      <c r="M370" s="32">
        <v>86</v>
      </c>
      <c r="N370" s="32">
        <v>68</v>
      </c>
      <c r="O370" s="32">
        <v>50</v>
      </c>
      <c r="P370" s="32">
        <v>63</v>
      </c>
      <c r="Q370" s="32">
        <v>52</v>
      </c>
      <c r="R370" s="32">
        <v>65</v>
      </c>
      <c r="S370" s="32">
        <v>40</v>
      </c>
      <c r="T370" s="32">
        <v>131</v>
      </c>
      <c r="U370" s="32">
        <v>111</v>
      </c>
      <c r="V370" s="30">
        <v>0.71527777777777779</v>
      </c>
      <c r="W370" s="30">
        <v>0.72448979591836737</v>
      </c>
      <c r="X370" s="32">
        <v>49662.100000000006</v>
      </c>
      <c r="Y370" s="32">
        <v>42621.78</v>
      </c>
      <c r="Z370" s="32">
        <v>92283.88</v>
      </c>
      <c r="AA370" s="3">
        <f t="shared" si="5"/>
        <v>88203.06</v>
      </c>
      <c r="AB370" s="3"/>
      <c r="AC370" s="3"/>
      <c r="AF370" s="3"/>
      <c r="AG370" s="3"/>
      <c r="AH370" s="3"/>
    </row>
    <row r="371" spans="1:34" x14ac:dyDescent="0.25">
      <c r="A371">
        <v>2970010</v>
      </c>
      <c r="B371" s="2">
        <v>297</v>
      </c>
      <c r="C371" s="2">
        <v>1</v>
      </c>
      <c r="D371" s="2" t="s">
        <v>395</v>
      </c>
      <c r="E371" s="2">
        <v>10</v>
      </c>
      <c r="F371" s="2" t="s">
        <v>396</v>
      </c>
      <c r="G371" s="3">
        <v>0</v>
      </c>
      <c r="H371" s="32">
        <v>25</v>
      </c>
      <c r="I371" s="32">
        <v>20</v>
      </c>
      <c r="J371" s="32">
        <v>23</v>
      </c>
      <c r="K371" s="32">
        <v>18</v>
      </c>
      <c r="L371" s="32">
        <v>23</v>
      </c>
      <c r="M371" s="32">
        <v>18</v>
      </c>
      <c r="N371" s="32">
        <v>21</v>
      </c>
      <c r="O371" s="32">
        <v>13</v>
      </c>
      <c r="P371" s="32">
        <v>27</v>
      </c>
      <c r="Q371" s="32">
        <v>25</v>
      </c>
      <c r="R371" s="32">
        <v>24</v>
      </c>
      <c r="S371" s="32">
        <v>20</v>
      </c>
      <c r="T371" s="32">
        <v>23</v>
      </c>
      <c r="U371" s="32">
        <v>24</v>
      </c>
      <c r="V371" s="30">
        <v>0.78873239436619713</v>
      </c>
      <c r="W371" s="30">
        <v>0.80555555555555558</v>
      </c>
      <c r="X371" s="32">
        <v>9614.6899999999987</v>
      </c>
      <c r="Y371" s="32">
        <v>10246.56</v>
      </c>
      <c r="Z371" s="32">
        <v>19861.25</v>
      </c>
      <c r="AA371" s="3">
        <f t="shared" si="5"/>
        <v>18982.98</v>
      </c>
      <c r="AB371" s="3"/>
      <c r="AC371" s="3"/>
      <c r="AF371" s="3"/>
      <c r="AG371" s="3"/>
      <c r="AH371" s="3"/>
    </row>
    <row r="372" spans="1:34" x14ac:dyDescent="0.25">
      <c r="A372">
        <v>2990010</v>
      </c>
      <c r="B372">
        <v>299</v>
      </c>
      <c r="C372" s="2">
        <v>1</v>
      </c>
      <c r="D372" s="2" t="s">
        <v>397</v>
      </c>
      <c r="E372">
        <v>10</v>
      </c>
      <c r="F372" s="2" t="s">
        <v>398</v>
      </c>
      <c r="G372" s="3">
        <v>0</v>
      </c>
      <c r="H372" s="32">
        <v>47</v>
      </c>
      <c r="I372" s="32">
        <v>38</v>
      </c>
      <c r="J372" s="32">
        <v>35</v>
      </c>
      <c r="K372" s="32">
        <v>30</v>
      </c>
      <c r="L372" s="32">
        <v>49</v>
      </c>
      <c r="M372" s="32">
        <v>38</v>
      </c>
      <c r="N372" s="32">
        <v>42</v>
      </c>
      <c r="O372" s="32">
        <v>32</v>
      </c>
      <c r="P372" s="32">
        <v>42</v>
      </c>
      <c r="Q372" s="32">
        <v>36</v>
      </c>
      <c r="R372" s="32">
        <v>36</v>
      </c>
      <c r="S372" s="32">
        <v>24</v>
      </c>
      <c r="T372" s="32">
        <v>50</v>
      </c>
      <c r="U372" s="32">
        <v>37</v>
      </c>
      <c r="V372" s="30">
        <v>0.80916030534351147</v>
      </c>
      <c r="W372" s="30">
        <v>0.76666666666666672</v>
      </c>
      <c r="X372" s="32">
        <v>21442.5</v>
      </c>
      <c r="Y372" s="32">
        <v>15034.21</v>
      </c>
      <c r="Z372" s="32">
        <v>36476.71</v>
      </c>
      <c r="AA372" s="3">
        <f t="shared" si="5"/>
        <v>34863.699999999997</v>
      </c>
      <c r="AB372" s="3"/>
      <c r="AC372" s="3"/>
      <c r="AF372" s="3"/>
      <c r="AG372" s="3"/>
      <c r="AH372" s="3"/>
    </row>
    <row r="373" spans="1:34" x14ac:dyDescent="0.25">
      <c r="A373">
        <v>3000010</v>
      </c>
      <c r="B373" s="2">
        <v>300</v>
      </c>
      <c r="C373" s="2">
        <v>1</v>
      </c>
      <c r="D373" s="2" t="s">
        <v>399</v>
      </c>
      <c r="E373" s="2">
        <v>10</v>
      </c>
      <c r="F373" s="2" t="s">
        <v>400</v>
      </c>
      <c r="G373" s="3">
        <v>0</v>
      </c>
      <c r="H373" s="32">
        <v>73</v>
      </c>
      <c r="I373" s="32">
        <v>67</v>
      </c>
      <c r="J373" s="32">
        <v>84</v>
      </c>
      <c r="K373" s="32">
        <v>64</v>
      </c>
      <c r="L373" s="32">
        <v>67</v>
      </c>
      <c r="M373" s="32">
        <v>57</v>
      </c>
      <c r="N373" s="32">
        <v>71</v>
      </c>
      <c r="O373" s="32">
        <v>35</v>
      </c>
      <c r="P373" s="32">
        <v>69</v>
      </c>
      <c r="Q373" s="32">
        <v>45</v>
      </c>
      <c r="R373" s="32">
        <v>72</v>
      </c>
      <c r="S373" s="32">
        <v>47</v>
      </c>
      <c r="T373" s="32">
        <v>72</v>
      </c>
      <c r="U373" s="32">
        <v>80</v>
      </c>
      <c r="V373" s="30">
        <v>0.8392857142857143</v>
      </c>
      <c r="W373" s="30">
        <v>0.59905660377358494</v>
      </c>
      <c r="X373" s="32">
        <v>32027.040000000001</v>
      </c>
      <c r="Y373" s="32">
        <v>25400</v>
      </c>
      <c r="Z373" s="32">
        <v>57427.040000000001</v>
      </c>
      <c r="AA373" s="3">
        <f t="shared" si="5"/>
        <v>54887.6</v>
      </c>
      <c r="AB373" s="3"/>
      <c r="AC373" s="3"/>
      <c r="AF373" s="3"/>
      <c r="AG373" s="3"/>
      <c r="AH373" s="3"/>
    </row>
    <row r="374" spans="1:34" x14ac:dyDescent="0.25">
      <c r="A374">
        <v>3060010</v>
      </c>
      <c r="B374" s="2">
        <v>306</v>
      </c>
      <c r="C374" s="2">
        <v>1</v>
      </c>
      <c r="D374" s="2" t="s">
        <v>401</v>
      </c>
      <c r="E374" s="2">
        <v>10</v>
      </c>
      <c r="F374" s="2" t="s">
        <v>402</v>
      </c>
      <c r="G374" s="3">
        <v>0</v>
      </c>
      <c r="H374" s="32">
        <v>16</v>
      </c>
      <c r="I374" s="32">
        <v>14</v>
      </c>
      <c r="J374" s="32">
        <v>23</v>
      </c>
      <c r="K374" s="32">
        <v>13</v>
      </c>
      <c r="L374" s="32">
        <v>19</v>
      </c>
      <c r="M374" s="32">
        <v>16</v>
      </c>
      <c r="N374" s="32">
        <v>20</v>
      </c>
      <c r="O374" s="32">
        <v>11</v>
      </c>
      <c r="P374" s="32">
        <v>12</v>
      </c>
      <c r="Q374" s="32">
        <v>6</v>
      </c>
      <c r="R374" s="32">
        <v>20</v>
      </c>
      <c r="S374" s="32">
        <v>14</v>
      </c>
      <c r="T374" s="32">
        <v>19</v>
      </c>
      <c r="U374" s="32">
        <v>24</v>
      </c>
      <c r="V374" s="30">
        <v>0.74137931034482762</v>
      </c>
      <c r="W374" s="30">
        <v>0.59615384615384615</v>
      </c>
      <c r="X374" s="32">
        <v>7465.67</v>
      </c>
      <c r="Y374" s="32">
        <v>7583.0399999999991</v>
      </c>
      <c r="Z374" s="32">
        <v>15048.71</v>
      </c>
      <c r="AA374" s="3">
        <f t="shared" si="5"/>
        <v>14383.25</v>
      </c>
      <c r="AB374" s="3"/>
      <c r="AC374" s="3"/>
      <c r="AF374" s="3"/>
      <c r="AG374" s="3"/>
      <c r="AH374" s="3"/>
    </row>
    <row r="375" spans="1:34" x14ac:dyDescent="0.25">
      <c r="A375">
        <v>3080010</v>
      </c>
      <c r="B375" s="2">
        <v>308</v>
      </c>
      <c r="C375" s="2">
        <v>1</v>
      </c>
      <c r="D375" s="2" t="s">
        <v>403</v>
      </c>
      <c r="E375" s="2">
        <v>10</v>
      </c>
      <c r="F375" s="2" t="s">
        <v>404</v>
      </c>
      <c r="G375" s="3">
        <v>0</v>
      </c>
      <c r="H375" s="32">
        <v>36</v>
      </c>
      <c r="I375" s="32">
        <v>28</v>
      </c>
      <c r="J375" s="32">
        <v>38</v>
      </c>
      <c r="K375" s="32">
        <v>36</v>
      </c>
      <c r="L375" s="32">
        <v>31</v>
      </c>
      <c r="M375" s="32">
        <v>24</v>
      </c>
      <c r="N375" s="32">
        <v>37</v>
      </c>
      <c r="O375" s="32">
        <v>31</v>
      </c>
      <c r="P375" s="32">
        <v>31</v>
      </c>
      <c r="Q375" s="32">
        <v>27</v>
      </c>
      <c r="R375" s="32">
        <v>34</v>
      </c>
      <c r="S375" s="32">
        <v>27</v>
      </c>
      <c r="T375" s="32">
        <v>30</v>
      </c>
      <c r="U375" s="32">
        <v>40</v>
      </c>
      <c r="V375" s="30">
        <v>0.83809523809523812</v>
      </c>
      <c r="W375" s="30">
        <v>0.83333333333333337</v>
      </c>
      <c r="X375" s="32">
        <v>13325.7</v>
      </c>
      <c r="Y375" s="32">
        <v>17666.8</v>
      </c>
      <c r="Z375" s="32">
        <v>30992.5</v>
      </c>
      <c r="AA375" s="3">
        <f t="shared" si="5"/>
        <v>29622</v>
      </c>
      <c r="AB375" s="3"/>
      <c r="AC375" s="3"/>
      <c r="AF375" s="3"/>
      <c r="AG375" s="3"/>
      <c r="AH375" s="3"/>
    </row>
    <row r="376" spans="1:34" x14ac:dyDescent="0.25">
      <c r="A376">
        <v>3090030</v>
      </c>
      <c r="B376" s="2">
        <v>309</v>
      </c>
      <c r="C376" s="2">
        <v>1</v>
      </c>
      <c r="D376" s="2" t="s">
        <v>405</v>
      </c>
      <c r="E376" s="2">
        <v>30</v>
      </c>
      <c r="F376" s="2" t="s">
        <v>406</v>
      </c>
      <c r="G376" s="3">
        <v>0</v>
      </c>
      <c r="H376" s="32">
        <v>118</v>
      </c>
      <c r="I376" s="32">
        <v>97</v>
      </c>
      <c r="J376" s="32">
        <v>111</v>
      </c>
      <c r="K376" s="32">
        <v>89</v>
      </c>
      <c r="L376" s="32">
        <v>101</v>
      </c>
      <c r="M376" s="32">
        <v>86</v>
      </c>
      <c r="N376" s="32">
        <v>122</v>
      </c>
      <c r="O376" s="32">
        <v>90</v>
      </c>
      <c r="P376" s="32">
        <v>114</v>
      </c>
      <c r="Q376" s="32">
        <v>85</v>
      </c>
      <c r="R376" s="32">
        <v>102</v>
      </c>
      <c r="S376" s="32">
        <v>81</v>
      </c>
      <c r="T376" s="32">
        <v>103</v>
      </c>
      <c r="U376" s="32">
        <v>108</v>
      </c>
      <c r="V376" s="30">
        <v>0.82424242424242422</v>
      </c>
      <c r="W376" s="30">
        <v>0.75739644970414199</v>
      </c>
      <c r="X376" s="32">
        <v>44995.55</v>
      </c>
      <c r="Y376" s="32">
        <v>43353.36</v>
      </c>
      <c r="Z376" s="32">
        <v>88348.91</v>
      </c>
      <c r="AA376" s="3">
        <f t="shared" si="5"/>
        <v>84442.1</v>
      </c>
      <c r="AB376" s="3"/>
      <c r="AC376" s="3"/>
      <c r="AF376" s="3"/>
      <c r="AG376" s="3"/>
      <c r="AH376" s="3"/>
    </row>
    <row r="377" spans="1:34" x14ac:dyDescent="0.25">
      <c r="A377" s="7">
        <v>3140002</v>
      </c>
      <c r="B377" s="7">
        <v>314</v>
      </c>
      <c r="C377" s="7">
        <v>1</v>
      </c>
      <c r="D377" s="7" t="s">
        <v>407</v>
      </c>
      <c r="E377" s="7">
        <v>2</v>
      </c>
      <c r="F377" s="7" t="s">
        <v>408</v>
      </c>
      <c r="G377" s="3">
        <v>0</v>
      </c>
      <c r="H377" s="32">
        <v>77</v>
      </c>
      <c r="I377" s="32">
        <v>65</v>
      </c>
      <c r="J377" s="32">
        <v>71</v>
      </c>
      <c r="K377" s="32">
        <v>64</v>
      </c>
      <c r="L377" s="32">
        <v>72</v>
      </c>
      <c r="M377" s="32">
        <v>71</v>
      </c>
      <c r="N377" s="32">
        <v>66</v>
      </c>
      <c r="O377" s="32">
        <v>53</v>
      </c>
      <c r="P377" s="32">
        <v>65</v>
      </c>
      <c r="Q377" s="32">
        <v>41</v>
      </c>
      <c r="R377" s="32">
        <v>68</v>
      </c>
      <c r="S377" s="32">
        <v>54</v>
      </c>
      <c r="T377" s="32">
        <v>72</v>
      </c>
      <c r="U377" s="32">
        <v>74</v>
      </c>
      <c r="V377" s="30">
        <v>0.90909090909090906</v>
      </c>
      <c r="W377" s="30">
        <v>0.74371859296482412</v>
      </c>
      <c r="X377" s="32">
        <v>34691.040000000001</v>
      </c>
      <c r="Y377" s="32">
        <v>29168.58</v>
      </c>
      <c r="Z377" s="32">
        <v>63859.62</v>
      </c>
      <c r="AA377" s="3">
        <f t="shared" si="5"/>
        <v>61035.73</v>
      </c>
      <c r="AB377" s="3"/>
      <c r="AC377" s="3"/>
      <c r="AF377" s="3"/>
      <c r="AG377" s="3"/>
      <c r="AH377" s="3"/>
    </row>
    <row r="378" spans="1:34" x14ac:dyDescent="0.25">
      <c r="A378">
        <v>3160110</v>
      </c>
      <c r="B378" s="2">
        <v>316</v>
      </c>
      <c r="C378" s="2">
        <v>1</v>
      </c>
      <c r="D378" s="2" t="s">
        <v>409</v>
      </c>
      <c r="E378" s="2">
        <v>110</v>
      </c>
      <c r="F378" s="2" t="s">
        <v>410</v>
      </c>
      <c r="G378" s="3">
        <v>0</v>
      </c>
      <c r="H378" s="32">
        <v>92</v>
      </c>
      <c r="I378" s="32">
        <v>69</v>
      </c>
      <c r="J378" s="32">
        <v>86</v>
      </c>
      <c r="K378" s="32">
        <v>70</v>
      </c>
      <c r="L378" s="32">
        <v>67</v>
      </c>
      <c r="M378" s="32">
        <v>58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70</v>
      </c>
      <c r="U378" s="32">
        <v>0</v>
      </c>
      <c r="V378" s="30">
        <v>0.80408163265306121</v>
      </c>
      <c r="W378" s="30">
        <v>0</v>
      </c>
      <c r="X378" s="32">
        <v>29831.200000000001</v>
      </c>
      <c r="Y378" s="32">
        <v>0</v>
      </c>
      <c r="Z378" s="32">
        <v>29831.200000000001</v>
      </c>
      <c r="AA378" s="3">
        <f t="shared" si="5"/>
        <v>28512.06</v>
      </c>
      <c r="AB378" s="3"/>
      <c r="AC378" s="3"/>
      <c r="AF378" s="3"/>
      <c r="AG378" s="3"/>
      <c r="AH378" s="3"/>
    </row>
    <row r="379" spans="1:34" x14ac:dyDescent="0.25">
      <c r="A379">
        <v>3160210</v>
      </c>
      <c r="B379" s="2">
        <v>316</v>
      </c>
      <c r="C379" s="2">
        <v>1</v>
      </c>
      <c r="D379" s="2" t="s">
        <v>409</v>
      </c>
      <c r="E379" s="2">
        <v>210</v>
      </c>
      <c r="F379" s="2" t="s">
        <v>411</v>
      </c>
      <c r="G379" s="3">
        <v>0</v>
      </c>
      <c r="H379" s="32">
        <v>0</v>
      </c>
      <c r="I379" s="32">
        <v>0</v>
      </c>
      <c r="J379" s="32">
        <v>0</v>
      </c>
      <c r="K379" s="32">
        <v>0</v>
      </c>
      <c r="L379" s="32">
        <v>0</v>
      </c>
      <c r="M379" s="32">
        <v>0</v>
      </c>
      <c r="N379" s="32">
        <v>81</v>
      </c>
      <c r="O379" s="32">
        <v>60</v>
      </c>
      <c r="P379" s="32">
        <v>83</v>
      </c>
      <c r="Q379" s="32">
        <v>53</v>
      </c>
      <c r="R379" s="32">
        <v>77</v>
      </c>
      <c r="S379" s="32">
        <v>56</v>
      </c>
      <c r="T379" s="32">
        <v>0</v>
      </c>
      <c r="U379" s="32">
        <v>87</v>
      </c>
      <c r="V379" s="30">
        <v>0</v>
      </c>
      <c r="W379" s="30">
        <v>0.70124481327800825</v>
      </c>
      <c r="X379" s="32">
        <v>0</v>
      </c>
      <c r="Y379" s="32">
        <v>32334.420000000002</v>
      </c>
      <c r="Z379" s="32">
        <v>32334.420000000002</v>
      </c>
      <c r="AA379" s="3">
        <f t="shared" si="5"/>
        <v>30904.58</v>
      </c>
      <c r="AB379" s="3"/>
      <c r="AC379" s="3"/>
      <c r="AF379" s="3"/>
      <c r="AG379" s="3"/>
      <c r="AH379" s="3"/>
    </row>
    <row r="380" spans="1:34" x14ac:dyDescent="0.25">
      <c r="A380">
        <v>3170004</v>
      </c>
      <c r="B380" s="2">
        <v>317</v>
      </c>
      <c r="C380" s="2">
        <v>1</v>
      </c>
      <c r="D380" s="2" t="s">
        <v>412</v>
      </c>
      <c r="E380" s="2">
        <v>4</v>
      </c>
      <c r="F380" s="2" t="s">
        <v>414</v>
      </c>
      <c r="G380" s="3">
        <v>0</v>
      </c>
      <c r="H380" s="32">
        <v>64</v>
      </c>
      <c r="I380" s="32">
        <v>56</v>
      </c>
      <c r="J380" s="32">
        <v>56</v>
      </c>
      <c r="K380" s="32">
        <v>43</v>
      </c>
      <c r="L380" s="32">
        <v>53</v>
      </c>
      <c r="M380" s="32">
        <v>34</v>
      </c>
      <c r="N380" s="32">
        <v>53</v>
      </c>
      <c r="O380" s="32">
        <v>41</v>
      </c>
      <c r="P380" s="32">
        <v>64</v>
      </c>
      <c r="Q380" s="32">
        <v>43</v>
      </c>
      <c r="R380" s="32">
        <v>51</v>
      </c>
      <c r="S380" s="32">
        <v>27</v>
      </c>
      <c r="T380" s="32">
        <v>56</v>
      </c>
      <c r="U380" s="32">
        <v>57</v>
      </c>
      <c r="V380" s="30">
        <v>0.76878612716763006</v>
      </c>
      <c r="W380" s="30">
        <v>0.6607142857142857</v>
      </c>
      <c r="X380" s="32">
        <v>22817.759999999998</v>
      </c>
      <c r="Y380" s="32">
        <v>19960.260000000002</v>
      </c>
      <c r="Z380" s="32">
        <v>42778.020000000004</v>
      </c>
      <c r="AA380" s="3">
        <f t="shared" si="5"/>
        <v>40886.370000000003</v>
      </c>
      <c r="AB380" s="3"/>
      <c r="AC380" s="3"/>
      <c r="AF380" s="3"/>
      <c r="AG380" s="3"/>
      <c r="AH380" s="3"/>
    </row>
    <row r="381" spans="1:34" x14ac:dyDescent="0.25">
      <c r="A381">
        <v>3180110</v>
      </c>
      <c r="B381" s="2">
        <v>318</v>
      </c>
      <c r="C381" s="2">
        <v>1</v>
      </c>
      <c r="D381" s="2" t="s">
        <v>415</v>
      </c>
      <c r="E381" s="2">
        <v>110</v>
      </c>
      <c r="F381" s="2" t="s">
        <v>416</v>
      </c>
      <c r="G381" s="3">
        <v>0</v>
      </c>
      <c r="H381" s="32">
        <v>47</v>
      </c>
      <c r="I381" s="32">
        <v>33</v>
      </c>
      <c r="J381" s="32">
        <v>48</v>
      </c>
      <c r="K381" s="32">
        <v>33</v>
      </c>
      <c r="L381" s="32">
        <v>48</v>
      </c>
      <c r="M381" s="32">
        <v>42</v>
      </c>
      <c r="N381" s="32">
        <v>65</v>
      </c>
      <c r="O381" s="32">
        <v>50</v>
      </c>
      <c r="P381" s="32">
        <v>48</v>
      </c>
      <c r="Q381" s="32">
        <v>37</v>
      </c>
      <c r="R381" s="32">
        <v>48</v>
      </c>
      <c r="S381" s="32">
        <v>42</v>
      </c>
      <c r="T381" s="32">
        <v>47</v>
      </c>
      <c r="U381" s="32">
        <v>53</v>
      </c>
      <c r="V381" s="30">
        <v>0.75524475524475521</v>
      </c>
      <c r="W381" s="30">
        <v>0.80124223602484468</v>
      </c>
      <c r="X381" s="32">
        <v>18813.16</v>
      </c>
      <c r="Y381" s="32">
        <v>22506.98</v>
      </c>
      <c r="Z381" s="32">
        <v>41320.14</v>
      </c>
      <c r="AA381" s="3">
        <f t="shared" si="5"/>
        <v>39492.949999999997</v>
      </c>
      <c r="AB381" s="3"/>
      <c r="AC381" s="3"/>
      <c r="AF381" s="3"/>
      <c r="AG381" s="3"/>
      <c r="AH381" s="3"/>
    </row>
    <row r="382" spans="1:34" x14ac:dyDescent="0.25">
      <c r="A382">
        <v>3180115</v>
      </c>
      <c r="B382" s="2">
        <v>318</v>
      </c>
      <c r="C382" s="2">
        <v>1</v>
      </c>
      <c r="D382" s="2" t="s">
        <v>415</v>
      </c>
      <c r="E382" s="2">
        <v>115</v>
      </c>
      <c r="F382" s="2" t="s">
        <v>417</v>
      </c>
      <c r="G382" s="3">
        <v>0</v>
      </c>
      <c r="H382" s="32">
        <v>17</v>
      </c>
      <c r="I382" s="32">
        <v>16</v>
      </c>
      <c r="J382" s="32">
        <v>15</v>
      </c>
      <c r="K382" s="32">
        <v>13</v>
      </c>
      <c r="L382" s="32">
        <v>17</v>
      </c>
      <c r="M382" s="32">
        <v>17</v>
      </c>
      <c r="N382" s="32">
        <v>21</v>
      </c>
      <c r="O382" s="32">
        <v>7</v>
      </c>
      <c r="P382" s="32">
        <v>13</v>
      </c>
      <c r="Q382" s="32">
        <v>11</v>
      </c>
      <c r="R382" s="32">
        <v>14</v>
      </c>
      <c r="S382" s="32">
        <v>8</v>
      </c>
      <c r="T382" s="32">
        <v>17</v>
      </c>
      <c r="U382" s="32">
        <v>15</v>
      </c>
      <c r="V382" s="30">
        <v>0.93877551020408168</v>
      </c>
      <c r="W382" s="30">
        <v>0.54166666666666663</v>
      </c>
      <c r="X382" s="32">
        <v>8458.35</v>
      </c>
      <c r="Y382" s="32">
        <v>4306.2</v>
      </c>
      <c r="Z382" s="32">
        <v>12764.55</v>
      </c>
      <c r="AA382" s="3">
        <f t="shared" si="5"/>
        <v>12200.1</v>
      </c>
      <c r="AB382" s="3"/>
      <c r="AC382" s="3"/>
      <c r="AF382" s="3"/>
      <c r="AG382" s="3"/>
      <c r="AH382" s="3"/>
    </row>
    <row r="383" spans="1:34" x14ac:dyDescent="0.25">
      <c r="A383">
        <v>3180120</v>
      </c>
      <c r="B383" s="2">
        <v>318</v>
      </c>
      <c r="C383" s="2">
        <v>1</v>
      </c>
      <c r="D383" s="2" t="s">
        <v>415</v>
      </c>
      <c r="E383" s="2">
        <v>120</v>
      </c>
      <c r="F383" s="2" t="s">
        <v>418</v>
      </c>
      <c r="G383" s="3">
        <v>0</v>
      </c>
      <c r="H383" s="32">
        <v>54</v>
      </c>
      <c r="I383" s="32">
        <v>39</v>
      </c>
      <c r="J383" s="32">
        <v>53</v>
      </c>
      <c r="K383" s="32">
        <v>42</v>
      </c>
      <c r="L383" s="32">
        <v>49</v>
      </c>
      <c r="M383" s="32">
        <v>42</v>
      </c>
      <c r="N383" s="32">
        <v>43</v>
      </c>
      <c r="O383" s="32">
        <v>29</v>
      </c>
      <c r="P383" s="32">
        <v>46</v>
      </c>
      <c r="Q383" s="32">
        <v>43</v>
      </c>
      <c r="R383" s="32">
        <v>54</v>
      </c>
      <c r="S383" s="32">
        <v>45</v>
      </c>
      <c r="T383" s="32">
        <v>51</v>
      </c>
      <c r="U383" s="32">
        <v>57</v>
      </c>
      <c r="V383" s="30">
        <v>0.78846153846153844</v>
      </c>
      <c r="W383" s="30">
        <v>0.81818181818181823</v>
      </c>
      <c r="X383" s="32">
        <v>21311.88</v>
      </c>
      <c r="Y383" s="32">
        <v>24717.48</v>
      </c>
      <c r="Z383" s="32">
        <v>46029.36</v>
      </c>
      <c r="AA383" s="3">
        <f t="shared" si="5"/>
        <v>43993.93</v>
      </c>
      <c r="AB383" s="3"/>
      <c r="AC383" s="3"/>
      <c r="AF383" s="3"/>
      <c r="AG383" s="3"/>
      <c r="AH383" s="3"/>
    </row>
    <row r="384" spans="1:34" x14ac:dyDescent="0.25">
      <c r="A384">
        <v>3180125</v>
      </c>
      <c r="B384" s="2">
        <v>318</v>
      </c>
      <c r="C384" s="2">
        <v>1</v>
      </c>
      <c r="D384" s="2" t="s">
        <v>415</v>
      </c>
      <c r="E384" s="2">
        <v>125</v>
      </c>
      <c r="F384" s="2" t="s">
        <v>419</v>
      </c>
      <c r="G384" s="3">
        <v>0</v>
      </c>
      <c r="H384" s="32">
        <v>69</v>
      </c>
      <c r="I384" s="32">
        <v>53</v>
      </c>
      <c r="J384" s="32">
        <v>80</v>
      </c>
      <c r="K384" s="32">
        <v>68</v>
      </c>
      <c r="L384" s="32">
        <v>69</v>
      </c>
      <c r="M384" s="32">
        <v>56</v>
      </c>
      <c r="N384" s="32">
        <v>74</v>
      </c>
      <c r="O384" s="32">
        <v>48</v>
      </c>
      <c r="P384" s="32">
        <v>66</v>
      </c>
      <c r="Q384" s="32">
        <v>57</v>
      </c>
      <c r="R384" s="32">
        <v>83</v>
      </c>
      <c r="S384" s="32">
        <v>62</v>
      </c>
      <c r="T384" s="32">
        <v>72</v>
      </c>
      <c r="U384" s="32">
        <v>84</v>
      </c>
      <c r="V384" s="30">
        <v>0.81192660550458717</v>
      </c>
      <c r="W384" s="30">
        <v>0.7488789237668162</v>
      </c>
      <c r="X384" s="32">
        <v>30983.040000000001</v>
      </c>
      <c r="Y384" s="32">
        <v>33340.44</v>
      </c>
      <c r="Z384" s="32">
        <v>64323.48</v>
      </c>
      <c r="AA384" s="3">
        <f t="shared" si="5"/>
        <v>61479.08</v>
      </c>
      <c r="AB384" s="3"/>
      <c r="AC384" s="3"/>
      <c r="AF384" s="3"/>
      <c r="AG384" s="3"/>
      <c r="AH384" s="3"/>
    </row>
    <row r="385" spans="1:34" x14ac:dyDescent="0.25">
      <c r="A385">
        <v>3180135</v>
      </c>
      <c r="B385" s="2">
        <v>318</v>
      </c>
      <c r="C385" s="2">
        <v>1</v>
      </c>
      <c r="D385" s="2" t="s">
        <v>415</v>
      </c>
      <c r="E385" s="2">
        <v>135</v>
      </c>
      <c r="F385" s="2" t="s">
        <v>420</v>
      </c>
      <c r="G385" s="3">
        <v>0</v>
      </c>
      <c r="H385" s="32">
        <v>73</v>
      </c>
      <c r="I385" s="32">
        <v>62</v>
      </c>
      <c r="J385" s="32">
        <v>54</v>
      </c>
      <c r="K385" s="32">
        <v>38</v>
      </c>
      <c r="L385" s="32">
        <v>73</v>
      </c>
      <c r="M385" s="32">
        <v>70</v>
      </c>
      <c r="N385" s="32">
        <v>52</v>
      </c>
      <c r="O385" s="32">
        <v>44</v>
      </c>
      <c r="P385" s="32">
        <v>68</v>
      </c>
      <c r="Q385" s="32">
        <v>57</v>
      </c>
      <c r="R385" s="32">
        <v>49</v>
      </c>
      <c r="S385" s="32">
        <v>40</v>
      </c>
      <c r="T385" s="32">
        <v>72</v>
      </c>
      <c r="U385" s="32">
        <v>50</v>
      </c>
      <c r="V385" s="30">
        <v>0.85</v>
      </c>
      <c r="W385" s="30">
        <v>0.83431952662721898</v>
      </c>
      <c r="X385" s="32">
        <v>32436</v>
      </c>
      <c r="Y385" s="32">
        <v>22109.5</v>
      </c>
      <c r="Z385" s="32">
        <v>54545.5</v>
      </c>
      <c r="AA385" s="3">
        <f t="shared" si="5"/>
        <v>52133.48</v>
      </c>
      <c r="AB385" s="3"/>
      <c r="AC385" s="3"/>
      <c r="AF385" s="3"/>
      <c r="AG385" s="3"/>
      <c r="AH385" s="3"/>
    </row>
    <row r="386" spans="1:34" x14ac:dyDescent="0.25">
      <c r="A386">
        <v>3190020</v>
      </c>
      <c r="B386" s="2">
        <v>319</v>
      </c>
      <c r="C386" s="2">
        <v>1</v>
      </c>
      <c r="D386" s="2" t="s">
        <v>421</v>
      </c>
      <c r="E386" s="2">
        <v>20</v>
      </c>
      <c r="F386" s="2" t="s">
        <v>422</v>
      </c>
      <c r="G386" s="3">
        <v>0</v>
      </c>
      <c r="H386" s="32">
        <v>36</v>
      </c>
      <c r="I386" s="32">
        <v>24</v>
      </c>
      <c r="J386" s="32">
        <v>35</v>
      </c>
      <c r="K386" s="32">
        <v>25</v>
      </c>
      <c r="L386" s="32">
        <v>49</v>
      </c>
      <c r="M386" s="32">
        <v>40</v>
      </c>
      <c r="N386" s="32">
        <v>44</v>
      </c>
      <c r="O386" s="32">
        <v>27</v>
      </c>
      <c r="P386" s="32">
        <v>34</v>
      </c>
      <c r="Q386" s="32">
        <v>28</v>
      </c>
      <c r="R386" s="32">
        <v>34</v>
      </c>
      <c r="S386" s="32">
        <v>24</v>
      </c>
      <c r="T386" s="32">
        <v>52</v>
      </c>
      <c r="U386" s="32">
        <v>41</v>
      </c>
      <c r="V386" s="30">
        <v>0.7416666666666667</v>
      </c>
      <c r="W386" s="30">
        <v>0.7053571428571429</v>
      </c>
      <c r="X386" s="32">
        <v>20440.16</v>
      </c>
      <c r="Y386" s="32">
        <v>15327.439999999999</v>
      </c>
      <c r="Z386" s="32">
        <v>35767.599999999999</v>
      </c>
      <c r="AA386" s="3">
        <f t="shared" si="5"/>
        <v>34185.949999999997</v>
      </c>
      <c r="AB386" s="3"/>
      <c r="AC386" s="3"/>
      <c r="AF386" s="3"/>
      <c r="AG386" s="3"/>
      <c r="AH386" s="3"/>
    </row>
    <row r="387" spans="1:34" x14ac:dyDescent="0.25">
      <c r="A387">
        <v>3300010</v>
      </c>
      <c r="B387">
        <v>330</v>
      </c>
      <c r="C387" s="2">
        <v>1</v>
      </c>
      <c r="D387" s="2" t="s">
        <v>423</v>
      </c>
      <c r="E387">
        <v>10</v>
      </c>
      <c r="F387" s="2" t="s">
        <v>424</v>
      </c>
      <c r="G387" s="3">
        <v>0</v>
      </c>
      <c r="H387" s="32">
        <v>15</v>
      </c>
      <c r="I387" s="32">
        <v>13</v>
      </c>
      <c r="J387" s="32">
        <v>18</v>
      </c>
      <c r="K387" s="32">
        <v>14</v>
      </c>
      <c r="L387" s="32">
        <v>17</v>
      </c>
      <c r="M387" s="32">
        <v>13</v>
      </c>
      <c r="N387" s="32">
        <v>24</v>
      </c>
      <c r="O387" s="32">
        <v>19</v>
      </c>
      <c r="P387" s="32">
        <v>17</v>
      </c>
      <c r="Q387" s="32">
        <v>14</v>
      </c>
      <c r="R387" s="32">
        <v>19</v>
      </c>
      <c r="S387" s="32">
        <v>13</v>
      </c>
      <c r="T387" s="32">
        <v>17</v>
      </c>
      <c r="U387" s="32">
        <v>21</v>
      </c>
      <c r="V387" s="30">
        <v>0.8</v>
      </c>
      <c r="W387" s="30">
        <v>0.76666666666666672</v>
      </c>
      <c r="X387" s="32">
        <v>7208</v>
      </c>
      <c r="Y387" s="32">
        <v>8532.93</v>
      </c>
      <c r="Z387" s="32">
        <v>15740.93</v>
      </c>
      <c r="AA387" s="3">
        <f t="shared" si="5"/>
        <v>15044.86</v>
      </c>
      <c r="AB387" s="3"/>
      <c r="AC387" s="3"/>
      <c r="AF387" s="3"/>
      <c r="AG387" s="3"/>
      <c r="AH387" s="3"/>
    </row>
    <row r="388" spans="1:34" x14ac:dyDescent="0.25">
      <c r="A388">
        <v>3320030</v>
      </c>
      <c r="B388" s="2">
        <v>332</v>
      </c>
      <c r="C388" s="2">
        <v>1</v>
      </c>
      <c r="D388" s="2" t="s">
        <v>425</v>
      </c>
      <c r="E388" s="2">
        <v>30</v>
      </c>
      <c r="F388" s="2" t="s">
        <v>426</v>
      </c>
      <c r="G388" s="3">
        <v>0</v>
      </c>
      <c r="H388" s="32">
        <v>158</v>
      </c>
      <c r="I388" s="32">
        <v>125</v>
      </c>
      <c r="J388" s="32">
        <v>123</v>
      </c>
      <c r="K388" s="32">
        <v>96</v>
      </c>
      <c r="L388" s="32">
        <v>130</v>
      </c>
      <c r="M388" s="32">
        <v>122</v>
      </c>
      <c r="N388" s="32">
        <v>96</v>
      </c>
      <c r="O388" s="32">
        <v>68</v>
      </c>
      <c r="P388" s="32">
        <v>147</v>
      </c>
      <c r="Q388" s="32">
        <v>103</v>
      </c>
      <c r="R388" s="32">
        <v>117</v>
      </c>
      <c r="S388" s="32">
        <v>95</v>
      </c>
      <c r="T388" s="32">
        <v>131</v>
      </c>
      <c r="U388" s="32">
        <v>122</v>
      </c>
      <c r="V388" s="30">
        <v>0.83454987834549876</v>
      </c>
      <c r="W388" s="30">
        <v>0.73888888888888893</v>
      </c>
      <c r="X388" s="32">
        <v>57942.61</v>
      </c>
      <c r="Y388" s="32">
        <v>47776.42</v>
      </c>
      <c r="Z388" s="32">
        <v>105719.03</v>
      </c>
      <c r="AA388" s="3">
        <f t="shared" si="5"/>
        <v>101044.11</v>
      </c>
      <c r="AB388" s="3"/>
      <c r="AC388" s="3"/>
      <c r="AF388" s="3"/>
      <c r="AG388" s="3"/>
      <c r="AH388" s="3"/>
    </row>
    <row r="389" spans="1:34" x14ac:dyDescent="0.25">
      <c r="A389">
        <v>3330010</v>
      </c>
      <c r="B389" s="2">
        <v>333</v>
      </c>
      <c r="C389" s="2">
        <v>1</v>
      </c>
      <c r="D389" s="2" t="s">
        <v>427</v>
      </c>
      <c r="E389" s="2">
        <v>10</v>
      </c>
      <c r="F389" s="2" t="s">
        <v>428</v>
      </c>
      <c r="G389" s="3">
        <v>0</v>
      </c>
      <c r="H389" s="32">
        <v>36</v>
      </c>
      <c r="I389" s="32">
        <v>28</v>
      </c>
      <c r="J389" s="32">
        <v>42</v>
      </c>
      <c r="K389" s="32">
        <v>32</v>
      </c>
      <c r="L389" s="32">
        <v>43</v>
      </c>
      <c r="M389" s="32">
        <v>33</v>
      </c>
      <c r="N389" s="32">
        <v>39</v>
      </c>
      <c r="O389" s="32">
        <v>22</v>
      </c>
      <c r="P389" s="32">
        <v>38</v>
      </c>
      <c r="Q389" s="32">
        <v>30</v>
      </c>
      <c r="R389" s="32">
        <v>39</v>
      </c>
      <c r="S389" s="32">
        <v>29</v>
      </c>
      <c r="T389" s="32">
        <v>48</v>
      </c>
      <c r="U389" s="32">
        <v>40</v>
      </c>
      <c r="V389" s="30">
        <v>0.76859504132231404</v>
      </c>
      <c r="W389" s="30">
        <v>0.69827586206896552</v>
      </c>
      <c r="X389" s="32">
        <v>19553.28</v>
      </c>
      <c r="Y389" s="32">
        <v>14803.599999999999</v>
      </c>
      <c r="Z389" s="32">
        <v>34356.879999999997</v>
      </c>
      <c r="AA389" s="3">
        <f t="shared" si="5"/>
        <v>32837.61</v>
      </c>
      <c r="AB389" s="3"/>
      <c r="AC389" s="3"/>
      <c r="AF389" s="3"/>
      <c r="AG389" s="3"/>
      <c r="AH389" s="3"/>
    </row>
    <row r="390" spans="1:34" x14ac:dyDescent="0.25">
      <c r="A390">
        <v>3450010</v>
      </c>
      <c r="B390" s="2">
        <v>345</v>
      </c>
      <c r="C390" s="2">
        <v>1</v>
      </c>
      <c r="D390" s="2" t="s">
        <v>429</v>
      </c>
      <c r="E390" s="2">
        <v>10</v>
      </c>
      <c r="F390" s="2" t="s">
        <v>430</v>
      </c>
      <c r="G390" s="3">
        <v>0</v>
      </c>
      <c r="H390" s="32">
        <v>110</v>
      </c>
      <c r="I390" s="32">
        <v>81</v>
      </c>
      <c r="J390" s="32">
        <v>104</v>
      </c>
      <c r="K390" s="32">
        <v>82</v>
      </c>
      <c r="L390" s="32">
        <v>107</v>
      </c>
      <c r="M390" s="32">
        <v>88</v>
      </c>
      <c r="N390" s="32">
        <v>85</v>
      </c>
      <c r="O390" s="32">
        <v>69</v>
      </c>
      <c r="P390" s="32">
        <v>110</v>
      </c>
      <c r="Q390" s="32">
        <v>90</v>
      </c>
      <c r="R390" s="32">
        <v>98</v>
      </c>
      <c r="S390" s="32">
        <v>85</v>
      </c>
      <c r="T390" s="32">
        <v>110</v>
      </c>
      <c r="U390" s="32">
        <v>103</v>
      </c>
      <c r="V390" s="30">
        <v>0.7819314641744548</v>
      </c>
      <c r="W390" s="30">
        <v>0.83276450511945388</v>
      </c>
      <c r="X390" s="32">
        <v>45586.200000000004</v>
      </c>
      <c r="Y390" s="32">
        <v>45461.11</v>
      </c>
      <c r="Z390" s="32">
        <v>91047.31</v>
      </c>
      <c r="AA390" s="3">
        <f t="shared" si="5"/>
        <v>87021.18</v>
      </c>
      <c r="AB390" s="3"/>
      <c r="AC390" s="3"/>
      <c r="AF390" s="3"/>
      <c r="AG390" s="3"/>
      <c r="AH390" s="3"/>
    </row>
    <row r="391" spans="1:34" x14ac:dyDescent="0.25">
      <c r="A391">
        <v>3470108</v>
      </c>
      <c r="B391" s="2">
        <v>347</v>
      </c>
      <c r="C391" s="2">
        <v>1</v>
      </c>
      <c r="D391" s="2" t="s">
        <v>431</v>
      </c>
      <c r="E391" s="2">
        <v>108</v>
      </c>
      <c r="F391" s="2" t="s">
        <v>104</v>
      </c>
      <c r="G391" s="3">
        <v>0</v>
      </c>
      <c r="H391" s="32">
        <v>146</v>
      </c>
      <c r="I391" s="32">
        <v>79</v>
      </c>
      <c r="J391" s="32">
        <v>134</v>
      </c>
      <c r="K391" s="32">
        <v>70</v>
      </c>
      <c r="L391" s="32">
        <v>159</v>
      </c>
      <c r="M391" s="32">
        <v>117</v>
      </c>
      <c r="N391" s="32">
        <v>121</v>
      </c>
      <c r="O391" s="32">
        <v>98</v>
      </c>
      <c r="P391" s="32">
        <v>137</v>
      </c>
      <c r="Q391" s="32">
        <v>120</v>
      </c>
      <c r="R391" s="32">
        <v>122</v>
      </c>
      <c r="S391" s="32">
        <v>107</v>
      </c>
      <c r="T391" s="32">
        <v>157</v>
      </c>
      <c r="U391" s="32">
        <v>136</v>
      </c>
      <c r="V391" s="30">
        <v>0.60592255125284733</v>
      </c>
      <c r="W391" s="30">
        <v>0.85526315789473684</v>
      </c>
      <c r="X391" s="32">
        <v>50418.979999999996</v>
      </c>
      <c r="Y391" s="32">
        <v>61647.44</v>
      </c>
      <c r="Z391" s="32">
        <v>112066.42</v>
      </c>
      <c r="AA391" s="3">
        <f t="shared" si="5"/>
        <v>107110.82</v>
      </c>
      <c r="AB391" s="3"/>
      <c r="AC391" s="3"/>
      <c r="AF391" s="3"/>
      <c r="AG391" s="3"/>
      <c r="AH391" s="3"/>
    </row>
    <row r="392" spans="1:34" x14ac:dyDescent="0.25">
      <c r="A392">
        <v>3470109</v>
      </c>
      <c r="B392" s="2">
        <v>347</v>
      </c>
      <c r="C392" s="2">
        <v>1</v>
      </c>
      <c r="D392" s="2" t="s">
        <v>431</v>
      </c>
      <c r="E392" s="2">
        <v>109</v>
      </c>
      <c r="F392" s="2" t="s">
        <v>131</v>
      </c>
      <c r="G392" s="3">
        <v>0</v>
      </c>
      <c r="H392" s="32">
        <v>153</v>
      </c>
      <c r="I392" s="32">
        <v>99</v>
      </c>
      <c r="J392" s="32">
        <v>142</v>
      </c>
      <c r="K392" s="32">
        <v>98</v>
      </c>
      <c r="L392" s="32">
        <v>154</v>
      </c>
      <c r="M392" s="32">
        <v>93</v>
      </c>
      <c r="N392" s="32">
        <v>134</v>
      </c>
      <c r="O392" s="32">
        <v>104</v>
      </c>
      <c r="P392" s="32">
        <v>129</v>
      </c>
      <c r="Q392" s="32">
        <v>97</v>
      </c>
      <c r="R392" s="32">
        <v>128</v>
      </c>
      <c r="S392" s="32">
        <v>83</v>
      </c>
      <c r="T392" s="32">
        <v>164</v>
      </c>
      <c r="U392" s="32">
        <v>141</v>
      </c>
      <c r="V392" s="30">
        <v>0.6458797327394209</v>
      </c>
      <c r="W392" s="30">
        <v>0.72634271099744241</v>
      </c>
      <c r="X392" s="32">
        <v>56140.479999999996</v>
      </c>
      <c r="Y392" s="32">
        <v>54279.360000000001</v>
      </c>
      <c r="Z392" s="32">
        <v>110419.84</v>
      </c>
      <c r="AA392" s="3">
        <f t="shared" si="5"/>
        <v>105537.05</v>
      </c>
      <c r="AB392" s="3"/>
      <c r="AC392" s="3"/>
      <c r="AF392" s="3"/>
      <c r="AG392" s="3"/>
      <c r="AH392" s="3"/>
    </row>
    <row r="393" spans="1:34" x14ac:dyDescent="0.25">
      <c r="A393">
        <v>3560010</v>
      </c>
      <c r="B393" s="2">
        <v>356</v>
      </c>
      <c r="C393" s="2">
        <v>1</v>
      </c>
      <c r="D393" s="2" t="s">
        <v>432</v>
      </c>
      <c r="E393" s="2">
        <v>10</v>
      </c>
      <c r="F393" s="2" t="s">
        <v>433</v>
      </c>
      <c r="G393" s="3">
        <v>1</v>
      </c>
      <c r="H393" s="32" t="s">
        <v>1328</v>
      </c>
      <c r="I393" s="32" t="s">
        <v>1328</v>
      </c>
      <c r="J393" s="32" t="s">
        <v>1328</v>
      </c>
      <c r="K393" s="32" t="s">
        <v>1328</v>
      </c>
      <c r="L393" s="32" t="s">
        <v>1328</v>
      </c>
      <c r="M393" s="32" t="s">
        <v>1328</v>
      </c>
      <c r="N393" s="32" t="s">
        <v>1328</v>
      </c>
      <c r="O393" s="32" t="s">
        <v>1328</v>
      </c>
      <c r="P393" s="32" t="s">
        <v>1328</v>
      </c>
      <c r="Q393" s="32" t="s">
        <v>1328</v>
      </c>
      <c r="R393" s="32" t="s">
        <v>1328</v>
      </c>
      <c r="S393" s="32" t="s">
        <v>1328</v>
      </c>
      <c r="T393" s="32">
        <v>6</v>
      </c>
      <c r="U393" s="32">
        <v>11</v>
      </c>
      <c r="V393" s="30" t="s">
        <v>1328</v>
      </c>
      <c r="W393" s="30" t="s">
        <v>1328</v>
      </c>
      <c r="X393" s="32" t="s">
        <v>1328</v>
      </c>
      <c r="Y393" s="32" t="s">
        <v>1328</v>
      </c>
      <c r="Z393" s="32">
        <v>7882.29</v>
      </c>
      <c r="AA393" s="3">
        <f t="shared" si="5"/>
        <v>7533.73</v>
      </c>
      <c r="AB393" s="3"/>
      <c r="AC393" s="3"/>
      <c r="AF393" s="3"/>
      <c r="AG393" s="3"/>
      <c r="AH393" s="3"/>
    </row>
    <row r="394" spans="1:34" x14ac:dyDescent="0.25">
      <c r="A394">
        <v>3610007</v>
      </c>
      <c r="B394">
        <v>361</v>
      </c>
      <c r="C394">
        <v>1</v>
      </c>
      <c r="D394" t="s">
        <v>434</v>
      </c>
      <c r="E394">
        <v>7</v>
      </c>
      <c r="F394" t="s">
        <v>435</v>
      </c>
      <c r="G394" s="3">
        <v>0</v>
      </c>
      <c r="H394" s="32">
        <v>85</v>
      </c>
      <c r="I394" s="32">
        <v>65</v>
      </c>
      <c r="J394" s="32">
        <v>97</v>
      </c>
      <c r="K394" s="32">
        <v>74</v>
      </c>
      <c r="L394" s="32">
        <v>78</v>
      </c>
      <c r="M394" s="32">
        <v>63</v>
      </c>
      <c r="N394" s="32">
        <v>101</v>
      </c>
      <c r="O394" s="32">
        <v>91</v>
      </c>
      <c r="P394" s="32">
        <v>85</v>
      </c>
      <c r="Q394" s="32">
        <v>71</v>
      </c>
      <c r="R394" s="32">
        <v>89</v>
      </c>
      <c r="S394" s="32">
        <v>71</v>
      </c>
      <c r="T394" s="32">
        <v>83</v>
      </c>
      <c r="U394" s="32">
        <v>99</v>
      </c>
      <c r="V394" s="30">
        <v>0.77692307692307694</v>
      </c>
      <c r="W394" s="30">
        <v>0.84727272727272729</v>
      </c>
      <c r="X394" s="32">
        <v>34176.909999999996</v>
      </c>
      <c r="Y394" s="32">
        <v>44455.950000000004</v>
      </c>
      <c r="Z394" s="32">
        <v>78632.86</v>
      </c>
      <c r="AA394" s="3">
        <f t="shared" si="5"/>
        <v>75155.7</v>
      </c>
      <c r="AB394" s="3"/>
      <c r="AC394" s="3"/>
      <c r="AF394" s="3"/>
      <c r="AG394" s="3"/>
      <c r="AH394" s="3"/>
    </row>
    <row r="395" spans="1:34" x14ac:dyDescent="0.25">
      <c r="A395">
        <v>3620020</v>
      </c>
      <c r="B395">
        <v>362</v>
      </c>
      <c r="C395">
        <v>1</v>
      </c>
      <c r="D395" t="s">
        <v>436</v>
      </c>
      <c r="E395">
        <v>20</v>
      </c>
      <c r="F395" t="s">
        <v>437</v>
      </c>
      <c r="G395" s="3">
        <v>0</v>
      </c>
      <c r="H395" s="32">
        <v>25</v>
      </c>
      <c r="I395" s="32">
        <v>21</v>
      </c>
      <c r="J395" s="32">
        <v>23</v>
      </c>
      <c r="K395" s="32">
        <v>16</v>
      </c>
      <c r="L395" s="32">
        <v>23</v>
      </c>
      <c r="M395" s="32">
        <v>18</v>
      </c>
      <c r="N395" s="32">
        <v>22</v>
      </c>
      <c r="O395" s="32">
        <v>15</v>
      </c>
      <c r="P395" s="32">
        <v>22</v>
      </c>
      <c r="Q395" s="32">
        <v>13</v>
      </c>
      <c r="R395" s="32">
        <v>23</v>
      </c>
      <c r="S395" s="32">
        <v>8</v>
      </c>
      <c r="T395" s="32">
        <v>21</v>
      </c>
      <c r="U395" s="32">
        <v>24</v>
      </c>
      <c r="V395" s="30">
        <v>0.77464788732394363</v>
      </c>
      <c r="W395" s="30">
        <v>0.53731343283582089</v>
      </c>
      <c r="X395" s="32">
        <v>8621.76</v>
      </c>
      <c r="Y395" s="32">
        <v>6834.7199999999993</v>
      </c>
      <c r="Z395" s="32">
        <v>15456.48</v>
      </c>
      <c r="AA395" s="3">
        <f t="shared" si="5"/>
        <v>14772.99</v>
      </c>
      <c r="AB395" s="3"/>
      <c r="AC395" s="3"/>
      <c r="AF395" s="3"/>
      <c r="AG395" s="3"/>
      <c r="AH395" s="3"/>
    </row>
    <row r="396" spans="1:34" x14ac:dyDescent="0.25">
      <c r="A396">
        <v>3630080</v>
      </c>
      <c r="B396" s="2">
        <v>363</v>
      </c>
      <c r="C396" s="2">
        <v>1</v>
      </c>
      <c r="D396" s="2" t="s">
        <v>1188</v>
      </c>
      <c r="E396" s="2">
        <v>80</v>
      </c>
      <c r="F396" s="2" t="s">
        <v>1189</v>
      </c>
      <c r="G396" s="3">
        <v>1</v>
      </c>
      <c r="H396" s="32" t="s">
        <v>1328</v>
      </c>
      <c r="I396" s="32" t="s">
        <v>1328</v>
      </c>
      <c r="J396" s="32" t="s">
        <v>1328</v>
      </c>
      <c r="K396" s="32" t="s">
        <v>1328</v>
      </c>
      <c r="L396" s="32" t="s">
        <v>1328</v>
      </c>
      <c r="M396" s="32" t="s">
        <v>1328</v>
      </c>
      <c r="N396" s="32" t="s">
        <v>1328</v>
      </c>
      <c r="O396" s="32" t="s">
        <v>1328</v>
      </c>
      <c r="P396" s="32" t="s">
        <v>1328</v>
      </c>
      <c r="Q396" s="32" t="s">
        <v>1328</v>
      </c>
      <c r="R396" s="32" t="s">
        <v>1328</v>
      </c>
      <c r="S396" s="32" t="s">
        <v>1328</v>
      </c>
      <c r="T396" s="32">
        <v>16</v>
      </c>
      <c r="U396" s="32">
        <v>15</v>
      </c>
      <c r="V396" s="30" t="s">
        <v>1328</v>
      </c>
      <c r="W396" s="30" t="s">
        <v>1328</v>
      </c>
      <c r="X396" s="32" t="s">
        <v>1328</v>
      </c>
      <c r="Y396" s="32" t="s">
        <v>1328</v>
      </c>
      <c r="Z396" s="32">
        <v>12924.900000000001</v>
      </c>
      <c r="AA396" s="3">
        <f t="shared" si="5"/>
        <v>12353.36</v>
      </c>
      <c r="AB396" s="3"/>
      <c r="AC396" s="3"/>
      <c r="AF396" s="3"/>
      <c r="AG396" s="3"/>
      <c r="AH396" s="3"/>
    </row>
    <row r="397" spans="1:34" x14ac:dyDescent="0.25">
      <c r="A397">
        <v>3630090</v>
      </c>
      <c r="B397" s="2">
        <v>363</v>
      </c>
      <c r="C397" s="2">
        <v>1</v>
      </c>
      <c r="D397" s="2" t="s">
        <v>1188</v>
      </c>
      <c r="E397" s="2">
        <v>90</v>
      </c>
      <c r="F397" s="2" t="s">
        <v>1190</v>
      </c>
      <c r="G397" s="3">
        <v>1</v>
      </c>
      <c r="H397" s="32" t="s">
        <v>1328</v>
      </c>
      <c r="I397" s="32" t="s">
        <v>1328</v>
      </c>
      <c r="J397" s="32" t="s">
        <v>1328</v>
      </c>
      <c r="K397" s="32" t="s">
        <v>1328</v>
      </c>
      <c r="L397" s="32" t="s">
        <v>1328</v>
      </c>
      <c r="M397" s="32" t="s">
        <v>1328</v>
      </c>
      <c r="N397" s="32" t="s">
        <v>1328</v>
      </c>
      <c r="O397" s="32" t="s">
        <v>1328</v>
      </c>
      <c r="P397" s="32" t="s">
        <v>1328</v>
      </c>
      <c r="Q397" s="32" t="s">
        <v>1328</v>
      </c>
      <c r="R397" s="32" t="s">
        <v>1328</v>
      </c>
      <c r="S397" s="32" t="s">
        <v>1328</v>
      </c>
      <c r="T397" s="32">
        <v>12</v>
      </c>
      <c r="U397" s="32">
        <v>10</v>
      </c>
      <c r="V397" s="30" t="s">
        <v>1328</v>
      </c>
      <c r="W397" s="30" t="s">
        <v>1328</v>
      </c>
      <c r="X397" s="32" t="s">
        <v>1328</v>
      </c>
      <c r="Y397" s="32" t="s">
        <v>1328</v>
      </c>
      <c r="Z397" s="32">
        <v>8793.24</v>
      </c>
      <c r="AA397" s="3">
        <f t="shared" si="5"/>
        <v>8404.4</v>
      </c>
      <c r="AB397" s="3"/>
      <c r="AC397" s="3"/>
      <c r="AF397" s="3"/>
      <c r="AG397" s="3"/>
      <c r="AH397" s="3"/>
    </row>
    <row r="398" spans="1:34" x14ac:dyDescent="0.25">
      <c r="A398">
        <v>3780010</v>
      </c>
      <c r="B398" s="2">
        <v>378</v>
      </c>
      <c r="C398" s="2">
        <v>1</v>
      </c>
      <c r="D398" s="2" t="s">
        <v>438</v>
      </c>
      <c r="E398" s="2">
        <v>10</v>
      </c>
      <c r="F398" s="2" t="s">
        <v>439</v>
      </c>
      <c r="G398" s="3">
        <v>0</v>
      </c>
      <c r="H398" s="32">
        <v>34</v>
      </c>
      <c r="I398" s="32">
        <v>26</v>
      </c>
      <c r="J398" s="32">
        <v>37</v>
      </c>
      <c r="K398" s="32">
        <v>28</v>
      </c>
      <c r="L398" s="32">
        <v>43</v>
      </c>
      <c r="M398" s="32">
        <v>32</v>
      </c>
      <c r="N398" s="32">
        <v>40</v>
      </c>
      <c r="O398" s="32">
        <v>28</v>
      </c>
      <c r="P398" s="32">
        <v>32</v>
      </c>
      <c r="Q398" s="32">
        <v>22</v>
      </c>
      <c r="R398" s="32">
        <v>39</v>
      </c>
      <c r="S398" s="32">
        <v>31</v>
      </c>
      <c r="T398" s="32">
        <v>43</v>
      </c>
      <c r="U398" s="32">
        <v>41</v>
      </c>
      <c r="V398" s="30">
        <v>0.75438596491228072</v>
      </c>
      <c r="W398" s="30">
        <v>0.72972972972972971</v>
      </c>
      <c r="X398" s="32">
        <v>17192.259999999998</v>
      </c>
      <c r="Y398" s="32">
        <v>15857.16</v>
      </c>
      <c r="Z398" s="32">
        <v>33049.42</v>
      </c>
      <c r="AA398" s="3">
        <f t="shared" si="5"/>
        <v>31587.97</v>
      </c>
      <c r="AB398" s="3"/>
      <c r="AC398" s="3"/>
      <c r="AF398" s="3"/>
      <c r="AG398" s="3"/>
      <c r="AH398" s="3"/>
    </row>
    <row r="399" spans="1:34" x14ac:dyDescent="0.25">
      <c r="A399">
        <v>3810030</v>
      </c>
      <c r="B399" s="2">
        <v>381</v>
      </c>
      <c r="C399" s="2">
        <v>1</v>
      </c>
      <c r="D399" s="2" t="s">
        <v>440</v>
      </c>
      <c r="E399" s="2">
        <v>30</v>
      </c>
      <c r="F399" s="2" t="s">
        <v>441</v>
      </c>
      <c r="G399" s="3">
        <v>0</v>
      </c>
      <c r="H399" s="32">
        <v>21</v>
      </c>
      <c r="I399" s="32">
        <v>13</v>
      </c>
      <c r="J399" s="32">
        <v>23</v>
      </c>
      <c r="K399" s="32">
        <v>18</v>
      </c>
      <c r="L399" s="32">
        <v>17</v>
      </c>
      <c r="M399" s="32">
        <v>16</v>
      </c>
      <c r="N399" s="32">
        <v>19</v>
      </c>
      <c r="O399" s="32">
        <v>12</v>
      </c>
      <c r="P399" s="32">
        <v>20</v>
      </c>
      <c r="Q399" s="32">
        <v>15</v>
      </c>
      <c r="R399" s="32">
        <v>24</v>
      </c>
      <c r="S399" s="32">
        <v>17</v>
      </c>
      <c r="T399" s="32">
        <v>17</v>
      </c>
      <c r="U399" s="32">
        <v>24</v>
      </c>
      <c r="V399" s="30">
        <v>0.77049180327868849</v>
      </c>
      <c r="W399" s="30">
        <v>0.69841269841269837</v>
      </c>
      <c r="X399" s="32">
        <v>6942.12</v>
      </c>
      <c r="Y399" s="32">
        <v>8883.84</v>
      </c>
      <c r="Z399" s="32">
        <v>15825.96</v>
      </c>
      <c r="AA399" s="3">
        <f t="shared" ref="AA399:AA462" si="6">ROUND(Z399*AA$10,2)</f>
        <v>15126.13</v>
      </c>
      <c r="AB399" s="3"/>
      <c r="AC399" s="3"/>
      <c r="AF399" s="3"/>
      <c r="AG399" s="3"/>
      <c r="AH399" s="3"/>
    </row>
    <row r="400" spans="1:34" x14ac:dyDescent="0.25">
      <c r="A400">
        <v>3810040</v>
      </c>
      <c r="B400" s="2">
        <v>381</v>
      </c>
      <c r="C400" s="2">
        <v>1</v>
      </c>
      <c r="D400" s="2" t="s">
        <v>440</v>
      </c>
      <c r="E400" s="2">
        <v>40</v>
      </c>
      <c r="F400" s="2" t="s">
        <v>442</v>
      </c>
      <c r="G400" s="3">
        <v>0</v>
      </c>
      <c r="H400" s="32">
        <v>45</v>
      </c>
      <c r="I400" s="32">
        <v>36</v>
      </c>
      <c r="J400" s="32">
        <v>54</v>
      </c>
      <c r="K400" s="32">
        <v>47</v>
      </c>
      <c r="L400" s="32">
        <v>70</v>
      </c>
      <c r="M400" s="32">
        <v>58</v>
      </c>
      <c r="N400" s="32">
        <v>56</v>
      </c>
      <c r="O400" s="32">
        <v>45</v>
      </c>
      <c r="P400" s="32">
        <v>42</v>
      </c>
      <c r="Q400" s="32">
        <v>39</v>
      </c>
      <c r="R400" s="32">
        <v>49</v>
      </c>
      <c r="S400" s="32">
        <v>43</v>
      </c>
      <c r="T400" s="32">
        <v>71</v>
      </c>
      <c r="U400" s="32">
        <v>53</v>
      </c>
      <c r="V400" s="30">
        <v>0.83431952662721898</v>
      </c>
      <c r="W400" s="30">
        <v>0.86394557823129248</v>
      </c>
      <c r="X400" s="32">
        <v>31395.49</v>
      </c>
      <c r="Y400" s="32">
        <v>24268.17</v>
      </c>
      <c r="Z400" s="32">
        <v>55663.66</v>
      </c>
      <c r="AA400" s="3">
        <f t="shared" si="6"/>
        <v>53202.2</v>
      </c>
      <c r="AB400" s="3"/>
      <c r="AC400" s="3"/>
      <c r="AF400" s="3"/>
      <c r="AG400" s="3"/>
      <c r="AH400" s="3"/>
    </row>
    <row r="401" spans="1:34" x14ac:dyDescent="0.25">
      <c r="A401">
        <v>3900224</v>
      </c>
      <c r="B401" s="2">
        <v>390</v>
      </c>
      <c r="C401" s="2">
        <v>1</v>
      </c>
      <c r="D401" s="2" t="s">
        <v>443</v>
      </c>
      <c r="E401" s="2">
        <v>224</v>
      </c>
      <c r="F401" s="2" t="s">
        <v>444</v>
      </c>
      <c r="G401" s="3">
        <v>0</v>
      </c>
      <c r="H401" s="32">
        <v>27</v>
      </c>
      <c r="I401" s="32">
        <v>11</v>
      </c>
      <c r="J401" s="32">
        <v>40</v>
      </c>
      <c r="K401" s="32">
        <v>27</v>
      </c>
      <c r="L401" s="32">
        <v>37</v>
      </c>
      <c r="M401" s="32">
        <v>25</v>
      </c>
      <c r="N401" s="32">
        <v>33</v>
      </c>
      <c r="O401" s="32">
        <v>23</v>
      </c>
      <c r="P401" s="32">
        <v>23</v>
      </c>
      <c r="Q401" s="32">
        <v>20</v>
      </c>
      <c r="R401" s="32">
        <v>37</v>
      </c>
      <c r="S401" s="32">
        <v>33</v>
      </c>
      <c r="T401" s="32">
        <v>38</v>
      </c>
      <c r="U401" s="32">
        <v>40</v>
      </c>
      <c r="V401" s="30">
        <v>0.60576923076923073</v>
      </c>
      <c r="W401" s="30">
        <v>0.81720430107526887</v>
      </c>
      <c r="X401" s="32">
        <v>12200.28</v>
      </c>
      <c r="Y401" s="32">
        <v>17324.8</v>
      </c>
      <c r="Z401" s="32">
        <v>29525.08</v>
      </c>
      <c r="AA401" s="3">
        <f t="shared" si="6"/>
        <v>28219.47</v>
      </c>
      <c r="AB401" s="3"/>
      <c r="AC401" s="3"/>
      <c r="AF401" s="3"/>
      <c r="AG401" s="3"/>
      <c r="AH401" s="3"/>
    </row>
    <row r="402" spans="1:34" x14ac:dyDescent="0.25">
      <c r="A402">
        <v>3910010</v>
      </c>
      <c r="B402" s="2">
        <v>391</v>
      </c>
      <c r="C402" s="2">
        <v>1</v>
      </c>
      <c r="D402" s="2" t="s">
        <v>445</v>
      </c>
      <c r="E402" s="2">
        <v>10</v>
      </c>
      <c r="F402" s="2" t="s">
        <v>446</v>
      </c>
      <c r="G402" s="3">
        <v>0</v>
      </c>
      <c r="H402" s="32">
        <v>27</v>
      </c>
      <c r="I402" s="32">
        <v>21</v>
      </c>
      <c r="J402" s="32">
        <v>37</v>
      </c>
      <c r="K402" s="32">
        <v>29</v>
      </c>
      <c r="L402" s="32">
        <v>32</v>
      </c>
      <c r="M402" s="32">
        <v>18</v>
      </c>
      <c r="N402" s="32">
        <v>28</v>
      </c>
      <c r="O402" s="32">
        <v>20</v>
      </c>
      <c r="P402" s="32">
        <v>29</v>
      </c>
      <c r="Q402" s="32">
        <v>23</v>
      </c>
      <c r="R402" s="32">
        <v>37</v>
      </c>
      <c r="S402" s="32">
        <v>33</v>
      </c>
      <c r="T402" s="32">
        <v>33</v>
      </c>
      <c r="U402" s="32">
        <v>40</v>
      </c>
      <c r="V402" s="30">
        <v>0.70833333333333337</v>
      </c>
      <c r="W402" s="30">
        <v>0.80851063829787229</v>
      </c>
      <c r="X402" s="32">
        <v>12388.86</v>
      </c>
      <c r="Y402" s="32">
        <v>17140.400000000001</v>
      </c>
      <c r="Z402" s="32">
        <v>29529.260000000002</v>
      </c>
      <c r="AA402" s="3">
        <f t="shared" si="6"/>
        <v>28223.47</v>
      </c>
      <c r="AB402" s="3"/>
      <c r="AC402" s="3"/>
      <c r="AF402" s="3"/>
      <c r="AG402" s="3"/>
      <c r="AH402" s="3"/>
    </row>
    <row r="403" spans="1:34" x14ac:dyDescent="0.25">
      <c r="A403">
        <v>3920010</v>
      </c>
      <c r="B403" s="2">
        <v>392</v>
      </c>
      <c r="C403" s="2">
        <v>1</v>
      </c>
      <c r="D403" s="2" t="s">
        <v>447</v>
      </c>
      <c r="E403" s="2">
        <v>10</v>
      </c>
      <c r="F403" s="2" t="s">
        <v>448</v>
      </c>
      <c r="G403" s="3">
        <v>0</v>
      </c>
      <c r="H403" s="32">
        <v>60</v>
      </c>
      <c r="I403" s="32">
        <v>51</v>
      </c>
      <c r="J403" s="32">
        <v>52</v>
      </c>
      <c r="K403" s="32">
        <v>45</v>
      </c>
      <c r="L403" s="32">
        <v>40</v>
      </c>
      <c r="M403" s="32">
        <v>37</v>
      </c>
      <c r="N403" s="32">
        <v>41</v>
      </c>
      <c r="O403" s="32">
        <v>21</v>
      </c>
      <c r="P403" s="32">
        <v>58</v>
      </c>
      <c r="Q403" s="32">
        <v>40</v>
      </c>
      <c r="R403" s="32">
        <v>50</v>
      </c>
      <c r="S403" s="32">
        <v>45</v>
      </c>
      <c r="T403" s="32">
        <v>43</v>
      </c>
      <c r="U403" s="32">
        <v>54</v>
      </c>
      <c r="V403" s="30">
        <v>0.875</v>
      </c>
      <c r="W403" s="30">
        <v>0.71140939597315433</v>
      </c>
      <c r="X403" s="32">
        <v>19941.25</v>
      </c>
      <c r="Y403" s="32">
        <v>20360.7</v>
      </c>
      <c r="Z403" s="32">
        <v>40301.949999999997</v>
      </c>
      <c r="AA403" s="3">
        <f t="shared" si="6"/>
        <v>38519.79</v>
      </c>
      <c r="AB403" s="3"/>
      <c r="AC403" s="3"/>
      <c r="AF403" s="3"/>
      <c r="AG403" s="3"/>
      <c r="AH403" s="3"/>
    </row>
    <row r="404" spans="1:34" x14ac:dyDescent="0.25">
      <c r="A404">
        <v>3940030</v>
      </c>
      <c r="B404" s="2">
        <v>394</v>
      </c>
      <c r="C404" s="2">
        <v>1</v>
      </c>
      <c r="D404" s="2" t="s">
        <v>449</v>
      </c>
      <c r="E404" s="2">
        <v>30</v>
      </c>
      <c r="F404" s="2" t="s">
        <v>450</v>
      </c>
      <c r="G404" s="3">
        <v>0</v>
      </c>
      <c r="H404" s="32">
        <v>45</v>
      </c>
      <c r="I404" s="32">
        <v>35</v>
      </c>
      <c r="J404" s="32">
        <v>55</v>
      </c>
      <c r="K404" s="32">
        <v>40</v>
      </c>
      <c r="L404" s="32">
        <v>53</v>
      </c>
      <c r="M404" s="32">
        <v>42</v>
      </c>
      <c r="N404" s="32">
        <v>40</v>
      </c>
      <c r="O404" s="32">
        <v>32</v>
      </c>
      <c r="P404" s="32">
        <v>43</v>
      </c>
      <c r="Q404" s="32">
        <v>36</v>
      </c>
      <c r="R404" s="32">
        <v>54</v>
      </c>
      <c r="S404" s="32">
        <v>43</v>
      </c>
      <c r="T404" s="32">
        <v>52</v>
      </c>
      <c r="U404" s="32">
        <v>60</v>
      </c>
      <c r="V404" s="30">
        <v>0.76470588235294112</v>
      </c>
      <c r="W404" s="30">
        <v>0.81021897810218979</v>
      </c>
      <c r="X404" s="32">
        <v>21075.08</v>
      </c>
      <c r="Y404" s="32">
        <v>25765.200000000001</v>
      </c>
      <c r="Z404" s="32">
        <v>46840.28</v>
      </c>
      <c r="AA404" s="3">
        <f t="shared" si="6"/>
        <v>44768.99</v>
      </c>
      <c r="AB404" s="3"/>
      <c r="AC404" s="3"/>
      <c r="AF404" s="3"/>
      <c r="AG404" s="3"/>
      <c r="AH404" s="3"/>
    </row>
    <row r="405" spans="1:34" x14ac:dyDescent="0.25">
      <c r="A405">
        <v>3940040</v>
      </c>
      <c r="B405" s="2">
        <v>394</v>
      </c>
      <c r="C405" s="2">
        <v>1</v>
      </c>
      <c r="D405" s="2" t="s">
        <v>449</v>
      </c>
      <c r="E405" s="2">
        <v>40</v>
      </c>
      <c r="F405" s="2" t="s">
        <v>451</v>
      </c>
      <c r="G405" s="3">
        <v>0</v>
      </c>
      <c r="H405" s="32">
        <v>43</v>
      </c>
      <c r="I405" s="32">
        <v>33</v>
      </c>
      <c r="J405" s="32">
        <v>54</v>
      </c>
      <c r="K405" s="32">
        <v>42</v>
      </c>
      <c r="L405" s="32">
        <v>38</v>
      </c>
      <c r="M405" s="32">
        <v>27</v>
      </c>
      <c r="N405" s="32">
        <v>29</v>
      </c>
      <c r="O405" s="32">
        <v>27</v>
      </c>
      <c r="P405" s="32">
        <v>35</v>
      </c>
      <c r="Q405" s="32">
        <v>25</v>
      </c>
      <c r="R405" s="32">
        <v>49</v>
      </c>
      <c r="S405" s="32">
        <v>40</v>
      </c>
      <c r="T405" s="32">
        <v>42</v>
      </c>
      <c r="U405" s="32">
        <v>52</v>
      </c>
      <c r="V405" s="30">
        <v>0.75555555555555554</v>
      </c>
      <c r="W405" s="30">
        <v>0.81415929203539827</v>
      </c>
      <c r="X405" s="32">
        <v>16818.48</v>
      </c>
      <c r="Y405" s="32">
        <v>22438</v>
      </c>
      <c r="Z405" s="32">
        <v>39256.479999999996</v>
      </c>
      <c r="AA405" s="3">
        <f t="shared" si="6"/>
        <v>37520.550000000003</v>
      </c>
      <c r="AB405" s="3"/>
      <c r="AC405" s="3"/>
      <c r="AF405" s="3"/>
      <c r="AG405" s="3"/>
      <c r="AH405" s="3"/>
    </row>
    <row r="406" spans="1:34" x14ac:dyDescent="0.25">
      <c r="A406">
        <v>4020010</v>
      </c>
      <c r="B406" s="2">
        <v>402</v>
      </c>
      <c r="C406" s="2">
        <v>1</v>
      </c>
      <c r="D406" s="2" t="s">
        <v>452</v>
      </c>
      <c r="E406" s="2">
        <v>10</v>
      </c>
      <c r="F406" s="2" t="s">
        <v>60</v>
      </c>
      <c r="G406" s="3">
        <v>0</v>
      </c>
      <c r="H406" s="32">
        <v>19</v>
      </c>
      <c r="I406" s="32">
        <v>15</v>
      </c>
      <c r="J406" s="32">
        <v>23</v>
      </c>
      <c r="K406" s="32">
        <v>20</v>
      </c>
      <c r="L406" s="32">
        <v>10</v>
      </c>
      <c r="M406" s="32">
        <v>8</v>
      </c>
      <c r="N406" s="32">
        <v>22</v>
      </c>
      <c r="O406" s="32">
        <v>7</v>
      </c>
      <c r="P406" s="32">
        <v>20</v>
      </c>
      <c r="Q406" s="32">
        <v>15</v>
      </c>
      <c r="R406" s="32">
        <v>11</v>
      </c>
      <c r="S406" s="32">
        <v>10</v>
      </c>
      <c r="T406" s="32">
        <v>7</v>
      </c>
      <c r="U406" s="32">
        <v>12</v>
      </c>
      <c r="V406" s="30">
        <v>0.82692307692307687</v>
      </c>
      <c r="W406" s="30">
        <v>0.60377358490566035</v>
      </c>
      <c r="X406" s="32">
        <v>3067.89</v>
      </c>
      <c r="Y406" s="32">
        <v>3840</v>
      </c>
      <c r="Z406" s="32">
        <v>6907.8899999999994</v>
      </c>
      <c r="AA406" s="3">
        <f t="shared" si="6"/>
        <v>6602.42</v>
      </c>
      <c r="AB406" s="3"/>
      <c r="AC406" s="3"/>
      <c r="AF406" s="3"/>
      <c r="AG406" s="3"/>
      <c r="AH406" s="3"/>
    </row>
    <row r="407" spans="1:34" x14ac:dyDescent="0.25">
      <c r="A407">
        <v>4030010</v>
      </c>
      <c r="B407" s="2">
        <v>403</v>
      </c>
      <c r="C407" s="2">
        <v>1</v>
      </c>
      <c r="D407" s="2" t="s">
        <v>1293</v>
      </c>
      <c r="E407" s="2">
        <v>10</v>
      </c>
      <c r="F407" s="2" t="s">
        <v>1294</v>
      </c>
      <c r="G407" s="3">
        <v>0</v>
      </c>
      <c r="H407" s="32">
        <v>0</v>
      </c>
      <c r="I407" s="32">
        <v>0</v>
      </c>
      <c r="J407" s="32">
        <v>0</v>
      </c>
      <c r="K407" s="32">
        <v>0</v>
      </c>
      <c r="L407" s="32">
        <v>17</v>
      </c>
      <c r="M407" s="32">
        <v>14</v>
      </c>
      <c r="N407" s="32">
        <v>0</v>
      </c>
      <c r="O407" s="32">
        <v>0</v>
      </c>
      <c r="P407" s="32">
        <v>0</v>
      </c>
      <c r="Q407" s="32">
        <v>0</v>
      </c>
      <c r="R407" s="32">
        <v>12</v>
      </c>
      <c r="S407" s="32">
        <v>12</v>
      </c>
      <c r="T407" s="32">
        <v>17</v>
      </c>
      <c r="U407" s="32">
        <v>12</v>
      </c>
      <c r="V407" s="30">
        <v>0.82352941176470584</v>
      </c>
      <c r="W407" s="30">
        <v>1</v>
      </c>
      <c r="X407" s="32">
        <v>7419.9900000000007</v>
      </c>
      <c r="Y407" s="32">
        <v>6360</v>
      </c>
      <c r="Z407" s="32">
        <v>13779.990000000002</v>
      </c>
      <c r="AA407" s="3">
        <f t="shared" si="6"/>
        <v>13170.64</v>
      </c>
      <c r="AB407" s="3"/>
      <c r="AC407" s="3"/>
      <c r="AF407" s="3"/>
      <c r="AG407" s="3"/>
      <c r="AH407" s="3"/>
    </row>
    <row r="408" spans="1:34" x14ac:dyDescent="0.25">
      <c r="A408">
        <v>4040010</v>
      </c>
      <c r="B408">
        <v>404</v>
      </c>
      <c r="C408">
        <v>1</v>
      </c>
      <c r="D408" t="s">
        <v>453</v>
      </c>
      <c r="E408">
        <v>10</v>
      </c>
      <c r="F408" t="s">
        <v>454</v>
      </c>
      <c r="G408" s="3">
        <v>0</v>
      </c>
      <c r="H408" s="32">
        <v>15</v>
      </c>
      <c r="I408" s="32">
        <v>13</v>
      </c>
      <c r="J408" s="32">
        <v>17</v>
      </c>
      <c r="K408" s="32">
        <v>14</v>
      </c>
      <c r="L408" s="32">
        <v>14</v>
      </c>
      <c r="M408" s="32">
        <v>13</v>
      </c>
      <c r="N408" s="32">
        <v>13</v>
      </c>
      <c r="O408" s="32">
        <v>10</v>
      </c>
      <c r="P408" s="32">
        <v>15</v>
      </c>
      <c r="Q408" s="32">
        <v>14</v>
      </c>
      <c r="R408" s="32">
        <v>14</v>
      </c>
      <c r="S408" s="32">
        <v>13</v>
      </c>
      <c r="T408" s="32">
        <v>14</v>
      </c>
      <c r="U408" s="32">
        <v>14</v>
      </c>
      <c r="V408" s="30">
        <v>0.86956521739130432</v>
      </c>
      <c r="W408" s="30">
        <v>0.88095238095238093</v>
      </c>
      <c r="X408" s="32">
        <v>6452.18</v>
      </c>
      <c r="Y408" s="32">
        <v>6536.5999999999995</v>
      </c>
      <c r="Z408" s="32">
        <v>12988.779999999999</v>
      </c>
      <c r="AA408" s="3">
        <f t="shared" si="6"/>
        <v>12414.41</v>
      </c>
      <c r="AB408" s="3"/>
      <c r="AC408" s="3"/>
      <c r="AF408" s="3"/>
      <c r="AG408" s="3"/>
      <c r="AH408" s="3"/>
    </row>
    <row r="409" spans="1:34" x14ac:dyDescent="0.25">
      <c r="A409">
        <v>4130003</v>
      </c>
      <c r="B409" s="2">
        <v>413</v>
      </c>
      <c r="C409" s="2">
        <v>1</v>
      </c>
      <c r="D409" s="2" t="s">
        <v>455</v>
      </c>
      <c r="E409" s="2">
        <v>3</v>
      </c>
      <c r="F409" s="2" t="s">
        <v>456</v>
      </c>
      <c r="G409" s="3">
        <v>0</v>
      </c>
      <c r="H409" s="32">
        <v>150</v>
      </c>
      <c r="I409" s="32">
        <v>125</v>
      </c>
      <c r="J409" s="32">
        <v>156</v>
      </c>
      <c r="K409" s="32">
        <v>120</v>
      </c>
      <c r="L409" s="32">
        <v>130</v>
      </c>
      <c r="M409" s="32">
        <v>105</v>
      </c>
      <c r="N409" s="32">
        <v>126</v>
      </c>
      <c r="O409" s="32">
        <v>84</v>
      </c>
      <c r="P409" s="32">
        <v>143</v>
      </c>
      <c r="Q409" s="32">
        <v>95</v>
      </c>
      <c r="R409" s="32">
        <v>151</v>
      </c>
      <c r="S409" s="32">
        <v>120</v>
      </c>
      <c r="T409" s="32">
        <v>131</v>
      </c>
      <c r="U409" s="32">
        <v>163</v>
      </c>
      <c r="V409" s="30">
        <v>0.80275229357798161</v>
      </c>
      <c r="W409" s="30">
        <v>0.71190476190476193</v>
      </c>
      <c r="X409" s="32">
        <v>55735.259999999995</v>
      </c>
      <c r="Y409" s="32">
        <v>61501.53</v>
      </c>
      <c r="Z409" s="32">
        <v>117236.79</v>
      </c>
      <c r="AA409" s="3">
        <f t="shared" si="6"/>
        <v>112052.55</v>
      </c>
      <c r="AB409" s="3"/>
      <c r="AC409" s="3"/>
      <c r="AF409" s="3"/>
      <c r="AG409" s="3"/>
      <c r="AH409" s="3"/>
    </row>
    <row r="410" spans="1:34" x14ac:dyDescent="0.25">
      <c r="A410">
        <v>4140001</v>
      </c>
      <c r="B410">
        <v>414</v>
      </c>
      <c r="C410">
        <v>1</v>
      </c>
      <c r="D410" t="s">
        <v>457</v>
      </c>
      <c r="E410">
        <v>1</v>
      </c>
      <c r="F410" t="s">
        <v>458</v>
      </c>
      <c r="G410" s="3">
        <v>0</v>
      </c>
      <c r="H410" s="32">
        <v>29</v>
      </c>
      <c r="I410" s="32">
        <v>25</v>
      </c>
      <c r="J410" s="32">
        <v>31</v>
      </c>
      <c r="K410" s="32">
        <v>23</v>
      </c>
      <c r="L410" s="32">
        <v>29</v>
      </c>
      <c r="M410" s="32">
        <v>24</v>
      </c>
      <c r="N410" s="32">
        <v>33</v>
      </c>
      <c r="O410" s="32">
        <v>21</v>
      </c>
      <c r="P410" s="32">
        <v>29</v>
      </c>
      <c r="Q410" s="32">
        <v>25</v>
      </c>
      <c r="R410" s="32">
        <v>29</v>
      </c>
      <c r="S410" s="32">
        <v>25</v>
      </c>
      <c r="T410" s="32">
        <v>29</v>
      </c>
      <c r="U410" s="32">
        <v>30</v>
      </c>
      <c r="V410" s="30">
        <v>0.8089887640449438</v>
      </c>
      <c r="W410" s="30">
        <v>0.78021978021978022</v>
      </c>
      <c r="X410" s="32">
        <v>12434.039999999999</v>
      </c>
      <c r="Y410" s="32">
        <v>12405.599999999999</v>
      </c>
      <c r="Z410" s="32">
        <v>24839.64</v>
      </c>
      <c r="AA410" s="3">
        <f t="shared" si="6"/>
        <v>23741.23</v>
      </c>
      <c r="AB410" s="3"/>
      <c r="AC410" s="3"/>
      <c r="AF410" s="3"/>
      <c r="AG410" s="3"/>
      <c r="AH410" s="3"/>
    </row>
    <row r="411" spans="1:34" x14ac:dyDescent="0.25">
      <c r="A411">
        <v>4150010</v>
      </c>
      <c r="B411" s="2">
        <v>415</v>
      </c>
      <c r="C411" s="2">
        <v>1</v>
      </c>
      <c r="D411" s="2" t="s">
        <v>1191</v>
      </c>
      <c r="E411" s="2">
        <v>10</v>
      </c>
      <c r="F411" s="2" t="s">
        <v>1192</v>
      </c>
      <c r="G411" s="3">
        <v>1</v>
      </c>
      <c r="H411" s="32" t="s">
        <v>1328</v>
      </c>
      <c r="I411" s="32" t="s">
        <v>1328</v>
      </c>
      <c r="J411" s="32" t="s">
        <v>1328</v>
      </c>
      <c r="K411" s="32" t="s">
        <v>1328</v>
      </c>
      <c r="L411" s="32" t="s">
        <v>1328</v>
      </c>
      <c r="M411" s="32" t="s">
        <v>1328</v>
      </c>
      <c r="N411" s="32" t="s">
        <v>1328</v>
      </c>
      <c r="O411" s="32" t="s">
        <v>1328</v>
      </c>
      <c r="P411" s="32" t="s">
        <v>1328</v>
      </c>
      <c r="Q411" s="32" t="s">
        <v>1328</v>
      </c>
      <c r="R411" s="32" t="s">
        <v>1328</v>
      </c>
      <c r="S411" s="32" t="s">
        <v>1328</v>
      </c>
      <c r="T411" s="32">
        <v>12</v>
      </c>
      <c r="U411" s="32">
        <v>12</v>
      </c>
      <c r="V411" s="30" t="s">
        <v>1328</v>
      </c>
      <c r="W411" s="30" t="s">
        <v>1328</v>
      </c>
      <c r="X411" s="32" t="s">
        <v>1328</v>
      </c>
      <c r="Y411" s="32" t="s">
        <v>1328</v>
      </c>
      <c r="Z411" s="32">
        <v>10858.2</v>
      </c>
      <c r="AA411" s="3">
        <f t="shared" si="6"/>
        <v>10378.049999999999</v>
      </c>
      <c r="AB411" s="3"/>
      <c r="AC411" s="3"/>
      <c r="AF411" s="3"/>
      <c r="AG411" s="3"/>
      <c r="AH411" s="3"/>
    </row>
    <row r="412" spans="1:34" x14ac:dyDescent="0.25">
      <c r="A412">
        <v>4230010</v>
      </c>
      <c r="B412" s="2">
        <v>423</v>
      </c>
      <c r="C412" s="2">
        <v>1</v>
      </c>
      <c r="D412" s="2" t="s">
        <v>460</v>
      </c>
      <c r="E412" s="2">
        <v>10</v>
      </c>
      <c r="F412" s="2" t="s">
        <v>461</v>
      </c>
      <c r="G412" s="3">
        <v>0</v>
      </c>
      <c r="H412" s="32">
        <v>194</v>
      </c>
      <c r="I412" s="32">
        <v>154</v>
      </c>
      <c r="J412" s="32">
        <v>199</v>
      </c>
      <c r="K412" s="32">
        <v>161</v>
      </c>
      <c r="L412" s="32">
        <v>223</v>
      </c>
      <c r="M412" s="32">
        <v>183</v>
      </c>
      <c r="N412" s="32">
        <v>209</v>
      </c>
      <c r="O412" s="32">
        <v>170</v>
      </c>
      <c r="P412" s="32">
        <v>186</v>
      </c>
      <c r="Q412" s="32">
        <v>160</v>
      </c>
      <c r="R412" s="32">
        <v>196</v>
      </c>
      <c r="S412" s="32">
        <v>166</v>
      </c>
      <c r="T412" s="32">
        <v>231</v>
      </c>
      <c r="U412" s="32">
        <v>213</v>
      </c>
      <c r="V412" s="30">
        <v>0.80844155844155841</v>
      </c>
      <c r="W412" s="30">
        <v>0.83925549915397635</v>
      </c>
      <c r="X412" s="32">
        <v>98976.57</v>
      </c>
      <c r="Y412" s="32">
        <v>94744.53</v>
      </c>
      <c r="Z412" s="32">
        <v>193721.1</v>
      </c>
      <c r="AA412" s="3">
        <f t="shared" si="6"/>
        <v>185154.71</v>
      </c>
      <c r="AB412" s="3"/>
      <c r="AC412" s="3"/>
      <c r="AF412" s="3"/>
      <c r="AG412" s="3"/>
      <c r="AH412" s="3"/>
    </row>
    <row r="413" spans="1:34" x14ac:dyDescent="0.25">
      <c r="A413">
        <v>4230035</v>
      </c>
      <c r="B413" s="2">
        <v>423</v>
      </c>
      <c r="C413" s="2">
        <v>1</v>
      </c>
      <c r="D413" s="2" t="s">
        <v>1193</v>
      </c>
      <c r="E413" s="2">
        <v>35</v>
      </c>
      <c r="F413" s="2" t="s">
        <v>1194</v>
      </c>
      <c r="G413" s="3">
        <v>1</v>
      </c>
      <c r="H413" s="32" t="s">
        <v>1328</v>
      </c>
      <c r="I413" s="32" t="s">
        <v>1328</v>
      </c>
      <c r="J413" s="32" t="s">
        <v>1328</v>
      </c>
      <c r="K413" s="32" t="s">
        <v>1328</v>
      </c>
      <c r="L413" s="32" t="s">
        <v>1328</v>
      </c>
      <c r="M413" s="32" t="s">
        <v>1328</v>
      </c>
      <c r="N413" s="32" t="s">
        <v>1328</v>
      </c>
      <c r="O413" s="32" t="s">
        <v>1328</v>
      </c>
      <c r="P413" s="32" t="s">
        <v>1328</v>
      </c>
      <c r="Q413" s="32" t="s">
        <v>1328</v>
      </c>
      <c r="R413" s="32" t="s">
        <v>1328</v>
      </c>
      <c r="S413" s="32" t="s">
        <v>1328</v>
      </c>
      <c r="T413" s="32">
        <v>0</v>
      </c>
      <c r="U413" s="32">
        <v>0</v>
      </c>
      <c r="V413" s="30" t="s">
        <v>1328</v>
      </c>
      <c r="W413" s="30" t="s">
        <v>1328</v>
      </c>
      <c r="X413" s="32" t="s">
        <v>1328</v>
      </c>
      <c r="Y413" s="32" t="s">
        <v>1328</v>
      </c>
      <c r="Z413" s="32">
        <v>0</v>
      </c>
      <c r="AA413" s="3">
        <f t="shared" si="6"/>
        <v>0</v>
      </c>
      <c r="AB413" s="3"/>
      <c r="AC413" s="3"/>
      <c r="AF413" s="3"/>
      <c r="AG413" s="3"/>
      <c r="AH413" s="3"/>
    </row>
    <row r="414" spans="1:34" x14ac:dyDescent="0.25">
      <c r="A414">
        <v>4240010</v>
      </c>
      <c r="B414">
        <v>424</v>
      </c>
      <c r="C414" s="2">
        <v>1</v>
      </c>
      <c r="D414" s="2" t="s">
        <v>462</v>
      </c>
      <c r="E414">
        <v>10</v>
      </c>
      <c r="F414" s="2" t="s">
        <v>463</v>
      </c>
      <c r="G414" s="3">
        <v>0</v>
      </c>
      <c r="H414" s="32">
        <v>32</v>
      </c>
      <c r="I414" s="32">
        <v>22</v>
      </c>
      <c r="J414" s="32">
        <v>25</v>
      </c>
      <c r="K414" s="32">
        <v>21</v>
      </c>
      <c r="L414" s="32">
        <v>34</v>
      </c>
      <c r="M414" s="32">
        <v>28</v>
      </c>
      <c r="N414" s="32">
        <v>33</v>
      </c>
      <c r="O414" s="32">
        <v>30</v>
      </c>
      <c r="P414" s="32">
        <v>27</v>
      </c>
      <c r="Q414" s="32">
        <v>23</v>
      </c>
      <c r="R414" s="32">
        <v>25</v>
      </c>
      <c r="S414" s="32">
        <v>21</v>
      </c>
      <c r="T414" s="32">
        <v>34</v>
      </c>
      <c r="U414" s="32">
        <v>27</v>
      </c>
      <c r="V414" s="30">
        <v>0.78021978021978022</v>
      </c>
      <c r="W414" s="30">
        <v>0.87058823529411766</v>
      </c>
      <c r="X414" s="32">
        <v>14059.68</v>
      </c>
      <c r="Y414" s="32">
        <v>12458.070000000002</v>
      </c>
      <c r="Z414" s="32">
        <v>26517.75</v>
      </c>
      <c r="AA414" s="3">
        <f t="shared" si="6"/>
        <v>25345.13</v>
      </c>
      <c r="AB414" s="3"/>
      <c r="AC414" s="3"/>
      <c r="AF414" s="3"/>
      <c r="AG414" s="3"/>
      <c r="AH414" s="3"/>
    </row>
    <row r="415" spans="1:34" x14ac:dyDescent="0.25">
      <c r="A415">
        <v>4320010</v>
      </c>
      <c r="B415" s="2">
        <v>432</v>
      </c>
      <c r="C415" s="2">
        <v>1</v>
      </c>
      <c r="D415" s="2" t="s">
        <v>464</v>
      </c>
      <c r="E415" s="2">
        <v>10</v>
      </c>
      <c r="F415" s="2" t="s">
        <v>465</v>
      </c>
      <c r="G415" s="3">
        <v>0</v>
      </c>
      <c r="H415" s="32">
        <v>54</v>
      </c>
      <c r="I415" s="32">
        <v>33</v>
      </c>
      <c r="J415" s="32">
        <v>36</v>
      </c>
      <c r="K415" s="32">
        <v>28</v>
      </c>
      <c r="L415" s="32">
        <v>34</v>
      </c>
      <c r="M415" s="32">
        <v>26</v>
      </c>
      <c r="N415" s="32">
        <v>43</v>
      </c>
      <c r="O415" s="32">
        <v>19</v>
      </c>
      <c r="P415" s="32">
        <v>43</v>
      </c>
      <c r="Q415" s="32">
        <v>31</v>
      </c>
      <c r="R415" s="32">
        <v>35</v>
      </c>
      <c r="S415" s="32">
        <v>23</v>
      </c>
      <c r="T415" s="32">
        <v>37</v>
      </c>
      <c r="U415" s="32">
        <v>40</v>
      </c>
      <c r="V415" s="30">
        <v>0.70161290322580649</v>
      </c>
      <c r="W415" s="30">
        <v>0.60330578512396693</v>
      </c>
      <c r="X415" s="32">
        <v>13758.45</v>
      </c>
      <c r="Y415" s="32">
        <v>12790</v>
      </c>
      <c r="Z415" s="32">
        <v>26548.45</v>
      </c>
      <c r="AA415" s="3">
        <f t="shared" si="6"/>
        <v>25374.47</v>
      </c>
      <c r="AB415" s="3"/>
      <c r="AC415" s="3"/>
      <c r="AF415" s="3"/>
      <c r="AG415" s="3"/>
      <c r="AH415" s="3"/>
    </row>
    <row r="416" spans="1:34" x14ac:dyDescent="0.25">
      <c r="A416">
        <v>4350020</v>
      </c>
      <c r="B416">
        <v>435</v>
      </c>
      <c r="C416">
        <v>1</v>
      </c>
      <c r="D416" t="s">
        <v>466</v>
      </c>
      <c r="E416">
        <v>20</v>
      </c>
      <c r="F416" t="s">
        <v>467</v>
      </c>
      <c r="G416" s="3">
        <v>0</v>
      </c>
      <c r="H416" s="32">
        <v>48</v>
      </c>
      <c r="I416" s="32">
        <v>40</v>
      </c>
      <c r="J416" s="32">
        <v>46</v>
      </c>
      <c r="K416" s="32">
        <v>32</v>
      </c>
      <c r="L416" s="32">
        <v>36</v>
      </c>
      <c r="M416" s="32">
        <v>27</v>
      </c>
      <c r="N416" s="32">
        <v>39</v>
      </c>
      <c r="O416" s="32">
        <v>36</v>
      </c>
      <c r="P416" s="32">
        <v>47</v>
      </c>
      <c r="Q416" s="32">
        <v>38</v>
      </c>
      <c r="R416" s="32">
        <v>44</v>
      </c>
      <c r="S416" s="32">
        <v>30</v>
      </c>
      <c r="T416" s="32">
        <v>41</v>
      </c>
      <c r="U416" s="32">
        <v>47</v>
      </c>
      <c r="V416" s="30">
        <v>0.7615384615384615</v>
      </c>
      <c r="W416" s="30">
        <v>0.8</v>
      </c>
      <c r="X416" s="32">
        <v>16548.420000000002</v>
      </c>
      <c r="Y416" s="32">
        <v>19928</v>
      </c>
      <c r="Z416" s="32">
        <v>36476.42</v>
      </c>
      <c r="AA416" s="3">
        <f t="shared" si="6"/>
        <v>34863.42</v>
      </c>
      <c r="AB416" s="3"/>
      <c r="AC416" s="3"/>
      <c r="AF416" s="3"/>
      <c r="AG416" s="3"/>
      <c r="AH416" s="3"/>
    </row>
    <row r="417" spans="1:34" x14ac:dyDescent="0.25">
      <c r="A417">
        <v>4410010</v>
      </c>
      <c r="B417" s="2">
        <v>441</v>
      </c>
      <c r="C417" s="2">
        <v>1</v>
      </c>
      <c r="D417" s="2" t="s">
        <v>468</v>
      </c>
      <c r="E417" s="2">
        <v>10</v>
      </c>
      <c r="F417" s="2" t="s">
        <v>469</v>
      </c>
      <c r="G417" s="3">
        <v>0</v>
      </c>
      <c r="H417" s="32">
        <v>0</v>
      </c>
      <c r="I417" s="32">
        <v>0</v>
      </c>
      <c r="J417" s="32">
        <v>27</v>
      </c>
      <c r="K417" s="32">
        <v>24</v>
      </c>
      <c r="L417" s="32">
        <v>33</v>
      </c>
      <c r="M417" s="32">
        <v>29</v>
      </c>
      <c r="N417" s="32">
        <v>26</v>
      </c>
      <c r="O417" s="32">
        <v>22</v>
      </c>
      <c r="P417" s="32">
        <v>28</v>
      </c>
      <c r="Q417" s="32">
        <v>28</v>
      </c>
      <c r="R417" s="32">
        <v>26</v>
      </c>
      <c r="S417" s="32">
        <v>24</v>
      </c>
      <c r="T417" s="32">
        <v>34</v>
      </c>
      <c r="U417" s="32">
        <v>26</v>
      </c>
      <c r="V417" s="30">
        <v>0.8833333333333333</v>
      </c>
      <c r="W417" s="30">
        <v>0.92500000000000004</v>
      </c>
      <c r="X417" s="32">
        <v>15917.78</v>
      </c>
      <c r="Y417" s="32">
        <v>12746.5</v>
      </c>
      <c r="Z417" s="32">
        <v>28664.28</v>
      </c>
      <c r="AA417" s="3">
        <f t="shared" si="6"/>
        <v>27396.74</v>
      </c>
      <c r="AB417" s="3"/>
      <c r="AC417" s="3"/>
      <c r="AF417" s="3"/>
      <c r="AG417" s="3"/>
      <c r="AH417" s="3"/>
    </row>
    <row r="418" spans="1:34" x14ac:dyDescent="0.25">
      <c r="A418">
        <v>4410030</v>
      </c>
      <c r="B418" s="2">
        <v>441</v>
      </c>
      <c r="C418" s="2">
        <v>1</v>
      </c>
      <c r="D418" s="2" t="s">
        <v>468</v>
      </c>
      <c r="E418" s="2">
        <v>30</v>
      </c>
      <c r="F418" s="2" t="s">
        <v>470</v>
      </c>
      <c r="G418" s="3">
        <v>0</v>
      </c>
      <c r="H418" s="32">
        <v>28</v>
      </c>
      <c r="I418" s="32">
        <v>25</v>
      </c>
      <c r="J418" s="32">
        <v>0</v>
      </c>
      <c r="K418" s="32">
        <v>0</v>
      </c>
      <c r="L418" s="32">
        <v>0</v>
      </c>
      <c r="M418" s="32">
        <v>0</v>
      </c>
      <c r="N418" s="32">
        <v>0</v>
      </c>
      <c r="O418" s="32">
        <v>0</v>
      </c>
      <c r="P418" s="32">
        <v>0</v>
      </c>
      <c r="Q418" s="32">
        <v>0</v>
      </c>
      <c r="R418" s="32">
        <v>0</v>
      </c>
      <c r="S418" s="32">
        <v>0</v>
      </c>
      <c r="T418" s="32">
        <v>0</v>
      </c>
      <c r="U418" s="32">
        <v>0</v>
      </c>
      <c r="V418" s="30">
        <v>0.8928571428571429</v>
      </c>
      <c r="W418" s="30">
        <v>0</v>
      </c>
      <c r="X418" s="32">
        <v>0</v>
      </c>
      <c r="Y418" s="32">
        <v>0</v>
      </c>
      <c r="Z418" s="32">
        <v>0</v>
      </c>
      <c r="AA418" s="3">
        <f t="shared" si="6"/>
        <v>0</v>
      </c>
      <c r="AB418" s="3"/>
      <c r="AC418" s="3"/>
      <c r="AF418" s="3"/>
      <c r="AG418" s="3"/>
      <c r="AH418" s="3"/>
    </row>
    <row r="419" spans="1:34" x14ac:dyDescent="0.25">
      <c r="A419">
        <v>4470001</v>
      </c>
      <c r="B419" s="2">
        <v>447</v>
      </c>
      <c r="C419" s="2">
        <v>1</v>
      </c>
      <c r="D419" s="2" t="s">
        <v>1195</v>
      </c>
      <c r="E419" s="2">
        <v>1</v>
      </c>
      <c r="F419" s="2" t="s">
        <v>1196</v>
      </c>
      <c r="G419" s="3">
        <v>1</v>
      </c>
      <c r="H419" s="32" t="s">
        <v>1328</v>
      </c>
      <c r="I419" s="32" t="s">
        <v>1328</v>
      </c>
      <c r="J419" s="32" t="s">
        <v>1328</v>
      </c>
      <c r="K419" s="32" t="s">
        <v>1328</v>
      </c>
      <c r="L419" s="32" t="s">
        <v>1328</v>
      </c>
      <c r="M419" s="32" t="s">
        <v>1328</v>
      </c>
      <c r="N419" s="32" t="s">
        <v>1328</v>
      </c>
      <c r="O419" s="32" t="s">
        <v>1328</v>
      </c>
      <c r="P419" s="32" t="s">
        <v>1328</v>
      </c>
      <c r="Q419" s="32" t="s">
        <v>1328</v>
      </c>
      <c r="R419" s="32" t="s">
        <v>1328</v>
      </c>
      <c r="S419" s="32" t="s">
        <v>1328</v>
      </c>
      <c r="T419" s="32">
        <v>14</v>
      </c>
      <c r="U419" s="32">
        <v>9</v>
      </c>
      <c r="V419" s="30" t="s">
        <v>1328</v>
      </c>
      <c r="W419" s="30" t="s">
        <v>1328</v>
      </c>
      <c r="X419" s="32" t="s">
        <v>1328</v>
      </c>
      <c r="Y419" s="32" t="s">
        <v>1328</v>
      </c>
      <c r="Z419" s="32">
        <v>10024.11</v>
      </c>
      <c r="AA419" s="3">
        <f t="shared" si="6"/>
        <v>9580.84</v>
      </c>
      <c r="AB419" s="3"/>
      <c r="AC419" s="3"/>
      <c r="AF419" s="3"/>
      <c r="AG419" s="3"/>
      <c r="AH419" s="3"/>
    </row>
    <row r="420" spans="1:34" x14ac:dyDescent="0.25">
      <c r="A420" s="7">
        <v>4580010</v>
      </c>
      <c r="B420" s="7">
        <v>458</v>
      </c>
      <c r="C420" s="7">
        <v>1</v>
      </c>
      <c r="D420" s="7" t="s">
        <v>471</v>
      </c>
      <c r="E420" s="7">
        <v>10</v>
      </c>
      <c r="F420" s="7" t="s">
        <v>472</v>
      </c>
      <c r="G420" s="3">
        <v>0</v>
      </c>
      <c r="H420" s="32">
        <v>19</v>
      </c>
      <c r="I420" s="32">
        <v>19</v>
      </c>
      <c r="J420" s="32">
        <v>16</v>
      </c>
      <c r="K420" s="32">
        <v>14</v>
      </c>
      <c r="L420" s="32">
        <v>18</v>
      </c>
      <c r="M420" s="32">
        <v>13</v>
      </c>
      <c r="N420" s="32">
        <v>18</v>
      </c>
      <c r="O420" s="32">
        <v>15</v>
      </c>
      <c r="P420" s="32">
        <v>17</v>
      </c>
      <c r="Q420" s="32">
        <v>10</v>
      </c>
      <c r="R420" s="32">
        <v>17</v>
      </c>
      <c r="S420" s="32">
        <v>15</v>
      </c>
      <c r="T420" s="32">
        <v>18</v>
      </c>
      <c r="U420" s="32">
        <v>17</v>
      </c>
      <c r="V420" s="30">
        <v>0.86792452830188682</v>
      </c>
      <c r="W420" s="30">
        <v>0.76923076923076927</v>
      </c>
      <c r="X420" s="32">
        <v>8280</v>
      </c>
      <c r="Y420" s="32">
        <v>6930.73</v>
      </c>
      <c r="Z420" s="32">
        <v>15210.73</v>
      </c>
      <c r="AA420" s="3">
        <f t="shared" si="6"/>
        <v>14538.11</v>
      </c>
      <c r="AB420" s="3"/>
      <c r="AC420" s="3"/>
      <c r="AF420" s="3"/>
      <c r="AG420" s="3"/>
      <c r="AH420" s="3"/>
    </row>
    <row r="421" spans="1:34" x14ac:dyDescent="0.25">
      <c r="A421">
        <v>4630010</v>
      </c>
      <c r="B421" s="2">
        <v>463</v>
      </c>
      <c r="C421" s="2">
        <v>1</v>
      </c>
      <c r="D421" s="2" t="s">
        <v>473</v>
      </c>
      <c r="E421" s="2">
        <v>10</v>
      </c>
      <c r="F421" s="2" t="s">
        <v>474</v>
      </c>
      <c r="G421" s="3">
        <v>0</v>
      </c>
      <c r="H421" s="32">
        <v>62</v>
      </c>
      <c r="I421" s="32">
        <v>57</v>
      </c>
      <c r="J421" s="32">
        <v>70</v>
      </c>
      <c r="K421" s="32">
        <v>54</v>
      </c>
      <c r="L421" s="32">
        <v>67</v>
      </c>
      <c r="M421" s="32">
        <v>55</v>
      </c>
      <c r="N421" s="32">
        <v>62</v>
      </c>
      <c r="O421" s="32">
        <v>49</v>
      </c>
      <c r="P421" s="32">
        <v>57</v>
      </c>
      <c r="Q421" s="32">
        <v>37</v>
      </c>
      <c r="R421" s="32">
        <v>68</v>
      </c>
      <c r="S421" s="32">
        <v>50</v>
      </c>
      <c r="T421" s="32">
        <v>68</v>
      </c>
      <c r="U421" s="32">
        <v>74</v>
      </c>
      <c r="V421" s="30">
        <v>0.83417085427135673</v>
      </c>
      <c r="W421" s="30">
        <v>0.72727272727272729</v>
      </c>
      <c r="X421" s="32">
        <v>30063.48</v>
      </c>
      <c r="Y421" s="32">
        <v>28523.3</v>
      </c>
      <c r="Z421" s="32">
        <v>58586.78</v>
      </c>
      <c r="AA421" s="3">
        <f t="shared" si="6"/>
        <v>55996.06</v>
      </c>
      <c r="AB421" s="3"/>
      <c r="AC421" s="3"/>
      <c r="AF421" s="3"/>
      <c r="AG421" s="3"/>
      <c r="AH421" s="3"/>
    </row>
    <row r="422" spans="1:34" x14ac:dyDescent="0.25">
      <c r="A422">
        <v>4650010</v>
      </c>
      <c r="B422" s="2">
        <v>465</v>
      </c>
      <c r="C422" s="2">
        <v>1</v>
      </c>
      <c r="D422" s="2" t="s">
        <v>475</v>
      </c>
      <c r="E422" s="2">
        <v>10</v>
      </c>
      <c r="F422" s="2" t="s">
        <v>476</v>
      </c>
      <c r="G422" s="3">
        <v>0</v>
      </c>
      <c r="H422" s="32">
        <v>130</v>
      </c>
      <c r="I422" s="32">
        <v>104</v>
      </c>
      <c r="J422" s="32">
        <v>122</v>
      </c>
      <c r="K422" s="32">
        <v>111</v>
      </c>
      <c r="L422" s="32">
        <v>118</v>
      </c>
      <c r="M422" s="32">
        <v>105</v>
      </c>
      <c r="N422" s="32">
        <v>0</v>
      </c>
      <c r="O422" s="32">
        <v>0</v>
      </c>
      <c r="P422" s="32">
        <v>0</v>
      </c>
      <c r="Q422" s="32">
        <v>0</v>
      </c>
      <c r="R422" s="32">
        <v>0</v>
      </c>
      <c r="S422" s="32">
        <v>0</v>
      </c>
      <c r="T422" s="32">
        <v>118</v>
      </c>
      <c r="U422" s="32">
        <v>0</v>
      </c>
      <c r="V422" s="30">
        <v>0.86486486486486491</v>
      </c>
      <c r="W422" s="30">
        <v>0</v>
      </c>
      <c r="X422" s="32">
        <v>54088.84</v>
      </c>
      <c r="Y422" s="32">
        <v>0</v>
      </c>
      <c r="Z422" s="32">
        <v>54088.84</v>
      </c>
      <c r="AA422" s="3">
        <f t="shared" si="6"/>
        <v>51697.02</v>
      </c>
      <c r="AB422" s="3"/>
      <c r="AC422" s="3"/>
      <c r="AF422" s="3"/>
      <c r="AG422" s="3"/>
      <c r="AH422" s="3"/>
    </row>
    <row r="423" spans="1:34" x14ac:dyDescent="0.25">
      <c r="A423">
        <v>4650020</v>
      </c>
      <c r="B423" s="2">
        <v>465</v>
      </c>
      <c r="C423" s="2">
        <v>1</v>
      </c>
      <c r="D423" s="2" t="s">
        <v>475</v>
      </c>
      <c r="E423" s="2">
        <v>20</v>
      </c>
      <c r="F423" s="2" t="s">
        <v>477</v>
      </c>
      <c r="G423" s="3">
        <v>0</v>
      </c>
      <c r="H423" s="32">
        <v>0</v>
      </c>
      <c r="I423" s="32">
        <v>0</v>
      </c>
      <c r="J423" s="32">
        <v>0</v>
      </c>
      <c r="K423" s="32">
        <v>0</v>
      </c>
      <c r="L423" s="32">
        <v>0</v>
      </c>
      <c r="M423" s="32">
        <v>0</v>
      </c>
      <c r="N423" s="32">
        <v>94</v>
      </c>
      <c r="O423" s="32">
        <v>76</v>
      </c>
      <c r="P423" s="32">
        <v>122</v>
      </c>
      <c r="Q423" s="32">
        <v>92</v>
      </c>
      <c r="R423" s="32">
        <v>117</v>
      </c>
      <c r="S423" s="32">
        <v>92</v>
      </c>
      <c r="T423" s="32">
        <v>0</v>
      </c>
      <c r="U423" s="32">
        <v>122</v>
      </c>
      <c r="V423" s="30">
        <v>0</v>
      </c>
      <c r="W423" s="30">
        <v>0.78078078078078073</v>
      </c>
      <c r="X423" s="32">
        <v>0</v>
      </c>
      <c r="Y423" s="32">
        <v>50484.82</v>
      </c>
      <c r="Z423" s="32">
        <v>50484.82</v>
      </c>
      <c r="AA423" s="3">
        <f t="shared" si="6"/>
        <v>48252.37</v>
      </c>
      <c r="AB423" s="3"/>
      <c r="AC423" s="3"/>
      <c r="AF423" s="3"/>
      <c r="AG423" s="3"/>
      <c r="AH423" s="3"/>
    </row>
    <row r="424" spans="1:34" x14ac:dyDescent="0.25">
      <c r="A424">
        <v>4660001</v>
      </c>
      <c r="B424" s="2">
        <v>466</v>
      </c>
      <c r="C424" s="2">
        <v>1</v>
      </c>
      <c r="D424" s="2" t="s">
        <v>478</v>
      </c>
      <c r="E424" s="2">
        <v>1</v>
      </c>
      <c r="F424" s="2" t="s">
        <v>479</v>
      </c>
      <c r="G424" s="3">
        <v>0</v>
      </c>
      <c r="H424" s="32">
        <v>96</v>
      </c>
      <c r="I424" s="32">
        <v>79</v>
      </c>
      <c r="J424" s="32">
        <v>95</v>
      </c>
      <c r="K424" s="32">
        <v>78</v>
      </c>
      <c r="L424" s="32">
        <v>104</v>
      </c>
      <c r="M424" s="32">
        <v>95</v>
      </c>
      <c r="N424" s="32">
        <v>99</v>
      </c>
      <c r="O424" s="32">
        <v>68</v>
      </c>
      <c r="P424" s="32">
        <v>95</v>
      </c>
      <c r="Q424" s="32">
        <v>73</v>
      </c>
      <c r="R424" s="32">
        <v>86</v>
      </c>
      <c r="S424" s="32">
        <v>58</v>
      </c>
      <c r="T424" s="32">
        <v>109</v>
      </c>
      <c r="U424" s="32">
        <v>88</v>
      </c>
      <c r="V424" s="30">
        <v>0.85423728813559319</v>
      </c>
      <c r="W424" s="30">
        <v>0.71071428571428574</v>
      </c>
      <c r="X424" s="32">
        <v>49349.75</v>
      </c>
      <c r="Y424" s="32">
        <v>33147.840000000004</v>
      </c>
      <c r="Z424" s="32">
        <v>82497.59</v>
      </c>
      <c r="AA424" s="3">
        <f t="shared" si="6"/>
        <v>78849.53</v>
      </c>
      <c r="AB424" s="3"/>
      <c r="AC424" s="3"/>
      <c r="AF424" s="3"/>
      <c r="AG424" s="3"/>
      <c r="AH424" s="3"/>
    </row>
    <row r="425" spans="1:34" x14ac:dyDescent="0.25">
      <c r="A425">
        <v>4660003</v>
      </c>
      <c r="B425" s="2">
        <v>466</v>
      </c>
      <c r="C425" s="2">
        <v>1</v>
      </c>
      <c r="D425" s="2" t="s">
        <v>478</v>
      </c>
      <c r="E425" s="2">
        <v>3</v>
      </c>
      <c r="F425" s="2" t="s">
        <v>480</v>
      </c>
      <c r="G425" s="3">
        <v>0</v>
      </c>
      <c r="H425" s="32">
        <v>66</v>
      </c>
      <c r="I425" s="32">
        <v>59</v>
      </c>
      <c r="J425" s="32">
        <v>72</v>
      </c>
      <c r="K425" s="32">
        <v>69</v>
      </c>
      <c r="L425" s="32">
        <v>72</v>
      </c>
      <c r="M425" s="32">
        <v>72</v>
      </c>
      <c r="N425" s="32">
        <v>78</v>
      </c>
      <c r="O425" s="32">
        <v>58</v>
      </c>
      <c r="P425" s="32">
        <v>65</v>
      </c>
      <c r="Q425" s="32">
        <v>59</v>
      </c>
      <c r="R425" s="32">
        <v>68</v>
      </c>
      <c r="S425" s="32">
        <v>52</v>
      </c>
      <c r="T425" s="32">
        <v>77</v>
      </c>
      <c r="U425" s="32">
        <v>71</v>
      </c>
      <c r="V425" s="30">
        <v>0.95238095238095233</v>
      </c>
      <c r="W425" s="30">
        <v>0.80094786729857825</v>
      </c>
      <c r="X425" s="32">
        <v>38866.519999999997</v>
      </c>
      <c r="Y425" s="32">
        <v>30139.5</v>
      </c>
      <c r="Z425" s="32">
        <v>69006.01999999999</v>
      </c>
      <c r="AA425" s="3">
        <f t="shared" si="6"/>
        <v>65954.559999999998</v>
      </c>
      <c r="AB425" s="3"/>
      <c r="AC425" s="3"/>
      <c r="AF425" s="3"/>
      <c r="AG425" s="3"/>
      <c r="AH425" s="3"/>
    </row>
    <row r="426" spans="1:34" x14ac:dyDescent="0.25">
      <c r="A426">
        <v>4730010</v>
      </c>
      <c r="B426" s="2">
        <v>473</v>
      </c>
      <c r="C426" s="2">
        <v>1</v>
      </c>
      <c r="D426" s="2" t="s">
        <v>481</v>
      </c>
      <c r="E426" s="2">
        <v>10</v>
      </c>
      <c r="F426" s="2" t="s">
        <v>482</v>
      </c>
      <c r="G426" s="3">
        <v>0</v>
      </c>
      <c r="H426" s="32">
        <v>40</v>
      </c>
      <c r="I426" s="32">
        <v>22</v>
      </c>
      <c r="J426" s="32">
        <v>30</v>
      </c>
      <c r="K426" s="32">
        <v>22</v>
      </c>
      <c r="L426" s="32">
        <v>40</v>
      </c>
      <c r="M426" s="32">
        <v>32</v>
      </c>
      <c r="N426" s="32">
        <v>43</v>
      </c>
      <c r="O426" s="32">
        <v>30</v>
      </c>
      <c r="P426" s="32">
        <v>38</v>
      </c>
      <c r="Q426" s="32">
        <v>33</v>
      </c>
      <c r="R426" s="32">
        <v>29</v>
      </c>
      <c r="S426" s="32">
        <v>21</v>
      </c>
      <c r="T426" s="32">
        <v>42</v>
      </c>
      <c r="U426" s="32">
        <v>31</v>
      </c>
      <c r="V426" s="30">
        <v>0.69090909090909092</v>
      </c>
      <c r="W426" s="30">
        <v>0.76363636363636367</v>
      </c>
      <c r="X426" s="32">
        <v>15379.56</v>
      </c>
      <c r="Y426" s="32">
        <v>12546.630000000001</v>
      </c>
      <c r="Z426" s="32">
        <v>27926.190000000002</v>
      </c>
      <c r="AA426" s="3">
        <f t="shared" si="6"/>
        <v>26691.29</v>
      </c>
      <c r="AB426" s="3"/>
      <c r="AC426" s="3"/>
      <c r="AF426" s="3"/>
      <c r="AG426" s="3"/>
      <c r="AH426" s="3"/>
    </row>
    <row r="427" spans="1:34" x14ac:dyDescent="0.25">
      <c r="A427">
        <v>4770010</v>
      </c>
      <c r="B427" s="2">
        <v>477</v>
      </c>
      <c r="C427" s="2">
        <v>1</v>
      </c>
      <c r="D427" s="2" t="s">
        <v>483</v>
      </c>
      <c r="E427" s="2">
        <v>10</v>
      </c>
      <c r="F427" s="2" t="s">
        <v>413</v>
      </c>
      <c r="G427" s="3">
        <v>0</v>
      </c>
      <c r="H427" s="32">
        <v>274</v>
      </c>
      <c r="I427" s="32">
        <v>215</v>
      </c>
      <c r="J427" s="32">
        <v>256</v>
      </c>
      <c r="K427" s="32">
        <v>200</v>
      </c>
      <c r="L427" s="32">
        <v>254</v>
      </c>
      <c r="M427" s="32">
        <v>193</v>
      </c>
      <c r="N427" s="32">
        <v>239</v>
      </c>
      <c r="O427" s="32">
        <v>195</v>
      </c>
      <c r="P427" s="32">
        <v>266</v>
      </c>
      <c r="Q427" s="32">
        <v>196</v>
      </c>
      <c r="R427" s="32">
        <v>252</v>
      </c>
      <c r="S427" s="32">
        <v>217</v>
      </c>
      <c r="T427" s="32">
        <v>265</v>
      </c>
      <c r="U427" s="32">
        <v>259</v>
      </c>
      <c r="V427" s="30">
        <v>0.77551020408163263</v>
      </c>
      <c r="W427" s="30">
        <v>0.80317040951122853</v>
      </c>
      <c r="X427" s="32">
        <v>108920.29999999999</v>
      </c>
      <c r="Y427" s="32">
        <v>110251.12</v>
      </c>
      <c r="Z427" s="32">
        <v>219171.41999999998</v>
      </c>
      <c r="AA427" s="3">
        <f t="shared" si="6"/>
        <v>209479.61</v>
      </c>
      <c r="AB427" s="3"/>
      <c r="AC427" s="3"/>
      <c r="AF427" s="3"/>
      <c r="AG427" s="3"/>
      <c r="AH427" s="3"/>
    </row>
    <row r="428" spans="1:34" x14ac:dyDescent="0.25">
      <c r="A428">
        <v>4800010</v>
      </c>
      <c r="B428" s="2">
        <v>480</v>
      </c>
      <c r="C428" s="2">
        <v>1</v>
      </c>
      <c r="D428" s="2" t="s">
        <v>484</v>
      </c>
      <c r="E428" s="2">
        <v>10</v>
      </c>
      <c r="F428" s="2" t="s">
        <v>485</v>
      </c>
      <c r="G428" s="3">
        <v>0</v>
      </c>
      <c r="H428" s="32">
        <v>33</v>
      </c>
      <c r="I428" s="32">
        <v>19</v>
      </c>
      <c r="J428" s="32">
        <v>41</v>
      </c>
      <c r="K428" s="32">
        <v>28</v>
      </c>
      <c r="L428" s="32">
        <v>47</v>
      </c>
      <c r="M428" s="32">
        <v>29</v>
      </c>
      <c r="N428" s="32">
        <v>44</v>
      </c>
      <c r="O428" s="32">
        <v>33</v>
      </c>
      <c r="P428" s="32">
        <v>31</v>
      </c>
      <c r="Q428" s="32">
        <v>17</v>
      </c>
      <c r="R428" s="32">
        <v>38</v>
      </c>
      <c r="S428" s="32">
        <v>25</v>
      </c>
      <c r="T428" s="32">
        <v>48</v>
      </c>
      <c r="U428" s="32">
        <v>44</v>
      </c>
      <c r="V428" s="30">
        <v>0.62809917355371903</v>
      </c>
      <c r="W428" s="30">
        <v>0.66371681415929207</v>
      </c>
      <c r="X428" s="32">
        <v>15978.72</v>
      </c>
      <c r="Y428" s="32">
        <v>15477.88</v>
      </c>
      <c r="Z428" s="32">
        <v>31456.6</v>
      </c>
      <c r="AA428" s="3">
        <f t="shared" si="6"/>
        <v>30065.58</v>
      </c>
      <c r="AB428" s="3"/>
      <c r="AC428" s="3"/>
      <c r="AF428" s="3"/>
      <c r="AG428" s="3"/>
      <c r="AH428" s="3"/>
    </row>
    <row r="429" spans="1:34" x14ac:dyDescent="0.25">
      <c r="A429">
        <v>4820110</v>
      </c>
      <c r="B429" s="2">
        <v>482</v>
      </c>
      <c r="C429" s="2">
        <v>1</v>
      </c>
      <c r="D429" s="2" t="s">
        <v>486</v>
      </c>
      <c r="E429" s="2">
        <v>110</v>
      </c>
      <c r="F429" s="2" t="s">
        <v>60</v>
      </c>
      <c r="G429" s="3">
        <v>0</v>
      </c>
      <c r="H429" s="32">
        <v>58</v>
      </c>
      <c r="I429" s="32">
        <v>47</v>
      </c>
      <c r="J429" s="32">
        <v>57</v>
      </c>
      <c r="K429" s="32">
        <v>44</v>
      </c>
      <c r="L429" s="32">
        <v>54</v>
      </c>
      <c r="M429" s="32">
        <v>41</v>
      </c>
      <c r="N429" s="32">
        <v>58</v>
      </c>
      <c r="O429" s="32">
        <v>39</v>
      </c>
      <c r="P429" s="32">
        <v>52</v>
      </c>
      <c r="Q429" s="32">
        <v>31</v>
      </c>
      <c r="R429" s="32">
        <v>55</v>
      </c>
      <c r="S429" s="32">
        <v>38</v>
      </c>
      <c r="T429" s="32">
        <v>53</v>
      </c>
      <c r="U429" s="32">
        <v>57</v>
      </c>
      <c r="V429" s="30">
        <v>0.78106508875739644</v>
      </c>
      <c r="W429" s="30">
        <v>0.65454545454545454</v>
      </c>
      <c r="X429" s="32">
        <v>21939.879999999997</v>
      </c>
      <c r="Y429" s="32">
        <v>19773.870000000003</v>
      </c>
      <c r="Z429" s="32">
        <v>41713.75</v>
      </c>
      <c r="AA429" s="3">
        <f t="shared" si="6"/>
        <v>39869.160000000003</v>
      </c>
      <c r="AB429" s="3"/>
      <c r="AC429" s="3"/>
      <c r="AF429" s="3"/>
      <c r="AG429" s="3"/>
      <c r="AH429" s="3"/>
    </row>
    <row r="430" spans="1:34" x14ac:dyDescent="0.25">
      <c r="A430">
        <v>4820120</v>
      </c>
      <c r="B430" s="2">
        <v>482</v>
      </c>
      <c r="C430" s="2">
        <v>1</v>
      </c>
      <c r="D430" s="2" t="s">
        <v>486</v>
      </c>
      <c r="E430" s="2">
        <v>120</v>
      </c>
      <c r="F430" s="2" t="s">
        <v>487</v>
      </c>
      <c r="G430" s="3">
        <v>0</v>
      </c>
      <c r="H430" s="32">
        <v>86</v>
      </c>
      <c r="I430" s="32">
        <v>61</v>
      </c>
      <c r="J430" s="32">
        <v>86</v>
      </c>
      <c r="K430" s="32">
        <v>73</v>
      </c>
      <c r="L430" s="32">
        <v>85</v>
      </c>
      <c r="M430" s="32">
        <v>71</v>
      </c>
      <c r="N430" s="32">
        <v>90</v>
      </c>
      <c r="O430" s="32">
        <v>73</v>
      </c>
      <c r="P430" s="32">
        <v>86</v>
      </c>
      <c r="Q430" s="32">
        <v>66</v>
      </c>
      <c r="R430" s="32">
        <v>81</v>
      </c>
      <c r="S430" s="32">
        <v>65</v>
      </c>
      <c r="T430" s="32">
        <v>88</v>
      </c>
      <c r="U430" s="32">
        <v>90</v>
      </c>
      <c r="V430" s="30">
        <v>0.7976653696498055</v>
      </c>
      <c r="W430" s="30">
        <v>0.79377431906614782</v>
      </c>
      <c r="X430" s="32">
        <v>37202.879999999997</v>
      </c>
      <c r="Y430" s="32">
        <v>37863</v>
      </c>
      <c r="Z430" s="32">
        <v>75065.88</v>
      </c>
      <c r="AA430" s="3">
        <f t="shared" si="6"/>
        <v>71746.45</v>
      </c>
      <c r="AB430" s="3"/>
      <c r="AC430" s="3"/>
      <c r="AF430" s="3"/>
      <c r="AG430" s="3"/>
      <c r="AH430" s="3"/>
    </row>
    <row r="431" spans="1:34" x14ac:dyDescent="0.25">
      <c r="A431">
        <v>4820130</v>
      </c>
      <c r="B431" s="2">
        <v>482</v>
      </c>
      <c r="C431" s="2">
        <v>1</v>
      </c>
      <c r="D431" s="2" t="s">
        <v>486</v>
      </c>
      <c r="E431" s="2">
        <v>130</v>
      </c>
      <c r="F431" s="2" t="s">
        <v>488</v>
      </c>
      <c r="G431" s="3">
        <v>0</v>
      </c>
      <c r="H431" s="32">
        <v>21</v>
      </c>
      <c r="I431" s="32">
        <v>17</v>
      </c>
      <c r="J431" s="32">
        <v>23</v>
      </c>
      <c r="K431" s="32">
        <v>14</v>
      </c>
      <c r="L431" s="32">
        <v>20</v>
      </c>
      <c r="M431" s="32">
        <v>10</v>
      </c>
      <c r="N431" s="32">
        <v>19</v>
      </c>
      <c r="O431" s="32">
        <v>16</v>
      </c>
      <c r="P431" s="32">
        <v>20</v>
      </c>
      <c r="Q431" s="32">
        <v>15</v>
      </c>
      <c r="R431" s="32">
        <v>23</v>
      </c>
      <c r="S431" s="32">
        <v>18</v>
      </c>
      <c r="T431" s="32">
        <v>20</v>
      </c>
      <c r="U431" s="32">
        <v>23</v>
      </c>
      <c r="V431" s="30">
        <v>0.640625</v>
      </c>
      <c r="W431" s="30">
        <v>0.79032258064516125</v>
      </c>
      <c r="X431" s="32">
        <v>6790.5999999999995</v>
      </c>
      <c r="Y431" s="32">
        <v>9634.01</v>
      </c>
      <c r="Z431" s="32">
        <v>16424.61</v>
      </c>
      <c r="AA431" s="3">
        <f t="shared" si="6"/>
        <v>15698.31</v>
      </c>
      <c r="AB431" s="3"/>
      <c r="AC431" s="3"/>
      <c r="AF431" s="3"/>
      <c r="AG431" s="3"/>
      <c r="AH431" s="3"/>
    </row>
    <row r="432" spans="1:34" x14ac:dyDescent="0.25">
      <c r="A432">
        <v>4840020</v>
      </c>
      <c r="B432" s="2">
        <v>484</v>
      </c>
      <c r="C432" s="2">
        <v>1</v>
      </c>
      <c r="D432" s="2" t="s">
        <v>489</v>
      </c>
      <c r="E432" s="2">
        <v>20</v>
      </c>
      <c r="F432" s="2" t="s">
        <v>490</v>
      </c>
      <c r="G432" s="3">
        <v>0</v>
      </c>
      <c r="H432" s="32">
        <v>69</v>
      </c>
      <c r="I432" s="32">
        <v>55</v>
      </c>
      <c r="J432" s="32">
        <v>68</v>
      </c>
      <c r="K432" s="32">
        <v>60</v>
      </c>
      <c r="L432" s="32">
        <v>68</v>
      </c>
      <c r="M432" s="32">
        <v>60</v>
      </c>
      <c r="N432" s="32">
        <v>66</v>
      </c>
      <c r="O432" s="32">
        <v>51</v>
      </c>
      <c r="P432" s="32">
        <v>69</v>
      </c>
      <c r="Q432" s="32">
        <v>50</v>
      </c>
      <c r="R432" s="32">
        <v>67</v>
      </c>
      <c r="S432" s="32">
        <v>48</v>
      </c>
      <c r="T432" s="32">
        <v>71</v>
      </c>
      <c r="U432" s="32">
        <v>71</v>
      </c>
      <c r="V432" s="30">
        <v>0.85365853658536583</v>
      </c>
      <c r="W432" s="30">
        <v>0.73762376237623761</v>
      </c>
      <c r="X432" s="32">
        <v>32123.24</v>
      </c>
      <c r="Y432" s="32">
        <v>27756.74</v>
      </c>
      <c r="Z432" s="32">
        <v>59879.98</v>
      </c>
      <c r="AA432" s="3">
        <f t="shared" si="6"/>
        <v>57232.07</v>
      </c>
      <c r="AB432" s="3"/>
      <c r="AC432" s="3"/>
      <c r="AF432" s="3"/>
      <c r="AG432" s="3"/>
      <c r="AH432" s="3"/>
    </row>
    <row r="433" spans="1:34" x14ac:dyDescent="0.25">
      <c r="A433">
        <v>4850010</v>
      </c>
      <c r="B433" s="2">
        <v>485</v>
      </c>
      <c r="C433" s="2">
        <v>1</v>
      </c>
      <c r="D433" s="2" t="s">
        <v>491</v>
      </c>
      <c r="E433" s="2">
        <v>10</v>
      </c>
      <c r="F433" s="2" t="s">
        <v>492</v>
      </c>
      <c r="G433" s="3">
        <v>0</v>
      </c>
      <c r="H433" s="32">
        <v>54</v>
      </c>
      <c r="I433" s="32">
        <v>41</v>
      </c>
      <c r="J433" s="32">
        <v>70</v>
      </c>
      <c r="K433" s="32">
        <v>57</v>
      </c>
      <c r="L433" s="32">
        <v>79</v>
      </c>
      <c r="M433" s="32">
        <v>67</v>
      </c>
      <c r="N433" s="32">
        <v>50</v>
      </c>
      <c r="O433" s="32">
        <v>26</v>
      </c>
      <c r="P433" s="32">
        <v>49</v>
      </c>
      <c r="Q433" s="32">
        <v>37</v>
      </c>
      <c r="R433" s="32">
        <v>68</v>
      </c>
      <c r="S433" s="32">
        <v>41</v>
      </c>
      <c r="T433" s="32">
        <v>79</v>
      </c>
      <c r="U433" s="32">
        <v>72</v>
      </c>
      <c r="V433" s="30">
        <v>0.81280788177339902</v>
      </c>
      <c r="W433" s="30">
        <v>0.6227544910179641</v>
      </c>
      <c r="X433" s="32">
        <v>34032.410000000003</v>
      </c>
      <c r="Y433" s="32">
        <v>23764.32</v>
      </c>
      <c r="Z433" s="32">
        <v>57796.73</v>
      </c>
      <c r="AA433" s="3">
        <f t="shared" si="6"/>
        <v>55240.94</v>
      </c>
      <c r="AB433" s="3"/>
      <c r="AC433" s="3"/>
      <c r="AF433" s="3"/>
      <c r="AG433" s="3"/>
      <c r="AH433" s="3"/>
    </row>
    <row r="434" spans="1:34" x14ac:dyDescent="0.25">
      <c r="A434">
        <v>4860010</v>
      </c>
      <c r="B434" s="2">
        <v>486</v>
      </c>
      <c r="C434" s="2">
        <v>1</v>
      </c>
      <c r="D434" s="2" t="s">
        <v>493</v>
      </c>
      <c r="E434" s="2">
        <v>10</v>
      </c>
      <c r="F434" s="2" t="s">
        <v>494</v>
      </c>
      <c r="G434" s="3">
        <v>0</v>
      </c>
      <c r="H434" s="32">
        <v>23</v>
      </c>
      <c r="I434" s="32">
        <v>21</v>
      </c>
      <c r="J434" s="32">
        <v>14</v>
      </c>
      <c r="K434" s="32">
        <v>13</v>
      </c>
      <c r="L434" s="32">
        <v>19</v>
      </c>
      <c r="M434" s="32">
        <v>18</v>
      </c>
      <c r="N434" s="32">
        <v>21</v>
      </c>
      <c r="O434" s="32">
        <v>14</v>
      </c>
      <c r="P434" s="32">
        <v>20</v>
      </c>
      <c r="Q434" s="32">
        <v>9</v>
      </c>
      <c r="R434" s="32">
        <v>14</v>
      </c>
      <c r="S434" s="32">
        <v>10</v>
      </c>
      <c r="T434" s="32">
        <v>19</v>
      </c>
      <c r="U434" s="32">
        <v>14</v>
      </c>
      <c r="V434" s="30">
        <v>0.9285714285714286</v>
      </c>
      <c r="W434" s="30">
        <v>0.6</v>
      </c>
      <c r="X434" s="32">
        <v>9350.66</v>
      </c>
      <c r="Y434" s="32">
        <v>4452</v>
      </c>
      <c r="Z434" s="32">
        <v>13802.66</v>
      </c>
      <c r="AA434" s="3">
        <f t="shared" si="6"/>
        <v>13192.3</v>
      </c>
      <c r="AB434" s="3"/>
      <c r="AC434" s="3"/>
      <c r="AF434" s="3"/>
      <c r="AG434" s="3"/>
      <c r="AH434" s="3"/>
    </row>
    <row r="435" spans="1:34" x14ac:dyDescent="0.25">
      <c r="A435">
        <v>4870010</v>
      </c>
      <c r="B435" s="2">
        <v>487</v>
      </c>
      <c r="C435" s="2">
        <v>1</v>
      </c>
      <c r="D435" s="2" t="s">
        <v>495</v>
      </c>
      <c r="E435" s="2">
        <v>10</v>
      </c>
      <c r="F435" s="2" t="s">
        <v>496</v>
      </c>
      <c r="G435" s="3">
        <v>0</v>
      </c>
      <c r="H435" s="32">
        <v>36</v>
      </c>
      <c r="I435" s="32">
        <v>23</v>
      </c>
      <c r="J435" s="32">
        <v>30</v>
      </c>
      <c r="K435" s="32">
        <v>19</v>
      </c>
      <c r="L435" s="32">
        <v>28</v>
      </c>
      <c r="M435" s="32">
        <v>23</v>
      </c>
      <c r="N435" s="32">
        <v>19</v>
      </c>
      <c r="O435" s="32">
        <v>16</v>
      </c>
      <c r="P435" s="32">
        <v>34</v>
      </c>
      <c r="Q435" s="32">
        <v>28</v>
      </c>
      <c r="R435" s="32">
        <v>29</v>
      </c>
      <c r="S435" s="32">
        <v>15</v>
      </c>
      <c r="T435" s="32">
        <v>29</v>
      </c>
      <c r="U435" s="32">
        <v>31</v>
      </c>
      <c r="V435" s="30">
        <v>0.69148936170212771</v>
      </c>
      <c r="W435" s="30">
        <v>0.71951219512195119</v>
      </c>
      <c r="X435" s="32">
        <v>10628.210000000001</v>
      </c>
      <c r="Y435" s="32">
        <v>11821.539999999999</v>
      </c>
      <c r="Z435" s="32">
        <v>22449.75</v>
      </c>
      <c r="AA435" s="3">
        <f t="shared" si="6"/>
        <v>21457.02</v>
      </c>
      <c r="AB435" s="3"/>
      <c r="AC435" s="3"/>
      <c r="AF435" s="3"/>
      <c r="AG435" s="3"/>
      <c r="AH435" s="3"/>
    </row>
    <row r="436" spans="1:34" x14ac:dyDescent="0.25">
      <c r="A436">
        <v>4920010</v>
      </c>
      <c r="B436" s="2">
        <v>492</v>
      </c>
      <c r="C436" s="2">
        <v>1</v>
      </c>
      <c r="D436" s="2" t="s">
        <v>497</v>
      </c>
      <c r="E436" s="2">
        <v>10</v>
      </c>
      <c r="F436" s="2" t="s">
        <v>498</v>
      </c>
      <c r="G436" s="3">
        <v>0</v>
      </c>
      <c r="H436" s="32">
        <v>101</v>
      </c>
      <c r="I436" s="32">
        <v>70</v>
      </c>
      <c r="J436" s="32">
        <v>112</v>
      </c>
      <c r="K436" s="32">
        <v>82</v>
      </c>
      <c r="L436" s="32">
        <v>125</v>
      </c>
      <c r="M436" s="32">
        <v>96</v>
      </c>
      <c r="N436" s="32">
        <v>93</v>
      </c>
      <c r="O436" s="32">
        <v>71</v>
      </c>
      <c r="P436" s="32">
        <v>95</v>
      </c>
      <c r="Q436" s="32">
        <v>72</v>
      </c>
      <c r="R436" s="32">
        <v>104</v>
      </c>
      <c r="S436" s="32">
        <v>67</v>
      </c>
      <c r="T436" s="32">
        <v>118</v>
      </c>
      <c r="U436" s="32">
        <v>118</v>
      </c>
      <c r="V436" s="30">
        <v>0.73372781065088755</v>
      </c>
      <c r="W436" s="30">
        <v>0.71917808219178081</v>
      </c>
      <c r="X436" s="32">
        <v>45887.839999999997</v>
      </c>
      <c r="Y436" s="32">
        <v>44976.880000000005</v>
      </c>
      <c r="Z436" s="32">
        <v>90864.72</v>
      </c>
      <c r="AA436" s="3">
        <f t="shared" si="6"/>
        <v>86846.66</v>
      </c>
      <c r="AB436" s="3"/>
      <c r="AC436" s="3"/>
      <c r="AF436" s="3"/>
      <c r="AG436" s="3"/>
      <c r="AH436" s="3"/>
    </row>
    <row r="437" spans="1:34" x14ac:dyDescent="0.25">
      <c r="A437">
        <v>4920040</v>
      </c>
      <c r="B437">
        <v>492</v>
      </c>
      <c r="C437">
        <v>1</v>
      </c>
      <c r="D437" t="s">
        <v>497</v>
      </c>
      <c r="E437">
        <v>40</v>
      </c>
      <c r="F437" t="s">
        <v>499</v>
      </c>
      <c r="G437" s="3">
        <v>0</v>
      </c>
      <c r="H437" s="32">
        <v>80</v>
      </c>
      <c r="I437" s="32">
        <v>50</v>
      </c>
      <c r="J437" s="32">
        <v>80</v>
      </c>
      <c r="K437" s="32">
        <v>56</v>
      </c>
      <c r="L437" s="32">
        <v>66</v>
      </c>
      <c r="M437" s="32">
        <v>43</v>
      </c>
      <c r="N437" s="32">
        <v>82</v>
      </c>
      <c r="O437" s="32">
        <v>63</v>
      </c>
      <c r="P437" s="32">
        <v>77</v>
      </c>
      <c r="Q437" s="32">
        <v>62</v>
      </c>
      <c r="R437" s="32">
        <v>68</v>
      </c>
      <c r="S437" s="32">
        <v>46</v>
      </c>
      <c r="T437" s="32">
        <v>77</v>
      </c>
      <c r="U437" s="32">
        <v>76</v>
      </c>
      <c r="V437" s="30">
        <v>0.65929203539823011</v>
      </c>
      <c r="W437" s="30">
        <v>0.75330396475770922</v>
      </c>
      <c r="X437" s="32">
        <v>26905.34</v>
      </c>
      <c r="Y437" s="32">
        <v>30343</v>
      </c>
      <c r="Z437" s="32">
        <v>57248.34</v>
      </c>
      <c r="AA437" s="3">
        <f t="shared" si="6"/>
        <v>54716.800000000003</v>
      </c>
      <c r="AB437" s="3"/>
      <c r="AC437" s="3"/>
      <c r="AF437" s="3"/>
      <c r="AG437" s="3"/>
      <c r="AH437" s="3"/>
    </row>
    <row r="438" spans="1:34" x14ac:dyDescent="0.25">
      <c r="A438">
        <v>4920070</v>
      </c>
      <c r="B438" s="2">
        <v>492</v>
      </c>
      <c r="C438" s="2">
        <v>1</v>
      </c>
      <c r="D438" s="2" t="s">
        <v>497</v>
      </c>
      <c r="E438" s="2">
        <v>70</v>
      </c>
      <c r="F438" s="2" t="s">
        <v>500</v>
      </c>
      <c r="G438" s="3">
        <v>0</v>
      </c>
      <c r="H438" s="32">
        <v>106</v>
      </c>
      <c r="I438" s="32">
        <v>73</v>
      </c>
      <c r="J438" s="32">
        <v>104</v>
      </c>
      <c r="K438" s="32">
        <v>63</v>
      </c>
      <c r="L438" s="32">
        <v>100</v>
      </c>
      <c r="M438" s="32">
        <v>71</v>
      </c>
      <c r="N438" s="32">
        <v>82</v>
      </c>
      <c r="O438" s="32">
        <v>65</v>
      </c>
      <c r="P438" s="32">
        <v>100</v>
      </c>
      <c r="Q438" s="32">
        <v>73</v>
      </c>
      <c r="R438" s="32">
        <v>99</v>
      </c>
      <c r="S438" s="32">
        <v>71</v>
      </c>
      <c r="T438" s="32">
        <v>105</v>
      </c>
      <c r="U438" s="32">
        <v>109</v>
      </c>
      <c r="V438" s="30">
        <v>0.66774193548387095</v>
      </c>
      <c r="W438" s="30">
        <v>0.74377224199288261</v>
      </c>
      <c r="X438" s="32">
        <v>37159.5</v>
      </c>
      <c r="Y438" s="32">
        <v>42967.799999999996</v>
      </c>
      <c r="Z438" s="32">
        <v>80127.299999999988</v>
      </c>
      <c r="AA438" s="3">
        <f t="shared" si="6"/>
        <v>76584.05</v>
      </c>
      <c r="AB438" s="3"/>
      <c r="AC438" s="3"/>
      <c r="AF438" s="3"/>
      <c r="AG438" s="3"/>
      <c r="AH438" s="3"/>
    </row>
    <row r="439" spans="1:34" x14ac:dyDescent="0.25">
      <c r="A439">
        <v>4920080</v>
      </c>
      <c r="B439" s="2">
        <v>492</v>
      </c>
      <c r="C439" s="2">
        <v>1</v>
      </c>
      <c r="D439" s="2" t="s">
        <v>497</v>
      </c>
      <c r="E439" s="2">
        <v>80</v>
      </c>
      <c r="F439" s="2" t="s">
        <v>501</v>
      </c>
      <c r="G439" s="3">
        <v>0</v>
      </c>
      <c r="H439" s="32">
        <v>65</v>
      </c>
      <c r="I439" s="32">
        <v>40</v>
      </c>
      <c r="J439" s="32">
        <v>82</v>
      </c>
      <c r="K439" s="32">
        <v>46</v>
      </c>
      <c r="L439" s="32">
        <v>47</v>
      </c>
      <c r="M439" s="32">
        <v>37</v>
      </c>
      <c r="N439" s="32">
        <v>59</v>
      </c>
      <c r="O439" s="32">
        <v>45</v>
      </c>
      <c r="P439" s="32">
        <v>52</v>
      </c>
      <c r="Q439" s="32">
        <v>40</v>
      </c>
      <c r="R439" s="32">
        <v>58</v>
      </c>
      <c r="S439" s="32">
        <v>42</v>
      </c>
      <c r="T439" s="32">
        <v>48</v>
      </c>
      <c r="U439" s="32">
        <v>71</v>
      </c>
      <c r="V439" s="30">
        <v>0.634020618556701</v>
      </c>
      <c r="W439" s="30">
        <v>0.75147928994082835</v>
      </c>
      <c r="X439" s="32">
        <v>16129.439999999999</v>
      </c>
      <c r="Y439" s="32">
        <v>28277.879999999997</v>
      </c>
      <c r="Z439" s="32">
        <v>44407.319999999992</v>
      </c>
      <c r="AA439" s="3">
        <f t="shared" si="6"/>
        <v>42443.62</v>
      </c>
      <c r="AB439" s="3"/>
      <c r="AC439" s="3"/>
      <c r="AF439" s="3"/>
      <c r="AG439" s="3"/>
      <c r="AH439" s="3"/>
    </row>
    <row r="440" spans="1:34" x14ac:dyDescent="0.25">
      <c r="A440">
        <v>4920450</v>
      </c>
      <c r="B440" s="2">
        <v>492</v>
      </c>
      <c r="C440" s="2">
        <v>1</v>
      </c>
      <c r="D440" s="2" t="s">
        <v>1197</v>
      </c>
      <c r="E440" s="2">
        <v>450</v>
      </c>
      <c r="F440" s="2" t="s">
        <v>1198</v>
      </c>
      <c r="G440" s="3">
        <v>1</v>
      </c>
      <c r="H440" s="32" t="s">
        <v>1328</v>
      </c>
      <c r="I440" s="32" t="s">
        <v>1328</v>
      </c>
      <c r="J440" s="32" t="s">
        <v>1328</v>
      </c>
      <c r="K440" s="32" t="s">
        <v>1328</v>
      </c>
      <c r="L440" s="32" t="s">
        <v>1328</v>
      </c>
      <c r="M440" s="32" t="s">
        <v>1328</v>
      </c>
      <c r="N440" s="32" t="s">
        <v>1328</v>
      </c>
      <c r="O440" s="32" t="s">
        <v>1328</v>
      </c>
      <c r="P440" s="32" t="s">
        <v>1328</v>
      </c>
      <c r="Q440" s="32" t="s">
        <v>1328</v>
      </c>
      <c r="R440" s="32" t="s">
        <v>1328</v>
      </c>
      <c r="S440" s="32" t="s">
        <v>1328</v>
      </c>
      <c r="T440" s="32">
        <v>0</v>
      </c>
      <c r="U440" s="32">
        <v>0</v>
      </c>
      <c r="V440" s="30" t="s">
        <v>1328</v>
      </c>
      <c r="W440" s="30" t="s">
        <v>1328</v>
      </c>
      <c r="X440" s="32" t="s">
        <v>1328</v>
      </c>
      <c r="Y440" s="32" t="s">
        <v>1328</v>
      </c>
      <c r="Z440" s="32">
        <v>0</v>
      </c>
      <c r="AA440" s="3">
        <f t="shared" si="6"/>
        <v>0</v>
      </c>
      <c r="AB440" s="3"/>
      <c r="AC440" s="3"/>
      <c r="AF440" s="3"/>
      <c r="AG440" s="3"/>
      <c r="AH440" s="3"/>
    </row>
    <row r="441" spans="1:34" x14ac:dyDescent="0.25">
      <c r="A441">
        <v>4950010</v>
      </c>
      <c r="B441" s="2">
        <v>495</v>
      </c>
      <c r="C441" s="2">
        <v>1</v>
      </c>
      <c r="D441" s="2" t="s">
        <v>502</v>
      </c>
      <c r="E441" s="2">
        <v>10</v>
      </c>
      <c r="F441" s="2" t="s">
        <v>503</v>
      </c>
      <c r="G441" s="3">
        <v>0</v>
      </c>
      <c r="H441" s="32">
        <v>37</v>
      </c>
      <c r="I441" s="32">
        <v>33</v>
      </c>
      <c r="J441" s="32">
        <v>36</v>
      </c>
      <c r="K441" s="32">
        <v>28</v>
      </c>
      <c r="L441" s="32">
        <v>36</v>
      </c>
      <c r="M441" s="32">
        <v>25</v>
      </c>
      <c r="N441" s="32">
        <v>28</v>
      </c>
      <c r="O441" s="32">
        <v>21</v>
      </c>
      <c r="P441" s="32">
        <v>33</v>
      </c>
      <c r="Q441" s="32">
        <v>23</v>
      </c>
      <c r="R441" s="32">
        <v>34</v>
      </c>
      <c r="S441" s="32">
        <v>23</v>
      </c>
      <c r="T441" s="32">
        <v>34</v>
      </c>
      <c r="U441" s="32">
        <v>35</v>
      </c>
      <c r="V441" s="30">
        <v>0.78899082568807344</v>
      </c>
      <c r="W441" s="30">
        <v>0.70526315789473681</v>
      </c>
      <c r="X441" s="32">
        <v>14217.78</v>
      </c>
      <c r="Y441" s="32">
        <v>13082.650000000001</v>
      </c>
      <c r="Z441" s="32">
        <v>27300.43</v>
      </c>
      <c r="AA441" s="3">
        <f t="shared" si="6"/>
        <v>26093.200000000001</v>
      </c>
      <c r="AB441" s="3"/>
      <c r="AC441" s="3"/>
      <c r="AF441" s="3"/>
      <c r="AG441" s="3"/>
      <c r="AH441" s="3"/>
    </row>
    <row r="442" spans="1:34" x14ac:dyDescent="0.25">
      <c r="A442">
        <v>4970010</v>
      </c>
      <c r="B442" s="2">
        <v>497</v>
      </c>
      <c r="C442" s="2">
        <v>1</v>
      </c>
      <c r="D442" s="2" t="s">
        <v>504</v>
      </c>
      <c r="E442" s="2">
        <v>10</v>
      </c>
      <c r="F442" s="2" t="s">
        <v>505</v>
      </c>
      <c r="G442" s="3">
        <v>0</v>
      </c>
      <c r="H442" s="32">
        <v>23</v>
      </c>
      <c r="I442" s="32">
        <v>20</v>
      </c>
      <c r="J442" s="32">
        <v>15</v>
      </c>
      <c r="K442" s="32">
        <v>10</v>
      </c>
      <c r="L442" s="32">
        <v>17</v>
      </c>
      <c r="M442" s="32">
        <v>12</v>
      </c>
      <c r="N442" s="32">
        <v>20</v>
      </c>
      <c r="O442" s="32">
        <v>17</v>
      </c>
      <c r="P442" s="32">
        <v>21</v>
      </c>
      <c r="Q442" s="32">
        <v>18</v>
      </c>
      <c r="R442" s="32">
        <v>14</v>
      </c>
      <c r="S442" s="32">
        <v>11</v>
      </c>
      <c r="T442" s="32">
        <v>16</v>
      </c>
      <c r="U442" s="32">
        <v>15</v>
      </c>
      <c r="V442" s="30">
        <v>0.76363636363636367</v>
      </c>
      <c r="W442" s="30">
        <v>0.83636363636363631</v>
      </c>
      <c r="X442" s="32">
        <v>6475.68</v>
      </c>
      <c r="Y442" s="32">
        <v>6649.0499999999993</v>
      </c>
      <c r="Z442" s="32">
        <v>13124.73</v>
      </c>
      <c r="AA442" s="3">
        <f t="shared" si="6"/>
        <v>12544.35</v>
      </c>
      <c r="AB442" s="3"/>
      <c r="AC442" s="3"/>
      <c r="AF442" s="3"/>
      <c r="AG442" s="3"/>
      <c r="AH442" s="3"/>
    </row>
    <row r="443" spans="1:34" x14ac:dyDescent="0.25">
      <c r="A443">
        <v>4990015</v>
      </c>
      <c r="B443" s="2">
        <v>499</v>
      </c>
      <c r="C443" s="2">
        <v>1</v>
      </c>
      <c r="D443" s="2" t="s">
        <v>506</v>
      </c>
      <c r="E443" s="2">
        <v>15</v>
      </c>
      <c r="F443" s="2" t="s">
        <v>507</v>
      </c>
      <c r="G443" s="3">
        <v>0</v>
      </c>
      <c r="H443" s="32">
        <v>20</v>
      </c>
      <c r="I443" s="32">
        <v>18</v>
      </c>
      <c r="J443" s="32">
        <v>15</v>
      </c>
      <c r="K443" s="32">
        <v>12</v>
      </c>
      <c r="L443" s="32">
        <v>21</v>
      </c>
      <c r="M443" s="32">
        <v>16</v>
      </c>
      <c r="N443" s="32">
        <v>16</v>
      </c>
      <c r="O443" s="32">
        <v>13</v>
      </c>
      <c r="P443" s="32">
        <v>20</v>
      </c>
      <c r="Q443" s="32">
        <v>19</v>
      </c>
      <c r="R443" s="32">
        <v>14</v>
      </c>
      <c r="S443" s="32">
        <v>14</v>
      </c>
      <c r="T443" s="32">
        <v>24</v>
      </c>
      <c r="U443" s="32">
        <v>16</v>
      </c>
      <c r="V443" s="30">
        <v>0.8214285714285714</v>
      </c>
      <c r="W443" s="30">
        <v>0.92</v>
      </c>
      <c r="X443" s="32">
        <v>10448.64</v>
      </c>
      <c r="Y443" s="32">
        <v>7801.6</v>
      </c>
      <c r="Z443" s="32">
        <v>18250.239999999998</v>
      </c>
      <c r="AA443" s="3">
        <f t="shared" si="6"/>
        <v>17443.21</v>
      </c>
      <c r="AB443" s="3"/>
      <c r="AC443" s="3"/>
      <c r="AF443" s="3"/>
      <c r="AG443" s="3"/>
      <c r="AH443" s="3"/>
    </row>
    <row r="444" spans="1:34" x14ac:dyDescent="0.25">
      <c r="A444">
        <v>5000030</v>
      </c>
      <c r="B444">
        <v>500</v>
      </c>
      <c r="C444" s="2">
        <v>1</v>
      </c>
      <c r="D444" s="2" t="s">
        <v>508</v>
      </c>
      <c r="E444">
        <v>30</v>
      </c>
      <c r="F444" s="2" t="s">
        <v>509</v>
      </c>
      <c r="G444" s="3">
        <v>0</v>
      </c>
      <c r="H444" s="32">
        <v>23</v>
      </c>
      <c r="I444" s="32">
        <v>15</v>
      </c>
      <c r="J444" s="32">
        <v>31</v>
      </c>
      <c r="K444" s="32">
        <v>24</v>
      </c>
      <c r="L444" s="32">
        <v>33</v>
      </c>
      <c r="M444" s="32">
        <v>25</v>
      </c>
      <c r="N444" s="32">
        <v>33</v>
      </c>
      <c r="O444" s="32">
        <v>19</v>
      </c>
      <c r="P444" s="32">
        <v>22</v>
      </c>
      <c r="Q444" s="32">
        <v>19</v>
      </c>
      <c r="R444" s="32">
        <v>30</v>
      </c>
      <c r="S444" s="32">
        <v>28</v>
      </c>
      <c r="T444" s="32">
        <v>33</v>
      </c>
      <c r="U444" s="32">
        <v>30</v>
      </c>
      <c r="V444" s="30">
        <v>0.73563218390804597</v>
      </c>
      <c r="W444" s="30">
        <v>0.77647058823529413</v>
      </c>
      <c r="X444" s="32">
        <v>12866.369999999999</v>
      </c>
      <c r="Y444" s="32">
        <v>12345.9</v>
      </c>
      <c r="Z444" s="32">
        <v>25212.269999999997</v>
      </c>
      <c r="AA444" s="3">
        <f t="shared" si="6"/>
        <v>24097.38</v>
      </c>
      <c r="AB444" s="3"/>
      <c r="AC444" s="3"/>
      <c r="AF444" s="3"/>
      <c r="AG444" s="3"/>
      <c r="AH444" s="3"/>
    </row>
    <row r="445" spans="1:34" x14ac:dyDescent="0.25">
      <c r="A445">
        <v>5050010</v>
      </c>
      <c r="B445">
        <v>505</v>
      </c>
      <c r="C445" s="2">
        <v>1</v>
      </c>
      <c r="D445" s="2" t="s">
        <v>510</v>
      </c>
      <c r="E445">
        <v>10</v>
      </c>
      <c r="F445" s="2" t="s">
        <v>511</v>
      </c>
      <c r="G445" s="3">
        <v>0</v>
      </c>
      <c r="H445" s="32">
        <v>17</v>
      </c>
      <c r="I445" s="32">
        <v>16</v>
      </c>
      <c r="J445" s="32">
        <v>23</v>
      </c>
      <c r="K445" s="32">
        <v>18</v>
      </c>
      <c r="L445" s="32">
        <v>16</v>
      </c>
      <c r="M445" s="32">
        <v>15</v>
      </c>
      <c r="N445" s="32">
        <v>12</v>
      </c>
      <c r="O445" s="32">
        <v>8</v>
      </c>
      <c r="P445" s="32">
        <v>13</v>
      </c>
      <c r="Q445" s="32">
        <v>10</v>
      </c>
      <c r="R445" s="32">
        <v>19</v>
      </c>
      <c r="S445" s="32">
        <v>17</v>
      </c>
      <c r="T445" s="32">
        <v>16</v>
      </c>
      <c r="U445" s="32">
        <v>21</v>
      </c>
      <c r="V445" s="30">
        <v>0.875</v>
      </c>
      <c r="W445" s="30">
        <v>0.79545454545454541</v>
      </c>
      <c r="X445" s="32">
        <v>7420</v>
      </c>
      <c r="Y445" s="32">
        <v>8853.39</v>
      </c>
      <c r="Z445" s="32">
        <v>16273.39</v>
      </c>
      <c r="AA445" s="3">
        <f t="shared" si="6"/>
        <v>15553.78</v>
      </c>
      <c r="AB445" s="3"/>
      <c r="AC445" s="3"/>
      <c r="AF445" s="3"/>
      <c r="AG445" s="3"/>
      <c r="AH445" s="3"/>
    </row>
    <row r="446" spans="1:34" x14ac:dyDescent="0.25">
      <c r="A446">
        <v>5070010</v>
      </c>
      <c r="B446">
        <v>507</v>
      </c>
      <c r="C446" s="2">
        <v>1</v>
      </c>
      <c r="D446" s="2" t="s">
        <v>512</v>
      </c>
      <c r="E446">
        <v>10</v>
      </c>
      <c r="F446" s="2" t="s">
        <v>513</v>
      </c>
      <c r="G446" s="3">
        <v>0</v>
      </c>
      <c r="H446" s="32">
        <v>28</v>
      </c>
      <c r="I446" s="32">
        <v>26</v>
      </c>
      <c r="J446" s="32">
        <v>23</v>
      </c>
      <c r="K446" s="32">
        <v>21</v>
      </c>
      <c r="L446" s="32">
        <v>33</v>
      </c>
      <c r="M446" s="32">
        <v>26</v>
      </c>
      <c r="N446" s="32">
        <v>20</v>
      </c>
      <c r="O446" s="32">
        <v>16</v>
      </c>
      <c r="P446" s="32">
        <v>26</v>
      </c>
      <c r="Q446" s="32">
        <v>22</v>
      </c>
      <c r="R446" s="32">
        <v>22</v>
      </c>
      <c r="S446" s="32">
        <v>19</v>
      </c>
      <c r="T446" s="32">
        <v>33</v>
      </c>
      <c r="U446" s="32">
        <v>23</v>
      </c>
      <c r="V446" s="30">
        <v>0.86904761904761907</v>
      </c>
      <c r="W446" s="30">
        <v>0.83823529411764708</v>
      </c>
      <c r="X446" s="32">
        <v>15199.800000000001</v>
      </c>
      <c r="Y446" s="32">
        <v>10217.98</v>
      </c>
      <c r="Z446" s="32">
        <v>25417.78</v>
      </c>
      <c r="AA446" s="3">
        <f t="shared" si="6"/>
        <v>24293.8</v>
      </c>
      <c r="AB446" s="3"/>
      <c r="AC446" s="3"/>
      <c r="AF446" s="3"/>
      <c r="AG446" s="3"/>
      <c r="AH446" s="3"/>
    </row>
    <row r="447" spans="1:34" x14ac:dyDescent="0.25">
      <c r="A447">
        <v>5080030</v>
      </c>
      <c r="B447">
        <v>508</v>
      </c>
      <c r="C447">
        <v>1</v>
      </c>
      <c r="D447" t="s">
        <v>514</v>
      </c>
      <c r="E447">
        <v>30</v>
      </c>
      <c r="F447" t="s">
        <v>515</v>
      </c>
      <c r="G447" s="3">
        <v>0</v>
      </c>
      <c r="H447" s="32">
        <v>116</v>
      </c>
      <c r="I447" s="32">
        <v>98</v>
      </c>
      <c r="J447" s="32">
        <v>152</v>
      </c>
      <c r="K447" s="32">
        <v>122</v>
      </c>
      <c r="L447" s="32">
        <v>152</v>
      </c>
      <c r="M447" s="32">
        <v>138</v>
      </c>
      <c r="N447" s="32">
        <v>127</v>
      </c>
      <c r="O447" s="32">
        <v>107</v>
      </c>
      <c r="P447" s="32">
        <v>104</v>
      </c>
      <c r="Q447" s="32">
        <v>83</v>
      </c>
      <c r="R447" s="32">
        <v>139</v>
      </c>
      <c r="S447" s="32">
        <v>121</v>
      </c>
      <c r="T447" s="32">
        <v>154</v>
      </c>
      <c r="U447" s="32">
        <v>151</v>
      </c>
      <c r="V447" s="30">
        <v>0.85238095238095235</v>
      </c>
      <c r="W447" s="30">
        <v>0.8405405405405405</v>
      </c>
      <c r="X447" s="32">
        <v>69571.039999999994</v>
      </c>
      <c r="Y447" s="32">
        <v>67268.990000000005</v>
      </c>
      <c r="Z447" s="32">
        <v>136840.03</v>
      </c>
      <c r="AA447" s="3">
        <f t="shared" si="6"/>
        <v>130788.93</v>
      </c>
      <c r="AB447" s="3"/>
      <c r="AC447" s="3"/>
      <c r="AF447" s="3"/>
      <c r="AG447" s="3"/>
      <c r="AH447" s="3"/>
    </row>
    <row r="448" spans="1:34" x14ac:dyDescent="0.25">
      <c r="A448">
        <v>5110010</v>
      </c>
      <c r="B448">
        <v>511</v>
      </c>
      <c r="C448" s="2">
        <v>1</v>
      </c>
      <c r="D448" s="2" t="s">
        <v>516</v>
      </c>
      <c r="E448">
        <v>10</v>
      </c>
      <c r="F448" s="2" t="s">
        <v>517</v>
      </c>
      <c r="G448" s="3">
        <v>0</v>
      </c>
      <c r="H448" s="32">
        <v>46</v>
      </c>
      <c r="I448" s="32">
        <v>41</v>
      </c>
      <c r="J448" s="32">
        <v>39</v>
      </c>
      <c r="K448" s="32">
        <v>35</v>
      </c>
      <c r="L448" s="32">
        <v>32</v>
      </c>
      <c r="M448" s="32">
        <v>25</v>
      </c>
      <c r="N448" s="32">
        <v>35</v>
      </c>
      <c r="O448" s="32">
        <v>21</v>
      </c>
      <c r="P448" s="32">
        <v>43</v>
      </c>
      <c r="Q448" s="32">
        <v>36</v>
      </c>
      <c r="R448" s="32">
        <v>42</v>
      </c>
      <c r="S448" s="32">
        <v>33</v>
      </c>
      <c r="T448" s="32">
        <v>35</v>
      </c>
      <c r="U448" s="32">
        <v>46</v>
      </c>
      <c r="V448" s="30">
        <v>0.86324786324786329</v>
      </c>
      <c r="W448" s="30">
        <v>0.75</v>
      </c>
      <c r="X448" s="32">
        <v>16013.199999999999</v>
      </c>
      <c r="Y448" s="32">
        <v>18285</v>
      </c>
      <c r="Z448" s="32">
        <v>34298.199999999997</v>
      </c>
      <c r="AA448" s="3">
        <f t="shared" si="6"/>
        <v>32781.53</v>
      </c>
      <c r="AB448" s="3"/>
      <c r="AC448" s="3"/>
      <c r="AF448" s="3"/>
      <c r="AG448" s="3"/>
      <c r="AH448" s="3"/>
    </row>
    <row r="449" spans="1:34" x14ac:dyDescent="0.25">
      <c r="A449">
        <v>5130010</v>
      </c>
      <c r="B449">
        <v>513</v>
      </c>
      <c r="C449" s="2">
        <v>1</v>
      </c>
      <c r="D449" s="2" t="s">
        <v>518</v>
      </c>
      <c r="E449">
        <v>10</v>
      </c>
      <c r="F449" s="2" t="s">
        <v>519</v>
      </c>
      <c r="G449" s="3">
        <v>0</v>
      </c>
      <c r="H449" s="32">
        <v>16</v>
      </c>
      <c r="I449" s="32">
        <v>10</v>
      </c>
      <c r="J449" s="32">
        <v>26</v>
      </c>
      <c r="K449" s="32">
        <v>18</v>
      </c>
      <c r="L449" s="32">
        <v>21</v>
      </c>
      <c r="M449" s="32">
        <v>13</v>
      </c>
      <c r="N449" s="32">
        <v>20</v>
      </c>
      <c r="O449" s="32">
        <v>18</v>
      </c>
      <c r="P449" s="32">
        <v>19</v>
      </c>
      <c r="Q449" s="32">
        <v>16</v>
      </c>
      <c r="R449" s="32">
        <v>23</v>
      </c>
      <c r="S449" s="32">
        <v>19</v>
      </c>
      <c r="T449" s="32">
        <v>24</v>
      </c>
      <c r="U449" s="32">
        <v>25</v>
      </c>
      <c r="V449" s="30">
        <v>0.65079365079365081</v>
      </c>
      <c r="W449" s="30">
        <v>0.85483870967741937</v>
      </c>
      <c r="X449" s="32">
        <v>8278.08</v>
      </c>
      <c r="Y449" s="32">
        <v>11326.5</v>
      </c>
      <c r="Z449" s="32">
        <v>19604.580000000002</v>
      </c>
      <c r="AA449" s="3">
        <f t="shared" si="6"/>
        <v>18737.66</v>
      </c>
      <c r="AB449" s="3"/>
      <c r="AC449" s="3"/>
      <c r="AF449" s="3"/>
      <c r="AG449" s="3"/>
      <c r="AH449" s="3"/>
    </row>
    <row r="450" spans="1:34" x14ac:dyDescent="0.25">
      <c r="A450">
        <v>5140010</v>
      </c>
      <c r="B450">
        <v>514</v>
      </c>
      <c r="C450" s="2">
        <v>1</v>
      </c>
      <c r="D450" s="2" t="s">
        <v>1199</v>
      </c>
      <c r="E450">
        <v>10</v>
      </c>
      <c r="F450" s="2" t="s">
        <v>1200</v>
      </c>
      <c r="G450" s="3">
        <v>1</v>
      </c>
      <c r="H450" s="32" t="s">
        <v>1328</v>
      </c>
      <c r="I450" s="32" t="s">
        <v>1328</v>
      </c>
      <c r="J450" s="32" t="s">
        <v>1328</v>
      </c>
      <c r="K450" s="32" t="s">
        <v>1328</v>
      </c>
      <c r="L450" s="32" t="s">
        <v>1328</v>
      </c>
      <c r="M450" s="32" t="s">
        <v>1328</v>
      </c>
      <c r="N450" s="32" t="s">
        <v>1328</v>
      </c>
      <c r="O450" s="32" t="s">
        <v>1328</v>
      </c>
      <c r="P450" s="32" t="s">
        <v>1328</v>
      </c>
      <c r="Q450" s="32" t="s">
        <v>1328</v>
      </c>
      <c r="R450" s="32" t="s">
        <v>1328</v>
      </c>
      <c r="S450" s="32" t="s">
        <v>1328</v>
      </c>
      <c r="T450" s="32">
        <v>11</v>
      </c>
      <c r="U450" s="32">
        <v>16</v>
      </c>
      <c r="V450" s="30" t="s">
        <v>1328</v>
      </c>
      <c r="W450" s="30" t="s">
        <v>1328</v>
      </c>
      <c r="X450" s="32" t="s">
        <v>1328</v>
      </c>
      <c r="Y450" s="32" t="s">
        <v>1328</v>
      </c>
      <c r="Z450" s="32">
        <v>10095.970000000001</v>
      </c>
      <c r="AA450" s="3">
        <f t="shared" si="6"/>
        <v>9649.52</v>
      </c>
      <c r="AB450" s="3"/>
      <c r="AC450" s="3"/>
      <c r="AF450" s="3"/>
      <c r="AG450" s="3"/>
      <c r="AH450" s="3"/>
    </row>
    <row r="451" spans="1:34" x14ac:dyDescent="0.25">
      <c r="A451" s="7">
        <v>5180001</v>
      </c>
      <c r="B451" s="7">
        <v>518</v>
      </c>
      <c r="C451" s="7">
        <v>1</v>
      </c>
      <c r="D451" s="7" t="s">
        <v>520</v>
      </c>
      <c r="E451" s="7">
        <v>1</v>
      </c>
      <c r="F451" s="7" t="s">
        <v>521</v>
      </c>
      <c r="G451" s="3">
        <v>0</v>
      </c>
      <c r="H451" s="32">
        <v>163</v>
      </c>
      <c r="I451" s="32">
        <v>97</v>
      </c>
      <c r="J451" s="32">
        <v>190</v>
      </c>
      <c r="K451" s="32">
        <v>139</v>
      </c>
      <c r="L451" s="32">
        <v>193</v>
      </c>
      <c r="M451" s="32">
        <v>119</v>
      </c>
      <c r="N451" s="32">
        <v>132</v>
      </c>
      <c r="O451" s="32">
        <v>101</v>
      </c>
      <c r="P451" s="32">
        <v>155</v>
      </c>
      <c r="Q451" s="32">
        <v>136</v>
      </c>
      <c r="R451" s="32">
        <v>174</v>
      </c>
      <c r="S451" s="32">
        <v>138</v>
      </c>
      <c r="T451" s="32">
        <v>197</v>
      </c>
      <c r="U451" s="32">
        <v>193</v>
      </c>
      <c r="V451" s="30">
        <v>0.6501831501831502</v>
      </c>
      <c r="W451" s="30">
        <v>0.81344902386117135</v>
      </c>
      <c r="X451" s="32">
        <v>67886.200000000012</v>
      </c>
      <c r="Y451" s="32">
        <v>83208.09</v>
      </c>
      <c r="Z451" s="32">
        <v>151094.29</v>
      </c>
      <c r="AA451" s="3">
        <f t="shared" si="6"/>
        <v>144412.85999999999</v>
      </c>
      <c r="AB451" s="3"/>
      <c r="AC451" s="3"/>
      <c r="AF451" s="3"/>
      <c r="AG451" s="3"/>
      <c r="AH451" s="3"/>
    </row>
    <row r="452" spans="1:34" x14ac:dyDescent="0.25">
      <c r="A452">
        <v>5310010</v>
      </c>
      <c r="B452">
        <v>531</v>
      </c>
      <c r="C452" s="2">
        <v>1</v>
      </c>
      <c r="D452" s="2" t="s">
        <v>522</v>
      </c>
      <c r="E452">
        <v>10</v>
      </c>
      <c r="F452" s="2" t="s">
        <v>523</v>
      </c>
      <c r="G452" s="3">
        <v>0</v>
      </c>
      <c r="H452" s="32">
        <v>133</v>
      </c>
      <c r="I452" s="32">
        <v>121</v>
      </c>
      <c r="J452" s="32">
        <v>117</v>
      </c>
      <c r="K452" s="32">
        <v>108</v>
      </c>
      <c r="L452" s="32">
        <v>145</v>
      </c>
      <c r="M452" s="32">
        <v>134</v>
      </c>
      <c r="N452" s="32">
        <v>141</v>
      </c>
      <c r="O452" s="32">
        <v>110</v>
      </c>
      <c r="P452" s="32">
        <v>132</v>
      </c>
      <c r="Q452" s="32">
        <v>97</v>
      </c>
      <c r="R452" s="32">
        <v>116</v>
      </c>
      <c r="S452" s="32">
        <v>82</v>
      </c>
      <c r="T452" s="32">
        <v>147</v>
      </c>
      <c r="U452" s="32">
        <v>119</v>
      </c>
      <c r="V452" s="30">
        <v>0.91898734177215191</v>
      </c>
      <c r="W452" s="30">
        <v>0.74293059125964012</v>
      </c>
      <c r="X452" s="32">
        <v>71597.820000000007</v>
      </c>
      <c r="Y452" s="32">
        <v>46856.25</v>
      </c>
      <c r="Z452" s="32">
        <v>118454.07</v>
      </c>
      <c r="AA452" s="3">
        <f t="shared" si="6"/>
        <v>113216</v>
      </c>
      <c r="AB452" s="3"/>
      <c r="AC452" s="3"/>
      <c r="AF452" s="3"/>
      <c r="AG452" s="3"/>
      <c r="AH452" s="3"/>
    </row>
    <row r="453" spans="1:34" x14ac:dyDescent="0.25">
      <c r="A453">
        <v>5330020</v>
      </c>
      <c r="B453">
        <v>533</v>
      </c>
      <c r="C453" s="2">
        <v>1</v>
      </c>
      <c r="D453" s="2" t="s">
        <v>524</v>
      </c>
      <c r="E453">
        <v>20</v>
      </c>
      <c r="F453" s="2" t="s">
        <v>525</v>
      </c>
      <c r="G453" s="3">
        <v>0</v>
      </c>
      <c r="H453" s="32">
        <v>94</v>
      </c>
      <c r="I453" s="32">
        <v>85</v>
      </c>
      <c r="J453" s="32">
        <v>83</v>
      </c>
      <c r="K453" s="32">
        <v>74</v>
      </c>
      <c r="L453" s="32">
        <v>82</v>
      </c>
      <c r="M453" s="32">
        <v>71</v>
      </c>
      <c r="N453" s="32">
        <v>92</v>
      </c>
      <c r="O453" s="32">
        <v>51</v>
      </c>
      <c r="P453" s="32">
        <v>95</v>
      </c>
      <c r="Q453" s="32">
        <v>77</v>
      </c>
      <c r="R453" s="32">
        <v>86</v>
      </c>
      <c r="S453" s="32">
        <v>65</v>
      </c>
      <c r="T453" s="32">
        <v>87</v>
      </c>
      <c r="U453" s="32">
        <v>89</v>
      </c>
      <c r="V453" s="30">
        <v>0.88803088803088803</v>
      </c>
      <c r="W453" s="30">
        <v>0.706959706959707</v>
      </c>
      <c r="X453" s="32">
        <v>40947.420000000006</v>
      </c>
      <c r="Y453" s="32">
        <v>33347.409999999996</v>
      </c>
      <c r="Z453" s="32">
        <v>74294.83</v>
      </c>
      <c r="AA453" s="3">
        <f t="shared" si="6"/>
        <v>71009.490000000005</v>
      </c>
      <c r="AB453" s="3"/>
      <c r="AC453" s="3"/>
      <c r="AF453" s="3"/>
      <c r="AG453" s="3"/>
      <c r="AH453" s="3"/>
    </row>
    <row r="454" spans="1:34" x14ac:dyDescent="0.25">
      <c r="A454">
        <v>5340010</v>
      </c>
      <c r="B454">
        <v>534</v>
      </c>
      <c r="C454" s="2">
        <v>1</v>
      </c>
      <c r="D454" s="2" t="s">
        <v>526</v>
      </c>
      <c r="E454">
        <v>10</v>
      </c>
      <c r="F454" s="2" t="s">
        <v>110</v>
      </c>
      <c r="G454" s="3">
        <v>0</v>
      </c>
      <c r="H454" s="32">
        <v>0</v>
      </c>
      <c r="I454" s="32">
        <v>0</v>
      </c>
      <c r="J454" s="32">
        <v>0</v>
      </c>
      <c r="K454" s="32">
        <v>0</v>
      </c>
      <c r="L454" s="32">
        <v>0</v>
      </c>
      <c r="M454" s="32">
        <v>0</v>
      </c>
      <c r="N454" s="32">
        <v>119</v>
      </c>
      <c r="O454" s="32">
        <v>72</v>
      </c>
      <c r="P454" s="32">
        <v>141</v>
      </c>
      <c r="Q454" s="32">
        <v>97</v>
      </c>
      <c r="R454" s="32">
        <v>143</v>
      </c>
      <c r="S454" s="32">
        <v>99</v>
      </c>
      <c r="T454" s="32">
        <v>0</v>
      </c>
      <c r="U454" s="32">
        <v>153</v>
      </c>
      <c r="V454" s="30">
        <v>0</v>
      </c>
      <c r="W454" s="30">
        <v>0.66501240694789077</v>
      </c>
      <c r="X454" s="32">
        <v>0</v>
      </c>
      <c r="Y454" s="32">
        <v>53926.38</v>
      </c>
      <c r="Z454" s="32">
        <v>53926.38</v>
      </c>
      <c r="AA454" s="3">
        <f t="shared" si="6"/>
        <v>51541.74</v>
      </c>
      <c r="AB454" s="3"/>
      <c r="AC454" s="3"/>
      <c r="AF454" s="3"/>
      <c r="AG454" s="3"/>
      <c r="AH454" s="3"/>
    </row>
    <row r="455" spans="1:34" x14ac:dyDescent="0.25">
      <c r="A455">
        <v>5340011</v>
      </c>
      <c r="B455">
        <v>534</v>
      </c>
      <c r="C455" s="2">
        <v>1</v>
      </c>
      <c r="D455" s="2" t="s">
        <v>526</v>
      </c>
      <c r="E455">
        <v>11</v>
      </c>
      <c r="F455" s="2" t="s">
        <v>527</v>
      </c>
      <c r="G455" s="3">
        <v>0</v>
      </c>
      <c r="H455" s="32">
        <v>140</v>
      </c>
      <c r="I455" s="32">
        <v>124</v>
      </c>
      <c r="J455" s="32">
        <v>145</v>
      </c>
      <c r="K455" s="32">
        <v>136</v>
      </c>
      <c r="L455" s="32">
        <v>146</v>
      </c>
      <c r="M455" s="32">
        <v>130</v>
      </c>
      <c r="N455" s="32">
        <v>0</v>
      </c>
      <c r="O455" s="32">
        <v>0</v>
      </c>
      <c r="P455" s="32">
        <v>0</v>
      </c>
      <c r="Q455" s="32">
        <v>0</v>
      </c>
      <c r="R455" s="32">
        <v>0</v>
      </c>
      <c r="S455" s="32">
        <v>0</v>
      </c>
      <c r="T455" s="32">
        <v>152</v>
      </c>
      <c r="U455" s="32">
        <v>0</v>
      </c>
      <c r="V455" s="30">
        <v>0.90487238979118334</v>
      </c>
      <c r="W455" s="30">
        <v>0</v>
      </c>
      <c r="X455" s="32">
        <v>72896.160000000003</v>
      </c>
      <c r="Y455" s="32">
        <v>0</v>
      </c>
      <c r="Z455" s="32">
        <v>72896.160000000003</v>
      </c>
      <c r="AA455" s="3">
        <f t="shared" si="6"/>
        <v>69672.67</v>
      </c>
      <c r="AB455" s="3"/>
      <c r="AC455" s="3"/>
      <c r="AF455" s="3"/>
      <c r="AG455" s="3"/>
      <c r="AH455" s="3"/>
    </row>
    <row r="456" spans="1:34" x14ac:dyDescent="0.25">
      <c r="A456">
        <v>5350110</v>
      </c>
      <c r="B456">
        <v>535</v>
      </c>
      <c r="C456" s="2">
        <v>1</v>
      </c>
      <c r="D456" s="2" t="s">
        <v>528</v>
      </c>
      <c r="E456">
        <v>110</v>
      </c>
      <c r="F456" s="2" t="s">
        <v>529</v>
      </c>
      <c r="G456" s="3">
        <v>0</v>
      </c>
      <c r="H456" s="32">
        <v>144</v>
      </c>
      <c r="I456" s="32">
        <v>118</v>
      </c>
      <c r="J456" s="32">
        <v>129</v>
      </c>
      <c r="K456" s="32">
        <v>97</v>
      </c>
      <c r="L456" s="32">
        <v>140</v>
      </c>
      <c r="M456" s="32">
        <v>105</v>
      </c>
      <c r="N456" s="32">
        <v>154</v>
      </c>
      <c r="O456" s="32">
        <v>121</v>
      </c>
      <c r="P456" s="32">
        <v>136</v>
      </c>
      <c r="Q456" s="32">
        <v>98</v>
      </c>
      <c r="R456" s="32">
        <v>118</v>
      </c>
      <c r="S456" s="32">
        <v>107</v>
      </c>
      <c r="T456" s="32">
        <v>150</v>
      </c>
      <c r="U456" s="32">
        <v>135</v>
      </c>
      <c r="V456" s="30">
        <v>0.77481840193704599</v>
      </c>
      <c r="W456" s="30">
        <v>0.7990196078431373</v>
      </c>
      <c r="X456" s="32">
        <v>61597.5</v>
      </c>
      <c r="Y456" s="32">
        <v>57169.8</v>
      </c>
      <c r="Z456" s="32">
        <v>118767.3</v>
      </c>
      <c r="AA456" s="3">
        <f t="shared" si="6"/>
        <v>113515.38</v>
      </c>
      <c r="AB456" s="3"/>
      <c r="AC456" s="3"/>
      <c r="AF456" s="3"/>
      <c r="AG456" s="3"/>
      <c r="AH456" s="3"/>
    </row>
    <row r="457" spans="1:34" x14ac:dyDescent="0.25">
      <c r="A457">
        <v>5350112</v>
      </c>
      <c r="B457">
        <v>535</v>
      </c>
      <c r="C457" s="2">
        <v>1</v>
      </c>
      <c r="D457" s="2" t="s">
        <v>528</v>
      </c>
      <c r="E457">
        <v>112</v>
      </c>
      <c r="F457" s="2" t="s">
        <v>530</v>
      </c>
      <c r="G457" s="3">
        <v>0</v>
      </c>
      <c r="H457" s="32">
        <v>76</v>
      </c>
      <c r="I457" s="32">
        <v>63</v>
      </c>
      <c r="J457" s="32">
        <v>69</v>
      </c>
      <c r="K457" s="32">
        <v>62</v>
      </c>
      <c r="L457" s="32">
        <v>85</v>
      </c>
      <c r="M457" s="32">
        <v>72</v>
      </c>
      <c r="N457" s="32">
        <v>69</v>
      </c>
      <c r="O457" s="32">
        <v>55</v>
      </c>
      <c r="P457" s="32">
        <v>72</v>
      </c>
      <c r="Q457" s="32">
        <v>56</v>
      </c>
      <c r="R457" s="32">
        <v>61</v>
      </c>
      <c r="S457" s="32">
        <v>54</v>
      </c>
      <c r="T457" s="32">
        <v>86</v>
      </c>
      <c r="U457" s="32">
        <v>64</v>
      </c>
      <c r="V457" s="30">
        <v>0.85652173913043483</v>
      </c>
      <c r="W457" s="30">
        <v>0.81683168316831678</v>
      </c>
      <c r="X457" s="32">
        <v>39040.559999999998</v>
      </c>
      <c r="Y457" s="32">
        <v>27706.880000000001</v>
      </c>
      <c r="Z457" s="32">
        <v>66747.44</v>
      </c>
      <c r="AA457" s="3">
        <f t="shared" si="6"/>
        <v>63795.85</v>
      </c>
      <c r="AB457" s="3"/>
      <c r="AC457" s="3"/>
      <c r="AF457" s="3"/>
      <c r="AG457" s="3"/>
      <c r="AH457" s="3"/>
    </row>
    <row r="458" spans="1:34" x14ac:dyDescent="0.25">
      <c r="A458">
        <v>5350120</v>
      </c>
      <c r="B458">
        <v>535</v>
      </c>
      <c r="C458" s="2">
        <v>1</v>
      </c>
      <c r="D458" s="2" t="s">
        <v>528</v>
      </c>
      <c r="E458">
        <v>120</v>
      </c>
      <c r="F458" s="2" t="s">
        <v>531</v>
      </c>
      <c r="G458" s="3">
        <v>0</v>
      </c>
      <c r="H458" s="32">
        <v>66</v>
      </c>
      <c r="I458" s="32">
        <v>46</v>
      </c>
      <c r="J458" s="32">
        <v>80</v>
      </c>
      <c r="K458" s="32">
        <v>59</v>
      </c>
      <c r="L458" s="32">
        <v>83</v>
      </c>
      <c r="M458" s="32">
        <v>58</v>
      </c>
      <c r="N458" s="32">
        <v>64</v>
      </c>
      <c r="O458" s="32">
        <v>49</v>
      </c>
      <c r="P458" s="32">
        <v>49</v>
      </c>
      <c r="Q458" s="32">
        <v>34</v>
      </c>
      <c r="R458" s="32">
        <v>58</v>
      </c>
      <c r="S458" s="32">
        <v>43</v>
      </c>
      <c r="T458" s="32">
        <v>75</v>
      </c>
      <c r="U458" s="32">
        <v>69</v>
      </c>
      <c r="V458" s="30">
        <v>0.71179039301310043</v>
      </c>
      <c r="W458" s="30">
        <v>0.73684210526315785</v>
      </c>
      <c r="X458" s="32">
        <v>28293.75</v>
      </c>
      <c r="Y458" s="32">
        <v>26946.57</v>
      </c>
      <c r="Z458" s="32">
        <v>55240.32</v>
      </c>
      <c r="AA458" s="3">
        <f t="shared" si="6"/>
        <v>52797.58</v>
      </c>
      <c r="AB458" s="3"/>
      <c r="AC458" s="3"/>
      <c r="AF458" s="3"/>
      <c r="AG458" s="3"/>
      <c r="AH458" s="3"/>
    </row>
    <row r="459" spans="1:34" x14ac:dyDescent="0.25">
      <c r="A459">
        <v>5350122</v>
      </c>
      <c r="B459">
        <v>535</v>
      </c>
      <c r="C459" s="2">
        <v>1</v>
      </c>
      <c r="D459" s="2" t="s">
        <v>528</v>
      </c>
      <c r="E459">
        <v>122</v>
      </c>
      <c r="F459" s="2" t="s">
        <v>532</v>
      </c>
      <c r="G459" s="3">
        <v>0</v>
      </c>
      <c r="H459" s="32">
        <v>49</v>
      </c>
      <c r="I459" s="32">
        <v>46</v>
      </c>
      <c r="J459" s="32">
        <v>45</v>
      </c>
      <c r="K459" s="32">
        <v>39</v>
      </c>
      <c r="L459" s="32">
        <v>60</v>
      </c>
      <c r="M459" s="32">
        <v>51</v>
      </c>
      <c r="N459" s="32">
        <v>51</v>
      </c>
      <c r="O459" s="32">
        <v>39</v>
      </c>
      <c r="P459" s="32">
        <v>47</v>
      </c>
      <c r="Q459" s="32">
        <v>40</v>
      </c>
      <c r="R459" s="32">
        <v>40</v>
      </c>
      <c r="S459" s="32">
        <v>28</v>
      </c>
      <c r="T459" s="32">
        <v>59</v>
      </c>
      <c r="U459" s="32">
        <v>46</v>
      </c>
      <c r="V459" s="30">
        <v>0.88311688311688308</v>
      </c>
      <c r="W459" s="30">
        <v>0.77536231884057971</v>
      </c>
      <c r="X459" s="32">
        <v>27614.95</v>
      </c>
      <c r="Y459" s="32">
        <v>18903.240000000002</v>
      </c>
      <c r="Z459" s="32">
        <v>46518.19</v>
      </c>
      <c r="AA459" s="3">
        <f t="shared" si="6"/>
        <v>44461.14</v>
      </c>
      <c r="AB459" s="3"/>
      <c r="AC459" s="3"/>
      <c r="AF459" s="3"/>
      <c r="AG459" s="3"/>
      <c r="AH459" s="3"/>
    </row>
    <row r="460" spans="1:34" x14ac:dyDescent="0.25">
      <c r="A460">
        <v>5350124</v>
      </c>
      <c r="B460">
        <v>535</v>
      </c>
      <c r="C460" s="2">
        <v>1</v>
      </c>
      <c r="D460" s="2" t="s">
        <v>528</v>
      </c>
      <c r="E460">
        <v>124</v>
      </c>
      <c r="F460" s="2" t="s">
        <v>56</v>
      </c>
      <c r="G460" s="3">
        <v>0</v>
      </c>
      <c r="H460" s="32">
        <v>98</v>
      </c>
      <c r="I460" s="32">
        <v>74</v>
      </c>
      <c r="J460" s="32">
        <v>85</v>
      </c>
      <c r="K460" s="32">
        <v>60</v>
      </c>
      <c r="L460" s="32">
        <v>122</v>
      </c>
      <c r="M460" s="32">
        <v>93</v>
      </c>
      <c r="N460" s="32">
        <v>73</v>
      </c>
      <c r="O460" s="32">
        <v>64</v>
      </c>
      <c r="P460" s="32">
        <v>85</v>
      </c>
      <c r="Q460" s="32">
        <v>68</v>
      </c>
      <c r="R460" s="32">
        <v>83</v>
      </c>
      <c r="S460" s="32">
        <v>60</v>
      </c>
      <c r="T460" s="32">
        <v>125</v>
      </c>
      <c r="U460" s="32">
        <v>98</v>
      </c>
      <c r="V460" s="30">
        <v>0.74426229508196717</v>
      </c>
      <c r="W460" s="30">
        <v>0.79668049792531115</v>
      </c>
      <c r="X460" s="32">
        <v>49307.5</v>
      </c>
      <c r="Y460" s="32">
        <v>41379.520000000004</v>
      </c>
      <c r="Z460" s="32">
        <v>90687.02</v>
      </c>
      <c r="AA460" s="3">
        <f t="shared" si="6"/>
        <v>86676.82</v>
      </c>
      <c r="AB460" s="3"/>
      <c r="AC460" s="3"/>
      <c r="AF460" s="3"/>
      <c r="AG460" s="3"/>
      <c r="AH460" s="3"/>
    </row>
    <row r="461" spans="1:34" x14ac:dyDescent="0.25">
      <c r="A461">
        <v>5350125</v>
      </c>
      <c r="B461">
        <v>535</v>
      </c>
      <c r="C461" s="2">
        <v>1</v>
      </c>
      <c r="D461" s="2" t="s">
        <v>528</v>
      </c>
      <c r="E461">
        <v>125</v>
      </c>
      <c r="F461" s="2" t="s">
        <v>533</v>
      </c>
      <c r="G461" s="3">
        <v>0</v>
      </c>
      <c r="H461" s="32">
        <v>28</v>
      </c>
      <c r="I461" s="32">
        <v>23</v>
      </c>
      <c r="J461" s="32">
        <v>33</v>
      </c>
      <c r="K461" s="32">
        <v>31</v>
      </c>
      <c r="L461" s="32">
        <v>36</v>
      </c>
      <c r="M461" s="32">
        <v>33</v>
      </c>
      <c r="N461" s="32">
        <v>33</v>
      </c>
      <c r="O461" s="32">
        <v>22</v>
      </c>
      <c r="P461" s="32">
        <v>24</v>
      </c>
      <c r="Q461" s="32">
        <v>20</v>
      </c>
      <c r="R461" s="32">
        <v>32</v>
      </c>
      <c r="S461" s="32">
        <v>29</v>
      </c>
      <c r="T461" s="32">
        <v>36</v>
      </c>
      <c r="U461" s="32">
        <v>33</v>
      </c>
      <c r="V461" s="30">
        <v>0.89690721649484539</v>
      </c>
      <c r="W461" s="30">
        <v>0.797752808988764</v>
      </c>
      <c r="X461" s="32">
        <v>17112.96</v>
      </c>
      <c r="Y461" s="32">
        <v>13952.73</v>
      </c>
      <c r="Z461" s="32">
        <v>31065.69</v>
      </c>
      <c r="AA461" s="3">
        <f t="shared" si="6"/>
        <v>29691.96</v>
      </c>
      <c r="AB461" s="3"/>
      <c r="AC461" s="3"/>
      <c r="AF461" s="3"/>
      <c r="AG461" s="3"/>
      <c r="AH461" s="3"/>
    </row>
    <row r="462" spans="1:34" x14ac:dyDescent="0.25">
      <c r="A462">
        <v>5350126</v>
      </c>
      <c r="B462">
        <v>535</v>
      </c>
      <c r="C462" s="2">
        <v>1</v>
      </c>
      <c r="D462" s="2" t="s">
        <v>528</v>
      </c>
      <c r="E462">
        <v>126</v>
      </c>
      <c r="F462" s="2" t="s">
        <v>534</v>
      </c>
      <c r="G462" s="3">
        <v>0</v>
      </c>
      <c r="H462" s="32">
        <v>89</v>
      </c>
      <c r="I462" s="32">
        <v>58</v>
      </c>
      <c r="J462" s="32">
        <v>98</v>
      </c>
      <c r="K462" s="32">
        <v>75</v>
      </c>
      <c r="L462" s="32">
        <v>76</v>
      </c>
      <c r="M462" s="32">
        <v>58</v>
      </c>
      <c r="N462" s="32">
        <v>89</v>
      </c>
      <c r="O462" s="32">
        <v>66</v>
      </c>
      <c r="P462" s="32">
        <v>70</v>
      </c>
      <c r="Q462" s="32">
        <v>56</v>
      </c>
      <c r="R462" s="32">
        <v>88</v>
      </c>
      <c r="S462" s="32">
        <v>66</v>
      </c>
      <c r="T462" s="32">
        <v>73</v>
      </c>
      <c r="U462" s="32">
        <v>106</v>
      </c>
      <c r="V462" s="30">
        <v>0.72623574144486691</v>
      </c>
      <c r="W462" s="30">
        <v>0.76113360323886636</v>
      </c>
      <c r="X462" s="32">
        <v>28097.699999999997</v>
      </c>
      <c r="Y462" s="32">
        <v>42760.399999999994</v>
      </c>
      <c r="Z462" s="32">
        <v>70858.099999999991</v>
      </c>
      <c r="AA462" s="3">
        <f t="shared" si="6"/>
        <v>67724.740000000005</v>
      </c>
      <c r="AB462" s="3"/>
      <c r="AC462" s="3"/>
      <c r="AF462" s="3"/>
      <c r="AG462" s="3"/>
      <c r="AH462" s="3"/>
    </row>
    <row r="463" spans="1:34" x14ac:dyDescent="0.25">
      <c r="A463">
        <v>5350129</v>
      </c>
      <c r="B463">
        <v>535</v>
      </c>
      <c r="C463" s="2">
        <v>1</v>
      </c>
      <c r="D463" s="2" t="s">
        <v>528</v>
      </c>
      <c r="E463">
        <v>129</v>
      </c>
      <c r="F463" s="2" t="s">
        <v>535</v>
      </c>
      <c r="G463" s="3">
        <v>0</v>
      </c>
      <c r="H463" s="32">
        <v>110</v>
      </c>
      <c r="I463" s="32">
        <v>94</v>
      </c>
      <c r="J463" s="32">
        <v>115</v>
      </c>
      <c r="K463" s="32">
        <v>94</v>
      </c>
      <c r="L463" s="32">
        <v>123</v>
      </c>
      <c r="M463" s="32">
        <v>115</v>
      </c>
      <c r="N463" s="32">
        <v>97</v>
      </c>
      <c r="O463" s="32">
        <v>83</v>
      </c>
      <c r="P463" s="32">
        <v>106</v>
      </c>
      <c r="Q463" s="32">
        <v>92</v>
      </c>
      <c r="R463" s="32">
        <v>113</v>
      </c>
      <c r="S463" s="32">
        <v>101</v>
      </c>
      <c r="T463" s="32">
        <v>128</v>
      </c>
      <c r="U463" s="32">
        <v>122</v>
      </c>
      <c r="V463" s="30">
        <v>0.87068965517241381</v>
      </c>
      <c r="W463" s="30">
        <v>0.87341772151898733</v>
      </c>
      <c r="X463" s="32">
        <v>59068.160000000003</v>
      </c>
      <c r="Y463" s="32">
        <v>56475.020000000004</v>
      </c>
      <c r="Z463" s="32">
        <v>115543.18000000001</v>
      </c>
      <c r="AA463" s="3">
        <f t="shared" ref="AA463:AA526" si="7">ROUND(Z463*AA$10,2)</f>
        <v>110433.83</v>
      </c>
      <c r="AB463" s="3"/>
      <c r="AC463" s="3"/>
      <c r="AF463" s="3"/>
      <c r="AG463" s="3"/>
      <c r="AH463" s="3"/>
    </row>
    <row r="464" spans="1:34" x14ac:dyDescent="0.25">
      <c r="A464">
        <v>5350134</v>
      </c>
      <c r="B464">
        <v>535</v>
      </c>
      <c r="C464" s="2">
        <v>1</v>
      </c>
      <c r="D464" s="2" t="s">
        <v>528</v>
      </c>
      <c r="E464">
        <v>134</v>
      </c>
      <c r="F464" s="2" t="s">
        <v>58</v>
      </c>
      <c r="G464" s="3">
        <v>0</v>
      </c>
      <c r="H464" s="32">
        <v>57</v>
      </c>
      <c r="I464" s="32">
        <v>51</v>
      </c>
      <c r="J464" s="32">
        <v>82</v>
      </c>
      <c r="K464" s="32">
        <v>71</v>
      </c>
      <c r="L464" s="32">
        <v>82</v>
      </c>
      <c r="M464" s="32">
        <v>73</v>
      </c>
      <c r="N464" s="32">
        <v>74</v>
      </c>
      <c r="O464" s="32">
        <v>53</v>
      </c>
      <c r="P464" s="32">
        <v>58</v>
      </c>
      <c r="Q464" s="32">
        <v>45</v>
      </c>
      <c r="R464" s="32">
        <v>77</v>
      </c>
      <c r="S464" s="32">
        <v>59</v>
      </c>
      <c r="T464" s="32">
        <v>81</v>
      </c>
      <c r="U464" s="32">
        <v>89</v>
      </c>
      <c r="V464" s="30">
        <v>0.88235294117647056</v>
      </c>
      <c r="W464" s="30">
        <v>0.75119617224880386</v>
      </c>
      <c r="X464" s="32">
        <v>37879.65</v>
      </c>
      <c r="Y464" s="32">
        <v>35433.57</v>
      </c>
      <c r="Z464" s="32">
        <v>73313.22</v>
      </c>
      <c r="AA464" s="3">
        <f t="shared" si="7"/>
        <v>70071.289999999994</v>
      </c>
      <c r="AB464" s="3"/>
      <c r="AC464" s="3"/>
      <c r="AF464" s="3"/>
      <c r="AG464" s="3"/>
      <c r="AH464" s="3"/>
    </row>
    <row r="465" spans="1:34" x14ac:dyDescent="0.25">
      <c r="A465">
        <v>5350136</v>
      </c>
      <c r="B465">
        <v>535</v>
      </c>
      <c r="C465" s="2">
        <v>1</v>
      </c>
      <c r="D465" s="2" t="s">
        <v>528</v>
      </c>
      <c r="E465">
        <v>136</v>
      </c>
      <c r="F465" s="2" t="s">
        <v>28</v>
      </c>
      <c r="G465" s="3">
        <v>0</v>
      </c>
      <c r="H465" s="32">
        <v>73</v>
      </c>
      <c r="I465" s="32">
        <v>59</v>
      </c>
      <c r="J465" s="32">
        <v>71</v>
      </c>
      <c r="K465" s="32">
        <v>48</v>
      </c>
      <c r="L465" s="32">
        <v>81</v>
      </c>
      <c r="M465" s="32">
        <v>66</v>
      </c>
      <c r="N465" s="32">
        <v>56</v>
      </c>
      <c r="O465" s="32">
        <v>51</v>
      </c>
      <c r="P465" s="32">
        <v>69</v>
      </c>
      <c r="Q465" s="32">
        <v>48</v>
      </c>
      <c r="R465" s="32">
        <v>66</v>
      </c>
      <c r="S465" s="32">
        <v>55</v>
      </c>
      <c r="T465" s="32">
        <v>82</v>
      </c>
      <c r="U465" s="32">
        <v>75</v>
      </c>
      <c r="V465" s="30">
        <v>0.76888888888888884</v>
      </c>
      <c r="W465" s="30">
        <v>0.80628272251308897</v>
      </c>
      <c r="X465" s="32">
        <v>33415.82</v>
      </c>
      <c r="Y465" s="32">
        <v>32049.75</v>
      </c>
      <c r="Z465" s="32">
        <v>65465.57</v>
      </c>
      <c r="AA465" s="3">
        <f t="shared" si="7"/>
        <v>62570.67</v>
      </c>
      <c r="AB465" s="3"/>
      <c r="AC465" s="3"/>
      <c r="AF465" s="3"/>
      <c r="AG465" s="3"/>
      <c r="AH465" s="3"/>
    </row>
    <row r="466" spans="1:34" x14ac:dyDescent="0.25">
      <c r="A466">
        <v>5350138</v>
      </c>
      <c r="B466">
        <v>535</v>
      </c>
      <c r="C466" s="2">
        <v>1</v>
      </c>
      <c r="D466" s="2" t="s">
        <v>528</v>
      </c>
      <c r="E466">
        <v>138</v>
      </c>
      <c r="F466" s="2" t="s">
        <v>536</v>
      </c>
      <c r="G466" s="3">
        <v>0</v>
      </c>
      <c r="H466" s="32">
        <v>43</v>
      </c>
      <c r="I466" s="32">
        <v>37</v>
      </c>
      <c r="J466" s="32">
        <v>49</v>
      </c>
      <c r="K466" s="32">
        <v>46</v>
      </c>
      <c r="L466" s="32">
        <v>52</v>
      </c>
      <c r="M466" s="32">
        <v>45</v>
      </c>
      <c r="N466" s="32">
        <v>48</v>
      </c>
      <c r="O466" s="32">
        <v>37</v>
      </c>
      <c r="P466" s="32">
        <v>43</v>
      </c>
      <c r="Q466" s="32">
        <v>36</v>
      </c>
      <c r="R466" s="32">
        <v>48</v>
      </c>
      <c r="S466" s="32">
        <v>39</v>
      </c>
      <c r="T466" s="32">
        <v>51</v>
      </c>
      <c r="U466" s="32">
        <v>49</v>
      </c>
      <c r="V466" s="30">
        <v>0.88888888888888884</v>
      </c>
      <c r="W466" s="30">
        <v>0.80575539568345322</v>
      </c>
      <c r="X466" s="32">
        <v>24026.61</v>
      </c>
      <c r="Y466" s="32">
        <v>20925.45</v>
      </c>
      <c r="Z466" s="32">
        <v>44952.06</v>
      </c>
      <c r="AA466" s="3">
        <f t="shared" si="7"/>
        <v>42964.27</v>
      </c>
      <c r="AB466" s="3"/>
      <c r="AC466" s="3"/>
      <c r="AF466" s="3"/>
      <c r="AG466" s="3"/>
      <c r="AH466" s="3"/>
    </row>
    <row r="467" spans="1:34" x14ac:dyDescent="0.25">
      <c r="A467">
        <v>5350140</v>
      </c>
      <c r="B467">
        <v>535</v>
      </c>
      <c r="C467" s="2">
        <v>1</v>
      </c>
      <c r="D467" s="2" t="s">
        <v>528</v>
      </c>
      <c r="E467">
        <v>140</v>
      </c>
      <c r="F467" s="2" t="s">
        <v>537</v>
      </c>
      <c r="G467" s="3">
        <v>0</v>
      </c>
      <c r="H467" s="32">
        <v>44</v>
      </c>
      <c r="I467" s="32">
        <v>33</v>
      </c>
      <c r="J467" s="32">
        <v>44</v>
      </c>
      <c r="K467" s="32">
        <v>32</v>
      </c>
      <c r="L467" s="32">
        <v>37</v>
      </c>
      <c r="M467" s="32">
        <v>29</v>
      </c>
      <c r="N467" s="32">
        <v>39</v>
      </c>
      <c r="O467" s="32">
        <v>25</v>
      </c>
      <c r="P467" s="32">
        <v>42</v>
      </c>
      <c r="Q467" s="32">
        <v>35</v>
      </c>
      <c r="R467" s="32">
        <v>39</v>
      </c>
      <c r="S467" s="32">
        <v>33</v>
      </c>
      <c r="T467" s="32">
        <v>37</v>
      </c>
      <c r="U467" s="32">
        <v>43</v>
      </c>
      <c r="V467" s="30">
        <v>0.752</v>
      </c>
      <c r="W467" s="30">
        <v>0.77500000000000002</v>
      </c>
      <c r="X467" s="32">
        <v>14746.72</v>
      </c>
      <c r="Y467" s="32">
        <v>17662.25</v>
      </c>
      <c r="Z467" s="32">
        <v>32408.97</v>
      </c>
      <c r="AA467" s="3">
        <f t="shared" si="7"/>
        <v>30975.84</v>
      </c>
      <c r="AB467" s="3"/>
      <c r="AC467" s="3"/>
      <c r="AF467" s="3"/>
      <c r="AG467" s="3"/>
      <c r="AH467" s="3"/>
    </row>
    <row r="468" spans="1:34" x14ac:dyDescent="0.25">
      <c r="A468">
        <v>5350146</v>
      </c>
      <c r="B468">
        <v>535</v>
      </c>
      <c r="C468" s="2">
        <v>1</v>
      </c>
      <c r="D468" s="2" t="s">
        <v>528</v>
      </c>
      <c r="E468">
        <v>146</v>
      </c>
      <c r="F468" s="2" t="s">
        <v>250</v>
      </c>
      <c r="G468" s="3">
        <v>0</v>
      </c>
      <c r="H468" s="32">
        <v>38</v>
      </c>
      <c r="I468" s="32">
        <v>28</v>
      </c>
      <c r="J468" s="32">
        <v>42</v>
      </c>
      <c r="K468" s="32">
        <v>35</v>
      </c>
      <c r="L468" s="32">
        <v>47</v>
      </c>
      <c r="M468" s="32">
        <v>37</v>
      </c>
      <c r="N468" s="32">
        <v>31</v>
      </c>
      <c r="O468" s="32">
        <v>23</v>
      </c>
      <c r="P468" s="32">
        <v>33</v>
      </c>
      <c r="Q468" s="32">
        <v>24</v>
      </c>
      <c r="R468" s="32">
        <v>43</v>
      </c>
      <c r="S468" s="32">
        <v>35</v>
      </c>
      <c r="T468" s="32">
        <v>46</v>
      </c>
      <c r="U468" s="32">
        <v>46</v>
      </c>
      <c r="V468" s="30">
        <v>0.78740157480314965</v>
      </c>
      <c r="W468" s="30">
        <v>0.76635514018691586</v>
      </c>
      <c r="X468" s="32">
        <v>19196.72</v>
      </c>
      <c r="Y468" s="32">
        <v>18683.82</v>
      </c>
      <c r="Z468" s="32">
        <v>37880.54</v>
      </c>
      <c r="AA468" s="3">
        <f t="shared" si="7"/>
        <v>36205.449999999997</v>
      </c>
      <c r="AB468" s="3"/>
      <c r="AC468" s="3"/>
      <c r="AF468" s="3"/>
      <c r="AG468" s="3"/>
      <c r="AH468" s="3"/>
    </row>
    <row r="469" spans="1:34" x14ac:dyDescent="0.25">
      <c r="A469">
        <v>5350147</v>
      </c>
      <c r="B469">
        <v>535</v>
      </c>
      <c r="C469" s="2">
        <v>1</v>
      </c>
      <c r="D469" s="2" t="s">
        <v>528</v>
      </c>
      <c r="E469">
        <v>147</v>
      </c>
      <c r="F469" s="2" t="s">
        <v>538</v>
      </c>
      <c r="G469" s="3">
        <v>0</v>
      </c>
      <c r="H469" s="32">
        <v>91</v>
      </c>
      <c r="I469" s="32">
        <v>62</v>
      </c>
      <c r="J469" s="32">
        <v>66</v>
      </c>
      <c r="K469" s="32">
        <v>44</v>
      </c>
      <c r="L469" s="32">
        <v>78</v>
      </c>
      <c r="M469" s="32">
        <v>48</v>
      </c>
      <c r="N469" s="32">
        <v>68</v>
      </c>
      <c r="O469" s="32">
        <v>54</v>
      </c>
      <c r="P469" s="32">
        <v>69</v>
      </c>
      <c r="Q469" s="32">
        <v>50</v>
      </c>
      <c r="R469" s="32">
        <v>54</v>
      </c>
      <c r="S469" s="32">
        <v>38</v>
      </c>
      <c r="T469" s="32">
        <v>98</v>
      </c>
      <c r="U469" s="32">
        <v>71</v>
      </c>
      <c r="V469" s="30">
        <v>0.65531914893617016</v>
      </c>
      <c r="W469" s="30">
        <v>0.74345549738219896</v>
      </c>
      <c r="X469" s="32">
        <v>34037.360000000001</v>
      </c>
      <c r="Y469" s="32">
        <v>27976.129999999997</v>
      </c>
      <c r="Z469" s="32">
        <v>62013.49</v>
      </c>
      <c r="AA469" s="3">
        <f t="shared" si="7"/>
        <v>59271.24</v>
      </c>
      <c r="AB469" s="3"/>
      <c r="AC469" s="3"/>
      <c r="AF469" s="3"/>
      <c r="AG469" s="3"/>
      <c r="AH469" s="3"/>
    </row>
    <row r="470" spans="1:34" x14ac:dyDescent="0.25">
      <c r="A470">
        <v>5350150</v>
      </c>
      <c r="B470">
        <v>535</v>
      </c>
      <c r="C470" s="2">
        <v>1</v>
      </c>
      <c r="D470" s="2" t="s">
        <v>528</v>
      </c>
      <c r="E470">
        <v>150</v>
      </c>
      <c r="F470" s="2" t="s">
        <v>539</v>
      </c>
      <c r="G470" s="3">
        <v>0</v>
      </c>
      <c r="H470" s="32">
        <v>103</v>
      </c>
      <c r="I470" s="32">
        <v>87</v>
      </c>
      <c r="J470" s="32">
        <v>102</v>
      </c>
      <c r="K470" s="32">
        <v>86</v>
      </c>
      <c r="L470" s="32">
        <v>135</v>
      </c>
      <c r="M470" s="32">
        <v>112</v>
      </c>
      <c r="N470" s="32">
        <v>68</v>
      </c>
      <c r="O470" s="32">
        <v>55</v>
      </c>
      <c r="P470" s="32">
        <v>103</v>
      </c>
      <c r="Q470" s="32">
        <v>79</v>
      </c>
      <c r="R470" s="32">
        <v>94</v>
      </c>
      <c r="S470" s="32">
        <v>75</v>
      </c>
      <c r="T470" s="32">
        <v>133</v>
      </c>
      <c r="U470" s="32">
        <v>106</v>
      </c>
      <c r="V470" s="30">
        <v>0.83823529411764708</v>
      </c>
      <c r="W470" s="30">
        <v>0.78867924528301891</v>
      </c>
      <c r="X470" s="32">
        <v>59086.58</v>
      </c>
      <c r="Y470" s="32">
        <v>44308</v>
      </c>
      <c r="Z470" s="32">
        <v>103394.58</v>
      </c>
      <c r="AA470" s="3">
        <f t="shared" si="7"/>
        <v>98822.45</v>
      </c>
      <c r="AB470" s="3"/>
      <c r="AC470" s="3"/>
      <c r="AF470" s="3"/>
      <c r="AG470" s="3"/>
      <c r="AH470" s="3"/>
    </row>
    <row r="471" spans="1:34" x14ac:dyDescent="0.25">
      <c r="A471" s="7">
        <v>5350152</v>
      </c>
      <c r="B471" s="7">
        <v>535</v>
      </c>
      <c r="C471" s="7">
        <v>1</v>
      </c>
      <c r="D471" s="7" t="s">
        <v>528</v>
      </c>
      <c r="E471" s="7">
        <v>152</v>
      </c>
      <c r="F471" s="7" t="s">
        <v>71</v>
      </c>
      <c r="G471" s="3">
        <v>0</v>
      </c>
      <c r="H471" s="32">
        <v>57</v>
      </c>
      <c r="I471" s="32">
        <v>54</v>
      </c>
      <c r="J471" s="32">
        <v>55</v>
      </c>
      <c r="K471" s="32">
        <v>52</v>
      </c>
      <c r="L471" s="32">
        <v>63</v>
      </c>
      <c r="M471" s="32">
        <v>57</v>
      </c>
      <c r="N471" s="32">
        <v>58</v>
      </c>
      <c r="O471" s="32">
        <v>55</v>
      </c>
      <c r="P471" s="32">
        <v>54</v>
      </c>
      <c r="Q471" s="32">
        <v>50</v>
      </c>
      <c r="R471" s="32">
        <v>54</v>
      </c>
      <c r="S471" s="32">
        <v>52</v>
      </c>
      <c r="T471" s="32">
        <v>62</v>
      </c>
      <c r="U471" s="32">
        <v>55</v>
      </c>
      <c r="V471" s="30">
        <v>0.93142857142857138</v>
      </c>
      <c r="W471" s="30">
        <v>0.94578313253012047</v>
      </c>
      <c r="X471" s="32">
        <v>30606.920000000002</v>
      </c>
      <c r="Y471" s="32">
        <v>27569.85</v>
      </c>
      <c r="Z471" s="32">
        <v>58176.770000000004</v>
      </c>
      <c r="AA471" s="3">
        <f t="shared" si="7"/>
        <v>55604.18</v>
      </c>
      <c r="AB471" s="3"/>
      <c r="AC471" s="3"/>
      <c r="AF471" s="3"/>
      <c r="AG471" s="3"/>
      <c r="AH471" s="3"/>
    </row>
    <row r="472" spans="1:34" x14ac:dyDescent="0.25">
      <c r="A472">
        <v>5420010</v>
      </c>
      <c r="B472">
        <v>542</v>
      </c>
      <c r="C472" s="2">
        <v>1</v>
      </c>
      <c r="D472" s="2" t="s">
        <v>540</v>
      </c>
      <c r="E472">
        <v>10</v>
      </c>
      <c r="F472" s="2" t="s">
        <v>541</v>
      </c>
      <c r="G472" s="3">
        <v>0</v>
      </c>
      <c r="H472" s="32">
        <v>44</v>
      </c>
      <c r="I472" s="32">
        <v>41</v>
      </c>
      <c r="J472" s="32">
        <v>28</v>
      </c>
      <c r="K472" s="32">
        <v>24</v>
      </c>
      <c r="L472" s="32">
        <v>31</v>
      </c>
      <c r="M472" s="32">
        <v>26</v>
      </c>
      <c r="N472" s="32">
        <v>34</v>
      </c>
      <c r="O472" s="32">
        <v>23</v>
      </c>
      <c r="P472" s="32">
        <v>42</v>
      </c>
      <c r="Q472" s="32">
        <v>28</v>
      </c>
      <c r="R472" s="32">
        <v>29</v>
      </c>
      <c r="S472" s="32">
        <v>24</v>
      </c>
      <c r="T472" s="32">
        <v>33</v>
      </c>
      <c r="U472" s="32">
        <v>29</v>
      </c>
      <c r="V472" s="30">
        <v>0.88349514563106801</v>
      </c>
      <c r="W472" s="30">
        <v>0.7142857142857143</v>
      </c>
      <c r="X472" s="32">
        <v>15452.25</v>
      </c>
      <c r="Y472" s="32">
        <v>10978.53</v>
      </c>
      <c r="Z472" s="32">
        <v>26430.78</v>
      </c>
      <c r="AA472" s="3">
        <f t="shared" si="7"/>
        <v>25262</v>
      </c>
      <c r="AB472" s="3"/>
      <c r="AC472" s="3"/>
      <c r="AF472" s="3"/>
      <c r="AG472" s="3"/>
      <c r="AH472" s="3"/>
    </row>
    <row r="473" spans="1:34" x14ac:dyDescent="0.25">
      <c r="A473">
        <v>5440140</v>
      </c>
      <c r="B473">
        <v>544</v>
      </c>
      <c r="C473" s="2">
        <v>1</v>
      </c>
      <c r="D473" s="2" t="s">
        <v>542</v>
      </c>
      <c r="E473">
        <v>140</v>
      </c>
      <c r="F473" s="2" t="s">
        <v>446</v>
      </c>
      <c r="G473" s="3">
        <v>0</v>
      </c>
      <c r="H473" s="32">
        <v>148</v>
      </c>
      <c r="I473" s="32">
        <v>127</v>
      </c>
      <c r="J473" s="32">
        <v>148</v>
      </c>
      <c r="K473" s="32">
        <v>118</v>
      </c>
      <c r="L473" s="32">
        <v>122</v>
      </c>
      <c r="M473" s="32">
        <v>108</v>
      </c>
      <c r="N473" s="32">
        <v>142</v>
      </c>
      <c r="O473" s="32">
        <v>100</v>
      </c>
      <c r="P473" s="32">
        <v>134</v>
      </c>
      <c r="Q473" s="32">
        <v>111</v>
      </c>
      <c r="R473" s="32">
        <v>135</v>
      </c>
      <c r="S473" s="32">
        <v>109</v>
      </c>
      <c r="T473" s="32">
        <v>131</v>
      </c>
      <c r="U473" s="32">
        <v>151</v>
      </c>
      <c r="V473" s="30">
        <v>0.84449760765550241</v>
      </c>
      <c r="W473" s="30">
        <v>0.77858880778588813</v>
      </c>
      <c r="X473" s="32">
        <v>58632.979999999996</v>
      </c>
      <c r="Y473" s="32">
        <v>62310.149999999994</v>
      </c>
      <c r="Z473" s="32">
        <v>120943.12999999999</v>
      </c>
      <c r="AA473" s="3">
        <f t="shared" si="7"/>
        <v>115595</v>
      </c>
      <c r="AB473" s="3"/>
      <c r="AC473" s="3"/>
      <c r="AF473" s="3"/>
      <c r="AG473" s="3"/>
      <c r="AH473" s="3"/>
    </row>
    <row r="474" spans="1:34" x14ac:dyDescent="0.25">
      <c r="A474">
        <v>5440180</v>
      </c>
      <c r="B474">
        <v>544</v>
      </c>
      <c r="C474" s="2">
        <v>1</v>
      </c>
      <c r="D474" s="2" t="s">
        <v>542</v>
      </c>
      <c r="E474">
        <v>180</v>
      </c>
      <c r="F474" s="2" t="s">
        <v>63</v>
      </c>
      <c r="G474" s="3">
        <v>0</v>
      </c>
      <c r="H474" s="32">
        <v>0</v>
      </c>
      <c r="I474" s="32">
        <v>0</v>
      </c>
      <c r="J474" s="32">
        <v>0</v>
      </c>
      <c r="K474" s="32">
        <v>0</v>
      </c>
      <c r="L474" s="32">
        <v>0</v>
      </c>
      <c r="M474" s="32">
        <v>0</v>
      </c>
      <c r="N474" s="32">
        <v>0</v>
      </c>
      <c r="O474" s="32">
        <v>0</v>
      </c>
      <c r="P474" s="32">
        <v>0</v>
      </c>
      <c r="Q474" s="32">
        <v>0</v>
      </c>
      <c r="R474" s="32">
        <v>0</v>
      </c>
      <c r="S474" s="32">
        <v>0</v>
      </c>
      <c r="T474" s="32">
        <v>0</v>
      </c>
      <c r="U474" s="32">
        <v>0</v>
      </c>
      <c r="V474" s="30">
        <v>0</v>
      </c>
      <c r="W474" s="30">
        <v>0</v>
      </c>
      <c r="X474" s="32">
        <v>0</v>
      </c>
      <c r="Y474" s="32">
        <v>0</v>
      </c>
      <c r="Z474" s="32">
        <v>0</v>
      </c>
      <c r="AA474" s="3">
        <f t="shared" si="7"/>
        <v>0</v>
      </c>
      <c r="AB474" s="3"/>
      <c r="AC474" s="3"/>
      <c r="AF474" s="3"/>
      <c r="AG474" s="3"/>
      <c r="AH474" s="3"/>
    </row>
    <row r="475" spans="1:34" x14ac:dyDescent="0.25">
      <c r="A475">
        <v>5450010</v>
      </c>
      <c r="B475">
        <v>545</v>
      </c>
      <c r="C475" s="2">
        <v>1</v>
      </c>
      <c r="D475" s="2" t="s">
        <v>543</v>
      </c>
      <c r="E475">
        <v>10</v>
      </c>
      <c r="F475" s="2" t="s">
        <v>544</v>
      </c>
      <c r="G475" s="3">
        <v>0</v>
      </c>
      <c r="H475" s="32">
        <v>30</v>
      </c>
      <c r="I475" s="32">
        <v>28</v>
      </c>
      <c r="J475" s="32">
        <v>33</v>
      </c>
      <c r="K475" s="32">
        <v>32</v>
      </c>
      <c r="L475" s="32">
        <v>29</v>
      </c>
      <c r="M475" s="32">
        <v>23</v>
      </c>
      <c r="N475" s="32">
        <v>26</v>
      </c>
      <c r="O475" s="32">
        <v>17</v>
      </c>
      <c r="P475" s="32">
        <v>30</v>
      </c>
      <c r="Q475" s="32">
        <v>22</v>
      </c>
      <c r="R475" s="32">
        <v>34</v>
      </c>
      <c r="S475" s="32">
        <v>30</v>
      </c>
      <c r="T475" s="32">
        <v>29</v>
      </c>
      <c r="U475" s="32">
        <v>34</v>
      </c>
      <c r="V475" s="30">
        <v>0.90217391304347827</v>
      </c>
      <c r="W475" s="30">
        <v>0.76666666666666672</v>
      </c>
      <c r="X475" s="32">
        <v>13866.349999999999</v>
      </c>
      <c r="Y475" s="32">
        <v>13815.22</v>
      </c>
      <c r="Z475" s="32">
        <v>27681.57</v>
      </c>
      <c r="AA475" s="3">
        <f t="shared" si="7"/>
        <v>26457.48</v>
      </c>
      <c r="AB475" s="3"/>
      <c r="AC475" s="3"/>
      <c r="AF475" s="3"/>
      <c r="AG475" s="3"/>
      <c r="AH475" s="3"/>
    </row>
    <row r="476" spans="1:34" x14ac:dyDescent="0.25">
      <c r="A476">
        <v>5470010</v>
      </c>
      <c r="B476">
        <v>547</v>
      </c>
      <c r="C476" s="2">
        <v>1</v>
      </c>
      <c r="D476" s="2" t="s">
        <v>545</v>
      </c>
      <c r="E476">
        <v>10</v>
      </c>
      <c r="F476" s="2" t="s">
        <v>546</v>
      </c>
      <c r="G476" s="3">
        <v>0</v>
      </c>
      <c r="H476" s="32">
        <v>31</v>
      </c>
      <c r="I476" s="32">
        <v>23</v>
      </c>
      <c r="J476" s="32">
        <v>36</v>
      </c>
      <c r="K476" s="32">
        <v>24</v>
      </c>
      <c r="L476" s="32">
        <v>40</v>
      </c>
      <c r="M476" s="32">
        <v>32</v>
      </c>
      <c r="N476" s="32">
        <v>37</v>
      </c>
      <c r="O476" s="32">
        <v>31</v>
      </c>
      <c r="P476" s="32">
        <v>27</v>
      </c>
      <c r="Q476" s="32">
        <v>24</v>
      </c>
      <c r="R476" s="32">
        <v>34</v>
      </c>
      <c r="S476" s="32">
        <v>27</v>
      </c>
      <c r="T476" s="32">
        <v>38</v>
      </c>
      <c r="U476" s="32">
        <v>37</v>
      </c>
      <c r="V476" s="30">
        <v>0.73831775700934577</v>
      </c>
      <c r="W476" s="30">
        <v>0.83673469387755106</v>
      </c>
      <c r="X476" s="32">
        <v>14869.78</v>
      </c>
      <c r="Y476" s="32">
        <v>16408.39</v>
      </c>
      <c r="Z476" s="32">
        <v>31278.17</v>
      </c>
      <c r="AA476" s="3">
        <f t="shared" si="7"/>
        <v>29895.040000000001</v>
      </c>
      <c r="AB476" s="3"/>
      <c r="AC476" s="3"/>
      <c r="AF476" s="3"/>
      <c r="AG476" s="3"/>
      <c r="AH476" s="3"/>
    </row>
    <row r="477" spans="1:34" x14ac:dyDescent="0.25">
      <c r="A477">
        <v>5480010</v>
      </c>
      <c r="B477">
        <v>548</v>
      </c>
      <c r="C477" s="2">
        <v>1</v>
      </c>
      <c r="D477" s="2" t="s">
        <v>547</v>
      </c>
      <c r="E477">
        <v>10</v>
      </c>
      <c r="F477" s="2" t="s">
        <v>548</v>
      </c>
      <c r="G477" s="3">
        <v>0</v>
      </c>
      <c r="H477" s="32">
        <v>60</v>
      </c>
      <c r="I477" s="32">
        <v>33</v>
      </c>
      <c r="J477" s="32">
        <v>63</v>
      </c>
      <c r="K477" s="32">
        <v>39</v>
      </c>
      <c r="L477" s="32">
        <v>65</v>
      </c>
      <c r="M477" s="32">
        <v>46</v>
      </c>
      <c r="N477" s="32">
        <v>64</v>
      </c>
      <c r="O477" s="32">
        <v>51</v>
      </c>
      <c r="P477" s="32">
        <v>56</v>
      </c>
      <c r="Q477" s="32">
        <v>48</v>
      </c>
      <c r="R477" s="32">
        <v>60</v>
      </c>
      <c r="S477" s="32">
        <v>49</v>
      </c>
      <c r="T477" s="32">
        <v>67</v>
      </c>
      <c r="U477" s="32">
        <v>63</v>
      </c>
      <c r="V477" s="30">
        <v>0.62765957446808507</v>
      </c>
      <c r="W477" s="30">
        <v>0.82222222222222219</v>
      </c>
      <c r="X477" s="32">
        <v>22288.22</v>
      </c>
      <c r="Y477" s="32">
        <v>27454.14</v>
      </c>
      <c r="Z477" s="32">
        <v>49742.36</v>
      </c>
      <c r="AA477" s="3">
        <f t="shared" si="7"/>
        <v>47542.74</v>
      </c>
      <c r="AB477" s="3"/>
      <c r="AC477" s="3"/>
      <c r="AF477" s="3"/>
      <c r="AG477" s="3"/>
      <c r="AH477" s="3"/>
    </row>
    <row r="478" spans="1:34" x14ac:dyDescent="0.25">
      <c r="A478">
        <v>5490010</v>
      </c>
      <c r="B478">
        <v>549</v>
      </c>
      <c r="C478">
        <v>1</v>
      </c>
      <c r="D478" t="s">
        <v>549</v>
      </c>
      <c r="E478">
        <v>10</v>
      </c>
      <c r="F478" t="s">
        <v>550</v>
      </c>
      <c r="G478" s="3">
        <v>0</v>
      </c>
      <c r="H478" s="32">
        <v>86</v>
      </c>
      <c r="I478" s="32">
        <v>67</v>
      </c>
      <c r="J478" s="32">
        <v>80</v>
      </c>
      <c r="K478" s="32">
        <v>55</v>
      </c>
      <c r="L478" s="32">
        <v>87</v>
      </c>
      <c r="M478" s="32">
        <v>73</v>
      </c>
      <c r="N478" s="32">
        <v>83</v>
      </c>
      <c r="O478" s="32">
        <v>56</v>
      </c>
      <c r="P478" s="32">
        <v>79</v>
      </c>
      <c r="Q478" s="32">
        <v>64</v>
      </c>
      <c r="R478" s="32">
        <v>81</v>
      </c>
      <c r="S478" s="32">
        <v>75</v>
      </c>
      <c r="T478" s="32">
        <v>87</v>
      </c>
      <c r="U478" s="32">
        <v>88</v>
      </c>
      <c r="V478" s="30">
        <v>0.77075098814229248</v>
      </c>
      <c r="W478" s="30">
        <v>0.80246913580246915</v>
      </c>
      <c r="X478" s="32">
        <v>35539.5</v>
      </c>
      <c r="Y478" s="32">
        <v>37427.279999999999</v>
      </c>
      <c r="Z478" s="32">
        <v>72966.78</v>
      </c>
      <c r="AA478" s="3">
        <f t="shared" si="7"/>
        <v>69740.17</v>
      </c>
      <c r="AB478" s="3"/>
      <c r="AC478" s="3"/>
      <c r="AF478" s="3"/>
      <c r="AG478" s="3"/>
      <c r="AH478" s="3"/>
    </row>
    <row r="479" spans="1:34" x14ac:dyDescent="0.25">
      <c r="A479">
        <v>5500010</v>
      </c>
      <c r="B479">
        <v>550</v>
      </c>
      <c r="C479" s="2">
        <v>1</v>
      </c>
      <c r="D479" s="2" t="s">
        <v>551</v>
      </c>
      <c r="E479">
        <v>10</v>
      </c>
      <c r="F479" s="2" t="s">
        <v>552</v>
      </c>
      <c r="G479" s="3">
        <v>0</v>
      </c>
      <c r="H479" s="32">
        <v>33</v>
      </c>
      <c r="I479" s="32">
        <v>29</v>
      </c>
      <c r="J479" s="32">
        <v>49</v>
      </c>
      <c r="K479" s="32">
        <v>37</v>
      </c>
      <c r="L479" s="32">
        <v>50</v>
      </c>
      <c r="M479" s="32">
        <v>45</v>
      </c>
      <c r="N479" s="32">
        <v>33</v>
      </c>
      <c r="O479" s="32">
        <v>17</v>
      </c>
      <c r="P479" s="32">
        <v>35</v>
      </c>
      <c r="Q479" s="32">
        <v>21</v>
      </c>
      <c r="R479" s="32">
        <v>49</v>
      </c>
      <c r="S479" s="32">
        <v>32</v>
      </c>
      <c r="T479" s="32">
        <v>48</v>
      </c>
      <c r="U479" s="32">
        <v>51</v>
      </c>
      <c r="V479" s="30">
        <v>0.84090909090909094</v>
      </c>
      <c r="W479" s="30">
        <v>0.59829059829059827</v>
      </c>
      <c r="X479" s="32">
        <v>21392.639999999999</v>
      </c>
      <c r="Y479" s="32">
        <v>16171.589999999998</v>
      </c>
      <c r="Z479" s="32">
        <v>37564.229999999996</v>
      </c>
      <c r="AA479" s="3">
        <f t="shared" si="7"/>
        <v>35903.129999999997</v>
      </c>
      <c r="AB479" s="3"/>
      <c r="AC479" s="3"/>
      <c r="AF479" s="3"/>
      <c r="AG479" s="3"/>
      <c r="AH479" s="3"/>
    </row>
    <row r="480" spans="1:34" x14ac:dyDescent="0.25">
      <c r="A480">
        <v>5530010</v>
      </c>
      <c r="B480">
        <v>553</v>
      </c>
      <c r="C480" s="2">
        <v>1</v>
      </c>
      <c r="D480" s="2" t="s">
        <v>553</v>
      </c>
      <c r="E480">
        <v>10</v>
      </c>
      <c r="F480" s="2" t="s">
        <v>554</v>
      </c>
      <c r="G480" s="3">
        <v>0</v>
      </c>
      <c r="H480" s="32">
        <v>47</v>
      </c>
      <c r="I480" s="32">
        <v>33</v>
      </c>
      <c r="J480" s="32">
        <v>54</v>
      </c>
      <c r="K480" s="32">
        <v>38</v>
      </c>
      <c r="L480" s="32">
        <v>56</v>
      </c>
      <c r="M480" s="32">
        <v>51</v>
      </c>
      <c r="N480" s="32">
        <v>51</v>
      </c>
      <c r="O480" s="32">
        <v>20</v>
      </c>
      <c r="P480" s="32">
        <v>47</v>
      </c>
      <c r="Q480" s="32">
        <v>40</v>
      </c>
      <c r="R480" s="32">
        <v>43</v>
      </c>
      <c r="S480" s="32">
        <v>32</v>
      </c>
      <c r="T480" s="32">
        <v>56</v>
      </c>
      <c r="U480" s="32">
        <v>47</v>
      </c>
      <c r="V480" s="30">
        <v>0.77707006369426757</v>
      </c>
      <c r="W480" s="30">
        <v>0.65248226950354615</v>
      </c>
      <c r="X480" s="32">
        <v>23063.600000000002</v>
      </c>
      <c r="Y480" s="32">
        <v>16253.539999999999</v>
      </c>
      <c r="Z480" s="32">
        <v>39317.14</v>
      </c>
      <c r="AA480" s="3">
        <f t="shared" si="7"/>
        <v>37578.53</v>
      </c>
      <c r="AB480" s="3"/>
      <c r="AC480" s="3"/>
      <c r="AF480" s="3"/>
      <c r="AG480" s="3"/>
      <c r="AH480" s="3"/>
    </row>
    <row r="481" spans="1:34" x14ac:dyDescent="0.25">
      <c r="A481">
        <v>5610010</v>
      </c>
      <c r="B481">
        <v>561</v>
      </c>
      <c r="C481" s="2">
        <v>1</v>
      </c>
      <c r="D481" s="2" t="s">
        <v>1201</v>
      </c>
      <c r="E481">
        <v>10</v>
      </c>
      <c r="F481" s="2" t="s">
        <v>1202</v>
      </c>
      <c r="G481" s="3">
        <v>1</v>
      </c>
      <c r="H481" s="32" t="s">
        <v>1328</v>
      </c>
      <c r="I481" s="32" t="s">
        <v>1328</v>
      </c>
      <c r="J481" s="32" t="s">
        <v>1328</v>
      </c>
      <c r="K481" s="32" t="s">
        <v>1328</v>
      </c>
      <c r="L481" s="32" t="s">
        <v>1328</v>
      </c>
      <c r="M481" s="32" t="s">
        <v>1328</v>
      </c>
      <c r="N481" s="32" t="s">
        <v>1328</v>
      </c>
      <c r="O481" s="32" t="s">
        <v>1328</v>
      </c>
      <c r="P481" s="32" t="s">
        <v>1328</v>
      </c>
      <c r="Q481" s="32" t="s">
        <v>1328</v>
      </c>
      <c r="R481" s="32" t="s">
        <v>1328</v>
      </c>
      <c r="S481" s="32" t="s">
        <v>1328</v>
      </c>
      <c r="T481" s="32">
        <v>19</v>
      </c>
      <c r="U481" s="32">
        <v>17</v>
      </c>
      <c r="V481" s="30" t="s">
        <v>1328</v>
      </c>
      <c r="W481" s="30" t="s">
        <v>1328</v>
      </c>
      <c r="X481" s="32" t="s">
        <v>1328</v>
      </c>
      <c r="Y481" s="32" t="s">
        <v>1328</v>
      </c>
      <c r="Z481" s="32">
        <v>15162.74</v>
      </c>
      <c r="AA481" s="3">
        <f t="shared" si="7"/>
        <v>14492.24</v>
      </c>
      <c r="AB481" s="3"/>
      <c r="AC481" s="3"/>
      <c r="AF481" s="3"/>
      <c r="AG481" s="3"/>
      <c r="AH481" s="3"/>
    </row>
    <row r="482" spans="1:34" x14ac:dyDescent="0.25">
      <c r="A482">
        <v>5640031</v>
      </c>
      <c r="B482">
        <v>564</v>
      </c>
      <c r="C482" s="2">
        <v>1</v>
      </c>
      <c r="D482" s="2" t="s">
        <v>555</v>
      </c>
      <c r="E482">
        <v>31</v>
      </c>
      <c r="F482" s="2" t="s">
        <v>556</v>
      </c>
      <c r="G482" s="3">
        <v>0</v>
      </c>
      <c r="H482" s="32">
        <v>130</v>
      </c>
      <c r="I482" s="32">
        <v>104</v>
      </c>
      <c r="J482" s="32">
        <v>112</v>
      </c>
      <c r="K482" s="32">
        <v>90</v>
      </c>
      <c r="L482" s="32">
        <v>138</v>
      </c>
      <c r="M482" s="32">
        <v>106</v>
      </c>
      <c r="N482" s="32">
        <v>125</v>
      </c>
      <c r="O482" s="32">
        <v>89</v>
      </c>
      <c r="P482" s="32">
        <v>130</v>
      </c>
      <c r="Q482" s="32">
        <v>91</v>
      </c>
      <c r="R482" s="32">
        <v>102</v>
      </c>
      <c r="S482" s="32">
        <v>73</v>
      </c>
      <c r="T482" s="32">
        <v>138</v>
      </c>
      <c r="U482" s="32">
        <v>111</v>
      </c>
      <c r="V482" s="30">
        <v>0.78947368421052633</v>
      </c>
      <c r="W482" s="30">
        <v>0.70868347338935578</v>
      </c>
      <c r="X482" s="32">
        <v>57741.96</v>
      </c>
      <c r="Y482" s="32">
        <v>41691.600000000006</v>
      </c>
      <c r="Z482" s="32">
        <v>99433.56</v>
      </c>
      <c r="AA482" s="3">
        <f t="shared" si="7"/>
        <v>95036.58</v>
      </c>
      <c r="AB482" s="3"/>
      <c r="AC482" s="3"/>
      <c r="AF482" s="3"/>
      <c r="AG482" s="3"/>
      <c r="AH482" s="3"/>
    </row>
    <row r="483" spans="1:34" x14ac:dyDescent="0.25">
      <c r="A483">
        <v>5770030</v>
      </c>
      <c r="B483">
        <v>577</v>
      </c>
      <c r="C483">
        <v>1</v>
      </c>
      <c r="D483" t="s">
        <v>557</v>
      </c>
      <c r="E483">
        <v>30</v>
      </c>
      <c r="F483" t="s">
        <v>558</v>
      </c>
      <c r="G483" s="3">
        <v>0</v>
      </c>
      <c r="H483" s="32">
        <v>42</v>
      </c>
      <c r="I483" s="32">
        <v>30</v>
      </c>
      <c r="J483" s="32">
        <v>24</v>
      </c>
      <c r="K483" s="32">
        <v>22</v>
      </c>
      <c r="L483" s="32">
        <v>34</v>
      </c>
      <c r="M483" s="32">
        <v>25</v>
      </c>
      <c r="N483" s="32">
        <v>26</v>
      </c>
      <c r="O483" s="32">
        <v>14</v>
      </c>
      <c r="P483" s="32">
        <v>40</v>
      </c>
      <c r="Q483" s="32">
        <v>28</v>
      </c>
      <c r="R483" s="32">
        <v>24</v>
      </c>
      <c r="S483" s="32">
        <v>16</v>
      </c>
      <c r="T483" s="32">
        <v>34</v>
      </c>
      <c r="U483" s="32">
        <v>26</v>
      </c>
      <c r="V483" s="30">
        <v>0.77</v>
      </c>
      <c r="W483" s="30">
        <v>0.64444444444444449</v>
      </c>
      <c r="X483" s="32">
        <v>13875.400000000001</v>
      </c>
      <c r="Y483" s="32">
        <v>8880.56</v>
      </c>
      <c r="Z483" s="32">
        <v>22755.96</v>
      </c>
      <c r="AA483" s="3">
        <f t="shared" si="7"/>
        <v>21749.69</v>
      </c>
      <c r="AB483" s="3"/>
      <c r="AC483" s="3"/>
      <c r="AF483" s="3"/>
      <c r="AG483" s="3"/>
      <c r="AH483" s="3"/>
    </row>
    <row r="484" spans="1:34" x14ac:dyDescent="0.25">
      <c r="A484">
        <v>5780010</v>
      </c>
      <c r="B484">
        <v>578</v>
      </c>
      <c r="C484" s="2">
        <v>1</v>
      </c>
      <c r="D484" s="2" t="s">
        <v>559</v>
      </c>
      <c r="E484">
        <v>10</v>
      </c>
      <c r="F484" s="2" t="s">
        <v>560</v>
      </c>
      <c r="G484" s="3">
        <v>0</v>
      </c>
      <c r="H484" s="32">
        <v>131</v>
      </c>
      <c r="I484" s="32">
        <v>111</v>
      </c>
      <c r="J484" s="32">
        <v>111</v>
      </c>
      <c r="K484" s="32">
        <v>94</v>
      </c>
      <c r="L484" s="32">
        <v>127</v>
      </c>
      <c r="M484" s="32">
        <v>106</v>
      </c>
      <c r="N484" s="32">
        <v>109</v>
      </c>
      <c r="O484" s="32">
        <v>83</v>
      </c>
      <c r="P484" s="32">
        <v>121</v>
      </c>
      <c r="Q484" s="32">
        <v>74</v>
      </c>
      <c r="R484" s="32">
        <v>115</v>
      </c>
      <c r="S484" s="32">
        <v>71</v>
      </c>
      <c r="T484" s="32">
        <v>129</v>
      </c>
      <c r="U484" s="32">
        <v>120</v>
      </c>
      <c r="V484" s="30">
        <v>0.84281842818428188</v>
      </c>
      <c r="W484" s="30">
        <v>0.66086956521739126</v>
      </c>
      <c r="X484" s="32">
        <v>57623.01</v>
      </c>
      <c r="Y484" s="32">
        <v>42031.199999999997</v>
      </c>
      <c r="Z484" s="32">
        <v>99654.209999999992</v>
      </c>
      <c r="AA484" s="3">
        <f t="shared" si="7"/>
        <v>95247.48</v>
      </c>
      <c r="AB484" s="3"/>
      <c r="AC484" s="3"/>
      <c r="AF484" s="3"/>
      <c r="AG484" s="3"/>
      <c r="AH484" s="3"/>
    </row>
    <row r="485" spans="1:34" x14ac:dyDescent="0.25">
      <c r="A485">
        <v>5780050</v>
      </c>
      <c r="B485">
        <v>578</v>
      </c>
      <c r="C485" s="2">
        <v>1</v>
      </c>
      <c r="D485" s="2" t="s">
        <v>1367</v>
      </c>
      <c r="E485">
        <v>50</v>
      </c>
      <c r="F485" s="2" t="s">
        <v>1368</v>
      </c>
      <c r="G485" s="3">
        <v>1</v>
      </c>
      <c r="H485" s="32" t="s">
        <v>1328</v>
      </c>
      <c r="I485" s="32" t="s">
        <v>1328</v>
      </c>
      <c r="J485" s="32" t="s">
        <v>1328</v>
      </c>
      <c r="K485" s="32" t="s">
        <v>1328</v>
      </c>
      <c r="L485" s="32" t="s">
        <v>1328</v>
      </c>
      <c r="M485" s="32" t="s">
        <v>1328</v>
      </c>
      <c r="N485" s="32" t="s">
        <v>1328</v>
      </c>
      <c r="O485" s="32" t="s">
        <v>1328</v>
      </c>
      <c r="P485" s="32" t="s">
        <v>1328</v>
      </c>
      <c r="Q485" s="32" t="s">
        <v>1328</v>
      </c>
      <c r="R485" s="32" t="s">
        <v>1328</v>
      </c>
      <c r="S485" s="32" t="s">
        <v>1328</v>
      </c>
      <c r="T485" s="32">
        <v>0</v>
      </c>
      <c r="U485" s="32">
        <v>2</v>
      </c>
      <c r="V485" s="30" t="s">
        <v>1328</v>
      </c>
      <c r="W485" s="30" t="s">
        <v>1328</v>
      </c>
      <c r="X485" s="32" t="s">
        <v>1328</v>
      </c>
      <c r="Y485" s="32" t="s">
        <v>1328</v>
      </c>
      <c r="Z485" s="32">
        <v>0</v>
      </c>
      <c r="AA485" s="3">
        <f t="shared" si="7"/>
        <v>0</v>
      </c>
      <c r="AB485" s="3"/>
      <c r="AC485" s="3"/>
      <c r="AF485" s="3"/>
      <c r="AG485" s="3"/>
      <c r="AH485" s="3"/>
    </row>
    <row r="486" spans="1:34" x14ac:dyDescent="0.25">
      <c r="A486">
        <v>5810020</v>
      </c>
      <c r="B486">
        <v>581</v>
      </c>
      <c r="C486" s="2">
        <v>1</v>
      </c>
      <c r="D486" s="2" t="s">
        <v>561</v>
      </c>
      <c r="E486">
        <v>20</v>
      </c>
      <c r="F486" s="2" t="s">
        <v>562</v>
      </c>
      <c r="G486" s="3">
        <v>0</v>
      </c>
      <c r="H486" s="32">
        <v>21</v>
      </c>
      <c r="I486" s="32">
        <v>16</v>
      </c>
      <c r="J486" s="32">
        <v>21</v>
      </c>
      <c r="K486" s="32">
        <v>14</v>
      </c>
      <c r="L486" s="32">
        <v>25</v>
      </c>
      <c r="M486" s="32">
        <v>21</v>
      </c>
      <c r="N486" s="32">
        <v>20</v>
      </c>
      <c r="O486" s="32">
        <v>9</v>
      </c>
      <c r="P486" s="32">
        <v>19</v>
      </c>
      <c r="Q486" s="32">
        <v>12</v>
      </c>
      <c r="R486" s="32">
        <v>18</v>
      </c>
      <c r="S486" s="32">
        <v>16</v>
      </c>
      <c r="T486" s="32">
        <v>26</v>
      </c>
      <c r="U486" s="32">
        <v>21</v>
      </c>
      <c r="V486" s="30">
        <v>0.76119402985074625</v>
      </c>
      <c r="W486" s="30">
        <v>0.64912280701754388</v>
      </c>
      <c r="X486" s="32">
        <v>10489.18</v>
      </c>
      <c r="Y486" s="32">
        <v>7224.84</v>
      </c>
      <c r="Z486" s="32">
        <v>17714.02</v>
      </c>
      <c r="AA486" s="3">
        <f t="shared" si="7"/>
        <v>16930.7</v>
      </c>
      <c r="AB486" s="3"/>
      <c r="AC486" s="3"/>
      <c r="AF486" s="3"/>
      <c r="AG486" s="3"/>
      <c r="AH486" s="3"/>
    </row>
    <row r="487" spans="1:34" x14ac:dyDescent="0.25">
      <c r="A487">
        <v>5920010</v>
      </c>
      <c r="B487">
        <v>592</v>
      </c>
      <c r="C487" s="2">
        <v>1</v>
      </c>
      <c r="D487" s="2" t="s">
        <v>1203</v>
      </c>
      <c r="E487">
        <v>10</v>
      </c>
      <c r="F487" s="2" t="s">
        <v>1204</v>
      </c>
      <c r="G487" s="3">
        <v>1</v>
      </c>
      <c r="H487" s="32" t="s">
        <v>1328</v>
      </c>
      <c r="I487" s="32" t="s">
        <v>1328</v>
      </c>
      <c r="J487" s="32" t="s">
        <v>1328</v>
      </c>
      <c r="K487" s="32" t="s">
        <v>1328</v>
      </c>
      <c r="L487" s="32" t="s">
        <v>1328</v>
      </c>
      <c r="M487" s="32" t="s">
        <v>1328</v>
      </c>
      <c r="N487" s="32" t="s">
        <v>1328</v>
      </c>
      <c r="O487" s="32" t="s">
        <v>1328</v>
      </c>
      <c r="P487" s="32" t="s">
        <v>1328</v>
      </c>
      <c r="Q487" s="32" t="s">
        <v>1328</v>
      </c>
      <c r="R487" s="32" t="s">
        <v>1328</v>
      </c>
      <c r="S487" s="32" t="s">
        <v>1328</v>
      </c>
      <c r="T487" s="32">
        <v>10</v>
      </c>
      <c r="U487" s="32">
        <v>13</v>
      </c>
      <c r="V487" s="30" t="s">
        <v>1328</v>
      </c>
      <c r="W487" s="30" t="s">
        <v>1328</v>
      </c>
      <c r="X487" s="32" t="s">
        <v>1328</v>
      </c>
      <c r="Y487" s="32" t="s">
        <v>1328</v>
      </c>
      <c r="Z487" s="32">
        <v>9005.4599999999991</v>
      </c>
      <c r="AA487" s="3">
        <f t="shared" si="7"/>
        <v>8607.24</v>
      </c>
      <c r="AB487" s="3"/>
      <c r="AC487" s="3"/>
      <c r="AF487" s="3"/>
      <c r="AG487" s="3"/>
      <c r="AH487" s="3"/>
    </row>
    <row r="488" spans="1:34" x14ac:dyDescent="0.25">
      <c r="A488">
        <v>5930080</v>
      </c>
      <c r="B488">
        <v>593</v>
      </c>
      <c r="C488" s="2">
        <v>1</v>
      </c>
      <c r="D488" s="2" t="s">
        <v>563</v>
      </c>
      <c r="E488">
        <v>80</v>
      </c>
      <c r="F488" s="2" t="s">
        <v>87</v>
      </c>
      <c r="G488" s="3">
        <v>0</v>
      </c>
      <c r="H488" s="32">
        <v>87</v>
      </c>
      <c r="I488" s="32">
        <v>70</v>
      </c>
      <c r="J488" s="32">
        <v>91</v>
      </c>
      <c r="K488" s="32">
        <v>74</v>
      </c>
      <c r="L488" s="32">
        <v>84</v>
      </c>
      <c r="M488" s="32">
        <v>70</v>
      </c>
      <c r="N488" s="32">
        <v>71</v>
      </c>
      <c r="O488" s="32">
        <v>45</v>
      </c>
      <c r="P488" s="32">
        <v>82</v>
      </c>
      <c r="Q488" s="32">
        <v>54</v>
      </c>
      <c r="R488" s="32">
        <v>85</v>
      </c>
      <c r="S488" s="32">
        <v>67</v>
      </c>
      <c r="T488" s="32">
        <v>86</v>
      </c>
      <c r="U488" s="32">
        <v>96</v>
      </c>
      <c r="V488" s="30">
        <v>0.81679389312977102</v>
      </c>
      <c r="W488" s="30">
        <v>0.69747899159663862</v>
      </c>
      <c r="X488" s="32">
        <v>37229.4</v>
      </c>
      <c r="Y488" s="32">
        <v>35487.360000000001</v>
      </c>
      <c r="Z488" s="32">
        <v>72716.760000000009</v>
      </c>
      <c r="AA488" s="3">
        <f t="shared" si="7"/>
        <v>69501.210000000006</v>
      </c>
      <c r="AB488" s="3"/>
      <c r="AC488" s="3"/>
      <c r="AF488" s="3"/>
      <c r="AG488" s="3"/>
      <c r="AH488" s="3"/>
    </row>
    <row r="489" spans="1:34" x14ac:dyDescent="0.25">
      <c r="A489">
        <v>5950110</v>
      </c>
      <c r="B489">
        <v>595</v>
      </c>
      <c r="C489">
        <v>1</v>
      </c>
      <c r="D489" t="s">
        <v>564</v>
      </c>
      <c r="E489">
        <v>110</v>
      </c>
      <c r="F489" t="s">
        <v>565</v>
      </c>
      <c r="G489" s="3">
        <v>0</v>
      </c>
      <c r="H489" s="32">
        <v>140</v>
      </c>
      <c r="I489" s="32">
        <v>110</v>
      </c>
      <c r="J489" s="32">
        <v>115</v>
      </c>
      <c r="K489" s="32">
        <v>91</v>
      </c>
      <c r="L489" s="32">
        <v>135</v>
      </c>
      <c r="M489" s="32">
        <v>109</v>
      </c>
      <c r="N489" s="32">
        <v>113</v>
      </c>
      <c r="O489" s="32">
        <v>71</v>
      </c>
      <c r="P489" s="32">
        <v>127</v>
      </c>
      <c r="Q489" s="32">
        <v>87</v>
      </c>
      <c r="R489" s="32">
        <v>111</v>
      </c>
      <c r="S489" s="32">
        <v>83</v>
      </c>
      <c r="T489" s="32">
        <v>133</v>
      </c>
      <c r="U489" s="32">
        <v>119</v>
      </c>
      <c r="V489" s="30">
        <v>0.79487179487179482</v>
      </c>
      <c r="W489" s="30">
        <v>0.68660968660968658</v>
      </c>
      <c r="X489" s="32">
        <v>56030.239999999998</v>
      </c>
      <c r="Y489" s="32">
        <v>43304.1</v>
      </c>
      <c r="Z489" s="32">
        <v>99334.34</v>
      </c>
      <c r="AA489" s="3">
        <f t="shared" si="7"/>
        <v>94941.75</v>
      </c>
      <c r="AB489" s="3"/>
      <c r="AC489" s="3"/>
      <c r="AF489" s="3"/>
      <c r="AG489" s="3"/>
      <c r="AH489" s="3"/>
    </row>
    <row r="490" spans="1:34" x14ac:dyDescent="0.25">
      <c r="A490">
        <v>5990010</v>
      </c>
      <c r="B490">
        <v>599</v>
      </c>
      <c r="C490" s="2">
        <v>1</v>
      </c>
      <c r="D490" s="2" t="s">
        <v>566</v>
      </c>
      <c r="E490">
        <v>10</v>
      </c>
      <c r="F490" s="2" t="s">
        <v>567</v>
      </c>
      <c r="G490" s="3">
        <v>0</v>
      </c>
      <c r="H490" s="32">
        <v>33</v>
      </c>
      <c r="I490" s="32">
        <v>26</v>
      </c>
      <c r="J490" s="32">
        <v>37</v>
      </c>
      <c r="K490" s="32">
        <v>26</v>
      </c>
      <c r="L490" s="32">
        <v>26</v>
      </c>
      <c r="M490" s="32">
        <v>20</v>
      </c>
      <c r="N490" s="32">
        <v>28</v>
      </c>
      <c r="O490" s="32">
        <v>26</v>
      </c>
      <c r="P490" s="32">
        <v>32</v>
      </c>
      <c r="Q490" s="32">
        <v>26</v>
      </c>
      <c r="R490" s="32">
        <v>38</v>
      </c>
      <c r="S490" s="32">
        <v>31</v>
      </c>
      <c r="T490" s="32">
        <v>26</v>
      </c>
      <c r="U490" s="32">
        <v>39</v>
      </c>
      <c r="V490" s="30">
        <v>0.75</v>
      </c>
      <c r="W490" s="30">
        <v>0.84693877551020413</v>
      </c>
      <c r="X490" s="32">
        <v>10335</v>
      </c>
      <c r="Y490" s="32">
        <v>17506.32</v>
      </c>
      <c r="Z490" s="32">
        <v>27841.32</v>
      </c>
      <c r="AA490" s="3">
        <f t="shared" si="7"/>
        <v>26610.17</v>
      </c>
      <c r="AB490" s="3"/>
      <c r="AC490" s="3"/>
      <c r="AF490" s="3"/>
      <c r="AG490" s="3"/>
      <c r="AH490" s="3"/>
    </row>
    <row r="491" spans="1:34" x14ac:dyDescent="0.25">
      <c r="A491">
        <v>6000001</v>
      </c>
      <c r="B491">
        <v>600</v>
      </c>
      <c r="C491" s="2">
        <v>1</v>
      </c>
      <c r="D491" s="2" t="s">
        <v>568</v>
      </c>
      <c r="E491">
        <v>1</v>
      </c>
      <c r="F491" s="2" t="s">
        <v>569</v>
      </c>
      <c r="G491" s="3">
        <v>0</v>
      </c>
      <c r="H491" s="32">
        <v>17</v>
      </c>
      <c r="I491" s="32">
        <v>16</v>
      </c>
      <c r="J491" s="32">
        <v>18</v>
      </c>
      <c r="K491" s="32">
        <v>14</v>
      </c>
      <c r="L491" s="32">
        <v>14</v>
      </c>
      <c r="M491" s="32">
        <v>13</v>
      </c>
      <c r="N491" s="32">
        <v>16</v>
      </c>
      <c r="O491" s="32">
        <v>12</v>
      </c>
      <c r="P491" s="32">
        <v>15</v>
      </c>
      <c r="Q491" s="32">
        <v>8</v>
      </c>
      <c r="R491" s="32">
        <v>14</v>
      </c>
      <c r="S491" s="32">
        <v>11</v>
      </c>
      <c r="T491" s="32">
        <v>15</v>
      </c>
      <c r="U491" s="32">
        <v>20</v>
      </c>
      <c r="V491" s="30">
        <v>0.87755102040816324</v>
      </c>
      <c r="W491" s="30">
        <v>0.68888888888888888</v>
      </c>
      <c r="X491" s="32">
        <v>6976.5</v>
      </c>
      <c r="Y491" s="32">
        <v>7302.2000000000007</v>
      </c>
      <c r="Z491" s="32">
        <v>14278.7</v>
      </c>
      <c r="AA491" s="3">
        <f t="shared" si="7"/>
        <v>13647.29</v>
      </c>
      <c r="AB491" s="3"/>
      <c r="AC491" s="3"/>
      <c r="AF491" s="3"/>
      <c r="AG491" s="3"/>
      <c r="AH491" s="3"/>
    </row>
    <row r="492" spans="1:34" x14ac:dyDescent="0.25">
      <c r="A492">
        <v>6010010</v>
      </c>
      <c r="B492">
        <v>601</v>
      </c>
      <c r="C492" s="2">
        <v>1</v>
      </c>
      <c r="D492" s="2" t="s">
        <v>570</v>
      </c>
      <c r="E492">
        <v>10</v>
      </c>
      <c r="F492" s="2" t="s">
        <v>571</v>
      </c>
      <c r="G492" s="3">
        <v>0</v>
      </c>
      <c r="H492" s="32">
        <v>51</v>
      </c>
      <c r="I492" s="32">
        <v>43</v>
      </c>
      <c r="J492" s="32">
        <v>48</v>
      </c>
      <c r="K492" s="32">
        <v>38</v>
      </c>
      <c r="L492" s="32">
        <v>50</v>
      </c>
      <c r="M492" s="32">
        <v>42</v>
      </c>
      <c r="N492" s="32">
        <v>49</v>
      </c>
      <c r="O492" s="32">
        <v>38</v>
      </c>
      <c r="P492" s="32">
        <v>46</v>
      </c>
      <c r="Q492" s="32">
        <v>45</v>
      </c>
      <c r="R492" s="32">
        <v>47</v>
      </c>
      <c r="S492" s="32">
        <v>37</v>
      </c>
      <c r="T492" s="32">
        <v>50</v>
      </c>
      <c r="U492" s="32">
        <v>49</v>
      </c>
      <c r="V492" s="30">
        <v>0.82550335570469802</v>
      </c>
      <c r="W492" s="30">
        <v>0.84507042253521125</v>
      </c>
      <c r="X492" s="32">
        <v>21876</v>
      </c>
      <c r="Y492" s="32">
        <v>21946.61</v>
      </c>
      <c r="Z492" s="32">
        <v>43822.61</v>
      </c>
      <c r="AA492" s="3">
        <f t="shared" si="7"/>
        <v>41884.76</v>
      </c>
      <c r="AB492" s="3"/>
      <c r="AC492" s="3"/>
      <c r="AF492" s="3"/>
      <c r="AG492" s="3"/>
      <c r="AH492" s="3"/>
    </row>
    <row r="493" spans="1:34" x14ac:dyDescent="0.25">
      <c r="A493">
        <v>6110010</v>
      </c>
      <c r="B493">
        <v>611</v>
      </c>
      <c r="C493" s="2">
        <v>1</v>
      </c>
      <c r="D493" s="2" t="s">
        <v>1205</v>
      </c>
      <c r="E493">
        <v>10</v>
      </c>
      <c r="F493" s="2" t="s">
        <v>1206</v>
      </c>
      <c r="G493" s="3">
        <v>1</v>
      </c>
      <c r="H493" s="32" t="s">
        <v>1328</v>
      </c>
      <c r="I493" s="32" t="s">
        <v>1328</v>
      </c>
      <c r="J493" s="32" t="s">
        <v>1328</v>
      </c>
      <c r="K493" s="32" t="s">
        <v>1328</v>
      </c>
      <c r="L493" s="32" t="s">
        <v>1328</v>
      </c>
      <c r="M493" s="32" t="s">
        <v>1328</v>
      </c>
      <c r="N493" s="32" t="s">
        <v>1328</v>
      </c>
      <c r="O493" s="32" t="s">
        <v>1328</v>
      </c>
      <c r="P493" s="32" t="s">
        <v>1328</v>
      </c>
      <c r="Q493" s="32" t="s">
        <v>1328</v>
      </c>
      <c r="R493" s="32" t="s">
        <v>1328</v>
      </c>
      <c r="S493" s="32" t="s">
        <v>1328</v>
      </c>
      <c r="T493" s="32">
        <v>4</v>
      </c>
      <c r="U493" s="32">
        <v>3</v>
      </c>
      <c r="V493" s="30" t="s">
        <v>1328</v>
      </c>
      <c r="W493" s="30" t="s">
        <v>1328</v>
      </c>
      <c r="X493" s="32" t="s">
        <v>1328</v>
      </c>
      <c r="Y493" s="32" t="s">
        <v>1328</v>
      </c>
      <c r="Z493" s="32">
        <v>3255.71</v>
      </c>
      <c r="AA493" s="3">
        <f t="shared" si="7"/>
        <v>3111.74</v>
      </c>
      <c r="AB493" s="3"/>
      <c r="AC493" s="3"/>
      <c r="AF493" s="3"/>
      <c r="AG493" s="3"/>
      <c r="AH493" s="3"/>
    </row>
    <row r="494" spans="1:34" x14ac:dyDescent="0.25">
      <c r="A494">
        <v>6210025</v>
      </c>
      <c r="B494">
        <v>621</v>
      </c>
      <c r="C494" s="2">
        <v>1</v>
      </c>
      <c r="D494" s="2" t="s">
        <v>572</v>
      </c>
      <c r="E494">
        <v>25</v>
      </c>
      <c r="F494" s="2" t="s">
        <v>573</v>
      </c>
      <c r="G494" s="3">
        <v>0</v>
      </c>
      <c r="H494" s="32">
        <v>105</v>
      </c>
      <c r="I494" s="32">
        <v>81</v>
      </c>
      <c r="J494" s="32">
        <v>125</v>
      </c>
      <c r="K494" s="32">
        <v>104</v>
      </c>
      <c r="L494" s="32">
        <v>110</v>
      </c>
      <c r="M494" s="32">
        <v>101</v>
      </c>
      <c r="N494" s="32">
        <v>93</v>
      </c>
      <c r="O494" s="32">
        <v>67</v>
      </c>
      <c r="P494" s="32">
        <v>99</v>
      </c>
      <c r="Q494" s="32">
        <v>84</v>
      </c>
      <c r="R494" s="32">
        <v>124</v>
      </c>
      <c r="S494" s="32">
        <v>106</v>
      </c>
      <c r="T494" s="32">
        <v>114</v>
      </c>
      <c r="U494" s="32">
        <v>141</v>
      </c>
      <c r="V494" s="30">
        <v>0.8411764705882353</v>
      </c>
      <c r="W494" s="30">
        <v>0.81329113924050633</v>
      </c>
      <c r="X494" s="32">
        <v>50823.479999999996</v>
      </c>
      <c r="Y494" s="32">
        <v>60776.639999999999</v>
      </c>
      <c r="Z494" s="32">
        <v>111600.12</v>
      </c>
      <c r="AA494" s="3">
        <f t="shared" si="7"/>
        <v>106665.14</v>
      </c>
      <c r="AB494" s="3"/>
      <c r="AC494" s="3"/>
      <c r="AF494" s="3"/>
      <c r="AG494" s="3"/>
      <c r="AH494" s="3"/>
    </row>
    <row r="495" spans="1:34" x14ac:dyDescent="0.25">
      <c r="A495">
        <v>6210026</v>
      </c>
      <c r="B495">
        <v>621</v>
      </c>
      <c r="C495" s="2">
        <v>1</v>
      </c>
      <c r="D495" s="2" t="s">
        <v>572</v>
      </c>
      <c r="E495">
        <v>26</v>
      </c>
      <c r="F495" s="2" t="s">
        <v>574</v>
      </c>
      <c r="G495" s="3">
        <v>0</v>
      </c>
      <c r="H495" s="32">
        <v>123</v>
      </c>
      <c r="I495" s="32">
        <v>113</v>
      </c>
      <c r="J495" s="32">
        <v>110</v>
      </c>
      <c r="K495" s="32">
        <v>98</v>
      </c>
      <c r="L495" s="32">
        <v>118</v>
      </c>
      <c r="M495" s="32">
        <v>104</v>
      </c>
      <c r="N495" s="32">
        <v>122</v>
      </c>
      <c r="O495" s="32">
        <v>99</v>
      </c>
      <c r="P495" s="32">
        <v>120</v>
      </c>
      <c r="Q495" s="32">
        <v>107</v>
      </c>
      <c r="R495" s="32">
        <v>107</v>
      </c>
      <c r="S495" s="32">
        <v>92</v>
      </c>
      <c r="T495" s="32">
        <v>121</v>
      </c>
      <c r="U495" s="32">
        <v>112</v>
      </c>
      <c r="V495" s="30">
        <v>0.89743589743589747</v>
      </c>
      <c r="W495" s="30">
        <v>0.85386819484240684</v>
      </c>
      <c r="X495" s="32">
        <v>57552.439999999995</v>
      </c>
      <c r="Y495" s="32">
        <v>50685.599999999999</v>
      </c>
      <c r="Z495" s="32">
        <v>108238.04</v>
      </c>
      <c r="AA495" s="3">
        <f t="shared" si="7"/>
        <v>103451.73</v>
      </c>
      <c r="AB495" s="3"/>
      <c r="AC495" s="3"/>
      <c r="AF495" s="3"/>
      <c r="AG495" s="3"/>
      <c r="AH495" s="3"/>
    </row>
    <row r="496" spans="1:34" x14ac:dyDescent="0.25">
      <c r="A496">
        <v>6210030</v>
      </c>
      <c r="B496">
        <v>621</v>
      </c>
      <c r="C496">
        <v>1</v>
      </c>
      <c r="D496" t="s">
        <v>572</v>
      </c>
      <c r="E496">
        <v>30</v>
      </c>
      <c r="F496" t="s">
        <v>575</v>
      </c>
      <c r="G496" s="3">
        <v>0</v>
      </c>
      <c r="H496" s="32">
        <v>95</v>
      </c>
      <c r="I496" s="32">
        <v>70</v>
      </c>
      <c r="J496" s="32">
        <v>82</v>
      </c>
      <c r="K496" s="32">
        <v>64</v>
      </c>
      <c r="L496" s="32">
        <v>89</v>
      </c>
      <c r="M496" s="32">
        <v>76</v>
      </c>
      <c r="N496" s="32">
        <v>75</v>
      </c>
      <c r="O496" s="32">
        <v>57</v>
      </c>
      <c r="P496" s="32">
        <v>94</v>
      </c>
      <c r="Q496" s="32">
        <v>75</v>
      </c>
      <c r="R496" s="32">
        <v>77</v>
      </c>
      <c r="S496" s="32">
        <v>55</v>
      </c>
      <c r="T496" s="32">
        <v>86</v>
      </c>
      <c r="U496" s="32">
        <v>88</v>
      </c>
      <c r="V496" s="30">
        <v>0.78947368421052633</v>
      </c>
      <c r="W496" s="30">
        <v>0.76016260162601623</v>
      </c>
      <c r="X496" s="32">
        <v>35984.120000000003</v>
      </c>
      <c r="Y496" s="32">
        <v>35454.32</v>
      </c>
      <c r="Z496" s="32">
        <v>71438.44</v>
      </c>
      <c r="AA496" s="3">
        <f t="shared" si="7"/>
        <v>68279.42</v>
      </c>
      <c r="AB496" s="3"/>
      <c r="AC496" s="3"/>
      <c r="AF496" s="3"/>
      <c r="AG496" s="3"/>
      <c r="AH496" s="3"/>
    </row>
    <row r="497" spans="1:34" x14ac:dyDescent="0.25">
      <c r="A497">
        <v>6210034</v>
      </c>
      <c r="B497">
        <v>621</v>
      </c>
      <c r="C497">
        <v>1</v>
      </c>
      <c r="D497" t="s">
        <v>572</v>
      </c>
      <c r="E497">
        <v>34</v>
      </c>
      <c r="F497" t="s">
        <v>576</v>
      </c>
      <c r="G497" s="3">
        <v>0</v>
      </c>
      <c r="H497" s="32">
        <v>92</v>
      </c>
      <c r="I497" s="32">
        <v>73</v>
      </c>
      <c r="J497" s="32">
        <v>102</v>
      </c>
      <c r="K497" s="32">
        <v>79</v>
      </c>
      <c r="L497" s="32">
        <v>93</v>
      </c>
      <c r="M497" s="32">
        <v>75</v>
      </c>
      <c r="N497" s="32">
        <v>78</v>
      </c>
      <c r="O497" s="32">
        <v>65</v>
      </c>
      <c r="P497" s="32">
        <v>90</v>
      </c>
      <c r="Q497" s="32">
        <v>78</v>
      </c>
      <c r="R497" s="32">
        <v>97</v>
      </c>
      <c r="S497" s="32">
        <v>77</v>
      </c>
      <c r="T497" s="32">
        <v>96</v>
      </c>
      <c r="U497" s="32">
        <v>104</v>
      </c>
      <c r="V497" s="30">
        <v>0.7909407665505227</v>
      </c>
      <c r="W497" s="30">
        <v>0.83018867924528306</v>
      </c>
      <c r="X497" s="32">
        <v>40243.199999999997</v>
      </c>
      <c r="Y497" s="32">
        <v>45760</v>
      </c>
      <c r="Z497" s="32">
        <v>86003.199999999997</v>
      </c>
      <c r="AA497" s="3">
        <f t="shared" si="7"/>
        <v>82200.12</v>
      </c>
      <c r="AB497" s="3"/>
      <c r="AC497" s="3"/>
      <c r="AF497" s="3"/>
      <c r="AG497" s="3"/>
      <c r="AH497" s="3"/>
    </row>
    <row r="498" spans="1:34" x14ac:dyDescent="0.25">
      <c r="A498">
        <v>6210035</v>
      </c>
      <c r="B498">
        <v>621</v>
      </c>
      <c r="C498" s="2">
        <v>1</v>
      </c>
      <c r="D498" s="2" t="s">
        <v>572</v>
      </c>
      <c r="E498">
        <v>35</v>
      </c>
      <c r="F498" s="2" t="s">
        <v>577</v>
      </c>
      <c r="G498" s="3">
        <v>0</v>
      </c>
      <c r="H498" s="32">
        <v>148</v>
      </c>
      <c r="I498" s="32">
        <v>134</v>
      </c>
      <c r="J498" s="32">
        <v>161</v>
      </c>
      <c r="K498" s="32">
        <v>152</v>
      </c>
      <c r="L498" s="32">
        <v>173</v>
      </c>
      <c r="M498" s="32">
        <v>156</v>
      </c>
      <c r="N498" s="32">
        <v>150</v>
      </c>
      <c r="O498" s="32">
        <v>123</v>
      </c>
      <c r="P498" s="32">
        <v>146</v>
      </c>
      <c r="Q498" s="32">
        <v>131</v>
      </c>
      <c r="R498" s="32">
        <v>163</v>
      </c>
      <c r="S498" s="32">
        <v>134</v>
      </c>
      <c r="T498" s="32">
        <v>177</v>
      </c>
      <c r="U498" s="32">
        <v>172</v>
      </c>
      <c r="V498" s="30">
        <v>0.91701244813278004</v>
      </c>
      <c r="W498" s="30">
        <v>0.84531590413943358</v>
      </c>
      <c r="X498" s="32">
        <v>86025.54</v>
      </c>
      <c r="Y498" s="32">
        <v>77059.44</v>
      </c>
      <c r="Z498" s="32">
        <v>163084.97999999998</v>
      </c>
      <c r="AA498" s="3">
        <f t="shared" si="7"/>
        <v>155873.32</v>
      </c>
      <c r="AB498" s="3"/>
      <c r="AC498" s="3"/>
      <c r="AF498" s="3"/>
      <c r="AG498" s="3"/>
      <c r="AH498" s="3"/>
    </row>
    <row r="499" spans="1:34" x14ac:dyDescent="0.25">
      <c r="A499">
        <v>6210036</v>
      </c>
      <c r="B499">
        <v>621</v>
      </c>
      <c r="C499" s="2">
        <v>1</v>
      </c>
      <c r="D499" s="2" t="s">
        <v>572</v>
      </c>
      <c r="E499">
        <v>36</v>
      </c>
      <c r="F499" s="2" t="s">
        <v>578</v>
      </c>
      <c r="G499" s="3">
        <v>0</v>
      </c>
      <c r="H499" s="32">
        <v>105</v>
      </c>
      <c r="I499" s="32">
        <v>82</v>
      </c>
      <c r="J499" s="32">
        <v>99</v>
      </c>
      <c r="K499" s="32">
        <v>74</v>
      </c>
      <c r="L499" s="32">
        <v>109</v>
      </c>
      <c r="M499" s="32">
        <v>87</v>
      </c>
      <c r="N499" s="32">
        <v>97</v>
      </c>
      <c r="O499" s="32">
        <v>73</v>
      </c>
      <c r="P499" s="32">
        <v>99</v>
      </c>
      <c r="Q499" s="32">
        <v>80</v>
      </c>
      <c r="R499" s="32">
        <v>91</v>
      </c>
      <c r="S499" s="32">
        <v>68</v>
      </c>
      <c r="T499" s="32">
        <v>108</v>
      </c>
      <c r="U499" s="32">
        <v>101</v>
      </c>
      <c r="V499" s="30">
        <v>0.77635782747603832</v>
      </c>
      <c r="W499" s="30">
        <v>0.77003484320557491</v>
      </c>
      <c r="X499" s="32">
        <v>44438.76</v>
      </c>
      <c r="Y499" s="32">
        <v>41220.120000000003</v>
      </c>
      <c r="Z499" s="32">
        <v>85658.880000000005</v>
      </c>
      <c r="AA499" s="3">
        <f t="shared" si="7"/>
        <v>81871.02</v>
      </c>
      <c r="AB499" s="3"/>
      <c r="AC499" s="3"/>
      <c r="AF499" s="3"/>
      <c r="AG499" s="3"/>
      <c r="AH499" s="3"/>
    </row>
    <row r="500" spans="1:34" x14ac:dyDescent="0.25">
      <c r="A500">
        <v>6210039</v>
      </c>
      <c r="B500">
        <v>621</v>
      </c>
      <c r="C500" s="2">
        <v>1</v>
      </c>
      <c r="D500" s="2" t="s">
        <v>1207</v>
      </c>
      <c r="E500">
        <v>39</v>
      </c>
      <c r="F500" s="2" t="s">
        <v>1208</v>
      </c>
      <c r="G500" s="3">
        <v>1</v>
      </c>
      <c r="H500" s="32" t="s">
        <v>1328</v>
      </c>
      <c r="I500" s="32" t="s">
        <v>1328</v>
      </c>
      <c r="J500" s="32" t="s">
        <v>1328</v>
      </c>
      <c r="K500" s="32" t="s">
        <v>1328</v>
      </c>
      <c r="L500" s="32" t="s">
        <v>1328</v>
      </c>
      <c r="M500" s="32" t="s">
        <v>1328</v>
      </c>
      <c r="N500" s="32" t="s">
        <v>1328</v>
      </c>
      <c r="O500" s="32" t="s">
        <v>1328</v>
      </c>
      <c r="P500" s="32" t="s">
        <v>1328</v>
      </c>
      <c r="Q500" s="32" t="s">
        <v>1328</v>
      </c>
      <c r="R500" s="32" t="s">
        <v>1328</v>
      </c>
      <c r="S500" s="32" t="s">
        <v>1328</v>
      </c>
      <c r="T500" s="32">
        <v>5</v>
      </c>
      <c r="U500" s="32">
        <v>1</v>
      </c>
      <c r="V500" s="30" t="s">
        <v>1328</v>
      </c>
      <c r="W500" s="30" t="s">
        <v>1328</v>
      </c>
      <c r="X500" s="32" t="s">
        <v>1328</v>
      </c>
      <c r="Y500" s="32" t="s">
        <v>1328</v>
      </c>
      <c r="Z500" s="32">
        <v>2366.0700000000002</v>
      </c>
      <c r="AA500" s="3">
        <f t="shared" si="7"/>
        <v>2261.44</v>
      </c>
      <c r="AB500" s="3"/>
      <c r="AC500" s="3"/>
      <c r="AF500" s="3"/>
      <c r="AG500" s="3"/>
      <c r="AH500" s="3"/>
    </row>
    <row r="501" spans="1:34" x14ac:dyDescent="0.25">
      <c r="A501">
        <v>6210043</v>
      </c>
      <c r="B501">
        <v>621</v>
      </c>
      <c r="C501" s="2">
        <v>1</v>
      </c>
      <c r="D501" s="2" t="s">
        <v>1207</v>
      </c>
      <c r="E501">
        <v>43</v>
      </c>
      <c r="F501" s="2" t="s">
        <v>1209</v>
      </c>
      <c r="G501" s="3">
        <v>1</v>
      </c>
      <c r="H501" s="32" t="s">
        <v>1328</v>
      </c>
      <c r="I501" s="32" t="s">
        <v>1328</v>
      </c>
      <c r="J501" s="32" t="s">
        <v>1328</v>
      </c>
      <c r="K501" s="32" t="s">
        <v>1328</v>
      </c>
      <c r="L501" s="32" t="s">
        <v>1328</v>
      </c>
      <c r="M501" s="32" t="s">
        <v>1328</v>
      </c>
      <c r="N501" s="32" t="s">
        <v>1328</v>
      </c>
      <c r="O501" s="32" t="s">
        <v>1328</v>
      </c>
      <c r="P501" s="32" t="s">
        <v>1328</v>
      </c>
      <c r="Q501" s="32" t="s">
        <v>1328</v>
      </c>
      <c r="R501" s="32" t="s">
        <v>1328</v>
      </c>
      <c r="S501" s="32" t="s">
        <v>1328</v>
      </c>
      <c r="T501" s="32">
        <v>0</v>
      </c>
      <c r="U501" s="32">
        <v>0</v>
      </c>
      <c r="V501" s="30" t="s">
        <v>1328</v>
      </c>
      <c r="W501" s="30" t="s">
        <v>1328</v>
      </c>
      <c r="X501" s="32" t="s">
        <v>1328</v>
      </c>
      <c r="Y501" s="32" t="s">
        <v>1328</v>
      </c>
      <c r="Z501" s="32">
        <v>0</v>
      </c>
      <c r="AA501" s="3">
        <f t="shared" si="7"/>
        <v>0</v>
      </c>
      <c r="AB501" s="3"/>
      <c r="AC501" s="3"/>
      <c r="AF501" s="3"/>
      <c r="AG501" s="3"/>
      <c r="AH501" s="3"/>
    </row>
    <row r="502" spans="1:34" x14ac:dyDescent="0.25">
      <c r="A502">
        <v>6220027</v>
      </c>
      <c r="B502">
        <v>622</v>
      </c>
      <c r="C502" s="2">
        <v>1</v>
      </c>
      <c r="D502" s="2" t="s">
        <v>579</v>
      </c>
      <c r="E502">
        <v>27</v>
      </c>
      <c r="F502" s="2" t="s">
        <v>580</v>
      </c>
      <c r="G502" s="3">
        <v>0</v>
      </c>
      <c r="H502" s="32">
        <v>85</v>
      </c>
      <c r="I502" s="32">
        <v>57</v>
      </c>
      <c r="J502" s="32">
        <v>82</v>
      </c>
      <c r="K502" s="32">
        <v>65</v>
      </c>
      <c r="L502" s="32">
        <v>81</v>
      </c>
      <c r="M502" s="32">
        <v>60</v>
      </c>
      <c r="N502" s="32">
        <v>92</v>
      </c>
      <c r="O502" s="32">
        <v>71</v>
      </c>
      <c r="P502" s="32">
        <v>77</v>
      </c>
      <c r="Q502" s="32">
        <v>65</v>
      </c>
      <c r="R502" s="32">
        <v>73</v>
      </c>
      <c r="S502" s="32">
        <v>66</v>
      </c>
      <c r="T502" s="32">
        <v>86</v>
      </c>
      <c r="U502" s="32">
        <v>86</v>
      </c>
      <c r="V502" s="30">
        <v>0.7338709677419355</v>
      </c>
      <c r="W502" s="30">
        <v>0.83471074380165289</v>
      </c>
      <c r="X502" s="32">
        <v>33449.699999999997</v>
      </c>
      <c r="Y502" s="32">
        <v>38046.400000000001</v>
      </c>
      <c r="Z502" s="32">
        <v>71496.100000000006</v>
      </c>
      <c r="AA502" s="3">
        <f t="shared" si="7"/>
        <v>68334.53</v>
      </c>
      <c r="AB502" s="3"/>
      <c r="AC502" s="3"/>
      <c r="AF502" s="3"/>
      <c r="AG502" s="3"/>
      <c r="AH502" s="3"/>
    </row>
    <row r="503" spans="1:34" x14ac:dyDescent="0.25">
      <c r="A503">
        <v>6220028</v>
      </c>
      <c r="B503">
        <v>622</v>
      </c>
      <c r="C503" s="2">
        <v>1</v>
      </c>
      <c r="D503" s="2" t="s">
        <v>579</v>
      </c>
      <c r="E503">
        <v>28</v>
      </c>
      <c r="F503" s="2" t="s">
        <v>581</v>
      </c>
      <c r="G503" s="3">
        <v>0</v>
      </c>
      <c r="H503" s="32">
        <v>55</v>
      </c>
      <c r="I503" s="32">
        <v>41</v>
      </c>
      <c r="J503" s="32">
        <v>82</v>
      </c>
      <c r="K503" s="32">
        <v>62</v>
      </c>
      <c r="L503" s="32">
        <v>54</v>
      </c>
      <c r="M503" s="32">
        <v>39</v>
      </c>
      <c r="N503" s="32">
        <v>81</v>
      </c>
      <c r="O503" s="32">
        <v>64</v>
      </c>
      <c r="P503" s="32">
        <v>54</v>
      </c>
      <c r="Q503" s="32">
        <v>39</v>
      </c>
      <c r="R503" s="32">
        <v>79</v>
      </c>
      <c r="S503" s="32">
        <v>56</v>
      </c>
      <c r="T503" s="32">
        <v>57</v>
      </c>
      <c r="U503" s="32">
        <v>84</v>
      </c>
      <c r="V503" s="30">
        <v>0.74345549738219896</v>
      </c>
      <c r="W503" s="30">
        <v>0.7429906542056075</v>
      </c>
      <c r="X503" s="32">
        <v>22459.71</v>
      </c>
      <c r="Y503" s="32">
        <v>33078.36</v>
      </c>
      <c r="Z503" s="32">
        <v>55538.07</v>
      </c>
      <c r="AA503" s="3">
        <f t="shared" si="7"/>
        <v>53082.16</v>
      </c>
      <c r="AB503" s="3"/>
      <c r="AC503" s="3"/>
      <c r="AF503" s="3"/>
      <c r="AG503" s="3"/>
      <c r="AH503" s="3"/>
    </row>
    <row r="504" spans="1:34" x14ac:dyDescent="0.25">
      <c r="A504">
        <v>6220029</v>
      </c>
      <c r="B504">
        <v>622</v>
      </c>
      <c r="C504" s="2">
        <v>1</v>
      </c>
      <c r="D504" s="2" t="s">
        <v>579</v>
      </c>
      <c r="E504">
        <v>29</v>
      </c>
      <c r="F504" s="2" t="s">
        <v>582</v>
      </c>
      <c r="G504" s="3">
        <v>0</v>
      </c>
      <c r="H504" s="32">
        <v>69</v>
      </c>
      <c r="I504" s="32">
        <v>50</v>
      </c>
      <c r="J504" s="32">
        <v>66</v>
      </c>
      <c r="K504" s="32">
        <v>48</v>
      </c>
      <c r="L504" s="32">
        <v>74</v>
      </c>
      <c r="M504" s="32">
        <v>55</v>
      </c>
      <c r="N504" s="32">
        <v>63</v>
      </c>
      <c r="O504" s="32">
        <v>53</v>
      </c>
      <c r="P504" s="32">
        <v>57</v>
      </c>
      <c r="Q504" s="32">
        <v>47</v>
      </c>
      <c r="R504" s="32">
        <v>70</v>
      </c>
      <c r="S504" s="32">
        <v>53</v>
      </c>
      <c r="T504" s="32">
        <v>73</v>
      </c>
      <c r="U504" s="32">
        <v>72</v>
      </c>
      <c r="V504" s="30">
        <v>0.73205741626794263</v>
      </c>
      <c r="W504" s="30">
        <v>0.80526315789473679</v>
      </c>
      <c r="X504" s="32">
        <v>28323.27</v>
      </c>
      <c r="Y504" s="32">
        <v>30728.880000000001</v>
      </c>
      <c r="Z504" s="32">
        <v>59052.15</v>
      </c>
      <c r="AA504" s="3">
        <f t="shared" si="7"/>
        <v>56440.85</v>
      </c>
      <c r="AB504" s="3"/>
      <c r="AC504" s="3"/>
      <c r="AF504" s="3"/>
      <c r="AG504" s="3"/>
      <c r="AH504" s="3"/>
    </row>
    <row r="505" spans="1:34" x14ac:dyDescent="0.25">
      <c r="A505">
        <v>6220030</v>
      </c>
      <c r="B505">
        <v>622</v>
      </c>
      <c r="C505" s="2">
        <v>1</v>
      </c>
      <c r="D505" s="2" t="s">
        <v>579</v>
      </c>
      <c r="E505">
        <v>30</v>
      </c>
      <c r="F505" s="2" t="s">
        <v>583</v>
      </c>
      <c r="G505" s="3">
        <v>0</v>
      </c>
      <c r="H505" s="32">
        <v>60</v>
      </c>
      <c r="I505" s="32">
        <v>51</v>
      </c>
      <c r="J505" s="32">
        <v>58</v>
      </c>
      <c r="K505" s="32">
        <v>46</v>
      </c>
      <c r="L505" s="32">
        <v>64</v>
      </c>
      <c r="M505" s="32">
        <v>53</v>
      </c>
      <c r="N505" s="32">
        <v>55</v>
      </c>
      <c r="O505" s="32">
        <v>43</v>
      </c>
      <c r="P505" s="32">
        <v>57</v>
      </c>
      <c r="Q505" s="32">
        <v>42</v>
      </c>
      <c r="R505" s="32">
        <v>60</v>
      </c>
      <c r="S505" s="32">
        <v>45</v>
      </c>
      <c r="T505" s="32">
        <v>64</v>
      </c>
      <c r="U505" s="32">
        <v>63</v>
      </c>
      <c r="V505" s="30">
        <v>0.82417582417582413</v>
      </c>
      <c r="W505" s="30">
        <v>0.7558139534883721</v>
      </c>
      <c r="X505" s="32">
        <v>27955.84</v>
      </c>
      <c r="Y505" s="32">
        <v>25236.539999999997</v>
      </c>
      <c r="Z505" s="32">
        <v>53192.38</v>
      </c>
      <c r="AA505" s="3">
        <f t="shared" si="7"/>
        <v>50840.2</v>
      </c>
      <c r="AB505" s="3"/>
      <c r="AC505" s="3"/>
      <c r="AF505" s="3"/>
      <c r="AG505" s="3"/>
      <c r="AH505" s="3"/>
    </row>
    <row r="506" spans="1:34" x14ac:dyDescent="0.25">
      <c r="A506">
        <v>6220033</v>
      </c>
      <c r="B506">
        <v>622</v>
      </c>
      <c r="C506" s="2">
        <v>1</v>
      </c>
      <c r="D506" s="2" t="s">
        <v>579</v>
      </c>
      <c r="E506">
        <v>33</v>
      </c>
      <c r="F506" s="2" t="s">
        <v>584</v>
      </c>
      <c r="G506" s="3">
        <v>0</v>
      </c>
      <c r="H506" s="32">
        <v>96</v>
      </c>
      <c r="I506" s="32">
        <v>69</v>
      </c>
      <c r="J506" s="32">
        <v>72</v>
      </c>
      <c r="K506" s="32">
        <v>50</v>
      </c>
      <c r="L506" s="32">
        <v>91</v>
      </c>
      <c r="M506" s="32">
        <v>67</v>
      </c>
      <c r="N506" s="32">
        <v>63</v>
      </c>
      <c r="O506" s="32">
        <v>48</v>
      </c>
      <c r="P506" s="32">
        <v>89</v>
      </c>
      <c r="Q506" s="32">
        <v>73</v>
      </c>
      <c r="R506" s="32">
        <v>70</v>
      </c>
      <c r="S506" s="32">
        <v>50</v>
      </c>
      <c r="T506" s="32">
        <v>89</v>
      </c>
      <c r="U506" s="32">
        <v>80</v>
      </c>
      <c r="V506" s="30">
        <v>0.71814671814671815</v>
      </c>
      <c r="W506" s="30">
        <v>0.77027027027027029</v>
      </c>
      <c r="X506" s="32">
        <v>33875.18</v>
      </c>
      <c r="Y506" s="32">
        <v>32659.200000000001</v>
      </c>
      <c r="Z506" s="32">
        <v>66534.38</v>
      </c>
      <c r="AA506" s="3">
        <f t="shared" si="7"/>
        <v>63592.21</v>
      </c>
      <c r="AB506" s="3"/>
      <c r="AC506" s="3"/>
      <c r="AF506" s="3"/>
      <c r="AG506" s="3"/>
      <c r="AH506" s="3"/>
    </row>
    <row r="507" spans="1:34" x14ac:dyDescent="0.25">
      <c r="A507">
        <v>6220034</v>
      </c>
      <c r="B507">
        <v>622</v>
      </c>
      <c r="C507">
        <v>1</v>
      </c>
      <c r="D507" t="s">
        <v>579</v>
      </c>
      <c r="E507">
        <v>34</v>
      </c>
      <c r="F507" t="s">
        <v>585</v>
      </c>
      <c r="G507" s="3">
        <v>0</v>
      </c>
      <c r="H507" s="32">
        <v>68</v>
      </c>
      <c r="I507" s="32">
        <v>41</v>
      </c>
      <c r="J507" s="32">
        <v>79</v>
      </c>
      <c r="K507" s="32">
        <v>54</v>
      </c>
      <c r="L507" s="32">
        <v>81</v>
      </c>
      <c r="M507" s="32">
        <v>56</v>
      </c>
      <c r="N507" s="32">
        <v>73</v>
      </c>
      <c r="O507" s="32">
        <v>57</v>
      </c>
      <c r="P507" s="32">
        <v>55</v>
      </c>
      <c r="Q507" s="32">
        <v>40</v>
      </c>
      <c r="R507" s="32">
        <v>72</v>
      </c>
      <c r="S507" s="32">
        <v>50</v>
      </c>
      <c r="T507" s="32">
        <v>84</v>
      </c>
      <c r="U507" s="32">
        <v>79</v>
      </c>
      <c r="V507" s="30">
        <v>0.66228070175438591</v>
      </c>
      <c r="W507" s="30">
        <v>0.73499999999999999</v>
      </c>
      <c r="X507" s="32">
        <v>29484.84</v>
      </c>
      <c r="Y507" s="32">
        <v>30774.45</v>
      </c>
      <c r="Z507" s="32">
        <v>60259.29</v>
      </c>
      <c r="AA507" s="3">
        <f t="shared" si="7"/>
        <v>57594.61</v>
      </c>
      <c r="AB507" s="3"/>
      <c r="AC507" s="3"/>
      <c r="AF507" s="3"/>
      <c r="AG507" s="3"/>
      <c r="AH507" s="3"/>
    </row>
    <row r="508" spans="1:34" x14ac:dyDescent="0.25">
      <c r="A508">
        <v>6220035</v>
      </c>
      <c r="B508">
        <v>622</v>
      </c>
      <c r="C508" s="2">
        <v>1</v>
      </c>
      <c r="D508" s="2" t="s">
        <v>579</v>
      </c>
      <c r="E508">
        <v>35</v>
      </c>
      <c r="F508" s="2" t="s">
        <v>586</v>
      </c>
      <c r="G508" s="3">
        <v>0</v>
      </c>
      <c r="H508" s="32">
        <v>72</v>
      </c>
      <c r="I508" s="32">
        <v>59</v>
      </c>
      <c r="J508" s="32">
        <v>71</v>
      </c>
      <c r="K508" s="32">
        <v>56</v>
      </c>
      <c r="L508" s="32">
        <v>87</v>
      </c>
      <c r="M508" s="32">
        <v>77</v>
      </c>
      <c r="N508" s="32">
        <v>81</v>
      </c>
      <c r="O508" s="32">
        <v>48</v>
      </c>
      <c r="P508" s="32">
        <v>73</v>
      </c>
      <c r="Q508" s="32">
        <v>59</v>
      </c>
      <c r="R508" s="32">
        <v>64</v>
      </c>
      <c r="S508" s="32">
        <v>54</v>
      </c>
      <c r="T508" s="32">
        <v>86</v>
      </c>
      <c r="U508" s="32">
        <v>74</v>
      </c>
      <c r="V508" s="30">
        <v>0.83478260869565213</v>
      </c>
      <c r="W508" s="30">
        <v>0.73853211009174313</v>
      </c>
      <c r="X508" s="32">
        <v>38048.980000000003</v>
      </c>
      <c r="Y508" s="32">
        <v>28965.08</v>
      </c>
      <c r="Z508" s="32">
        <v>67014.06</v>
      </c>
      <c r="AA508" s="3">
        <f t="shared" si="7"/>
        <v>64050.68</v>
      </c>
      <c r="AB508" s="3"/>
      <c r="AC508" s="3"/>
      <c r="AF508" s="3"/>
      <c r="AG508" s="3"/>
      <c r="AH508" s="3"/>
    </row>
    <row r="509" spans="1:34" x14ac:dyDescent="0.25">
      <c r="A509">
        <v>6220036</v>
      </c>
      <c r="B509">
        <v>622</v>
      </c>
      <c r="C509" s="2">
        <v>1</v>
      </c>
      <c r="D509" s="2" t="s">
        <v>579</v>
      </c>
      <c r="E509">
        <v>36</v>
      </c>
      <c r="F509" s="2" t="s">
        <v>587</v>
      </c>
      <c r="G509" s="3">
        <v>0</v>
      </c>
      <c r="H509" s="32">
        <v>65</v>
      </c>
      <c r="I509" s="32">
        <v>47</v>
      </c>
      <c r="J509" s="32">
        <v>60</v>
      </c>
      <c r="K509" s="32">
        <v>43</v>
      </c>
      <c r="L509" s="32">
        <v>62</v>
      </c>
      <c r="M509" s="32">
        <v>52</v>
      </c>
      <c r="N509" s="32">
        <v>65</v>
      </c>
      <c r="O509" s="32">
        <v>43</v>
      </c>
      <c r="P509" s="32">
        <v>57</v>
      </c>
      <c r="Q509" s="32">
        <v>49</v>
      </c>
      <c r="R509" s="32">
        <v>54</v>
      </c>
      <c r="S509" s="32">
        <v>47</v>
      </c>
      <c r="T509" s="32">
        <v>61</v>
      </c>
      <c r="U509" s="32">
        <v>62</v>
      </c>
      <c r="V509" s="30">
        <v>0.75935828877005351</v>
      </c>
      <c r="W509" s="30">
        <v>0.78977272727272729</v>
      </c>
      <c r="X509" s="32">
        <v>24550.059999999998</v>
      </c>
      <c r="Y509" s="32">
        <v>25951.96</v>
      </c>
      <c r="Z509" s="32">
        <v>50502.02</v>
      </c>
      <c r="AA509" s="3">
        <f t="shared" si="7"/>
        <v>48268.81</v>
      </c>
      <c r="AB509" s="3"/>
      <c r="AC509" s="3"/>
      <c r="AF509" s="3"/>
      <c r="AG509" s="3"/>
      <c r="AH509" s="3"/>
    </row>
    <row r="510" spans="1:34" x14ac:dyDescent="0.25">
      <c r="A510">
        <v>6220037</v>
      </c>
      <c r="B510">
        <v>622</v>
      </c>
      <c r="C510" s="2">
        <v>1</v>
      </c>
      <c r="D510" s="2" t="s">
        <v>579</v>
      </c>
      <c r="E510">
        <v>37</v>
      </c>
      <c r="F510" s="2" t="s">
        <v>588</v>
      </c>
      <c r="G510" s="3">
        <v>0</v>
      </c>
      <c r="H510" s="32">
        <v>88</v>
      </c>
      <c r="I510" s="32">
        <v>66</v>
      </c>
      <c r="J510" s="32">
        <v>104</v>
      </c>
      <c r="K510" s="32">
        <v>90</v>
      </c>
      <c r="L510" s="32">
        <v>96</v>
      </c>
      <c r="M510" s="32">
        <v>77</v>
      </c>
      <c r="N510" s="32">
        <v>86</v>
      </c>
      <c r="O510" s="32">
        <v>62</v>
      </c>
      <c r="P510" s="32">
        <v>88</v>
      </c>
      <c r="Q510" s="32">
        <v>74</v>
      </c>
      <c r="R510" s="32">
        <v>102</v>
      </c>
      <c r="S510" s="32">
        <v>81</v>
      </c>
      <c r="T510" s="32">
        <v>100</v>
      </c>
      <c r="U510" s="32">
        <v>109</v>
      </c>
      <c r="V510" s="30">
        <v>0.80902777777777779</v>
      </c>
      <c r="W510" s="30">
        <v>0.78623188405797106</v>
      </c>
      <c r="X510" s="32">
        <v>42878</v>
      </c>
      <c r="Y510" s="32">
        <v>45420.299999999996</v>
      </c>
      <c r="Z510" s="32">
        <v>88298.299999999988</v>
      </c>
      <c r="AA510" s="3">
        <f t="shared" si="7"/>
        <v>84393.73</v>
      </c>
      <c r="AB510" s="3"/>
      <c r="AC510" s="3"/>
      <c r="AF510" s="3"/>
      <c r="AG510" s="3"/>
      <c r="AH510" s="3"/>
    </row>
    <row r="511" spans="1:34" x14ac:dyDescent="0.25">
      <c r="A511">
        <v>6220041</v>
      </c>
      <c r="B511">
        <v>622</v>
      </c>
      <c r="C511" s="2">
        <v>1</v>
      </c>
      <c r="D511" s="2" t="s">
        <v>579</v>
      </c>
      <c r="E511">
        <v>41</v>
      </c>
      <c r="F511" s="2" t="s">
        <v>1210</v>
      </c>
      <c r="G511" s="3">
        <v>1</v>
      </c>
      <c r="H511" s="32" t="s">
        <v>1328</v>
      </c>
      <c r="I511" s="32" t="s">
        <v>1328</v>
      </c>
      <c r="J511" s="32" t="s">
        <v>1328</v>
      </c>
      <c r="K511" s="32" t="s">
        <v>1328</v>
      </c>
      <c r="L511" s="32" t="s">
        <v>1328</v>
      </c>
      <c r="M511" s="32" t="s">
        <v>1328</v>
      </c>
      <c r="N511" s="32" t="s">
        <v>1328</v>
      </c>
      <c r="O511" s="32" t="s">
        <v>1328</v>
      </c>
      <c r="P511" s="32" t="s">
        <v>1328</v>
      </c>
      <c r="Q511" s="32" t="s">
        <v>1328</v>
      </c>
      <c r="R511" s="32" t="s">
        <v>1328</v>
      </c>
      <c r="S511" s="32" t="s">
        <v>1328</v>
      </c>
      <c r="T511" s="32">
        <v>5</v>
      </c>
      <c r="U511" s="32">
        <v>3</v>
      </c>
      <c r="V511" s="30" t="s">
        <v>1328</v>
      </c>
      <c r="W511" s="30" t="s">
        <v>1328</v>
      </c>
      <c r="X511" s="32" t="s">
        <v>1328</v>
      </c>
      <c r="Y511" s="32" t="s">
        <v>1328</v>
      </c>
      <c r="Z511" s="32">
        <v>2240.4499999999998</v>
      </c>
      <c r="AA511" s="3">
        <f t="shared" si="7"/>
        <v>2141.38</v>
      </c>
      <c r="AB511" s="3"/>
      <c r="AC511" s="3"/>
      <c r="AF511" s="3"/>
      <c r="AG511" s="3"/>
      <c r="AH511" s="3"/>
    </row>
    <row r="512" spans="1:34" x14ac:dyDescent="0.25">
      <c r="A512">
        <v>6230073</v>
      </c>
      <c r="B512">
        <v>623</v>
      </c>
      <c r="C512" s="2">
        <v>1</v>
      </c>
      <c r="D512" s="2" t="s">
        <v>589</v>
      </c>
      <c r="E512">
        <v>73</v>
      </c>
      <c r="F512" s="2" t="s">
        <v>590</v>
      </c>
      <c r="G512" s="3">
        <v>0</v>
      </c>
      <c r="H512" s="32">
        <v>77</v>
      </c>
      <c r="I512" s="32">
        <v>69</v>
      </c>
      <c r="J512" s="32">
        <v>77</v>
      </c>
      <c r="K512" s="32">
        <v>70</v>
      </c>
      <c r="L512" s="32">
        <v>73</v>
      </c>
      <c r="M512" s="32">
        <v>64</v>
      </c>
      <c r="N512" s="32">
        <v>71</v>
      </c>
      <c r="O512" s="32">
        <v>51</v>
      </c>
      <c r="P512" s="32">
        <v>73</v>
      </c>
      <c r="Q512" s="32">
        <v>56</v>
      </c>
      <c r="R512" s="32">
        <v>78</v>
      </c>
      <c r="S512" s="32">
        <v>67</v>
      </c>
      <c r="T512" s="32">
        <v>77</v>
      </c>
      <c r="U512" s="32">
        <v>85</v>
      </c>
      <c r="V512" s="30">
        <v>0.89427312775330392</v>
      </c>
      <c r="W512" s="30">
        <v>0.78378378378378377</v>
      </c>
      <c r="X512" s="32">
        <v>36494.92</v>
      </c>
      <c r="Y512" s="32">
        <v>35309.85</v>
      </c>
      <c r="Z512" s="32">
        <v>71804.76999999999</v>
      </c>
      <c r="AA512" s="3">
        <f t="shared" si="7"/>
        <v>68629.55</v>
      </c>
      <c r="AB512" s="3"/>
      <c r="AC512" s="3"/>
      <c r="AF512" s="3"/>
      <c r="AG512" s="3"/>
      <c r="AH512" s="3"/>
    </row>
    <row r="513" spans="1:34" x14ac:dyDescent="0.25">
      <c r="A513">
        <v>6230721</v>
      </c>
      <c r="B513">
        <v>623</v>
      </c>
      <c r="C513" s="2">
        <v>1</v>
      </c>
      <c r="D513" s="2" t="s">
        <v>589</v>
      </c>
      <c r="E513">
        <v>721</v>
      </c>
      <c r="F513" s="2" t="s">
        <v>591</v>
      </c>
      <c r="G513" s="3">
        <v>0</v>
      </c>
      <c r="H513" s="32">
        <v>92</v>
      </c>
      <c r="I513" s="32">
        <v>78</v>
      </c>
      <c r="J513" s="32">
        <v>90</v>
      </c>
      <c r="K513" s="32">
        <v>67</v>
      </c>
      <c r="L513" s="32">
        <v>106</v>
      </c>
      <c r="M513" s="32">
        <v>90</v>
      </c>
      <c r="N513" s="32">
        <v>79</v>
      </c>
      <c r="O513" s="32">
        <v>64</v>
      </c>
      <c r="P513" s="32">
        <v>84</v>
      </c>
      <c r="Q513" s="32">
        <v>64</v>
      </c>
      <c r="R513" s="32">
        <v>76</v>
      </c>
      <c r="S513" s="32">
        <v>57</v>
      </c>
      <c r="T513" s="32">
        <v>109</v>
      </c>
      <c r="U513" s="32">
        <v>86</v>
      </c>
      <c r="V513" s="30">
        <v>0.81597222222222221</v>
      </c>
      <c r="W513" s="30">
        <v>0.77405857740585771</v>
      </c>
      <c r="X513" s="32">
        <v>47139.23</v>
      </c>
      <c r="Y513" s="32">
        <v>35281.5</v>
      </c>
      <c r="Z513" s="32">
        <v>82420.73000000001</v>
      </c>
      <c r="AA513" s="3">
        <f t="shared" si="7"/>
        <v>78776.070000000007</v>
      </c>
      <c r="AB513" s="3"/>
      <c r="AC513" s="3"/>
      <c r="AF513" s="3"/>
      <c r="AG513" s="3"/>
      <c r="AH513" s="3"/>
    </row>
    <row r="514" spans="1:34" x14ac:dyDescent="0.25">
      <c r="A514">
        <v>6230722</v>
      </c>
      <c r="B514">
        <v>623</v>
      </c>
      <c r="C514" s="2">
        <v>1</v>
      </c>
      <c r="D514" s="2" t="s">
        <v>589</v>
      </c>
      <c r="E514">
        <v>722</v>
      </c>
      <c r="F514" s="2" t="s">
        <v>592</v>
      </c>
      <c r="G514" s="3">
        <v>0</v>
      </c>
      <c r="H514" s="32">
        <v>53</v>
      </c>
      <c r="I514" s="32">
        <v>35</v>
      </c>
      <c r="J514" s="32">
        <v>68</v>
      </c>
      <c r="K514" s="32">
        <v>46</v>
      </c>
      <c r="L514" s="32">
        <v>85</v>
      </c>
      <c r="M514" s="32">
        <v>40</v>
      </c>
      <c r="N514" s="32">
        <v>56</v>
      </c>
      <c r="O514" s="32">
        <v>38</v>
      </c>
      <c r="P514" s="32">
        <v>41</v>
      </c>
      <c r="Q514" s="32">
        <v>30</v>
      </c>
      <c r="R514" s="32">
        <v>63</v>
      </c>
      <c r="S514" s="32">
        <v>54</v>
      </c>
      <c r="T514" s="32">
        <v>86</v>
      </c>
      <c r="U514" s="32">
        <v>75</v>
      </c>
      <c r="V514" s="30">
        <v>0.58737864077669899</v>
      </c>
      <c r="W514" s="30">
        <v>0.76249999999999996</v>
      </c>
      <c r="X514" s="32">
        <v>26772.66</v>
      </c>
      <c r="Y514" s="32">
        <v>30309.75</v>
      </c>
      <c r="Z514" s="32">
        <v>57082.41</v>
      </c>
      <c r="AA514" s="3">
        <f t="shared" si="7"/>
        <v>54558.21</v>
      </c>
      <c r="AB514" s="3"/>
      <c r="AC514" s="3"/>
      <c r="AF514" s="3"/>
      <c r="AG514" s="3"/>
      <c r="AH514" s="3"/>
    </row>
    <row r="515" spans="1:34" x14ac:dyDescent="0.25">
      <c r="A515">
        <v>6230723</v>
      </c>
      <c r="B515">
        <v>623</v>
      </c>
      <c r="C515" s="2">
        <v>1</v>
      </c>
      <c r="D515" s="2" t="s">
        <v>589</v>
      </c>
      <c r="E515">
        <v>723</v>
      </c>
      <c r="F515" s="2" t="s">
        <v>562</v>
      </c>
      <c r="G515" s="3">
        <v>0</v>
      </c>
      <c r="H515" s="32">
        <v>66</v>
      </c>
      <c r="I515" s="32">
        <v>40</v>
      </c>
      <c r="J515" s="32">
        <v>65</v>
      </c>
      <c r="K515" s="32">
        <v>39</v>
      </c>
      <c r="L515" s="32">
        <v>57</v>
      </c>
      <c r="M515" s="32">
        <v>41</v>
      </c>
      <c r="N515" s="32">
        <v>62</v>
      </c>
      <c r="O515" s="32">
        <v>48</v>
      </c>
      <c r="P515" s="32">
        <v>60</v>
      </c>
      <c r="Q515" s="32">
        <v>56</v>
      </c>
      <c r="R515" s="32">
        <v>61</v>
      </c>
      <c r="S515" s="32">
        <v>53</v>
      </c>
      <c r="T515" s="32">
        <v>62</v>
      </c>
      <c r="U515" s="32">
        <v>71</v>
      </c>
      <c r="V515" s="30">
        <v>0.63829787234042556</v>
      </c>
      <c r="W515" s="30">
        <v>0.85792349726775952</v>
      </c>
      <c r="X515" s="32">
        <v>20974.600000000002</v>
      </c>
      <c r="Y515" s="32">
        <v>32283.7</v>
      </c>
      <c r="Z515" s="32">
        <v>53258.3</v>
      </c>
      <c r="AA515" s="3">
        <f t="shared" si="7"/>
        <v>50903.21</v>
      </c>
      <c r="AB515" s="3"/>
      <c r="AC515" s="3"/>
      <c r="AF515" s="3"/>
      <c r="AG515" s="3"/>
      <c r="AH515" s="3"/>
    </row>
    <row r="516" spans="1:34" x14ac:dyDescent="0.25">
      <c r="A516">
        <v>6230724</v>
      </c>
      <c r="B516">
        <v>623</v>
      </c>
      <c r="C516" s="2">
        <v>1</v>
      </c>
      <c r="D516" s="2" t="s">
        <v>589</v>
      </c>
      <c r="E516">
        <v>724</v>
      </c>
      <c r="F516" s="2" t="s">
        <v>593</v>
      </c>
      <c r="G516" s="3">
        <v>0</v>
      </c>
      <c r="H516" s="32">
        <v>66</v>
      </c>
      <c r="I516" s="32">
        <v>54</v>
      </c>
      <c r="J516" s="32">
        <v>51</v>
      </c>
      <c r="K516" s="32">
        <v>46</v>
      </c>
      <c r="L516" s="32">
        <v>53</v>
      </c>
      <c r="M516" s="32">
        <v>44</v>
      </c>
      <c r="N516" s="32">
        <v>57</v>
      </c>
      <c r="O516" s="32">
        <v>44</v>
      </c>
      <c r="P516" s="32">
        <v>56</v>
      </c>
      <c r="Q516" s="32">
        <v>45</v>
      </c>
      <c r="R516" s="32">
        <v>51</v>
      </c>
      <c r="S516" s="32">
        <v>45</v>
      </c>
      <c r="T516" s="32">
        <v>56</v>
      </c>
      <c r="U516" s="32">
        <v>53</v>
      </c>
      <c r="V516" s="30">
        <v>0.84705882352941175</v>
      </c>
      <c r="W516" s="30">
        <v>0.81707317073170727</v>
      </c>
      <c r="X516" s="32">
        <v>25140.639999999999</v>
      </c>
      <c r="Y516" s="32">
        <v>22951.65</v>
      </c>
      <c r="Z516" s="32">
        <v>48092.29</v>
      </c>
      <c r="AA516" s="3">
        <f t="shared" si="7"/>
        <v>45965.64</v>
      </c>
      <c r="AB516" s="3"/>
      <c r="AC516" s="3"/>
      <c r="AF516" s="3"/>
      <c r="AG516" s="3"/>
      <c r="AH516" s="3"/>
    </row>
    <row r="517" spans="1:34" x14ac:dyDescent="0.25">
      <c r="A517">
        <v>6230728</v>
      </c>
      <c r="B517">
        <v>623</v>
      </c>
      <c r="C517" s="2">
        <v>1</v>
      </c>
      <c r="D517" s="2" t="s">
        <v>589</v>
      </c>
      <c r="E517">
        <v>728</v>
      </c>
      <c r="F517" s="2" t="s">
        <v>594</v>
      </c>
      <c r="G517" s="3">
        <v>0</v>
      </c>
      <c r="H517" s="32">
        <v>57</v>
      </c>
      <c r="I517" s="32">
        <v>41</v>
      </c>
      <c r="J517" s="32">
        <v>44</v>
      </c>
      <c r="K517" s="32">
        <v>36</v>
      </c>
      <c r="L517" s="32">
        <v>49</v>
      </c>
      <c r="M517" s="32">
        <v>29</v>
      </c>
      <c r="N517" s="32">
        <v>51</v>
      </c>
      <c r="O517" s="32">
        <v>36</v>
      </c>
      <c r="P517" s="32">
        <v>54</v>
      </c>
      <c r="Q517" s="32">
        <v>29</v>
      </c>
      <c r="R517" s="32">
        <v>41</v>
      </c>
      <c r="S517" s="32">
        <v>35</v>
      </c>
      <c r="T517" s="32">
        <v>52</v>
      </c>
      <c r="U517" s="32">
        <v>49</v>
      </c>
      <c r="V517" s="30">
        <v>0.70666666666666667</v>
      </c>
      <c r="W517" s="30">
        <v>0.68493150684931503</v>
      </c>
      <c r="X517" s="32">
        <v>19475.559999999998</v>
      </c>
      <c r="Y517" s="32">
        <v>17787.489999999998</v>
      </c>
      <c r="Z517" s="32">
        <v>37263.049999999996</v>
      </c>
      <c r="AA517" s="3">
        <f t="shared" si="7"/>
        <v>35615.269999999997</v>
      </c>
      <c r="AB517" s="3"/>
      <c r="AC517" s="3"/>
      <c r="AF517" s="3"/>
      <c r="AG517" s="3"/>
      <c r="AH517" s="3"/>
    </row>
    <row r="518" spans="1:34" x14ac:dyDescent="0.25">
      <c r="A518">
        <v>6230731</v>
      </c>
      <c r="B518">
        <v>623</v>
      </c>
      <c r="C518" s="2">
        <v>1</v>
      </c>
      <c r="D518" s="2" t="s">
        <v>589</v>
      </c>
      <c r="E518">
        <v>731</v>
      </c>
      <c r="F518" s="2" t="s">
        <v>595</v>
      </c>
      <c r="G518" s="3">
        <v>0</v>
      </c>
      <c r="H518" s="32">
        <v>77</v>
      </c>
      <c r="I518" s="32">
        <v>53</v>
      </c>
      <c r="J518" s="32">
        <v>60</v>
      </c>
      <c r="K518" s="32">
        <v>47</v>
      </c>
      <c r="L518" s="32">
        <v>82</v>
      </c>
      <c r="M518" s="32">
        <v>66</v>
      </c>
      <c r="N518" s="32">
        <v>59</v>
      </c>
      <c r="O518" s="32">
        <v>51</v>
      </c>
      <c r="P518" s="32">
        <v>72</v>
      </c>
      <c r="Q518" s="32">
        <v>61</v>
      </c>
      <c r="R518" s="32">
        <v>56</v>
      </c>
      <c r="S518" s="32">
        <v>46</v>
      </c>
      <c r="T518" s="32">
        <v>79</v>
      </c>
      <c r="U518" s="32">
        <v>62</v>
      </c>
      <c r="V518" s="30">
        <v>0.75799086757990863</v>
      </c>
      <c r="W518" s="30">
        <v>0.84491978609625673</v>
      </c>
      <c r="X518" s="32">
        <v>31737.46</v>
      </c>
      <c r="Y518" s="32">
        <v>27764.22</v>
      </c>
      <c r="Z518" s="32">
        <v>59501.68</v>
      </c>
      <c r="AA518" s="3">
        <f t="shared" si="7"/>
        <v>56870.5</v>
      </c>
      <c r="AB518" s="3"/>
      <c r="AC518" s="3"/>
      <c r="AF518" s="3"/>
      <c r="AG518" s="3"/>
      <c r="AH518" s="3"/>
    </row>
    <row r="519" spans="1:34" x14ac:dyDescent="0.25">
      <c r="A519">
        <v>6240824</v>
      </c>
      <c r="B519">
        <v>624</v>
      </c>
      <c r="C519" s="2">
        <v>1</v>
      </c>
      <c r="D519" s="2" t="s">
        <v>596</v>
      </c>
      <c r="E519">
        <v>824</v>
      </c>
      <c r="F519" s="2" t="s">
        <v>597</v>
      </c>
      <c r="G519" s="3">
        <v>0</v>
      </c>
      <c r="H519" s="32">
        <v>138</v>
      </c>
      <c r="I519" s="32">
        <v>109</v>
      </c>
      <c r="J519" s="32">
        <v>129</v>
      </c>
      <c r="K519" s="32">
        <v>112</v>
      </c>
      <c r="L519" s="32">
        <v>148</v>
      </c>
      <c r="M519" s="32">
        <v>129</v>
      </c>
      <c r="N519" s="32">
        <v>96</v>
      </c>
      <c r="O519" s="32">
        <v>73</v>
      </c>
      <c r="P519" s="32">
        <v>130</v>
      </c>
      <c r="Q519" s="32">
        <v>104</v>
      </c>
      <c r="R519" s="32">
        <v>116</v>
      </c>
      <c r="S519" s="32">
        <v>99</v>
      </c>
      <c r="T519" s="32">
        <v>148</v>
      </c>
      <c r="U519" s="32">
        <v>125</v>
      </c>
      <c r="V519" s="30">
        <v>0.84337349397590367</v>
      </c>
      <c r="W519" s="30">
        <v>0.80701754385964908</v>
      </c>
      <c r="X519" s="32">
        <v>66154.52</v>
      </c>
      <c r="Y519" s="32">
        <v>53465</v>
      </c>
      <c r="Z519" s="32">
        <v>119619.52</v>
      </c>
      <c r="AA519" s="3">
        <f t="shared" si="7"/>
        <v>114329.92</v>
      </c>
      <c r="AB519" s="3"/>
      <c r="AC519" s="3"/>
      <c r="AF519" s="3"/>
      <c r="AG519" s="3"/>
      <c r="AH519" s="3"/>
    </row>
    <row r="520" spans="1:34" x14ac:dyDescent="0.25">
      <c r="A520">
        <v>6240827</v>
      </c>
      <c r="B520">
        <v>624</v>
      </c>
      <c r="C520" s="2">
        <v>1</v>
      </c>
      <c r="D520" s="2" t="s">
        <v>596</v>
      </c>
      <c r="E520">
        <v>827</v>
      </c>
      <c r="F520" s="2" t="s">
        <v>598</v>
      </c>
      <c r="G520" s="3">
        <v>0</v>
      </c>
      <c r="H520" s="32">
        <v>39</v>
      </c>
      <c r="I520" s="32">
        <v>30</v>
      </c>
      <c r="J520" s="32">
        <v>33</v>
      </c>
      <c r="K520" s="32">
        <v>25</v>
      </c>
      <c r="L520" s="32">
        <v>38</v>
      </c>
      <c r="M520" s="32">
        <v>33</v>
      </c>
      <c r="N520" s="32">
        <v>40</v>
      </c>
      <c r="O520" s="32">
        <v>32</v>
      </c>
      <c r="P520" s="32">
        <v>40</v>
      </c>
      <c r="Q520" s="32">
        <v>39</v>
      </c>
      <c r="R520" s="32">
        <v>27</v>
      </c>
      <c r="S520" s="32">
        <v>25</v>
      </c>
      <c r="T520" s="32">
        <v>41</v>
      </c>
      <c r="U520" s="32">
        <v>32</v>
      </c>
      <c r="V520" s="30">
        <v>0.8</v>
      </c>
      <c r="W520" s="30">
        <v>0.89719626168224298</v>
      </c>
      <c r="X520" s="32">
        <v>17384</v>
      </c>
      <c r="Y520" s="32">
        <v>15216.32</v>
      </c>
      <c r="Z520" s="32">
        <v>32600.32</v>
      </c>
      <c r="AA520" s="3">
        <f t="shared" si="7"/>
        <v>31158.73</v>
      </c>
      <c r="AB520" s="3"/>
      <c r="AC520" s="3"/>
      <c r="AF520" s="3"/>
      <c r="AG520" s="3"/>
      <c r="AH520" s="3"/>
    </row>
    <row r="521" spans="1:34" x14ac:dyDescent="0.25">
      <c r="A521">
        <v>6240828</v>
      </c>
      <c r="B521">
        <v>624</v>
      </c>
      <c r="C521" s="2">
        <v>1</v>
      </c>
      <c r="D521" s="2" t="s">
        <v>596</v>
      </c>
      <c r="E521">
        <v>828</v>
      </c>
      <c r="F521" s="2" t="s">
        <v>599</v>
      </c>
      <c r="G521" s="3">
        <v>0</v>
      </c>
      <c r="H521" s="32">
        <v>84</v>
      </c>
      <c r="I521" s="32">
        <v>66</v>
      </c>
      <c r="J521" s="32">
        <v>98</v>
      </c>
      <c r="K521" s="32">
        <v>93</v>
      </c>
      <c r="L521" s="32">
        <v>110</v>
      </c>
      <c r="M521" s="32">
        <v>97</v>
      </c>
      <c r="N521" s="32">
        <v>90</v>
      </c>
      <c r="O521" s="32">
        <v>72</v>
      </c>
      <c r="P521" s="32">
        <v>84</v>
      </c>
      <c r="Q521" s="32">
        <v>71</v>
      </c>
      <c r="R521" s="32">
        <v>100</v>
      </c>
      <c r="S521" s="32">
        <v>86</v>
      </c>
      <c r="T521" s="32">
        <v>114</v>
      </c>
      <c r="U521" s="32">
        <v>109</v>
      </c>
      <c r="V521" s="30">
        <v>0.87671232876712324</v>
      </c>
      <c r="W521" s="30">
        <v>0.83576642335766427</v>
      </c>
      <c r="X521" s="32">
        <v>52971.240000000005</v>
      </c>
      <c r="Y521" s="32">
        <v>48282.64</v>
      </c>
      <c r="Z521" s="32">
        <v>101253.88</v>
      </c>
      <c r="AA521" s="3">
        <f t="shared" si="7"/>
        <v>96776.41</v>
      </c>
      <c r="AB521" s="3"/>
      <c r="AC521" s="3"/>
      <c r="AF521" s="3"/>
      <c r="AG521" s="3"/>
      <c r="AH521" s="3"/>
    </row>
    <row r="522" spans="1:34" x14ac:dyDescent="0.25">
      <c r="A522">
        <v>6240831</v>
      </c>
      <c r="B522">
        <v>624</v>
      </c>
      <c r="C522" s="2">
        <v>1</v>
      </c>
      <c r="D522" s="2" t="s">
        <v>596</v>
      </c>
      <c r="E522">
        <v>831</v>
      </c>
      <c r="F522" s="2" t="s">
        <v>600</v>
      </c>
      <c r="G522" s="3">
        <v>0</v>
      </c>
      <c r="H522" s="32">
        <v>67</v>
      </c>
      <c r="I522" s="32">
        <v>52</v>
      </c>
      <c r="J522" s="32">
        <v>60</v>
      </c>
      <c r="K522" s="32">
        <v>47</v>
      </c>
      <c r="L522" s="32">
        <v>53</v>
      </c>
      <c r="M522" s="32">
        <v>43</v>
      </c>
      <c r="N522" s="32">
        <v>46</v>
      </c>
      <c r="O522" s="32">
        <v>34</v>
      </c>
      <c r="P522" s="32">
        <v>57</v>
      </c>
      <c r="Q522" s="32">
        <v>47</v>
      </c>
      <c r="R522" s="32">
        <v>59</v>
      </c>
      <c r="S522" s="32">
        <v>42</v>
      </c>
      <c r="T522" s="32">
        <v>57</v>
      </c>
      <c r="U522" s="32">
        <v>67</v>
      </c>
      <c r="V522" s="30">
        <v>0.78888888888888886</v>
      </c>
      <c r="W522" s="30">
        <v>0.7592592592592593</v>
      </c>
      <c r="X522" s="32">
        <v>23832.27</v>
      </c>
      <c r="Y522" s="32">
        <v>26961.47</v>
      </c>
      <c r="Z522" s="32">
        <v>50793.740000000005</v>
      </c>
      <c r="AA522" s="3">
        <f t="shared" si="7"/>
        <v>48547.63</v>
      </c>
      <c r="AB522" s="3"/>
      <c r="AC522" s="3"/>
      <c r="AF522" s="3"/>
      <c r="AG522" s="3"/>
      <c r="AH522" s="3"/>
    </row>
    <row r="523" spans="1:34" x14ac:dyDescent="0.25">
      <c r="A523">
        <v>6240832</v>
      </c>
      <c r="B523">
        <v>624</v>
      </c>
      <c r="C523">
        <v>1</v>
      </c>
      <c r="D523" t="s">
        <v>596</v>
      </c>
      <c r="E523">
        <v>832</v>
      </c>
      <c r="F523" t="s">
        <v>60</v>
      </c>
      <c r="G523" s="3">
        <v>0</v>
      </c>
      <c r="H523" s="32">
        <v>51</v>
      </c>
      <c r="I523" s="32">
        <v>48</v>
      </c>
      <c r="J523" s="32">
        <v>71</v>
      </c>
      <c r="K523" s="32">
        <v>55</v>
      </c>
      <c r="L523" s="32">
        <v>54</v>
      </c>
      <c r="M523" s="32">
        <v>45</v>
      </c>
      <c r="N523" s="32">
        <v>69</v>
      </c>
      <c r="O523" s="32">
        <v>55</v>
      </c>
      <c r="P523" s="32">
        <v>50</v>
      </c>
      <c r="Q523" s="32">
        <v>44</v>
      </c>
      <c r="R523" s="32">
        <v>65</v>
      </c>
      <c r="S523" s="32">
        <v>53</v>
      </c>
      <c r="T523" s="32">
        <v>54</v>
      </c>
      <c r="U523" s="32">
        <v>70</v>
      </c>
      <c r="V523" s="30">
        <v>0.84090909090909094</v>
      </c>
      <c r="W523" s="30">
        <v>0.82608695652173914</v>
      </c>
      <c r="X523" s="32">
        <v>24066.720000000001</v>
      </c>
      <c r="Y523" s="32">
        <v>30648.1</v>
      </c>
      <c r="Z523" s="32">
        <v>54714.82</v>
      </c>
      <c r="AA523" s="3">
        <f t="shared" si="7"/>
        <v>52295.32</v>
      </c>
      <c r="AB523" s="3"/>
      <c r="AC523" s="3"/>
      <c r="AF523" s="3"/>
      <c r="AG523" s="3"/>
      <c r="AH523" s="3"/>
    </row>
    <row r="524" spans="1:34" x14ac:dyDescent="0.25">
      <c r="A524">
        <v>6240833</v>
      </c>
      <c r="B524">
        <v>624</v>
      </c>
      <c r="C524">
        <v>1</v>
      </c>
      <c r="D524" t="s">
        <v>596</v>
      </c>
      <c r="E524">
        <v>833</v>
      </c>
      <c r="F524" t="s">
        <v>242</v>
      </c>
      <c r="G524" s="3">
        <v>0</v>
      </c>
      <c r="H524" s="32">
        <v>88</v>
      </c>
      <c r="I524" s="32">
        <v>64</v>
      </c>
      <c r="J524" s="32">
        <v>92</v>
      </c>
      <c r="K524" s="32">
        <v>71</v>
      </c>
      <c r="L524" s="32">
        <v>98</v>
      </c>
      <c r="M524" s="32">
        <v>73</v>
      </c>
      <c r="N524" s="32">
        <v>77</v>
      </c>
      <c r="O524" s="32">
        <v>57</v>
      </c>
      <c r="P524" s="32">
        <v>82</v>
      </c>
      <c r="Q524" s="32">
        <v>64</v>
      </c>
      <c r="R524" s="32">
        <v>94</v>
      </c>
      <c r="S524" s="32">
        <v>76</v>
      </c>
      <c r="T524" s="32">
        <v>99</v>
      </c>
      <c r="U524" s="32">
        <v>99</v>
      </c>
      <c r="V524" s="30">
        <v>0.74820143884892087</v>
      </c>
      <c r="W524" s="30">
        <v>0.77865612648221338</v>
      </c>
      <c r="X524" s="32">
        <v>39258.450000000004</v>
      </c>
      <c r="Y524" s="32">
        <v>40856.31</v>
      </c>
      <c r="Z524" s="32">
        <v>80114.760000000009</v>
      </c>
      <c r="AA524" s="3">
        <f t="shared" si="7"/>
        <v>76572.070000000007</v>
      </c>
      <c r="AB524" s="3"/>
      <c r="AC524" s="3"/>
      <c r="AF524" s="3"/>
      <c r="AG524" s="3"/>
      <c r="AH524" s="3"/>
    </row>
    <row r="525" spans="1:34" x14ac:dyDescent="0.25">
      <c r="A525">
        <v>6240834</v>
      </c>
      <c r="B525">
        <v>624</v>
      </c>
      <c r="C525">
        <v>1</v>
      </c>
      <c r="D525" t="s">
        <v>596</v>
      </c>
      <c r="E525">
        <v>834</v>
      </c>
      <c r="F525" t="s">
        <v>601</v>
      </c>
      <c r="G525" s="3">
        <v>0</v>
      </c>
      <c r="H525" s="32">
        <v>55</v>
      </c>
      <c r="I525" s="32">
        <v>39</v>
      </c>
      <c r="J525" s="32">
        <v>60</v>
      </c>
      <c r="K525" s="32">
        <v>44</v>
      </c>
      <c r="L525" s="32">
        <v>82</v>
      </c>
      <c r="M525" s="32">
        <v>67</v>
      </c>
      <c r="N525" s="32">
        <v>67</v>
      </c>
      <c r="O525" s="32">
        <v>52</v>
      </c>
      <c r="P525" s="32">
        <v>51</v>
      </c>
      <c r="Q525" s="32">
        <v>38</v>
      </c>
      <c r="R525" s="32">
        <v>55</v>
      </c>
      <c r="S525" s="32">
        <v>47</v>
      </c>
      <c r="T525" s="32">
        <v>82</v>
      </c>
      <c r="U525" s="32">
        <v>61</v>
      </c>
      <c r="V525" s="30">
        <v>0.76142131979695427</v>
      </c>
      <c r="W525" s="30">
        <v>0.79190751445086704</v>
      </c>
      <c r="X525" s="32">
        <v>33091.1</v>
      </c>
      <c r="Y525" s="32">
        <v>25602.309999999998</v>
      </c>
      <c r="Z525" s="32">
        <v>58693.409999999996</v>
      </c>
      <c r="AA525" s="3">
        <f t="shared" si="7"/>
        <v>56097.97</v>
      </c>
      <c r="AB525" s="3"/>
      <c r="AC525" s="3"/>
      <c r="AF525" s="3"/>
      <c r="AG525" s="3"/>
      <c r="AH525" s="3"/>
    </row>
    <row r="526" spans="1:34" x14ac:dyDescent="0.25">
      <c r="A526">
        <v>6240836</v>
      </c>
      <c r="B526">
        <v>624</v>
      </c>
      <c r="C526">
        <v>1</v>
      </c>
      <c r="D526" t="s">
        <v>596</v>
      </c>
      <c r="E526">
        <v>836</v>
      </c>
      <c r="F526" t="s">
        <v>602</v>
      </c>
      <c r="G526" s="3">
        <v>0</v>
      </c>
      <c r="H526" s="32">
        <v>56</v>
      </c>
      <c r="I526" s="32">
        <v>45</v>
      </c>
      <c r="J526" s="32">
        <v>56</v>
      </c>
      <c r="K526" s="32">
        <v>48</v>
      </c>
      <c r="L526" s="32">
        <v>71</v>
      </c>
      <c r="M526" s="32">
        <v>59</v>
      </c>
      <c r="N526" s="32">
        <v>53</v>
      </c>
      <c r="O526" s="32">
        <v>40</v>
      </c>
      <c r="P526" s="32">
        <v>54</v>
      </c>
      <c r="Q526" s="32">
        <v>45</v>
      </c>
      <c r="R526" s="32">
        <v>55</v>
      </c>
      <c r="S526" s="32">
        <v>45</v>
      </c>
      <c r="T526" s="32">
        <v>72</v>
      </c>
      <c r="U526" s="32">
        <v>61</v>
      </c>
      <c r="V526" s="30">
        <v>0.8306010928961749</v>
      </c>
      <c r="W526" s="30">
        <v>0.80246913580246915</v>
      </c>
      <c r="X526" s="32">
        <v>31695.840000000004</v>
      </c>
      <c r="Y526" s="32">
        <v>25943.91</v>
      </c>
      <c r="Z526" s="32">
        <v>57639.75</v>
      </c>
      <c r="AA526" s="3">
        <f t="shared" si="7"/>
        <v>55090.91</v>
      </c>
      <c r="AB526" s="3"/>
      <c r="AC526" s="3"/>
      <c r="AF526" s="3"/>
      <c r="AG526" s="3"/>
      <c r="AH526" s="3"/>
    </row>
    <row r="527" spans="1:34" x14ac:dyDescent="0.25">
      <c r="A527">
        <v>6250039</v>
      </c>
      <c r="B527">
        <v>625</v>
      </c>
      <c r="C527">
        <v>1</v>
      </c>
      <c r="D527" t="s">
        <v>1211</v>
      </c>
      <c r="E527">
        <v>39</v>
      </c>
      <c r="F527" t="s">
        <v>1212</v>
      </c>
      <c r="G527" s="3">
        <v>1</v>
      </c>
      <c r="H527" s="32" t="s">
        <v>1328</v>
      </c>
      <c r="I527" s="32" t="s">
        <v>1328</v>
      </c>
      <c r="J527" s="32" t="s">
        <v>1328</v>
      </c>
      <c r="K527" s="32" t="s">
        <v>1328</v>
      </c>
      <c r="L527" s="32" t="s">
        <v>1328</v>
      </c>
      <c r="M527" s="32" t="s">
        <v>1328</v>
      </c>
      <c r="N527" s="32" t="s">
        <v>1328</v>
      </c>
      <c r="O527" s="32" t="s">
        <v>1328</v>
      </c>
      <c r="P527" s="32" t="s">
        <v>1328</v>
      </c>
      <c r="Q527" s="32" t="s">
        <v>1328</v>
      </c>
      <c r="R527" s="32" t="s">
        <v>1328</v>
      </c>
      <c r="S527" s="32" t="s">
        <v>1328</v>
      </c>
      <c r="T527" s="32">
        <v>7</v>
      </c>
      <c r="U527" s="32">
        <v>6</v>
      </c>
      <c r="V527" s="30" t="s">
        <v>1328</v>
      </c>
      <c r="W527" s="30" t="s">
        <v>1328</v>
      </c>
      <c r="X527" s="32" t="s">
        <v>1328</v>
      </c>
      <c r="Y527" s="32" t="s">
        <v>1328</v>
      </c>
      <c r="Z527" s="32">
        <v>1445.46</v>
      </c>
      <c r="AA527" s="3">
        <f t="shared" ref="AA527:AA590" si="8">ROUND(Z527*AA$10,2)</f>
        <v>1381.54</v>
      </c>
      <c r="AB527" s="3"/>
      <c r="AC527" s="3"/>
      <c r="AF527" s="3"/>
      <c r="AG527" s="3"/>
      <c r="AH527" s="3"/>
    </row>
    <row r="528" spans="1:34" x14ac:dyDescent="0.25">
      <c r="A528">
        <v>6250041</v>
      </c>
      <c r="B528">
        <v>625</v>
      </c>
      <c r="C528" s="2">
        <v>1</v>
      </c>
      <c r="D528" s="2" t="s">
        <v>1211</v>
      </c>
      <c r="E528">
        <v>41</v>
      </c>
      <c r="F528" s="2" t="s">
        <v>1213</v>
      </c>
      <c r="G528" s="3">
        <v>1</v>
      </c>
      <c r="H528" s="32" t="s">
        <v>1328</v>
      </c>
      <c r="I528" s="32" t="s">
        <v>1328</v>
      </c>
      <c r="J528" s="32" t="s">
        <v>1328</v>
      </c>
      <c r="K528" s="32" t="s">
        <v>1328</v>
      </c>
      <c r="L528" s="32" t="s">
        <v>1328</v>
      </c>
      <c r="M528" s="32" t="s">
        <v>1328</v>
      </c>
      <c r="N528" s="32" t="s">
        <v>1328</v>
      </c>
      <c r="O528" s="32" t="s">
        <v>1328</v>
      </c>
      <c r="P528" s="32" t="s">
        <v>1328</v>
      </c>
      <c r="Q528" s="32" t="s">
        <v>1328</v>
      </c>
      <c r="R528" s="32" t="s">
        <v>1328</v>
      </c>
      <c r="S528" s="32" t="s">
        <v>1328</v>
      </c>
      <c r="T528" s="32">
        <v>4</v>
      </c>
      <c r="U528" s="32">
        <v>8</v>
      </c>
      <c r="V528" s="30" t="s">
        <v>1328</v>
      </c>
      <c r="W528" s="30" t="s">
        <v>1328</v>
      </c>
      <c r="X528" s="32" t="s">
        <v>1328</v>
      </c>
      <c r="Y528" s="32" t="s">
        <v>1328</v>
      </c>
      <c r="Z528" s="32">
        <v>2283.12</v>
      </c>
      <c r="AA528" s="3">
        <f t="shared" si="8"/>
        <v>2182.16</v>
      </c>
      <c r="AB528" s="3"/>
      <c r="AC528" s="3"/>
      <c r="AF528" s="3"/>
      <c r="AG528" s="3"/>
      <c r="AH528" s="3"/>
    </row>
    <row r="529" spans="1:34" x14ac:dyDescent="0.25">
      <c r="A529">
        <v>6250045</v>
      </c>
      <c r="B529">
        <v>625</v>
      </c>
      <c r="C529">
        <v>1</v>
      </c>
      <c r="D529" t="s">
        <v>1211</v>
      </c>
      <c r="E529">
        <v>45</v>
      </c>
      <c r="F529" t="s">
        <v>1214</v>
      </c>
      <c r="G529" s="3">
        <v>1</v>
      </c>
      <c r="H529" s="32" t="s">
        <v>1328</v>
      </c>
      <c r="I529" s="32" t="s">
        <v>1328</v>
      </c>
      <c r="J529" s="32" t="s">
        <v>1328</v>
      </c>
      <c r="K529" s="32" t="s">
        <v>1328</v>
      </c>
      <c r="L529" s="32" t="s">
        <v>1328</v>
      </c>
      <c r="M529" s="32" t="s">
        <v>1328</v>
      </c>
      <c r="N529" s="32" t="s">
        <v>1328</v>
      </c>
      <c r="O529" s="32" t="s">
        <v>1328</v>
      </c>
      <c r="P529" s="32" t="s">
        <v>1328</v>
      </c>
      <c r="Q529" s="32" t="s">
        <v>1328</v>
      </c>
      <c r="R529" s="32" t="s">
        <v>1328</v>
      </c>
      <c r="S529" s="32" t="s">
        <v>1328</v>
      </c>
      <c r="T529" s="32">
        <v>3</v>
      </c>
      <c r="U529" s="32">
        <v>8</v>
      </c>
      <c r="V529" s="30" t="s">
        <v>1328</v>
      </c>
      <c r="W529" s="30" t="s">
        <v>1328</v>
      </c>
      <c r="X529" s="32" t="s">
        <v>1328</v>
      </c>
      <c r="Y529" s="32" t="s">
        <v>1328</v>
      </c>
      <c r="Z529" s="32">
        <v>3612.41</v>
      </c>
      <c r="AA529" s="3">
        <f t="shared" si="8"/>
        <v>3452.67</v>
      </c>
      <c r="AB529" s="3"/>
      <c r="AC529" s="3"/>
      <c r="AF529" s="3"/>
      <c r="AG529" s="3"/>
      <c r="AH529" s="3"/>
    </row>
    <row r="530" spans="1:34" x14ac:dyDescent="0.25">
      <c r="A530">
        <v>6250047</v>
      </c>
      <c r="B530">
        <v>625</v>
      </c>
      <c r="C530" s="2">
        <v>1</v>
      </c>
      <c r="D530" s="2" t="s">
        <v>1211</v>
      </c>
      <c r="E530">
        <v>47</v>
      </c>
      <c r="F530" s="2" t="s">
        <v>1215</v>
      </c>
      <c r="G530" s="3">
        <v>1</v>
      </c>
      <c r="H530" s="32" t="s">
        <v>1328</v>
      </c>
      <c r="I530" s="32" t="s">
        <v>1328</v>
      </c>
      <c r="J530" s="32" t="s">
        <v>1328</v>
      </c>
      <c r="K530" s="32" t="s">
        <v>1328</v>
      </c>
      <c r="L530" s="32" t="s">
        <v>1328</v>
      </c>
      <c r="M530" s="32" t="s">
        <v>1328</v>
      </c>
      <c r="N530" s="32" t="s">
        <v>1328</v>
      </c>
      <c r="O530" s="32" t="s">
        <v>1328</v>
      </c>
      <c r="P530" s="32" t="s">
        <v>1328</v>
      </c>
      <c r="Q530" s="32" t="s">
        <v>1328</v>
      </c>
      <c r="R530" s="32" t="s">
        <v>1328</v>
      </c>
      <c r="S530" s="32" t="s">
        <v>1328</v>
      </c>
      <c r="T530" s="32">
        <v>4</v>
      </c>
      <c r="U530" s="32">
        <v>2</v>
      </c>
      <c r="V530" s="30" t="s">
        <v>1328</v>
      </c>
      <c r="W530" s="30" t="s">
        <v>1328</v>
      </c>
      <c r="X530" s="32" t="s">
        <v>1328</v>
      </c>
      <c r="Y530" s="32" t="s">
        <v>1328</v>
      </c>
      <c r="Z530" s="32">
        <v>1060</v>
      </c>
      <c r="AA530" s="3">
        <f t="shared" si="8"/>
        <v>1013.13</v>
      </c>
      <c r="AB530" s="3"/>
      <c r="AC530" s="3"/>
      <c r="AF530" s="3"/>
      <c r="AG530" s="3"/>
      <c r="AH530" s="3"/>
    </row>
    <row r="531" spans="1:34" x14ac:dyDescent="0.25">
      <c r="A531">
        <v>6250049</v>
      </c>
      <c r="B531">
        <v>625</v>
      </c>
      <c r="C531" s="2">
        <v>1</v>
      </c>
      <c r="D531" s="2" t="s">
        <v>1211</v>
      </c>
      <c r="E531">
        <v>49</v>
      </c>
      <c r="F531" s="2" t="s">
        <v>1216</v>
      </c>
      <c r="G531" s="3">
        <v>1</v>
      </c>
      <c r="H531" s="32" t="s">
        <v>1328</v>
      </c>
      <c r="I531" s="32" t="s">
        <v>1328</v>
      </c>
      <c r="J531" s="32" t="s">
        <v>1328</v>
      </c>
      <c r="K531" s="32" t="s">
        <v>1328</v>
      </c>
      <c r="L531" s="32" t="s">
        <v>1328</v>
      </c>
      <c r="M531" s="32" t="s">
        <v>1328</v>
      </c>
      <c r="N531" s="32" t="s">
        <v>1328</v>
      </c>
      <c r="O531" s="32" t="s">
        <v>1328</v>
      </c>
      <c r="P531" s="32" t="s">
        <v>1328</v>
      </c>
      <c r="Q531" s="32" t="s">
        <v>1328</v>
      </c>
      <c r="R531" s="32" t="s">
        <v>1328</v>
      </c>
      <c r="S531" s="32" t="s">
        <v>1328</v>
      </c>
      <c r="T531" s="32">
        <v>8</v>
      </c>
      <c r="U531" s="32">
        <v>5</v>
      </c>
      <c r="V531" s="30" t="s">
        <v>1328</v>
      </c>
      <c r="W531" s="30" t="s">
        <v>1328</v>
      </c>
      <c r="X531" s="32" t="s">
        <v>1328</v>
      </c>
      <c r="Y531" s="32" t="s">
        <v>1328</v>
      </c>
      <c r="Z531" s="32">
        <v>2410.19</v>
      </c>
      <c r="AA531" s="3">
        <f t="shared" si="8"/>
        <v>2303.61</v>
      </c>
      <c r="AB531" s="3"/>
      <c r="AC531" s="3"/>
      <c r="AF531" s="3"/>
      <c r="AG531" s="3"/>
      <c r="AH531" s="3"/>
    </row>
    <row r="532" spans="1:34" x14ac:dyDescent="0.25">
      <c r="A532">
        <v>6250050</v>
      </c>
      <c r="B532">
        <v>625</v>
      </c>
      <c r="C532" s="2">
        <v>1</v>
      </c>
      <c r="D532" s="2" t="s">
        <v>603</v>
      </c>
      <c r="E532">
        <v>50</v>
      </c>
      <c r="F532" s="2" t="s">
        <v>604</v>
      </c>
      <c r="G532" s="3">
        <v>0</v>
      </c>
      <c r="H532" s="32">
        <v>22</v>
      </c>
      <c r="I532" s="32">
        <v>9</v>
      </c>
      <c r="J532" s="32">
        <v>20</v>
      </c>
      <c r="K532" s="32">
        <v>9</v>
      </c>
      <c r="L532" s="32">
        <v>0</v>
      </c>
      <c r="M532" s="32">
        <v>0</v>
      </c>
      <c r="N532" s="32">
        <v>24</v>
      </c>
      <c r="O532" s="32">
        <v>19</v>
      </c>
      <c r="P532" s="32">
        <v>15</v>
      </c>
      <c r="Q532" s="32">
        <v>11</v>
      </c>
      <c r="R532" s="32">
        <v>0</v>
      </c>
      <c r="S532" s="32">
        <v>0</v>
      </c>
      <c r="T532" s="32">
        <v>0</v>
      </c>
      <c r="U532" s="32">
        <v>0</v>
      </c>
      <c r="V532" s="30">
        <v>0.42857142857142855</v>
      </c>
      <c r="W532" s="30">
        <v>0.76923076923076927</v>
      </c>
      <c r="X532" s="32">
        <v>0</v>
      </c>
      <c r="Y532" s="32">
        <v>0</v>
      </c>
      <c r="Z532" s="32">
        <v>0</v>
      </c>
      <c r="AA532" s="3">
        <f t="shared" si="8"/>
        <v>0</v>
      </c>
      <c r="AB532" s="3"/>
      <c r="AC532" s="3"/>
      <c r="AF532" s="3"/>
      <c r="AG532" s="3"/>
      <c r="AH532" s="3"/>
    </row>
    <row r="533" spans="1:34" x14ac:dyDescent="0.25">
      <c r="A533">
        <v>6250090</v>
      </c>
      <c r="B533">
        <v>625</v>
      </c>
      <c r="C533" s="2">
        <v>1</v>
      </c>
      <c r="D533" s="2" t="s">
        <v>1211</v>
      </c>
      <c r="E533">
        <v>90</v>
      </c>
      <c r="F533" s="2" t="s">
        <v>1217</v>
      </c>
      <c r="G533" s="3">
        <v>1</v>
      </c>
      <c r="H533" s="32" t="s">
        <v>1328</v>
      </c>
      <c r="I533" s="32" t="s">
        <v>1328</v>
      </c>
      <c r="J533" s="32" t="s">
        <v>1328</v>
      </c>
      <c r="K533" s="32" t="s">
        <v>1328</v>
      </c>
      <c r="L533" s="32" t="s">
        <v>1328</v>
      </c>
      <c r="M533" s="32" t="s">
        <v>1328</v>
      </c>
      <c r="N533" s="32" t="s">
        <v>1328</v>
      </c>
      <c r="O533" s="32" t="s">
        <v>1328</v>
      </c>
      <c r="P533" s="32" t="s">
        <v>1328</v>
      </c>
      <c r="Q533" s="32" t="s">
        <v>1328</v>
      </c>
      <c r="R533" s="32" t="s">
        <v>1328</v>
      </c>
      <c r="S533" s="32" t="s">
        <v>1328</v>
      </c>
      <c r="T533" s="32">
        <v>5</v>
      </c>
      <c r="U533" s="32">
        <v>6</v>
      </c>
      <c r="V533" s="30" t="s">
        <v>1328</v>
      </c>
      <c r="W533" s="30" t="s">
        <v>1328</v>
      </c>
      <c r="X533" s="32" t="s">
        <v>1328</v>
      </c>
      <c r="Y533" s="32" t="s">
        <v>1328</v>
      </c>
      <c r="Z533" s="32">
        <v>2942.9</v>
      </c>
      <c r="AA533" s="3">
        <f t="shared" si="8"/>
        <v>2812.76</v>
      </c>
      <c r="AB533" s="3"/>
      <c r="AC533" s="3"/>
      <c r="AF533" s="3"/>
      <c r="AG533" s="3"/>
      <c r="AH533" s="3"/>
    </row>
    <row r="534" spans="1:34" x14ac:dyDescent="0.25">
      <c r="A534">
        <v>6250150</v>
      </c>
      <c r="B534">
        <v>625</v>
      </c>
      <c r="C534" s="2">
        <v>1</v>
      </c>
      <c r="D534" s="2" t="s">
        <v>603</v>
      </c>
      <c r="E534">
        <v>150</v>
      </c>
      <c r="F534" s="2" t="s">
        <v>605</v>
      </c>
      <c r="G534" s="3">
        <v>0</v>
      </c>
      <c r="H534" s="32">
        <v>53</v>
      </c>
      <c r="I534" s="32">
        <v>29</v>
      </c>
      <c r="J534" s="32">
        <v>47</v>
      </c>
      <c r="K534" s="32">
        <v>28</v>
      </c>
      <c r="L534" s="32">
        <v>0</v>
      </c>
      <c r="M534" s="32">
        <v>0</v>
      </c>
      <c r="N534" s="32">
        <v>44</v>
      </c>
      <c r="O534" s="32">
        <v>28</v>
      </c>
      <c r="P534" s="32">
        <v>49</v>
      </c>
      <c r="Q534" s="32">
        <v>34</v>
      </c>
      <c r="R534" s="32">
        <v>0</v>
      </c>
      <c r="S534" s="32">
        <v>0</v>
      </c>
      <c r="T534" s="32">
        <v>0</v>
      </c>
      <c r="U534" s="32">
        <v>0</v>
      </c>
      <c r="V534" s="30">
        <v>0.56999999999999995</v>
      </c>
      <c r="W534" s="30">
        <v>0.66666666666666663</v>
      </c>
      <c r="X534" s="32">
        <v>0</v>
      </c>
      <c r="Y534" s="32">
        <v>0</v>
      </c>
      <c r="Z534" s="32">
        <v>0</v>
      </c>
      <c r="AA534" s="3">
        <f t="shared" si="8"/>
        <v>0</v>
      </c>
      <c r="AB534" s="3"/>
      <c r="AC534" s="3"/>
      <c r="AF534" s="3"/>
      <c r="AG534" s="3"/>
      <c r="AH534" s="3"/>
    </row>
    <row r="535" spans="1:34" x14ac:dyDescent="0.25">
      <c r="A535">
        <v>6250410</v>
      </c>
      <c r="B535">
        <v>625</v>
      </c>
      <c r="C535" s="2">
        <v>1</v>
      </c>
      <c r="D535" s="2" t="s">
        <v>603</v>
      </c>
      <c r="E535">
        <v>410</v>
      </c>
      <c r="F535" s="2" t="s">
        <v>606</v>
      </c>
      <c r="G535" s="3">
        <v>0</v>
      </c>
      <c r="H535" s="32">
        <v>82</v>
      </c>
      <c r="I535" s="32">
        <v>58</v>
      </c>
      <c r="J535" s="32">
        <v>107</v>
      </c>
      <c r="K535" s="32">
        <v>66</v>
      </c>
      <c r="L535" s="32">
        <v>90</v>
      </c>
      <c r="M535" s="32">
        <v>73</v>
      </c>
      <c r="N535" s="32">
        <v>77</v>
      </c>
      <c r="O535" s="32">
        <v>57</v>
      </c>
      <c r="P535" s="32">
        <v>71</v>
      </c>
      <c r="Q535" s="32">
        <v>62</v>
      </c>
      <c r="R535" s="32">
        <v>87</v>
      </c>
      <c r="S535" s="32">
        <v>73</v>
      </c>
      <c r="T535" s="32">
        <v>90</v>
      </c>
      <c r="U535" s="32">
        <v>89</v>
      </c>
      <c r="V535" s="30">
        <v>0.70609318996415771</v>
      </c>
      <c r="W535" s="30">
        <v>0.81702127659574464</v>
      </c>
      <c r="X535" s="32">
        <v>33680.700000000004</v>
      </c>
      <c r="Y535" s="32">
        <v>38538.78</v>
      </c>
      <c r="Z535" s="32">
        <v>72219.48000000001</v>
      </c>
      <c r="AA535" s="3">
        <f t="shared" si="8"/>
        <v>69025.919999999998</v>
      </c>
      <c r="AB535" s="3"/>
      <c r="AC535" s="3"/>
      <c r="AF535" s="3"/>
      <c r="AG535" s="3"/>
      <c r="AH535" s="3"/>
    </row>
    <row r="536" spans="1:34" x14ac:dyDescent="0.25">
      <c r="A536">
        <v>6250413</v>
      </c>
      <c r="B536">
        <v>625</v>
      </c>
      <c r="C536" s="2">
        <v>1</v>
      </c>
      <c r="D536" s="2" t="s">
        <v>603</v>
      </c>
      <c r="E536">
        <v>413</v>
      </c>
      <c r="F536" s="2" t="s">
        <v>607</v>
      </c>
      <c r="G536" s="3">
        <v>0</v>
      </c>
      <c r="H536" s="32">
        <v>40</v>
      </c>
      <c r="I536" s="32">
        <v>36</v>
      </c>
      <c r="J536" s="32">
        <v>33</v>
      </c>
      <c r="K536" s="32">
        <v>15</v>
      </c>
      <c r="L536" s="32">
        <v>0</v>
      </c>
      <c r="M536" s="32">
        <v>0</v>
      </c>
      <c r="N536" s="32">
        <v>31</v>
      </c>
      <c r="O536" s="32">
        <v>19</v>
      </c>
      <c r="P536" s="32">
        <v>39</v>
      </c>
      <c r="Q536" s="32">
        <v>17</v>
      </c>
      <c r="R536" s="32">
        <v>0</v>
      </c>
      <c r="S536" s="32">
        <v>0</v>
      </c>
      <c r="T536" s="32">
        <v>0</v>
      </c>
      <c r="U536" s="32">
        <v>0</v>
      </c>
      <c r="V536" s="30">
        <v>0.69863013698630139</v>
      </c>
      <c r="W536" s="30">
        <v>0.51428571428571423</v>
      </c>
      <c r="X536" s="32">
        <v>0</v>
      </c>
      <c r="Y536" s="32">
        <v>0</v>
      </c>
      <c r="Z536" s="32">
        <v>0</v>
      </c>
      <c r="AA536" s="3">
        <f t="shared" si="8"/>
        <v>0</v>
      </c>
      <c r="AB536" s="3"/>
      <c r="AC536" s="3"/>
      <c r="AF536" s="3"/>
      <c r="AG536" s="3"/>
      <c r="AH536" s="3"/>
    </row>
    <row r="537" spans="1:34" x14ac:dyDescent="0.25">
      <c r="A537">
        <v>6250415</v>
      </c>
      <c r="B537">
        <v>625</v>
      </c>
      <c r="C537" s="2">
        <v>1</v>
      </c>
      <c r="D537" s="2" t="s">
        <v>603</v>
      </c>
      <c r="E537">
        <v>415</v>
      </c>
      <c r="F537" s="2" t="s">
        <v>608</v>
      </c>
      <c r="G537" s="3">
        <v>0</v>
      </c>
      <c r="H537" s="32">
        <v>33</v>
      </c>
      <c r="I537" s="32">
        <v>15</v>
      </c>
      <c r="J537" s="32">
        <v>45</v>
      </c>
      <c r="K537" s="32">
        <v>22</v>
      </c>
      <c r="L537" s="32">
        <v>35</v>
      </c>
      <c r="M537" s="32">
        <v>18</v>
      </c>
      <c r="N537" s="32">
        <v>42</v>
      </c>
      <c r="O537" s="32">
        <v>25</v>
      </c>
      <c r="P537" s="32">
        <v>25</v>
      </c>
      <c r="Q537" s="32">
        <v>20</v>
      </c>
      <c r="R537" s="32">
        <v>35</v>
      </c>
      <c r="S537" s="32">
        <v>29</v>
      </c>
      <c r="T537" s="32">
        <v>36</v>
      </c>
      <c r="U537" s="32">
        <v>43</v>
      </c>
      <c r="V537" s="30">
        <v>0.48672566371681414</v>
      </c>
      <c r="W537" s="30">
        <v>0.72549019607843135</v>
      </c>
      <c r="X537" s="32">
        <v>9286.56</v>
      </c>
      <c r="Y537" s="32">
        <v>16533.93</v>
      </c>
      <c r="Z537" s="32">
        <v>25820.489999999998</v>
      </c>
      <c r="AA537" s="3">
        <f t="shared" si="8"/>
        <v>24678.7</v>
      </c>
      <c r="AB537" s="3"/>
      <c r="AC537" s="3"/>
      <c r="AF537" s="3"/>
      <c r="AG537" s="3"/>
      <c r="AH537" s="3"/>
    </row>
    <row r="538" spans="1:34" x14ac:dyDescent="0.25">
      <c r="A538">
        <v>6250422</v>
      </c>
      <c r="B538">
        <v>625</v>
      </c>
      <c r="C538">
        <v>1</v>
      </c>
      <c r="D538" t="s">
        <v>603</v>
      </c>
      <c r="E538">
        <v>422</v>
      </c>
      <c r="F538" t="s">
        <v>609</v>
      </c>
      <c r="G538" s="3">
        <v>0</v>
      </c>
      <c r="H538" s="32">
        <v>83</v>
      </c>
      <c r="I538" s="32">
        <v>43</v>
      </c>
      <c r="J538" s="32">
        <v>83</v>
      </c>
      <c r="K538" s="32">
        <v>55</v>
      </c>
      <c r="L538" s="32">
        <v>79</v>
      </c>
      <c r="M538" s="32">
        <v>39</v>
      </c>
      <c r="N538" s="32">
        <v>76</v>
      </c>
      <c r="O538" s="32">
        <v>59</v>
      </c>
      <c r="P538" s="32">
        <v>79</v>
      </c>
      <c r="Q538" s="32">
        <v>60</v>
      </c>
      <c r="R538" s="32">
        <v>86</v>
      </c>
      <c r="S538" s="32">
        <v>72</v>
      </c>
      <c r="T538" s="32">
        <v>86</v>
      </c>
      <c r="U538" s="32">
        <v>89</v>
      </c>
      <c r="V538" s="30">
        <v>0.5591836734693878</v>
      </c>
      <c r="W538" s="30">
        <v>0.79253112033195017</v>
      </c>
      <c r="X538" s="32">
        <v>25487.82</v>
      </c>
      <c r="Y538" s="32">
        <v>37383.560000000005</v>
      </c>
      <c r="Z538" s="32">
        <v>62871.380000000005</v>
      </c>
      <c r="AA538" s="3">
        <f t="shared" si="8"/>
        <v>60091.19</v>
      </c>
      <c r="AB538" s="3"/>
      <c r="AC538" s="3"/>
      <c r="AF538" s="3"/>
      <c r="AG538" s="3"/>
      <c r="AH538" s="3"/>
    </row>
    <row r="539" spans="1:34" x14ac:dyDescent="0.25">
      <c r="A539">
        <v>6250424</v>
      </c>
      <c r="B539">
        <v>625</v>
      </c>
      <c r="C539" s="2">
        <v>1</v>
      </c>
      <c r="D539" s="2" t="s">
        <v>1211</v>
      </c>
      <c r="E539">
        <v>424</v>
      </c>
      <c r="F539" s="2" t="s">
        <v>1295</v>
      </c>
      <c r="G539" s="3">
        <v>0</v>
      </c>
      <c r="H539" s="32">
        <v>0</v>
      </c>
      <c r="I539" s="32">
        <v>0</v>
      </c>
      <c r="J539" s="32">
        <v>0</v>
      </c>
      <c r="K539" s="32">
        <v>0</v>
      </c>
      <c r="L539" s="32">
        <v>46</v>
      </c>
      <c r="M539" s="32">
        <v>25</v>
      </c>
      <c r="N539" s="32">
        <v>0</v>
      </c>
      <c r="O539" s="32">
        <v>0</v>
      </c>
      <c r="P539" s="32">
        <v>0</v>
      </c>
      <c r="Q539" s="32">
        <v>0</v>
      </c>
      <c r="R539" s="32">
        <v>41</v>
      </c>
      <c r="S539" s="32">
        <v>20</v>
      </c>
      <c r="T539" s="32">
        <v>49</v>
      </c>
      <c r="U539" s="32">
        <v>51</v>
      </c>
      <c r="V539" s="30">
        <v>0.54347826086956519</v>
      </c>
      <c r="W539" s="30">
        <v>0.48780487804878048</v>
      </c>
      <c r="X539" s="32">
        <v>14113.960000000001</v>
      </c>
      <c r="Y539" s="32">
        <v>13185.54</v>
      </c>
      <c r="Z539" s="32">
        <v>27299.5</v>
      </c>
      <c r="AA539" s="3">
        <f t="shared" si="8"/>
        <v>26092.31</v>
      </c>
      <c r="AB539" s="3"/>
      <c r="AC539" s="3"/>
      <c r="AF539" s="3"/>
      <c r="AG539" s="3"/>
      <c r="AH539" s="3"/>
    </row>
    <row r="540" spans="1:34" x14ac:dyDescent="0.25">
      <c r="A540">
        <v>6250425</v>
      </c>
      <c r="B540">
        <v>625</v>
      </c>
      <c r="C540" s="2">
        <v>1</v>
      </c>
      <c r="D540" s="2" t="s">
        <v>603</v>
      </c>
      <c r="E540">
        <v>425</v>
      </c>
      <c r="F540" s="2" t="s">
        <v>610</v>
      </c>
      <c r="G540" s="3">
        <v>0</v>
      </c>
      <c r="H540" s="32">
        <v>61</v>
      </c>
      <c r="I540" s="32">
        <v>46</v>
      </c>
      <c r="J540" s="32">
        <v>67</v>
      </c>
      <c r="K540" s="32">
        <v>48</v>
      </c>
      <c r="L540" s="32">
        <v>65</v>
      </c>
      <c r="M540" s="32">
        <v>48</v>
      </c>
      <c r="N540" s="32">
        <v>53</v>
      </c>
      <c r="O540" s="32">
        <v>34</v>
      </c>
      <c r="P540" s="32">
        <v>60</v>
      </c>
      <c r="Q540" s="32">
        <v>43</v>
      </c>
      <c r="R540" s="32">
        <v>63</v>
      </c>
      <c r="S540" s="32">
        <v>44</v>
      </c>
      <c r="T540" s="32">
        <v>62</v>
      </c>
      <c r="U540" s="32">
        <v>66</v>
      </c>
      <c r="V540" s="30">
        <v>0.73575129533678751</v>
      </c>
      <c r="W540" s="30">
        <v>0.6875</v>
      </c>
      <c r="X540" s="32">
        <v>24176.899999999998</v>
      </c>
      <c r="Y540" s="32">
        <v>24049.079999999998</v>
      </c>
      <c r="Z540" s="32">
        <v>48225.979999999996</v>
      </c>
      <c r="AA540" s="3">
        <f t="shared" si="8"/>
        <v>46093.42</v>
      </c>
      <c r="AB540" s="3"/>
      <c r="AC540" s="3"/>
      <c r="AF540" s="3"/>
      <c r="AG540" s="3"/>
      <c r="AH540" s="3"/>
    </row>
    <row r="541" spans="1:34" x14ac:dyDescent="0.25">
      <c r="A541">
        <v>6250428</v>
      </c>
      <c r="B541">
        <v>625</v>
      </c>
      <c r="C541" s="2">
        <v>1</v>
      </c>
      <c r="D541" s="2" t="s">
        <v>603</v>
      </c>
      <c r="E541">
        <v>428</v>
      </c>
      <c r="F541" s="2" t="s">
        <v>611</v>
      </c>
      <c r="G541" s="3">
        <v>0</v>
      </c>
      <c r="H541" s="32">
        <v>41</v>
      </c>
      <c r="I541" s="32">
        <v>22</v>
      </c>
      <c r="J541" s="32">
        <v>51</v>
      </c>
      <c r="K541" s="32">
        <v>21</v>
      </c>
      <c r="L541" s="32">
        <v>73</v>
      </c>
      <c r="M541" s="32">
        <v>29</v>
      </c>
      <c r="N541" s="32">
        <v>39</v>
      </c>
      <c r="O541" s="32">
        <v>31</v>
      </c>
      <c r="P541" s="32">
        <v>46</v>
      </c>
      <c r="Q541" s="32">
        <v>33</v>
      </c>
      <c r="R541" s="32">
        <v>45</v>
      </c>
      <c r="S541" s="32">
        <v>30</v>
      </c>
      <c r="T541" s="32">
        <v>72</v>
      </c>
      <c r="U541" s="32">
        <v>50</v>
      </c>
      <c r="V541" s="30">
        <v>0.43636363636363634</v>
      </c>
      <c r="W541" s="30">
        <v>0.72307692307692306</v>
      </c>
      <c r="X541" s="32">
        <v>16651.440000000002</v>
      </c>
      <c r="Y541" s="32">
        <v>19161.5</v>
      </c>
      <c r="Z541" s="32">
        <v>35812.94</v>
      </c>
      <c r="AA541" s="3">
        <f t="shared" si="8"/>
        <v>34229.279999999999</v>
      </c>
      <c r="AB541" s="3"/>
      <c r="AC541" s="3"/>
      <c r="AF541" s="3"/>
      <c r="AG541" s="3"/>
      <c r="AH541" s="3"/>
    </row>
    <row r="542" spans="1:34" x14ac:dyDescent="0.25">
      <c r="A542">
        <v>6250430</v>
      </c>
      <c r="B542">
        <v>625</v>
      </c>
      <c r="C542" s="2">
        <v>1</v>
      </c>
      <c r="D542" s="2" t="s">
        <v>1211</v>
      </c>
      <c r="E542">
        <v>430</v>
      </c>
      <c r="F542" s="2" t="s">
        <v>1369</v>
      </c>
      <c r="G542" s="3">
        <v>0</v>
      </c>
      <c r="H542" s="32">
        <v>0</v>
      </c>
      <c r="I542" s="32">
        <v>0</v>
      </c>
      <c r="J542" s="32">
        <v>0</v>
      </c>
      <c r="K542" s="32">
        <v>0</v>
      </c>
      <c r="L542" s="32">
        <v>0</v>
      </c>
      <c r="M542" s="32">
        <v>0</v>
      </c>
      <c r="N542" s="32">
        <v>0</v>
      </c>
      <c r="O542" s="32">
        <v>0</v>
      </c>
      <c r="P542" s="32">
        <v>0</v>
      </c>
      <c r="Q542" s="32">
        <v>0</v>
      </c>
      <c r="R542" s="32">
        <v>0</v>
      </c>
      <c r="S542" s="32">
        <v>0</v>
      </c>
      <c r="T542" s="32">
        <v>15</v>
      </c>
      <c r="U542" s="32">
        <v>12</v>
      </c>
      <c r="V542" s="30">
        <v>0</v>
      </c>
      <c r="W542" s="30">
        <v>0</v>
      </c>
      <c r="X542" s="32">
        <v>0</v>
      </c>
      <c r="Y542" s="32">
        <v>0</v>
      </c>
      <c r="Z542" s="32">
        <v>0</v>
      </c>
      <c r="AA542" s="3">
        <f t="shared" si="8"/>
        <v>0</v>
      </c>
      <c r="AB542" s="3"/>
      <c r="AC542" s="3"/>
      <c r="AF542" s="3"/>
      <c r="AG542" s="3"/>
      <c r="AH542" s="3"/>
    </row>
    <row r="543" spans="1:34" x14ac:dyDescent="0.25">
      <c r="A543">
        <v>6250431</v>
      </c>
      <c r="B543">
        <v>625</v>
      </c>
      <c r="C543" s="2">
        <v>1</v>
      </c>
      <c r="D543" s="2" t="s">
        <v>603</v>
      </c>
      <c r="E543">
        <v>431</v>
      </c>
      <c r="F543" s="2" t="s">
        <v>612</v>
      </c>
      <c r="G543" s="3">
        <v>0</v>
      </c>
      <c r="H543" s="32">
        <v>65</v>
      </c>
      <c r="I543" s="32">
        <v>35</v>
      </c>
      <c r="J543" s="32">
        <v>55</v>
      </c>
      <c r="K543" s="32">
        <v>30</v>
      </c>
      <c r="L543" s="32">
        <v>58</v>
      </c>
      <c r="M543" s="32">
        <v>34</v>
      </c>
      <c r="N543" s="32">
        <v>53</v>
      </c>
      <c r="O543" s="32">
        <v>45</v>
      </c>
      <c r="P543" s="32">
        <v>56</v>
      </c>
      <c r="Q543" s="32">
        <v>46</v>
      </c>
      <c r="R543" s="32">
        <v>52</v>
      </c>
      <c r="S543" s="32">
        <v>43</v>
      </c>
      <c r="T543" s="32">
        <v>72</v>
      </c>
      <c r="U543" s="32">
        <v>67</v>
      </c>
      <c r="V543" s="30">
        <v>0.5561797752808989</v>
      </c>
      <c r="W543" s="30">
        <v>0.83229813664596275</v>
      </c>
      <c r="X543" s="32">
        <v>21224.159999999996</v>
      </c>
      <c r="Y543" s="32">
        <v>29555.040000000001</v>
      </c>
      <c r="Z543" s="32">
        <v>50779.199999999997</v>
      </c>
      <c r="AA543" s="3">
        <f t="shared" si="8"/>
        <v>48533.73</v>
      </c>
      <c r="AB543" s="3"/>
      <c r="AC543" s="3"/>
      <c r="AF543" s="3"/>
      <c r="AG543" s="3"/>
      <c r="AH543" s="3"/>
    </row>
    <row r="544" spans="1:34" x14ac:dyDescent="0.25">
      <c r="A544">
        <v>6250432</v>
      </c>
      <c r="B544">
        <v>625</v>
      </c>
      <c r="C544" s="2">
        <v>1</v>
      </c>
      <c r="D544" s="2" t="s">
        <v>1211</v>
      </c>
      <c r="E544">
        <v>432</v>
      </c>
      <c r="F544" s="2" t="s">
        <v>1218</v>
      </c>
      <c r="G544" s="3">
        <v>1</v>
      </c>
      <c r="H544" s="32" t="s">
        <v>1328</v>
      </c>
      <c r="I544" s="32" t="s">
        <v>1328</v>
      </c>
      <c r="J544" s="32" t="s">
        <v>1328</v>
      </c>
      <c r="K544" s="32" t="s">
        <v>1328</v>
      </c>
      <c r="L544" s="32" t="s">
        <v>1328</v>
      </c>
      <c r="M544" s="32" t="s">
        <v>1328</v>
      </c>
      <c r="N544" s="32" t="s">
        <v>1328</v>
      </c>
      <c r="O544" s="32" t="s">
        <v>1328</v>
      </c>
      <c r="P544" s="32" t="s">
        <v>1328</v>
      </c>
      <c r="Q544" s="32" t="s">
        <v>1328</v>
      </c>
      <c r="R544" s="32" t="s">
        <v>1328</v>
      </c>
      <c r="S544" s="32" t="s">
        <v>1328</v>
      </c>
      <c r="T544" s="32">
        <v>19</v>
      </c>
      <c r="U544" s="32">
        <v>13</v>
      </c>
      <c r="V544" s="30" t="s">
        <v>1328</v>
      </c>
      <c r="W544" s="30" t="s">
        <v>1328</v>
      </c>
      <c r="X544" s="32" t="s">
        <v>1328</v>
      </c>
      <c r="Y544" s="32" t="s">
        <v>1328</v>
      </c>
      <c r="Z544" s="32">
        <v>3703.21</v>
      </c>
      <c r="AA544" s="3">
        <f t="shared" si="8"/>
        <v>3539.45</v>
      </c>
      <c r="AB544" s="3"/>
      <c r="AC544" s="3"/>
      <c r="AF544" s="3"/>
      <c r="AG544" s="3"/>
      <c r="AH544" s="3"/>
    </row>
    <row r="545" spans="1:34" x14ac:dyDescent="0.25">
      <c r="A545">
        <v>6250433</v>
      </c>
      <c r="B545">
        <v>625</v>
      </c>
      <c r="C545" s="2">
        <v>1</v>
      </c>
      <c r="D545" s="2" t="s">
        <v>603</v>
      </c>
      <c r="E545">
        <v>433</v>
      </c>
      <c r="F545" s="2" t="s">
        <v>613</v>
      </c>
      <c r="G545" s="3">
        <v>0</v>
      </c>
      <c r="H545" s="32">
        <v>52</v>
      </c>
      <c r="I545" s="32">
        <v>37</v>
      </c>
      <c r="J545" s="32">
        <v>50</v>
      </c>
      <c r="K545" s="32">
        <v>31</v>
      </c>
      <c r="L545" s="32">
        <v>45</v>
      </c>
      <c r="M545" s="32">
        <v>24</v>
      </c>
      <c r="N545" s="32">
        <v>44</v>
      </c>
      <c r="O545" s="32">
        <v>33</v>
      </c>
      <c r="P545" s="32">
        <v>44</v>
      </c>
      <c r="Q545" s="32">
        <v>28</v>
      </c>
      <c r="R545" s="32">
        <v>47</v>
      </c>
      <c r="S545" s="32">
        <v>37</v>
      </c>
      <c r="T545" s="32">
        <v>54</v>
      </c>
      <c r="U545" s="32">
        <v>55</v>
      </c>
      <c r="V545" s="30">
        <v>0.62585034013605445</v>
      </c>
      <c r="W545" s="30">
        <v>0.72592592592592597</v>
      </c>
      <c r="X545" s="32">
        <v>17911.8</v>
      </c>
      <c r="Y545" s="32">
        <v>21160.7</v>
      </c>
      <c r="Z545" s="32">
        <v>39072.5</v>
      </c>
      <c r="AA545" s="3">
        <f t="shared" si="8"/>
        <v>37344.699999999997</v>
      </c>
      <c r="AB545" s="3"/>
      <c r="AC545" s="3"/>
      <c r="AF545" s="3"/>
      <c r="AG545" s="3"/>
      <c r="AH545" s="3"/>
    </row>
    <row r="546" spans="1:34" x14ac:dyDescent="0.25">
      <c r="A546">
        <v>6250435</v>
      </c>
      <c r="B546">
        <v>625</v>
      </c>
      <c r="C546" s="2">
        <v>1</v>
      </c>
      <c r="D546" s="2" t="s">
        <v>603</v>
      </c>
      <c r="E546">
        <v>435</v>
      </c>
      <c r="F546" s="2" t="s">
        <v>614</v>
      </c>
      <c r="G546" s="3">
        <v>0</v>
      </c>
      <c r="H546" s="32">
        <v>88</v>
      </c>
      <c r="I546" s="32">
        <v>62</v>
      </c>
      <c r="J546" s="32">
        <v>92</v>
      </c>
      <c r="K546" s="32">
        <v>58</v>
      </c>
      <c r="L546" s="32">
        <v>98</v>
      </c>
      <c r="M546" s="32">
        <v>83</v>
      </c>
      <c r="N546" s="32">
        <v>94</v>
      </c>
      <c r="O546" s="32">
        <v>81</v>
      </c>
      <c r="P546" s="32">
        <v>95</v>
      </c>
      <c r="Q546" s="32">
        <v>78</v>
      </c>
      <c r="R546" s="32">
        <v>90</v>
      </c>
      <c r="S546" s="32">
        <v>82</v>
      </c>
      <c r="T546" s="32">
        <v>95</v>
      </c>
      <c r="U546" s="32">
        <v>93</v>
      </c>
      <c r="V546" s="30">
        <v>0.73021582733812951</v>
      </c>
      <c r="W546" s="30">
        <v>0.86379928315412191</v>
      </c>
      <c r="X546" s="32">
        <v>36765.949999999997</v>
      </c>
      <c r="Y546" s="32">
        <v>42576.33</v>
      </c>
      <c r="Z546" s="32">
        <v>79342.28</v>
      </c>
      <c r="AA546" s="3">
        <f t="shared" si="8"/>
        <v>75833.75</v>
      </c>
      <c r="AB546" s="3"/>
      <c r="AC546" s="3"/>
      <c r="AF546" s="3"/>
      <c r="AG546" s="3"/>
      <c r="AH546" s="3"/>
    </row>
    <row r="547" spans="1:34" x14ac:dyDescent="0.25">
      <c r="A547">
        <v>6250438</v>
      </c>
      <c r="B547">
        <v>625</v>
      </c>
      <c r="C547" s="2">
        <v>1</v>
      </c>
      <c r="D547" s="2" t="s">
        <v>603</v>
      </c>
      <c r="E547">
        <v>438</v>
      </c>
      <c r="F547" s="2" t="s">
        <v>615</v>
      </c>
      <c r="G547" s="3">
        <v>0</v>
      </c>
      <c r="H547" s="32">
        <v>49</v>
      </c>
      <c r="I547" s="32">
        <v>28</v>
      </c>
      <c r="J547" s="32">
        <v>45</v>
      </c>
      <c r="K547" s="32">
        <v>22</v>
      </c>
      <c r="L547" s="32">
        <v>52</v>
      </c>
      <c r="M547" s="32">
        <v>32</v>
      </c>
      <c r="N547" s="32">
        <v>47</v>
      </c>
      <c r="O547" s="32">
        <v>35</v>
      </c>
      <c r="P547" s="32">
        <v>41</v>
      </c>
      <c r="Q547" s="32">
        <v>33</v>
      </c>
      <c r="R547" s="32">
        <v>37</v>
      </c>
      <c r="S547" s="32">
        <v>23</v>
      </c>
      <c r="T547" s="32">
        <v>52</v>
      </c>
      <c r="U547" s="32">
        <v>48</v>
      </c>
      <c r="V547" s="30">
        <v>0.56164383561643838</v>
      </c>
      <c r="W547" s="30">
        <v>0.72799999999999998</v>
      </c>
      <c r="X547" s="32">
        <v>15478.84</v>
      </c>
      <c r="Y547" s="32">
        <v>18520.32</v>
      </c>
      <c r="Z547" s="32">
        <v>33999.160000000003</v>
      </c>
      <c r="AA547" s="3">
        <f t="shared" si="8"/>
        <v>32495.71</v>
      </c>
      <c r="AB547" s="3"/>
      <c r="AC547" s="3"/>
      <c r="AF547" s="3"/>
      <c r="AG547" s="3"/>
      <c r="AH547" s="3"/>
    </row>
    <row r="548" spans="1:34" x14ac:dyDescent="0.25">
      <c r="A548">
        <v>6250449</v>
      </c>
      <c r="B548">
        <v>625</v>
      </c>
      <c r="C548" s="2">
        <v>1</v>
      </c>
      <c r="D548" s="2" t="s">
        <v>603</v>
      </c>
      <c r="E548">
        <v>449</v>
      </c>
      <c r="F548" s="2" t="s">
        <v>616</v>
      </c>
      <c r="G548" s="3">
        <v>0</v>
      </c>
      <c r="H548" s="32">
        <v>58</v>
      </c>
      <c r="I548" s="32">
        <v>19</v>
      </c>
      <c r="J548" s="32">
        <v>65</v>
      </c>
      <c r="K548" s="32">
        <v>14</v>
      </c>
      <c r="L548" s="32">
        <v>58</v>
      </c>
      <c r="M548" s="32">
        <v>24</v>
      </c>
      <c r="N548" s="32">
        <v>49</v>
      </c>
      <c r="O548" s="32">
        <v>33</v>
      </c>
      <c r="P548" s="32">
        <v>45</v>
      </c>
      <c r="Q548" s="32">
        <v>37</v>
      </c>
      <c r="R548" s="32">
        <v>45</v>
      </c>
      <c r="S548" s="32">
        <v>32</v>
      </c>
      <c r="T548" s="32">
        <v>61</v>
      </c>
      <c r="U548" s="32">
        <v>63</v>
      </c>
      <c r="V548" s="30">
        <v>0.31491712707182318</v>
      </c>
      <c r="W548" s="30">
        <v>0.73381294964028776</v>
      </c>
      <c r="X548" s="32">
        <v>10181.51</v>
      </c>
      <c r="Y548" s="32">
        <v>24501.960000000003</v>
      </c>
      <c r="Z548" s="32">
        <v>34683.47</v>
      </c>
      <c r="AA548" s="3">
        <f t="shared" si="8"/>
        <v>33149.760000000002</v>
      </c>
      <c r="AB548" s="3"/>
      <c r="AC548" s="3"/>
      <c r="AF548" s="3"/>
      <c r="AG548" s="3"/>
      <c r="AH548" s="3"/>
    </row>
    <row r="549" spans="1:34" x14ac:dyDescent="0.25">
      <c r="A549">
        <v>6250452</v>
      </c>
      <c r="B549">
        <v>625</v>
      </c>
      <c r="C549" s="2">
        <v>1</v>
      </c>
      <c r="D549" s="2" t="s">
        <v>603</v>
      </c>
      <c r="E549">
        <v>452</v>
      </c>
      <c r="F549" s="2" t="s">
        <v>617</v>
      </c>
      <c r="G549" s="3">
        <v>0</v>
      </c>
      <c r="H549" s="32">
        <v>44</v>
      </c>
      <c r="I549" s="32">
        <v>27</v>
      </c>
      <c r="J549" s="32">
        <v>54</v>
      </c>
      <c r="K549" s="32">
        <v>26</v>
      </c>
      <c r="L549" s="32">
        <v>50</v>
      </c>
      <c r="M549" s="32">
        <v>34</v>
      </c>
      <c r="N549" s="32">
        <v>44</v>
      </c>
      <c r="O549" s="32">
        <v>29</v>
      </c>
      <c r="P549" s="32">
        <v>36</v>
      </c>
      <c r="Q549" s="32">
        <v>28</v>
      </c>
      <c r="R549" s="32">
        <v>41</v>
      </c>
      <c r="S549" s="32">
        <v>24</v>
      </c>
      <c r="T549" s="32">
        <v>48</v>
      </c>
      <c r="U549" s="32">
        <v>51</v>
      </c>
      <c r="V549" s="30">
        <v>0.58783783783783783</v>
      </c>
      <c r="W549" s="30">
        <v>0.66942148760330578</v>
      </c>
      <c r="X549" s="32">
        <v>14954.400000000001</v>
      </c>
      <c r="Y549" s="32">
        <v>18094.29</v>
      </c>
      <c r="Z549" s="32">
        <v>33048.69</v>
      </c>
      <c r="AA549" s="3">
        <f t="shared" si="8"/>
        <v>31587.27</v>
      </c>
      <c r="AB549" s="3"/>
      <c r="AC549" s="3"/>
      <c r="AF549" s="3"/>
      <c r="AG549" s="3"/>
      <c r="AH549" s="3"/>
    </row>
    <row r="550" spans="1:34" x14ac:dyDescent="0.25">
      <c r="A550">
        <v>6250458</v>
      </c>
      <c r="B550">
        <v>625</v>
      </c>
      <c r="C550" s="2">
        <v>1</v>
      </c>
      <c r="D550" s="2" t="s">
        <v>603</v>
      </c>
      <c r="E550">
        <v>458</v>
      </c>
      <c r="F550" s="2" t="s">
        <v>618</v>
      </c>
      <c r="G550" s="3">
        <v>0</v>
      </c>
      <c r="H550" s="32">
        <v>81</v>
      </c>
      <c r="I550" s="32">
        <v>56</v>
      </c>
      <c r="J550" s="32">
        <v>89</v>
      </c>
      <c r="K550" s="32">
        <v>50</v>
      </c>
      <c r="L550" s="32">
        <v>108</v>
      </c>
      <c r="M550" s="32">
        <v>81</v>
      </c>
      <c r="N550" s="32">
        <v>86</v>
      </c>
      <c r="O550" s="32">
        <v>65</v>
      </c>
      <c r="P550" s="32">
        <v>88</v>
      </c>
      <c r="Q550" s="32">
        <v>64</v>
      </c>
      <c r="R550" s="32">
        <v>97</v>
      </c>
      <c r="S550" s="32">
        <v>77</v>
      </c>
      <c r="T550" s="32">
        <v>106</v>
      </c>
      <c r="U550" s="32">
        <v>101</v>
      </c>
      <c r="V550" s="30">
        <v>0.67266187050359716</v>
      </c>
      <c r="W550" s="30">
        <v>0.76014760147601479</v>
      </c>
      <c r="X550" s="32">
        <v>37790.06</v>
      </c>
      <c r="Y550" s="32">
        <v>40690.879999999997</v>
      </c>
      <c r="Z550" s="32">
        <v>78480.94</v>
      </c>
      <c r="AA550" s="3">
        <f t="shared" si="8"/>
        <v>75010.490000000005</v>
      </c>
      <c r="AB550" s="3"/>
      <c r="AC550" s="3"/>
      <c r="AF550" s="3"/>
      <c r="AG550" s="3"/>
      <c r="AH550" s="3"/>
    </row>
    <row r="551" spans="1:34" x14ac:dyDescent="0.25">
      <c r="A551">
        <v>6250460</v>
      </c>
      <c r="B551">
        <v>625</v>
      </c>
      <c r="C551" s="2">
        <v>1</v>
      </c>
      <c r="D551" s="2" t="s">
        <v>603</v>
      </c>
      <c r="E551">
        <v>460</v>
      </c>
      <c r="F551" s="2" t="s">
        <v>619</v>
      </c>
      <c r="G551" s="3">
        <v>0</v>
      </c>
      <c r="H551" s="32">
        <v>48</v>
      </c>
      <c r="I551" s="32">
        <v>33</v>
      </c>
      <c r="J551" s="32">
        <v>44</v>
      </c>
      <c r="K551" s="32">
        <v>24</v>
      </c>
      <c r="L551" s="32">
        <v>42</v>
      </c>
      <c r="M551" s="32">
        <v>26</v>
      </c>
      <c r="N551" s="32">
        <v>42</v>
      </c>
      <c r="O551" s="32">
        <v>26</v>
      </c>
      <c r="P551" s="32">
        <v>43</v>
      </c>
      <c r="Q551" s="32">
        <v>30</v>
      </c>
      <c r="R551" s="32">
        <v>40</v>
      </c>
      <c r="S551" s="32">
        <v>25</v>
      </c>
      <c r="T551" s="32">
        <v>44</v>
      </c>
      <c r="U551" s="32">
        <v>45</v>
      </c>
      <c r="V551" s="30">
        <v>0.61940298507462688</v>
      </c>
      <c r="W551" s="30">
        <v>0.64800000000000002</v>
      </c>
      <c r="X551" s="32">
        <v>14444.32</v>
      </c>
      <c r="Y551" s="32">
        <v>15454.8</v>
      </c>
      <c r="Z551" s="32">
        <v>29899.119999999999</v>
      </c>
      <c r="AA551" s="3">
        <f t="shared" si="8"/>
        <v>28576.97</v>
      </c>
      <c r="AB551" s="3"/>
      <c r="AC551" s="3"/>
      <c r="AF551" s="3"/>
      <c r="AG551" s="3"/>
      <c r="AH551" s="3"/>
    </row>
    <row r="552" spans="1:34" x14ac:dyDescent="0.25">
      <c r="A552">
        <v>6250461</v>
      </c>
      <c r="B552">
        <v>625</v>
      </c>
      <c r="C552" s="2">
        <v>1</v>
      </c>
      <c r="D552" s="2" t="s">
        <v>603</v>
      </c>
      <c r="E552">
        <v>461</v>
      </c>
      <c r="F552" s="2" t="s">
        <v>620</v>
      </c>
      <c r="G552" s="3">
        <v>0</v>
      </c>
      <c r="H552" s="32">
        <v>57</v>
      </c>
      <c r="I552" s="32">
        <v>16</v>
      </c>
      <c r="J552" s="32">
        <v>53</v>
      </c>
      <c r="K552" s="32">
        <v>29</v>
      </c>
      <c r="L552" s="32">
        <v>0</v>
      </c>
      <c r="M552" s="32">
        <v>0</v>
      </c>
      <c r="N552" s="32">
        <v>48</v>
      </c>
      <c r="O552" s="32">
        <v>26</v>
      </c>
      <c r="P552" s="32">
        <v>37</v>
      </c>
      <c r="Q552" s="32">
        <v>33</v>
      </c>
      <c r="R552" s="32">
        <v>0</v>
      </c>
      <c r="S552" s="32">
        <v>0</v>
      </c>
      <c r="T552" s="32">
        <v>0</v>
      </c>
      <c r="U552" s="32">
        <v>0</v>
      </c>
      <c r="V552" s="30">
        <v>0.40909090909090912</v>
      </c>
      <c r="W552" s="30">
        <v>0.69411764705882351</v>
      </c>
      <c r="X552" s="32">
        <v>0</v>
      </c>
      <c r="Y552" s="32">
        <v>0</v>
      </c>
      <c r="Z552" s="32">
        <v>0</v>
      </c>
      <c r="AA552" s="3">
        <f t="shared" si="8"/>
        <v>0</v>
      </c>
      <c r="AB552" s="3"/>
      <c r="AC552" s="3"/>
      <c r="AF552" s="3"/>
      <c r="AG552" s="3"/>
      <c r="AH552" s="3"/>
    </row>
    <row r="553" spans="1:34" x14ac:dyDescent="0.25">
      <c r="A553">
        <v>6250462</v>
      </c>
      <c r="B553">
        <v>625</v>
      </c>
      <c r="C553" s="2">
        <v>1</v>
      </c>
      <c r="D553" s="2" t="s">
        <v>603</v>
      </c>
      <c r="E553">
        <v>462</v>
      </c>
      <c r="F553" s="2" t="s">
        <v>621</v>
      </c>
      <c r="G553" s="3">
        <v>0</v>
      </c>
      <c r="H553" s="32">
        <v>79</v>
      </c>
      <c r="I553" s="32">
        <v>59</v>
      </c>
      <c r="J553" s="32">
        <v>75</v>
      </c>
      <c r="K553" s="32">
        <v>68</v>
      </c>
      <c r="L553" s="32">
        <v>87</v>
      </c>
      <c r="M553" s="32">
        <v>68</v>
      </c>
      <c r="N553" s="32">
        <v>65</v>
      </c>
      <c r="O553" s="32">
        <v>49</v>
      </c>
      <c r="P553" s="32">
        <v>75</v>
      </c>
      <c r="Q553" s="32">
        <v>65</v>
      </c>
      <c r="R553" s="32">
        <v>68</v>
      </c>
      <c r="S553" s="32">
        <v>51</v>
      </c>
      <c r="T553" s="32">
        <v>92</v>
      </c>
      <c r="U553" s="32">
        <v>70</v>
      </c>
      <c r="V553" s="30">
        <v>0.8091286307053942</v>
      </c>
      <c r="W553" s="30">
        <v>0.79326923076923073</v>
      </c>
      <c r="X553" s="32">
        <v>39453.279999999999</v>
      </c>
      <c r="Y553" s="32">
        <v>29430.100000000002</v>
      </c>
      <c r="Z553" s="32">
        <v>68883.38</v>
      </c>
      <c r="AA553" s="3">
        <f t="shared" si="8"/>
        <v>65837.34</v>
      </c>
      <c r="AB553" s="3"/>
      <c r="AC553" s="3"/>
      <c r="AF553" s="3"/>
      <c r="AG553" s="3"/>
      <c r="AH553" s="3"/>
    </row>
    <row r="554" spans="1:34" x14ac:dyDescent="0.25">
      <c r="A554">
        <v>6250464</v>
      </c>
      <c r="B554">
        <v>625</v>
      </c>
      <c r="C554" s="2">
        <v>1</v>
      </c>
      <c r="D554" s="2" t="s">
        <v>603</v>
      </c>
      <c r="E554">
        <v>464</v>
      </c>
      <c r="F554" s="2" t="s">
        <v>622</v>
      </c>
      <c r="G554" s="3">
        <v>0</v>
      </c>
      <c r="H554" s="32">
        <v>73</v>
      </c>
      <c r="I554" s="32">
        <v>41</v>
      </c>
      <c r="J554" s="32">
        <v>84</v>
      </c>
      <c r="K554" s="32">
        <v>47</v>
      </c>
      <c r="L554" s="32">
        <v>80</v>
      </c>
      <c r="M554" s="32">
        <v>48</v>
      </c>
      <c r="N554" s="32">
        <v>79</v>
      </c>
      <c r="O554" s="32">
        <v>51</v>
      </c>
      <c r="P554" s="32">
        <v>69</v>
      </c>
      <c r="Q554" s="32">
        <v>54</v>
      </c>
      <c r="R554" s="32">
        <v>79</v>
      </c>
      <c r="S554" s="32">
        <v>62</v>
      </c>
      <c r="T554" s="32">
        <v>82</v>
      </c>
      <c r="U554" s="32">
        <v>90</v>
      </c>
      <c r="V554" s="30">
        <v>0.57383966244725737</v>
      </c>
      <c r="W554" s="30">
        <v>0.73568281938325997</v>
      </c>
      <c r="X554" s="32">
        <v>24939.48</v>
      </c>
      <c r="Y554" s="32">
        <v>35091.9</v>
      </c>
      <c r="Z554" s="32">
        <v>60031.380000000005</v>
      </c>
      <c r="AA554" s="3">
        <f t="shared" si="8"/>
        <v>57376.78</v>
      </c>
      <c r="AB554" s="3"/>
      <c r="AC554" s="3"/>
      <c r="AF554" s="3"/>
      <c r="AG554" s="3"/>
      <c r="AH554" s="3"/>
    </row>
    <row r="555" spans="1:34" x14ac:dyDescent="0.25">
      <c r="A555">
        <v>6250465</v>
      </c>
      <c r="B555">
        <v>625</v>
      </c>
      <c r="C555" s="2">
        <v>1</v>
      </c>
      <c r="D555" s="2" t="s">
        <v>603</v>
      </c>
      <c r="E555">
        <v>465</v>
      </c>
      <c r="F555" s="2" t="s">
        <v>623</v>
      </c>
      <c r="G555" s="3">
        <v>0</v>
      </c>
      <c r="H555" s="32">
        <v>42</v>
      </c>
      <c r="I555" s="32">
        <v>34</v>
      </c>
      <c r="J555" s="32">
        <v>46</v>
      </c>
      <c r="K555" s="32">
        <v>34</v>
      </c>
      <c r="L555" s="32">
        <v>40</v>
      </c>
      <c r="M555" s="32">
        <v>27</v>
      </c>
      <c r="N555" s="32">
        <v>32</v>
      </c>
      <c r="O555" s="32">
        <v>19</v>
      </c>
      <c r="P555" s="32">
        <v>33</v>
      </c>
      <c r="Q555" s="32">
        <v>25</v>
      </c>
      <c r="R555" s="32">
        <v>39</v>
      </c>
      <c r="S555" s="32">
        <v>24</v>
      </c>
      <c r="T555" s="32">
        <v>41</v>
      </c>
      <c r="U555" s="32">
        <v>40</v>
      </c>
      <c r="V555" s="30">
        <v>0.7421875</v>
      </c>
      <c r="W555" s="30">
        <v>0.65384615384615385</v>
      </c>
      <c r="X555" s="32">
        <v>16127.76</v>
      </c>
      <c r="Y555" s="32">
        <v>13861.6</v>
      </c>
      <c r="Z555" s="32">
        <v>29989.360000000001</v>
      </c>
      <c r="AA555" s="3">
        <f t="shared" si="8"/>
        <v>28663.22</v>
      </c>
      <c r="AB555" s="3"/>
      <c r="AC555" s="3"/>
      <c r="AF555" s="3"/>
      <c r="AG555" s="3"/>
      <c r="AH555" s="3"/>
    </row>
    <row r="556" spans="1:34" x14ac:dyDescent="0.25">
      <c r="A556">
        <v>6250466</v>
      </c>
      <c r="B556">
        <v>625</v>
      </c>
      <c r="C556" s="2">
        <v>1</v>
      </c>
      <c r="D556" s="2" t="s">
        <v>603</v>
      </c>
      <c r="E556">
        <v>466</v>
      </c>
      <c r="F556" s="2" t="s">
        <v>624</v>
      </c>
      <c r="G556" s="3">
        <v>0</v>
      </c>
      <c r="H556" s="32">
        <v>52</v>
      </c>
      <c r="I556" s="32">
        <v>29</v>
      </c>
      <c r="J556" s="32">
        <v>56</v>
      </c>
      <c r="K556" s="32">
        <v>29</v>
      </c>
      <c r="L556" s="32">
        <v>55</v>
      </c>
      <c r="M556" s="32">
        <v>34</v>
      </c>
      <c r="N556" s="32">
        <v>53</v>
      </c>
      <c r="O556" s="32">
        <v>35</v>
      </c>
      <c r="P556" s="32">
        <v>53</v>
      </c>
      <c r="Q556" s="32">
        <v>45</v>
      </c>
      <c r="R556" s="32">
        <v>55</v>
      </c>
      <c r="S556" s="32">
        <v>42</v>
      </c>
      <c r="T556" s="32">
        <v>59</v>
      </c>
      <c r="U556" s="32">
        <v>58</v>
      </c>
      <c r="V556" s="30">
        <v>0.56441717791411039</v>
      </c>
      <c r="W556" s="30">
        <v>0.75776397515527949</v>
      </c>
      <c r="X556" s="32">
        <v>17649.259999999998</v>
      </c>
      <c r="Y556" s="32">
        <v>23293.38</v>
      </c>
      <c r="Z556" s="32">
        <v>40942.639999999999</v>
      </c>
      <c r="AA556" s="3">
        <f t="shared" si="8"/>
        <v>39132.15</v>
      </c>
      <c r="AB556" s="3"/>
      <c r="AC556" s="3"/>
      <c r="AF556" s="3"/>
      <c r="AG556" s="3"/>
      <c r="AH556" s="3"/>
    </row>
    <row r="557" spans="1:34" x14ac:dyDescent="0.25">
      <c r="A557">
        <v>6250467</v>
      </c>
      <c r="B557">
        <v>625</v>
      </c>
      <c r="C557" s="2">
        <v>1</v>
      </c>
      <c r="D557" s="2" t="s">
        <v>603</v>
      </c>
      <c r="E557">
        <v>467</v>
      </c>
      <c r="F557" s="2" t="s">
        <v>625</v>
      </c>
      <c r="G557" s="3">
        <v>0</v>
      </c>
      <c r="H557" s="32">
        <v>36</v>
      </c>
      <c r="I557" s="32">
        <v>13</v>
      </c>
      <c r="J557" s="32">
        <v>39</v>
      </c>
      <c r="K557" s="32">
        <v>17</v>
      </c>
      <c r="L557" s="32">
        <v>42</v>
      </c>
      <c r="M557" s="32">
        <v>27</v>
      </c>
      <c r="N557" s="32">
        <v>35</v>
      </c>
      <c r="O557" s="32">
        <v>26</v>
      </c>
      <c r="P557" s="32">
        <v>23</v>
      </c>
      <c r="Q557" s="32">
        <v>12</v>
      </c>
      <c r="R557" s="32">
        <v>31</v>
      </c>
      <c r="S557" s="32">
        <v>25</v>
      </c>
      <c r="T557" s="32">
        <v>45</v>
      </c>
      <c r="U557" s="32">
        <v>38</v>
      </c>
      <c r="V557" s="30">
        <v>0.48717948717948717</v>
      </c>
      <c r="W557" s="30">
        <v>0.7078651685393258</v>
      </c>
      <c r="X557" s="32">
        <v>11619.449999999999</v>
      </c>
      <c r="Y557" s="32">
        <v>14256.460000000001</v>
      </c>
      <c r="Z557" s="32">
        <v>25875.91</v>
      </c>
      <c r="AA557" s="3">
        <f t="shared" si="8"/>
        <v>24731.67</v>
      </c>
      <c r="AB557" s="3"/>
      <c r="AC557" s="3"/>
      <c r="AF557" s="3"/>
      <c r="AG557" s="3"/>
      <c r="AH557" s="3"/>
    </row>
    <row r="558" spans="1:34" x14ac:dyDescent="0.25">
      <c r="A558">
        <v>6250476</v>
      </c>
      <c r="B558">
        <v>625</v>
      </c>
      <c r="C558" s="2">
        <v>1</v>
      </c>
      <c r="D558" s="2" t="s">
        <v>603</v>
      </c>
      <c r="E558">
        <v>476</v>
      </c>
      <c r="F558" s="2" t="s">
        <v>626</v>
      </c>
      <c r="G558" s="3">
        <v>0</v>
      </c>
      <c r="H558" s="32">
        <v>75</v>
      </c>
      <c r="I558" s="32">
        <v>53</v>
      </c>
      <c r="J558" s="32">
        <v>65</v>
      </c>
      <c r="K558" s="32">
        <v>41</v>
      </c>
      <c r="L558" s="32">
        <v>77</v>
      </c>
      <c r="M558" s="32">
        <v>67</v>
      </c>
      <c r="N558" s="32">
        <v>62</v>
      </c>
      <c r="O558" s="32">
        <v>38</v>
      </c>
      <c r="P558" s="32">
        <v>65</v>
      </c>
      <c r="Q558" s="32">
        <v>54</v>
      </c>
      <c r="R558" s="32">
        <v>58</v>
      </c>
      <c r="S558" s="32">
        <v>52</v>
      </c>
      <c r="T558" s="32">
        <v>75</v>
      </c>
      <c r="U558" s="32">
        <v>61</v>
      </c>
      <c r="V558" s="30">
        <v>0.74193548387096775</v>
      </c>
      <c r="W558" s="30">
        <v>0.77837837837837842</v>
      </c>
      <c r="X558" s="32">
        <v>29492.25</v>
      </c>
      <c r="Y558" s="32">
        <v>25164.940000000002</v>
      </c>
      <c r="Z558" s="32">
        <v>54657.19</v>
      </c>
      <c r="AA558" s="3">
        <f t="shared" si="8"/>
        <v>52240.24</v>
      </c>
      <c r="AB558" s="3"/>
      <c r="AC558" s="3"/>
      <c r="AF558" s="3"/>
      <c r="AG558" s="3"/>
      <c r="AH558" s="3"/>
    </row>
    <row r="559" spans="1:34" x14ac:dyDescent="0.25">
      <c r="A559">
        <v>6250482</v>
      </c>
      <c r="B559">
        <v>625</v>
      </c>
      <c r="C559" s="2">
        <v>1</v>
      </c>
      <c r="D559" s="2" t="s">
        <v>603</v>
      </c>
      <c r="E559">
        <v>482</v>
      </c>
      <c r="F559" s="2" t="s">
        <v>627</v>
      </c>
      <c r="G559" s="3">
        <v>0</v>
      </c>
      <c r="H559" s="32">
        <v>72</v>
      </c>
      <c r="I559" s="32">
        <v>24</v>
      </c>
      <c r="J559" s="32">
        <v>75</v>
      </c>
      <c r="K559" s="32">
        <v>34</v>
      </c>
      <c r="L559" s="32">
        <v>69</v>
      </c>
      <c r="M559" s="32">
        <v>30</v>
      </c>
      <c r="N559" s="32">
        <v>70</v>
      </c>
      <c r="O559" s="32">
        <v>50</v>
      </c>
      <c r="P559" s="32">
        <v>73</v>
      </c>
      <c r="Q559" s="32">
        <v>57</v>
      </c>
      <c r="R559" s="32">
        <v>67</v>
      </c>
      <c r="S559" s="32">
        <v>55</v>
      </c>
      <c r="T559" s="32">
        <v>75</v>
      </c>
      <c r="U559" s="32">
        <v>77</v>
      </c>
      <c r="V559" s="30">
        <v>0.40740740740740738</v>
      </c>
      <c r="W559" s="30">
        <v>0.77142857142857146</v>
      </c>
      <c r="X559" s="32">
        <v>16194.75</v>
      </c>
      <c r="Y559" s="32">
        <v>31482.22</v>
      </c>
      <c r="Z559" s="32">
        <v>47676.97</v>
      </c>
      <c r="AA559" s="3">
        <f t="shared" si="8"/>
        <v>45568.68</v>
      </c>
      <c r="AB559" s="3"/>
      <c r="AC559" s="3"/>
      <c r="AF559" s="3"/>
      <c r="AG559" s="3"/>
      <c r="AH559" s="3"/>
    </row>
    <row r="560" spans="1:34" x14ac:dyDescent="0.25">
      <c r="A560">
        <v>6250488</v>
      </c>
      <c r="B560">
        <v>625</v>
      </c>
      <c r="C560" s="2">
        <v>1</v>
      </c>
      <c r="D560" s="2" t="s">
        <v>603</v>
      </c>
      <c r="E560">
        <v>488</v>
      </c>
      <c r="F560" s="2" t="s">
        <v>628</v>
      </c>
      <c r="G560" s="3">
        <v>0</v>
      </c>
      <c r="H560" s="32">
        <v>33</v>
      </c>
      <c r="I560" s="32">
        <v>23</v>
      </c>
      <c r="J560" s="32">
        <v>34</v>
      </c>
      <c r="K560" s="32">
        <v>24</v>
      </c>
      <c r="L560" s="32">
        <v>69</v>
      </c>
      <c r="M560" s="32">
        <v>43</v>
      </c>
      <c r="N560" s="32">
        <v>35</v>
      </c>
      <c r="O560" s="32">
        <v>30</v>
      </c>
      <c r="P560" s="32">
        <v>27</v>
      </c>
      <c r="Q560" s="32">
        <v>22</v>
      </c>
      <c r="R560" s="32">
        <v>52</v>
      </c>
      <c r="S560" s="32">
        <v>40</v>
      </c>
      <c r="T560" s="32">
        <v>70</v>
      </c>
      <c r="U560" s="32">
        <v>58</v>
      </c>
      <c r="V560" s="30">
        <v>0.66176470588235292</v>
      </c>
      <c r="W560" s="30">
        <v>0.80701754385964908</v>
      </c>
      <c r="X560" s="32">
        <v>24551.8</v>
      </c>
      <c r="Y560" s="32">
        <v>24807.760000000002</v>
      </c>
      <c r="Z560" s="32">
        <v>49359.56</v>
      </c>
      <c r="AA560" s="3">
        <f t="shared" si="8"/>
        <v>47176.87</v>
      </c>
      <c r="AB560" s="3"/>
      <c r="AC560" s="3"/>
      <c r="AF560" s="3"/>
      <c r="AG560" s="3"/>
      <c r="AH560" s="3"/>
    </row>
    <row r="561" spans="1:34" x14ac:dyDescent="0.25">
      <c r="A561">
        <v>6250489</v>
      </c>
      <c r="B561" s="5">
        <v>625</v>
      </c>
      <c r="C561" s="5">
        <v>1</v>
      </c>
      <c r="D561" t="s">
        <v>1211</v>
      </c>
      <c r="E561" s="5">
        <v>489</v>
      </c>
      <c r="F561" s="6" t="s">
        <v>1296</v>
      </c>
      <c r="G561" s="3">
        <v>0</v>
      </c>
      <c r="H561" s="32">
        <v>0</v>
      </c>
      <c r="I561" s="32">
        <v>0</v>
      </c>
      <c r="J561" s="32">
        <v>0</v>
      </c>
      <c r="K561" s="32">
        <v>0</v>
      </c>
      <c r="L561" s="32">
        <v>73</v>
      </c>
      <c r="M561" s="32">
        <v>51</v>
      </c>
      <c r="N561" s="32">
        <v>0</v>
      </c>
      <c r="O561" s="32">
        <v>0</v>
      </c>
      <c r="P561" s="32">
        <v>0</v>
      </c>
      <c r="Q561" s="32">
        <v>0</v>
      </c>
      <c r="R561" s="32">
        <v>54</v>
      </c>
      <c r="S561" s="32">
        <v>42</v>
      </c>
      <c r="T561" s="32">
        <v>77</v>
      </c>
      <c r="U561" s="32">
        <v>65</v>
      </c>
      <c r="V561" s="30">
        <v>0.69863013698630139</v>
      </c>
      <c r="W561" s="30">
        <v>0.77777777777777779</v>
      </c>
      <c r="X561" s="32">
        <v>28510.789999999997</v>
      </c>
      <c r="Y561" s="32">
        <v>26794.300000000003</v>
      </c>
      <c r="Z561" s="32">
        <v>55305.09</v>
      </c>
      <c r="AA561" s="3">
        <f t="shared" si="8"/>
        <v>52859.49</v>
      </c>
      <c r="AB561" s="3"/>
      <c r="AC561" s="3"/>
      <c r="AF561" s="3"/>
      <c r="AG561" s="3"/>
      <c r="AH561" s="3"/>
    </row>
    <row r="562" spans="1:34" x14ac:dyDescent="0.25">
      <c r="A562">
        <v>6250491</v>
      </c>
      <c r="B562">
        <v>625</v>
      </c>
      <c r="C562" s="2">
        <v>1</v>
      </c>
      <c r="D562" s="2" t="s">
        <v>603</v>
      </c>
      <c r="E562">
        <v>491</v>
      </c>
      <c r="F562" s="2" t="s">
        <v>629</v>
      </c>
      <c r="G562" s="3">
        <v>0</v>
      </c>
      <c r="H562" s="32">
        <v>68</v>
      </c>
      <c r="I562" s="32">
        <v>47</v>
      </c>
      <c r="J562" s="32">
        <v>60</v>
      </c>
      <c r="K562" s="32">
        <v>48</v>
      </c>
      <c r="L562" s="32">
        <v>64</v>
      </c>
      <c r="M562" s="32">
        <v>47</v>
      </c>
      <c r="N562" s="32">
        <v>62</v>
      </c>
      <c r="O562" s="32">
        <v>57</v>
      </c>
      <c r="P562" s="32">
        <v>65</v>
      </c>
      <c r="Q562" s="32">
        <v>55</v>
      </c>
      <c r="R562" s="32">
        <v>53</v>
      </c>
      <c r="S562" s="32">
        <v>43</v>
      </c>
      <c r="T562" s="32">
        <v>61</v>
      </c>
      <c r="U562" s="32">
        <v>57</v>
      </c>
      <c r="V562" s="30">
        <v>0.73958333333333337</v>
      </c>
      <c r="W562" s="30">
        <v>0.86111111111111116</v>
      </c>
      <c r="X562" s="32">
        <v>23910.780000000002</v>
      </c>
      <c r="Y562" s="32">
        <v>26014.23</v>
      </c>
      <c r="Z562" s="32">
        <v>49925.01</v>
      </c>
      <c r="AA562" s="3">
        <f t="shared" si="8"/>
        <v>47717.31</v>
      </c>
      <c r="AB562" s="3"/>
      <c r="AC562" s="3"/>
      <c r="AF562" s="3"/>
      <c r="AG562" s="3"/>
      <c r="AH562" s="3"/>
    </row>
    <row r="563" spans="1:34" x14ac:dyDescent="0.25">
      <c r="A563">
        <v>6250493</v>
      </c>
      <c r="B563">
        <v>625</v>
      </c>
      <c r="C563" s="2">
        <v>1</v>
      </c>
      <c r="D563" s="2" t="s">
        <v>603</v>
      </c>
      <c r="E563">
        <v>493</v>
      </c>
      <c r="F563" s="2" t="s">
        <v>630</v>
      </c>
      <c r="G563" s="3">
        <v>0</v>
      </c>
      <c r="H563" s="32">
        <v>53</v>
      </c>
      <c r="I563" s="32">
        <v>38</v>
      </c>
      <c r="J563" s="32">
        <v>54</v>
      </c>
      <c r="K563" s="32">
        <v>46</v>
      </c>
      <c r="L563" s="32">
        <v>61</v>
      </c>
      <c r="M563" s="32">
        <v>48</v>
      </c>
      <c r="N563" s="32">
        <v>51</v>
      </c>
      <c r="O563" s="32">
        <v>40</v>
      </c>
      <c r="P563" s="32">
        <v>54</v>
      </c>
      <c r="Q563" s="32">
        <v>44</v>
      </c>
      <c r="R563" s="32">
        <v>49</v>
      </c>
      <c r="S563" s="32">
        <v>38</v>
      </c>
      <c r="T563" s="32">
        <v>61</v>
      </c>
      <c r="U563" s="32">
        <v>50</v>
      </c>
      <c r="V563" s="30">
        <v>0.7857142857142857</v>
      </c>
      <c r="W563" s="30">
        <v>0.79220779220779225</v>
      </c>
      <c r="X563" s="32">
        <v>25402.23</v>
      </c>
      <c r="Y563" s="32">
        <v>20993.5</v>
      </c>
      <c r="Z563" s="32">
        <v>46395.729999999996</v>
      </c>
      <c r="AA563" s="3">
        <f t="shared" si="8"/>
        <v>44344.1</v>
      </c>
      <c r="AB563" s="3"/>
      <c r="AC563" s="3"/>
      <c r="AF563" s="3"/>
      <c r="AG563" s="3"/>
      <c r="AH563" s="3"/>
    </row>
    <row r="564" spans="1:34" x14ac:dyDescent="0.25">
      <c r="A564">
        <v>6250494</v>
      </c>
      <c r="B564">
        <v>625</v>
      </c>
      <c r="C564" s="2">
        <v>1</v>
      </c>
      <c r="D564" s="2" t="s">
        <v>603</v>
      </c>
      <c r="E564">
        <v>494</v>
      </c>
      <c r="F564" s="2" t="s">
        <v>631</v>
      </c>
      <c r="G564" s="3">
        <v>0</v>
      </c>
      <c r="H564" s="32">
        <v>123</v>
      </c>
      <c r="I564" s="32">
        <v>106</v>
      </c>
      <c r="J564" s="32">
        <v>126</v>
      </c>
      <c r="K564" s="32">
        <v>121</v>
      </c>
      <c r="L564" s="32">
        <v>132</v>
      </c>
      <c r="M564" s="32">
        <v>122</v>
      </c>
      <c r="N564" s="32">
        <v>131</v>
      </c>
      <c r="O564" s="32">
        <v>108</v>
      </c>
      <c r="P564" s="32">
        <v>122</v>
      </c>
      <c r="Q564" s="32">
        <v>102</v>
      </c>
      <c r="R564" s="32">
        <v>126</v>
      </c>
      <c r="S564" s="32">
        <v>104</v>
      </c>
      <c r="T564" s="32">
        <v>136</v>
      </c>
      <c r="U564" s="32">
        <v>129</v>
      </c>
      <c r="V564" s="30">
        <v>0.91601049868766404</v>
      </c>
      <c r="W564" s="30">
        <v>0.82849604221635886</v>
      </c>
      <c r="X564" s="32">
        <v>66026.64</v>
      </c>
      <c r="Y564" s="32">
        <v>56643.9</v>
      </c>
      <c r="Z564" s="32">
        <v>122670.54000000001</v>
      </c>
      <c r="AA564" s="3">
        <f t="shared" si="8"/>
        <v>117246.02</v>
      </c>
      <c r="AB564" s="3"/>
      <c r="AC564" s="3"/>
      <c r="AF564" s="3"/>
      <c r="AG564" s="3"/>
      <c r="AH564" s="3"/>
    </row>
    <row r="565" spans="1:34" x14ac:dyDescent="0.25">
      <c r="A565" s="7">
        <v>6250496</v>
      </c>
      <c r="B565" s="7">
        <v>625</v>
      </c>
      <c r="C565" s="7">
        <v>1</v>
      </c>
      <c r="D565" s="7" t="s">
        <v>603</v>
      </c>
      <c r="E565" s="7">
        <v>496</v>
      </c>
      <c r="F565" s="7" t="s">
        <v>632</v>
      </c>
      <c r="G565" s="3">
        <v>0</v>
      </c>
      <c r="H565" s="32">
        <v>38</v>
      </c>
      <c r="I565" s="32">
        <v>12</v>
      </c>
      <c r="J565" s="32">
        <v>36</v>
      </c>
      <c r="K565" s="32">
        <v>19</v>
      </c>
      <c r="L565" s="32">
        <v>34</v>
      </c>
      <c r="M565" s="32">
        <v>12</v>
      </c>
      <c r="N565" s="32">
        <v>31</v>
      </c>
      <c r="O565" s="32">
        <v>18</v>
      </c>
      <c r="P565" s="32">
        <v>26</v>
      </c>
      <c r="Q565" s="32">
        <v>20</v>
      </c>
      <c r="R565" s="32">
        <v>29</v>
      </c>
      <c r="S565" s="32">
        <v>16</v>
      </c>
      <c r="T565" s="32">
        <v>40</v>
      </c>
      <c r="U565" s="32">
        <v>44</v>
      </c>
      <c r="V565" s="30">
        <v>0.39814814814814814</v>
      </c>
      <c r="W565" s="30">
        <v>0.62790697674418605</v>
      </c>
      <c r="X565" s="32">
        <v>8440.8000000000011</v>
      </c>
      <c r="Y565" s="32">
        <v>14642.76</v>
      </c>
      <c r="Z565" s="32">
        <v>23083.56</v>
      </c>
      <c r="AA565" s="3">
        <f t="shared" si="8"/>
        <v>22062.799999999999</v>
      </c>
      <c r="AB565" s="3"/>
      <c r="AC565" s="3"/>
      <c r="AF565" s="3"/>
      <c r="AG565" s="3"/>
      <c r="AH565" s="3"/>
    </row>
    <row r="566" spans="1:34" x14ac:dyDescent="0.25">
      <c r="A566">
        <v>6250500</v>
      </c>
      <c r="B566">
        <v>625</v>
      </c>
      <c r="C566" s="2">
        <v>1</v>
      </c>
      <c r="D566" s="2" t="s">
        <v>603</v>
      </c>
      <c r="E566">
        <v>500</v>
      </c>
      <c r="F566" s="2" t="s">
        <v>634</v>
      </c>
      <c r="G566" s="3">
        <v>0</v>
      </c>
      <c r="H566" s="32">
        <v>73</v>
      </c>
      <c r="I566" s="32">
        <v>35</v>
      </c>
      <c r="J566" s="32">
        <v>71</v>
      </c>
      <c r="K566" s="32">
        <v>28</v>
      </c>
      <c r="L566" s="32">
        <v>63</v>
      </c>
      <c r="M566" s="32">
        <v>31</v>
      </c>
      <c r="N566" s="32">
        <v>64</v>
      </c>
      <c r="O566" s="32">
        <v>38</v>
      </c>
      <c r="P566" s="32">
        <v>64</v>
      </c>
      <c r="Q566" s="32">
        <v>54</v>
      </c>
      <c r="R566" s="32">
        <v>66</v>
      </c>
      <c r="S566" s="32">
        <v>54</v>
      </c>
      <c r="T566" s="32">
        <v>60</v>
      </c>
      <c r="U566" s="32">
        <v>72</v>
      </c>
      <c r="V566" s="30">
        <v>0.45410628019323673</v>
      </c>
      <c r="W566" s="30">
        <v>0.75257731958762886</v>
      </c>
      <c r="X566" s="32">
        <v>14440.800000000001</v>
      </c>
      <c r="Y566" s="32">
        <v>28718.639999999999</v>
      </c>
      <c r="Z566" s="32">
        <v>43159.44</v>
      </c>
      <c r="AA566" s="3">
        <f t="shared" si="8"/>
        <v>41250.92</v>
      </c>
      <c r="AB566" s="3"/>
      <c r="AC566" s="3"/>
      <c r="AF566" s="3"/>
      <c r="AG566" s="3"/>
      <c r="AH566" s="3"/>
    </row>
    <row r="567" spans="1:34" x14ac:dyDescent="0.25">
      <c r="A567">
        <v>6250510</v>
      </c>
      <c r="B567">
        <v>625</v>
      </c>
      <c r="C567" s="2">
        <v>1</v>
      </c>
      <c r="D567" s="2" t="s">
        <v>603</v>
      </c>
      <c r="E567">
        <v>510</v>
      </c>
      <c r="F567" s="2" t="s">
        <v>635</v>
      </c>
      <c r="G567" s="3">
        <v>0</v>
      </c>
      <c r="H567" s="32">
        <v>71</v>
      </c>
      <c r="I567" s="32">
        <v>41</v>
      </c>
      <c r="J567" s="32">
        <v>70</v>
      </c>
      <c r="K567" s="32">
        <v>48</v>
      </c>
      <c r="L567" s="32">
        <v>74</v>
      </c>
      <c r="M567" s="32">
        <v>45</v>
      </c>
      <c r="N567" s="32">
        <v>0</v>
      </c>
      <c r="O567" s="32">
        <v>0</v>
      </c>
      <c r="P567" s="32">
        <v>0</v>
      </c>
      <c r="Q567" s="32">
        <v>0</v>
      </c>
      <c r="R567" s="32">
        <v>0</v>
      </c>
      <c r="S567" s="32">
        <v>0</v>
      </c>
      <c r="T567" s="32">
        <v>80</v>
      </c>
      <c r="U567" s="32">
        <v>0</v>
      </c>
      <c r="V567" s="30">
        <v>0.62325581395348839</v>
      </c>
      <c r="W567" s="30">
        <v>0</v>
      </c>
      <c r="X567" s="32">
        <v>26426.399999999998</v>
      </c>
      <c r="Y567" s="32">
        <v>0</v>
      </c>
      <c r="Z567" s="32">
        <v>26426.399999999998</v>
      </c>
      <c r="AA567" s="3">
        <f t="shared" si="8"/>
        <v>25257.82</v>
      </c>
      <c r="AB567" s="3"/>
      <c r="AC567" s="3"/>
      <c r="AF567" s="3"/>
      <c r="AG567" s="3"/>
      <c r="AH567" s="3"/>
    </row>
    <row r="568" spans="1:34" x14ac:dyDescent="0.25">
      <c r="A568">
        <v>6250512</v>
      </c>
      <c r="B568">
        <v>625</v>
      </c>
      <c r="C568" s="2">
        <v>1</v>
      </c>
      <c r="D568" s="2" t="s">
        <v>603</v>
      </c>
      <c r="E568">
        <v>512</v>
      </c>
      <c r="F568" s="2" t="s">
        <v>636</v>
      </c>
      <c r="G568" s="3">
        <v>0</v>
      </c>
      <c r="H568" s="32">
        <v>0</v>
      </c>
      <c r="I568" s="32">
        <v>0</v>
      </c>
      <c r="J568" s="32">
        <v>0</v>
      </c>
      <c r="K568" s="32">
        <v>0</v>
      </c>
      <c r="L568" s="32">
        <v>0</v>
      </c>
      <c r="M568" s="32">
        <v>0</v>
      </c>
      <c r="N568" s="32">
        <v>17</v>
      </c>
      <c r="O568" s="32">
        <v>9</v>
      </c>
      <c r="P568" s="32">
        <v>0</v>
      </c>
      <c r="Q568" s="32">
        <v>0</v>
      </c>
      <c r="R568" s="32">
        <v>0</v>
      </c>
      <c r="S568" s="32">
        <v>0</v>
      </c>
      <c r="T568" s="32">
        <v>0</v>
      </c>
      <c r="U568" s="32">
        <v>0</v>
      </c>
      <c r="V568" s="30">
        <v>0</v>
      </c>
      <c r="W568" s="30">
        <v>0.52941176470588236</v>
      </c>
      <c r="X568" s="32">
        <v>0</v>
      </c>
      <c r="Y568" s="32">
        <v>0</v>
      </c>
      <c r="Z568" s="32">
        <v>0</v>
      </c>
      <c r="AA568" s="3">
        <f t="shared" si="8"/>
        <v>0</v>
      </c>
      <c r="AB568" s="3"/>
      <c r="AC568" s="3"/>
      <c r="AF568" s="3"/>
      <c r="AG568" s="3"/>
      <c r="AH568" s="3"/>
    </row>
    <row r="569" spans="1:34" x14ac:dyDescent="0.25">
      <c r="A569">
        <v>6250518</v>
      </c>
      <c r="B569">
        <v>625</v>
      </c>
      <c r="C569" s="2">
        <v>1</v>
      </c>
      <c r="D569" s="2" t="s">
        <v>603</v>
      </c>
      <c r="E569">
        <v>518</v>
      </c>
      <c r="F569" s="2" t="s">
        <v>637</v>
      </c>
      <c r="G569" s="3">
        <v>0</v>
      </c>
      <c r="H569" s="32">
        <v>59</v>
      </c>
      <c r="I569" s="32">
        <v>51</v>
      </c>
      <c r="J569" s="32">
        <v>53</v>
      </c>
      <c r="K569" s="32">
        <v>47</v>
      </c>
      <c r="L569" s="32">
        <v>63</v>
      </c>
      <c r="M569" s="32">
        <v>57</v>
      </c>
      <c r="N569" s="32">
        <v>54</v>
      </c>
      <c r="O569" s="32">
        <v>50</v>
      </c>
      <c r="P569" s="32">
        <v>58</v>
      </c>
      <c r="Q569" s="32">
        <v>52</v>
      </c>
      <c r="R569" s="32">
        <v>50</v>
      </c>
      <c r="S569" s="32">
        <v>47</v>
      </c>
      <c r="T569" s="32">
        <v>64</v>
      </c>
      <c r="U569" s="32">
        <v>54</v>
      </c>
      <c r="V569" s="30">
        <v>0.88571428571428568</v>
      </c>
      <c r="W569" s="30">
        <v>0.91975308641975306</v>
      </c>
      <c r="X569" s="32">
        <v>30043.52</v>
      </c>
      <c r="Y569" s="32">
        <v>26323.38</v>
      </c>
      <c r="Z569" s="32">
        <v>56366.9</v>
      </c>
      <c r="AA569" s="3">
        <f t="shared" si="8"/>
        <v>53874.34</v>
      </c>
      <c r="AB569" s="3"/>
      <c r="AC569" s="3"/>
      <c r="AF569" s="3"/>
      <c r="AG569" s="3"/>
      <c r="AH569" s="3"/>
    </row>
    <row r="570" spans="1:34" x14ac:dyDescent="0.25">
      <c r="A570">
        <v>6250524</v>
      </c>
      <c r="B570">
        <v>625</v>
      </c>
      <c r="C570" s="2">
        <v>1</v>
      </c>
      <c r="D570" s="2" t="s">
        <v>603</v>
      </c>
      <c r="E570">
        <v>524</v>
      </c>
      <c r="F570" s="2" t="s">
        <v>638</v>
      </c>
      <c r="G570" s="3">
        <v>0</v>
      </c>
      <c r="H570" s="32">
        <v>38</v>
      </c>
      <c r="I570" s="32">
        <v>7</v>
      </c>
      <c r="J570" s="32">
        <v>41</v>
      </c>
      <c r="K570" s="32">
        <v>12</v>
      </c>
      <c r="L570" s="32">
        <v>44</v>
      </c>
      <c r="M570" s="32">
        <v>18</v>
      </c>
      <c r="N570" s="32">
        <v>33</v>
      </c>
      <c r="O570" s="32">
        <v>23</v>
      </c>
      <c r="P570" s="32">
        <v>35</v>
      </c>
      <c r="Q570" s="32">
        <v>28</v>
      </c>
      <c r="R570" s="32">
        <v>38</v>
      </c>
      <c r="S570" s="32">
        <v>22</v>
      </c>
      <c r="T570" s="32">
        <v>42</v>
      </c>
      <c r="U570" s="32">
        <v>43</v>
      </c>
      <c r="V570" s="30">
        <v>0.30081300813008133</v>
      </c>
      <c r="W570" s="30">
        <v>0.68867924528301883</v>
      </c>
      <c r="X570" s="32">
        <v>6696.06</v>
      </c>
      <c r="Y570" s="32">
        <v>15695</v>
      </c>
      <c r="Z570" s="32">
        <v>22391.06</v>
      </c>
      <c r="AA570" s="3">
        <f t="shared" si="8"/>
        <v>21400.92</v>
      </c>
      <c r="AB570" s="3"/>
      <c r="AC570" s="3"/>
      <c r="AF570" s="3"/>
      <c r="AG570" s="3"/>
      <c r="AH570" s="3"/>
    </row>
    <row r="571" spans="1:34" x14ac:dyDescent="0.25">
      <c r="A571">
        <v>6250527</v>
      </c>
      <c r="B571">
        <v>625</v>
      </c>
      <c r="C571" s="2">
        <v>1</v>
      </c>
      <c r="D571" s="2" t="s">
        <v>603</v>
      </c>
      <c r="E571">
        <v>527</v>
      </c>
      <c r="F571" s="2" t="s">
        <v>639</v>
      </c>
      <c r="G571" s="3">
        <v>0</v>
      </c>
      <c r="H571" s="32">
        <v>77</v>
      </c>
      <c r="I571" s="32">
        <v>32</v>
      </c>
      <c r="J571" s="32">
        <v>65</v>
      </c>
      <c r="K571" s="32">
        <v>29</v>
      </c>
      <c r="L571" s="32">
        <v>74</v>
      </c>
      <c r="M571" s="32">
        <v>33</v>
      </c>
      <c r="N571" s="32">
        <v>63</v>
      </c>
      <c r="O571" s="32">
        <v>44</v>
      </c>
      <c r="P571" s="32">
        <v>63</v>
      </c>
      <c r="Q571" s="32">
        <v>41</v>
      </c>
      <c r="R571" s="32">
        <v>55</v>
      </c>
      <c r="S571" s="32">
        <v>32</v>
      </c>
      <c r="T571" s="32">
        <v>76</v>
      </c>
      <c r="U571" s="32">
        <v>69</v>
      </c>
      <c r="V571" s="30">
        <v>0.43518518518518517</v>
      </c>
      <c r="W571" s="30">
        <v>0.64640883977900554</v>
      </c>
      <c r="X571" s="32">
        <v>17529.400000000001</v>
      </c>
      <c r="Y571" s="32">
        <v>23639.4</v>
      </c>
      <c r="Z571" s="32">
        <v>41168.800000000003</v>
      </c>
      <c r="AA571" s="3">
        <f t="shared" si="8"/>
        <v>39348.31</v>
      </c>
      <c r="AB571" s="3"/>
      <c r="AC571" s="3"/>
      <c r="AF571" s="3"/>
      <c r="AG571" s="3"/>
      <c r="AH571" s="3"/>
    </row>
    <row r="572" spans="1:34" x14ac:dyDescent="0.25">
      <c r="A572">
        <v>6250528</v>
      </c>
      <c r="B572">
        <v>625</v>
      </c>
      <c r="C572" s="2">
        <v>1</v>
      </c>
      <c r="D572" s="2" t="s">
        <v>603</v>
      </c>
      <c r="E572">
        <v>528</v>
      </c>
      <c r="F572" s="2" t="s">
        <v>640</v>
      </c>
      <c r="G572" s="3">
        <v>0</v>
      </c>
      <c r="H572" s="32">
        <v>0</v>
      </c>
      <c r="I572" s="32">
        <v>0</v>
      </c>
      <c r="J572" s="32">
        <v>0</v>
      </c>
      <c r="K572" s="32">
        <v>0</v>
      </c>
      <c r="L572" s="32">
        <v>0</v>
      </c>
      <c r="M572" s="32">
        <v>0</v>
      </c>
      <c r="N572" s="32">
        <v>69</v>
      </c>
      <c r="O572" s="32">
        <v>50</v>
      </c>
      <c r="P572" s="32">
        <v>73</v>
      </c>
      <c r="Q572" s="32">
        <v>59</v>
      </c>
      <c r="R572" s="32">
        <v>63</v>
      </c>
      <c r="S572" s="32">
        <v>44</v>
      </c>
      <c r="T572" s="32">
        <v>0</v>
      </c>
      <c r="U572" s="32">
        <v>74</v>
      </c>
      <c r="V572" s="30">
        <v>0</v>
      </c>
      <c r="W572" s="30">
        <v>0.74634146341463414</v>
      </c>
      <c r="X572" s="32">
        <v>0</v>
      </c>
      <c r="Y572" s="32">
        <v>29271.439999999999</v>
      </c>
      <c r="Z572" s="32">
        <v>29271.439999999999</v>
      </c>
      <c r="AA572" s="3">
        <f t="shared" si="8"/>
        <v>27977.05</v>
      </c>
      <c r="AB572" s="3"/>
      <c r="AC572" s="3"/>
      <c r="AF572" s="3"/>
      <c r="AG572" s="3"/>
      <c r="AH572" s="3"/>
    </row>
    <row r="573" spans="1:34" x14ac:dyDescent="0.25">
      <c r="A573">
        <v>6250530</v>
      </c>
      <c r="B573">
        <v>625</v>
      </c>
      <c r="C573" s="2">
        <v>1</v>
      </c>
      <c r="D573" s="2" t="s">
        <v>603</v>
      </c>
      <c r="E573">
        <v>530</v>
      </c>
      <c r="F573" s="2" t="s">
        <v>641</v>
      </c>
      <c r="G573" s="3">
        <v>0</v>
      </c>
      <c r="H573" s="32">
        <v>50</v>
      </c>
      <c r="I573" s="32">
        <v>19</v>
      </c>
      <c r="J573" s="32">
        <v>49</v>
      </c>
      <c r="K573" s="32">
        <v>18</v>
      </c>
      <c r="L573" s="32">
        <v>49</v>
      </c>
      <c r="M573" s="32">
        <v>27</v>
      </c>
      <c r="N573" s="32">
        <v>45</v>
      </c>
      <c r="O573" s="32">
        <v>33</v>
      </c>
      <c r="P573" s="32">
        <v>39</v>
      </c>
      <c r="Q573" s="32">
        <v>34</v>
      </c>
      <c r="R573" s="32">
        <v>43</v>
      </c>
      <c r="S573" s="32">
        <v>32</v>
      </c>
      <c r="T573" s="32">
        <v>49</v>
      </c>
      <c r="U573" s="32">
        <v>44</v>
      </c>
      <c r="V573" s="30">
        <v>0.43243243243243246</v>
      </c>
      <c r="W573" s="30">
        <v>0.77952755905511806</v>
      </c>
      <c r="X573" s="32">
        <v>11230.31</v>
      </c>
      <c r="Y573" s="32">
        <v>18178.599999999999</v>
      </c>
      <c r="Z573" s="32">
        <v>29408.909999999996</v>
      </c>
      <c r="AA573" s="3">
        <f t="shared" si="8"/>
        <v>28108.44</v>
      </c>
      <c r="AB573" s="3"/>
      <c r="AC573" s="3"/>
      <c r="AF573" s="3"/>
      <c r="AG573" s="3"/>
      <c r="AH573" s="3"/>
    </row>
    <row r="574" spans="1:34" x14ac:dyDescent="0.25">
      <c r="A574">
        <v>6250533</v>
      </c>
      <c r="B574" s="5">
        <v>625</v>
      </c>
      <c r="C574" s="5">
        <v>1</v>
      </c>
      <c r="D574" t="s">
        <v>603</v>
      </c>
      <c r="E574" s="5">
        <v>533</v>
      </c>
      <c r="F574" s="6" t="s">
        <v>642</v>
      </c>
      <c r="G574" s="3">
        <v>0</v>
      </c>
      <c r="H574" s="32">
        <v>49</v>
      </c>
      <c r="I574" s="32">
        <v>31</v>
      </c>
      <c r="J574" s="32">
        <v>74</v>
      </c>
      <c r="K574" s="32">
        <v>40</v>
      </c>
      <c r="L574" s="32">
        <v>65</v>
      </c>
      <c r="M574" s="32">
        <v>48</v>
      </c>
      <c r="N574" s="32">
        <v>56</v>
      </c>
      <c r="O574" s="32">
        <v>40</v>
      </c>
      <c r="P574" s="32">
        <v>46</v>
      </c>
      <c r="Q574" s="32">
        <v>43</v>
      </c>
      <c r="R574" s="32">
        <v>68</v>
      </c>
      <c r="S574" s="32">
        <v>51</v>
      </c>
      <c r="T574" s="32">
        <v>65</v>
      </c>
      <c r="U574" s="32">
        <v>70</v>
      </c>
      <c r="V574" s="30">
        <v>0.63297872340425532</v>
      </c>
      <c r="W574" s="30">
        <v>0.78823529411764703</v>
      </c>
      <c r="X574" s="32">
        <v>21806.2</v>
      </c>
      <c r="Y574" s="32">
        <v>29243.200000000001</v>
      </c>
      <c r="Z574" s="32">
        <v>51049.4</v>
      </c>
      <c r="AA574" s="3">
        <f t="shared" si="8"/>
        <v>48791.98</v>
      </c>
      <c r="AB574" s="3"/>
      <c r="AC574" s="3"/>
      <c r="AF574" s="3"/>
      <c r="AG574" s="3"/>
      <c r="AH574" s="3"/>
    </row>
    <row r="575" spans="1:34" x14ac:dyDescent="0.25">
      <c r="A575">
        <v>6250536</v>
      </c>
      <c r="B575">
        <v>625</v>
      </c>
      <c r="C575" s="2">
        <v>1</v>
      </c>
      <c r="D575" s="2" t="s">
        <v>603</v>
      </c>
      <c r="E575">
        <v>536</v>
      </c>
      <c r="F575" s="2" t="s">
        <v>643</v>
      </c>
      <c r="G575" s="3">
        <v>0</v>
      </c>
      <c r="H575" s="32">
        <v>41</v>
      </c>
      <c r="I575" s="32">
        <v>17</v>
      </c>
      <c r="J575" s="32">
        <v>32</v>
      </c>
      <c r="K575" s="32">
        <v>14</v>
      </c>
      <c r="L575" s="32">
        <v>0</v>
      </c>
      <c r="M575" s="32">
        <v>0</v>
      </c>
      <c r="N575" s="32">
        <v>32</v>
      </c>
      <c r="O575" s="32">
        <v>27</v>
      </c>
      <c r="P575" s="32">
        <v>23</v>
      </c>
      <c r="Q575" s="32">
        <v>15</v>
      </c>
      <c r="R575" s="32">
        <v>0</v>
      </c>
      <c r="S575" s="32">
        <v>0</v>
      </c>
      <c r="T575" s="32">
        <v>0</v>
      </c>
      <c r="U575" s="32">
        <v>0</v>
      </c>
      <c r="V575" s="30">
        <v>0.42465753424657532</v>
      </c>
      <c r="W575" s="30">
        <v>0.76363636363636367</v>
      </c>
      <c r="X575" s="32">
        <v>0</v>
      </c>
      <c r="Y575" s="32">
        <v>0</v>
      </c>
      <c r="Z575" s="32">
        <v>0</v>
      </c>
      <c r="AA575" s="3">
        <f t="shared" si="8"/>
        <v>0</v>
      </c>
      <c r="AB575" s="3"/>
      <c r="AC575" s="3"/>
      <c r="AF575" s="3"/>
      <c r="AG575" s="3"/>
      <c r="AH575" s="3"/>
    </row>
    <row r="576" spans="1:34" x14ac:dyDescent="0.25">
      <c r="A576">
        <v>6250541</v>
      </c>
      <c r="B576">
        <v>625</v>
      </c>
      <c r="C576" s="2">
        <v>1</v>
      </c>
      <c r="D576" s="2" t="s">
        <v>603</v>
      </c>
      <c r="E576">
        <v>541</v>
      </c>
      <c r="F576" s="2" t="s">
        <v>644</v>
      </c>
      <c r="G576" s="3">
        <v>0</v>
      </c>
      <c r="H576" s="32">
        <v>84</v>
      </c>
      <c r="I576" s="32">
        <v>36</v>
      </c>
      <c r="J576" s="32">
        <v>62</v>
      </c>
      <c r="K576" s="32">
        <v>15</v>
      </c>
      <c r="L576" s="32">
        <v>99</v>
      </c>
      <c r="M576" s="32">
        <v>50</v>
      </c>
      <c r="N576" s="32">
        <v>79</v>
      </c>
      <c r="O576" s="32">
        <v>61</v>
      </c>
      <c r="P576" s="32">
        <v>79</v>
      </c>
      <c r="Q576" s="32">
        <v>63</v>
      </c>
      <c r="R576" s="32">
        <v>69</v>
      </c>
      <c r="S576" s="32">
        <v>59</v>
      </c>
      <c r="T576" s="32">
        <v>104</v>
      </c>
      <c r="U576" s="32">
        <v>80</v>
      </c>
      <c r="V576" s="30">
        <v>0.41224489795918368</v>
      </c>
      <c r="W576" s="30">
        <v>0.80616740088105732</v>
      </c>
      <c r="X576" s="32">
        <v>22722.959999999999</v>
      </c>
      <c r="Y576" s="32">
        <v>34181.599999999999</v>
      </c>
      <c r="Z576" s="32">
        <v>56904.56</v>
      </c>
      <c r="AA576" s="3">
        <f t="shared" si="8"/>
        <v>54388.23</v>
      </c>
      <c r="AB576" s="3"/>
      <c r="AC576" s="3"/>
      <c r="AF576" s="3"/>
      <c r="AG576" s="3"/>
      <c r="AH576" s="3"/>
    </row>
    <row r="577" spans="1:34" x14ac:dyDescent="0.25">
      <c r="A577">
        <v>6250542</v>
      </c>
      <c r="B577">
        <v>625</v>
      </c>
      <c r="C577" s="2">
        <v>1</v>
      </c>
      <c r="D577" s="2" t="s">
        <v>603</v>
      </c>
      <c r="E577">
        <v>542</v>
      </c>
      <c r="F577" s="2" t="s">
        <v>645</v>
      </c>
      <c r="G577" s="3">
        <v>0</v>
      </c>
      <c r="H577" s="32">
        <v>41</v>
      </c>
      <c r="I577" s="32">
        <v>22</v>
      </c>
      <c r="J577" s="32">
        <v>32</v>
      </c>
      <c r="K577" s="32">
        <v>18</v>
      </c>
      <c r="L577" s="32">
        <v>0</v>
      </c>
      <c r="M577" s="32">
        <v>0</v>
      </c>
      <c r="N577" s="32">
        <v>28</v>
      </c>
      <c r="O577" s="32">
        <v>19</v>
      </c>
      <c r="P577" s="32">
        <v>32</v>
      </c>
      <c r="Q577" s="32">
        <v>28</v>
      </c>
      <c r="R577" s="32">
        <v>0</v>
      </c>
      <c r="S577" s="32">
        <v>0</v>
      </c>
      <c r="T577" s="32">
        <v>0</v>
      </c>
      <c r="U577" s="32">
        <v>0</v>
      </c>
      <c r="V577" s="30">
        <v>0.54794520547945202</v>
      </c>
      <c r="W577" s="30">
        <v>0.78333333333333333</v>
      </c>
      <c r="X577" s="32">
        <v>0</v>
      </c>
      <c r="Y577" s="32">
        <v>0</v>
      </c>
      <c r="Z577" s="32">
        <v>0</v>
      </c>
      <c r="AA577" s="3">
        <f t="shared" si="8"/>
        <v>0</v>
      </c>
      <c r="AB577" s="3"/>
      <c r="AC577" s="3"/>
      <c r="AF577" s="3"/>
      <c r="AG577" s="3"/>
      <c r="AH577" s="3"/>
    </row>
    <row r="578" spans="1:34" x14ac:dyDescent="0.25">
      <c r="A578">
        <v>6250545</v>
      </c>
      <c r="B578">
        <v>625</v>
      </c>
      <c r="C578" s="2">
        <v>1</v>
      </c>
      <c r="D578" s="2" t="s">
        <v>603</v>
      </c>
      <c r="E578">
        <v>545</v>
      </c>
      <c r="F578" s="2" t="s">
        <v>646</v>
      </c>
      <c r="G578" s="3">
        <v>0</v>
      </c>
      <c r="H578" s="32">
        <v>59</v>
      </c>
      <c r="I578" s="32">
        <v>51</v>
      </c>
      <c r="J578" s="32">
        <v>43</v>
      </c>
      <c r="K578" s="32">
        <v>41</v>
      </c>
      <c r="L578" s="32">
        <v>55</v>
      </c>
      <c r="M578" s="32">
        <v>52</v>
      </c>
      <c r="N578" s="32">
        <v>50</v>
      </c>
      <c r="O578" s="32">
        <v>44</v>
      </c>
      <c r="P578" s="32">
        <v>61</v>
      </c>
      <c r="Q578" s="32">
        <v>44</v>
      </c>
      <c r="R578" s="32">
        <v>44</v>
      </c>
      <c r="S578" s="32">
        <v>36</v>
      </c>
      <c r="T578" s="32">
        <v>52</v>
      </c>
      <c r="U578" s="32">
        <v>51</v>
      </c>
      <c r="V578" s="30">
        <v>0.91719745222929938</v>
      </c>
      <c r="W578" s="30">
        <v>0.8</v>
      </c>
      <c r="X578" s="32">
        <v>25277.72</v>
      </c>
      <c r="Y578" s="32">
        <v>21624</v>
      </c>
      <c r="Z578" s="32">
        <v>46901.72</v>
      </c>
      <c r="AA578" s="3">
        <f t="shared" si="8"/>
        <v>44827.71</v>
      </c>
      <c r="AB578" s="3"/>
      <c r="AC578" s="3"/>
      <c r="AF578" s="3"/>
      <c r="AG578" s="3"/>
      <c r="AH578" s="3"/>
    </row>
    <row r="579" spans="1:34" x14ac:dyDescent="0.25">
      <c r="A579">
        <v>6250551</v>
      </c>
      <c r="B579">
        <v>625</v>
      </c>
      <c r="C579">
        <v>1</v>
      </c>
      <c r="D579" t="s">
        <v>603</v>
      </c>
      <c r="E579">
        <v>551</v>
      </c>
      <c r="F579" t="s">
        <v>647</v>
      </c>
      <c r="G579" s="3">
        <v>0</v>
      </c>
      <c r="H579" s="32">
        <v>46</v>
      </c>
      <c r="I579" s="32">
        <v>32</v>
      </c>
      <c r="J579" s="32">
        <v>54</v>
      </c>
      <c r="K579" s="32">
        <v>33</v>
      </c>
      <c r="L579" s="32">
        <v>47</v>
      </c>
      <c r="M579" s="32">
        <v>16</v>
      </c>
      <c r="N579" s="32">
        <v>40</v>
      </c>
      <c r="O579" s="32">
        <v>28</v>
      </c>
      <c r="P579" s="32">
        <v>49</v>
      </c>
      <c r="Q579" s="32">
        <v>40</v>
      </c>
      <c r="R579" s="32">
        <v>45</v>
      </c>
      <c r="S579" s="32">
        <v>30</v>
      </c>
      <c r="T579" s="32">
        <v>50</v>
      </c>
      <c r="U579" s="32">
        <v>48</v>
      </c>
      <c r="V579" s="30">
        <v>0.55102040816326525</v>
      </c>
      <c r="W579" s="30">
        <v>0.73134328358208955</v>
      </c>
      <c r="X579" s="32">
        <v>14602.000000000002</v>
      </c>
      <c r="Y579" s="32">
        <v>18605.28</v>
      </c>
      <c r="Z579" s="32">
        <v>33207.279999999999</v>
      </c>
      <c r="AA579" s="3">
        <f t="shared" si="8"/>
        <v>31738.85</v>
      </c>
      <c r="AB579" s="3"/>
      <c r="AC579" s="3"/>
      <c r="AF579" s="3"/>
      <c r="AG579" s="3"/>
      <c r="AH579" s="3"/>
    </row>
    <row r="580" spans="1:34" x14ac:dyDescent="0.25">
      <c r="A580">
        <v>6250552</v>
      </c>
      <c r="B580">
        <v>625</v>
      </c>
      <c r="C580">
        <v>1</v>
      </c>
      <c r="D580" t="s">
        <v>603</v>
      </c>
      <c r="E580">
        <v>552</v>
      </c>
      <c r="F580" t="s">
        <v>648</v>
      </c>
      <c r="G580" s="3">
        <v>0</v>
      </c>
      <c r="H580" s="32">
        <v>83</v>
      </c>
      <c r="I580" s="32">
        <v>33</v>
      </c>
      <c r="J580" s="32">
        <v>88</v>
      </c>
      <c r="K580" s="32">
        <v>35</v>
      </c>
      <c r="L580" s="32">
        <v>93</v>
      </c>
      <c r="M580" s="32">
        <v>63</v>
      </c>
      <c r="N580" s="32">
        <v>69</v>
      </c>
      <c r="O580" s="32">
        <v>51</v>
      </c>
      <c r="P580" s="32">
        <v>84</v>
      </c>
      <c r="Q580" s="32">
        <v>62</v>
      </c>
      <c r="R580" s="32">
        <v>88</v>
      </c>
      <c r="S580" s="32">
        <v>60</v>
      </c>
      <c r="T580" s="32">
        <v>94</v>
      </c>
      <c r="U580" s="32">
        <v>98</v>
      </c>
      <c r="V580" s="30">
        <v>0.49621212121212122</v>
      </c>
      <c r="W580" s="30">
        <v>0.71784232365145229</v>
      </c>
      <c r="X580" s="32">
        <v>24721.06</v>
      </c>
      <c r="Y580" s="32">
        <v>37285.079999999994</v>
      </c>
      <c r="Z580" s="32">
        <v>62006.14</v>
      </c>
      <c r="AA580" s="3">
        <f t="shared" si="8"/>
        <v>59264.21</v>
      </c>
      <c r="AB580" s="3"/>
      <c r="AC580" s="3"/>
      <c r="AF580" s="3"/>
      <c r="AG580" s="3"/>
      <c r="AH580" s="3"/>
    </row>
    <row r="581" spans="1:34" x14ac:dyDescent="0.25">
      <c r="A581">
        <v>6250554</v>
      </c>
      <c r="B581">
        <v>625</v>
      </c>
      <c r="C581" s="2">
        <v>1</v>
      </c>
      <c r="D581" s="2" t="s">
        <v>603</v>
      </c>
      <c r="E581">
        <v>554</v>
      </c>
      <c r="F581" s="2" t="s">
        <v>649</v>
      </c>
      <c r="G581" s="3">
        <v>0</v>
      </c>
      <c r="H581" s="32">
        <v>0</v>
      </c>
      <c r="I581" s="32">
        <v>0</v>
      </c>
      <c r="J581" s="32">
        <v>0</v>
      </c>
      <c r="K581" s="32">
        <v>0</v>
      </c>
      <c r="L581" s="32">
        <v>0</v>
      </c>
      <c r="M581" s="32">
        <v>0</v>
      </c>
      <c r="N581" s="32">
        <v>54</v>
      </c>
      <c r="O581" s="32">
        <v>39</v>
      </c>
      <c r="P581" s="32">
        <v>0</v>
      </c>
      <c r="Q581" s="32">
        <v>0</v>
      </c>
      <c r="R581" s="32">
        <v>0</v>
      </c>
      <c r="S581" s="32">
        <v>0</v>
      </c>
      <c r="T581" s="32">
        <v>0</v>
      </c>
      <c r="U581" s="32">
        <v>0</v>
      </c>
      <c r="V581" s="30">
        <v>0</v>
      </c>
      <c r="W581" s="30">
        <v>0.72222222222222221</v>
      </c>
      <c r="X581" s="32">
        <v>0</v>
      </c>
      <c r="Y581" s="32">
        <v>0</v>
      </c>
      <c r="Z581" s="32">
        <v>0</v>
      </c>
      <c r="AA581" s="3">
        <f t="shared" si="8"/>
        <v>0</v>
      </c>
      <c r="AB581" s="3"/>
      <c r="AC581" s="3"/>
      <c r="AF581" s="3"/>
      <c r="AG581" s="3"/>
      <c r="AH581" s="3"/>
    </row>
    <row r="582" spans="1:34" x14ac:dyDescent="0.25">
      <c r="A582">
        <v>6250557</v>
      </c>
      <c r="B582">
        <v>625</v>
      </c>
      <c r="C582" s="2">
        <v>1</v>
      </c>
      <c r="D582" s="2" t="s">
        <v>603</v>
      </c>
      <c r="E582">
        <v>557</v>
      </c>
      <c r="F582" s="2" t="s">
        <v>650</v>
      </c>
      <c r="G582" s="3">
        <v>0</v>
      </c>
      <c r="H582" s="32">
        <v>75</v>
      </c>
      <c r="I582" s="32">
        <v>66</v>
      </c>
      <c r="J582" s="32">
        <v>71</v>
      </c>
      <c r="K582" s="32">
        <v>64</v>
      </c>
      <c r="L582" s="32">
        <v>80</v>
      </c>
      <c r="M582" s="32">
        <v>70</v>
      </c>
      <c r="N582" s="32">
        <v>51</v>
      </c>
      <c r="O582" s="32">
        <v>47</v>
      </c>
      <c r="P582" s="32">
        <v>70</v>
      </c>
      <c r="Q582" s="32">
        <v>63</v>
      </c>
      <c r="R582" s="32">
        <v>70</v>
      </c>
      <c r="S582" s="32">
        <v>58</v>
      </c>
      <c r="T582" s="32">
        <v>80</v>
      </c>
      <c r="U582" s="32">
        <v>74</v>
      </c>
      <c r="V582" s="30">
        <v>0.88495575221238942</v>
      </c>
      <c r="W582" s="30">
        <v>0.87958115183246077</v>
      </c>
      <c r="X582" s="32">
        <v>37522.399999999994</v>
      </c>
      <c r="Y582" s="32">
        <v>34497.32</v>
      </c>
      <c r="Z582" s="32">
        <v>72019.72</v>
      </c>
      <c r="AA582" s="3">
        <f t="shared" si="8"/>
        <v>68834.990000000005</v>
      </c>
      <c r="AB582" s="3"/>
      <c r="AC582" s="3"/>
      <c r="AF582" s="3"/>
      <c r="AG582" s="3"/>
      <c r="AH582" s="3"/>
    </row>
    <row r="583" spans="1:34" x14ac:dyDescent="0.25">
      <c r="A583">
        <v>6250558</v>
      </c>
      <c r="B583">
        <v>625</v>
      </c>
      <c r="C583" s="2">
        <v>1</v>
      </c>
      <c r="D583" s="2" t="s">
        <v>1211</v>
      </c>
      <c r="E583">
        <v>558</v>
      </c>
      <c r="F583" s="2" t="s">
        <v>1297</v>
      </c>
      <c r="G583" s="3">
        <v>0</v>
      </c>
      <c r="H583" s="32">
        <v>0</v>
      </c>
      <c r="I583" s="32">
        <v>0</v>
      </c>
      <c r="J583" s="32">
        <v>0</v>
      </c>
      <c r="K583" s="32">
        <v>0</v>
      </c>
      <c r="L583" s="32">
        <v>81</v>
      </c>
      <c r="M583" s="32">
        <v>31</v>
      </c>
      <c r="N583" s="32">
        <v>0</v>
      </c>
      <c r="O583" s="32">
        <v>0</v>
      </c>
      <c r="P583" s="32">
        <v>0</v>
      </c>
      <c r="Q583" s="32">
        <v>0</v>
      </c>
      <c r="R583" s="32">
        <v>74</v>
      </c>
      <c r="S583" s="32">
        <v>58</v>
      </c>
      <c r="T583" s="32">
        <v>91</v>
      </c>
      <c r="U583" s="32">
        <v>95</v>
      </c>
      <c r="V583" s="30">
        <v>0.38271604938271603</v>
      </c>
      <c r="W583" s="30">
        <v>0.78378378378378377</v>
      </c>
      <c r="X583" s="32">
        <v>18458.439999999999</v>
      </c>
      <c r="Y583" s="32">
        <v>39463.950000000004</v>
      </c>
      <c r="Z583" s="32">
        <v>57922.39</v>
      </c>
      <c r="AA583" s="3">
        <f t="shared" si="8"/>
        <v>55361.05</v>
      </c>
      <c r="AB583" s="3"/>
      <c r="AC583" s="3"/>
      <c r="AF583" s="3"/>
      <c r="AG583" s="3"/>
      <c r="AH583" s="3"/>
    </row>
    <row r="584" spans="1:34" x14ac:dyDescent="0.25">
      <c r="A584">
        <v>6250563</v>
      </c>
      <c r="B584">
        <v>625</v>
      </c>
      <c r="C584">
        <v>1</v>
      </c>
      <c r="D584" t="s">
        <v>603</v>
      </c>
      <c r="E584">
        <v>563</v>
      </c>
      <c r="F584" t="s">
        <v>23</v>
      </c>
      <c r="G584" s="3">
        <v>0</v>
      </c>
      <c r="H584" s="32">
        <v>41</v>
      </c>
      <c r="I584" s="32">
        <v>25</v>
      </c>
      <c r="J584" s="32">
        <v>36</v>
      </c>
      <c r="K584" s="32">
        <v>19</v>
      </c>
      <c r="L584" s="32">
        <v>0</v>
      </c>
      <c r="M584" s="32">
        <v>0</v>
      </c>
      <c r="N584" s="32">
        <v>35</v>
      </c>
      <c r="O584" s="32">
        <v>24</v>
      </c>
      <c r="P584" s="32">
        <v>34</v>
      </c>
      <c r="Q584" s="32">
        <v>27</v>
      </c>
      <c r="R584" s="32">
        <v>0</v>
      </c>
      <c r="S584" s="32">
        <v>0</v>
      </c>
      <c r="T584" s="32">
        <v>0</v>
      </c>
      <c r="U584" s="32">
        <v>0</v>
      </c>
      <c r="V584" s="30">
        <v>0.5714285714285714</v>
      </c>
      <c r="W584" s="30">
        <v>0.73913043478260865</v>
      </c>
      <c r="X584" s="32">
        <v>0</v>
      </c>
      <c r="Y584" s="32">
        <v>0</v>
      </c>
      <c r="Z584" s="32">
        <v>0</v>
      </c>
      <c r="AA584" s="3">
        <f t="shared" si="8"/>
        <v>0</v>
      </c>
      <c r="AB584" s="3"/>
      <c r="AC584" s="3"/>
      <c r="AF584" s="3"/>
      <c r="AG584" s="3"/>
      <c r="AH584" s="3"/>
    </row>
    <row r="585" spans="1:34" x14ac:dyDescent="0.25">
      <c r="A585">
        <v>6250578</v>
      </c>
      <c r="B585">
        <v>625</v>
      </c>
      <c r="C585" s="2">
        <v>1</v>
      </c>
      <c r="D585" s="2" t="s">
        <v>603</v>
      </c>
      <c r="E585">
        <v>578</v>
      </c>
      <c r="F585" s="2" t="s">
        <v>651</v>
      </c>
      <c r="G585" s="3">
        <v>0</v>
      </c>
      <c r="H585" s="32">
        <v>77</v>
      </c>
      <c r="I585" s="32">
        <v>35</v>
      </c>
      <c r="J585" s="32">
        <v>61</v>
      </c>
      <c r="K585" s="32">
        <v>28</v>
      </c>
      <c r="L585" s="32">
        <v>59</v>
      </c>
      <c r="M585" s="32">
        <v>30</v>
      </c>
      <c r="N585" s="32">
        <v>66</v>
      </c>
      <c r="O585" s="32">
        <v>46</v>
      </c>
      <c r="P585" s="32">
        <v>59</v>
      </c>
      <c r="Q585" s="32">
        <v>41</v>
      </c>
      <c r="R585" s="32">
        <v>58</v>
      </c>
      <c r="S585" s="32">
        <v>21</v>
      </c>
      <c r="T585" s="32">
        <v>62</v>
      </c>
      <c r="U585" s="32">
        <v>76</v>
      </c>
      <c r="V585" s="30">
        <v>0.4720812182741117</v>
      </c>
      <c r="W585" s="30">
        <v>0.5901639344262295</v>
      </c>
      <c r="X585" s="32">
        <v>15512.4</v>
      </c>
      <c r="Y585" s="32">
        <v>23772.04</v>
      </c>
      <c r="Z585" s="32">
        <v>39284.44</v>
      </c>
      <c r="AA585" s="3">
        <f t="shared" si="8"/>
        <v>37547.269999999997</v>
      </c>
      <c r="AB585" s="3"/>
      <c r="AC585" s="3"/>
      <c r="AF585" s="3"/>
      <c r="AG585" s="3"/>
      <c r="AH585" s="3"/>
    </row>
    <row r="586" spans="1:34" x14ac:dyDescent="0.25">
      <c r="A586">
        <v>6250579</v>
      </c>
      <c r="B586">
        <v>625</v>
      </c>
      <c r="C586" s="2">
        <v>1</v>
      </c>
      <c r="D586" s="2" t="s">
        <v>603</v>
      </c>
      <c r="E586">
        <v>579</v>
      </c>
      <c r="F586" s="2" t="s">
        <v>652</v>
      </c>
      <c r="G586" s="3">
        <v>0</v>
      </c>
      <c r="H586" s="32">
        <v>50</v>
      </c>
      <c r="I586" s="32">
        <v>23</v>
      </c>
      <c r="J586" s="32">
        <v>47</v>
      </c>
      <c r="K586" s="32">
        <v>23</v>
      </c>
      <c r="L586" s="32">
        <v>36</v>
      </c>
      <c r="M586" s="32">
        <v>12</v>
      </c>
      <c r="N586" s="32">
        <v>51</v>
      </c>
      <c r="O586" s="32">
        <v>36</v>
      </c>
      <c r="P586" s="32">
        <v>50</v>
      </c>
      <c r="Q586" s="32">
        <v>38</v>
      </c>
      <c r="R586" s="32">
        <v>33</v>
      </c>
      <c r="S586" s="32">
        <v>23</v>
      </c>
      <c r="T586" s="32">
        <v>40</v>
      </c>
      <c r="U586" s="32">
        <v>39</v>
      </c>
      <c r="V586" s="30">
        <v>0.43609022556390975</v>
      </c>
      <c r="W586" s="30">
        <v>0.72388059701492535</v>
      </c>
      <c r="X586" s="32">
        <v>9245.2000000000007</v>
      </c>
      <c r="Y586" s="32">
        <v>14962.740000000002</v>
      </c>
      <c r="Z586" s="32">
        <v>24207.940000000002</v>
      </c>
      <c r="AA586" s="3">
        <f t="shared" si="8"/>
        <v>23137.46</v>
      </c>
      <c r="AB586" s="3"/>
      <c r="AC586" s="3"/>
      <c r="AF586" s="3"/>
      <c r="AG586" s="3"/>
      <c r="AH586" s="3"/>
    </row>
    <row r="587" spans="1:34" x14ac:dyDescent="0.25">
      <c r="A587">
        <v>6250607</v>
      </c>
      <c r="B587">
        <v>625</v>
      </c>
      <c r="C587" s="2">
        <v>1</v>
      </c>
      <c r="D587" s="2" t="s">
        <v>1211</v>
      </c>
      <c r="E587">
        <v>607</v>
      </c>
      <c r="F587" s="2" t="s">
        <v>1219</v>
      </c>
      <c r="G587" s="3">
        <v>1</v>
      </c>
      <c r="H587" s="32" t="s">
        <v>1328</v>
      </c>
      <c r="I587" s="32" t="s">
        <v>1328</v>
      </c>
      <c r="J587" s="32" t="s">
        <v>1328</v>
      </c>
      <c r="K587" s="32" t="s">
        <v>1328</v>
      </c>
      <c r="L587" s="32" t="s">
        <v>1328</v>
      </c>
      <c r="M587" s="32" t="s">
        <v>1328</v>
      </c>
      <c r="N587" s="32" t="s">
        <v>1328</v>
      </c>
      <c r="O587" s="32" t="s">
        <v>1328</v>
      </c>
      <c r="P587" s="32" t="s">
        <v>1328</v>
      </c>
      <c r="Q587" s="32" t="s">
        <v>1328</v>
      </c>
      <c r="R587" s="32" t="s">
        <v>1328</v>
      </c>
      <c r="S587" s="32" t="s">
        <v>1328</v>
      </c>
      <c r="T587" s="32">
        <v>5</v>
      </c>
      <c r="U587" s="32">
        <v>1</v>
      </c>
      <c r="V587" s="30" t="s">
        <v>1328</v>
      </c>
      <c r="W587" s="30" t="s">
        <v>1328</v>
      </c>
      <c r="X587" s="32" t="s">
        <v>1328</v>
      </c>
      <c r="Y587" s="32" t="s">
        <v>1328</v>
      </c>
      <c r="Z587" s="32">
        <v>883.32999999999993</v>
      </c>
      <c r="AA587" s="3">
        <f t="shared" si="8"/>
        <v>844.27</v>
      </c>
      <c r="AB587" s="3"/>
      <c r="AC587" s="3"/>
      <c r="AF587" s="3"/>
      <c r="AG587" s="3"/>
      <c r="AH587" s="3"/>
    </row>
    <row r="588" spans="1:34" x14ac:dyDescent="0.25">
      <c r="A588">
        <v>6250654</v>
      </c>
      <c r="B588">
        <v>625</v>
      </c>
      <c r="C588" s="2">
        <v>1</v>
      </c>
      <c r="D588" s="2" t="s">
        <v>1211</v>
      </c>
      <c r="E588">
        <v>654</v>
      </c>
      <c r="F588" s="2" t="s">
        <v>1220</v>
      </c>
      <c r="G588" s="3">
        <v>1</v>
      </c>
      <c r="H588" s="32" t="s">
        <v>1328</v>
      </c>
      <c r="I588" s="32" t="s">
        <v>1328</v>
      </c>
      <c r="J588" s="32" t="s">
        <v>1328</v>
      </c>
      <c r="K588" s="32" t="s">
        <v>1328</v>
      </c>
      <c r="L588" s="32" t="s">
        <v>1328</v>
      </c>
      <c r="M588" s="32" t="s">
        <v>1328</v>
      </c>
      <c r="N588" s="32" t="s">
        <v>1328</v>
      </c>
      <c r="O588" s="32" t="s">
        <v>1328</v>
      </c>
      <c r="P588" s="32" t="s">
        <v>1328</v>
      </c>
      <c r="Q588" s="32" t="s">
        <v>1328</v>
      </c>
      <c r="R588" s="32" t="s">
        <v>1328</v>
      </c>
      <c r="S588" s="32" t="s">
        <v>1328</v>
      </c>
      <c r="T588" s="32">
        <v>8</v>
      </c>
      <c r="U588" s="32">
        <v>2</v>
      </c>
      <c r="V588" s="30" t="s">
        <v>1328</v>
      </c>
      <c r="W588" s="30" t="s">
        <v>1328</v>
      </c>
      <c r="X588" s="32" t="s">
        <v>1328</v>
      </c>
      <c r="Y588" s="32" t="s">
        <v>1328</v>
      </c>
      <c r="Z588" s="32">
        <v>1304.6200000000001</v>
      </c>
      <c r="AA588" s="3">
        <f t="shared" si="8"/>
        <v>1246.93</v>
      </c>
      <c r="AB588" s="3"/>
      <c r="AC588" s="3"/>
      <c r="AF588" s="3"/>
      <c r="AG588" s="3"/>
      <c r="AH588" s="3"/>
    </row>
    <row r="589" spans="1:34" x14ac:dyDescent="0.25">
      <c r="A589">
        <v>6280011</v>
      </c>
      <c r="B589">
        <v>628</v>
      </c>
      <c r="C589" s="2">
        <v>1</v>
      </c>
      <c r="D589" s="2" t="s">
        <v>653</v>
      </c>
      <c r="E589">
        <v>11</v>
      </c>
      <c r="F589" s="2" t="s">
        <v>654</v>
      </c>
      <c r="G589" s="3">
        <v>0</v>
      </c>
      <c r="H589" s="32">
        <v>31</v>
      </c>
      <c r="I589" s="32">
        <v>23</v>
      </c>
      <c r="J589" s="32">
        <v>28</v>
      </c>
      <c r="K589" s="32">
        <v>22</v>
      </c>
      <c r="L589" s="32">
        <v>24</v>
      </c>
      <c r="M589" s="32">
        <v>20</v>
      </c>
      <c r="N589" s="32">
        <v>28</v>
      </c>
      <c r="O589" s="32">
        <v>25</v>
      </c>
      <c r="P589" s="32">
        <v>28</v>
      </c>
      <c r="Q589" s="32">
        <v>26</v>
      </c>
      <c r="R589" s="32">
        <v>27</v>
      </c>
      <c r="S589" s="32">
        <v>24</v>
      </c>
      <c r="T589" s="32">
        <v>25</v>
      </c>
      <c r="U589" s="32">
        <v>29</v>
      </c>
      <c r="V589" s="30">
        <v>0.7831325301204819</v>
      </c>
      <c r="W589" s="30">
        <v>0.90361445783132532</v>
      </c>
      <c r="X589" s="32">
        <v>10376.5</v>
      </c>
      <c r="Y589" s="32">
        <v>13888.68</v>
      </c>
      <c r="Z589" s="32">
        <v>24265.18</v>
      </c>
      <c r="AA589" s="3">
        <f t="shared" si="8"/>
        <v>23192.17</v>
      </c>
      <c r="AB589" s="3"/>
      <c r="AC589" s="3"/>
      <c r="AF589" s="3"/>
      <c r="AG589" s="3"/>
      <c r="AH589" s="3"/>
    </row>
    <row r="590" spans="1:34" x14ac:dyDescent="0.25">
      <c r="A590">
        <v>6300010</v>
      </c>
      <c r="B590">
        <v>630</v>
      </c>
      <c r="C590" s="2">
        <v>1</v>
      </c>
      <c r="D590" s="2" t="s">
        <v>655</v>
      </c>
      <c r="E590">
        <v>10</v>
      </c>
      <c r="F590" s="2" t="s">
        <v>656</v>
      </c>
      <c r="G590" s="3">
        <v>0</v>
      </c>
      <c r="H590" s="32">
        <v>25</v>
      </c>
      <c r="I590" s="32">
        <v>20</v>
      </c>
      <c r="J590" s="32">
        <v>25</v>
      </c>
      <c r="K590" s="32">
        <v>15</v>
      </c>
      <c r="L590" s="32">
        <v>36</v>
      </c>
      <c r="M590" s="32">
        <v>30</v>
      </c>
      <c r="N590" s="32">
        <v>20</v>
      </c>
      <c r="O590" s="32">
        <v>6</v>
      </c>
      <c r="P590" s="32">
        <v>20</v>
      </c>
      <c r="Q590" s="32">
        <v>15</v>
      </c>
      <c r="R590" s="32">
        <v>25</v>
      </c>
      <c r="S590" s="32">
        <v>17</v>
      </c>
      <c r="T590" s="32">
        <v>37</v>
      </c>
      <c r="U590" s="32">
        <v>25</v>
      </c>
      <c r="V590" s="30">
        <v>0.7558139534883721</v>
      </c>
      <c r="W590" s="30">
        <v>0.58461538461538465</v>
      </c>
      <c r="X590" s="32">
        <v>14821.46</v>
      </c>
      <c r="Y590" s="32">
        <v>7746.2500000000009</v>
      </c>
      <c r="Z590" s="32">
        <v>22567.71</v>
      </c>
      <c r="AA590" s="3">
        <f t="shared" si="8"/>
        <v>21569.759999999998</v>
      </c>
      <c r="AB590" s="3"/>
      <c r="AC590" s="3"/>
      <c r="AF590" s="3"/>
      <c r="AG590" s="3"/>
      <c r="AH590" s="3"/>
    </row>
    <row r="591" spans="1:34" x14ac:dyDescent="0.25">
      <c r="A591">
        <v>6400010</v>
      </c>
      <c r="B591">
        <v>640</v>
      </c>
      <c r="C591" s="2">
        <v>1</v>
      </c>
      <c r="D591" s="2" t="s">
        <v>657</v>
      </c>
      <c r="E591">
        <v>10</v>
      </c>
      <c r="F591" s="2" t="s">
        <v>658</v>
      </c>
      <c r="G591" s="3">
        <v>0</v>
      </c>
      <c r="H591" s="32">
        <v>15</v>
      </c>
      <c r="I591" s="32">
        <v>10</v>
      </c>
      <c r="J591" s="32">
        <v>22</v>
      </c>
      <c r="K591" s="32">
        <v>17</v>
      </c>
      <c r="L591" s="32">
        <v>28</v>
      </c>
      <c r="M591" s="32">
        <v>22</v>
      </c>
      <c r="N591" s="32">
        <v>27</v>
      </c>
      <c r="O591" s="32">
        <v>17</v>
      </c>
      <c r="P591" s="32">
        <v>16</v>
      </c>
      <c r="Q591" s="32">
        <v>10</v>
      </c>
      <c r="R591" s="32">
        <v>21</v>
      </c>
      <c r="S591" s="32">
        <v>21</v>
      </c>
      <c r="T591" s="32">
        <v>30</v>
      </c>
      <c r="U591" s="32">
        <v>25</v>
      </c>
      <c r="V591" s="30">
        <v>0.75384615384615383</v>
      </c>
      <c r="W591" s="30">
        <v>0.75</v>
      </c>
      <c r="X591" s="32">
        <v>11986.2</v>
      </c>
      <c r="Y591" s="32">
        <v>9937.5</v>
      </c>
      <c r="Z591" s="32">
        <v>21923.7</v>
      </c>
      <c r="AA591" s="3">
        <f t="shared" ref="AA591:AA654" si="9">ROUND(Z591*AA$10,2)</f>
        <v>20954.23</v>
      </c>
      <c r="AB591" s="3"/>
      <c r="AC591" s="3"/>
      <c r="AF591" s="3"/>
      <c r="AG591" s="3"/>
      <c r="AH591" s="3"/>
    </row>
    <row r="592" spans="1:34" x14ac:dyDescent="0.25">
      <c r="A592">
        <v>6400030</v>
      </c>
      <c r="B592">
        <v>640</v>
      </c>
      <c r="C592" s="2">
        <v>1</v>
      </c>
      <c r="D592" s="2" t="s">
        <v>1221</v>
      </c>
      <c r="E592">
        <v>30</v>
      </c>
      <c r="F592" s="2" t="s">
        <v>1222</v>
      </c>
      <c r="G592" s="3">
        <v>1</v>
      </c>
      <c r="H592" s="32" t="s">
        <v>1328</v>
      </c>
      <c r="I592" s="32" t="s">
        <v>1328</v>
      </c>
      <c r="J592" s="32" t="s">
        <v>1328</v>
      </c>
      <c r="K592" s="32" t="s">
        <v>1328</v>
      </c>
      <c r="L592" s="32" t="s">
        <v>1328</v>
      </c>
      <c r="M592" s="32" t="s">
        <v>1328</v>
      </c>
      <c r="N592" s="32" t="s">
        <v>1328</v>
      </c>
      <c r="O592" s="32" t="s">
        <v>1328</v>
      </c>
      <c r="P592" s="32" t="s">
        <v>1328</v>
      </c>
      <c r="Q592" s="32" t="s">
        <v>1328</v>
      </c>
      <c r="R592" s="32" t="s">
        <v>1328</v>
      </c>
      <c r="S592" s="32" t="s">
        <v>1328</v>
      </c>
      <c r="T592" s="32">
        <v>2</v>
      </c>
      <c r="U592" s="32">
        <v>4</v>
      </c>
      <c r="V592" s="30" t="s">
        <v>1328</v>
      </c>
      <c r="W592" s="30" t="s">
        <v>1328</v>
      </c>
      <c r="X592" s="32" t="s">
        <v>1328</v>
      </c>
      <c r="Y592" s="32" t="s">
        <v>1328</v>
      </c>
      <c r="Z592" s="32">
        <v>2006.44</v>
      </c>
      <c r="AA592" s="3">
        <f t="shared" si="9"/>
        <v>1917.71</v>
      </c>
      <c r="AB592" s="3"/>
      <c r="AC592" s="3"/>
      <c r="AF592" s="3"/>
      <c r="AG592" s="3"/>
      <c r="AH592" s="3"/>
    </row>
    <row r="593" spans="1:34" x14ac:dyDescent="0.25">
      <c r="A593">
        <v>6560030</v>
      </c>
      <c r="B593">
        <v>656</v>
      </c>
      <c r="C593" s="2">
        <v>1</v>
      </c>
      <c r="D593" s="2" t="s">
        <v>659</v>
      </c>
      <c r="E593">
        <v>30</v>
      </c>
      <c r="F593" s="2" t="s">
        <v>28</v>
      </c>
      <c r="G593" s="3">
        <v>0</v>
      </c>
      <c r="H593" s="32">
        <v>94</v>
      </c>
      <c r="I593" s="32">
        <v>59</v>
      </c>
      <c r="J593" s="32">
        <v>94</v>
      </c>
      <c r="K593" s="32">
        <v>63</v>
      </c>
      <c r="L593" s="32">
        <v>86</v>
      </c>
      <c r="M593" s="32">
        <v>63</v>
      </c>
      <c r="N593" s="32">
        <v>84</v>
      </c>
      <c r="O593" s="32">
        <v>68</v>
      </c>
      <c r="P593" s="32">
        <v>84</v>
      </c>
      <c r="Q593" s="32">
        <v>67</v>
      </c>
      <c r="R593" s="32">
        <v>81</v>
      </c>
      <c r="S593" s="32">
        <v>68</v>
      </c>
      <c r="T593" s="32">
        <v>89</v>
      </c>
      <c r="U593" s="32">
        <v>95</v>
      </c>
      <c r="V593" s="30">
        <v>0.67518248175182483</v>
      </c>
      <c r="W593" s="30">
        <v>0.81526104417670686</v>
      </c>
      <c r="X593" s="32">
        <v>31848.65</v>
      </c>
      <c r="Y593" s="32">
        <v>41048.549999999996</v>
      </c>
      <c r="Z593" s="32">
        <v>72897.2</v>
      </c>
      <c r="AA593" s="3">
        <f t="shared" si="9"/>
        <v>69673.67</v>
      </c>
      <c r="AB593" s="3"/>
      <c r="AC593" s="3"/>
      <c r="AF593" s="3"/>
      <c r="AG593" s="3"/>
      <c r="AH593" s="3"/>
    </row>
    <row r="594" spans="1:34" x14ac:dyDescent="0.25">
      <c r="A594">
        <v>6560040</v>
      </c>
      <c r="B594">
        <v>656</v>
      </c>
      <c r="C594" s="2">
        <v>1</v>
      </c>
      <c r="D594" t="s">
        <v>659</v>
      </c>
      <c r="E594">
        <v>40</v>
      </c>
      <c r="F594" s="2" t="s">
        <v>60</v>
      </c>
      <c r="G594" s="3">
        <v>0</v>
      </c>
      <c r="H594" s="32">
        <v>102</v>
      </c>
      <c r="I594" s="32">
        <v>74</v>
      </c>
      <c r="J594" s="32">
        <v>86</v>
      </c>
      <c r="K594" s="32">
        <v>66</v>
      </c>
      <c r="L594" s="32">
        <v>86</v>
      </c>
      <c r="M594" s="32">
        <v>60</v>
      </c>
      <c r="N594" s="32">
        <v>92</v>
      </c>
      <c r="O594" s="32">
        <v>71</v>
      </c>
      <c r="P594" s="32">
        <v>85</v>
      </c>
      <c r="Q594" s="32">
        <v>55</v>
      </c>
      <c r="R594" s="32">
        <v>87</v>
      </c>
      <c r="S594" s="32">
        <v>69</v>
      </c>
      <c r="T594" s="32">
        <v>91</v>
      </c>
      <c r="U594" s="32">
        <v>97</v>
      </c>
      <c r="V594" s="30">
        <v>0.72992700729927007</v>
      </c>
      <c r="W594" s="30">
        <v>0.73863636363636365</v>
      </c>
      <c r="X594" s="32">
        <v>35204.26</v>
      </c>
      <c r="Y594" s="32">
        <v>37973.560000000005</v>
      </c>
      <c r="Z594" s="32">
        <v>73177.820000000007</v>
      </c>
      <c r="AA594" s="3">
        <f t="shared" si="9"/>
        <v>69941.88</v>
      </c>
      <c r="AB594" s="3"/>
      <c r="AC594" s="3"/>
      <c r="AF594" s="3"/>
      <c r="AG594" s="3"/>
      <c r="AH594" s="3"/>
    </row>
    <row r="595" spans="1:34" x14ac:dyDescent="0.25">
      <c r="A595">
        <v>6560045</v>
      </c>
      <c r="B595">
        <v>656</v>
      </c>
      <c r="C595">
        <v>1</v>
      </c>
      <c r="D595" t="s">
        <v>659</v>
      </c>
      <c r="E595">
        <v>45</v>
      </c>
      <c r="F595" t="s">
        <v>104</v>
      </c>
      <c r="G595" s="3">
        <v>0</v>
      </c>
      <c r="H595" s="32">
        <v>102</v>
      </c>
      <c r="I595" s="32">
        <v>64</v>
      </c>
      <c r="J595" s="32">
        <v>92</v>
      </c>
      <c r="K595" s="32">
        <v>48</v>
      </c>
      <c r="L595" s="32">
        <v>107</v>
      </c>
      <c r="M595" s="32">
        <v>62</v>
      </c>
      <c r="N595" s="32">
        <v>98</v>
      </c>
      <c r="O595" s="32">
        <v>75</v>
      </c>
      <c r="P595" s="32">
        <v>87</v>
      </c>
      <c r="Q595" s="32">
        <v>73</v>
      </c>
      <c r="R595" s="32">
        <v>82</v>
      </c>
      <c r="S595" s="32">
        <v>73</v>
      </c>
      <c r="T595" s="32">
        <v>108</v>
      </c>
      <c r="U595" s="32">
        <v>90</v>
      </c>
      <c r="V595" s="30">
        <v>0.57807308970099669</v>
      </c>
      <c r="W595" s="30">
        <v>0.82771535580524347</v>
      </c>
      <c r="X595" s="32">
        <v>33089.040000000001</v>
      </c>
      <c r="Y595" s="32">
        <v>39482.1</v>
      </c>
      <c r="Z595" s="32">
        <v>72571.14</v>
      </c>
      <c r="AA595" s="3">
        <f t="shared" si="9"/>
        <v>69362.03</v>
      </c>
      <c r="AB595" s="3"/>
      <c r="AC595" s="3"/>
      <c r="AF595" s="3"/>
      <c r="AG595" s="3"/>
      <c r="AH595" s="3"/>
    </row>
    <row r="596" spans="1:34" x14ac:dyDescent="0.25">
      <c r="A596">
        <v>6590003</v>
      </c>
      <c r="B596">
        <v>659</v>
      </c>
      <c r="C596" s="2">
        <v>1</v>
      </c>
      <c r="D596" s="2" t="s">
        <v>660</v>
      </c>
      <c r="E596">
        <v>3</v>
      </c>
      <c r="F596" s="2" t="s">
        <v>661</v>
      </c>
      <c r="G596" s="3">
        <v>0</v>
      </c>
      <c r="H596" s="32">
        <v>92</v>
      </c>
      <c r="I596" s="32">
        <v>70</v>
      </c>
      <c r="J596" s="32">
        <v>74</v>
      </c>
      <c r="K596" s="32">
        <v>55</v>
      </c>
      <c r="L596" s="32">
        <v>83</v>
      </c>
      <c r="M596" s="32">
        <v>56</v>
      </c>
      <c r="N596" s="32">
        <v>78</v>
      </c>
      <c r="O596" s="32">
        <v>66</v>
      </c>
      <c r="P596" s="32">
        <v>89</v>
      </c>
      <c r="Q596" s="32">
        <v>79</v>
      </c>
      <c r="R596" s="32">
        <v>73</v>
      </c>
      <c r="S596" s="32">
        <v>60</v>
      </c>
      <c r="T596" s="32">
        <v>84</v>
      </c>
      <c r="U596" s="32">
        <v>82</v>
      </c>
      <c r="V596" s="30">
        <v>0.7269076305220884</v>
      </c>
      <c r="W596" s="30">
        <v>0.85416666666666663</v>
      </c>
      <c r="X596" s="32">
        <v>32361.84</v>
      </c>
      <c r="Y596" s="32">
        <v>37122.22</v>
      </c>
      <c r="Z596" s="32">
        <v>69484.06</v>
      </c>
      <c r="AA596" s="3">
        <f t="shared" si="9"/>
        <v>66411.460000000006</v>
      </c>
      <c r="AB596" s="3"/>
      <c r="AC596" s="3"/>
      <c r="AF596" s="3"/>
      <c r="AG596" s="3"/>
      <c r="AH596" s="3"/>
    </row>
    <row r="597" spans="1:34" x14ac:dyDescent="0.25">
      <c r="A597">
        <v>6590007</v>
      </c>
      <c r="B597">
        <v>659</v>
      </c>
      <c r="C597" s="2">
        <v>1</v>
      </c>
      <c r="D597" s="2" t="s">
        <v>660</v>
      </c>
      <c r="E597">
        <v>7</v>
      </c>
      <c r="F597" s="2" t="s">
        <v>662</v>
      </c>
      <c r="G597" s="3">
        <v>0</v>
      </c>
      <c r="H597" s="32">
        <v>119</v>
      </c>
      <c r="I597" s="32">
        <v>98</v>
      </c>
      <c r="J597" s="32">
        <v>87</v>
      </c>
      <c r="K597" s="32">
        <v>72</v>
      </c>
      <c r="L597" s="32">
        <v>86</v>
      </c>
      <c r="M597" s="32">
        <v>70</v>
      </c>
      <c r="N597" s="32">
        <v>85</v>
      </c>
      <c r="O597" s="32">
        <v>71</v>
      </c>
      <c r="P597" s="32">
        <v>94</v>
      </c>
      <c r="Q597" s="32">
        <v>78</v>
      </c>
      <c r="R597" s="32">
        <v>81</v>
      </c>
      <c r="S597" s="32">
        <v>72</v>
      </c>
      <c r="T597" s="32">
        <v>87</v>
      </c>
      <c r="U597" s="32">
        <v>88</v>
      </c>
      <c r="V597" s="30">
        <v>0.82191780821917804</v>
      </c>
      <c r="W597" s="30">
        <v>0.85</v>
      </c>
      <c r="X597" s="32">
        <v>37898.94</v>
      </c>
      <c r="Y597" s="32">
        <v>39644</v>
      </c>
      <c r="Z597" s="32">
        <v>77542.94</v>
      </c>
      <c r="AA597" s="3">
        <f t="shared" si="9"/>
        <v>74113.97</v>
      </c>
      <c r="AB597" s="3"/>
      <c r="AC597" s="3"/>
      <c r="AF597" s="3"/>
      <c r="AG597" s="3"/>
      <c r="AH597" s="3"/>
    </row>
    <row r="598" spans="1:34" x14ac:dyDescent="0.25">
      <c r="A598" s="7">
        <v>6590008</v>
      </c>
      <c r="B598" s="7">
        <v>659</v>
      </c>
      <c r="C598" s="7">
        <v>1</v>
      </c>
      <c r="D598" s="7" t="s">
        <v>660</v>
      </c>
      <c r="E598" s="7">
        <v>8</v>
      </c>
      <c r="F598" s="7" t="s">
        <v>293</v>
      </c>
      <c r="G598" s="3">
        <v>0</v>
      </c>
      <c r="H598" s="32">
        <v>81</v>
      </c>
      <c r="I598" s="32">
        <v>66</v>
      </c>
      <c r="J598" s="32">
        <v>95</v>
      </c>
      <c r="K598" s="32">
        <v>81</v>
      </c>
      <c r="L598" s="32">
        <v>99</v>
      </c>
      <c r="M598" s="32">
        <v>86</v>
      </c>
      <c r="N598" s="32">
        <v>73</v>
      </c>
      <c r="O598" s="32">
        <v>61</v>
      </c>
      <c r="P598" s="32">
        <v>99</v>
      </c>
      <c r="Q598" s="32">
        <v>79</v>
      </c>
      <c r="R598" s="32">
        <v>87</v>
      </c>
      <c r="S598" s="32">
        <v>75</v>
      </c>
      <c r="T598" s="32">
        <v>101</v>
      </c>
      <c r="U598" s="32">
        <v>94</v>
      </c>
      <c r="V598" s="30">
        <v>0.84727272727272729</v>
      </c>
      <c r="W598" s="30">
        <v>0.83011583011583012</v>
      </c>
      <c r="X598" s="32">
        <v>45354.05</v>
      </c>
      <c r="Y598" s="32">
        <v>41356.239999999998</v>
      </c>
      <c r="Z598" s="32">
        <v>86710.290000000008</v>
      </c>
      <c r="AA598" s="3">
        <f t="shared" si="9"/>
        <v>82875.94</v>
      </c>
      <c r="AB598" s="3"/>
      <c r="AC598" s="3"/>
      <c r="AF598" s="3"/>
      <c r="AG598" s="3"/>
      <c r="AH598" s="3"/>
    </row>
    <row r="599" spans="1:34" x14ac:dyDescent="0.25">
      <c r="A599">
        <v>6710010</v>
      </c>
      <c r="B599">
        <v>671</v>
      </c>
      <c r="C599" s="2">
        <v>1</v>
      </c>
      <c r="D599" s="2" t="s">
        <v>663</v>
      </c>
      <c r="E599">
        <v>10</v>
      </c>
      <c r="F599" s="2" t="s">
        <v>664</v>
      </c>
      <c r="G599" s="3">
        <v>0</v>
      </c>
      <c r="H599" s="32">
        <v>26</v>
      </c>
      <c r="I599" s="32">
        <v>23</v>
      </c>
      <c r="J599" s="32">
        <v>25</v>
      </c>
      <c r="K599" s="32">
        <v>23</v>
      </c>
      <c r="L599" s="32">
        <v>29</v>
      </c>
      <c r="M599" s="32">
        <v>29</v>
      </c>
      <c r="N599" s="32">
        <v>21</v>
      </c>
      <c r="O599" s="32">
        <v>13</v>
      </c>
      <c r="P599" s="32">
        <v>25</v>
      </c>
      <c r="Q599" s="32">
        <v>19</v>
      </c>
      <c r="R599" s="32">
        <v>23</v>
      </c>
      <c r="S599" s="32">
        <v>16</v>
      </c>
      <c r="T599" s="32">
        <v>31</v>
      </c>
      <c r="U599" s="32">
        <v>25</v>
      </c>
      <c r="V599" s="30">
        <v>0.9375</v>
      </c>
      <c r="W599" s="30">
        <v>0.69565217391304346</v>
      </c>
      <c r="X599" s="32">
        <v>15403.28</v>
      </c>
      <c r="Y599" s="32">
        <v>9217.5</v>
      </c>
      <c r="Z599" s="32">
        <v>24620.78</v>
      </c>
      <c r="AA599" s="3">
        <f t="shared" si="9"/>
        <v>23532.04</v>
      </c>
      <c r="AB599" s="3"/>
      <c r="AC599" s="3"/>
      <c r="AF599" s="3"/>
      <c r="AG599" s="3"/>
      <c r="AH599" s="3"/>
    </row>
    <row r="600" spans="1:34" x14ac:dyDescent="0.25">
      <c r="A600">
        <v>6760010</v>
      </c>
      <c r="B600">
        <v>676</v>
      </c>
      <c r="C600" s="2">
        <v>1</v>
      </c>
      <c r="D600" s="2" t="s">
        <v>665</v>
      </c>
      <c r="E600">
        <v>10</v>
      </c>
      <c r="F600" s="2" t="s">
        <v>666</v>
      </c>
      <c r="G600" s="3">
        <v>0</v>
      </c>
      <c r="H600" s="32">
        <v>17</v>
      </c>
      <c r="I600" s="32">
        <v>13</v>
      </c>
      <c r="J600" s="32">
        <v>12</v>
      </c>
      <c r="K600" s="32">
        <v>12</v>
      </c>
      <c r="L600" s="32">
        <v>26</v>
      </c>
      <c r="M600" s="32">
        <v>25</v>
      </c>
      <c r="N600" s="32">
        <v>17</v>
      </c>
      <c r="O600" s="32">
        <v>17</v>
      </c>
      <c r="P600" s="32">
        <v>14</v>
      </c>
      <c r="Q600" s="32">
        <v>10</v>
      </c>
      <c r="R600" s="32">
        <v>13</v>
      </c>
      <c r="S600" s="32">
        <v>11</v>
      </c>
      <c r="T600" s="32">
        <v>24</v>
      </c>
      <c r="U600" s="32">
        <v>13</v>
      </c>
      <c r="V600" s="30">
        <v>0.90909090909090906</v>
      </c>
      <c r="W600" s="30">
        <v>0.86363636363636365</v>
      </c>
      <c r="X600" s="32">
        <v>11563.68</v>
      </c>
      <c r="Y600" s="32">
        <v>5950.49</v>
      </c>
      <c r="Z600" s="32">
        <v>17514.169999999998</v>
      </c>
      <c r="AA600" s="3">
        <f t="shared" si="9"/>
        <v>16739.689999999999</v>
      </c>
      <c r="AB600" s="3"/>
      <c r="AC600" s="3"/>
      <c r="AF600" s="3"/>
      <c r="AG600" s="3"/>
      <c r="AH600" s="3"/>
    </row>
    <row r="601" spans="1:34" x14ac:dyDescent="0.25">
      <c r="A601">
        <v>6820010</v>
      </c>
      <c r="B601">
        <v>682</v>
      </c>
      <c r="C601" s="2">
        <v>1</v>
      </c>
      <c r="D601" s="2" t="s">
        <v>667</v>
      </c>
      <c r="E601">
        <v>10</v>
      </c>
      <c r="F601" s="2" t="s">
        <v>668</v>
      </c>
      <c r="G601" s="3">
        <v>0</v>
      </c>
      <c r="H601" s="32">
        <v>88</v>
      </c>
      <c r="I601" s="32">
        <v>74</v>
      </c>
      <c r="J601" s="32">
        <v>81</v>
      </c>
      <c r="K601" s="32">
        <v>73</v>
      </c>
      <c r="L601" s="32">
        <v>87</v>
      </c>
      <c r="M601" s="32">
        <v>77</v>
      </c>
      <c r="N601" s="32">
        <v>89</v>
      </c>
      <c r="O601" s="32">
        <v>57</v>
      </c>
      <c r="P601" s="32">
        <v>86</v>
      </c>
      <c r="Q601" s="32">
        <v>68</v>
      </c>
      <c r="R601" s="32">
        <v>81</v>
      </c>
      <c r="S601" s="32">
        <v>63</v>
      </c>
      <c r="T601" s="32">
        <v>91</v>
      </c>
      <c r="U601" s="32">
        <v>85</v>
      </c>
      <c r="V601" s="30">
        <v>0.875</v>
      </c>
      <c r="W601" s="30">
        <v>0.734375</v>
      </c>
      <c r="X601" s="32">
        <v>42201.25</v>
      </c>
      <c r="Y601" s="32">
        <v>33083.700000000004</v>
      </c>
      <c r="Z601" s="32">
        <v>75284.950000000012</v>
      </c>
      <c r="AA601" s="3">
        <f t="shared" si="9"/>
        <v>71955.83</v>
      </c>
      <c r="AB601" s="3"/>
      <c r="AC601" s="3"/>
      <c r="AF601" s="3"/>
      <c r="AG601" s="3"/>
      <c r="AH601" s="3"/>
    </row>
    <row r="602" spans="1:34" x14ac:dyDescent="0.25">
      <c r="A602" s="7">
        <v>6900010</v>
      </c>
      <c r="B602" s="7">
        <v>690</v>
      </c>
      <c r="C602" s="7">
        <v>1</v>
      </c>
      <c r="D602" s="7" t="s">
        <v>667</v>
      </c>
      <c r="E602" s="7">
        <v>10</v>
      </c>
      <c r="F602" s="7" t="s">
        <v>668</v>
      </c>
      <c r="G602" s="3">
        <v>0</v>
      </c>
      <c r="H602" s="32">
        <v>0</v>
      </c>
      <c r="I602" s="32">
        <v>0</v>
      </c>
      <c r="J602" s="32">
        <v>0</v>
      </c>
      <c r="K602" s="32">
        <v>0</v>
      </c>
      <c r="L602" s="32">
        <v>73</v>
      </c>
      <c r="M602" s="32">
        <v>66</v>
      </c>
      <c r="N602" s="32">
        <v>0</v>
      </c>
      <c r="O602" s="32">
        <v>0</v>
      </c>
      <c r="P602" s="32">
        <v>0</v>
      </c>
      <c r="Q602" s="32">
        <v>0</v>
      </c>
      <c r="R602" s="32">
        <v>70</v>
      </c>
      <c r="S602" s="32">
        <v>60</v>
      </c>
      <c r="T602" s="32">
        <v>83</v>
      </c>
      <c r="U602" s="32">
        <v>77</v>
      </c>
      <c r="V602" s="30">
        <v>0.90410958904109584</v>
      </c>
      <c r="W602" s="30">
        <v>0.8571428571428571</v>
      </c>
      <c r="X602" s="32">
        <v>39771.94</v>
      </c>
      <c r="Y602" s="32">
        <v>34980.33</v>
      </c>
      <c r="Z602" s="32">
        <v>74752.27</v>
      </c>
      <c r="AA602" s="3">
        <f t="shared" si="9"/>
        <v>71446.710000000006</v>
      </c>
      <c r="AB602" s="3"/>
      <c r="AC602" s="3"/>
      <c r="AF602" s="3"/>
      <c r="AG602" s="3"/>
      <c r="AH602" s="3"/>
    </row>
    <row r="603" spans="1:34" x14ac:dyDescent="0.25">
      <c r="A603">
        <v>6900020</v>
      </c>
      <c r="B603">
        <v>690</v>
      </c>
      <c r="C603" s="2">
        <v>1</v>
      </c>
      <c r="D603" s="2" t="s">
        <v>1223</v>
      </c>
      <c r="E603">
        <v>20</v>
      </c>
      <c r="F603" s="2" t="s">
        <v>1224</v>
      </c>
      <c r="G603" s="3">
        <v>1</v>
      </c>
      <c r="H603" s="32" t="s">
        <v>1328</v>
      </c>
      <c r="I603" s="32" t="s">
        <v>1328</v>
      </c>
      <c r="J603" s="32" t="s">
        <v>1328</v>
      </c>
      <c r="K603" s="32" t="s">
        <v>1328</v>
      </c>
      <c r="L603" s="32" t="s">
        <v>1328</v>
      </c>
      <c r="M603" s="32" t="s">
        <v>1328</v>
      </c>
      <c r="N603" s="32" t="s">
        <v>1328</v>
      </c>
      <c r="O603" s="32" t="s">
        <v>1328</v>
      </c>
      <c r="P603" s="32" t="s">
        <v>1328</v>
      </c>
      <c r="Q603" s="32" t="s">
        <v>1328</v>
      </c>
      <c r="R603" s="32" t="s">
        <v>1328</v>
      </c>
      <c r="S603" s="32" t="s">
        <v>1328</v>
      </c>
      <c r="T603" s="32">
        <v>1</v>
      </c>
      <c r="U603" s="32">
        <v>0</v>
      </c>
      <c r="V603" s="30" t="s">
        <v>1328</v>
      </c>
      <c r="W603" s="30" t="s">
        <v>1328</v>
      </c>
      <c r="X603" s="32" t="s">
        <v>1328</v>
      </c>
      <c r="Y603" s="32" t="s">
        <v>1328</v>
      </c>
      <c r="Z603" s="32">
        <v>530</v>
      </c>
      <c r="AA603" s="3">
        <f t="shared" si="9"/>
        <v>506.56</v>
      </c>
      <c r="AB603" s="3"/>
      <c r="AC603" s="3"/>
      <c r="AF603" s="3"/>
      <c r="AG603" s="3"/>
      <c r="AH603" s="3"/>
    </row>
    <row r="604" spans="1:34" x14ac:dyDescent="0.25">
      <c r="A604">
        <v>6900060</v>
      </c>
      <c r="B604">
        <v>690</v>
      </c>
      <c r="C604" s="2">
        <v>1</v>
      </c>
      <c r="D604" s="2" t="s">
        <v>669</v>
      </c>
      <c r="E604">
        <v>60</v>
      </c>
      <c r="F604" s="2" t="s">
        <v>670</v>
      </c>
      <c r="G604" s="3">
        <v>0</v>
      </c>
      <c r="H604" s="32">
        <v>92</v>
      </c>
      <c r="I604" s="32">
        <v>66</v>
      </c>
      <c r="J604" s="32">
        <v>71</v>
      </c>
      <c r="K604" s="32">
        <v>57</v>
      </c>
      <c r="L604" s="32">
        <v>0</v>
      </c>
      <c r="M604" s="32">
        <v>0</v>
      </c>
      <c r="N604" s="32">
        <v>68</v>
      </c>
      <c r="O604" s="32">
        <v>54</v>
      </c>
      <c r="P604" s="32">
        <v>86</v>
      </c>
      <c r="Q604" s="32">
        <v>67</v>
      </c>
      <c r="R604" s="32">
        <v>0</v>
      </c>
      <c r="S604" s="32">
        <v>0</v>
      </c>
      <c r="T604" s="32">
        <v>0</v>
      </c>
      <c r="U604" s="32">
        <v>0</v>
      </c>
      <c r="V604" s="30">
        <v>0.754601226993865</v>
      </c>
      <c r="W604" s="30">
        <v>0.7857142857142857</v>
      </c>
      <c r="X604" s="32">
        <v>0</v>
      </c>
      <c r="Y604" s="32">
        <v>0</v>
      </c>
      <c r="Z604" s="32">
        <v>0</v>
      </c>
      <c r="AA604" s="3">
        <f t="shared" si="9"/>
        <v>0</v>
      </c>
      <c r="AB604" s="3"/>
      <c r="AC604" s="3"/>
      <c r="AF604" s="3"/>
      <c r="AG604" s="3"/>
      <c r="AH604" s="3"/>
    </row>
    <row r="605" spans="1:34" x14ac:dyDescent="0.25">
      <c r="A605">
        <v>6950101</v>
      </c>
      <c r="B605">
        <v>695</v>
      </c>
      <c r="C605" s="2">
        <v>1</v>
      </c>
      <c r="D605" s="2" t="s">
        <v>671</v>
      </c>
      <c r="E605">
        <v>101</v>
      </c>
      <c r="F605" s="2" t="s">
        <v>672</v>
      </c>
      <c r="G605" s="3">
        <v>0</v>
      </c>
      <c r="H605" s="32">
        <v>57</v>
      </c>
      <c r="I605" s="32">
        <v>37</v>
      </c>
      <c r="J605" s="32">
        <v>54</v>
      </c>
      <c r="K605" s="32">
        <v>44</v>
      </c>
      <c r="L605" s="32">
        <v>59</v>
      </c>
      <c r="M605" s="32">
        <v>50</v>
      </c>
      <c r="N605" s="32">
        <v>0</v>
      </c>
      <c r="O605" s="32">
        <v>0</v>
      </c>
      <c r="P605" s="32">
        <v>0</v>
      </c>
      <c r="Q605" s="32">
        <v>0</v>
      </c>
      <c r="R605" s="32">
        <v>0</v>
      </c>
      <c r="S605" s="32">
        <v>0</v>
      </c>
      <c r="T605" s="32">
        <v>60</v>
      </c>
      <c r="U605" s="32">
        <v>0</v>
      </c>
      <c r="V605" s="30">
        <v>0.77058823529411768</v>
      </c>
      <c r="W605" s="30">
        <v>0</v>
      </c>
      <c r="X605" s="32">
        <v>24504.600000000002</v>
      </c>
      <c r="Y605" s="32">
        <v>0</v>
      </c>
      <c r="Z605" s="32">
        <v>24504.600000000002</v>
      </c>
      <c r="AA605" s="3">
        <f t="shared" si="9"/>
        <v>23421</v>
      </c>
      <c r="AB605" s="3"/>
      <c r="AC605" s="3"/>
      <c r="AF605" s="3"/>
      <c r="AG605" s="3"/>
      <c r="AH605" s="3"/>
    </row>
    <row r="606" spans="1:34" x14ac:dyDescent="0.25">
      <c r="A606" s="7">
        <v>6950301</v>
      </c>
      <c r="B606" s="7">
        <v>695</v>
      </c>
      <c r="C606" s="7">
        <v>1</v>
      </c>
      <c r="D606" s="7" t="s">
        <v>671</v>
      </c>
      <c r="E606" s="7">
        <v>301</v>
      </c>
      <c r="F606" s="7" t="s">
        <v>673</v>
      </c>
      <c r="G606" s="3">
        <v>0</v>
      </c>
      <c r="H606" s="32">
        <v>0</v>
      </c>
      <c r="I606" s="32">
        <v>0</v>
      </c>
      <c r="J606" s="32">
        <v>0</v>
      </c>
      <c r="K606" s="32">
        <v>0</v>
      </c>
      <c r="L606" s="32">
        <v>0</v>
      </c>
      <c r="M606" s="32">
        <v>0</v>
      </c>
      <c r="N606" s="32">
        <v>54</v>
      </c>
      <c r="O606" s="32">
        <v>40</v>
      </c>
      <c r="P606" s="32">
        <v>49</v>
      </c>
      <c r="Q606" s="32">
        <v>43</v>
      </c>
      <c r="R606" s="32">
        <v>52</v>
      </c>
      <c r="S606" s="32">
        <v>42</v>
      </c>
      <c r="T606" s="32">
        <v>0</v>
      </c>
      <c r="U606" s="32">
        <v>56</v>
      </c>
      <c r="V606" s="30">
        <v>0</v>
      </c>
      <c r="W606" s="30">
        <v>0.80645161290322576</v>
      </c>
      <c r="X606" s="32">
        <v>0</v>
      </c>
      <c r="Y606" s="32">
        <v>23935.52</v>
      </c>
      <c r="Z606" s="32">
        <v>23935.52</v>
      </c>
      <c r="AA606" s="3">
        <f t="shared" si="9"/>
        <v>22877.09</v>
      </c>
      <c r="AB606" s="3"/>
      <c r="AC606" s="3"/>
      <c r="AF606" s="3"/>
      <c r="AG606" s="3"/>
      <c r="AH606" s="3"/>
    </row>
    <row r="607" spans="1:34" x14ac:dyDescent="0.25">
      <c r="A607">
        <v>6960002</v>
      </c>
      <c r="B607">
        <v>696</v>
      </c>
      <c r="C607" s="2">
        <v>1</v>
      </c>
      <c r="D607" s="2" t="s">
        <v>674</v>
      </c>
      <c r="E607">
        <v>2</v>
      </c>
      <c r="F607" s="2" t="s">
        <v>71</v>
      </c>
      <c r="G607" s="3">
        <v>0</v>
      </c>
      <c r="H607" s="32">
        <v>36</v>
      </c>
      <c r="I607" s="32">
        <v>27</v>
      </c>
      <c r="J607" s="32">
        <v>46</v>
      </c>
      <c r="K607" s="32">
        <v>33</v>
      </c>
      <c r="L607" s="32">
        <v>39</v>
      </c>
      <c r="M607" s="32">
        <v>34</v>
      </c>
      <c r="N607" s="32">
        <v>43</v>
      </c>
      <c r="O607" s="32">
        <v>28</v>
      </c>
      <c r="P607" s="32">
        <v>36</v>
      </c>
      <c r="Q607" s="32">
        <v>24</v>
      </c>
      <c r="R607" s="32">
        <v>44</v>
      </c>
      <c r="S607" s="32">
        <v>30</v>
      </c>
      <c r="T607" s="32">
        <v>40</v>
      </c>
      <c r="U607" s="32">
        <v>46</v>
      </c>
      <c r="V607" s="30">
        <v>0.77685950413223137</v>
      </c>
      <c r="W607" s="30">
        <v>0.66666666666666663</v>
      </c>
      <c r="X607" s="32">
        <v>16469.599999999999</v>
      </c>
      <c r="Y607" s="32">
        <v>16253.179999999998</v>
      </c>
      <c r="Z607" s="32">
        <v>32722.78</v>
      </c>
      <c r="AA607" s="3">
        <f t="shared" si="9"/>
        <v>31275.77</v>
      </c>
      <c r="AB607" s="3"/>
      <c r="AC607" s="3"/>
      <c r="AF607" s="3"/>
      <c r="AG607" s="3"/>
      <c r="AH607" s="3"/>
    </row>
    <row r="608" spans="1:34" x14ac:dyDescent="0.25">
      <c r="A608">
        <v>6980010</v>
      </c>
      <c r="B608">
        <v>698</v>
      </c>
      <c r="C608">
        <v>1</v>
      </c>
      <c r="D608" t="s">
        <v>675</v>
      </c>
      <c r="E608">
        <v>10</v>
      </c>
      <c r="F608" t="s">
        <v>676</v>
      </c>
      <c r="G608" s="3">
        <v>0</v>
      </c>
      <c r="H608" s="32">
        <v>24</v>
      </c>
      <c r="I608" s="32">
        <v>14</v>
      </c>
      <c r="J608" s="32">
        <v>24</v>
      </c>
      <c r="K608" s="32">
        <v>12</v>
      </c>
      <c r="L608" s="32">
        <v>24</v>
      </c>
      <c r="M608" s="32">
        <v>19</v>
      </c>
      <c r="N608" s="32">
        <v>28</v>
      </c>
      <c r="O608" s="32">
        <v>15</v>
      </c>
      <c r="P608" s="32">
        <v>21</v>
      </c>
      <c r="Q608" s="32">
        <v>14</v>
      </c>
      <c r="R608" s="32">
        <v>22</v>
      </c>
      <c r="S608" s="32">
        <v>12</v>
      </c>
      <c r="T608" s="32">
        <v>23</v>
      </c>
      <c r="U608" s="32">
        <v>23</v>
      </c>
      <c r="V608" s="30">
        <v>0.625</v>
      </c>
      <c r="W608" s="30">
        <v>0.57746478873239437</v>
      </c>
      <c r="X608" s="32">
        <v>7618.75</v>
      </c>
      <c r="Y608" s="32">
        <v>7039.38</v>
      </c>
      <c r="Z608" s="32">
        <v>14658.130000000001</v>
      </c>
      <c r="AA608" s="3">
        <f t="shared" si="9"/>
        <v>14009.94</v>
      </c>
      <c r="AB608" s="3"/>
      <c r="AC608" s="3"/>
      <c r="AF608" s="3"/>
      <c r="AG608" s="3"/>
      <c r="AH608" s="3"/>
    </row>
    <row r="609" spans="1:34" x14ac:dyDescent="0.25">
      <c r="A609">
        <v>7000010</v>
      </c>
      <c r="B609">
        <v>700</v>
      </c>
      <c r="C609">
        <v>1</v>
      </c>
      <c r="D609" t="s">
        <v>677</v>
      </c>
      <c r="E609">
        <v>10</v>
      </c>
      <c r="F609" t="s">
        <v>678</v>
      </c>
      <c r="G609" s="3">
        <v>0</v>
      </c>
      <c r="H609" s="32">
        <v>153</v>
      </c>
      <c r="I609" s="32">
        <v>131</v>
      </c>
      <c r="J609" s="32">
        <v>148</v>
      </c>
      <c r="K609" s="32">
        <v>130</v>
      </c>
      <c r="L609" s="32">
        <v>140</v>
      </c>
      <c r="M609" s="32">
        <v>123</v>
      </c>
      <c r="N609" s="32">
        <v>0</v>
      </c>
      <c r="O609" s="32">
        <v>0</v>
      </c>
      <c r="P609" s="32">
        <v>0</v>
      </c>
      <c r="Q609" s="32">
        <v>0</v>
      </c>
      <c r="R609" s="32">
        <v>0</v>
      </c>
      <c r="S609" s="32">
        <v>0</v>
      </c>
      <c r="T609" s="32">
        <v>149</v>
      </c>
      <c r="U609" s="32">
        <v>0</v>
      </c>
      <c r="V609" s="30">
        <v>0.87074829931972786</v>
      </c>
      <c r="W609" s="30">
        <v>0</v>
      </c>
      <c r="X609" s="32">
        <v>68763.5</v>
      </c>
      <c r="Y609" s="32">
        <v>0</v>
      </c>
      <c r="Z609" s="32">
        <v>68763.5</v>
      </c>
      <c r="AA609" s="3">
        <f t="shared" si="9"/>
        <v>65722.759999999995</v>
      </c>
      <c r="AB609" s="3"/>
      <c r="AC609" s="3"/>
      <c r="AF609" s="3"/>
      <c r="AG609" s="3"/>
      <c r="AH609" s="3"/>
    </row>
    <row r="610" spans="1:34" x14ac:dyDescent="0.25">
      <c r="A610">
        <v>7000015</v>
      </c>
      <c r="B610">
        <v>700</v>
      </c>
      <c r="C610" s="2">
        <v>1</v>
      </c>
      <c r="D610" s="2" t="s">
        <v>677</v>
      </c>
      <c r="E610">
        <v>15</v>
      </c>
      <c r="F610" s="2" t="s">
        <v>679</v>
      </c>
      <c r="G610" s="3">
        <v>0</v>
      </c>
      <c r="H610" s="32">
        <v>0</v>
      </c>
      <c r="I610" s="32">
        <v>0</v>
      </c>
      <c r="J610" s="32">
        <v>0</v>
      </c>
      <c r="K610" s="32">
        <v>0</v>
      </c>
      <c r="L610" s="32">
        <v>0</v>
      </c>
      <c r="M610" s="32">
        <v>0</v>
      </c>
      <c r="N610" s="32">
        <v>153</v>
      </c>
      <c r="O610" s="32">
        <v>107</v>
      </c>
      <c r="P610" s="32">
        <v>151</v>
      </c>
      <c r="Q610" s="32">
        <v>110</v>
      </c>
      <c r="R610" s="32">
        <v>142</v>
      </c>
      <c r="S610" s="32">
        <v>110</v>
      </c>
      <c r="T610" s="32">
        <v>0</v>
      </c>
      <c r="U610" s="32">
        <v>153</v>
      </c>
      <c r="V610" s="30">
        <v>0</v>
      </c>
      <c r="W610" s="30">
        <v>0.73318385650224216</v>
      </c>
      <c r="X610" s="32">
        <v>0</v>
      </c>
      <c r="Y610" s="32">
        <v>59454.27</v>
      </c>
      <c r="Z610" s="32">
        <v>59454.27</v>
      </c>
      <c r="AA610" s="3">
        <f t="shared" si="9"/>
        <v>56825.19</v>
      </c>
      <c r="AB610" s="3"/>
      <c r="AC610" s="3"/>
      <c r="AF610" s="3"/>
      <c r="AG610" s="3"/>
      <c r="AH610" s="3"/>
    </row>
    <row r="611" spans="1:34" x14ac:dyDescent="0.25">
      <c r="A611">
        <v>7010310</v>
      </c>
      <c r="B611" s="5">
        <v>701</v>
      </c>
      <c r="C611" s="5">
        <v>1</v>
      </c>
      <c r="D611" t="s">
        <v>680</v>
      </c>
      <c r="E611" s="5">
        <v>310</v>
      </c>
      <c r="F611" s="6" t="s">
        <v>60</v>
      </c>
      <c r="G611" s="3">
        <v>0</v>
      </c>
      <c r="H611" s="32">
        <v>192</v>
      </c>
      <c r="I611" s="32">
        <v>162</v>
      </c>
      <c r="J611" s="32">
        <v>139</v>
      </c>
      <c r="K611" s="32">
        <v>112</v>
      </c>
      <c r="L611" s="32">
        <v>159</v>
      </c>
      <c r="M611" s="32">
        <v>144</v>
      </c>
      <c r="N611" s="32">
        <v>148</v>
      </c>
      <c r="O611" s="32">
        <v>103</v>
      </c>
      <c r="P611" s="32">
        <v>181</v>
      </c>
      <c r="Q611" s="32">
        <v>136</v>
      </c>
      <c r="R611" s="32">
        <v>122</v>
      </c>
      <c r="S611" s="32">
        <v>99</v>
      </c>
      <c r="T611" s="32">
        <v>166</v>
      </c>
      <c r="U611" s="32">
        <v>141</v>
      </c>
      <c r="V611" s="30">
        <v>0.85306122448979593</v>
      </c>
      <c r="W611" s="30">
        <v>0.74944567627494452</v>
      </c>
      <c r="X611" s="32">
        <v>75051.92</v>
      </c>
      <c r="Y611" s="32">
        <v>56006.61</v>
      </c>
      <c r="Z611" s="32">
        <v>131058.53</v>
      </c>
      <c r="AA611" s="3">
        <f t="shared" si="9"/>
        <v>125263.09</v>
      </c>
      <c r="AB611" s="3"/>
      <c r="AC611" s="3"/>
      <c r="AF611" s="3"/>
      <c r="AG611" s="3"/>
      <c r="AH611" s="3"/>
    </row>
    <row r="612" spans="1:34" x14ac:dyDescent="0.25">
      <c r="A612">
        <v>7040004</v>
      </c>
      <c r="B612">
        <v>704</v>
      </c>
      <c r="C612" s="2">
        <v>1</v>
      </c>
      <c r="D612" s="2" t="s">
        <v>681</v>
      </c>
      <c r="E612">
        <v>4</v>
      </c>
      <c r="F612" s="2" t="s">
        <v>682</v>
      </c>
      <c r="G612" s="3">
        <v>0</v>
      </c>
      <c r="H612" s="32">
        <v>82</v>
      </c>
      <c r="I612" s="32">
        <v>61</v>
      </c>
      <c r="J612" s="32">
        <v>81</v>
      </c>
      <c r="K612" s="32">
        <v>68</v>
      </c>
      <c r="L612" s="32">
        <v>85</v>
      </c>
      <c r="M612" s="32">
        <v>66</v>
      </c>
      <c r="N612" s="32">
        <v>81</v>
      </c>
      <c r="O612" s="32">
        <v>52</v>
      </c>
      <c r="P612" s="32">
        <v>77</v>
      </c>
      <c r="Q612" s="32">
        <v>50</v>
      </c>
      <c r="R612" s="32">
        <v>79</v>
      </c>
      <c r="S612" s="32">
        <v>49</v>
      </c>
      <c r="T612" s="32">
        <v>90</v>
      </c>
      <c r="U612" s="32">
        <v>86</v>
      </c>
      <c r="V612" s="30">
        <v>0.78629032258064513</v>
      </c>
      <c r="W612" s="30">
        <v>0.6371308016877637</v>
      </c>
      <c r="X612" s="32">
        <v>37505.700000000004</v>
      </c>
      <c r="Y612" s="32">
        <v>29040.48</v>
      </c>
      <c r="Z612" s="32">
        <v>66546.180000000008</v>
      </c>
      <c r="AA612" s="3">
        <f t="shared" si="9"/>
        <v>63603.49</v>
      </c>
      <c r="AB612" s="3"/>
      <c r="AC612" s="3"/>
      <c r="AF612" s="3"/>
      <c r="AG612" s="3"/>
      <c r="AH612" s="3"/>
    </row>
    <row r="613" spans="1:34" x14ac:dyDescent="0.25">
      <c r="A613">
        <v>7040006</v>
      </c>
      <c r="B613">
        <v>704</v>
      </c>
      <c r="C613" s="2">
        <v>1</v>
      </c>
      <c r="D613" s="2" t="s">
        <v>681</v>
      </c>
      <c r="E613">
        <v>6</v>
      </c>
      <c r="F613" s="2" t="s">
        <v>683</v>
      </c>
      <c r="G613" s="3">
        <v>0</v>
      </c>
      <c r="H613" s="32">
        <v>45</v>
      </c>
      <c r="I613" s="32">
        <v>35</v>
      </c>
      <c r="J613" s="32">
        <v>42</v>
      </c>
      <c r="K613" s="32">
        <v>40</v>
      </c>
      <c r="L613" s="32">
        <v>54</v>
      </c>
      <c r="M613" s="32">
        <v>49</v>
      </c>
      <c r="N613" s="32">
        <v>51</v>
      </c>
      <c r="O613" s="32">
        <v>40</v>
      </c>
      <c r="P613" s="32">
        <v>44</v>
      </c>
      <c r="Q613" s="32">
        <v>29</v>
      </c>
      <c r="R613" s="32">
        <v>42</v>
      </c>
      <c r="S613" s="32">
        <v>31</v>
      </c>
      <c r="T613" s="32">
        <v>55</v>
      </c>
      <c r="U613" s="32">
        <v>42</v>
      </c>
      <c r="V613" s="30">
        <v>0.87943262411347523</v>
      </c>
      <c r="W613" s="30">
        <v>0.72992700729927007</v>
      </c>
      <c r="X613" s="32">
        <v>25635.5</v>
      </c>
      <c r="Y613" s="32">
        <v>16248.12</v>
      </c>
      <c r="Z613" s="32">
        <v>41883.620000000003</v>
      </c>
      <c r="AA613" s="3">
        <f t="shared" si="9"/>
        <v>40031.519999999997</v>
      </c>
      <c r="AB613" s="3"/>
      <c r="AC613" s="3"/>
      <c r="AF613" s="3"/>
      <c r="AG613" s="3"/>
      <c r="AH613" s="3"/>
    </row>
    <row r="614" spans="1:34" x14ac:dyDescent="0.25">
      <c r="A614">
        <v>7060030</v>
      </c>
      <c r="B614">
        <v>706</v>
      </c>
      <c r="C614" s="2">
        <v>1</v>
      </c>
      <c r="D614" s="2" t="s">
        <v>684</v>
      </c>
      <c r="E614">
        <v>30</v>
      </c>
      <c r="F614" s="2" t="s">
        <v>104</v>
      </c>
      <c r="G614" s="3">
        <v>0</v>
      </c>
      <c r="H614" s="32">
        <v>0</v>
      </c>
      <c r="I614" s="32">
        <v>0</v>
      </c>
      <c r="J614" s="32">
        <v>0</v>
      </c>
      <c r="K614" s="32">
        <v>0</v>
      </c>
      <c r="L614" s="32">
        <v>0</v>
      </c>
      <c r="M614" s="32">
        <v>0</v>
      </c>
      <c r="N614" s="32">
        <v>83</v>
      </c>
      <c r="O614" s="32">
        <v>69</v>
      </c>
      <c r="P614" s="32">
        <v>115</v>
      </c>
      <c r="Q614" s="32">
        <v>81</v>
      </c>
      <c r="R614" s="32">
        <v>83</v>
      </c>
      <c r="S614" s="32">
        <v>65</v>
      </c>
      <c r="T614" s="32">
        <v>0</v>
      </c>
      <c r="U614" s="32">
        <v>91</v>
      </c>
      <c r="V614" s="30">
        <v>0</v>
      </c>
      <c r="W614" s="30">
        <v>0.76512455516014233</v>
      </c>
      <c r="X614" s="32">
        <v>0</v>
      </c>
      <c r="Y614" s="32">
        <v>36902.32</v>
      </c>
      <c r="Z614" s="32">
        <v>36902.32</v>
      </c>
      <c r="AA614" s="3">
        <f t="shared" si="9"/>
        <v>35270.49</v>
      </c>
      <c r="AB614" s="3"/>
      <c r="AC614" s="3"/>
      <c r="AF614" s="3"/>
      <c r="AG614" s="3"/>
      <c r="AH614" s="3"/>
    </row>
    <row r="615" spans="1:34" x14ac:dyDescent="0.25">
      <c r="A615">
        <v>7060112</v>
      </c>
      <c r="B615">
        <v>706</v>
      </c>
      <c r="C615" s="2">
        <v>1</v>
      </c>
      <c r="D615" s="2" t="s">
        <v>684</v>
      </c>
      <c r="E615">
        <v>112</v>
      </c>
      <c r="F615" s="2" t="s">
        <v>242</v>
      </c>
      <c r="G615" s="3">
        <v>0</v>
      </c>
      <c r="H615" s="32">
        <v>120</v>
      </c>
      <c r="I615" s="32">
        <v>96</v>
      </c>
      <c r="J615" s="32">
        <v>90</v>
      </c>
      <c r="K615" s="32">
        <v>73</v>
      </c>
      <c r="L615" s="32">
        <v>123</v>
      </c>
      <c r="M615" s="32">
        <v>112</v>
      </c>
      <c r="N615" s="32">
        <v>0</v>
      </c>
      <c r="O615" s="32">
        <v>0</v>
      </c>
      <c r="P615" s="32">
        <v>0</v>
      </c>
      <c r="Q615" s="32">
        <v>0</v>
      </c>
      <c r="R615" s="32">
        <v>0</v>
      </c>
      <c r="S615" s="32">
        <v>0</v>
      </c>
      <c r="T615" s="32">
        <v>125</v>
      </c>
      <c r="U615" s="32">
        <v>0</v>
      </c>
      <c r="V615" s="30">
        <v>0.84384384384384381</v>
      </c>
      <c r="W615" s="30">
        <v>0</v>
      </c>
      <c r="X615" s="32">
        <v>55905</v>
      </c>
      <c r="Y615" s="32">
        <v>0</v>
      </c>
      <c r="Z615" s="32">
        <v>55905</v>
      </c>
      <c r="AA615" s="3">
        <f t="shared" si="9"/>
        <v>53432.87</v>
      </c>
      <c r="AB615" s="3"/>
      <c r="AC615" s="3"/>
      <c r="AF615" s="3"/>
      <c r="AG615" s="3"/>
      <c r="AH615" s="3"/>
    </row>
    <row r="616" spans="1:34" x14ac:dyDescent="0.25">
      <c r="A616">
        <v>7070001</v>
      </c>
      <c r="B616">
        <v>707</v>
      </c>
      <c r="C616" s="2">
        <v>1</v>
      </c>
      <c r="D616" s="2" t="s">
        <v>1225</v>
      </c>
      <c r="E616">
        <v>1</v>
      </c>
      <c r="F616" s="2" t="s">
        <v>1226</v>
      </c>
      <c r="G616" s="3">
        <v>1</v>
      </c>
      <c r="H616" s="32" t="s">
        <v>1328</v>
      </c>
      <c r="I616" s="32" t="s">
        <v>1328</v>
      </c>
      <c r="J616" s="32" t="s">
        <v>1328</v>
      </c>
      <c r="K616" s="32" t="s">
        <v>1328</v>
      </c>
      <c r="L616" s="32" t="s">
        <v>1328</v>
      </c>
      <c r="M616" s="32" t="s">
        <v>1328</v>
      </c>
      <c r="N616" s="32" t="s">
        <v>1328</v>
      </c>
      <c r="O616" s="32" t="s">
        <v>1328</v>
      </c>
      <c r="P616" s="32" t="s">
        <v>1328</v>
      </c>
      <c r="Q616" s="32" t="s">
        <v>1328</v>
      </c>
      <c r="R616" s="32" t="s">
        <v>1328</v>
      </c>
      <c r="S616" s="32" t="s">
        <v>1328</v>
      </c>
      <c r="T616" s="32">
        <v>11</v>
      </c>
      <c r="U616" s="32">
        <v>8</v>
      </c>
      <c r="V616" s="30" t="s">
        <v>1328</v>
      </c>
      <c r="W616" s="30" t="s">
        <v>1328</v>
      </c>
      <c r="X616" s="32" t="s">
        <v>1328</v>
      </c>
      <c r="Y616" s="32" t="s">
        <v>1328</v>
      </c>
      <c r="Z616" s="32">
        <v>7675.1100000000006</v>
      </c>
      <c r="AA616" s="3">
        <f t="shared" si="9"/>
        <v>7335.71</v>
      </c>
      <c r="AB616" s="3"/>
      <c r="AC616" s="3"/>
      <c r="AF616" s="3"/>
      <c r="AG616" s="3"/>
      <c r="AH616" s="3"/>
    </row>
    <row r="617" spans="1:34" x14ac:dyDescent="0.25">
      <c r="A617">
        <v>7090081</v>
      </c>
      <c r="B617">
        <v>709</v>
      </c>
      <c r="C617" s="2">
        <v>1</v>
      </c>
      <c r="D617" s="2" t="s">
        <v>1227</v>
      </c>
      <c r="E617">
        <v>81</v>
      </c>
      <c r="F617" s="2" t="s">
        <v>1228</v>
      </c>
      <c r="G617" s="3">
        <v>1</v>
      </c>
      <c r="H617" s="32" t="s">
        <v>1328</v>
      </c>
      <c r="I617" s="32" t="s">
        <v>1328</v>
      </c>
      <c r="J617" s="32" t="s">
        <v>1328</v>
      </c>
      <c r="K617" s="32" t="s">
        <v>1328</v>
      </c>
      <c r="L617" s="32" t="s">
        <v>1328</v>
      </c>
      <c r="M617" s="32" t="s">
        <v>1328</v>
      </c>
      <c r="N617" s="32" t="s">
        <v>1328</v>
      </c>
      <c r="O617" s="32" t="s">
        <v>1328</v>
      </c>
      <c r="P617" s="32" t="s">
        <v>1328</v>
      </c>
      <c r="Q617" s="32" t="s">
        <v>1328</v>
      </c>
      <c r="R617" s="32" t="s">
        <v>1328</v>
      </c>
      <c r="S617" s="32" t="s">
        <v>1328</v>
      </c>
      <c r="T617" s="32">
        <v>8</v>
      </c>
      <c r="U617" s="32">
        <v>13</v>
      </c>
      <c r="V617" s="30" t="s">
        <v>1328</v>
      </c>
      <c r="W617" s="30" t="s">
        <v>1328</v>
      </c>
      <c r="X617" s="32" t="s">
        <v>1328</v>
      </c>
      <c r="Y617" s="32" t="s">
        <v>1328</v>
      </c>
      <c r="Z617" s="32">
        <v>4900.88</v>
      </c>
      <c r="AA617" s="3">
        <f t="shared" si="9"/>
        <v>4684.16</v>
      </c>
      <c r="AB617" s="3"/>
      <c r="AC617" s="3"/>
      <c r="AF617" s="3"/>
      <c r="AG617" s="3"/>
      <c r="AH617" s="3"/>
    </row>
    <row r="618" spans="1:34" x14ac:dyDescent="0.25">
      <c r="A618">
        <v>7090435</v>
      </c>
      <c r="B618">
        <v>709</v>
      </c>
      <c r="C618" s="2">
        <v>1</v>
      </c>
      <c r="D618" s="2" t="s">
        <v>685</v>
      </c>
      <c r="E618">
        <v>435</v>
      </c>
      <c r="F618" s="2" t="s">
        <v>686</v>
      </c>
      <c r="G618" s="3">
        <v>0</v>
      </c>
      <c r="H618" s="32">
        <v>84</v>
      </c>
      <c r="I618" s="32">
        <v>80</v>
      </c>
      <c r="J618" s="32">
        <v>79</v>
      </c>
      <c r="K618" s="32">
        <v>70</v>
      </c>
      <c r="L618" s="32">
        <v>83</v>
      </c>
      <c r="M618" s="32">
        <v>74</v>
      </c>
      <c r="N618" s="32">
        <v>75</v>
      </c>
      <c r="O618" s="32">
        <v>68</v>
      </c>
      <c r="P618" s="32">
        <v>72</v>
      </c>
      <c r="Q618" s="32">
        <v>66</v>
      </c>
      <c r="R618" s="32">
        <v>68</v>
      </c>
      <c r="S618" s="32">
        <v>66</v>
      </c>
      <c r="T618" s="32">
        <v>83</v>
      </c>
      <c r="U618" s="32">
        <v>77</v>
      </c>
      <c r="V618" s="30">
        <v>0.91056910569105687</v>
      </c>
      <c r="W618" s="30">
        <v>0.93023255813953487</v>
      </c>
      <c r="X618" s="32">
        <v>40055.800000000003</v>
      </c>
      <c r="Y618" s="32">
        <v>37962.54</v>
      </c>
      <c r="Z618" s="32">
        <v>78018.34</v>
      </c>
      <c r="AA618" s="3">
        <f t="shared" si="9"/>
        <v>74568.350000000006</v>
      </c>
      <c r="AB618" s="3"/>
      <c r="AC618" s="3"/>
      <c r="AF618" s="3"/>
      <c r="AG618" s="3"/>
      <c r="AH618" s="3"/>
    </row>
    <row r="619" spans="1:34" x14ac:dyDescent="0.25">
      <c r="A619">
        <v>7090470</v>
      </c>
      <c r="B619">
        <v>709</v>
      </c>
      <c r="C619" s="2">
        <v>1</v>
      </c>
      <c r="D619" s="2" t="s">
        <v>685</v>
      </c>
      <c r="E619">
        <v>470</v>
      </c>
      <c r="F619" s="2" t="s">
        <v>687</v>
      </c>
      <c r="G619" s="3">
        <v>0</v>
      </c>
      <c r="H619" s="32">
        <v>0</v>
      </c>
      <c r="I619" s="32">
        <v>0</v>
      </c>
      <c r="J619" s="32">
        <v>0</v>
      </c>
      <c r="K619" s="32">
        <v>0</v>
      </c>
      <c r="L619" s="32">
        <v>0</v>
      </c>
      <c r="M619" s="32">
        <v>0</v>
      </c>
      <c r="N619" s="32">
        <v>34</v>
      </c>
      <c r="O619" s="32">
        <v>23</v>
      </c>
      <c r="P619" s="32">
        <v>0</v>
      </c>
      <c r="Q619" s="32">
        <v>0</v>
      </c>
      <c r="R619" s="32">
        <v>0</v>
      </c>
      <c r="S619" s="32">
        <v>0</v>
      </c>
      <c r="T619" s="32">
        <v>0</v>
      </c>
      <c r="U619" s="32">
        <v>0</v>
      </c>
      <c r="V619" s="30">
        <v>0</v>
      </c>
      <c r="W619" s="30">
        <v>0.67647058823529416</v>
      </c>
      <c r="X619" s="32">
        <v>0</v>
      </c>
      <c r="Y619" s="32">
        <v>0</v>
      </c>
      <c r="Z619" s="32">
        <v>0</v>
      </c>
      <c r="AA619" s="3">
        <f t="shared" si="9"/>
        <v>0</v>
      </c>
      <c r="AB619" s="3"/>
      <c r="AC619" s="3"/>
      <c r="AF619" s="3"/>
      <c r="AG619" s="3"/>
      <c r="AH619" s="3"/>
    </row>
    <row r="620" spans="1:34" x14ac:dyDescent="0.25">
      <c r="A620">
        <v>7090475</v>
      </c>
      <c r="B620">
        <v>709</v>
      </c>
      <c r="C620">
        <v>1</v>
      </c>
      <c r="D620" t="s">
        <v>685</v>
      </c>
      <c r="E620">
        <v>475</v>
      </c>
      <c r="F620" t="s">
        <v>633</v>
      </c>
      <c r="G620" s="3">
        <v>0</v>
      </c>
      <c r="H620" s="32">
        <v>61</v>
      </c>
      <c r="I620" s="32">
        <v>44</v>
      </c>
      <c r="J620" s="32">
        <v>53</v>
      </c>
      <c r="K620" s="32">
        <v>45</v>
      </c>
      <c r="L620" s="32">
        <v>77</v>
      </c>
      <c r="M620" s="32">
        <v>67</v>
      </c>
      <c r="N620" s="32">
        <v>58</v>
      </c>
      <c r="O620" s="32">
        <v>37</v>
      </c>
      <c r="P620" s="32">
        <v>63</v>
      </c>
      <c r="Q620" s="32">
        <v>50</v>
      </c>
      <c r="R620" s="32">
        <v>48</v>
      </c>
      <c r="S620" s="32">
        <v>36</v>
      </c>
      <c r="T620" s="32">
        <v>74</v>
      </c>
      <c r="U620" s="32">
        <v>51</v>
      </c>
      <c r="V620" s="30">
        <v>0.81675392670157065</v>
      </c>
      <c r="W620" s="30">
        <v>0.72781065088757402</v>
      </c>
      <c r="X620" s="32">
        <v>32033.119999999999</v>
      </c>
      <c r="Y620" s="32">
        <v>19672.740000000002</v>
      </c>
      <c r="Z620" s="32">
        <v>51705.86</v>
      </c>
      <c r="AA620" s="3">
        <f t="shared" si="9"/>
        <v>49419.41</v>
      </c>
      <c r="AB620" s="3"/>
      <c r="AC620" s="3"/>
      <c r="AF620" s="3"/>
      <c r="AG620" s="3"/>
      <c r="AH620" s="3"/>
    </row>
    <row r="621" spans="1:34" x14ac:dyDescent="0.25">
      <c r="A621">
        <v>7090500</v>
      </c>
      <c r="B621">
        <v>709</v>
      </c>
      <c r="C621">
        <v>1</v>
      </c>
      <c r="D621" t="s">
        <v>685</v>
      </c>
      <c r="E621">
        <v>500</v>
      </c>
      <c r="F621" t="s">
        <v>688</v>
      </c>
      <c r="G621" s="3">
        <v>0</v>
      </c>
      <c r="H621" s="32">
        <v>52</v>
      </c>
      <c r="I621" s="32">
        <v>45</v>
      </c>
      <c r="J621" s="32">
        <v>46</v>
      </c>
      <c r="K621" s="32">
        <v>45</v>
      </c>
      <c r="L621" s="32">
        <v>42</v>
      </c>
      <c r="M621" s="32">
        <v>39</v>
      </c>
      <c r="N621" s="32">
        <v>53</v>
      </c>
      <c r="O621" s="32">
        <v>38</v>
      </c>
      <c r="P621" s="32">
        <v>50</v>
      </c>
      <c r="Q621" s="32">
        <v>38</v>
      </c>
      <c r="R621" s="32">
        <v>45</v>
      </c>
      <c r="S621" s="32">
        <v>39</v>
      </c>
      <c r="T621" s="32">
        <v>45</v>
      </c>
      <c r="U621" s="32">
        <v>46</v>
      </c>
      <c r="V621" s="30">
        <v>0.92142857142857137</v>
      </c>
      <c r="W621" s="30">
        <v>0.77702702702702697</v>
      </c>
      <c r="X621" s="32">
        <v>21976.2</v>
      </c>
      <c r="Y621" s="32">
        <v>18943.72</v>
      </c>
      <c r="Z621" s="32">
        <v>40919.919999999998</v>
      </c>
      <c r="AA621" s="3">
        <f t="shared" si="9"/>
        <v>39110.43</v>
      </c>
      <c r="AB621" s="3"/>
      <c r="AC621" s="3"/>
      <c r="AF621" s="3"/>
      <c r="AG621" s="3"/>
      <c r="AH621" s="3"/>
    </row>
    <row r="622" spans="1:34" x14ac:dyDescent="0.25">
      <c r="A622">
        <v>7090510</v>
      </c>
      <c r="B622">
        <v>709</v>
      </c>
      <c r="C622" s="2">
        <v>1</v>
      </c>
      <c r="D622" s="2" t="s">
        <v>685</v>
      </c>
      <c r="E622">
        <v>510</v>
      </c>
      <c r="F622" s="2" t="s">
        <v>689</v>
      </c>
      <c r="G622" s="3">
        <v>0</v>
      </c>
      <c r="H622" s="32">
        <v>87</v>
      </c>
      <c r="I622" s="32">
        <v>78</v>
      </c>
      <c r="J622" s="32">
        <v>77</v>
      </c>
      <c r="K622" s="32">
        <v>72</v>
      </c>
      <c r="L622" s="32">
        <v>92</v>
      </c>
      <c r="M622" s="32">
        <v>83</v>
      </c>
      <c r="N622" s="32">
        <v>85</v>
      </c>
      <c r="O622" s="32">
        <v>62</v>
      </c>
      <c r="P622" s="32">
        <v>82</v>
      </c>
      <c r="Q622" s="32">
        <v>69</v>
      </c>
      <c r="R622" s="32">
        <v>74</v>
      </c>
      <c r="S622" s="32">
        <v>61</v>
      </c>
      <c r="T622" s="32">
        <v>96</v>
      </c>
      <c r="U622" s="32">
        <v>78</v>
      </c>
      <c r="V622" s="30">
        <v>0.91015625</v>
      </c>
      <c r="W622" s="30">
        <v>0.79668049792531115</v>
      </c>
      <c r="X622" s="32">
        <v>46308.479999999996</v>
      </c>
      <c r="Y622" s="32">
        <v>32934.720000000001</v>
      </c>
      <c r="Z622" s="32">
        <v>79243.199999999997</v>
      </c>
      <c r="AA622" s="3">
        <f t="shared" si="9"/>
        <v>75739.05</v>
      </c>
      <c r="AB622" s="3"/>
      <c r="AC622" s="3"/>
      <c r="AF622" s="3"/>
      <c r="AG622" s="3"/>
      <c r="AH622" s="3"/>
    </row>
    <row r="623" spans="1:34" x14ac:dyDescent="0.25">
      <c r="A623">
        <v>7090515</v>
      </c>
      <c r="B623">
        <v>709</v>
      </c>
      <c r="C623" s="2">
        <v>1</v>
      </c>
      <c r="D623" s="2" t="s">
        <v>685</v>
      </c>
      <c r="E623">
        <v>515</v>
      </c>
      <c r="F623" s="2" t="s">
        <v>690</v>
      </c>
      <c r="G623" s="3">
        <v>0</v>
      </c>
      <c r="H623" s="32">
        <v>46</v>
      </c>
      <c r="I623" s="32">
        <v>28</v>
      </c>
      <c r="J623" s="32">
        <v>55</v>
      </c>
      <c r="K623" s="32">
        <v>23</v>
      </c>
      <c r="L623" s="32">
        <v>0</v>
      </c>
      <c r="M623" s="32">
        <v>0</v>
      </c>
      <c r="N623" s="32">
        <v>47</v>
      </c>
      <c r="O623" s="32">
        <v>34</v>
      </c>
      <c r="P623" s="32">
        <v>46</v>
      </c>
      <c r="Q623" s="32">
        <v>35</v>
      </c>
      <c r="R623" s="32">
        <v>0</v>
      </c>
      <c r="S623" s="32">
        <v>0</v>
      </c>
      <c r="T623" s="32">
        <v>0</v>
      </c>
      <c r="U623" s="32">
        <v>0</v>
      </c>
      <c r="V623" s="30">
        <v>0.50495049504950495</v>
      </c>
      <c r="W623" s="30">
        <v>0.74193548387096775</v>
      </c>
      <c r="X623" s="32">
        <v>0</v>
      </c>
      <c r="Y623" s="32">
        <v>0</v>
      </c>
      <c r="Z623" s="32">
        <v>0</v>
      </c>
      <c r="AA623" s="3">
        <f t="shared" si="9"/>
        <v>0</v>
      </c>
      <c r="AB623" s="3"/>
      <c r="AC623" s="3"/>
      <c r="AF623" s="3"/>
      <c r="AG623" s="3"/>
      <c r="AH623" s="3"/>
    </row>
    <row r="624" spans="1:34" x14ac:dyDescent="0.25">
      <c r="A624">
        <v>7090520</v>
      </c>
      <c r="B624">
        <v>709</v>
      </c>
      <c r="C624" s="2">
        <v>1</v>
      </c>
      <c r="D624" s="2" t="s">
        <v>685</v>
      </c>
      <c r="E624">
        <v>520</v>
      </c>
      <c r="F624" s="2" t="s">
        <v>691</v>
      </c>
      <c r="G624" s="3">
        <v>0</v>
      </c>
      <c r="H624" s="32">
        <v>87</v>
      </c>
      <c r="I624" s="32">
        <v>78</v>
      </c>
      <c r="J624" s="32">
        <v>75</v>
      </c>
      <c r="K624" s="32">
        <v>62</v>
      </c>
      <c r="L624" s="32">
        <v>70</v>
      </c>
      <c r="M624" s="32">
        <v>53</v>
      </c>
      <c r="N624" s="32">
        <v>81</v>
      </c>
      <c r="O624" s="32">
        <v>58</v>
      </c>
      <c r="P624" s="32">
        <v>80</v>
      </c>
      <c r="Q624" s="32">
        <v>61</v>
      </c>
      <c r="R624" s="32">
        <v>66</v>
      </c>
      <c r="S624" s="32">
        <v>50</v>
      </c>
      <c r="T624" s="32">
        <v>71</v>
      </c>
      <c r="U624" s="32">
        <v>72</v>
      </c>
      <c r="V624" s="30">
        <v>0.8318965517241379</v>
      </c>
      <c r="W624" s="30">
        <v>0.74449339207048459</v>
      </c>
      <c r="X624" s="32">
        <v>31304.61</v>
      </c>
      <c r="Y624" s="32">
        <v>28409.759999999998</v>
      </c>
      <c r="Z624" s="32">
        <v>59714.369999999995</v>
      </c>
      <c r="AA624" s="3">
        <f t="shared" si="9"/>
        <v>57073.79</v>
      </c>
      <c r="AB624" s="3"/>
      <c r="AC624" s="3"/>
      <c r="AF624" s="3"/>
      <c r="AG624" s="3"/>
      <c r="AH624" s="3"/>
    </row>
    <row r="625" spans="1:34" x14ac:dyDescent="0.25">
      <c r="A625">
        <v>7090525</v>
      </c>
      <c r="B625">
        <v>709</v>
      </c>
      <c r="C625" s="2">
        <v>1</v>
      </c>
      <c r="D625" s="2" t="s">
        <v>685</v>
      </c>
      <c r="E625">
        <v>525</v>
      </c>
      <c r="F625" s="2" t="s">
        <v>692</v>
      </c>
      <c r="G625" s="3">
        <v>0</v>
      </c>
      <c r="H625" s="32">
        <v>59</v>
      </c>
      <c r="I625" s="32">
        <v>34</v>
      </c>
      <c r="J625" s="32">
        <v>70</v>
      </c>
      <c r="K625" s="32">
        <v>42</v>
      </c>
      <c r="L625" s="32">
        <v>76</v>
      </c>
      <c r="M625" s="32">
        <v>58</v>
      </c>
      <c r="N625" s="32">
        <v>65</v>
      </c>
      <c r="O625" s="32">
        <v>42</v>
      </c>
      <c r="P625" s="32">
        <v>53</v>
      </c>
      <c r="Q625" s="32">
        <v>45</v>
      </c>
      <c r="R625" s="32">
        <v>68</v>
      </c>
      <c r="S625" s="32">
        <v>52</v>
      </c>
      <c r="T625" s="32">
        <v>84</v>
      </c>
      <c r="U625" s="32">
        <v>76</v>
      </c>
      <c r="V625" s="30">
        <v>0.65365853658536588</v>
      </c>
      <c r="W625" s="30">
        <v>0.74731182795698925</v>
      </c>
      <c r="X625" s="32">
        <v>29100.959999999999</v>
      </c>
      <c r="Y625" s="32">
        <v>30102.079999999998</v>
      </c>
      <c r="Z625" s="32">
        <v>59203.039999999994</v>
      </c>
      <c r="AA625" s="3">
        <f t="shared" si="9"/>
        <v>56585.07</v>
      </c>
      <c r="AB625" s="3"/>
      <c r="AC625" s="3"/>
      <c r="AF625" s="3"/>
      <c r="AG625" s="3"/>
      <c r="AH625" s="3"/>
    </row>
    <row r="626" spans="1:34" x14ac:dyDescent="0.25">
      <c r="A626">
        <v>7090540</v>
      </c>
      <c r="B626">
        <v>709</v>
      </c>
      <c r="C626" s="2">
        <v>1</v>
      </c>
      <c r="D626" s="2" t="s">
        <v>685</v>
      </c>
      <c r="E626">
        <v>540</v>
      </c>
      <c r="F626" s="2" t="s">
        <v>693</v>
      </c>
      <c r="G626" s="3">
        <v>0</v>
      </c>
      <c r="H626" s="32">
        <v>60</v>
      </c>
      <c r="I626" s="32">
        <v>38</v>
      </c>
      <c r="J626" s="32">
        <v>68</v>
      </c>
      <c r="K626" s="32">
        <v>49</v>
      </c>
      <c r="L626" s="32">
        <v>70</v>
      </c>
      <c r="M626" s="32">
        <v>45</v>
      </c>
      <c r="N626" s="32">
        <v>46</v>
      </c>
      <c r="O626" s="32">
        <v>31</v>
      </c>
      <c r="P626" s="32">
        <v>67</v>
      </c>
      <c r="Q626" s="32">
        <v>52</v>
      </c>
      <c r="R626" s="32">
        <v>50</v>
      </c>
      <c r="S626" s="32">
        <v>39</v>
      </c>
      <c r="T626" s="32">
        <v>67</v>
      </c>
      <c r="U626" s="32">
        <v>58</v>
      </c>
      <c r="V626" s="30">
        <v>0.66666666666666663</v>
      </c>
      <c r="W626" s="30">
        <v>0.74846625766871167</v>
      </c>
      <c r="X626" s="32">
        <v>23673.11</v>
      </c>
      <c r="Y626" s="32">
        <v>23008.02</v>
      </c>
      <c r="Z626" s="32">
        <v>46681.130000000005</v>
      </c>
      <c r="AA626" s="3">
        <f t="shared" si="9"/>
        <v>44616.88</v>
      </c>
      <c r="AB626" s="3"/>
      <c r="AC626" s="3"/>
      <c r="AF626" s="3"/>
      <c r="AG626" s="3"/>
      <c r="AH626" s="3"/>
    </row>
    <row r="627" spans="1:34" x14ac:dyDescent="0.25">
      <c r="A627">
        <v>7090550</v>
      </c>
      <c r="B627">
        <v>709</v>
      </c>
      <c r="C627" s="2">
        <v>1</v>
      </c>
      <c r="D627" s="2" t="s">
        <v>1227</v>
      </c>
      <c r="E627">
        <v>550</v>
      </c>
      <c r="F627" s="2" t="s">
        <v>1370</v>
      </c>
      <c r="G627" s="3">
        <v>0</v>
      </c>
      <c r="H627" s="32">
        <v>0</v>
      </c>
      <c r="I627" s="32">
        <v>0</v>
      </c>
      <c r="J627" s="32">
        <v>0</v>
      </c>
      <c r="K627" s="32">
        <v>0</v>
      </c>
      <c r="L627" s="32">
        <v>69</v>
      </c>
      <c r="M627" s="32">
        <v>42</v>
      </c>
      <c r="N627" s="32">
        <v>0</v>
      </c>
      <c r="O627" s="32">
        <v>0</v>
      </c>
      <c r="P627" s="32">
        <v>0</v>
      </c>
      <c r="Q627" s="32">
        <v>0</v>
      </c>
      <c r="R627" s="32">
        <v>50</v>
      </c>
      <c r="S627" s="32">
        <v>38</v>
      </c>
      <c r="T627" s="32">
        <v>68</v>
      </c>
      <c r="U627" s="32">
        <v>61</v>
      </c>
      <c r="V627" s="30">
        <v>0.60869565217391308</v>
      </c>
      <c r="W627" s="30">
        <v>0.76</v>
      </c>
      <c r="X627" s="32">
        <v>21937.48</v>
      </c>
      <c r="Y627" s="32">
        <v>24570.799999999999</v>
      </c>
      <c r="Z627" s="32">
        <v>46508.28</v>
      </c>
      <c r="AA627" s="3">
        <f t="shared" si="9"/>
        <v>44451.67</v>
      </c>
      <c r="AB627" s="3"/>
      <c r="AC627" s="3"/>
      <c r="AF627" s="3"/>
      <c r="AG627" s="3"/>
      <c r="AH627" s="3"/>
    </row>
    <row r="628" spans="1:34" x14ac:dyDescent="0.25">
      <c r="A628">
        <v>7090565</v>
      </c>
      <c r="B628">
        <v>709</v>
      </c>
      <c r="C628" s="2">
        <v>1</v>
      </c>
      <c r="D628" s="2" t="s">
        <v>685</v>
      </c>
      <c r="E628">
        <v>565</v>
      </c>
      <c r="F628" s="2" t="s">
        <v>694</v>
      </c>
      <c r="G628" s="3">
        <v>0</v>
      </c>
      <c r="H628" s="32">
        <v>64</v>
      </c>
      <c r="I628" s="32">
        <v>54</v>
      </c>
      <c r="J628" s="32">
        <v>57</v>
      </c>
      <c r="K628" s="32">
        <v>42</v>
      </c>
      <c r="L628" s="32">
        <v>49</v>
      </c>
      <c r="M628" s="32">
        <v>44</v>
      </c>
      <c r="N628" s="32">
        <v>46</v>
      </c>
      <c r="O628" s="32">
        <v>35</v>
      </c>
      <c r="P628" s="32">
        <v>62</v>
      </c>
      <c r="Q628" s="32">
        <v>43</v>
      </c>
      <c r="R628" s="32">
        <v>48</v>
      </c>
      <c r="S628" s="32">
        <v>39</v>
      </c>
      <c r="T628" s="32">
        <v>48</v>
      </c>
      <c r="U628" s="32">
        <v>52</v>
      </c>
      <c r="V628" s="30">
        <v>0.82352941176470584</v>
      </c>
      <c r="W628" s="30">
        <v>0.75</v>
      </c>
      <c r="X628" s="32">
        <v>20950.560000000001</v>
      </c>
      <c r="Y628" s="32">
        <v>20670</v>
      </c>
      <c r="Z628" s="32">
        <v>41620.559999999998</v>
      </c>
      <c r="AA628" s="3">
        <f t="shared" si="9"/>
        <v>39780.089999999997</v>
      </c>
      <c r="AB628" s="3"/>
      <c r="AC628" s="3"/>
      <c r="AF628" s="3"/>
      <c r="AG628" s="3"/>
      <c r="AH628" s="3"/>
    </row>
    <row r="629" spans="1:34" x14ac:dyDescent="0.25">
      <c r="A629">
        <v>7090575</v>
      </c>
      <c r="B629">
        <v>709</v>
      </c>
      <c r="C629" s="2">
        <v>1</v>
      </c>
      <c r="D629" s="2" t="s">
        <v>1227</v>
      </c>
      <c r="E629">
        <v>575</v>
      </c>
      <c r="F629" s="2" t="s">
        <v>1229</v>
      </c>
      <c r="G629" s="3">
        <v>1</v>
      </c>
      <c r="H629" s="32" t="s">
        <v>1328</v>
      </c>
      <c r="I629" s="32" t="s">
        <v>1328</v>
      </c>
      <c r="J629" s="32" t="s">
        <v>1328</v>
      </c>
      <c r="K629" s="32" t="s">
        <v>1328</v>
      </c>
      <c r="L629" s="32" t="s">
        <v>1328</v>
      </c>
      <c r="M629" s="32" t="s">
        <v>1328</v>
      </c>
      <c r="N629" s="32" t="s">
        <v>1328</v>
      </c>
      <c r="O629" s="32" t="s">
        <v>1328</v>
      </c>
      <c r="P629" s="32" t="s">
        <v>1328</v>
      </c>
      <c r="Q629" s="32" t="s">
        <v>1328</v>
      </c>
      <c r="R629" s="32" t="s">
        <v>1328</v>
      </c>
      <c r="S629" s="32" t="s">
        <v>1328</v>
      </c>
      <c r="T629" s="32">
        <v>3</v>
      </c>
      <c r="U629" s="32">
        <v>6</v>
      </c>
      <c r="V629" s="30" t="s">
        <v>1328</v>
      </c>
      <c r="W629" s="30" t="s">
        <v>1328</v>
      </c>
      <c r="X629" s="32" t="s">
        <v>1328</v>
      </c>
      <c r="Y629" s="32" t="s">
        <v>1328</v>
      </c>
      <c r="Z629" s="32">
        <v>2977.65</v>
      </c>
      <c r="AA629" s="3">
        <f t="shared" si="9"/>
        <v>2845.98</v>
      </c>
      <c r="AB629" s="3"/>
      <c r="AC629" s="3"/>
      <c r="AF629" s="3"/>
      <c r="AG629" s="3"/>
      <c r="AH629" s="3"/>
    </row>
    <row r="630" spans="1:34" x14ac:dyDescent="0.25">
      <c r="A630">
        <v>7090640</v>
      </c>
      <c r="B630">
        <v>709</v>
      </c>
      <c r="C630" s="2">
        <v>1</v>
      </c>
      <c r="D630" s="2" t="s">
        <v>1227</v>
      </c>
      <c r="E630">
        <v>640</v>
      </c>
      <c r="F630" s="2" t="s">
        <v>1230</v>
      </c>
      <c r="G630" s="3">
        <v>1</v>
      </c>
      <c r="H630" s="32" t="s">
        <v>1328</v>
      </c>
      <c r="I630" s="32" t="s">
        <v>1328</v>
      </c>
      <c r="J630" s="32" t="s">
        <v>1328</v>
      </c>
      <c r="K630" s="32" t="s">
        <v>1328</v>
      </c>
      <c r="L630" s="32" t="s">
        <v>1328</v>
      </c>
      <c r="M630" s="32" t="s">
        <v>1328</v>
      </c>
      <c r="N630" s="32" t="s">
        <v>1328</v>
      </c>
      <c r="O630" s="32" t="s">
        <v>1328</v>
      </c>
      <c r="P630" s="32" t="s">
        <v>1328</v>
      </c>
      <c r="Q630" s="32" t="s">
        <v>1328</v>
      </c>
      <c r="R630" s="32" t="s">
        <v>1328</v>
      </c>
      <c r="S630" s="32" t="s">
        <v>1328</v>
      </c>
      <c r="T630" s="32">
        <v>2</v>
      </c>
      <c r="U630" s="32">
        <v>0</v>
      </c>
      <c r="V630" s="30" t="s">
        <v>1328</v>
      </c>
      <c r="W630" s="30" t="s">
        <v>1328</v>
      </c>
      <c r="X630" s="32" t="s">
        <v>1328</v>
      </c>
      <c r="Y630" s="32" t="s">
        <v>1328</v>
      </c>
      <c r="Z630" s="32">
        <v>1060</v>
      </c>
      <c r="AA630" s="3">
        <f t="shared" si="9"/>
        <v>1013.13</v>
      </c>
      <c r="AB630" s="3"/>
      <c r="AC630" s="3"/>
      <c r="AF630" s="3"/>
      <c r="AG630" s="3"/>
      <c r="AH630" s="3"/>
    </row>
    <row r="631" spans="1:34" x14ac:dyDescent="0.25">
      <c r="A631">
        <v>7120001</v>
      </c>
      <c r="B631">
        <v>712</v>
      </c>
      <c r="C631" s="2">
        <v>1</v>
      </c>
      <c r="D631" s="2" t="s">
        <v>695</v>
      </c>
      <c r="E631">
        <v>1</v>
      </c>
      <c r="F631" s="2" t="s">
        <v>696</v>
      </c>
      <c r="G631" s="3">
        <v>0</v>
      </c>
      <c r="H631" s="32">
        <v>37</v>
      </c>
      <c r="I631" s="32">
        <v>30</v>
      </c>
      <c r="J631" s="32">
        <v>48</v>
      </c>
      <c r="K631" s="32">
        <v>35</v>
      </c>
      <c r="L631" s="32">
        <v>34</v>
      </c>
      <c r="M631" s="32">
        <v>28</v>
      </c>
      <c r="N631" s="32">
        <v>35</v>
      </c>
      <c r="O631" s="32">
        <v>23</v>
      </c>
      <c r="P631" s="32">
        <v>34</v>
      </c>
      <c r="Q631" s="32">
        <v>27</v>
      </c>
      <c r="R631" s="32">
        <v>44</v>
      </c>
      <c r="S631" s="32">
        <v>32</v>
      </c>
      <c r="T631" s="32">
        <v>35</v>
      </c>
      <c r="U631" s="32">
        <v>48</v>
      </c>
      <c r="V631" s="30">
        <v>0.78151260504201681</v>
      </c>
      <c r="W631" s="30">
        <v>0.72566371681415931</v>
      </c>
      <c r="X631" s="32">
        <v>14497</v>
      </c>
      <c r="Y631" s="32">
        <v>18460.800000000003</v>
      </c>
      <c r="Z631" s="32">
        <v>32957.800000000003</v>
      </c>
      <c r="AA631" s="3">
        <f t="shared" si="9"/>
        <v>31500.400000000001</v>
      </c>
      <c r="AB631" s="3"/>
      <c r="AC631" s="3"/>
      <c r="AF631" s="3"/>
      <c r="AG631" s="3"/>
      <c r="AH631" s="3"/>
    </row>
    <row r="632" spans="1:34" x14ac:dyDescent="0.25">
      <c r="A632">
        <v>7160011</v>
      </c>
      <c r="B632">
        <v>716</v>
      </c>
      <c r="C632" s="2">
        <v>1</v>
      </c>
      <c r="D632" s="2" t="s">
        <v>697</v>
      </c>
      <c r="E632">
        <v>11</v>
      </c>
      <c r="F632" s="2" t="s">
        <v>698</v>
      </c>
      <c r="G632" s="3">
        <v>0</v>
      </c>
      <c r="H632" s="32">
        <v>101</v>
      </c>
      <c r="I632" s="32">
        <v>82</v>
      </c>
      <c r="J632" s="32">
        <v>115</v>
      </c>
      <c r="K632" s="32">
        <v>86</v>
      </c>
      <c r="L632" s="32">
        <v>118</v>
      </c>
      <c r="M632" s="32">
        <v>96</v>
      </c>
      <c r="N632" s="32">
        <v>97</v>
      </c>
      <c r="O632" s="32">
        <v>83</v>
      </c>
      <c r="P632" s="32">
        <v>99</v>
      </c>
      <c r="Q632" s="32">
        <v>71</v>
      </c>
      <c r="R632" s="32">
        <v>107</v>
      </c>
      <c r="S632" s="32">
        <v>87</v>
      </c>
      <c r="T632" s="32">
        <v>129</v>
      </c>
      <c r="U632" s="32">
        <v>113</v>
      </c>
      <c r="V632" s="30">
        <v>0.79041916167664672</v>
      </c>
      <c r="W632" s="30">
        <v>0.79537953795379535</v>
      </c>
      <c r="X632" s="32">
        <v>54040.68</v>
      </c>
      <c r="Y632" s="32">
        <v>47635.15</v>
      </c>
      <c r="Z632" s="32">
        <v>101675.83</v>
      </c>
      <c r="AA632" s="3">
        <f t="shared" si="9"/>
        <v>97179.7</v>
      </c>
      <c r="AB632" s="3"/>
      <c r="AC632" s="3"/>
      <c r="AF632" s="3"/>
      <c r="AG632" s="3"/>
      <c r="AH632" s="3"/>
    </row>
    <row r="633" spans="1:34" x14ac:dyDescent="0.25">
      <c r="A633">
        <v>7170637</v>
      </c>
      <c r="B633">
        <v>717</v>
      </c>
      <c r="C633" s="2">
        <v>1</v>
      </c>
      <c r="D633" s="2" t="s">
        <v>699</v>
      </c>
      <c r="E633">
        <v>637</v>
      </c>
      <c r="F633" s="2" t="s">
        <v>700</v>
      </c>
      <c r="G633" s="3">
        <v>0</v>
      </c>
      <c r="H633" s="32">
        <v>139</v>
      </c>
      <c r="I633" s="32">
        <v>109</v>
      </c>
      <c r="J633" s="32">
        <v>112</v>
      </c>
      <c r="K633" s="32">
        <v>94</v>
      </c>
      <c r="L633" s="32">
        <v>132</v>
      </c>
      <c r="M633" s="32">
        <v>115</v>
      </c>
      <c r="N633" s="32">
        <v>105</v>
      </c>
      <c r="O633" s="32">
        <v>81</v>
      </c>
      <c r="P633" s="32">
        <v>132</v>
      </c>
      <c r="Q633" s="32">
        <v>107</v>
      </c>
      <c r="R633" s="32">
        <v>107</v>
      </c>
      <c r="S633" s="32">
        <v>90</v>
      </c>
      <c r="T633" s="32">
        <v>132</v>
      </c>
      <c r="U633" s="32">
        <v>112</v>
      </c>
      <c r="V633" s="30">
        <v>0.83028720626631858</v>
      </c>
      <c r="W633" s="30">
        <v>0.80813953488372092</v>
      </c>
      <c r="X633" s="32">
        <v>58086.6</v>
      </c>
      <c r="Y633" s="32">
        <v>47970.720000000001</v>
      </c>
      <c r="Z633" s="32">
        <v>106057.32</v>
      </c>
      <c r="AA633" s="3">
        <f t="shared" si="9"/>
        <v>101367.44</v>
      </c>
      <c r="AB633" s="3"/>
      <c r="AC633" s="3"/>
      <c r="AF633" s="3"/>
      <c r="AG633" s="3"/>
      <c r="AH633" s="3"/>
    </row>
    <row r="634" spans="1:34" x14ac:dyDescent="0.25">
      <c r="A634">
        <v>7190010</v>
      </c>
      <c r="B634">
        <v>719</v>
      </c>
      <c r="C634" s="2">
        <v>1</v>
      </c>
      <c r="D634" s="2" t="s">
        <v>701</v>
      </c>
      <c r="E634">
        <v>10</v>
      </c>
      <c r="F634" s="2" t="s">
        <v>702</v>
      </c>
      <c r="G634" s="3">
        <v>0</v>
      </c>
      <c r="H634" s="32">
        <v>74</v>
      </c>
      <c r="I634" s="32">
        <v>67</v>
      </c>
      <c r="J634" s="32">
        <v>106</v>
      </c>
      <c r="K634" s="32">
        <v>97</v>
      </c>
      <c r="L634" s="32">
        <v>92</v>
      </c>
      <c r="M634" s="32">
        <v>88</v>
      </c>
      <c r="N634" s="32">
        <v>102</v>
      </c>
      <c r="O634" s="32">
        <v>88</v>
      </c>
      <c r="P634" s="32">
        <v>74</v>
      </c>
      <c r="Q634" s="32">
        <v>57</v>
      </c>
      <c r="R634" s="32">
        <v>106</v>
      </c>
      <c r="S634" s="32">
        <v>96</v>
      </c>
      <c r="T634" s="32">
        <v>91</v>
      </c>
      <c r="U634" s="32">
        <v>109</v>
      </c>
      <c r="V634" s="30">
        <v>0.92647058823529416</v>
      </c>
      <c r="W634" s="30">
        <v>0.85460992907801414</v>
      </c>
      <c r="X634" s="32">
        <v>44683.729999999996</v>
      </c>
      <c r="Y634" s="32">
        <v>49370.46</v>
      </c>
      <c r="Z634" s="32">
        <v>94054.19</v>
      </c>
      <c r="AA634" s="3">
        <f t="shared" si="9"/>
        <v>89895.09</v>
      </c>
      <c r="AB634" s="3"/>
      <c r="AC634" s="3"/>
      <c r="AF634" s="3"/>
      <c r="AG634" s="3"/>
      <c r="AH634" s="3"/>
    </row>
    <row r="635" spans="1:34" x14ac:dyDescent="0.25">
      <c r="A635">
        <v>7190011</v>
      </c>
      <c r="B635">
        <v>719</v>
      </c>
      <c r="C635" s="2">
        <v>1</v>
      </c>
      <c r="D635" s="2" t="s">
        <v>701</v>
      </c>
      <c r="E635">
        <v>11</v>
      </c>
      <c r="F635" s="2" t="s">
        <v>703</v>
      </c>
      <c r="G635" s="3">
        <v>0</v>
      </c>
      <c r="H635" s="32">
        <v>79</v>
      </c>
      <c r="I635" s="32">
        <v>64</v>
      </c>
      <c r="J635" s="32">
        <v>72</v>
      </c>
      <c r="K635" s="32">
        <v>57</v>
      </c>
      <c r="L635" s="32">
        <v>85</v>
      </c>
      <c r="M635" s="32">
        <v>72</v>
      </c>
      <c r="N635" s="32">
        <v>82</v>
      </c>
      <c r="O635" s="32">
        <v>74</v>
      </c>
      <c r="P635" s="32">
        <v>78</v>
      </c>
      <c r="Q635" s="32">
        <v>61</v>
      </c>
      <c r="R635" s="32">
        <v>73</v>
      </c>
      <c r="S635" s="32">
        <v>61</v>
      </c>
      <c r="T635" s="32">
        <v>84</v>
      </c>
      <c r="U635" s="32">
        <v>78</v>
      </c>
      <c r="V635" s="30">
        <v>0.81779661016949157</v>
      </c>
      <c r="W635" s="30">
        <v>0.84120171673819744</v>
      </c>
      <c r="X635" s="32">
        <v>36408.120000000003</v>
      </c>
      <c r="Y635" s="32">
        <v>34775.519999999997</v>
      </c>
      <c r="Z635" s="32">
        <v>71183.64</v>
      </c>
      <c r="AA635" s="3">
        <f t="shared" si="9"/>
        <v>68035.88</v>
      </c>
      <c r="AB635" s="3"/>
      <c r="AC635" s="3"/>
      <c r="AF635" s="3"/>
      <c r="AG635" s="3"/>
      <c r="AH635" s="3"/>
    </row>
    <row r="636" spans="1:34" x14ac:dyDescent="0.25">
      <c r="A636">
        <v>7190012</v>
      </c>
      <c r="B636">
        <v>719</v>
      </c>
      <c r="C636" s="2">
        <v>1</v>
      </c>
      <c r="D636" s="2" t="s">
        <v>701</v>
      </c>
      <c r="E636">
        <v>12</v>
      </c>
      <c r="F636" s="2" t="s">
        <v>704</v>
      </c>
      <c r="G636" s="3">
        <v>0</v>
      </c>
      <c r="H636" s="32">
        <v>73</v>
      </c>
      <c r="I636" s="32">
        <v>53</v>
      </c>
      <c r="J636" s="32">
        <v>61</v>
      </c>
      <c r="K636" s="32">
        <v>49</v>
      </c>
      <c r="L636" s="32">
        <v>66</v>
      </c>
      <c r="M636" s="32">
        <v>57</v>
      </c>
      <c r="N636" s="32">
        <v>61</v>
      </c>
      <c r="O636" s="32">
        <v>46</v>
      </c>
      <c r="P636" s="32">
        <v>65</v>
      </c>
      <c r="Q636" s="32">
        <v>50</v>
      </c>
      <c r="R636" s="32">
        <v>54</v>
      </c>
      <c r="S636" s="32">
        <v>46</v>
      </c>
      <c r="T636" s="32">
        <v>67</v>
      </c>
      <c r="U636" s="32">
        <v>61</v>
      </c>
      <c r="V636" s="30">
        <v>0.79500000000000004</v>
      </c>
      <c r="W636" s="30">
        <v>0.78888888888888886</v>
      </c>
      <c r="X636" s="32">
        <v>28230.45</v>
      </c>
      <c r="Y636" s="32">
        <v>25504.71</v>
      </c>
      <c r="Z636" s="32">
        <v>53735.16</v>
      </c>
      <c r="AA636" s="3">
        <f t="shared" si="9"/>
        <v>51358.98</v>
      </c>
      <c r="AB636" s="3"/>
      <c r="AC636" s="3"/>
      <c r="AF636" s="3"/>
      <c r="AG636" s="3"/>
      <c r="AH636" s="3"/>
    </row>
    <row r="637" spans="1:34" x14ac:dyDescent="0.25">
      <c r="A637">
        <v>7190014</v>
      </c>
      <c r="B637">
        <v>719</v>
      </c>
      <c r="C637" s="2">
        <v>1</v>
      </c>
      <c r="D637" s="2" t="s">
        <v>701</v>
      </c>
      <c r="E637">
        <v>14</v>
      </c>
      <c r="F637" s="2" t="s">
        <v>705</v>
      </c>
      <c r="G637" s="3">
        <v>0</v>
      </c>
      <c r="H637" s="32">
        <v>104</v>
      </c>
      <c r="I637" s="32">
        <v>89</v>
      </c>
      <c r="J637" s="32">
        <v>80</v>
      </c>
      <c r="K637" s="32">
        <v>71</v>
      </c>
      <c r="L637" s="32">
        <v>109</v>
      </c>
      <c r="M637" s="32">
        <v>97</v>
      </c>
      <c r="N637" s="32">
        <v>102</v>
      </c>
      <c r="O637" s="32">
        <v>78</v>
      </c>
      <c r="P637" s="32">
        <v>106</v>
      </c>
      <c r="Q637" s="32">
        <v>94</v>
      </c>
      <c r="R637" s="32">
        <v>83</v>
      </c>
      <c r="S637" s="32">
        <v>79</v>
      </c>
      <c r="T637" s="32">
        <v>110</v>
      </c>
      <c r="U637" s="32">
        <v>91</v>
      </c>
      <c r="V637" s="30">
        <v>0.87713310580204773</v>
      </c>
      <c r="W637" s="30">
        <v>0.86254295532646053</v>
      </c>
      <c r="X637" s="32">
        <v>51136.800000000003</v>
      </c>
      <c r="Y637" s="32">
        <v>41600.65</v>
      </c>
      <c r="Z637" s="32">
        <v>92737.450000000012</v>
      </c>
      <c r="AA637" s="3">
        <f t="shared" si="9"/>
        <v>88636.58</v>
      </c>
      <c r="AB637" s="3"/>
      <c r="AC637" s="3"/>
      <c r="AF637" s="3"/>
      <c r="AG637" s="3"/>
      <c r="AH637" s="3"/>
    </row>
    <row r="638" spans="1:34" x14ac:dyDescent="0.25">
      <c r="A638">
        <v>7190017</v>
      </c>
      <c r="B638">
        <v>719</v>
      </c>
      <c r="C638" s="2">
        <v>1</v>
      </c>
      <c r="D638" s="2" t="s">
        <v>701</v>
      </c>
      <c r="E638">
        <v>17</v>
      </c>
      <c r="F638" s="2" t="s">
        <v>706</v>
      </c>
      <c r="G638" s="3">
        <v>0</v>
      </c>
      <c r="H638" s="32">
        <v>101</v>
      </c>
      <c r="I638" s="32">
        <v>87</v>
      </c>
      <c r="J638" s="32">
        <v>89</v>
      </c>
      <c r="K638" s="32">
        <v>82</v>
      </c>
      <c r="L638" s="32">
        <v>95</v>
      </c>
      <c r="M638" s="32">
        <v>86</v>
      </c>
      <c r="N638" s="32">
        <v>102</v>
      </c>
      <c r="O638" s="32">
        <v>81</v>
      </c>
      <c r="P638" s="32">
        <v>99</v>
      </c>
      <c r="Q638" s="32">
        <v>77</v>
      </c>
      <c r="R638" s="32">
        <v>86</v>
      </c>
      <c r="S638" s="32">
        <v>81</v>
      </c>
      <c r="T638" s="32">
        <v>97</v>
      </c>
      <c r="U638" s="32">
        <v>92</v>
      </c>
      <c r="V638" s="30">
        <v>0.89473684210526316</v>
      </c>
      <c r="W638" s="30">
        <v>0.83275261324041816</v>
      </c>
      <c r="X638" s="32">
        <v>45998.369999999995</v>
      </c>
      <c r="Y638" s="32">
        <v>40605.120000000003</v>
      </c>
      <c r="Z638" s="32">
        <v>86603.489999999991</v>
      </c>
      <c r="AA638" s="3">
        <f t="shared" si="9"/>
        <v>82773.86</v>
      </c>
      <c r="AB638" s="3"/>
      <c r="AC638" s="3"/>
      <c r="AF638" s="3"/>
      <c r="AG638" s="3"/>
      <c r="AH638" s="3"/>
    </row>
    <row r="639" spans="1:34" x14ac:dyDescent="0.25">
      <c r="A639">
        <v>7190018</v>
      </c>
      <c r="B639">
        <v>719</v>
      </c>
      <c r="C639" s="2">
        <v>1</v>
      </c>
      <c r="D639" s="2" t="s">
        <v>701</v>
      </c>
      <c r="E639">
        <v>18</v>
      </c>
      <c r="F639" s="2" t="s">
        <v>707</v>
      </c>
      <c r="G639" s="3">
        <v>0</v>
      </c>
      <c r="H639" s="32">
        <v>94</v>
      </c>
      <c r="I639" s="32">
        <v>82</v>
      </c>
      <c r="J639" s="32">
        <v>83</v>
      </c>
      <c r="K639" s="32">
        <v>76</v>
      </c>
      <c r="L639" s="32">
        <v>97</v>
      </c>
      <c r="M639" s="32">
        <v>89</v>
      </c>
      <c r="N639" s="32">
        <v>77</v>
      </c>
      <c r="O639" s="32">
        <v>59</v>
      </c>
      <c r="P639" s="32">
        <v>83</v>
      </c>
      <c r="Q639" s="32">
        <v>72</v>
      </c>
      <c r="R639" s="32">
        <v>89</v>
      </c>
      <c r="S639" s="32">
        <v>76</v>
      </c>
      <c r="T639" s="32">
        <v>102</v>
      </c>
      <c r="U639" s="32">
        <v>97</v>
      </c>
      <c r="V639" s="30">
        <v>0.90145985401459849</v>
      </c>
      <c r="W639" s="30">
        <v>0.83132530120481929</v>
      </c>
      <c r="X639" s="32">
        <v>48732.54</v>
      </c>
      <c r="Y639" s="32">
        <v>42738.200000000004</v>
      </c>
      <c r="Z639" s="32">
        <v>91470.74</v>
      </c>
      <c r="AA639" s="3">
        <f t="shared" si="9"/>
        <v>87425.88</v>
      </c>
      <c r="AB639" s="3"/>
      <c r="AC639" s="3"/>
      <c r="AF639" s="3"/>
      <c r="AG639" s="3"/>
      <c r="AH639" s="3"/>
    </row>
    <row r="640" spans="1:34" x14ac:dyDescent="0.25">
      <c r="A640">
        <v>7200860</v>
      </c>
      <c r="B640">
        <v>720</v>
      </c>
      <c r="C640" s="2">
        <v>1</v>
      </c>
      <c r="D640" s="2" t="s">
        <v>708</v>
      </c>
      <c r="E640">
        <v>860</v>
      </c>
      <c r="F640" s="2" t="s">
        <v>709</v>
      </c>
      <c r="G640" s="3">
        <v>0</v>
      </c>
      <c r="H640" s="32">
        <v>101</v>
      </c>
      <c r="I640" s="32">
        <v>81</v>
      </c>
      <c r="J640" s="32">
        <v>104</v>
      </c>
      <c r="K640" s="32">
        <v>85</v>
      </c>
      <c r="L640" s="32">
        <v>116</v>
      </c>
      <c r="M640" s="32">
        <v>95</v>
      </c>
      <c r="N640" s="32">
        <v>92</v>
      </c>
      <c r="O640" s="32">
        <v>73</v>
      </c>
      <c r="P640" s="32">
        <v>95</v>
      </c>
      <c r="Q640" s="32">
        <v>64</v>
      </c>
      <c r="R640" s="32">
        <v>104</v>
      </c>
      <c r="S640" s="32">
        <v>87</v>
      </c>
      <c r="T640" s="32">
        <v>117</v>
      </c>
      <c r="U640" s="32">
        <v>111</v>
      </c>
      <c r="V640" s="30">
        <v>0.81308411214953269</v>
      </c>
      <c r="W640" s="30">
        <v>0.76975945017182135</v>
      </c>
      <c r="X640" s="32">
        <v>50418.81</v>
      </c>
      <c r="Y640" s="32">
        <v>45284.670000000006</v>
      </c>
      <c r="Z640" s="32">
        <v>95703.48000000001</v>
      </c>
      <c r="AA640" s="3">
        <f t="shared" si="9"/>
        <v>91471.45</v>
      </c>
      <c r="AB640" s="3"/>
      <c r="AC640" s="3"/>
      <c r="AF640" s="3"/>
      <c r="AG640" s="3"/>
      <c r="AH640" s="3"/>
    </row>
    <row r="641" spans="1:34" x14ac:dyDescent="0.25">
      <c r="A641">
        <v>7200861</v>
      </c>
      <c r="B641">
        <v>720</v>
      </c>
      <c r="C641" s="2">
        <v>1</v>
      </c>
      <c r="D641" s="2" t="s">
        <v>708</v>
      </c>
      <c r="E641">
        <v>861</v>
      </c>
      <c r="F641" s="2" t="s">
        <v>710</v>
      </c>
      <c r="G641" s="3">
        <v>0</v>
      </c>
      <c r="H641" s="32">
        <v>109</v>
      </c>
      <c r="I641" s="32">
        <v>75</v>
      </c>
      <c r="J641" s="32">
        <v>107</v>
      </c>
      <c r="K641" s="32">
        <v>89</v>
      </c>
      <c r="L641" s="32">
        <v>124</v>
      </c>
      <c r="M641" s="32">
        <v>93</v>
      </c>
      <c r="N641" s="32">
        <v>96</v>
      </c>
      <c r="O641" s="32">
        <v>83</v>
      </c>
      <c r="P641" s="32">
        <v>111</v>
      </c>
      <c r="Q641" s="32">
        <v>103</v>
      </c>
      <c r="R641" s="32">
        <v>119</v>
      </c>
      <c r="S641" s="32">
        <v>106</v>
      </c>
      <c r="T641" s="32">
        <v>127</v>
      </c>
      <c r="U641" s="32">
        <v>127</v>
      </c>
      <c r="V641" s="30">
        <v>0.75588235294117645</v>
      </c>
      <c r="W641" s="30">
        <v>0.89570552147239269</v>
      </c>
      <c r="X641" s="32">
        <v>50878.74</v>
      </c>
      <c r="Y641" s="32">
        <v>60289.440000000002</v>
      </c>
      <c r="Z641" s="32">
        <v>111168.18</v>
      </c>
      <c r="AA641" s="3">
        <f t="shared" si="9"/>
        <v>106252.3</v>
      </c>
      <c r="AB641" s="3"/>
      <c r="AC641" s="3"/>
      <c r="AF641" s="3"/>
      <c r="AG641" s="3"/>
      <c r="AH641" s="3"/>
    </row>
    <row r="642" spans="1:34" x14ac:dyDescent="0.25">
      <c r="A642">
        <v>7200862</v>
      </c>
      <c r="B642">
        <v>720</v>
      </c>
      <c r="C642" s="2">
        <v>1</v>
      </c>
      <c r="D642" s="2" t="s">
        <v>708</v>
      </c>
      <c r="E642">
        <v>862</v>
      </c>
      <c r="F642" s="2" t="s">
        <v>711</v>
      </c>
      <c r="G642" s="3">
        <v>0</v>
      </c>
      <c r="H642" s="32">
        <v>88</v>
      </c>
      <c r="I642" s="32">
        <v>64</v>
      </c>
      <c r="J642" s="32">
        <v>100</v>
      </c>
      <c r="K642" s="32">
        <v>72</v>
      </c>
      <c r="L642" s="32">
        <v>0</v>
      </c>
      <c r="M642" s="32">
        <v>0</v>
      </c>
      <c r="N642" s="32">
        <v>93</v>
      </c>
      <c r="O642" s="32">
        <v>76</v>
      </c>
      <c r="P642" s="32">
        <v>77</v>
      </c>
      <c r="Q642" s="32">
        <v>54</v>
      </c>
      <c r="R642" s="32">
        <v>0</v>
      </c>
      <c r="S642" s="32">
        <v>0</v>
      </c>
      <c r="T642" s="32">
        <v>0</v>
      </c>
      <c r="U642" s="32">
        <v>0</v>
      </c>
      <c r="V642" s="30">
        <v>0.72340425531914898</v>
      </c>
      <c r="W642" s="30">
        <v>0.76470588235294112</v>
      </c>
      <c r="X642" s="32">
        <v>0</v>
      </c>
      <c r="Y642" s="32">
        <v>0</v>
      </c>
      <c r="Z642" s="32">
        <v>0</v>
      </c>
      <c r="AA642" s="3">
        <f t="shared" si="9"/>
        <v>0</v>
      </c>
      <c r="AB642" s="3"/>
      <c r="AC642" s="3"/>
      <c r="AF642" s="3"/>
      <c r="AG642" s="3"/>
      <c r="AH642" s="3"/>
    </row>
    <row r="643" spans="1:34" x14ac:dyDescent="0.25">
      <c r="A643">
        <v>7200864</v>
      </c>
      <c r="B643">
        <v>720</v>
      </c>
      <c r="C643" s="2">
        <v>1</v>
      </c>
      <c r="D643" s="2" t="s">
        <v>708</v>
      </c>
      <c r="E643">
        <v>864</v>
      </c>
      <c r="F643" s="2" t="s">
        <v>712</v>
      </c>
      <c r="G643" s="3">
        <v>0</v>
      </c>
      <c r="H643" s="32">
        <v>143</v>
      </c>
      <c r="I643" s="32">
        <v>119</v>
      </c>
      <c r="J643" s="32">
        <v>123</v>
      </c>
      <c r="K643" s="32">
        <v>103</v>
      </c>
      <c r="L643" s="32">
        <v>118</v>
      </c>
      <c r="M643" s="32">
        <v>106</v>
      </c>
      <c r="N643" s="32">
        <v>108</v>
      </c>
      <c r="O643" s="32">
        <v>92</v>
      </c>
      <c r="P643" s="32">
        <v>141</v>
      </c>
      <c r="Q643" s="32">
        <v>123</v>
      </c>
      <c r="R643" s="32">
        <v>122</v>
      </c>
      <c r="S643" s="32">
        <v>99</v>
      </c>
      <c r="T643" s="32">
        <v>126</v>
      </c>
      <c r="U643" s="32">
        <v>134</v>
      </c>
      <c r="V643" s="30">
        <v>0.85416666666666663</v>
      </c>
      <c r="W643" s="30">
        <v>0.84636118598382748</v>
      </c>
      <c r="X643" s="32">
        <v>57041.46</v>
      </c>
      <c r="Y643" s="32">
        <v>60108.38</v>
      </c>
      <c r="Z643" s="32">
        <v>117149.84</v>
      </c>
      <c r="AA643" s="3">
        <f t="shared" si="9"/>
        <v>111969.45</v>
      </c>
      <c r="AB643" s="3"/>
      <c r="AC643" s="3"/>
      <c r="AF643" s="3"/>
      <c r="AG643" s="3"/>
      <c r="AH643" s="3"/>
    </row>
    <row r="644" spans="1:34" x14ac:dyDescent="0.25">
      <c r="A644">
        <v>7200865</v>
      </c>
      <c r="B644">
        <v>720</v>
      </c>
      <c r="C644" s="2">
        <v>1</v>
      </c>
      <c r="D644" s="2" t="s">
        <v>708</v>
      </c>
      <c r="E644">
        <v>865</v>
      </c>
      <c r="F644" s="2" t="s">
        <v>713</v>
      </c>
      <c r="G644" s="3">
        <v>0</v>
      </c>
      <c r="H644" s="32">
        <v>124</v>
      </c>
      <c r="I644" s="32">
        <v>102</v>
      </c>
      <c r="J644" s="32">
        <v>136</v>
      </c>
      <c r="K644" s="32">
        <v>123</v>
      </c>
      <c r="L644" s="32">
        <v>115</v>
      </c>
      <c r="M644" s="32">
        <v>109</v>
      </c>
      <c r="N644" s="32">
        <v>119</v>
      </c>
      <c r="O644" s="32">
        <v>86</v>
      </c>
      <c r="P644" s="32">
        <v>110</v>
      </c>
      <c r="Q644" s="32">
        <v>96</v>
      </c>
      <c r="R644" s="32">
        <v>95</v>
      </c>
      <c r="S644" s="32">
        <v>84</v>
      </c>
      <c r="T644" s="32">
        <v>121</v>
      </c>
      <c r="U644" s="32">
        <v>103</v>
      </c>
      <c r="V644" s="30">
        <v>0.89066666666666672</v>
      </c>
      <c r="W644" s="30">
        <v>0.82098765432098764</v>
      </c>
      <c r="X644" s="32">
        <v>57118.05</v>
      </c>
      <c r="Y644" s="32">
        <v>44817.36</v>
      </c>
      <c r="Z644" s="32">
        <v>101935.41</v>
      </c>
      <c r="AA644" s="3">
        <f t="shared" si="9"/>
        <v>97427.8</v>
      </c>
      <c r="AB644" s="3"/>
      <c r="AC644" s="3"/>
      <c r="AF644" s="3"/>
      <c r="AG644" s="3"/>
      <c r="AH644" s="3"/>
    </row>
    <row r="645" spans="1:34" x14ac:dyDescent="0.25">
      <c r="A645">
        <v>7200866</v>
      </c>
      <c r="B645">
        <v>720</v>
      </c>
      <c r="C645" s="2">
        <v>1</v>
      </c>
      <c r="D645" s="2" t="s">
        <v>1298</v>
      </c>
      <c r="E645">
        <v>866</v>
      </c>
      <c r="F645" s="2" t="s">
        <v>1299</v>
      </c>
      <c r="G645" s="3">
        <v>0</v>
      </c>
      <c r="H645" s="32">
        <v>0</v>
      </c>
      <c r="I645" s="32">
        <v>0</v>
      </c>
      <c r="J645" s="32">
        <v>0</v>
      </c>
      <c r="K645" s="32">
        <v>0</v>
      </c>
      <c r="L645" s="32">
        <v>127</v>
      </c>
      <c r="M645" s="32">
        <v>100</v>
      </c>
      <c r="N645" s="32">
        <v>0</v>
      </c>
      <c r="O645" s="32">
        <v>0</v>
      </c>
      <c r="P645" s="32">
        <v>0</v>
      </c>
      <c r="Q645" s="32">
        <v>0</v>
      </c>
      <c r="R645" s="32">
        <v>103</v>
      </c>
      <c r="S645" s="32">
        <v>80</v>
      </c>
      <c r="T645" s="32">
        <v>121</v>
      </c>
      <c r="U645" s="32">
        <v>113</v>
      </c>
      <c r="V645" s="30">
        <v>0.78740157480314965</v>
      </c>
      <c r="W645" s="30">
        <v>0.77669902912621358</v>
      </c>
      <c r="X645" s="32">
        <v>50495.72</v>
      </c>
      <c r="Y645" s="32">
        <v>46516.45</v>
      </c>
      <c r="Z645" s="32">
        <v>97012.17</v>
      </c>
      <c r="AA645" s="3">
        <f t="shared" si="9"/>
        <v>92722.27</v>
      </c>
      <c r="AB645" s="3"/>
      <c r="AC645" s="3"/>
      <c r="AF645" s="3"/>
      <c r="AG645" s="3"/>
      <c r="AH645" s="3"/>
    </row>
    <row r="646" spans="1:34" x14ac:dyDescent="0.25">
      <c r="A646">
        <v>7210345</v>
      </c>
      <c r="B646">
        <v>721</v>
      </c>
      <c r="C646" s="2">
        <v>1</v>
      </c>
      <c r="D646" s="2" t="s">
        <v>714</v>
      </c>
      <c r="E646">
        <v>345</v>
      </c>
      <c r="F646" s="2" t="s">
        <v>715</v>
      </c>
      <c r="G646" s="3">
        <v>0</v>
      </c>
      <c r="H646" s="32">
        <v>100</v>
      </c>
      <c r="I646" s="32">
        <v>82</v>
      </c>
      <c r="J646" s="32">
        <v>97</v>
      </c>
      <c r="K646" s="32">
        <v>76</v>
      </c>
      <c r="L646" s="32">
        <v>108</v>
      </c>
      <c r="M646" s="32">
        <v>89</v>
      </c>
      <c r="N646" s="32">
        <v>90</v>
      </c>
      <c r="O646" s="32">
        <v>65</v>
      </c>
      <c r="P646" s="32">
        <v>93</v>
      </c>
      <c r="Q646" s="32">
        <v>73</v>
      </c>
      <c r="R646" s="32">
        <v>85</v>
      </c>
      <c r="S646" s="32">
        <v>73</v>
      </c>
      <c r="T646" s="32">
        <v>112</v>
      </c>
      <c r="U646" s="32">
        <v>89</v>
      </c>
      <c r="V646" s="30">
        <v>0.80983606557377052</v>
      </c>
      <c r="W646" s="30">
        <v>0.78731343283582089</v>
      </c>
      <c r="X646" s="32">
        <v>48071.519999999997</v>
      </c>
      <c r="Y646" s="32">
        <v>37137.919999999998</v>
      </c>
      <c r="Z646" s="32">
        <v>85209.44</v>
      </c>
      <c r="AA646" s="3">
        <f t="shared" si="9"/>
        <v>81441.460000000006</v>
      </c>
      <c r="AB646" s="3"/>
      <c r="AC646" s="3"/>
      <c r="AF646" s="3"/>
      <c r="AG646" s="3"/>
      <c r="AH646" s="3"/>
    </row>
    <row r="647" spans="1:34" x14ac:dyDescent="0.25">
      <c r="A647">
        <v>7210521</v>
      </c>
      <c r="B647">
        <v>721</v>
      </c>
      <c r="C647" s="2">
        <v>1</v>
      </c>
      <c r="D647" s="2" t="s">
        <v>714</v>
      </c>
      <c r="E647">
        <v>521</v>
      </c>
      <c r="F647" s="2" t="s">
        <v>716</v>
      </c>
      <c r="G647" s="3">
        <v>0</v>
      </c>
      <c r="H647" s="32">
        <v>99</v>
      </c>
      <c r="I647" s="32">
        <v>84</v>
      </c>
      <c r="J647" s="32">
        <v>117</v>
      </c>
      <c r="K647" s="32">
        <v>105</v>
      </c>
      <c r="L647" s="32">
        <v>79</v>
      </c>
      <c r="M647" s="32">
        <v>76</v>
      </c>
      <c r="N647" s="32">
        <v>85</v>
      </c>
      <c r="O647" s="32">
        <v>60</v>
      </c>
      <c r="P647" s="32">
        <v>104</v>
      </c>
      <c r="Q647" s="32">
        <v>68</v>
      </c>
      <c r="R647" s="32">
        <v>90</v>
      </c>
      <c r="S647" s="32">
        <v>77</v>
      </c>
      <c r="T647" s="32">
        <v>80</v>
      </c>
      <c r="U647" s="32">
        <v>93</v>
      </c>
      <c r="V647" s="30">
        <v>0.89830508474576276</v>
      </c>
      <c r="W647" s="30">
        <v>0.73476702508960579</v>
      </c>
      <c r="X647" s="32">
        <v>38088</v>
      </c>
      <c r="Y647" s="32">
        <v>36216.99</v>
      </c>
      <c r="Z647" s="32">
        <v>74304.989999999991</v>
      </c>
      <c r="AA647" s="3">
        <f t="shared" si="9"/>
        <v>71019.210000000006</v>
      </c>
      <c r="AB647" s="3"/>
      <c r="AC647" s="3"/>
      <c r="AF647" s="3"/>
      <c r="AG647" s="3"/>
      <c r="AH647" s="3"/>
    </row>
    <row r="648" spans="1:34" x14ac:dyDescent="0.25">
      <c r="A648">
        <v>7210651</v>
      </c>
      <c r="B648">
        <v>721</v>
      </c>
      <c r="C648">
        <v>1</v>
      </c>
      <c r="D648" t="s">
        <v>714</v>
      </c>
      <c r="E648">
        <v>651</v>
      </c>
      <c r="F648" t="s">
        <v>717</v>
      </c>
      <c r="G648" s="3">
        <v>0</v>
      </c>
      <c r="H648" s="32">
        <v>71</v>
      </c>
      <c r="I648" s="32">
        <v>61</v>
      </c>
      <c r="J648" s="32">
        <v>78</v>
      </c>
      <c r="K648" s="32">
        <v>71</v>
      </c>
      <c r="L648" s="32">
        <v>101</v>
      </c>
      <c r="M648" s="32">
        <v>91</v>
      </c>
      <c r="N648" s="32">
        <v>79</v>
      </c>
      <c r="O648" s="32">
        <v>54</v>
      </c>
      <c r="P648" s="32">
        <v>66</v>
      </c>
      <c r="Q648" s="32">
        <v>57</v>
      </c>
      <c r="R648" s="32">
        <v>102</v>
      </c>
      <c r="S648" s="32">
        <v>79</v>
      </c>
      <c r="T648" s="32">
        <v>101</v>
      </c>
      <c r="U648" s="32">
        <v>107</v>
      </c>
      <c r="V648" s="30">
        <v>0.89200000000000002</v>
      </c>
      <c r="W648" s="30">
        <v>0.76923076923076927</v>
      </c>
      <c r="X648" s="32">
        <v>47748.76</v>
      </c>
      <c r="Y648" s="32">
        <v>43622.83</v>
      </c>
      <c r="Z648" s="32">
        <v>91371.59</v>
      </c>
      <c r="AA648" s="3">
        <f t="shared" si="9"/>
        <v>87331.12</v>
      </c>
      <c r="AB648" s="3"/>
      <c r="AC648" s="3"/>
      <c r="AF648" s="3"/>
      <c r="AG648" s="3"/>
      <c r="AH648" s="3"/>
    </row>
    <row r="649" spans="1:34" x14ac:dyDescent="0.25">
      <c r="A649">
        <v>7260010</v>
      </c>
      <c r="B649">
        <v>726</v>
      </c>
      <c r="C649" s="2">
        <v>1</v>
      </c>
      <c r="D649" s="2" t="s">
        <v>718</v>
      </c>
      <c r="E649">
        <v>10</v>
      </c>
      <c r="F649" s="2" t="s">
        <v>719</v>
      </c>
      <c r="G649" s="3">
        <v>0</v>
      </c>
      <c r="H649" s="32">
        <v>206</v>
      </c>
      <c r="I649" s="32">
        <v>184</v>
      </c>
      <c r="J649" s="32">
        <v>206</v>
      </c>
      <c r="K649" s="32">
        <v>172</v>
      </c>
      <c r="L649" s="32">
        <v>226</v>
      </c>
      <c r="M649" s="32">
        <v>189</v>
      </c>
      <c r="N649" s="32">
        <v>210</v>
      </c>
      <c r="O649" s="32">
        <v>163</v>
      </c>
      <c r="P649" s="32">
        <v>192</v>
      </c>
      <c r="Q649" s="32">
        <v>162</v>
      </c>
      <c r="R649" s="32">
        <v>209</v>
      </c>
      <c r="S649" s="32">
        <v>161</v>
      </c>
      <c r="T649" s="32">
        <v>223</v>
      </c>
      <c r="U649" s="32">
        <v>221</v>
      </c>
      <c r="V649" s="30">
        <v>0.85423197492163006</v>
      </c>
      <c r="W649" s="30">
        <v>0.79541734860883795</v>
      </c>
      <c r="X649" s="32">
        <v>100961.02</v>
      </c>
      <c r="Y649" s="32">
        <v>93166.97</v>
      </c>
      <c r="Z649" s="32">
        <v>194127.99</v>
      </c>
      <c r="AA649" s="3">
        <f t="shared" si="9"/>
        <v>185543.6</v>
      </c>
      <c r="AB649" s="3"/>
      <c r="AC649" s="3"/>
      <c r="AF649" s="3"/>
      <c r="AG649" s="3"/>
      <c r="AH649" s="3"/>
    </row>
    <row r="650" spans="1:34" x14ac:dyDescent="0.25">
      <c r="A650">
        <v>7270010</v>
      </c>
      <c r="B650">
        <v>727</v>
      </c>
      <c r="C650" s="2">
        <v>1</v>
      </c>
      <c r="D650" s="2" t="s">
        <v>720</v>
      </c>
      <c r="E650">
        <v>10</v>
      </c>
      <c r="F650" s="2" t="s">
        <v>721</v>
      </c>
      <c r="G650" s="3">
        <v>0</v>
      </c>
      <c r="H650" s="32">
        <v>150</v>
      </c>
      <c r="I650" s="32">
        <v>122</v>
      </c>
      <c r="J650" s="32">
        <v>156</v>
      </c>
      <c r="K650" s="32">
        <v>122</v>
      </c>
      <c r="L650" s="32">
        <v>156</v>
      </c>
      <c r="M650" s="32">
        <v>120</v>
      </c>
      <c r="N650" s="32">
        <v>163</v>
      </c>
      <c r="O650" s="32">
        <v>133</v>
      </c>
      <c r="P650" s="32">
        <v>137</v>
      </c>
      <c r="Q650" s="32">
        <v>114</v>
      </c>
      <c r="R650" s="32">
        <v>138</v>
      </c>
      <c r="S650" s="32">
        <v>116</v>
      </c>
      <c r="T650" s="32">
        <v>156</v>
      </c>
      <c r="U650" s="32">
        <v>147</v>
      </c>
      <c r="V650" s="30">
        <v>0.78787878787878785</v>
      </c>
      <c r="W650" s="30">
        <v>0.82876712328767121</v>
      </c>
      <c r="X650" s="32">
        <v>65142.479999999996</v>
      </c>
      <c r="Y650" s="32">
        <v>64569.75</v>
      </c>
      <c r="Z650" s="32">
        <v>129712.23</v>
      </c>
      <c r="AA650" s="3">
        <f t="shared" si="9"/>
        <v>123976.32000000001</v>
      </c>
      <c r="AB650" s="3"/>
      <c r="AC650" s="3"/>
      <c r="AF650" s="3"/>
      <c r="AG650" s="3"/>
      <c r="AH650" s="3"/>
    </row>
    <row r="651" spans="1:34" x14ac:dyDescent="0.25">
      <c r="A651">
        <v>7270040</v>
      </c>
      <c r="B651">
        <v>727</v>
      </c>
      <c r="C651" s="2">
        <v>1</v>
      </c>
      <c r="D651" s="2" t="s">
        <v>720</v>
      </c>
      <c r="E651">
        <v>40</v>
      </c>
      <c r="F651" s="2" t="s">
        <v>722</v>
      </c>
      <c r="G651" s="3">
        <v>0</v>
      </c>
      <c r="H651" s="32">
        <v>105</v>
      </c>
      <c r="I651" s="32">
        <v>85</v>
      </c>
      <c r="J651" s="32">
        <v>103</v>
      </c>
      <c r="K651" s="32">
        <v>81</v>
      </c>
      <c r="L651" s="32">
        <v>112</v>
      </c>
      <c r="M651" s="32">
        <v>88</v>
      </c>
      <c r="N651" s="32">
        <v>123</v>
      </c>
      <c r="O651" s="32">
        <v>88</v>
      </c>
      <c r="P651" s="32">
        <v>104</v>
      </c>
      <c r="Q651" s="32">
        <v>76</v>
      </c>
      <c r="R651" s="32">
        <v>94</v>
      </c>
      <c r="S651" s="32">
        <v>77</v>
      </c>
      <c r="T651" s="32">
        <v>112</v>
      </c>
      <c r="U651" s="32">
        <v>103</v>
      </c>
      <c r="V651" s="30">
        <v>0.79374999999999996</v>
      </c>
      <c r="W651" s="30">
        <v>0.75077881619937692</v>
      </c>
      <c r="X651" s="32">
        <v>47117.279999999999</v>
      </c>
      <c r="Y651" s="32">
        <v>40984.730000000003</v>
      </c>
      <c r="Z651" s="32">
        <v>88102.010000000009</v>
      </c>
      <c r="AA651" s="3">
        <f t="shared" si="9"/>
        <v>84206.12</v>
      </c>
      <c r="AB651" s="3"/>
      <c r="AC651" s="3"/>
      <c r="AF651" s="3"/>
      <c r="AG651" s="3"/>
      <c r="AH651" s="3"/>
    </row>
    <row r="652" spans="1:34" x14ac:dyDescent="0.25">
      <c r="A652">
        <v>7280070</v>
      </c>
      <c r="B652">
        <v>728</v>
      </c>
      <c r="C652" s="2">
        <v>1</v>
      </c>
      <c r="D652" s="2" t="s">
        <v>723</v>
      </c>
      <c r="E652">
        <v>70</v>
      </c>
      <c r="F652" s="2" t="s">
        <v>724</v>
      </c>
      <c r="G652" s="3">
        <v>0</v>
      </c>
      <c r="H652" s="32">
        <v>94</v>
      </c>
      <c r="I652" s="32">
        <v>80</v>
      </c>
      <c r="J652" s="32">
        <v>115</v>
      </c>
      <c r="K652" s="32">
        <v>106</v>
      </c>
      <c r="L652" s="32">
        <v>106</v>
      </c>
      <c r="M652" s="32">
        <v>95</v>
      </c>
      <c r="N652" s="32">
        <v>112</v>
      </c>
      <c r="O652" s="32">
        <v>79</v>
      </c>
      <c r="P652" s="32">
        <v>95</v>
      </c>
      <c r="Q652" s="32">
        <v>79</v>
      </c>
      <c r="R652" s="32">
        <v>115</v>
      </c>
      <c r="S652" s="32">
        <v>97</v>
      </c>
      <c r="T652" s="32">
        <v>107</v>
      </c>
      <c r="U652" s="32">
        <v>120</v>
      </c>
      <c r="V652" s="30">
        <v>0.89206349206349211</v>
      </c>
      <c r="W652" s="30">
        <v>0.79192546583850931</v>
      </c>
      <c r="X652" s="32">
        <v>50588.53</v>
      </c>
      <c r="Y652" s="32">
        <v>50366.400000000001</v>
      </c>
      <c r="Z652" s="32">
        <v>100954.93</v>
      </c>
      <c r="AA652" s="3">
        <f t="shared" si="9"/>
        <v>96490.68</v>
      </c>
      <c r="AB652" s="3"/>
      <c r="AC652" s="3"/>
      <c r="AF652" s="3"/>
      <c r="AG652" s="3"/>
      <c r="AH652" s="3"/>
    </row>
    <row r="653" spans="1:34" x14ac:dyDescent="0.25">
      <c r="A653">
        <v>7280110</v>
      </c>
      <c r="B653">
        <v>728</v>
      </c>
      <c r="C653" s="2">
        <v>1</v>
      </c>
      <c r="D653" s="2" t="s">
        <v>723</v>
      </c>
      <c r="E653">
        <v>110</v>
      </c>
      <c r="F653" s="2" t="s">
        <v>725</v>
      </c>
      <c r="G653" s="3">
        <v>0</v>
      </c>
      <c r="H653" s="32">
        <v>76</v>
      </c>
      <c r="I653" s="32">
        <v>72</v>
      </c>
      <c r="J653" s="32">
        <v>88</v>
      </c>
      <c r="K653" s="32">
        <v>82</v>
      </c>
      <c r="L653" s="32">
        <v>74</v>
      </c>
      <c r="M653" s="32">
        <v>69</v>
      </c>
      <c r="N653" s="32">
        <v>61</v>
      </c>
      <c r="O653" s="32">
        <v>47</v>
      </c>
      <c r="P653" s="32">
        <v>75</v>
      </c>
      <c r="Q653" s="32">
        <v>64</v>
      </c>
      <c r="R653" s="32">
        <v>82</v>
      </c>
      <c r="S653" s="32">
        <v>66</v>
      </c>
      <c r="T653" s="32">
        <v>71</v>
      </c>
      <c r="U653" s="32">
        <v>89</v>
      </c>
      <c r="V653" s="30">
        <v>0.93697478991596639</v>
      </c>
      <c r="W653" s="30">
        <v>0.81192660550458717</v>
      </c>
      <c r="X653" s="32">
        <v>35258.6</v>
      </c>
      <c r="Y653" s="32">
        <v>38298.479999999996</v>
      </c>
      <c r="Z653" s="32">
        <v>73557.079999999987</v>
      </c>
      <c r="AA653" s="3">
        <f t="shared" si="9"/>
        <v>70304.37</v>
      </c>
      <c r="AB653" s="3"/>
      <c r="AC653" s="3"/>
      <c r="AF653" s="3"/>
      <c r="AG653" s="3"/>
      <c r="AH653" s="3"/>
    </row>
    <row r="654" spans="1:34" x14ac:dyDescent="0.25">
      <c r="A654">
        <v>7280160</v>
      </c>
      <c r="B654">
        <v>728</v>
      </c>
      <c r="C654" s="2">
        <v>1</v>
      </c>
      <c r="D654" s="2" t="s">
        <v>723</v>
      </c>
      <c r="E654">
        <v>160</v>
      </c>
      <c r="F654" s="2" t="s">
        <v>726</v>
      </c>
      <c r="G654" s="3">
        <v>0</v>
      </c>
      <c r="H654" s="32">
        <v>119</v>
      </c>
      <c r="I654" s="32">
        <v>98</v>
      </c>
      <c r="J654" s="32">
        <v>129</v>
      </c>
      <c r="K654" s="32">
        <v>114</v>
      </c>
      <c r="L654" s="32">
        <v>142</v>
      </c>
      <c r="M654" s="32">
        <v>128</v>
      </c>
      <c r="N654" s="32">
        <v>134</v>
      </c>
      <c r="O654" s="32">
        <v>102</v>
      </c>
      <c r="P654" s="32">
        <v>118</v>
      </c>
      <c r="Q654" s="32">
        <v>104</v>
      </c>
      <c r="R654" s="32">
        <v>121</v>
      </c>
      <c r="S654" s="32">
        <v>97</v>
      </c>
      <c r="T654" s="32">
        <v>146</v>
      </c>
      <c r="U654" s="32">
        <v>129</v>
      </c>
      <c r="V654" s="30">
        <v>0.87179487179487181</v>
      </c>
      <c r="W654" s="30">
        <v>0.81233243967828417</v>
      </c>
      <c r="X654" s="32">
        <v>67459.3</v>
      </c>
      <c r="Y654" s="32">
        <v>55539.66</v>
      </c>
      <c r="Z654" s="32">
        <v>122998.96</v>
      </c>
      <c r="AA654" s="3">
        <f t="shared" si="9"/>
        <v>117559.92</v>
      </c>
      <c r="AB654" s="3"/>
      <c r="AC654" s="3"/>
      <c r="AF654" s="3"/>
      <c r="AG654" s="3"/>
      <c r="AH654" s="3"/>
    </row>
    <row r="655" spans="1:34" x14ac:dyDescent="0.25">
      <c r="A655">
        <v>7280170</v>
      </c>
      <c r="B655">
        <v>728</v>
      </c>
      <c r="C655" s="2">
        <v>1</v>
      </c>
      <c r="D655" s="2" t="s">
        <v>723</v>
      </c>
      <c r="E655">
        <v>170</v>
      </c>
      <c r="F655" s="2" t="s">
        <v>727</v>
      </c>
      <c r="G655" s="3">
        <v>0</v>
      </c>
      <c r="H655" s="32">
        <v>126</v>
      </c>
      <c r="I655" s="32">
        <v>110</v>
      </c>
      <c r="J655" s="32">
        <v>151</v>
      </c>
      <c r="K655" s="32">
        <v>135</v>
      </c>
      <c r="L655" s="32">
        <v>140</v>
      </c>
      <c r="M655" s="32">
        <v>129</v>
      </c>
      <c r="N655" s="32">
        <v>119</v>
      </c>
      <c r="O655" s="32">
        <v>97</v>
      </c>
      <c r="P655" s="32">
        <v>125</v>
      </c>
      <c r="Q655" s="32">
        <v>99</v>
      </c>
      <c r="R655" s="32">
        <v>143</v>
      </c>
      <c r="S655" s="32">
        <v>113</v>
      </c>
      <c r="T655" s="32">
        <v>139</v>
      </c>
      <c r="U655" s="32">
        <v>148</v>
      </c>
      <c r="V655" s="30">
        <v>0.89688249400479614</v>
      </c>
      <c r="W655" s="30">
        <v>0.79844961240310075</v>
      </c>
      <c r="X655" s="32">
        <v>66073.650000000009</v>
      </c>
      <c r="Y655" s="32">
        <v>62630.64</v>
      </c>
      <c r="Z655" s="32">
        <v>128704.29000000001</v>
      </c>
      <c r="AA655" s="3">
        <f t="shared" ref="AA655:AA718" si="10">ROUND(Z655*AA$10,2)</f>
        <v>123012.96</v>
      </c>
      <c r="AB655" s="3"/>
      <c r="AC655" s="3"/>
      <c r="AF655" s="3"/>
      <c r="AG655" s="3"/>
      <c r="AH655" s="3"/>
    </row>
    <row r="656" spans="1:34" x14ac:dyDescent="0.25">
      <c r="A656">
        <v>7280210</v>
      </c>
      <c r="B656">
        <v>728</v>
      </c>
      <c r="C656" s="2">
        <v>1</v>
      </c>
      <c r="D656" s="2" t="s">
        <v>723</v>
      </c>
      <c r="E656">
        <v>210</v>
      </c>
      <c r="F656" s="2" t="s">
        <v>321</v>
      </c>
      <c r="G656" s="3">
        <v>0</v>
      </c>
      <c r="H656" s="32">
        <v>190</v>
      </c>
      <c r="I656" s="32">
        <v>140</v>
      </c>
      <c r="J656" s="32">
        <v>176</v>
      </c>
      <c r="K656" s="32">
        <v>137</v>
      </c>
      <c r="L656" s="32">
        <v>187</v>
      </c>
      <c r="M656" s="32">
        <v>154</v>
      </c>
      <c r="N656" s="32">
        <v>193</v>
      </c>
      <c r="O656" s="32">
        <v>144</v>
      </c>
      <c r="P656" s="32">
        <v>180</v>
      </c>
      <c r="Q656" s="32">
        <v>150</v>
      </c>
      <c r="R656" s="32">
        <v>167</v>
      </c>
      <c r="S656" s="32">
        <v>136</v>
      </c>
      <c r="T656" s="32">
        <v>191</v>
      </c>
      <c r="U656" s="32">
        <v>173</v>
      </c>
      <c r="V656" s="30">
        <v>0.77938517179023503</v>
      </c>
      <c r="W656" s="30">
        <v>0.79629629629629628</v>
      </c>
      <c r="X656" s="32">
        <v>78896.37</v>
      </c>
      <c r="Y656" s="32">
        <v>73012.92</v>
      </c>
      <c r="Z656" s="32">
        <v>151909.28999999998</v>
      </c>
      <c r="AA656" s="3">
        <f t="shared" si="10"/>
        <v>145191.82</v>
      </c>
      <c r="AB656" s="3"/>
      <c r="AC656" s="3"/>
      <c r="AF656" s="3"/>
      <c r="AG656" s="3"/>
      <c r="AH656" s="3"/>
    </row>
    <row r="657" spans="1:34" x14ac:dyDescent="0.25">
      <c r="A657">
        <v>7280300</v>
      </c>
      <c r="B657">
        <v>728</v>
      </c>
      <c r="C657" s="2">
        <v>1</v>
      </c>
      <c r="D657" s="2" t="s">
        <v>723</v>
      </c>
      <c r="E657">
        <v>300</v>
      </c>
      <c r="F657" s="2" t="s">
        <v>60</v>
      </c>
      <c r="G657" s="3">
        <v>0</v>
      </c>
      <c r="H657" s="32">
        <v>83</v>
      </c>
      <c r="I657" s="32">
        <v>61</v>
      </c>
      <c r="J657" s="32">
        <v>69</v>
      </c>
      <c r="K657" s="32">
        <v>60</v>
      </c>
      <c r="L657" s="32">
        <v>80</v>
      </c>
      <c r="M657" s="32">
        <v>72</v>
      </c>
      <c r="N657" s="32">
        <v>84</v>
      </c>
      <c r="O657" s="32">
        <v>60</v>
      </c>
      <c r="P657" s="32">
        <v>76</v>
      </c>
      <c r="Q657" s="32">
        <v>70</v>
      </c>
      <c r="R657" s="32">
        <v>68</v>
      </c>
      <c r="S657" s="32">
        <v>55</v>
      </c>
      <c r="T657" s="32">
        <v>87</v>
      </c>
      <c r="U657" s="32">
        <v>73</v>
      </c>
      <c r="V657" s="30">
        <v>0.8318965517241379</v>
      </c>
      <c r="W657" s="30">
        <v>0.81140350877192979</v>
      </c>
      <c r="X657" s="32">
        <v>38359.170000000006</v>
      </c>
      <c r="Y657" s="32">
        <v>31392.920000000002</v>
      </c>
      <c r="Z657" s="32">
        <v>69752.090000000011</v>
      </c>
      <c r="AA657" s="3">
        <f t="shared" si="10"/>
        <v>66667.64</v>
      </c>
      <c r="AB657" s="3"/>
      <c r="AC657" s="3"/>
      <c r="AF657" s="3"/>
      <c r="AG657" s="3"/>
      <c r="AH657" s="3"/>
    </row>
    <row r="658" spans="1:34" x14ac:dyDescent="0.25">
      <c r="A658">
        <v>7280401</v>
      </c>
      <c r="B658">
        <v>728</v>
      </c>
      <c r="C658" s="2">
        <v>1</v>
      </c>
      <c r="D658" s="2" t="s">
        <v>1231</v>
      </c>
      <c r="E658">
        <v>401</v>
      </c>
      <c r="F658" s="2" t="s">
        <v>1232</v>
      </c>
      <c r="G658" s="3">
        <v>1</v>
      </c>
      <c r="H658" s="32" t="s">
        <v>1328</v>
      </c>
      <c r="I658" s="32" t="s">
        <v>1328</v>
      </c>
      <c r="J658" s="32" t="s">
        <v>1328</v>
      </c>
      <c r="K658" s="32" t="s">
        <v>1328</v>
      </c>
      <c r="L658" s="32" t="s">
        <v>1328</v>
      </c>
      <c r="M658" s="32" t="s">
        <v>1328</v>
      </c>
      <c r="N658" s="32" t="s">
        <v>1328</v>
      </c>
      <c r="O658" s="32" t="s">
        <v>1328</v>
      </c>
      <c r="P658" s="32" t="s">
        <v>1328</v>
      </c>
      <c r="Q658" s="32" t="s">
        <v>1328</v>
      </c>
      <c r="R658" s="32" t="s">
        <v>1328</v>
      </c>
      <c r="S658" s="32" t="s">
        <v>1328</v>
      </c>
      <c r="T658" s="32">
        <v>3</v>
      </c>
      <c r="U658" s="32">
        <v>1</v>
      </c>
      <c r="V658" s="30" t="s">
        <v>1328</v>
      </c>
      <c r="W658" s="30" t="s">
        <v>1328</v>
      </c>
      <c r="X658" s="32" t="s">
        <v>1328</v>
      </c>
      <c r="Y658" s="32" t="s">
        <v>1328</v>
      </c>
      <c r="Z658" s="32">
        <v>706.66000000000008</v>
      </c>
      <c r="AA658" s="3">
        <f t="shared" si="10"/>
        <v>675.41</v>
      </c>
      <c r="AB658" s="3"/>
      <c r="AC658" s="3"/>
      <c r="AF658" s="3"/>
      <c r="AG658" s="3"/>
      <c r="AH658" s="3"/>
    </row>
    <row r="659" spans="1:34" x14ac:dyDescent="0.25">
      <c r="A659">
        <v>7280700</v>
      </c>
      <c r="B659">
        <v>728</v>
      </c>
      <c r="C659" s="2">
        <v>1</v>
      </c>
      <c r="D659" s="2" t="s">
        <v>723</v>
      </c>
      <c r="E659">
        <v>700</v>
      </c>
      <c r="F659" s="2" t="s">
        <v>728</v>
      </c>
      <c r="G659" s="3">
        <v>0</v>
      </c>
      <c r="H659" s="32">
        <v>120</v>
      </c>
      <c r="I659" s="32">
        <v>107</v>
      </c>
      <c r="J659" s="32">
        <v>112</v>
      </c>
      <c r="K659" s="32">
        <v>104</v>
      </c>
      <c r="L659" s="32">
        <v>113</v>
      </c>
      <c r="M659" s="32">
        <v>97</v>
      </c>
      <c r="N659" s="32">
        <v>101</v>
      </c>
      <c r="O659" s="32">
        <v>67</v>
      </c>
      <c r="P659" s="32">
        <v>118</v>
      </c>
      <c r="Q659" s="32">
        <v>102</v>
      </c>
      <c r="R659" s="32">
        <v>113</v>
      </c>
      <c r="S659" s="32">
        <v>90</v>
      </c>
      <c r="T659" s="32">
        <v>115</v>
      </c>
      <c r="U659" s="32">
        <v>117</v>
      </c>
      <c r="V659" s="30">
        <v>0.89275362318840579</v>
      </c>
      <c r="W659" s="30">
        <v>0.78012048192771088</v>
      </c>
      <c r="X659" s="32">
        <v>54413.4</v>
      </c>
      <c r="Y659" s="32">
        <v>48374.82</v>
      </c>
      <c r="Z659" s="32">
        <v>102788.22</v>
      </c>
      <c r="AA659" s="3">
        <f t="shared" si="10"/>
        <v>98242.9</v>
      </c>
      <c r="AB659" s="3"/>
      <c r="AC659" s="3"/>
      <c r="AF659" s="3"/>
      <c r="AG659" s="3"/>
      <c r="AH659" s="3"/>
    </row>
    <row r="660" spans="1:34" x14ac:dyDescent="0.25">
      <c r="A660">
        <v>7280800</v>
      </c>
      <c r="B660">
        <v>728</v>
      </c>
      <c r="C660" s="2">
        <v>1</v>
      </c>
      <c r="D660" s="2" t="s">
        <v>723</v>
      </c>
      <c r="E660">
        <v>800</v>
      </c>
      <c r="F660" s="2" t="s">
        <v>729</v>
      </c>
      <c r="G660" s="3">
        <v>0</v>
      </c>
      <c r="H660" s="32">
        <v>141</v>
      </c>
      <c r="I660" s="32">
        <v>108</v>
      </c>
      <c r="J660" s="32">
        <v>115</v>
      </c>
      <c r="K660" s="32">
        <v>93</v>
      </c>
      <c r="L660" s="32">
        <v>126</v>
      </c>
      <c r="M660" s="32">
        <v>113</v>
      </c>
      <c r="N660" s="32">
        <v>121</v>
      </c>
      <c r="O660" s="32">
        <v>91</v>
      </c>
      <c r="P660" s="32">
        <v>132</v>
      </c>
      <c r="Q660" s="32">
        <v>101</v>
      </c>
      <c r="R660" s="32">
        <v>105</v>
      </c>
      <c r="S660" s="32">
        <v>72</v>
      </c>
      <c r="T660" s="32">
        <v>128</v>
      </c>
      <c r="U660" s="32">
        <v>111</v>
      </c>
      <c r="V660" s="30">
        <v>0.82198952879581155</v>
      </c>
      <c r="W660" s="30">
        <v>0.73743016759776536</v>
      </c>
      <c r="X660" s="32">
        <v>55763.199999999997</v>
      </c>
      <c r="Y660" s="32">
        <v>43383.24</v>
      </c>
      <c r="Z660" s="32">
        <v>99146.44</v>
      </c>
      <c r="AA660" s="3">
        <f t="shared" si="10"/>
        <v>94762.16</v>
      </c>
      <c r="AB660" s="3"/>
      <c r="AC660" s="3"/>
      <c r="AF660" s="3"/>
      <c r="AG660" s="3"/>
      <c r="AH660" s="3"/>
    </row>
    <row r="661" spans="1:34" x14ac:dyDescent="0.25">
      <c r="A661">
        <v>7380001</v>
      </c>
      <c r="B661">
        <v>738</v>
      </c>
      <c r="C661" s="2">
        <v>1</v>
      </c>
      <c r="D661" s="2" t="s">
        <v>730</v>
      </c>
      <c r="E661">
        <v>1</v>
      </c>
      <c r="F661" s="2" t="s">
        <v>731</v>
      </c>
      <c r="G661" s="3">
        <v>0</v>
      </c>
      <c r="H661" s="32">
        <v>63</v>
      </c>
      <c r="I661" s="32">
        <v>56</v>
      </c>
      <c r="J661" s="32">
        <v>71</v>
      </c>
      <c r="K661" s="32">
        <v>63</v>
      </c>
      <c r="L661" s="32">
        <v>89</v>
      </c>
      <c r="M661" s="32">
        <v>79</v>
      </c>
      <c r="N661" s="32">
        <v>90</v>
      </c>
      <c r="O661" s="32">
        <v>66</v>
      </c>
      <c r="P661" s="32">
        <v>62</v>
      </c>
      <c r="Q661" s="32">
        <v>48</v>
      </c>
      <c r="R661" s="32">
        <v>70</v>
      </c>
      <c r="S661" s="32">
        <v>58</v>
      </c>
      <c r="T661" s="32">
        <v>89</v>
      </c>
      <c r="U661" s="32">
        <v>73</v>
      </c>
      <c r="V661" s="30">
        <v>0.88789237668161436</v>
      </c>
      <c r="W661" s="30">
        <v>0.77477477477477474</v>
      </c>
      <c r="X661" s="32">
        <v>41881.619999999995</v>
      </c>
      <c r="Y661" s="32">
        <v>29975.989999999998</v>
      </c>
      <c r="Z661" s="32">
        <v>71857.609999999986</v>
      </c>
      <c r="AA661" s="3">
        <f t="shared" si="10"/>
        <v>68680.05</v>
      </c>
      <c r="AB661" s="3"/>
      <c r="AC661" s="3"/>
      <c r="AF661" s="3"/>
      <c r="AG661" s="3"/>
      <c r="AH661" s="3"/>
    </row>
    <row r="662" spans="1:34" x14ac:dyDescent="0.25">
      <c r="A662">
        <v>7390010</v>
      </c>
      <c r="B662">
        <v>739</v>
      </c>
      <c r="C662" s="2">
        <v>1</v>
      </c>
      <c r="D662" s="2" t="s">
        <v>732</v>
      </c>
      <c r="E662">
        <v>10</v>
      </c>
      <c r="F662" s="2" t="s">
        <v>733</v>
      </c>
      <c r="G662" s="3">
        <v>0</v>
      </c>
      <c r="H662" s="32">
        <v>51</v>
      </c>
      <c r="I662" s="32">
        <v>39</v>
      </c>
      <c r="J662" s="32">
        <v>40</v>
      </c>
      <c r="K662" s="32">
        <v>34</v>
      </c>
      <c r="L662" s="32">
        <v>45</v>
      </c>
      <c r="M662" s="32">
        <v>38</v>
      </c>
      <c r="N662" s="32">
        <v>50</v>
      </c>
      <c r="O662" s="32">
        <v>39</v>
      </c>
      <c r="P662" s="32">
        <v>51</v>
      </c>
      <c r="Q662" s="32">
        <v>38</v>
      </c>
      <c r="R662" s="32">
        <v>37</v>
      </c>
      <c r="S662" s="32">
        <v>28</v>
      </c>
      <c r="T662" s="32">
        <v>46</v>
      </c>
      <c r="U662" s="32">
        <v>40</v>
      </c>
      <c r="V662" s="30">
        <v>0.81617647058823528</v>
      </c>
      <c r="W662" s="30">
        <v>0.76086956521739135</v>
      </c>
      <c r="X662" s="32">
        <v>19898.22</v>
      </c>
      <c r="Y662" s="32">
        <v>16130.4</v>
      </c>
      <c r="Z662" s="32">
        <v>36028.620000000003</v>
      </c>
      <c r="AA662" s="3">
        <f t="shared" si="10"/>
        <v>34435.43</v>
      </c>
      <c r="AB662" s="3"/>
      <c r="AC662" s="3"/>
      <c r="AF662" s="3"/>
      <c r="AG662" s="3"/>
      <c r="AH662" s="3"/>
    </row>
    <row r="663" spans="1:34" x14ac:dyDescent="0.25">
      <c r="A663">
        <v>7400010</v>
      </c>
      <c r="B663">
        <v>740</v>
      </c>
      <c r="C663">
        <v>1</v>
      </c>
      <c r="D663" t="s">
        <v>734</v>
      </c>
      <c r="E663">
        <v>10</v>
      </c>
      <c r="F663" t="s">
        <v>735</v>
      </c>
      <c r="G663" s="3">
        <v>0</v>
      </c>
      <c r="H663" s="32">
        <v>88</v>
      </c>
      <c r="I663" s="32">
        <v>55</v>
      </c>
      <c r="J663" s="32">
        <v>85</v>
      </c>
      <c r="K663" s="32">
        <v>61</v>
      </c>
      <c r="L663" s="32">
        <v>78</v>
      </c>
      <c r="M663" s="32">
        <v>55</v>
      </c>
      <c r="N663" s="32">
        <v>91</v>
      </c>
      <c r="O663" s="32">
        <v>67</v>
      </c>
      <c r="P663" s="32">
        <v>86</v>
      </c>
      <c r="Q663" s="32">
        <v>68</v>
      </c>
      <c r="R663" s="32">
        <v>83</v>
      </c>
      <c r="S663" s="32">
        <v>72</v>
      </c>
      <c r="T663" s="32">
        <v>82</v>
      </c>
      <c r="U663" s="32">
        <v>89</v>
      </c>
      <c r="V663" s="30">
        <v>0.68127490039840632</v>
      </c>
      <c r="W663" s="30">
        <v>0.7961538461538461</v>
      </c>
      <c r="X663" s="32">
        <v>29608.559999999998</v>
      </c>
      <c r="Y663" s="32">
        <v>37554.439999999995</v>
      </c>
      <c r="Z663" s="32">
        <v>67163</v>
      </c>
      <c r="AA663" s="3">
        <f t="shared" si="10"/>
        <v>64193.04</v>
      </c>
      <c r="AB663" s="3"/>
      <c r="AC663" s="3"/>
      <c r="AF663" s="3"/>
      <c r="AG663" s="3"/>
      <c r="AH663" s="3"/>
    </row>
    <row r="664" spans="1:34" x14ac:dyDescent="0.25">
      <c r="A664">
        <v>7410001</v>
      </c>
      <c r="B664">
        <v>741</v>
      </c>
      <c r="C664" s="2">
        <v>1</v>
      </c>
      <c r="D664" s="2" t="s">
        <v>736</v>
      </c>
      <c r="E664">
        <v>1</v>
      </c>
      <c r="F664" s="2" t="s">
        <v>737</v>
      </c>
      <c r="G664" s="3">
        <v>0</v>
      </c>
      <c r="H664" s="32">
        <v>74</v>
      </c>
      <c r="I664" s="32">
        <v>57</v>
      </c>
      <c r="J664" s="32">
        <v>84</v>
      </c>
      <c r="K664" s="32">
        <v>69</v>
      </c>
      <c r="L664" s="32">
        <v>78</v>
      </c>
      <c r="M664" s="32">
        <v>60</v>
      </c>
      <c r="N664" s="32">
        <v>74</v>
      </c>
      <c r="O664" s="32">
        <v>46</v>
      </c>
      <c r="P664" s="32">
        <v>74</v>
      </c>
      <c r="Q664" s="32">
        <v>51</v>
      </c>
      <c r="R664" s="32">
        <v>80</v>
      </c>
      <c r="S664" s="32">
        <v>57</v>
      </c>
      <c r="T664" s="32">
        <v>74</v>
      </c>
      <c r="U664" s="32">
        <v>83</v>
      </c>
      <c r="V664" s="30">
        <v>0.78813559322033899</v>
      </c>
      <c r="W664" s="30">
        <v>0.67543859649122806</v>
      </c>
      <c r="X664" s="32">
        <v>30910.539999999997</v>
      </c>
      <c r="Y664" s="32">
        <v>29712.34</v>
      </c>
      <c r="Z664" s="32">
        <v>60622.879999999997</v>
      </c>
      <c r="AA664" s="3">
        <f t="shared" si="10"/>
        <v>57942.12</v>
      </c>
      <c r="AB664" s="3"/>
      <c r="AC664" s="3"/>
      <c r="AF664" s="3"/>
      <c r="AG664" s="3"/>
      <c r="AH664" s="3"/>
    </row>
    <row r="665" spans="1:34" x14ac:dyDescent="0.25">
      <c r="A665">
        <v>7420016</v>
      </c>
      <c r="B665">
        <v>742</v>
      </c>
      <c r="C665" s="2">
        <v>1</v>
      </c>
      <c r="D665" s="2" t="s">
        <v>738</v>
      </c>
      <c r="E665">
        <v>16</v>
      </c>
      <c r="F665" s="2" t="s">
        <v>739</v>
      </c>
      <c r="G665" s="3">
        <v>0</v>
      </c>
      <c r="H665" s="32">
        <v>48</v>
      </c>
      <c r="I665" s="32">
        <v>34</v>
      </c>
      <c r="J665" s="32">
        <v>87</v>
      </c>
      <c r="K665" s="32">
        <v>61</v>
      </c>
      <c r="L665" s="32">
        <v>76</v>
      </c>
      <c r="M665" s="32">
        <v>62</v>
      </c>
      <c r="N665" s="32">
        <v>54</v>
      </c>
      <c r="O665" s="32">
        <v>42</v>
      </c>
      <c r="P665" s="32">
        <v>45</v>
      </c>
      <c r="Q665" s="32">
        <v>34</v>
      </c>
      <c r="R665" s="32">
        <v>77</v>
      </c>
      <c r="S665" s="32">
        <v>62</v>
      </c>
      <c r="T665" s="32">
        <v>75</v>
      </c>
      <c r="U665" s="32">
        <v>82</v>
      </c>
      <c r="V665" s="30">
        <v>0.74407582938388628</v>
      </c>
      <c r="W665" s="30">
        <v>0.78409090909090906</v>
      </c>
      <c r="X665" s="32">
        <v>29577</v>
      </c>
      <c r="Y665" s="32">
        <v>34076.74</v>
      </c>
      <c r="Z665" s="32">
        <v>63653.74</v>
      </c>
      <c r="AA665" s="3">
        <f t="shared" si="10"/>
        <v>60838.96</v>
      </c>
      <c r="AB665" s="3"/>
      <c r="AC665" s="3"/>
      <c r="AF665" s="3"/>
      <c r="AG665" s="3"/>
      <c r="AH665" s="3"/>
    </row>
    <row r="666" spans="1:34" x14ac:dyDescent="0.25">
      <c r="A666">
        <v>7420025</v>
      </c>
      <c r="B666">
        <v>742</v>
      </c>
      <c r="C666" s="2">
        <v>1</v>
      </c>
      <c r="D666" s="2" t="s">
        <v>738</v>
      </c>
      <c r="E666">
        <v>25</v>
      </c>
      <c r="F666" s="2" t="s">
        <v>131</v>
      </c>
      <c r="G666" s="3">
        <v>0</v>
      </c>
      <c r="H666" s="32">
        <v>68</v>
      </c>
      <c r="I666" s="32">
        <v>55</v>
      </c>
      <c r="J666" s="32">
        <v>57</v>
      </c>
      <c r="K666" s="32">
        <v>50</v>
      </c>
      <c r="L666" s="32">
        <v>78</v>
      </c>
      <c r="M666" s="32">
        <v>69</v>
      </c>
      <c r="N666" s="32">
        <v>56</v>
      </c>
      <c r="O666" s="32">
        <v>37</v>
      </c>
      <c r="P666" s="32">
        <v>68</v>
      </c>
      <c r="Q666" s="32">
        <v>48</v>
      </c>
      <c r="R666" s="32">
        <v>56</v>
      </c>
      <c r="S666" s="32">
        <v>39</v>
      </c>
      <c r="T666" s="32">
        <v>80</v>
      </c>
      <c r="U666" s="32">
        <v>61</v>
      </c>
      <c r="V666" s="30">
        <v>0.8571428571428571</v>
      </c>
      <c r="W666" s="30">
        <v>0.68888888888888888</v>
      </c>
      <c r="X666" s="32">
        <v>36343.200000000004</v>
      </c>
      <c r="Y666" s="32">
        <v>22271.71</v>
      </c>
      <c r="Z666" s="32">
        <v>58614.91</v>
      </c>
      <c r="AA666" s="3">
        <f t="shared" si="10"/>
        <v>56022.94</v>
      </c>
      <c r="AB666" s="3"/>
      <c r="AC666" s="3"/>
      <c r="AF666" s="3"/>
      <c r="AG666" s="3"/>
      <c r="AH666" s="3"/>
    </row>
    <row r="667" spans="1:34" x14ac:dyDescent="0.25">
      <c r="A667">
        <v>7420028</v>
      </c>
      <c r="B667">
        <v>742</v>
      </c>
      <c r="C667" s="2">
        <v>1</v>
      </c>
      <c r="D667" s="2" t="s">
        <v>738</v>
      </c>
      <c r="E667">
        <v>28</v>
      </c>
      <c r="F667" s="2" t="s">
        <v>60</v>
      </c>
      <c r="G667" s="3">
        <v>0</v>
      </c>
      <c r="H667" s="32">
        <v>41</v>
      </c>
      <c r="I667" s="32">
        <v>24</v>
      </c>
      <c r="J667" s="32">
        <v>41</v>
      </c>
      <c r="K667" s="32">
        <v>27</v>
      </c>
      <c r="L667" s="32">
        <v>57</v>
      </c>
      <c r="M667" s="32">
        <v>42</v>
      </c>
      <c r="N667" s="32">
        <v>32</v>
      </c>
      <c r="O667" s="32">
        <v>21</v>
      </c>
      <c r="P667" s="32">
        <v>35</v>
      </c>
      <c r="Q667" s="32">
        <v>30</v>
      </c>
      <c r="R667" s="32">
        <v>38</v>
      </c>
      <c r="S667" s="32">
        <v>29</v>
      </c>
      <c r="T667" s="32">
        <v>63</v>
      </c>
      <c r="U667" s="32">
        <v>43</v>
      </c>
      <c r="V667" s="30">
        <v>0.6690647482014388</v>
      </c>
      <c r="W667" s="30">
        <v>0.76190476190476186</v>
      </c>
      <c r="X667" s="32">
        <v>22339.800000000003</v>
      </c>
      <c r="Y667" s="32">
        <v>17363.830000000002</v>
      </c>
      <c r="Z667" s="32">
        <v>39703.630000000005</v>
      </c>
      <c r="AA667" s="3">
        <f t="shared" si="10"/>
        <v>37947.93</v>
      </c>
      <c r="AB667" s="3"/>
      <c r="AC667" s="3"/>
      <c r="AF667" s="3"/>
      <c r="AG667" s="3"/>
      <c r="AH667" s="3"/>
    </row>
    <row r="668" spans="1:34" x14ac:dyDescent="0.25">
      <c r="A668">
        <v>7420031</v>
      </c>
      <c r="B668">
        <v>742</v>
      </c>
      <c r="C668" s="2">
        <v>1</v>
      </c>
      <c r="D668" s="2" t="s">
        <v>738</v>
      </c>
      <c r="E668">
        <v>31</v>
      </c>
      <c r="F668" s="2" t="s">
        <v>62</v>
      </c>
      <c r="G668" s="3">
        <v>0</v>
      </c>
      <c r="H668" s="32">
        <v>82</v>
      </c>
      <c r="I668" s="32">
        <v>51</v>
      </c>
      <c r="J668" s="32">
        <v>116</v>
      </c>
      <c r="K668" s="32">
        <v>80</v>
      </c>
      <c r="L668" s="32">
        <v>116</v>
      </c>
      <c r="M668" s="32">
        <v>79</v>
      </c>
      <c r="N668" s="32">
        <v>50</v>
      </c>
      <c r="O668" s="32">
        <v>29</v>
      </c>
      <c r="P668" s="32">
        <v>78</v>
      </c>
      <c r="Q668" s="32">
        <v>61</v>
      </c>
      <c r="R668" s="32">
        <v>114</v>
      </c>
      <c r="S668" s="32">
        <v>82</v>
      </c>
      <c r="T668" s="32">
        <v>115</v>
      </c>
      <c r="U668" s="32">
        <v>124</v>
      </c>
      <c r="V668" s="30">
        <v>0.66878980891719741</v>
      </c>
      <c r="W668" s="30">
        <v>0.71074380165289253</v>
      </c>
      <c r="X668" s="32">
        <v>40762.899999999994</v>
      </c>
      <c r="Y668" s="32">
        <v>46709.56</v>
      </c>
      <c r="Z668" s="32">
        <v>87472.459999999992</v>
      </c>
      <c r="AA668" s="3">
        <f t="shared" si="10"/>
        <v>83604.41</v>
      </c>
      <c r="AB668" s="3"/>
      <c r="AC668" s="3"/>
      <c r="AF668" s="3"/>
      <c r="AG668" s="3"/>
      <c r="AH668" s="3"/>
    </row>
    <row r="669" spans="1:34" x14ac:dyDescent="0.25">
      <c r="A669">
        <v>7420035</v>
      </c>
      <c r="B669">
        <v>742</v>
      </c>
      <c r="C669" s="2">
        <v>1</v>
      </c>
      <c r="D669" s="2" t="s">
        <v>738</v>
      </c>
      <c r="E669">
        <v>35</v>
      </c>
      <c r="F669" s="2" t="s">
        <v>740</v>
      </c>
      <c r="G669" s="3">
        <v>0</v>
      </c>
      <c r="H669" s="32">
        <v>72</v>
      </c>
      <c r="I669" s="32">
        <v>43</v>
      </c>
      <c r="J669" s="32">
        <v>60</v>
      </c>
      <c r="K669" s="32">
        <v>30</v>
      </c>
      <c r="L669" s="32">
        <v>70</v>
      </c>
      <c r="M669" s="32">
        <v>48</v>
      </c>
      <c r="N669" s="32">
        <v>72</v>
      </c>
      <c r="O669" s="32">
        <v>49</v>
      </c>
      <c r="P669" s="32">
        <v>57</v>
      </c>
      <c r="Q669" s="32">
        <v>50</v>
      </c>
      <c r="R669" s="32">
        <v>44</v>
      </c>
      <c r="S669" s="32">
        <v>27</v>
      </c>
      <c r="T669" s="32">
        <v>71</v>
      </c>
      <c r="U669" s="32">
        <v>53</v>
      </c>
      <c r="V669" s="30">
        <v>0.59900990099009899</v>
      </c>
      <c r="W669" s="30">
        <v>0.72832369942196529</v>
      </c>
      <c r="X669" s="32">
        <v>22541.08</v>
      </c>
      <c r="Y669" s="32">
        <v>20458.53</v>
      </c>
      <c r="Z669" s="32">
        <v>42999.61</v>
      </c>
      <c r="AA669" s="3">
        <f t="shared" si="10"/>
        <v>41098.160000000003</v>
      </c>
      <c r="AB669" s="3"/>
      <c r="AC669" s="3"/>
      <c r="AF669" s="3"/>
      <c r="AG669" s="3"/>
      <c r="AH669" s="3"/>
    </row>
    <row r="670" spans="1:34" x14ac:dyDescent="0.25">
      <c r="A670">
        <v>7420036</v>
      </c>
      <c r="B670">
        <v>742</v>
      </c>
      <c r="C670" s="2">
        <v>1</v>
      </c>
      <c r="D670" s="2" t="s">
        <v>738</v>
      </c>
      <c r="E670">
        <v>36</v>
      </c>
      <c r="F670" s="2" t="s">
        <v>741</v>
      </c>
      <c r="G670" s="3">
        <v>0</v>
      </c>
      <c r="H670" s="32">
        <v>87</v>
      </c>
      <c r="I670" s="32">
        <v>46</v>
      </c>
      <c r="J670" s="32">
        <v>85</v>
      </c>
      <c r="K670" s="32">
        <v>40</v>
      </c>
      <c r="L670" s="32">
        <v>75</v>
      </c>
      <c r="M670" s="32">
        <v>41</v>
      </c>
      <c r="N670" s="32">
        <v>63</v>
      </c>
      <c r="O670" s="32">
        <v>37</v>
      </c>
      <c r="P670" s="32">
        <v>73</v>
      </c>
      <c r="Q670" s="32">
        <v>53</v>
      </c>
      <c r="R670" s="32">
        <v>59</v>
      </c>
      <c r="S670" s="32">
        <v>46</v>
      </c>
      <c r="T670" s="32">
        <v>79</v>
      </c>
      <c r="U670" s="32">
        <v>70</v>
      </c>
      <c r="V670" s="30">
        <v>0.51417004048582993</v>
      </c>
      <c r="W670" s="30">
        <v>0.6974358974358974</v>
      </c>
      <c r="X670" s="32">
        <v>21528.29</v>
      </c>
      <c r="Y670" s="32">
        <v>25874.799999999999</v>
      </c>
      <c r="Z670" s="32">
        <v>47403.09</v>
      </c>
      <c r="AA670" s="3">
        <f t="shared" si="10"/>
        <v>45306.91</v>
      </c>
      <c r="AB670" s="3"/>
      <c r="AC670" s="3"/>
      <c r="AF670" s="3"/>
      <c r="AG670" s="3"/>
      <c r="AH670" s="3"/>
    </row>
    <row r="671" spans="1:34" x14ac:dyDescent="0.25">
      <c r="A671">
        <v>7420040</v>
      </c>
      <c r="B671">
        <v>742</v>
      </c>
      <c r="C671" s="2">
        <v>1</v>
      </c>
      <c r="D671" s="2" t="s">
        <v>738</v>
      </c>
      <c r="E671">
        <v>40</v>
      </c>
      <c r="F671" s="2" t="s">
        <v>321</v>
      </c>
      <c r="G671" s="3">
        <v>0</v>
      </c>
      <c r="H671" s="32">
        <v>109</v>
      </c>
      <c r="I671" s="32">
        <v>76</v>
      </c>
      <c r="J671" s="32">
        <v>81</v>
      </c>
      <c r="K671" s="32">
        <v>63</v>
      </c>
      <c r="L671" s="32">
        <v>96</v>
      </c>
      <c r="M671" s="32">
        <v>76</v>
      </c>
      <c r="N671" s="32">
        <v>89</v>
      </c>
      <c r="O671" s="32">
        <v>62</v>
      </c>
      <c r="P671" s="32">
        <v>99</v>
      </c>
      <c r="Q671" s="32">
        <v>73</v>
      </c>
      <c r="R671" s="32">
        <v>70</v>
      </c>
      <c r="S671" s="32">
        <v>44</v>
      </c>
      <c r="T671" s="32">
        <v>96</v>
      </c>
      <c r="U671" s="32">
        <v>85</v>
      </c>
      <c r="V671" s="30">
        <v>0.75174825174825177</v>
      </c>
      <c r="W671" s="30">
        <v>0.69379844961240311</v>
      </c>
      <c r="X671" s="32">
        <v>38249.279999999999</v>
      </c>
      <c r="Y671" s="32">
        <v>31255.35</v>
      </c>
      <c r="Z671" s="32">
        <v>69504.63</v>
      </c>
      <c r="AA671" s="3">
        <f t="shared" si="10"/>
        <v>66431.12</v>
      </c>
      <c r="AB671" s="3"/>
      <c r="AC671" s="3"/>
      <c r="AF671" s="3"/>
      <c r="AG671" s="3"/>
      <c r="AH671" s="3"/>
    </row>
    <row r="672" spans="1:34" x14ac:dyDescent="0.25">
      <c r="A672">
        <v>7420051</v>
      </c>
      <c r="B672">
        <v>742</v>
      </c>
      <c r="C672" s="2">
        <v>1</v>
      </c>
      <c r="D672" s="2" t="s">
        <v>738</v>
      </c>
      <c r="E672">
        <v>51</v>
      </c>
      <c r="F672" s="2" t="s">
        <v>742</v>
      </c>
      <c r="G672" s="3">
        <v>0</v>
      </c>
      <c r="H672" s="32">
        <v>159</v>
      </c>
      <c r="I672" s="32">
        <v>125</v>
      </c>
      <c r="J672" s="32">
        <v>144</v>
      </c>
      <c r="K672" s="32">
        <v>116</v>
      </c>
      <c r="L672" s="32">
        <v>131</v>
      </c>
      <c r="M672" s="32">
        <v>103</v>
      </c>
      <c r="N672" s="32">
        <v>154</v>
      </c>
      <c r="O672" s="32">
        <v>130</v>
      </c>
      <c r="P672" s="32">
        <v>149</v>
      </c>
      <c r="Q672" s="32">
        <v>118</v>
      </c>
      <c r="R672" s="32">
        <v>141</v>
      </c>
      <c r="S672" s="32">
        <v>120</v>
      </c>
      <c r="T672" s="32">
        <v>133</v>
      </c>
      <c r="U672" s="32">
        <v>157</v>
      </c>
      <c r="V672" s="30">
        <v>0.79262672811059909</v>
      </c>
      <c r="W672" s="30">
        <v>0.8288288288288288</v>
      </c>
      <c r="X672" s="32">
        <v>55871.969999999994</v>
      </c>
      <c r="Y672" s="32">
        <v>68966.959999999992</v>
      </c>
      <c r="Z672" s="32">
        <v>124838.93</v>
      </c>
      <c r="AA672" s="3">
        <f t="shared" si="10"/>
        <v>119318.52</v>
      </c>
      <c r="AB672" s="3"/>
      <c r="AC672" s="3"/>
      <c r="AF672" s="3"/>
      <c r="AG672" s="3"/>
      <c r="AH672" s="3"/>
    </row>
    <row r="673" spans="1:34" x14ac:dyDescent="0.25">
      <c r="A673">
        <v>7420072</v>
      </c>
      <c r="B673">
        <v>742</v>
      </c>
      <c r="C673" s="2">
        <v>1</v>
      </c>
      <c r="D673" s="2" t="s">
        <v>1233</v>
      </c>
      <c r="E673">
        <v>72</v>
      </c>
      <c r="F673" s="2" t="s">
        <v>1234</v>
      </c>
      <c r="G673" s="3">
        <v>1</v>
      </c>
      <c r="H673" s="32" t="s">
        <v>1328</v>
      </c>
      <c r="I673" s="32" t="s">
        <v>1328</v>
      </c>
      <c r="J673" s="32" t="s">
        <v>1328</v>
      </c>
      <c r="K673" s="32" t="s">
        <v>1328</v>
      </c>
      <c r="L673" s="32" t="s">
        <v>1328</v>
      </c>
      <c r="M673" s="32" t="s">
        <v>1328</v>
      </c>
      <c r="N673" s="32" t="s">
        <v>1328</v>
      </c>
      <c r="O673" s="32" t="s">
        <v>1328</v>
      </c>
      <c r="P673" s="32" t="s">
        <v>1328</v>
      </c>
      <c r="Q673" s="32" t="s">
        <v>1328</v>
      </c>
      <c r="R673" s="32" t="s">
        <v>1328</v>
      </c>
      <c r="S673" s="32" t="s">
        <v>1328</v>
      </c>
      <c r="T673" s="32">
        <v>6</v>
      </c>
      <c r="U673" s="32">
        <v>1</v>
      </c>
      <c r="V673" s="30" t="s">
        <v>1328</v>
      </c>
      <c r="W673" s="30" t="s">
        <v>1328</v>
      </c>
      <c r="X673" s="32" t="s">
        <v>1328</v>
      </c>
      <c r="Y673" s="32" t="s">
        <v>1328</v>
      </c>
      <c r="Z673" s="32">
        <v>198.78000000000003</v>
      </c>
      <c r="AA673" s="3">
        <f t="shared" si="10"/>
        <v>189.99</v>
      </c>
      <c r="AB673" s="3"/>
      <c r="AC673" s="3"/>
      <c r="AF673" s="3"/>
      <c r="AG673" s="3"/>
      <c r="AH673" s="3"/>
    </row>
    <row r="674" spans="1:34" x14ac:dyDescent="0.25">
      <c r="A674">
        <v>7430010</v>
      </c>
      <c r="B674">
        <v>743</v>
      </c>
      <c r="C674" s="2">
        <v>1</v>
      </c>
      <c r="D674" s="2" t="s">
        <v>743</v>
      </c>
      <c r="E674">
        <v>10</v>
      </c>
      <c r="F674" s="2" t="s">
        <v>744</v>
      </c>
      <c r="G674" s="3">
        <v>0</v>
      </c>
      <c r="H674" s="32">
        <v>45</v>
      </c>
      <c r="I674" s="32">
        <v>37</v>
      </c>
      <c r="J674" s="32">
        <v>69</v>
      </c>
      <c r="K674" s="32">
        <v>56</v>
      </c>
      <c r="L674" s="32">
        <v>57</v>
      </c>
      <c r="M674" s="32">
        <v>48</v>
      </c>
      <c r="N674" s="32">
        <v>46</v>
      </c>
      <c r="O674" s="32">
        <v>31</v>
      </c>
      <c r="P674" s="32">
        <v>42</v>
      </c>
      <c r="Q674" s="32">
        <v>31</v>
      </c>
      <c r="R674" s="32">
        <v>65</v>
      </c>
      <c r="S674" s="32">
        <v>54</v>
      </c>
      <c r="T674" s="32">
        <v>61</v>
      </c>
      <c r="U674" s="32">
        <v>66</v>
      </c>
      <c r="V674" s="30">
        <v>0.82456140350877194</v>
      </c>
      <c r="W674" s="30">
        <v>0.75816993464052285</v>
      </c>
      <c r="X674" s="32">
        <v>26658.219999999998</v>
      </c>
      <c r="Y674" s="32">
        <v>26520.78</v>
      </c>
      <c r="Z674" s="32">
        <v>53179</v>
      </c>
      <c r="AA674" s="3">
        <f t="shared" si="10"/>
        <v>50827.41</v>
      </c>
      <c r="AB674" s="3"/>
      <c r="AC674" s="3"/>
      <c r="AF674" s="3"/>
      <c r="AG674" s="3"/>
      <c r="AH674" s="3"/>
    </row>
    <row r="675" spans="1:34" x14ac:dyDescent="0.25">
      <c r="A675">
        <v>7450010</v>
      </c>
      <c r="B675">
        <v>745</v>
      </c>
      <c r="C675" s="2">
        <v>1</v>
      </c>
      <c r="D675" s="2" t="s">
        <v>745</v>
      </c>
      <c r="E675">
        <v>10</v>
      </c>
      <c r="F675" s="2" t="s">
        <v>746</v>
      </c>
      <c r="G675" s="3">
        <v>0</v>
      </c>
      <c r="H675" s="32">
        <v>78</v>
      </c>
      <c r="I675" s="32">
        <v>63</v>
      </c>
      <c r="J675" s="32">
        <v>72</v>
      </c>
      <c r="K675" s="32">
        <v>59</v>
      </c>
      <c r="L675" s="32">
        <v>63</v>
      </c>
      <c r="M675" s="32">
        <v>60</v>
      </c>
      <c r="N675" s="32">
        <v>76</v>
      </c>
      <c r="O675" s="32">
        <v>54</v>
      </c>
      <c r="P675" s="32">
        <v>74</v>
      </c>
      <c r="Q675" s="32">
        <v>60</v>
      </c>
      <c r="R675" s="32">
        <v>69</v>
      </c>
      <c r="S675" s="32">
        <v>64</v>
      </c>
      <c r="T675" s="32">
        <v>65</v>
      </c>
      <c r="U675" s="32">
        <v>75</v>
      </c>
      <c r="V675" s="30">
        <v>0.85446009389671362</v>
      </c>
      <c r="W675" s="30">
        <v>0.81278538812785384</v>
      </c>
      <c r="X675" s="32">
        <v>29435.9</v>
      </c>
      <c r="Y675" s="32">
        <v>32308.499999999996</v>
      </c>
      <c r="Z675" s="32">
        <v>61744.399999999994</v>
      </c>
      <c r="AA675" s="3">
        <f t="shared" si="10"/>
        <v>59014.05</v>
      </c>
      <c r="AB675" s="3"/>
      <c r="AC675" s="3"/>
      <c r="AF675" s="3"/>
      <c r="AG675" s="3"/>
      <c r="AH675" s="3"/>
    </row>
    <row r="676" spans="1:34" x14ac:dyDescent="0.25">
      <c r="A676">
        <v>7450030</v>
      </c>
      <c r="B676">
        <v>745</v>
      </c>
      <c r="C676" s="2">
        <v>1</v>
      </c>
      <c r="D676" s="2" t="s">
        <v>745</v>
      </c>
      <c r="E676">
        <v>30</v>
      </c>
      <c r="F676" s="2" t="s">
        <v>747</v>
      </c>
      <c r="G676" s="3">
        <v>0</v>
      </c>
      <c r="H676" s="32">
        <v>54</v>
      </c>
      <c r="I676" s="32">
        <v>52</v>
      </c>
      <c r="J676" s="32">
        <v>46</v>
      </c>
      <c r="K676" s="32">
        <v>40</v>
      </c>
      <c r="L676" s="32">
        <v>46</v>
      </c>
      <c r="M676" s="32">
        <v>40</v>
      </c>
      <c r="N676" s="32">
        <v>43</v>
      </c>
      <c r="O676" s="32">
        <v>33</v>
      </c>
      <c r="P676" s="32">
        <v>52</v>
      </c>
      <c r="Q676" s="32">
        <v>39</v>
      </c>
      <c r="R676" s="32">
        <v>46</v>
      </c>
      <c r="S676" s="32">
        <v>31</v>
      </c>
      <c r="T676" s="32">
        <v>48</v>
      </c>
      <c r="U676" s="32">
        <v>48</v>
      </c>
      <c r="V676" s="30">
        <v>0.90410958904109584</v>
      </c>
      <c r="W676" s="30">
        <v>0.73049645390070927</v>
      </c>
      <c r="X676" s="32">
        <v>23000.639999999999</v>
      </c>
      <c r="Y676" s="32">
        <v>18583.68</v>
      </c>
      <c r="Z676" s="32">
        <v>41584.32</v>
      </c>
      <c r="AA676" s="3">
        <f t="shared" si="10"/>
        <v>39745.449999999997</v>
      </c>
      <c r="AB676" s="3"/>
      <c r="AC676" s="3"/>
      <c r="AF676" s="3"/>
      <c r="AG676" s="3"/>
      <c r="AH676" s="3"/>
    </row>
    <row r="677" spans="1:34" x14ac:dyDescent="0.25">
      <c r="A677">
        <v>7480040</v>
      </c>
      <c r="B677">
        <v>748</v>
      </c>
      <c r="C677" s="2">
        <v>1</v>
      </c>
      <c r="D677" s="2" t="s">
        <v>748</v>
      </c>
      <c r="E677">
        <v>40</v>
      </c>
      <c r="F677" s="2" t="s">
        <v>749</v>
      </c>
      <c r="G677" s="3">
        <v>0</v>
      </c>
      <c r="H677" s="32">
        <v>169</v>
      </c>
      <c r="I677" s="32">
        <v>141</v>
      </c>
      <c r="J677" s="32">
        <v>147</v>
      </c>
      <c r="K677" s="32">
        <v>131</v>
      </c>
      <c r="L677" s="32">
        <v>135</v>
      </c>
      <c r="M677" s="32">
        <v>120</v>
      </c>
      <c r="N677" s="32">
        <v>138</v>
      </c>
      <c r="O677" s="32">
        <v>94</v>
      </c>
      <c r="P677" s="32">
        <v>157</v>
      </c>
      <c r="Q677" s="32">
        <v>128</v>
      </c>
      <c r="R677" s="32">
        <v>125</v>
      </c>
      <c r="S677" s="32">
        <v>105</v>
      </c>
      <c r="T677" s="32">
        <v>136</v>
      </c>
      <c r="U677" s="32">
        <v>133</v>
      </c>
      <c r="V677" s="30">
        <v>0.86917960088691792</v>
      </c>
      <c r="W677" s="30">
        <v>0.77857142857142858</v>
      </c>
      <c r="X677" s="32">
        <v>62651.12</v>
      </c>
      <c r="Y677" s="32">
        <v>54881.119999999995</v>
      </c>
      <c r="Z677" s="32">
        <v>117532.23999999999</v>
      </c>
      <c r="AA677" s="3">
        <f t="shared" si="10"/>
        <v>112334.94</v>
      </c>
      <c r="AB677" s="3"/>
      <c r="AC677" s="3"/>
      <c r="AF677" s="3"/>
      <c r="AG677" s="3"/>
      <c r="AH677" s="3"/>
    </row>
    <row r="678" spans="1:34" x14ac:dyDescent="0.25">
      <c r="A678">
        <v>7480060</v>
      </c>
      <c r="B678">
        <v>748</v>
      </c>
      <c r="C678" s="2">
        <v>1</v>
      </c>
      <c r="D678" s="2" t="s">
        <v>748</v>
      </c>
      <c r="E678">
        <v>60</v>
      </c>
      <c r="F678" s="2" t="s">
        <v>252</v>
      </c>
      <c r="G678" s="3">
        <v>0</v>
      </c>
      <c r="H678" s="32">
        <v>137</v>
      </c>
      <c r="I678" s="32">
        <v>124</v>
      </c>
      <c r="J678" s="32">
        <v>109</v>
      </c>
      <c r="K678" s="32">
        <v>94</v>
      </c>
      <c r="L678" s="32">
        <v>152</v>
      </c>
      <c r="M678" s="32">
        <v>129</v>
      </c>
      <c r="N678" s="32">
        <v>112</v>
      </c>
      <c r="O678" s="32">
        <v>76</v>
      </c>
      <c r="P678" s="32">
        <v>132</v>
      </c>
      <c r="Q678" s="32">
        <v>116</v>
      </c>
      <c r="R678" s="32">
        <v>122</v>
      </c>
      <c r="S678" s="32">
        <v>99</v>
      </c>
      <c r="T678" s="32">
        <v>152</v>
      </c>
      <c r="U678" s="32">
        <v>129</v>
      </c>
      <c r="V678" s="30">
        <v>0.87185929648241201</v>
      </c>
      <c r="W678" s="30">
        <v>0.79508196721311475</v>
      </c>
      <c r="X678" s="32">
        <v>70237.679999999993</v>
      </c>
      <c r="Y678" s="32">
        <v>54359.31</v>
      </c>
      <c r="Z678" s="32">
        <v>124596.98999999999</v>
      </c>
      <c r="AA678" s="3">
        <f t="shared" si="10"/>
        <v>119087.28</v>
      </c>
      <c r="AB678" s="3"/>
      <c r="AC678" s="3"/>
      <c r="AF678" s="3"/>
      <c r="AG678" s="3"/>
      <c r="AH678" s="3"/>
    </row>
    <row r="679" spans="1:34" x14ac:dyDescent="0.25">
      <c r="A679">
        <v>7500010</v>
      </c>
      <c r="B679">
        <v>750</v>
      </c>
      <c r="C679" s="2">
        <v>1</v>
      </c>
      <c r="D679" s="2" t="s">
        <v>750</v>
      </c>
      <c r="E679">
        <v>10</v>
      </c>
      <c r="F679" s="2" t="s">
        <v>751</v>
      </c>
      <c r="G679" s="3">
        <v>0</v>
      </c>
      <c r="H679" s="32">
        <v>23</v>
      </c>
      <c r="I679" s="32">
        <v>22</v>
      </c>
      <c r="J679" s="32">
        <v>24</v>
      </c>
      <c r="K679" s="32">
        <v>19</v>
      </c>
      <c r="L679" s="32">
        <v>26</v>
      </c>
      <c r="M679" s="32">
        <v>22</v>
      </c>
      <c r="N679" s="32">
        <v>25</v>
      </c>
      <c r="O679" s="32">
        <v>16</v>
      </c>
      <c r="P679" s="32">
        <v>25</v>
      </c>
      <c r="Q679" s="32">
        <v>24</v>
      </c>
      <c r="R679" s="32">
        <v>19</v>
      </c>
      <c r="S679" s="32">
        <v>17</v>
      </c>
      <c r="T679" s="32">
        <v>26</v>
      </c>
      <c r="U679" s="32">
        <v>20</v>
      </c>
      <c r="V679" s="30">
        <v>0.86301369863013699</v>
      </c>
      <c r="W679" s="30">
        <v>0.82608695652173914</v>
      </c>
      <c r="X679" s="32">
        <v>11892.4</v>
      </c>
      <c r="Y679" s="32">
        <v>8756.6</v>
      </c>
      <c r="Z679" s="32">
        <v>20649</v>
      </c>
      <c r="AA679" s="3">
        <f t="shared" si="10"/>
        <v>19735.900000000001</v>
      </c>
      <c r="AB679" s="3"/>
      <c r="AC679" s="3"/>
      <c r="AF679" s="3"/>
      <c r="AG679" s="3"/>
      <c r="AH679" s="3"/>
    </row>
    <row r="680" spans="1:34" x14ac:dyDescent="0.25">
      <c r="A680">
        <v>7500020</v>
      </c>
      <c r="B680">
        <v>750</v>
      </c>
      <c r="C680">
        <v>1</v>
      </c>
      <c r="D680" t="s">
        <v>750</v>
      </c>
      <c r="E680">
        <v>20</v>
      </c>
      <c r="F680" t="s">
        <v>752</v>
      </c>
      <c r="G680" s="3">
        <v>0</v>
      </c>
      <c r="H680" s="32">
        <v>22</v>
      </c>
      <c r="I680" s="32">
        <v>18</v>
      </c>
      <c r="J680" s="32">
        <v>24</v>
      </c>
      <c r="K680" s="32">
        <v>19</v>
      </c>
      <c r="L680" s="32">
        <v>22</v>
      </c>
      <c r="M680" s="32">
        <v>20</v>
      </c>
      <c r="N680" s="32">
        <v>27</v>
      </c>
      <c r="O680" s="32">
        <v>23</v>
      </c>
      <c r="P680" s="32">
        <v>22</v>
      </c>
      <c r="Q680" s="32">
        <v>14</v>
      </c>
      <c r="R680" s="32">
        <v>22</v>
      </c>
      <c r="S680" s="32">
        <v>20</v>
      </c>
      <c r="T680" s="32">
        <v>23</v>
      </c>
      <c r="U680" s="32">
        <v>25</v>
      </c>
      <c r="V680" s="30">
        <v>0.83823529411764708</v>
      </c>
      <c r="W680" s="30">
        <v>0.80281690140845074</v>
      </c>
      <c r="X680" s="32">
        <v>10217.98</v>
      </c>
      <c r="Y680" s="32">
        <v>10637.25</v>
      </c>
      <c r="Z680" s="32">
        <v>20855.23</v>
      </c>
      <c r="AA680" s="3">
        <f t="shared" si="10"/>
        <v>19933.009999999998</v>
      </c>
      <c r="AB680" s="3"/>
      <c r="AC680" s="3"/>
      <c r="AF680" s="3"/>
      <c r="AG680" s="3"/>
      <c r="AH680" s="3"/>
    </row>
    <row r="681" spans="1:34" x14ac:dyDescent="0.25">
      <c r="A681">
        <v>7500030</v>
      </c>
      <c r="B681">
        <v>750</v>
      </c>
      <c r="C681" s="2">
        <v>1</v>
      </c>
      <c r="D681" s="2" t="s">
        <v>750</v>
      </c>
      <c r="E681">
        <v>30</v>
      </c>
      <c r="F681" s="2" t="s">
        <v>753</v>
      </c>
      <c r="G681" s="3">
        <v>0</v>
      </c>
      <c r="H681" s="32">
        <v>77</v>
      </c>
      <c r="I681" s="32">
        <v>61</v>
      </c>
      <c r="J681" s="32">
        <v>73</v>
      </c>
      <c r="K681" s="32">
        <v>60</v>
      </c>
      <c r="L681" s="32">
        <v>73</v>
      </c>
      <c r="M681" s="32">
        <v>53</v>
      </c>
      <c r="N681" s="32">
        <v>83</v>
      </c>
      <c r="O681" s="32">
        <v>56</v>
      </c>
      <c r="P681" s="32">
        <v>70</v>
      </c>
      <c r="Q681" s="32">
        <v>52</v>
      </c>
      <c r="R681" s="32">
        <v>70</v>
      </c>
      <c r="S681" s="32">
        <v>61</v>
      </c>
      <c r="T681" s="32">
        <v>76</v>
      </c>
      <c r="U681" s="32">
        <v>74</v>
      </c>
      <c r="V681" s="30">
        <v>0.78026905829596416</v>
      </c>
      <c r="W681" s="30">
        <v>0.75784753363228696</v>
      </c>
      <c r="X681" s="32">
        <v>31429.040000000001</v>
      </c>
      <c r="Y681" s="32">
        <v>29722.84</v>
      </c>
      <c r="Z681" s="32">
        <v>61151.880000000005</v>
      </c>
      <c r="AA681" s="3">
        <f t="shared" si="10"/>
        <v>58447.73</v>
      </c>
      <c r="AB681" s="3"/>
      <c r="AC681" s="3"/>
      <c r="AF681" s="3"/>
      <c r="AG681" s="3"/>
      <c r="AH681" s="3"/>
    </row>
    <row r="682" spans="1:34" x14ac:dyDescent="0.25">
      <c r="A682">
        <v>7560010</v>
      </c>
      <c r="B682">
        <v>756</v>
      </c>
      <c r="C682" s="2">
        <v>1</v>
      </c>
      <c r="D682" s="2" t="s">
        <v>754</v>
      </c>
      <c r="E682">
        <v>10</v>
      </c>
      <c r="F682" s="2" t="s">
        <v>755</v>
      </c>
      <c r="G682" s="3">
        <v>0</v>
      </c>
      <c r="H682" s="32">
        <v>43</v>
      </c>
      <c r="I682" s="32">
        <v>30</v>
      </c>
      <c r="J682" s="32">
        <v>46</v>
      </c>
      <c r="K682" s="32">
        <v>37</v>
      </c>
      <c r="L682" s="32">
        <v>56</v>
      </c>
      <c r="M682" s="32">
        <v>46</v>
      </c>
      <c r="N682" s="32">
        <v>52</v>
      </c>
      <c r="O682" s="32">
        <v>38</v>
      </c>
      <c r="P682" s="32">
        <v>41</v>
      </c>
      <c r="Q682" s="32">
        <v>35</v>
      </c>
      <c r="R682" s="32">
        <v>47</v>
      </c>
      <c r="S682" s="32">
        <v>35</v>
      </c>
      <c r="T682" s="32">
        <v>55</v>
      </c>
      <c r="U682" s="32">
        <v>49</v>
      </c>
      <c r="V682" s="30">
        <v>0.77931034482758621</v>
      </c>
      <c r="W682" s="30">
        <v>0.77142857142857146</v>
      </c>
      <c r="X682" s="32">
        <v>22716.649999999998</v>
      </c>
      <c r="Y682" s="32">
        <v>20034.14</v>
      </c>
      <c r="Z682" s="32">
        <v>42750.789999999994</v>
      </c>
      <c r="AA682" s="3">
        <f t="shared" si="10"/>
        <v>40860.339999999997</v>
      </c>
      <c r="AB682" s="3"/>
      <c r="AC682" s="3"/>
      <c r="AF682" s="3"/>
      <c r="AG682" s="3"/>
      <c r="AH682" s="3"/>
    </row>
    <row r="683" spans="1:34" x14ac:dyDescent="0.25">
      <c r="A683">
        <v>7610901</v>
      </c>
      <c r="B683">
        <v>761</v>
      </c>
      <c r="C683">
        <v>1</v>
      </c>
      <c r="D683" t="s">
        <v>756</v>
      </c>
      <c r="E683">
        <v>901</v>
      </c>
      <c r="F683" t="s">
        <v>60</v>
      </c>
      <c r="G683" s="3">
        <v>0</v>
      </c>
      <c r="H683" s="32">
        <v>88</v>
      </c>
      <c r="I683" s="32">
        <v>70</v>
      </c>
      <c r="J683" s="32">
        <v>75</v>
      </c>
      <c r="K683" s="32">
        <v>69</v>
      </c>
      <c r="L683" s="32">
        <v>98</v>
      </c>
      <c r="M683" s="32">
        <v>86</v>
      </c>
      <c r="N683" s="32">
        <v>103</v>
      </c>
      <c r="O683" s="32">
        <v>79</v>
      </c>
      <c r="P683" s="32">
        <v>87</v>
      </c>
      <c r="Q683" s="32">
        <v>66</v>
      </c>
      <c r="R683" s="32">
        <v>77</v>
      </c>
      <c r="S683" s="32">
        <v>56</v>
      </c>
      <c r="T683" s="32">
        <v>96</v>
      </c>
      <c r="U683" s="32">
        <v>82</v>
      </c>
      <c r="V683" s="30">
        <v>0.86206896551724133</v>
      </c>
      <c r="W683" s="30">
        <v>0.7528089887640449</v>
      </c>
      <c r="X683" s="32">
        <v>43862.399999999994</v>
      </c>
      <c r="Y683" s="32">
        <v>32717.18</v>
      </c>
      <c r="Z683" s="32">
        <v>76579.579999999987</v>
      </c>
      <c r="AA683" s="3">
        <f t="shared" si="10"/>
        <v>73193.210000000006</v>
      </c>
      <c r="AB683" s="3"/>
      <c r="AC683" s="3"/>
      <c r="AF683" s="3"/>
      <c r="AG683" s="3"/>
      <c r="AH683" s="3"/>
    </row>
    <row r="684" spans="1:34" x14ac:dyDescent="0.25">
      <c r="A684">
        <v>7610902</v>
      </c>
      <c r="B684">
        <v>761</v>
      </c>
      <c r="C684" s="2">
        <v>1</v>
      </c>
      <c r="D684" s="2" t="s">
        <v>756</v>
      </c>
      <c r="E684">
        <v>902</v>
      </c>
      <c r="F684" s="2" t="s">
        <v>63</v>
      </c>
      <c r="G684" s="3">
        <v>0</v>
      </c>
      <c r="H684" s="32">
        <v>89</v>
      </c>
      <c r="I684" s="32">
        <v>69</v>
      </c>
      <c r="J684" s="32">
        <v>63</v>
      </c>
      <c r="K684" s="32">
        <v>48</v>
      </c>
      <c r="L684" s="32">
        <v>78</v>
      </c>
      <c r="M684" s="32">
        <v>57</v>
      </c>
      <c r="N684" s="32">
        <v>73</v>
      </c>
      <c r="O684" s="32">
        <v>43</v>
      </c>
      <c r="P684" s="32">
        <v>81</v>
      </c>
      <c r="Q684" s="32">
        <v>68</v>
      </c>
      <c r="R684" s="32">
        <v>62</v>
      </c>
      <c r="S684" s="32">
        <v>48</v>
      </c>
      <c r="T684" s="32">
        <v>77</v>
      </c>
      <c r="U684" s="32">
        <v>74</v>
      </c>
      <c r="V684" s="30">
        <v>0.75652173913043474</v>
      </c>
      <c r="W684" s="30">
        <v>0.73611111111111116</v>
      </c>
      <c r="X684" s="32">
        <v>30873.919999999998</v>
      </c>
      <c r="Y684" s="32">
        <v>28870.36</v>
      </c>
      <c r="Z684" s="32">
        <v>59744.28</v>
      </c>
      <c r="AA684" s="3">
        <f t="shared" si="10"/>
        <v>57102.37</v>
      </c>
      <c r="AB684" s="3"/>
      <c r="AC684" s="3"/>
      <c r="AF684" s="3"/>
      <c r="AG684" s="3"/>
      <c r="AH684" s="3"/>
    </row>
    <row r="685" spans="1:34" x14ac:dyDescent="0.25">
      <c r="A685">
        <v>7610904</v>
      </c>
      <c r="B685">
        <v>761</v>
      </c>
      <c r="C685" s="2">
        <v>1</v>
      </c>
      <c r="D685" s="2" t="s">
        <v>756</v>
      </c>
      <c r="E685">
        <v>904</v>
      </c>
      <c r="F685" s="2" t="s">
        <v>71</v>
      </c>
      <c r="G685" s="3">
        <v>0</v>
      </c>
      <c r="H685" s="32">
        <v>92</v>
      </c>
      <c r="I685" s="32">
        <v>78</v>
      </c>
      <c r="J685" s="32">
        <v>75</v>
      </c>
      <c r="K685" s="32">
        <v>61</v>
      </c>
      <c r="L685" s="32">
        <v>96</v>
      </c>
      <c r="M685" s="32">
        <v>86</v>
      </c>
      <c r="N685" s="32">
        <v>89</v>
      </c>
      <c r="O685" s="32">
        <v>68</v>
      </c>
      <c r="P685" s="32">
        <v>87</v>
      </c>
      <c r="Q685" s="32">
        <v>61</v>
      </c>
      <c r="R685" s="32">
        <v>70</v>
      </c>
      <c r="S685" s="32">
        <v>56</v>
      </c>
      <c r="T685" s="32">
        <v>93</v>
      </c>
      <c r="U685" s="32">
        <v>78</v>
      </c>
      <c r="V685" s="30">
        <v>0.85551330798479086</v>
      </c>
      <c r="W685" s="30">
        <v>0.75203252032520329</v>
      </c>
      <c r="X685" s="32">
        <v>42168.060000000005</v>
      </c>
      <c r="Y685" s="32">
        <v>31089.239999999998</v>
      </c>
      <c r="Z685" s="32">
        <v>73257.3</v>
      </c>
      <c r="AA685" s="3">
        <f t="shared" si="10"/>
        <v>70017.84</v>
      </c>
      <c r="AB685" s="3"/>
      <c r="AC685" s="3"/>
      <c r="AF685" s="3"/>
      <c r="AG685" s="3"/>
      <c r="AH685" s="3"/>
    </row>
    <row r="686" spans="1:34" x14ac:dyDescent="0.25">
      <c r="A686">
        <v>7610905</v>
      </c>
      <c r="B686">
        <v>761</v>
      </c>
      <c r="C686">
        <v>1</v>
      </c>
      <c r="D686" t="s">
        <v>756</v>
      </c>
      <c r="E686">
        <v>905</v>
      </c>
      <c r="F686" t="s">
        <v>72</v>
      </c>
      <c r="G686" s="3">
        <v>0</v>
      </c>
      <c r="H686" s="32">
        <v>80</v>
      </c>
      <c r="I686" s="32">
        <v>47</v>
      </c>
      <c r="J686" s="32">
        <v>74</v>
      </c>
      <c r="K686" s="32">
        <v>44</v>
      </c>
      <c r="L686" s="32">
        <v>78</v>
      </c>
      <c r="M686" s="32">
        <v>56</v>
      </c>
      <c r="N686" s="32">
        <v>78</v>
      </c>
      <c r="O686" s="32">
        <v>57</v>
      </c>
      <c r="P686" s="32">
        <v>76</v>
      </c>
      <c r="Q686" s="32">
        <v>56</v>
      </c>
      <c r="R686" s="32">
        <v>68</v>
      </c>
      <c r="S686" s="32">
        <v>54</v>
      </c>
      <c r="T686" s="32">
        <v>77</v>
      </c>
      <c r="U686" s="32">
        <v>78</v>
      </c>
      <c r="V686" s="30">
        <v>0.63362068965517238</v>
      </c>
      <c r="W686" s="30">
        <v>0.75225225225225223</v>
      </c>
      <c r="X686" s="32">
        <v>25858.14</v>
      </c>
      <c r="Y686" s="32">
        <v>31097.82</v>
      </c>
      <c r="Z686" s="32">
        <v>56955.96</v>
      </c>
      <c r="AA686" s="3">
        <f t="shared" si="10"/>
        <v>54437.35</v>
      </c>
      <c r="AB686" s="3"/>
      <c r="AC686" s="3"/>
      <c r="AF686" s="3"/>
      <c r="AG686" s="3"/>
      <c r="AH686" s="3"/>
    </row>
    <row r="687" spans="1:34" x14ac:dyDescent="0.25">
      <c r="A687">
        <v>7630010</v>
      </c>
      <c r="B687">
        <v>763</v>
      </c>
      <c r="C687" s="2">
        <v>1</v>
      </c>
      <c r="D687" s="2" t="s">
        <v>757</v>
      </c>
      <c r="E687">
        <v>10</v>
      </c>
      <c r="F687" s="2" t="s">
        <v>758</v>
      </c>
      <c r="G687" s="3">
        <v>0</v>
      </c>
      <c r="H687" s="32">
        <v>58</v>
      </c>
      <c r="I687" s="32">
        <v>46</v>
      </c>
      <c r="J687" s="32">
        <v>69</v>
      </c>
      <c r="K687" s="32">
        <v>50</v>
      </c>
      <c r="L687" s="32">
        <v>73</v>
      </c>
      <c r="M687" s="32">
        <v>54</v>
      </c>
      <c r="N687" s="32">
        <v>66</v>
      </c>
      <c r="O687" s="32">
        <v>51</v>
      </c>
      <c r="P687" s="32">
        <v>60</v>
      </c>
      <c r="Q687" s="32">
        <v>50</v>
      </c>
      <c r="R687" s="32">
        <v>67</v>
      </c>
      <c r="S687" s="32">
        <v>63</v>
      </c>
      <c r="T687" s="32">
        <v>71</v>
      </c>
      <c r="U687" s="32">
        <v>70</v>
      </c>
      <c r="V687" s="30">
        <v>0.75</v>
      </c>
      <c r="W687" s="30">
        <v>0.84974093264248707</v>
      </c>
      <c r="X687" s="32">
        <v>28222.5</v>
      </c>
      <c r="Y687" s="32">
        <v>31525.200000000001</v>
      </c>
      <c r="Z687" s="32">
        <v>59747.7</v>
      </c>
      <c r="AA687" s="3">
        <f t="shared" si="10"/>
        <v>57105.64</v>
      </c>
      <c r="AB687" s="3"/>
      <c r="AC687" s="3"/>
      <c r="AF687" s="3"/>
      <c r="AG687" s="3"/>
      <c r="AH687" s="3"/>
    </row>
    <row r="688" spans="1:34" x14ac:dyDescent="0.25">
      <c r="A688">
        <v>7680010</v>
      </c>
      <c r="B688">
        <v>768</v>
      </c>
      <c r="C688" s="2">
        <v>1</v>
      </c>
      <c r="D688" s="2" t="s">
        <v>759</v>
      </c>
      <c r="E688">
        <v>10</v>
      </c>
      <c r="F688" s="2" t="s">
        <v>760</v>
      </c>
      <c r="G688" s="3">
        <v>0</v>
      </c>
      <c r="H688" s="32">
        <v>17</v>
      </c>
      <c r="I688" s="32">
        <v>14</v>
      </c>
      <c r="J688" s="32">
        <v>22</v>
      </c>
      <c r="K688" s="32">
        <v>21</v>
      </c>
      <c r="L688" s="32">
        <v>24</v>
      </c>
      <c r="M688" s="32">
        <v>19</v>
      </c>
      <c r="N688" s="32">
        <v>19</v>
      </c>
      <c r="O688" s="32">
        <v>16</v>
      </c>
      <c r="P688" s="32">
        <v>18</v>
      </c>
      <c r="Q688" s="32">
        <v>13</v>
      </c>
      <c r="R688" s="32">
        <v>21</v>
      </c>
      <c r="S688" s="32">
        <v>14</v>
      </c>
      <c r="T688" s="32">
        <v>24</v>
      </c>
      <c r="U688" s="32">
        <v>22</v>
      </c>
      <c r="V688" s="30">
        <v>0.8571428571428571</v>
      </c>
      <c r="W688" s="30">
        <v>0.74137931034482762</v>
      </c>
      <c r="X688" s="32">
        <v>10902.960000000001</v>
      </c>
      <c r="Y688" s="32">
        <v>8644.4600000000009</v>
      </c>
      <c r="Z688" s="32">
        <v>19547.420000000002</v>
      </c>
      <c r="AA688" s="3">
        <f t="shared" si="10"/>
        <v>18683.03</v>
      </c>
      <c r="AB688" s="3"/>
      <c r="AC688" s="3"/>
      <c r="AF688" s="3"/>
      <c r="AG688" s="3"/>
      <c r="AH688" s="3"/>
    </row>
    <row r="689" spans="1:34" x14ac:dyDescent="0.25">
      <c r="A689">
        <v>7690030</v>
      </c>
      <c r="B689">
        <v>769</v>
      </c>
      <c r="C689" s="2">
        <v>1</v>
      </c>
      <c r="D689" s="2" t="s">
        <v>761</v>
      </c>
      <c r="E689">
        <v>30</v>
      </c>
      <c r="F689" s="2" t="s">
        <v>762</v>
      </c>
      <c r="G689" s="3">
        <v>0</v>
      </c>
      <c r="H689" s="32">
        <v>64</v>
      </c>
      <c r="I689" s="32">
        <v>52</v>
      </c>
      <c r="J689" s="32">
        <v>69</v>
      </c>
      <c r="K689" s="32">
        <v>62</v>
      </c>
      <c r="L689" s="32">
        <v>69</v>
      </c>
      <c r="M689" s="32">
        <v>65</v>
      </c>
      <c r="N689" s="32">
        <v>46</v>
      </c>
      <c r="O689" s="32">
        <v>29</v>
      </c>
      <c r="P689" s="32">
        <v>56</v>
      </c>
      <c r="Q689" s="32">
        <v>44</v>
      </c>
      <c r="R689" s="32">
        <v>65</v>
      </c>
      <c r="S689" s="32">
        <v>58</v>
      </c>
      <c r="T689" s="32">
        <v>68</v>
      </c>
      <c r="U689" s="32">
        <v>72</v>
      </c>
      <c r="V689" s="30">
        <v>0.88613861386138615</v>
      </c>
      <c r="W689" s="30">
        <v>0.78443113772455086</v>
      </c>
      <c r="X689" s="32">
        <v>31936.199999999997</v>
      </c>
      <c r="Y689" s="32">
        <v>29934</v>
      </c>
      <c r="Z689" s="32">
        <v>61870.2</v>
      </c>
      <c r="AA689" s="3">
        <f t="shared" si="10"/>
        <v>59134.28</v>
      </c>
      <c r="AB689" s="3"/>
      <c r="AC689" s="3"/>
      <c r="AF689" s="3"/>
      <c r="AG689" s="3"/>
      <c r="AH689" s="3"/>
    </row>
    <row r="690" spans="1:34" x14ac:dyDescent="0.25">
      <c r="A690">
        <v>7710003</v>
      </c>
      <c r="B690">
        <v>771</v>
      </c>
      <c r="C690" s="2">
        <v>1</v>
      </c>
      <c r="D690" s="2" t="s">
        <v>1235</v>
      </c>
      <c r="E690">
        <v>3</v>
      </c>
      <c r="F690" s="2" t="s">
        <v>1236</v>
      </c>
      <c r="G690" s="3">
        <v>1</v>
      </c>
      <c r="H690" s="32" t="s">
        <v>1328</v>
      </c>
      <c r="I690" s="32" t="s">
        <v>1328</v>
      </c>
      <c r="J690" s="32" t="s">
        <v>1328</v>
      </c>
      <c r="K690" s="32" t="s">
        <v>1328</v>
      </c>
      <c r="L690" s="32" t="s">
        <v>1328</v>
      </c>
      <c r="M690" s="32" t="s">
        <v>1328</v>
      </c>
      <c r="N690" s="32" t="s">
        <v>1328</v>
      </c>
      <c r="O690" s="32" t="s">
        <v>1328</v>
      </c>
      <c r="P690" s="32" t="s">
        <v>1328</v>
      </c>
      <c r="Q690" s="32" t="s">
        <v>1328</v>
      </c>
      <c r="R690" s="32" t="s">
        <v>1328</v>
      </c>
      <c r="S690" s="32" t="s">
        <v>1328</v>
      </c>
      <c r="T690" s="32">
        <v>9</v>
      </c>
      <c r="U690" s="32">
        <v>11</v>
      </c>
      <c r="V690" s="30" t="s">
        <v>1328</v>
      </c>
      <c r="W690" s="30" t="s">
        <v>1328</v>
      </c>
      <c r="X690" s="32" t="s">
        <v>1328</v>
      </c>
      <c r="Y690" s="32" t="s">
        <v>1328</v>
      </c>
      <c r="Z690" s="32">
        <v>7566.79</v>
      </c>
      <c r="AA690" s="3">
        <f t="shared" si="10"/>
        <v>7232.18</v>
      </c>
      <c r="AB690" s="3"/>
      <c r="AC690" s="3"/>
      <c r="AF690" s="3"/>
      <c r="AG690" s="3"/>
      <c r="AH690" s="3"/>
    </row>
    <row r="691" spans="1:34" x14ac:dyDescent="0.25">
      <c r="A691">
        <v>7750030</v>
      </c>
      <c r="B691">
        <v>775</v>
      </c>
      <c r="C691" s="2">
        <v>1</v>
      </c>
      <c r="D691" s="2" t="s">
        <v>763</v>
      </c>
      <c r="E691">
        <v>30</v>
      </c>
      <c r="F691" s="2" t="s">
        <v>764</v>
      </c>
      <c r="G691" s="3">
        <v>0</v>
      </c>
      <c r="H691" s="32">
        <v>42</v>
      </c>
      <c r="I691" s="32">
        <v>34</v>
      </c>
      <c r="J691" s="32">
        <v>32</v>
      </c>
      <c r="K691" s="32">
        <v>29</v>
      </c>
      <c r="L691" s="32">
        <v>44</v>
      </c>
      <c r="M691" s="32">
        <v>36</v>
      </c>
      <c r="N691" s="32">
        <v>25</v>
      </c>
      <c r="O691" s="32">
        <v>19</v>
      </c>
      <c r="P691" s="32">
        <v>40</v>
      </c>
      <c r="Q691" s="32">
        <v>34</v>
      </c>
      <c r="R691" s="32">
        <v>31</v>
      </c>
      <c r="S691" s="32">
        <v>28</v>
      </c>
      <c r="T691" s="32">
        <v>45</v>
      </c>
      <c r="U691" s="32">
        <v>35</v>
      </c>
      <c r="V691" s="30">
        <v>0.83898305084745761</v>
      </c>
      <c r="W691" s="30">
        <v>0.84375</v>
      </c>
      <c r="X691" s="32">
        <v>20009.7</v>
      </c>
      <c r="Y691" s="32">
        <v>15651.65</v>
      </c>
      <c r="Z691" s="32">
        <v>35661.35</v>
      </c>
      <c r="AA691" s="3">
        <f t="shared" si="10"/>
        <v>34084.400000000001</v>
      </c>
      <c r="AB691" s="3"/>
      <c r="AC691" s="3"/>
      <c r="AF691" s="3"/>
      <c r="AG691" s="3"/>
      <c r="AH691" s="3"/>
    </row>
    <row r="692" spans="1:34" x14ac:dyDescent="0.25">
      <c r="A692">
        <v>7770103</v>
      </c>
      <c r="B692">
        <v>777</v>
      </c>
      <c r="C692" s="2">
        <v>1</v>
      </c>
      <c r="D692" s="2" t="s">
        <v>765</v>
      </c>
      <c r="E692">
        <v>103</v>
      </c>
      <c r="F692" s="2" t="s">
        <v>766</v>
      </c>
      <c r="G692" s="3">
        <v>0</v>
      </c>
      <c r="H692" s="32">
        <v>53</v>
      </c>
      <c r="I692" s="32">
        <v>48</v>
      </c>
      <c r="J692" s="32">
        <v>59</v>
      </c>
      <c r="K692" s="32">
        <v>55</v>
      </c>
      <c r="L692" s="32">
        <v>77</v>
      </c>
      <c r="M692" s="32">
        <v>63</v>
      </c>
      <c r="N692" s="32">
        <v>57</v>
      </c>
      <c r="O692" s="32">
        <v>44</v>
      </c>
      <c r="P692" s="32">
        <v>51</v>
      </c>
      <c r="Q692" s="32">
        <v>39</v>
      </c>
      <c r="R692" s="32">
        <v>56</v>
      </c>
      <c r="S692" s="32">
        <v>44</v>
      </c>
      <c r="T692" s="32">
        <v>79</v>
      </c>
      <c r="U692" s="32">
        <v>60</v>
      </c>
      <c r="V692" s="30">
        <v>0.87830687830687826</v>
      </c>
      <c r="W692" s="30">
        <v>0.77439024390243905</v>
      </c>
      <c r="X692" s="32">
        <v>36774.5</v>
      </c>
      <c r="Y692" s="32">
        <v>24625.8</v>
      </c>
      <c r="Z692" s="32">
        <v>61400.3</v>
      </c>
      <c r="AA692" s="3">
        <f t="shared" si="10"/>
        <v>58685.16</v>
      </c>
      <c r="AB692" s="3"/>
      <c r="AC692" s="3"/>
      <c r="AF692" s="3"/>
      <c r="AG692" s="3"/>
      <c r="AH692" s="3"/>
    </row>
    <row r="693" spans="1:34" x14ac:dyDescent="0.25">
      <c r="A693">
        <v>7770112</v>
      </c>
      <c r="B693">
        <v>777</v>
      </c>
      <c r="C693" s="2">
        <v>1</v>
      </c>
      <c r="D693" s="2" t="s">
        <v>1237</v>
      </c>
      <c r="E693">
        <v>112</v>
      </c>
      <c r="F693" s="2" t="s">
        <v>1238</v>
      </c>
      <c r="G693" s="3">
        <v>1</v>
      </c>
      <c r="H693" s="32" t="s">
        <v>1328</v>
      </c>
      <c r="I693" s="32" t="s">
        <v>1328</v>
      </c>
      <c r="J693" s="32" t="s">
        <v>1328</v>
      </c>
      <c r="K693" s="32" t="s">
        <v>1328</v>
      </c>
      <c r="L693" s="32" t="s">
        <v>1328</v>
      </c>
      <c r="M693" s="32" t="s">
        <v>1328</v>
      </c>
      <c r="N693" s="32" t="s">
        <v>1328</v>
      </c>
      <c r="O693" s="32" t="s">
        <v>1328</v>
      </c>
      <c r="P693" s="32" t="s">
        <v>1328</v>
      </c>
      <c r="Q693" s="32" t="s">
        <v>1328</v>
      </c>
      <c r="R693" s="32" t="s">
        <v>1328</v>
      </c>
      <c r="S693" s="32" t="s">
        <v>1328</v>
      </c>
      <c r="T693" s="32">
        <v>0</v>
      </c>
      <c r="U693" s="32">
        <v>1</v>
      </c>
      <c r="V693" s="30" t="s">
        <v>1328</v>
      </c>
      <c r="W693" s="30" t="s">
        <v>1328</v>
      </c>
      <c r="X693" s="32" t="s">
        <v>1328</v>
      </c>
      <c r="Y693" s="32" t="s">
        <v>1328</v>
      </c>
      <c r="Z693" s="32">
        <v>0</v>
      </c>
      <c r="AA693" s="3">
        <f t="shared" si="10"/>
        <v>0</v>
      </c>
      <c r="AB693" s="3"/>
      <c r="AC693" s="3"/>
      <c r="AF693" s="3"/>
      <c r="AG693" s="3"/>
      <c r="AH693" s="3"/>
    </row>
    <row r="694" spans="1:34" x14ac:dyDescent="0.25">
      <c r="A694" s="7">
        <v>7860010</v>
      </c>
      <c r="B694" s="7">
        <v>786</v>
      </c>
      <c r="C694" s="7">
        <v>1</v>
      </c>
      <c r="D694" s="7" t="s">
        <v>767</v>
      </c>
      <c r="E694" s="7">
        <v>10</v>
      </c>
      <c r="F694" s="7" t="s">
        <v>768</v>
      </c>
      <c r="G694" s="3">
        <v>0</v>
      </c>
      <c r="H694" s="32">
        <v>23</v>
      </c>
      <c r="I694" s="32">
        <v>20</v>
      </c>
      <c r="J694" s="32">
        <v>23</v>
      </c>
      <c r="K694" s="32">
        <v>17</v>
      </c>
      <c r="L694" s="32">
        <v>23</v>
      </c>
      <c r="M694" s="32">
        <v>19</v>
      </c>
      <c r="N694" s="32">
        <v>25</v>
      </c>
      <c r="O694" s="32">
        <v>15</v>
      </c>
      <c r="P694" s="32">
        <v>24</v>
      </c>
      <c r="Q694" s="32">
        <v>18</v>
      </c>
      <c r="R694" s="32">
        <v>23</v>
      </c>
      <c r="S694" s="32">
        <v>15</v>
      </c>
      <c r="T694" s="32">
        <v>27</v>
      </c>
      <c r="U694" s="32">
        <v>24</v>
      </c>
      <c r="V694" s="30">
        <v>0.81159420289855078</v>
      </c>
      <c r="W694" s="30">
        <v>0.66666666666666663</v>
      </c>
      <c r="X694" s="32">
        <v>11613.779999999999</v>
      </c>
      <c r="Y694" s="32">
        <v>8479.92</v>
      </c>
      <c r="Z694" s="32">
        <v>20093.699999999997</v>
      </c>
      <c r="AA694" s="3">
        <f t="shared" si="10"/>
        <v>19205.150000000001</v>
      </c>
      <c r="AB694" s="3"/>
      <c r="AC694" s="3"/>
      <c r="AF694" s="3"/>
      <c r="AG694" s="3"/>
      <c r="AH694" s="3"/>
    </row>
    <row r="695" spans="1:34" x14ac:dyDescent="0.25">
      <c r="A695">
        <v>7870010</v>
      </c>
      <c r="B695">
        <v>787</v>
      </c>
      <c r="C695" s="2">
        <v>1</v>
      </c>
      <c r="D695" s="2" t="s">
        <v>769</v>
      </c>
      <c r="E695">
        <v>10</v>
      </c>
      <c r="F695" s="2" t="s">
        <v>770</v>
      </c>
      <c r="G695" s="3">
        <v>0</v>
      </c>
      <c r="H695" s="32">
        <v>29</v>
      </c>
      <c r="I695" s="32">
        <v>24</v>
      </c>
      <c r="J695" s="32">
        <v>28</v>
      </c>
      <c r="K695" s="32">
        <v>20</v>
      </c>
      <c r="L695" s="32">
        <v>26</v>
      </c>
      <c r="M695" s="32">
        <v>23</v>
      </c>
      <c r="N695" s="32">
        <v>29</v>
      </c>
      <c r="O695" s="32">
        <v>20</v>
      </c>
      <c r="P695" s="32">
        <v>30</v>
      </c>
      <c r="Q695" s="32">
        <v>23</v>
      </c>
      <c r="R695" s="32">
        <v>27</v>
      </c>
      <c r="S695" s="32">
        <v>19</v>
      </c>
      <c r="T695" s="32">
        <v>26</v>
      </c>
      <c r="U695" s="32">
        <v>29</v>
      </c>
      <c r="V695" s="30">
        <v>0.80722891566265065</v>
      </c>
      <c r="W695" s="30">
        <v>0.72093023255813948</v>
      </c>
      <c r="X695" s="32">
        <v>11123.58</v>
      </c>
      <c r="Y695" s="32">
        <v>11080.609999999999</v>
      </c>
      <c r="Z695" s="32">
        <v>22204.19</v>
      </c>
      <c r="AA695" s="3">
        <f t="shared" si="10"/>
        <v>21222.32</v>
      </c>
      <c r="AB695" s="3"/>
      <c r="AC695" s="3"/>
      <c r="AF695" s="3"/>
      <c r="AG695" s="3"/>
      <c r="AH695" s="3"/>
    </row>
    <row r="696" spans="1:34" x14ac:dyDescent="0.25">
      <c r="A696">
        <v>8010010</v>
      </c>
      <c r="B696">
        <v>801</v>
      </c>
      <c r="C696" s="2">
        <v>1</v>
      </c>
      <c r="D696" s="2" t="s">
        <v>1239</v>
      </c>
      <c r="E696">
        <v>10</v>
      </c>
      <c r="F696" s="2" t="s">
        <v>1240</v>
      </c>
      <c r="G696" s="3">
        <v>1</v>
      </c>
      <c r="H696" s="32" t="s">
        <v>1328</v>
      </c>
      <c r="I696" s="32" t="s">
        <v>1328</v>
      </c>
      <c r="J696" s="32" t="s">
        <v>1328</v>
      </c>
      <c r="K696" s="32" t="s">
        <v>1328</v>
      </c>
      <c r="L696" s="32" t="s">
        <v>1328</v>
      </c>
      <c r="M696" s="32" t="s">
        <v>1328</v>
      </c>
      <c r="N696" s="32" t="s">
        <v>1328</v>
      </c>
      <c r="O696" s="32" t="s">
        <v>1328</v>
      </c>
      <c r="P696" s="32" t="s">
        <v>1328</v>
      </c>
      <c r="Q696" s="32" t="s">
        <v>1328</v>
      </c>
      <c r="R696" s="32" t="s">
        <v>1328</v>
      </c>
      <c r="S696" s="32" t="s">
        <v>1328</v>
      </c>
      <c r="T696" s="32">
        <v>16</v>
      </c>
      <c r="U696" s="32">
        <v>12</v>
      </c>
      <c r="V696" s="30" t="s">
        <v>1328</v>
      </c>
      <c r="W696" s="30" t="s">
        <v>1328</v>
      </c>
      <c r="X696" s="32" t="s">
        <v>1328</v>
      </c>
      <c r="Y696" s="32" t="s">
        <v>1328</v>
      </c>
      <c r="Z696" s="32">
        <v>11068.08</v>
      </c>
      <c r="AA696" s="3">
        <f t="shared" si="10"/>
        <v>10578.65</v>
      </c>
      <c r="AB696" s="3"/>
      <c r="AC696" s="3"/>
      <c r="AF696" s="3"/>
      <c r="AG696" s="3"/>
      <c r="AH696" s="3"/>
    </row>
    <row r="697" spans="1:34" x14ac:dyDescent="0.25">
      <c r="A697">
        <v>8030001</v>
      </c>
      <c r="B697">
        <v>803</v>
      </c>
      <c r="C697" s="2">
        <v>1</v>
      </c>
      <c r="D697" s="2" t="s">
        <v>771</v>
      </c>
      <c r="E697">
        <v>1</v>
      </c>
      <c r="F697" s="2" t="s">
        <v>711</v>
      </c>
      <c r="G697" s="3">
        <v>0</v>
      </c>
      <c r="H697" s="32">
        <v>28</v>
      </c>
      <c r="I697" s="32">
        <v>21</v>
      </c>
      <c r="J697" s="32">
        <v>27</v>
      </c>
      <c r="K697" s="32">
        <v>25</v>
      </c>
      <c r="L697" s="32">
        <v>30</v>
      </c>
      <c r="M697" s="32">
        <v>27</v>
      </c>
      <c r="N697" s="32">
        <v>26</v>
      </c>
      <c r="O697" s="32">
        <v>19</v>
      </c>
      <c r="P697" s="32">
        <v>27</v>
      </c>
      <c r="Q697" s="32">
        <v>22</v>
      </c>
      <c r="R697" s="32">
        <v>24</v>
      </c>
      <c r="S697" s="32">
        <v>22</v>
      </c>
      <c r="T697" s="32">
        <v>29</v>
      </c>
      <c r="U697" s="32">
        <v>24</v>
      </c>
      <c r="V697" s="30">
        <v>0.85882352941176465</v>
      </c>
      <c r="W697" s="30">
        <v>0.81818181818181823</v>
      </c>
      <c r="X697" s="32">
        <v>13200.22</v>
      </c>
      <c r="Y697" s="32">
        <v>10407.36</v>
      </c>
      <c r="Z697" s="32">
        <v>23607.58</v>
      </c>
      <c r="AA697" s="3">
        <f t="shared" si="10"/>
        <v>22563.65</v>
      </c>
      <c r="AB697" s="3"/>
      <c r="AC697" s="3"/>
      <c r="AF697" s="3"/>
      <c r="AG697" s="3"/>
      <c r="AH697" s="3"/>
    </row>
    <row r="698" spans="1:34" x14ac:dyDescent="0.25">
      <c r="A698">
        <v>8110030</v>
      </c>
      <c r="B698">
        <v>811</v>
      </c>
      <c r="C698" s="2">
        <v>1</v>
      </c>
      <c r="D698" s="2" t="s">
        <v>772</v>
      </c>
      <c r="E698">
        <v>30</v>
      </c>
      <c r="F698" s="2" t="s">
        <v>773</v>
      </c>
      <c r="G698" s="3">
        <v>0</v>
      </c>
      <c r="H698" s="32">
        <v>29</v>
      </c>
      <c r="I698" s="32">
        <v>27</v>
      </c>
      <c r="J698" s="32">
        <v>44</v>
      </c>
      <c r="K698" s="32">
        <v>40</v>
      </c>
      <c r="L698" s="32">
        <v>34</v>
      </c>
      <c r="M698" s="32">
        <v>29</v>
      </c>
      <c r="N698" s="32">
        <v>43</v>
      </c>
      <c r="O698" s="32">
        <v>38</v>
      </c>
      <c r="P698" s="32">
        <v>26</v>
      </c>
      <c r="Q698" s="32">
        <v>22</v>
      </c>
      <c r="R698" s="32">
        <v>42</v>
      </c>
      <c r="S698" s="32">
        <v>31</v>
      </c>
      <c r="T698" s="32">
        <v>34</v>
      </c>
      <c r="U698" s="32">
        <v>45</v>
      </c>
      <c r="V698" s="30">
        <v>0.89719626168224298</v>
      </c>
      <c r="W698" s="30">
        <v>0.81981981981981977</v>
      </c>
      <c r="X698" s="32">
        <v>16167.34</v>
      </c>
      <c r="Y698" s="32">
        <v>19552.5</v>
      </c>
      <c r="Z698" s="32">
        <v>35719.839999999997</v>
      </c>
      <c r="AA698" s="3">
        <f t="shared" si="10"/>
        <v>34140.300000000003</v>
      </c>
      <c r="AB698" s="3"/>
      <c r="AC698" s="3"/>
      <c r="AF698" s="3"/>
      <c r="AG698" s="3"/>
      <c r="AH698" s="3"/>
    </row>
    <row r="699" spans="1:34" x14ac:dyDescent="0.25">
      <c r="A699">
        <v>8130010</v>
      </c>
      <c r="B699">
        <v>813</v>
      </c>
      <c r="C699" s="2">
        <v>1</v>
      </c>
      <c r="D699" s="2" t="s">
        <v>774</v>
      </c>
      <c r="E699">
        <v>10</v>
      </c>
      <c r="F699" s="2" t="s">
        <v>775</v>
      </c>
      <c r="G699" s="3">
        <v>0</v>
      </c>
      <c r="H699" s="32">
        <v>103</v>
      </c>
      <c r="I699" s="32">
        <v>85</v>
      </c>
      <c r="J699" s="32">
        <v>104</v>
      </c>
      <c r="K699" s="32">
        <v>91</v>
      </c>
      <c r="L699" s="32">
        <v>85</v>
      </c>
      <c r="M699" s="32">
        <v>73</v>
      </c>
      <c r="N699" s="32">
        <v>89</v>
      </c>
      <c r="O699" s="32">
        <v>54</v>
      </c>
      <c r="P699" s="32">
        <v>101</v>
      </c>
      <c r="Q699" s="32">
        <v>65</v>
      </c>
      <c r="R699" s="32">
        <v>100</v>
      </c>
      <c r="S699" s="32">
        <v>71</v>
      </c>
      <c r="T699" s="32">
        <v>88</v>
      </c>
      <c r="U699" s="32">
        <v>102</v>
      </c>
      <c r="V699" s="30">
        <v>0.85273972602739723</v>
      </c>
      <c r="W699" s="30">
        <v>0.65517241379310343</v>
      </c>
      <c r="X699" s="32">
        <v>39771.599999999999</v>
      </c>
      <c r="Y699" s="32">
        <v>35418.480000000003</v>
      </c>
      <c r="Z699" s="32">
        <v>75190.080000000002</v>
      </c>
      <c r="AA699" s="3">
        <f t="shared" si="10"/>
        <v>71865.16</v>
      </c>
      <c r="AB699" s="3"/>
      <c r="AC699" s="3"/>
      <c r="AF699" s="3"/>
      <c r="AG699" s="3"/>
      <c r="AH699" s="3"/>
    </row>
    <row r="700" spans="1:34" x14ac:dyDescent="0.25">
      <c r="A700">
        <v>8180010</v>
      </c>
      <c r="B700">
        <v>818</v>
      </c>
      <c r="C700" s="2">
        <v>1</v>
      </c>
      <c r="D700" s="2" t="s">
        <v>776</v>
      </c>
      <c r="E700">
        <v>10</v>
      </c>
      <c r="F700" s="2" t="s">
        <v>777</v>
      </c>
      <c r="G700" s="3">
        <v>0</v>
      </c>
      <c r="H700" s="32">
        <v>33</v>
      </c>
      <c r="I700" s="32">
        <v>29</v>
      </c>
      <c r="J700" s="32">
        <v>37</v>
      </c>
      <c r="K700" s="32">
        <v>31</v>
      </c>
      <c r="L700" s="32">
        <v>32</v>
      </c>
      <c r="M700" s="32">
        <v>27</v>
      </c>
      <c r="N700" s="32">
        <v>35</v>
      </c>
      <c r="O700" s="32">
        <v>27</v>
      </c>
      <c r="P700" s="32">
        <v>29</v>
      </c>
      <c r="Q700" s="32">
        <v>19</v>
      </c>
      <c r="R700" s="32">
        <v>32</v>
      </c>
      <c r="S700" s="32">
        <v>28</v>
      </c>
      <c r="T700" s="32">
        <v>33</v>
      </c>
      <c r="U700" s="32">
        <v>35</v>
      </c>
      <c r="V700" s="30">
        <v>0.8529411764705882</v>
      </c>
      <c r="W700" s="30">
        <v>0.77083333333333337</v>
      </c>
      <c r="X700" s="32">
        <v>14917.98</v>
      </c>
      <c r="Y700" s="32">
        <v>14298.900000000001</v>
      </c>
      <c r="Z700" s="32">
        <v>29216.880000000001</v>
      </c>
      <c r="AA700" s="3">
        <f t="shared" si="10"/>
        <v>27924.9</v>
      </c>
      <c r="AB700" s="3"/>
      <c r="AC700" s="3"/>
      <c r="AF700" s="3"/>
      <c r="AG700" s="3"/>
      <c r="AH700" s="3"/>
    </row>
    <row r="701" spans="1:34" x14ac:dyDescent="0.25">
      <c r="A701">
        <v>8200001</v>
      </c>
      <c r="B701">
        <v>820</v>
      </c>
      <c r="C701" s="2">
        <v>1</v>
      </c>
      <c r="D701" s="2" t="s">
        <v>778</v>
      </c>
      <c r="E701">
        <v>1</v>
      </c>
      <c r="F701" s="2" t="s">
        <v>779</v>
      </c>
      <c r="G701" s="3">
        <v>0</v>
      </c>
      <c r="H701" s="32">
        <v>27</v>
      </c>
      <c r="I701" s="32">
        <v>16</v>
      </c>
      <c r="J701" s="32">
        <v>29</v>
      </c>
      <c r="K701" s="32">
        <v>25</v>
      </c>
      <c r="L701" s="32">
        <v>39</v>
      </c>
      <c r="M701" s="32">
        <v>32</v>
      </c>
      <c r="N701" s="32">
        <v>30</v>
      </c>
      <c r="O701" s="32">
        <v>27</v>
      </c>
      <c r="P701" s="32">
        <v>30</v>
      </c>
      <c r="Q701" s="32">
        <v>28</v>
      </c>
      <c r="R701" s="32">
        <v>28</v>
      </c>
      <c r="S701" s="32">
        <v>27</v>
      </c>
      <c r="T701" s="32">
        <v>39</v>
      </c>
      <c r="U701" s="32">
        <v>31</v>
      </c>
      <c r="V701" s="30">
        <v>0.76842105263157889</v>
      </c>
      <c r="W701" s="30">
        <v>0.93181818181818177</v>
      </c>
      <c r="X701" s="32">
        <v>15883.14</v>
      </c>
      <c r="Y701" s="32">
        <v>15309.66</v>
      </c>
      <c r="Z701" s="32">
        <v>31192.799999999999</v>
      </c>
      <c r="AA701" s="3">
        <f t="shared" si="10"/>
        <v>29813.45</v>
      </c>
      <c r="AB701" s="3"/>
      <c r="AC701" s="3"/>
      <c r="AF701" s="3"/>
      <c r="AG701" s="3"/>
      <c r="AH701" s="3"/>
    </row>
    <row r="702" spans="1:34" x14ac:dyDescent="0.25">
      <c r="A702">
        <v>8210010</v>
      </c>
      <c r="B702">
        <v>821</v>
      </c>
      <c r="C702" s="2">
        <v>1</v>
      </c>
      <c r="D702" s="2" t="s">
        <v>780</v>
      </c>
      <c r="E702">
        <v>10</v>
      </c>
      <c r="F702" s="2" t="s">
        <v>781</v>
      </c>
      <c r="G702" s="3">
        <v>0</v>
      </c>
      <c r="H702" s="32">
        <v>72</v>
      </c>
      <c r="I702" s="32">
        <v>60</v>
      </c>
      <c r="J702" s="32">
        <v>61</v>
      </c>
      <c r="K702" s="32">
        <v>48</v>
      </c>
      <c r="L702" s="32">
        <v>77</v>
      </c>
      <c r="M702" s="32">
        <v>67</v>
      </c>
      <c r="N702" s="32">
        <v>50</v>
      </c>
      <c r="O702" s="32">
        <v>41</v>
      </c>
      <c r="P702" s="32">
        <v>67</v>
      </c>
      <c r="Q702" s="32">
        <v>48</v>
      </c>
      <c r="R702" s="32">
        <v>56</v>
      </c>
      <c r="S702" s="32">
        <v>44</v>
      </c>
      <c r="T702" s="32">
        <v>78</v>
      </c>
      <c r="U702" s="32">
        <v>60</v>
      </c>
      <c r="V702" s="30">
        <v>0.83333333333333337</v>
      </c>
      <c r="W702" s="30">
        <v>0.76878612716763006</v>
      </c>
      <c r="X702" s="32">
        <v>34450.26</v>
      </c>
      <c r="Y702" s="32">
        <v>24447.599999999999</v>
      </c>
      <c r="Z702" s="32">
        <v>58897.86</v>
      </c>
      <c r="AA702" s="3">
        <f t="shared" si="10"/>
        <v>56293.38</v>
      </c>
      <c r="AB702" s="3"/>
      <c r="AC702" s="3"/>
      <c r="AF702" s="3"/>
      <c r="AG702" s="3"/>
      <c r="AH702" s="3"/>
    </row>
    <row r="703" spans="1:34" x14ac:dyDescent="0.25">
      <c r="A703">
        <v>8290020</v>
      </c>
      <c r="B703">
        <v>829</v>
      </c>
      <c r="C703" s="2">
        <v>1</v>
      </c>
      <c r="D703" s="2" t="s">
        <v>782</v>
      </c>
      <c r="E703">
        <v>20</v>
      </c>
      <c r="F703" s="2" t="s">
        <v>783</v>
      </c>
      <c r="G703" s="3">
        <v>0</v>
      </c>
      <c r="H703" s="32">
        <v>119</v>
      </c>
      <c r="I703" s="32">
        <v>106</v>
      </c>
      <c r="J703" s="32">
        <v>109</v>
      </c>
      <c r="K703" s="32">
        <v>103</v>
      </c>
      <c r="L703" s="32">
        <v>102</v>
      </c>
      <c r="M703" s="32">
        <v>94</v>
      </c>
      <c r="N703" s="32">
        <v>0</v>
      </c>
      <c r="O703" s="32">
        <v>0</v>
      </c>
      <c r="P703" s="32">
        <v>0</v>
      </c>
      <c r="Q703" s="32">
        <v>0</v>
      </c>
      <c r="R703" s="32">
        <v>0</v>
      </c>
      <c r="S703" s="32">
        <v>0</v>
      </c>
      <c r="T703" s="32">
        <v>115</v>
      </c>
      <c r="U703" s="32">
        <v>0</v>
      </c>
      <c r="V703" s="30">
        <v>0.91818181818181821</v>
      </c>
      <c r="W703" s="30">
        <v>0</v>
      </c>
      <c r="X703" s="32">
        <v>55963.6</v>
      </c>
      <c r="Y703" s="32">
        <v>0</v>
      </c>
      <c r="Z703" s="32">
        <v>55963.6</v>
      </c>
      <c r="AA703" s="3">
        <f t="shared" si="10"/>
        <v>53488.88</v>
      </c>
      <c r="AB703" s="3"/>
      <c r="AC703" s="3"/>
      <c r="AF703" s="3"/>
      <c r="AG703" s="3"/>
      <c r="AH703" s="3"/>
    </row>
    <row r="704" spans="1:34" x14ac:dyDescent="0.25">
      <c r="A704">
        <v>8290040</v>
      </c>
      <c r="B704">
        <v>829</v>
      </c>
      <c r="C704" s="2">
        <v>1</v>
      </c>
      <c r="D704" s="2" t="s">
        <v>782</v>
      </c>
      <c r="E704">
        <v>40</v>
      </c>
      <c r="F704" s="2" t="s">
        <v>784</v>
      </c>
      <c r="G704" s="3">
        <v>0</v>
      </c>
      <c r="H704" s="32">
        <v>0</v>
      </c>
      <c r="I704" s="32">
        <v>0</v>
      </c>
      <c r="J704" s="32">
        <v>0</v>
      </c>
      <c r="K704" s="32">
        <v>0</v>
      </c>
      <c r="L704" s="32">
        <v>0</v>
      </c>
      <c r="M704" s="32">
        <v>0</v>
      </c>
      <c r="N704" s="32">
        <v>104</v>
      </c>
      <c r="O704" s="32">
        <v>81</v>
      </c>
      <c r="P704" s="32">
        <v>117</v>
      </c>
      <c r="Q704" s="32">
        <v>95</v>
      </c>
      <c r="R704" s="32">
        <v>102</v>
      </c>
      <c r="S704" s="32">
        <v>81</v>
      </c>
      <c r="T704" s="32">
        <v>0</v>
      </c>
      <c r="U704" s="32">
        <v>117</v>
      </c>
      <c r="V704" s="30">
        <v>0</v>
      </c>
      <c r="W704" s="30">
        <v>0.79566563467492257</v>
      </c>
      <c r="X704" s="32">
        <v>0</v>
      </c>
      <c r="Y704" s="32">
        <v>49338.9</v>
      </c>
      <c r="Z704" s="32">
        <v>49338.9</v>
      </c>
      <c r="AA704" s="3">
        <f t="shared" si="10"/>
        <v>47157.120000000003</v>
      </c>
      <c r="AB704" s="3"/>
      <c r="AC704" s="3"/>
      <c r="AF704" s="3"/>
      <c r="AG704" s="3"/>
      <c r="AH704" s="3"/>
    </row>
    <row r="705" spans="1:34" x14ac:dyDescent="0.25">
      <c r="A705">
        <v>8310625</v>
      </c>
      <c r="B705">
        <v>831</v>
      </c>
      <c r="C705" s="2">
        <v>1</v>
      </c>
      <c r="D705" s="2" t="s">
        <v>785</v>
      </c>
      <c r="E705">
        <v>625</v>
      </c>
      <c r="F705" s="2" t="s">
        <v>786</v>
      </c>
      <c r="G705" s="3">
        <v>0</v>
      </c>
      <c r="H705" s="32">
        <v>70</v>
      </c>
      <c r="I705" s="32">
        <v>56</v>
      </c>
      <c r="J705" s="32">
        <v>66</v>
      </c>
      <c r="K705" s="32">
        <v>53</v>
      </c>
      <c r="L705" s="32">
        <v>76</v>
      </c>
      <c r="M705" s="32">
        <v>63</v>
      </c>
      <c r="N705" s="32">
        <v>64</v>
      </c>
      <c r="O705" s="32">
        <v>53</v>
      </c>
      <c r="P705" s="32">
        <v>71</v>
      </c>
      <c r="Q705" s="32">
        <v>60</v>
      </c>
      <c r="R705" s="32">
        <v>66</v>
      </c>
      <c r="S705" s="32">
        <v>50</v>
      </c>
      <c r="T705" s="32">
        <v>79</v>
      </c>
      <c r="U705" s="32">
        <v>67</v>
      </c>
      <c r="V705" s="30">
        <v>0.81132075471698117</v>
      </c>
      <c r="W705" s="30">
        <v>0.81094527363184077</v>
      </c>
      <c r="X705" s="32">
        <v>33970</v>
      </c>
      <c r="Y705" s="32">
        <v>28796.600000000002</v>
      </c>
      <c r="Z705" s="32">
        <v>62766.600000000006</v>
      </c>
      <c r="AA705" s="3">
        <f t="shared" si="10"/>
        <v>59991.05</v>
      </c>
      <c r="AB705" s="3"/>
      <c r="AC705" s="3"/>
      <c r="AF705" s="3"/>
      <c r="AG705" s="3"/>
      <c r="AH705" s="3"/>
    </row>
    <row r="706" spans="1:34" x14ac:dyDescent="0.25">
      <c r="A706">
        <v>8310626</v>
      </c>
      <c r="B706">
        <v>831</v>
      </c>
      <c r="C706" s="2">
        <v>1</v>
      </c>
      <c r="D706" s="2" t="s">
        <v>785</v>
      </c>
      <c r="E706">
        <v>626</v>
      </c>
      <c r="F706" s="2" t="s">
        <v>418</v>
      </c>
      <c r="G706" s="3">
        <v>0</v>
      </c>
      <c r="H706" s="32">
        <v>41</v>
      </c>
      <c r="I706" s="32">
        <v>26</v>
      </c>
      <c r="J706" s="32">
        <v>0</v>
      </c>
      <c r="K706" s="32">
        <v>0</v>
      </c>
      <c r="L706" s="32">
        <v>0</v>
      </c>
      <c r="M706" s="32">
        <v>0</v>
      </c>
      <c r="N706" s="32">
        <v>42</v>
      </c>
      <c r="O706" s="32">
        <v>25</v>
      </c>
      <c r="P706" s="32">
        <v>99</v>
      </c>
      <c r="Q706" s="32">
        <v>78</v>
      </c>
      <c r="R706" s="32">
        <v>121</v>
      </c>
      <c r="S706" s="32">
        <v>98</v>
      </c>
      <c r="T706" s="32">
        <v>0</v>
      </c>
      <c r="U706" s="32">
        <v>137</v>
      </c>
      <c r="V706" s="30">
        <v>0.63414634146341464</v>
      </c>
      <c r="W706" s="30">
        <v>0.76717557251908397</v>
      </c>
      <c r="X706" s="32">
        <v>0</v>
      </c>
      <c r="Y706" s="32">
        <v>55704.200000000004</v>
      </c>
      <c r="Z706" s="32">
        <v>55704.200000000004</v>
      </c>
      <c r="AA706" s="3">
        <f t="shared" si="10"/>
        <v>53240.95</v>
      </c>
      <c r="AB706" s="3"/>
      <c r="AC706" s="3"/>
      <c r="AF706" s="3"/>
      <c r="AG706" s="3"/>
      <c r="AH706" s="3"/>
    </row>
    <row r="707" spans="1:34" x14ac:dyDescent="0.25">
      <c r="A707">
        <v>8310627</v>
      </c>
      <c r="B707">
        <v>831</v>
      </c>
      <c r="C707" s="2">
        <v>1</v>
      </c>
      <c r="D707" s="2" t="s">
        <v>785</v>
      </c>
      <c r="E707">
        <v>627</v>
      </c>
      <c r="F707" s="2" t="s">
        <v>787</v>
      </c>
      <c r="G707" s="3">
        <v>0</v>
      </c>
      <c r="H707" s="32">
        <v>63</v>
      </c>
      <c r="I707" s="32">
        <v>44</v>
      </c>
      <c r="J707" s="32">
        <v>131</v>
      </c>
      <c r="K707" s="32">
        <v>100</v>
      </c>
      <c r="L707" s="32">
        <v>136</v>
      </c>
      <c r="M707" s="32">
        <v>98</v>
      </c>
      <c r="N707" s="32">
        <v>83</v>
      </c>
      <c r="O707" s="32">
        <v>73</v>
      </c>
      <c r="P707" s="32">
        <v>0</v>
      </c>
      <c r="Q707" s="32">
        <v>0</v>
      </c>
      <c r="R707" s="32">
        <v>0</v>
      </c>
      <c r="S707" s="32">
        <v>0</v>
      </c>
      <c r="T707" s="32">
        <v>132</v>
      </c>
      <c r="U707" s="32">
        <v>0</v>
      </c>
      <c r="V707" s="30">
        <v>0.73333333333333328</v>
      </c>
      <c r="W707" s="30">
        <v>0.87951807228915657</v>
      </c>
      <c r="X707" s="32">
        <v>51304.44</v>
      </c>
      <c r="Y707" s="32">
        <v>0</v>
      </c>
      <c r="Z707" s="32">
        <v>51304.44</v>
      </c>
      <c r="AA707" s="3">
        <f t="shared" si="10"/>
        <v>49035.75</v>
      </c>
      <c r="AB707" s="3"/>
      <c r="AC707" s="3"/>
      <c r="AF707" s="3"/>
      <c r="AG707" s="3"/>
      <c r="AH707" s="3"/>
    </row>
    <row r="708" spans="1:34" x14ac:dyDescent="0.25">
      <c r="A708">
        <v>8310628</v>
      </c>
      <c r="B708">
        <v>831</v>
      </c>
      <c r="C708" s="2">
        <v>1</v>
      </c>
      <c r="D708" s="2" t="s">
        <v>785</v>
      </c>
      <c r="E708">
        <v>628</v>
      </c>
      <c r="F708" s="2" t="s">
        <v>788</v>
      </c>
      <c r="G708" s="3">
        <v>0</v>
      </c>
      <c r="H708" s="32">
        <v>66</v>
      </c>
      <c r="I708" s="32">
        <v>53</v>
      </c>
      <c r="J708" s="32">
        <v>55</v>
      </c>
      <c r="K708" s="32">
        <v>45</v>
      </c>
      <c r="L708" s="32">
        <v>62</v>
      </c>
      <c r="M708" s="32">
        <v>52</v>
      </c>
      <c r="N708" s="32">
        <v>51</v>
      </c>
      <c r="O708" s="32">
        <v>34</v>
      </c>
      <c r="P708" s="32">
        <v>59</v>
      </c>
      <c r="Q708" s="32">
        <v>38</v>
      </c>
      <c r="R708" s="32">
        <v>53</v>
      </c>
      <c r="S708" s="32">
        <v>41</v>
      </c>
      <c r="T708" s="32">
        <v>60</v>
      </c>
      <c r="U708" s="32">
        <v>53</v>
      </c>
      <c r="V708" s="30">
        <v>0.81967213114754101</v>
      </c>
      <c r="W708" s="30">
        <v>0.69325153374233128</v>
      </c>
      <c r="X708" s="32">
        <v>26065.8</v>
      </c>
      <c r="Y708" s="32">
        <v>19473.260000000002</v>
      </c>
      <c r="Z708" s="32">
        <v>45539.06</v>
      </c>
      <c r="AA708" s="3">
        <f t="shared" si="10"/>
        <v>43525.31</v>
      </c>
      <c r="AB708" s="3"/>
      <c r="AC708" s="3"/>
      <c r="AF708" s="3"/>
      <c r="AG708" s="3"/>
      <c r="AH708" s="3"/>
    </row>
    <row r="709" spans="1:34" x14ac:dyDescent="0.25">
      <c r="A709">
        <v>8310629</v>
      </c>
      <c r="B709">
        <v>831</v>
      </c>
      <c r="C709" s="2">
        <v>1</v>
      </c>
      <c r="D709" s="2" t="s">
        <v>785</v>
      </c>
      <c r="E709">
        <v>629</v>
      </c>
      <c r="F709" s="2" t="s">
        <v>789</v>
      </c>
      <c r="G709" s="3">
        <v>0</v>
      </c>
      <c r="H709" s="32">
        <v>62</v>
      </c>
      <c r="I709" s="32">
        <v>48</v>
      </c>
      <c r="J709" s="32">
        <v>68</v>
      </c>
      <c r="K709" s="32">
        <v>56</v>
      </c>
      <c r="L709" s="32">
        <v>77</v>
      </c>
      <c r="M709" s="32">
        <v>61</v>
      </c>
      <c r="N709" s="32">
        <v>61</v>
      </c>
      <c r="O709" s="32">
        <v>41</v>
      </c>
      <c r="P709" s="32">
        <v>59</v>
      </c>
      <c r="Q709" s="32">
        <v>41</v>
      </c>
      <c r="R709" s="32">
        <v>62</v>
      </c>
      <c r="S709" s="32">
        <v>36</v>
      </c>
      <c r="T709" s="32">
        <v>76</v>
      </c>
      <c r="U709" s="32">
        <v>65</v>
      </c>
      <c r="V709" s="30">
        <v>0.79710144927536231</v>
      </c>
      <c r="W709" s="30">
        <v>0.64835164835164838</v>
      </c>
      <c r="X709" s="32">
        <v>32106.959999999999</v>
      </c>
      <c r="Y709" s="32">
        <v>22335.95</v>
      </c>
      <c r="Z709" s="32">
        <v>54442.91</v>
      </c>
      <c r="AA709" s="3">
        <f t="shared" si="10"/>
        <v>52035.43</v>
      </c>
      <c r="AB709" s="3"/>
      <c r="AC709" s="3"/>
      <c r="AF709" s="3"/>
      <c r="AG709" s="3"/>
      <c r="AH709" s="3"/>
    </row>
    <row r="710" spans="1:34" x14ac:dyDescent="0.25">
      <c r="A710">
        <v>8310630</v>
      </c>
      <c r="B710">
        <v>831</v>
      </c>
      <c r="C710" s="2">
        <v>1</v>
      </c>
      <c r="D710" s="2" t="s">
        <v>785</v>
      </c>
      <c r="E710">
        <v>630</v>
      </c>
      <c r="F710" s="2" t="s">
        <v>790</v>
      </c>
      <c r="G710" s="3">
        <v>0</v>
      </c>
      <c r="H710" s="32">
        <v>55</v>
      </c>
      <c r="I710" s="32">
        <v>48</v>
      </c>
      <c r="J710" s="32">
        <v>60</v>
      </c>
      <c r="K710" s="32">
        <v>55</v>
      </c>
      <c r="L710" s="32">
        <v>65</v>
      </c>
      <c r="M710" s="32">
        <v>63</v>
      </c>
      <c r="N710" s="32">
        <v>75</v>
      </c>
      <c r="O710" s="32">
        <v>58</v>
      </c>
      <c r="P710" s="32">
        <v>52</v>
      </c>
      <c r="Q710" s="32">
        <v>41</v>
      </c>
      <c r="R710" s="32">
        <v>54</v>
      </c>
      <c r="S710" s="32">
        <v>49</v>
      </c>
      <c r="T710" s="32">
        <v>65</v>
      </c>
      <c r="U710" s="32">
        <v>59</v>
      </c>
      <c r="V710" s="30">
        <v>0.92222222222222228</v>
      </c>
      <c r="W710" s="30">
        <v>0.81767955801104975</v>
      </c>
      <c r="X710" s="32">
        <v>31770.699999999997</v>
      </c>
      <c r="Y710" s="32">
        <v>25568.83</v>
      </c>
      <c r="Z710" s="32">
        <v>57339.53</v>
      </c>
      <c r="AA710" s="3">
        <f t="shared" si="10"/>
        <v>54803.96</v>
      </c>
      <c r="AB710" s="3"/>
      <c r="AC710" s="3"/>
      <c r="AF710" s="3"/>
      <c r="AG710" s="3"/>
      <c r="AH710" s="3"/>
    </row>
    <row r="711" spans="1:34" x14ac:dyDescent="0.25">
      <c r="A711">
        <v>8310631</v>
      </c>
      <c r="B711">
        <v>831</v>
      </c>
      <c r="C711" s="2">
        <v>1</v>
      </c>
      <c r="D711" s="2" t="s">
        <v>785</v>
      </c>
      <c r="E711">
        <v>631</v>
      </c>
      <c r="F711" s="2" t="s">
        <v>791</v>
      </c>
      <c r="G711" s="3">
        <v>0</v>
      </c>
      <c r="H711" s="32">
        <v>90</v>
      </c>
      <c r="I711" s="32">
        <v>81</v>
      </c>
      <c r="J711" s="32">
        <v>96</v>
      </c>
      <c r="K711" s="32">
        <v>87</v>
      </c>
      <c r="L711" s="32">
        <v>99</v>
      </c>
      <c r="M711" s="32">
        <v>87</v>
      </c>
      <c r="N711" s="32">
        <v>80</v>
      </c>
      <c r="O711" s="32">
        <v>60</v>
      </c>
      <c r="P711" s="32">
        <v>84</v>
      </c>
      <c r="Q711" s="32">
        <v>63</v>
      </c>
      <c r="R711" s="32">
        <v>91</v>
      </c>
      <c r="S711" s="32">
        <v>70</v>
      </c>
      <c r="T711" s="32">
        <v>100</v>
      </c>
      <c r="U711" s="32">
        <v>99</v>
      </c>
      <c r="V711" s="30">
        <v>0.89473684210526316</v>
      </c>
      <c r="W711" s="30">
        <v>0.75686274509803919</v>
      </c>
      <c r="X711" s="32">
        <v>47421</v>
      </c>
      <c r="Y711" s="32">
        <v>39712.86</v>
      </c>
      <c r="Z711" s="32">
        <v>87133.86</v>
      </c>
      <c r="AA711" s="3">
        <f t="shared" si="10"/>
        <v>83280.78</v>
      </c>
      <c r="AB711" s="3"/>
      <c r="AC711" s="3"/>
      <c r="AF711" s="3"/>
      <c r="AG711" s="3"/>
      <c r="AH711" s="3"/>
    </row>
    <row r="712" spans="1:34" x14ac:dyDescent="0.25">
      <c r="A712">
        <v>8310633</v>
      </c>
      <c r="B712">
        <v>831</v>
      </c>
      <c r="C712" s="2">
        <v>1</v>
      </c>
      <c r="D712" s="2" t="s">
        <v>785</v>
      </c>
      <c r="E712">
        <v>633</v>
      </c>
      <c r="F712" s="2" t="s">
        <v>792</v>
      </c>
      <c r="G712" s="3">
        <v>0</v>
      </c>
      <c r="H712" s="32">
        <v>17</v>
      </c>
      <c r="I712" s="32">
        <v>13</v>
      </c>
      <c r="J712" s="32">
        <v>24</v>
      </c>
      <c r="K712" s="32">
        <v>14</v>
      </c>
      <c r="L712" s="32">
        <v>16</v>
      </c>
      <c r="M712" s="32">
        <v>14</v>
      </c>
      <c r="N712" s="32">
        <v>16</v>
      </c>
      <c r="O712" s="32">
        <v>13</v>
      </c>
      <c r="P712" s="32">
        <v>17</v>
      </c>
      <c r="Q712" s="32">
        <v>8</v>
      </c>
      <c r="R712" s="32">
        <v>23</v>
      </c>
      <c r="S712" s="32">
        <v>13</v>
      </c>
      <c r="T712" s="32">
        <v>15</v>
      </c>
      <c r="U712" s="32">
        <v>24</v>
      </c>
      <c r="V712" s="30">
        <v>0.7192982456140351</v>
      </c>
      <c r="W712" s="30">
        <v>0.6071428571428571</v>
      </c>
      <c r="X712" s="32">
        <v>5718.4500000000007</v>
      </c>
      <c r="Y712" s="32">
        <v>7722.9600000000009</v>
      </c>
      <c r="Z712" s="32">
        <v>13441.410000000002</v>
      </c>
      <c r="AA712" s="3">
        <f t="shared" si="10"/>
        <v>12847.03</v>
      </c>
      <c r="AB712" s="3"/>
      <c r="AC712" s="3"/>
      <c r="AF712" s="3"/>
      <c r="AG712" s="3"/>
      <c r="AH712" s="3"/>
    </row>
    <row r="713" spans="1:34" x14ac:dyDescent="0.25">
      <c r="A713">
        <v>8320010</v>
      </c>
      <c r="B713">
        <v>832</v>
      </c>
      <c r="C713" s="2">
        <v>1</v>
      </c>
      <c r="D713" s="2" t="s">
        <v>793</v>
      </c>
      <c r="E713">
        <v>10</v>
      </c>
      <c r="F713" s="2" t="s">
        <v>794</v>
      </c>
      <c r="G713" s="3">
        <v>0</v>
      </c>
      <c r="H713" s="32">
        <v>197</v>
      </c>
      <c r="I713" s="32">
        <v>159</v>
      </c>
      <c r="J713" s="32">
        <v>215</v>
      </c>
      <c r="K713" s="32">
        <v>193</v>
      </c>
      <c r="L713" s="32">
        <v>215</v>
      </c>
      <c r="M713" s="32">
        <v>195</v>
      </c>
      <c r="N713" s="32">
        <v>202</v>
      </c>
      <c r="O713" s="32">
        <v>164</v>
      </c>
      <c r="P713" s="32">
        <v>197</v>
      </c>
      <c r="Q713" s="32">
        <v>166</v>
      </c>
      <c r="R713" s="32">
        <v>213</v>
      </c>
      <c r="S713" s="32">
        <v>185</v>
      </c>
      <c r="T713" s="32">
        <v>218</v>
      </c>
      <c r="U713" s="32">
        <v>227</v>
      </c>
      <c r="V713" s="30">
        <v>0.87240829346092508</v>
      </c>
      <c r="W713" s="30">
        <v>0.84150326797385622</v>
      </c>
      <c r="X713" s="32">
        <v>100798.84</v>
      </c>
      <c r="Y713" s="32">
        <v>101242</v>
      </c>
      <c r="Z713" s="32">
        <v>202040.84</v>
      </c>
      <c r="AA713" s="3">
        <f t="shared" si="10"/>
        <v>193106.55</v>
      </c>
      <c r="AB713" s="3"/>
      <c r="AC713" s="3"/>
      <c r="AF713" s="3"/>
      <c r="AG713" s="3"/>
      <c r="AH713" s="3"/>
    </row>
    <row r="714" spans="1:34" x14ac:dyDescent="0.25">
      <c r="A714">
        <v>8330030</v>
      </c>
      <c r="B714">
        <v>833</v>
      </c>
      <c r="C714" s="2">
        <v>1</v>
      </c>
      <c r="D714" s="2" t="s">
        <v>795</v>
      </c>
      <c r="E714">
        <v>30</v>
      </c>
      <c r="F714" s="2" t="s">
        <v>796</v>
      </c>
      <c r="G714" s="3">
        <v>0</v>
      </c>
      <c r="H714" s="32">
        <v>65</v>
      </c>
      <c r="I714" s="32">
        <v>52</v>
      </c>
      <c r="J714" s="32">
        <v>57</v>
      </c>
      <c r="K714" s="32">
        <v>49</v>
      </c>
      <c r="L714" s="32">
        <v>70</v>
      </c>
      <c r="M714" s="32">
        <v>46</v>
      </c>
      <c r="N714" s="32">
        <v>62</v>
      </c>
      <c r="O714" s="32">
        <v>53</v>
      </c>
      <c r="P714" s="32">
        <v>61</v>
      </c>
      <c r="Q714" s="32">
        <v>53</v>
      </c>
      <c r="R714" s="32">
        <v>58</v>
      </c>
      <c r="S714" s="32">
        <v>50</v>
      </c>
      <c r="T714" s="32">
        <v>73</v>
      </c>
      <c r="U714" s="32">
        <v>59</v>
      </c>
      <c r="V714" s="30">
        <v>0.765625</v>
      </c>
      <c r="W714" s="30">
        <v>0.86187845303867405</v>
      </c>
      <c r="X714" s="32">
        <v>29621.94</v>
      </c>
      <c r="Y714" s="32">
        <v>26951.200000000001</v>
      </c>
      <c r="Z714" s="32">
        <v>56573.14</v>
      </c>
      <c r="AA714" s="3">
        <f t="shared" si="10"/>
        <v>54071.46</v>
      </c>
      <c r="AB714" s="3"/>
      <c r="AC714" s="3"/>
      <c r="AF714" s="3"/>
      <c r="AG714" s="3"/>
      <c r="AH714" s="3"/>
    </row>
    <row r="715" spans="1:34" x14ac:dyDescent="0.25">
      <c r="A715">
        <v>8330031</v>
      </c>
      <c r="B715">
        <v>833</v>
      </c>
      <c r="C715" s="2">
        <v>1</v>
      </c>
      <c r="D715" s="2" t="s">
        <v>795</v>
      </c>
      <c r="E715">
        <v>31</v>
      </c>
      <c r="F715" s="2" t="s">
        <v>797</v>
      </c>
      <c r="G715" s="3">
        <v>0</v>
      </c>
      <c r="H715" s="32">
        <v>61</v>
      </c>
      <c r="I715" s="32">
        <v>52</v>
      </c>
      <c r="J715" s="32">
        <v>56</v>
      </c>
      <c r="K715" s="32">
        <v>51</v>
      </c>
      <c r="L715" s="32">
        <v>59</v>
      </c>
      <c r="M715" s="32">
        <v>52</v>
      </c>
      <c r="N715" s="32">
        <v>59</v>
      </c>
      <c r="O715" s="32">
        <v>46</v>
      </c>
      <c r="P715" s="32">
        <v>60</v>
      </c>
      <c r="Q715" s="32">
        <v>51</v>
      </c>
      <c r="R715" s="32">
        <v>52</v>
      </c>
      <c r="S715" s="32">
        <v>44</v>
      </c>
      <c r="T715" s="32">
        <v>59</v>
      </c>
      <c r="U715" s="32">
        <v>52</v>
      </c>
      <c r="V715" s="30">
        <v>0.88068181818181823</v>
      </c>
      <c r="W715" s="30">
        <v>0.82456140350877194</v>
      </c>
      <c r="X715" s="32">
        <v>27538.84</v>
      </c>
      <c r="Y715" s="32">
        <v>22725.040000000001</v>
      </c>
      <c r="Z715" s="32">
        <v>50263.880000000005</v>
      </c>
      <c r="AA715" s="3">
        <f t="shared" si="10"/>
        <v>48041.2</v>
      </c>
      <c r="AB715" s="3"/>
      <c r="AC715" s="3"/>
      <c r="AF715" s="3"/>
      <c r="AG715" s="3"/>
      <c r="AH715" s="3"/>
    </row>
    <row r="716" spans="1:34" x14ac:dyDescent="0.25">
      <c r="A716">
        <v>8330032</v>
      </c>
      <c r="B716">
        <v>833</v>
      </c>
      <c r="C716" s="2">
        <v>1</v>
      </c>
      <c r="D716" s="2" t="s">
        <v>795</v>
      </c>
      <c r="E716">
        <v>32</v>
      </c>
      <c r="F716" s="2" t="s">
        <v>798</v>
      </c>
      <c r="G716" s="3">
        <v>0</v>
      </c>
      <c r="H716" s="32">
        <v>53</v>
      </c>
      <c r="I716" s="32">
        <v>41</v>
      </c>
      <c r="J716" s="32">
        <v>54</v>
      </c>
      <c r="K716" s="32">
        <v>43</v>
      </c>
      <c r="L716" s="32">
        <v>42</v>
      </c>
      <c r="M716" s="32">
        <v>31</v>
      </c>
      <c r="N716" s="32">
        <v>43</v>
      </c>
      <c r="O716" s="32">
        <v>33</v>
      </c>
      <c r="P716" s="32">
        <v>50</v>
      </c>
      <c r="Q716" s="32">
        <v>41</v>
      </c>
      <c r="R716" s="32">
        <v>56</v>
      </c>
      <c r="S716" s="32">
        <v>45</v>
      </c>
      <c r="T716" s="32">
        <v>41</v>
      </c>
      <c r="U716" s="32">
        <v>58</v>
      </c>
      <c r="V716" s="30">
        <v>0.77181208053691275</v>
      </c>
      <c r="W716" s="30">
        <v>0.79865771812080533</v>
      </c>
      <c r="X716" s="32">
        <v>16771.46</v>
      </c>
      <c r="Y716" s="32">
        <v>24550.82</v>
      </c>
      <c r="Z716" s="32">
        <v>41322.28</v>
      </c>
      <c r="AA716" s="3">
        <f t="shared" si="10"/>
        <v>39495</v>
      </c>
      <c r="AB716" s="3"/>
      <c r="AC716" s="3"/>
      <c r="AF716" s="3"/>
      <c r="AG716" s="3"/>
      <c r="AH716" s="3"/>
    </row>
    <row r="717" spans="1:34" x14ac:dyDescent="0.25">
      <c r="A717">
        <v>8330034</v>
      </c>
      <c r="B717">
        <v>833</v>
      </c>
      <c r="C717" s="2">
        <v>1</v>
      </c>
      <c r="D717" s="2" t="s">
        <v>795</v>
      </c>
      <c r="E717">
        <v>34</v>
      </c>
      <c r="F717" s="2" t="s">
        <v>799</v>
      </c>
      <c r="G717" s="3">
        <v>0</v>
      </c>
      <c r="H717" s="32">
        <v>100</v>
      </c>
      <c r="I717" s="32">
        <v>80</v>
      </c>
      <c r="J717" s="32">
        <v>112</v>
      </c>
      <c r="K717" s="32">
        <v>83</v>
      </c>
      <c r="L717" s="32">
        <v>107</v>
      </c>
      <c r="M717" s="32">
        <v>86</v>
      </c>
      <c r="N717" s="32">
        <v>95</v>
      </c>
      <c r="O717" s="32">
        <v>74</v>
      </c>
      <c r="P717" s="32">
        <v>99</v>
      </c>
      <c r="Q717" s="32">
        <v>83</v>
      </c>
      <c r="R717" s="32">
        <v>103</v>
      </c>
      <c r="S717" s="32">
        <v>86</v>
      </c>
      <c r="T717" s="32">
        <v>111</v>
      </c>
      <c r="U717" s="32">
        <v>112</v>
      </c>
      <c r="V717" s="30">
        <v>0.78056426332288398</v>
      </c>
      <c r="W717" s="30">
        <v>0.81818181818181823</v>
      </c>
      <c r="X717" s="32">
        <v>45920.7</v>
      </c>
      <c r="Y717" s="32">
        <v>48567.68</v>
      </c>
      <c r="Z717" s="32">
        <v>94488.38</v>
      </c>
      <c r="AA717" s="3">
        <f t="shared" si="10"/>
        <v>90310.080000000002</v>
      </c>
      <c r="AB717" s="3"/>
      <c r="AC717" s="3"/>
      <c r="AF717" s="3"/>
      <c r="AG717" s="3"/>
      <c r="AH717" s="3"/>
    </row>
    <row r="718" spans="1:34" x14ac:dyDescent="0.25">
      <c r="A718">
        <v>8330036</v>
      </c>
      <c r="B718">
        <v>833</v>
      </c>
      <c r="C718" s="2">
        <v>1</v>
      </c>
      <c r="D718" s="2" t="s">
        <v>795</v>
      </c>
      <c r="E718">
        <v>36</v>
      </c>
      <c r="F718" s="2" t="s">
        <v>800</v>
      </c>
      <c r="G718" s="3">
        <v>0</v>
      </c>
      <c r="H718" s="32">
        <v>84</v>
      </c>
      <c r="I718" s="32">
        <v>70</v>
      </c>
      <c r="J718" s="32">
        <v>78</v>
      </c>
      <c r="K718" s="32">
        <v>74</v>
      </c>
      <c r="L718" s="32">
        <v>83</v>
      </c>
      <c r="M718" s="32">
        <v>75</v>
      </c>
      <c r="N718" s="32">
        <v>89</v>
      </c>
      <c r="O718" s="32">
        <v>64</v>
      </c>
      <c r="P718" s="32">
        <v>79</v>
      </c>
      <c r="Q718" s="32">
        <v>53</v>
      </c>
      <c r="R718" s="32">
        <v>73</v>
      </c>
      <c r="S718" s="32">
        <v>47</v>
      </c>
      <c r="T718" s="32">
        <v>85</v>
      </c>
      <c r="U718" s="32">
        <v>79</v>
      </c>
      <c r="V718" s="30">
        <v>0.89387755102040811</v>
      </c>
      <c r="W718" s="30">
        <v>0.68049792531120334</v>
      </c>
      <c r="X718" s="32">
        <v>40269.599999999999</v>
      </c>
      <c r="Y718" s="32">
        <v>28492.140000000003</v>
      </c>
      <c r="Z718" s="32">
        <v>68761.740000000005</v>
      </c>
      <c r="AA718" s="3">
        <f t="shared" si="10"/>
        <v>65721.08</v>
      </c>
      <c r="AB718" s="3"/>
      <c r="AC718" s="3"/>
      <c r="AF718" s="3"/>
      <c r="AG718" s="3"/>
      <c r="AH718" s="3"/>
    </row>
    <row r="719" spans="1:34" x14ac:dyDescent="0.25">
      <c r="A719">
        <v>8330037</v>
      </c>
      <c r="B719">
        <v>833</v>
      </c>
      <c r="C719" s="2">
        <v>1</v>
      </c>
      <c r="D719" s="2" t="s">
        <v>795</v>
      </c>
      <c r="E719">
        <v>37</v>
      </c>
      <c r="F719" s="2" t="s">
        <v>801</v>
      </c>
      <c r="G719" s="3">
        <v>0</v>
      </c>
      <c r="H719" s="32">
        <v>89</v>
      </c>
      <c r="I719" s="32">
        <v>61</v>
      </c>
      <c r="J719" s="32">
        <v>77</v>
      </c>
      <c r="K719" s="32">
        <v>63</v>
      </c>
      <c r="L719" s="32">
        <v>90</v>
      </c>
      <c r="M719" s="32">
        <v>73</v>
      </c>
      <c r="N719" s="32">
        <v>60</v>
      </c>
      <c r="O719" s="32">
        <v>54</v>
      </c>
      <c r="P719" s="32">
        <v>85</v>
      </c>
      <c r="Q719" s="32">
        <v>78</v>
      </c>
      <c r="R719" s="32">
        <v>72</v>
      </c>
      <c r="S719" s="32">
        <v>65</v>
      </c>
      <c r="T719" s="32">
        <v>95</v>
      </c>
      <c r="U719" s="32">
        <v>75</v>
      </c>
      <c r="V719" s="30">
        <v>0.76953125</v>
      </c>
      <c r="W719" s="30">
        <v>0.90783410138248843</v>
      </c>
      <c r="X719" s="32">
        <v>38745.75</v>
      </c>
      <c r="Y719" s="32">
        <v>36086.25</v>
      </c>
      <c r="Z719" s="32">
        <v>74832</v>
      </c>
      <c r="AA719" s="3">
        <f t="shared" ref="AA719:AA782" si="11">ROUND(Z719*AA$10,2)</f>
        <v>71522.91</v>
      </c>
      <c r="AB719" s="3"/>
      <c r="AC719" s="3"/>
      <c r="AF719" s="3"/>
      <c r="AG719" s="3"/>
      <c r="AH719" s="3"/>
    </row>
    <row r="720" spans="1:34" x14ac:dyDescent="0.25">
      <c r="A720">
        <v>8330038</v>
      </c>
      <c r="B720">
        <v>833</v>
      </c>
      <c r="C720" s="2">
        <v>1</v>
      </c>
      <c r="D720" s="2" t="s">
        <v>795</v>
      </c>
      <c r="E720">
        <v>38</v>
      </c>
      <c r="F720" s="2" t="s">
        <v>802</v>
      </c>
      <c r="G720" s="3">
        <v>0</v>
      </c>
      <c r="H720" s="32">
        <v>46</v>
      </c>
      <c r="I720" s="32">
        <v>34</v>
      </c>
      <c r="J720" s="32">
        <v>36</v>
      </c>
      <c r="K720" s="32">
        <v>23</v>
      </c>
      <c r="L720" s="32">
        <v>38</v>
      </c>
      <c r="M720" s="32">
        <v>28</v>
      </c>
      <c r="N720" s="32">
        <v>39</v>
      </c>
      <c r="O720" s="32">
        <v>23</v>
      </c>
      <c r="P720" s="32">
        <v>47</v>
      </c>
      <c r="Q720" s="32">
        <v>36</v>
      </c>
      <c r="R720" s="32">
        <v>38</v>
      </c>
      <c r="S720" s="32">
        <v>29</v>
      </c>
      <c r="T720" s="32">
        <v>38</v>
      </c>
      <c r="U720" s="32">
        <v>39</v>
      </c>
      <c r="V720" s="30">
        <v>0.70833333333333337</v>
      </c>
      <c r="W720" s="30">
        <v>0.70967741935483875</v>
      </c>
      <c r="X720" s="32">
        <v>14265.960000000001</v>
      </c>
      <c r="Y720" s="32">
        <v>14669.07</v>
      </c>
      <c r="Z720" s="32">
        <v>28935.03</v>
      </c>
      <c r="AA720" s="3">
        <f t="shared" si="11"/>
        <v>27655.52</v>
      </c>
      <c r="AB720" s="3"/>
      <c r="AC720" s="3"/>
      <c r="AF720" s="3"/>
      <c r="AG720" s="3"/>
      <c r="AH720" s="3"/>
    </row>
    <row r="721" spans="1:34" x14ac:dyDescent="0.25">
      <c r="A721">
        <v>8330040</v>
      </c>
      <c r="B721">
        <v>833</v>
      </c>
      <c r="C721" s="2">
        <v>1</v>
      </c>
      <c r="D721" s="2" t="s">
        <v>795</v>
      </c>
      <c r="E721">
        <v>40</v>
      </c>
      <c r="F721" s="2" t="s">
        <v>803</v>
      </c>
      <c r="G721" s="3">
        <v>0</v>
      </c>
      <c r="H721" s="32">
        <v>61</v>
      </c>
      <c r="I721" s="32">
        <v>53</v>
      </c>
      <c r="J721" s="32">
        <v>64</v>
      </c>
      <c r="K721" s="32">
        <v>51</v>
      </c>
      <c r="L721" s="32">
        <v>57</v>
      </c>
      <c r="M721" s="32">
        <v>50</v>
      </c>
      <c r="N721" s="32">
        <v>61</v>
      </c>
      <c r="O721" s="32">
        <v>47</v>
      </c>
      <c r="P721" s="32">
        <v>62</v>
      </c>
      <c r="Q721" s="32">
        <v>53</v>
      </c>
      <c r="R721" s="32">
        <v>60</v>
      </c>
      <c r="S721" s="32">
        <v>51</v>
      </c>
      <c r="T721" s="32">
        <v>59</v>
      </c>
      <c r="U721" s="32">
        <v>64</v>
      </c>
      <c r="V721" s="30">
        <v>0.84615384615384615</v>
      </c>
      <c r="W721" s="30">
        <v>0.82513661202185795</v>
      </c>
      <c r="X721" s="32">
        <v>26459.14</v>
      </c>
      <c r="Y721" s="32">
        <v>27988.48</v>
      </c>
      <c r="Z721" s="32">
        <v>54447.619999999995</v>
      </c>
      <c r="AA721" s="3">
        <f t="shared" si="11"/>
        <v>52039.93</v>
      </c>
      <c r="AB721" s="3"/>
      <c r="AC721" s="3"/>
      <c r="AF721" s="3"/>
      <c r="AG721" s="3"/>
      <c r="AH721" s="3"/>
    </row>
    <row r="722" spans="1:34" x14ac:dyDescent="0.25">
      <c r="A722">
        <v>8330041</v>
      </c>
      <c r="B722">
        <v>833</v>
      </c>
      <c r="C722" s="2">
        <v>1</v>
      </c>
      <c r="D722" s="2" t="s">
        <v>795</v>
      </c>
      <c r="E722">
        <v>41</v>
      </c>
      <c r="F722" s="2" t="s">
        <v>804</v>
      </c>
      <c r="G722" s="3">
        <v>0</v>
      </c>
      <c r="H722" s="32">
        <v>115</v>
      </c>
      <c r="I722" s="32">
        <v>106</v>
      </c>
      <c r="J722" s="32">
        <v>145</v>
      </c>
      <c r="K722" s="32">
        <v>138</v>
      </c>
      <c r="L722" s="32">
        <v>128</v>
      </c>
      <c r="M722" s="32">
        <v>117</v>
      </c>
      <c r="N722" s="32">
        <v>92</v>
      </c>
      <c r="O722" s="32">
        <v>73</v>
      </c>
      <c r="P722" s="32">
        <v>104</v>
      </c>
      <c r="Q722" s="32">
        <v>85</v>
      </c>
      <c r="R722" s="32">
        <v>143</v>
      </c>
      <c r="S722" s="32">
        <v>123</v>
      </c>
      <c r="T722" s="32">
        <v>135</v>
      </c>
      <c r="U722" s="32">
        <v>149</v>
      </c>
      <c r="V722" s="30">
        <v>0.93041237113402064</v>
      </c>
      <c r="W722" s="30">
        <v>0.82890855457227142</v>
      </c>
      <c r="X722" s="32">
        <v>66571.199999999997</v>
      </c>
      <c r="Y722" s="32">
        <v>65458.68</v>
      </c>
      <c r="Z722" s="32">
        <v>132029.88</v>
      </c>
      <c r="AA722" s="3">
        <f t="shared" si="11"/>
        <v>126191.49</v>
      </c>
      <c r="AB722" s="3"/>
      <c r="AC722" s="3"/>
      <c r="AF722" s="3"/>
      <c r="AG722" s="3"/>
      <c r="AH722" s="3"/>
    </row>
    <row r="723" spans="1:34" x14ac:dyDescent="0.25">
      <c r="A723">
        <v>8330042</v>
      </c>
      <c r="B723">
        <v>833</v>
      </c>
      <c r="C723" s="2">
        <v>1</v>
      </c>
      <c r="D723" s="2" t="s">
        <v>795</v>
      </c>
      <c r="E723">
        <v>42</v>
      </c>
      <c r="F723" s="2" t="s">
        <v>805</v>
      </c>
      <c r="G723" s="3">
        <v>0</v>
      </c>
      <c r="H723" s="32">
        <v>59</v>
      </c>
      <c r="I723" s="32">
        <v>41</v>
      </c>
      <c r="J723" s="32">
        <v>56</v>
      </c>
      <c r="K723" s="32">
        <v>43</v>
      </c>
      <c r="L723" s="32">
        <v>70</v>
      </c>
      <c r="M723" s="32">
        <v>54</v>
      </c>
      <c r="N723" s="32">
        <v>71</v>
      </c>
      <c r="O723" s="32">
        <v>50</v>
      </c>
      <c r="P723" s="32">
        <v>63</v>
      </c>
      <c r="Q723" s="32">
        <v>54</v>
      </c>
      <c r="R723" s="32">
        <v>43</v>
      </c>
      <c r="S723" s="32">
        <v>35</v>
      </c>
      <c r="T723" s="32">
        <v>71</v>
      </c>
      <c r="U723" s="32">
        <v>49</v>
      </c>
      <c r="V723" s="30">
        <v>0.74594594594594599</v>
      </c>
      <c r="W723" s="30">
        <v>0.78531073446327682</v>
      </c>
      <c r="X723" s="32">
        <v>28069.850000000002</v>
      </c>
      <c r="Y723" s="32">
        <v>20394.289999999997</v>
      </c>
      <c r="Z723" s="32">
        <v>48464.14</v>
      </c>
      <c r="AA723" s="3">
        <f t="shared" si="11"/>
        <v>46321.04</v>
      </c>
      <c r="AB723" s="3"/>
      <c r="AC723" s="3"/>
      <c r="AF723" s="3"/>
      <c r="AG723" s="3"/>
      <c r="AH723" s="3"/>
    </row>
    <row r="724" spans="1:34" x14ac:dyDescent="0.25">
      <c r="A724">
        <v>8330043</v>
      </c>
      <c r="B724">
        <v>833</v>
      </c>
      <c r="C724" s="2">
        <v>1</v>
      </c>
      <c r="D724" s="2" t="s">
        <v>795</v>
      </c>
      <c r="E724">
        <v>43</v>
      </c>
      <c r="F724" s="2" t="s">
        <v>806</v>
      </c>
      <c r="G724" s="3">
        <v>0</v>
      </c>
      <c r="H724" s="32">
        <v>122</v>
      </c>
      <c r="I724" s="32">
        <v>114</v>
      </c>
      <c r="J724" s="32">
        <v>104</v>
      </c>
      <c r="K724" s="32">
        <v>95</v>
      </c>
      <c r="L724" s="32">
        <v>115</v>
      </c>
      <c r="M724" s="32">
        <v>99</v>
      </c>
      <c r="N724" s="32">
        <v>85</v>
      </c>
      <c r="O724" s="32">
        <v>74</v>
      </c>
      <c r="P724" s="32">
        <v>110</v>
      </c>
      <c r="Q724" s="32">
        <v>91</v>
      </c>
      <c r="R724" s="32">
        <v>100</v>
      </c>
      <c r="S724" s="32">
        <v>81</v>
      </c>
      <c r="T724" s="32">
        <v>117</v>
      </c>
      <c r="U724" s="32">
        <v>103</v>
      </c>
      <c r="V724" s="30">
        <v>0.90322580645161288</v>
      </c>
      <c r="W724" s="30">
        <v>0.83389830508474572</v>
      </c>
      <c r="X724" s="32">
        <v>56009.07</v>
      </c>
      <c r="Y724" s="32">
        <v>45522.91</v>
      </c>
      <c r="Z724" s="32">
        <v>101531.98000000001</v>
      </c>
      <c r="AA724" s="3">
        <f t="shared" si="11"/>
        <v>97042.21</v>
      </c>
      <c r="AB724" s="3"/>
      <c r="AC724" s="3"/>
      <c r="AF724" s="3"/>
      <c r="AG724" s="3"/>
      <c r="AH724" s="3"/>
    </row>
    <row r="725" spans="1:34" x14ac:dyDescent="0.25">
      <c r="A725">
        <v>8330044</v>
      </c>
      <c r="B725">
        <v>833</v>
      </c>
      <c r="C725" s="2">
        <v>1</v>
      </c>
      <c r="D725" s="2" t="s">
        <v>795</v>
      </c>
      <c r="E725">
        <v>44</v>
      </c>
      <c r="F725" s="2" t="s">
        <v>807</v>
      </c>
      <c r="G725" s="3">
        <v>0</v>
      </c>
      <c r="H725" s="32">
        <v>94</v>
      </c>
      <c r="I725" s="32">
        <v>82</v>
      </c>
      <c r="J725" s="32">
        <v>78</v>
      </c>
      <c r="K725" s="32">
        <v>75</v>
      </c>
      <c r="L725" s="32">
        <v>86</v>
      </c>
      <c r="M725" s="32">
        <v>79</v>
      </c>
      <c r="N725" s="32">
        <v>78</v>
      </c>
      <c r="O725" s="32">
        <v>51</v>
      </c>
      <c r="P725" s="32">
        <v>79</v>
      </c>
      <c r="Q725" s="32">
        <v>58</v>
      </c>
      <c r="R725" s="32">
        <v>74</v>
      </c>
      <c r="S725" s="32">
        <v>53</v>
      </c>
      <c r="T725" s="32">
        <v>84</v>
      </c>
      <c r="U725" s="32">
        <v>82</v>
      </c>
      <c r="V725" s="30">
        <v>0.9147286821705426</v>
      </c>
      <c r="W725" s="30">
        <v>0.70129870129870131</v>
      </c>
      <c r="X725" s="32">
        <v>40724.04</v>
      </c>
      <c r="Y725" s="32">
        <v>30478.579999999998</v>
      </c>
      <c r="Z725" s="32">
        <v>71202.62</v>
      </c>
      <c r="AA725" s="3">
        <f t="shared" si="11"/>
        <v>68054.02</v>
      </c>
      <c r="AB725" s="3"/>
      <c r="AC725" s="3"/>
      <c r="AF725" s="3"/>
      <c r="AG725" s="3"/>
      <c r="AH725" s="3"/>
    </row>
    <row r="726" spans="1:34" x14ac:dyDescent="0.25">
      <c r="A726">
        <v>8330045</v>
      </c>
      <c r="B726">
        <v>833</v>
      </c>
      <c r="C726" s="2">
        <v>1</v>
      </c>
      <c r="D726" s="2" t="s">
        <v>795</v>
      </c>
      <c r="E726">
        <v>45</v>
      </c>
      <c r="F726" s="2" t="s">
        <v>808</v>
      </c>
      <c r="G726" s="3">
        <v>0</v>
      </c>
      <c r="H726" s="32">
        <v>95</v>
      </c>
      <c r="I726" s="32">
        <v>83</v>
      </c>
      <c r="J726" s="32">
        <v>98</v>
      </c>
      <c r="K726" s="32">
        <v>85</v>
      </c>
      <c r="L726" s="32">
        <v>110</v>
      </c>
      <c r="M726" s="32">
        <v>102</v>
      </c>
      <c r="N726" s="32">
        <v>134</v>
      </c>
      <c r="O726" s="32">
        <v>126</v>
      </c>
      <c r="P726" s="32">
        <v>114</v>
      </c>
      <c r="Q726" s="32">
        <v>101</v>
      </c>
      <c r="R726" s="32">
        <v>111</v>
      </c>
      <c r="S726" s="32">
        <v>99</v>
      </c>
      <c r="T726" s="32">
        <v>106</v>
      </c>
      <c r="U726" s="32">
        <v>114</v>
      </c>
      <c r="V726" s="30">
        <v>0.8910891089108911</v>
      </c>
      <c r="W726" s="30">
        <v>0.9080779944289693</v>
      </c>
      <c r="X726" s="32">
        <v>50061.68</v>
      </c>
      <c r="Y726" s="32">
        <v>54865.919999999998</v>
      </c>
      <c r="Z726" s="32">
        <v>104927.6</v>
      </c>
      <c r="AA726" s="3">
        <f t="shared" si="11"/>
        <v>100287.67999999999</v>
      </c>
      <c r="AB726" s="3"/>
      <c r="AC726" s="3"/>
      <c r="AF726" s="3"/>
      <c r="AG726" s="3"/>
      <c r="AH726" s="3"/>
    </row>
    <row r="727" spans="1:34" x14ac:dyDescent="0.25">
      <c r="A727">
        <v>8330046</v>
      </c>
      <c r="B727">
        <v>833</v>
      </c>
      <c r="C727" s="2">
        <v>1</v>
      </c>
      <c r="D727" s="2" t="s">
        <v>795</v>
      </c>
      <c r="E727">
        <v>46</v>
      </c>
      <c r="F727" s="2" t="s">
        <v>809</v>
      </c>
      <c r="G727" s="3">
        <v>0</v>
      </c>
      <c r="H727" s="32">
        <v>65</v>
      </c>
      <c r="I727" s="32">
        <v>59</v>
      </c>
      <c r="J727" s="32">
        <v>83</v>
      </c>
      <c r="K727" s="32">
        <v>74</v>
      </c>
      <c r="L727" s="32">
        <v>89</v>
      </c>
      <c r="M727" s="32">
        <v>80</v>
      </c>
      <c r="N727" s="32">
        <v>72</v>
      </c>
      <c r="O727" s="32">
        <v>63</v>
      </c>
      <c r="P727" s="32">
        <v>62</v>
      </c>
      <c r="Q727" s="32">
        <v>53</v>
      </c>
      <c r="R727" s="32">
        <v>76</v>
      </c>
      <c r="S727" s="32">
        <v>62</v>
      </c>
      <c r="T727" s="32">
        <v>85</v>
      </c>
      <c r="U727" s="32">
        <v>83</v>
      </c>
      <c r="V727" s="30">
        <v>0.89873417721518989</v>
      </c>
      <c r="W727" s="30">
        <v>0.84761904761904761</v>
      </c>
      <c r="X727" s="32">
        <v>40488.049999999996</v>
      </c>
      <c r="Y727" s="32">
        <v>37286.92</v>
      </c>
      <c r="Z727" s="32">
        <v>77774.97</v>
      </c>
      <c r="AA727" s="3">
        <f t="shared" si="11"/>
        <v>74335.740000000005</v>
      </c>
      <c r="AB727" s="3"/>
      <c r="AC727" s="3"/>
      <c r="AF727" s="3"/>
      <c r="AG727" s="3"/>
      <c r="AH727" s="3"/>
    </row>
    <row r="728" spans="1:34" x14ac:dyDescent="0.25">
      <c r="A728">
        <v>8330047</v>
      </c>
      <c r="B728">
        <v>833</v>
      </c>
      <c r="C728" s="2">
        <v>1</v>
      </c>
      <c r="D728" s="2" t="s">
        <v>795</v>
      </c>
      <c r="E728">
        <v>47</v>
      </c>
      <c r="F728" s="2" t="s">
        <v>810</v>
      </c>
      <c r="G728" s="3">
        <v>0</v>
      </c>
      <c r="H728" s="32">
        <v>135</v>
      </c>
      <c r="I728" s="32">
        <v>117</v>
      </c>
      <c r="J728" s="32">
        <v>133</v>
      </c>
      <c r="K728" s="32">
        <v>123</v>
      </c>
      <c r="L728" s="32">
        <v>140</v>
      </c>
      <c r="M728" s="32">
        <v>123</v>
      </c>
      <c r="N728" s="32">
        <v>132</v>
      </c>
      <c r="O728" s="32">
        <v>96</v>
      </c>
      <c r="P728" s="32">
        <v>131</v>
      </c>
      <c r="Q728" s="32">
        <v>106</v>
      </c>
      <c r="R728" s="32">
        <v>125</v>
      </c>
      <c r="S728" s="32">
        <v>104</v>
      </c>
      <c r="T728" s="32">
        <v>139</v>
      </c>
      <c r="U728" s="32">
        <v>133</v>
      </c>
      <c r="V728" s="30">
        <v>0.88970588235294112</v>
      </c>
      <c r="W728" s="30">
        <v>0.78865979381443296</v>
      </c>
      <c r="X728" s="32">
        <v>65544.06</v>
      </c>
      <c r="Y728" s="32">
        <v>55592.67</v>
      </c>
      <c r="Z728" s="32">
        <v>121136.73</v>
      </c>
      <c r="AA728" s="3">
        <f t="shared" si="11"/>
        <v>115780.03</v>
      </c>
      <c r="AB728" s="3"/>
      <c r="AC728" s="3"/>
      <c r="AF728" s="3"/>
      <c r="AG728" s="3"/>
      <c r="AH728" s="3"/>
    </row>
    <row r="729" spans="1:34" x14ac:dyDescent="0.25">
      <c r="A729">
        <v>8340785</v>
      </c>
      <c r="B729">
        <v>834</v>
      </c>
      <c r="C729" s="2">
        <v>1</v>
      </c>
      <c r="D729" s="2" t="s">
        <v>811</v>
      </c>
      <c r="E729">
        <v>785</v>
      </c>
      <c r="F729" s="2" t="s">
        <v>812</v>
      </c>
      <c r="G729" s="3">
        <v>0</v>
      </c>
      <c r="H729" s="32">
        <v>75</v>
      </c>
      <c r="I729" s="32">
        <v>70</v>
      </c>
      <c r="J729" s="32">
        <v>64</v>
      </c>
      <c r="K729" s="32">
        <v>62</v>
      </c>
      <c r="L729" s="32">
        <v>73</v>
      </c>
      <c r="M729" s="32">
        <v>64</v>
      </c>
      <c r="N729" s="32">
        <v>74</v>
      </c>
      <c r="O729" s="32">
        <v>56</v>
      </c>
      <c r="P729" s="32">
        <v>72</v>
      </c>
      <c r="Q729" s="32">
        <v>60</v>
      </c>
      <c r="R729" s="32">
        <v>63</v>
      </c>
      <c r="S729" s="32">
        <v>55</v>
      </c>
      <c r="T729" s="32">
        <v>73</v>
      </c>
      <c r="U729" s="32">
        <v>68</v>
      </c>
      <c r="V729" s="30">
        <v>0.92452830188679247</v>
      </c>
      <c r="W729" s="30">
        <v>0.81818181818181823</v>
      </c>
      <c r="X729" s="32">
        <v>35770</v>
      </c>
      <c r="Y729" s="32">
        <v>29487.52</v>
      </c>
      <c r="Z729" s="32">
        <v>65257.520000000004</v>
      </c>
      <c r="AA729" s="3">
        <f t="shared" si="11"/>
        <v>62371.82</v>
      </c>
      <c r="AB729" s="3"/>
      <c r="AC729" s="3"/>
      <c r="AF729" s="3"/>
      <c r="AG729" s="3"/>
      <c r="AH729" s="3"/>
    </row>
    <row r="730" spans="1:34" x14ac:dyDescent="0.25">
      <c r="A730">
        <v>8340786</v>
      </c>
      <c r="B730">
        <v>834</v>
      </c>
      <c r="C730" s="2">
        <v>1</v>
      </c>
      <c r="D730" s="2" t="s">
        <v>811</v>
      </c>
      <c r="E730">
        <v>786</v>
      </c>
      <c r="F730" s="2" t="s">
        <v>31</v>
      </c>
      <c r="G730" s="3">
        <v>0</v>
      </c>
      <c r="H730" s="32">
        <v>47</v>
      </c>
      <c r="I730" s="32">
        <v>41</v>
      </c>
      <c r="J730" s="32">
        <v>45</v>
      </c>
      <c r="K730" s="32">
        <v>42</v>
      </c>
      <c r="L730" s="32">
        <v>57</v>
      </c>
      <c r="M730" s="32">
        <v>50</v>
      </c>
      <c r="N730" s="32">
        <v>46</v>
      </c>
      <c r="O730" s="32">
        <v>36</v>
      </c>
      <c r="P730" s="32">
        <v>39</v>
      </c>
      <c r="Q730" s="32">
        <v>30</v>
      </c>
      <c r="R730" s="32">
        <v>44</v>
      </c>
      <c r="S730" s="32">
        <v>32</v>
      </c>
      <c r="T730" s="32">
        <v>57</v>
      </c>
      <c r="U730" s="32">
        <v>47</v>
      </c>
      <c r="V730" s="30">
        <v>0.89261744966442957</v>
      </c>
      <c r="W730" s="30">
        <v>0.75968992248062017</v>
      </c>
      <c r="X730" s="32">
        <v>26966.129999999997</v>
      </c>
      <c r="Y730" s="32">
        <v>18924.079999999998</v>
      </c>
      <c r="Z730" s="32">
        <v>45890.209999999992</v>
      </c>
      <c r="AA730" s="3">
        <f t="shared" si="11"/>
        <v>43860.93</v>
      </c>
      <c r="AB730" s="3"/>
      <c r="AC730" s="3"/>
      <c r="AF730" s="3"/>
      <c r="AG730" s="3"/>
      <c r="AH730" s="3"/>
    </row>
    <row r="731" spans="1:34" x14ac:dyDescent="0.25">
      <c r="A731" s="7">
        <v>8340787</v>
      </c>
      <c r="B731" s="7">
        <v>834</v>
      </c>
      <c r="C731" s="7">
        <v>1</v>
      </c>
      <c r="D731" s="7" t="s">
        <v>811</v>
      </c>
      <c r="E731" s="7">
        <v>787</v>
      </c>
      <c r="F731" s="7" t="s">
        <v>813</v>
      </c>
      <c r="G731" s="3">
        <v>0</v>
      </c>
      <c r="H731" s="32">
        <v>97</v>
      </c>
      <c r="I731" s="32">
        <v>86</v>
      </c>
      <c r="J731" s="32">
        <v>103</v>
      </c>
      <c r="K731" s="32">
        <v>89</v>
      </c>
      <c r="L731" s="32">
        <v>85</v>
      </c>
      <c r="M731" s="32">
        <v>77</v>
      </c>
      <c r="N731" s="32">
        <v>109</v>
      </c>
      <c r="O731" s="32">
        <v>79</v>
      </c>
      <c r="P731" s="32">
        <v>98</v>
      </c>
      <c r="Q731" s="32">
        <v>73</v>
      </c>
      <c r="R731" s="32">
        <v>87</v>
      </c>
      <c r="S731" s="32">
        <v>75</v>
      </c>
      <c r="T731" s="32">
        <v>85</v>
      </c>
      <c r="U731" s="32">
        <v>91</v>
      </c>
      <c r="V731" s="30">
        <v>0.88421052631578945</v>
      </c>
      <c r="W731" s="30">
        <v>0.77210884353741494</v>
      </c>
      <c r="X731" s="32">
        <v>39833.550000000003</v>
      </c>
      <c r="Y731" s="32">
        <v>37239.020000000004</v>
      </c>
      <c r="Z731" s="32">
        <v>77072.570000000007</v>
      </c>
      <c r="AA731" s="3">
        <f t="shared" si="11"/>
        <v>73664.399999999994</v>
      </c>
      <c r="AB731" s="3"/>
      <c r="AC731" s="3"/>
      <c r="AF731" s="3"/>
      <c r="AG731" s="3"/>
      <c r="AH731" s="3"/>
    </row>
    <row r="732" spans="1:34" x14ac:dyDescent="0.25">
      <c r="A732">
        <v>8340788</v>
      </c>
      <c r="B732">
        <v>834</v>
      </c>
      <c r="C732" s="2">
        <v>1</v>
      </c>
      <c r="D732" s="2" t="s">
        <v>811</v>
      </c>
      <c r="E732">
        <v>788</v>
      </c>
      <c r="F732" s="2" t="s">
        <v>814</v>
      </c>
      <c r="G732" s="3">
        <v>0</v>
      </c>
      <c r="H732" s="32">
        <v>67</v>
      </c>
      <c r="I732" s="32">
        <v>54</v>
      </c>
      <c r="J732" s="32">
        <v>84</v>
      </c>
      <c r="K732" s="32">
        <v>73</v>
      </c>
      <c r="L732" s="32">
        <v>78</v>
      </c>
      <c r="M732" s="32">
        <v>57</v>
      </c>
      <c r="N732" s="32">
        <v>78</v>
      </c>
      <c r="O732" s="32">
        <v>60</v>
      </c>
      <c r="P732" s="32">
        <v>63</v>
      </c>
      <c r="Q732" s="32">
        <v>49</v>
      </c>
      <c r="R732" s="32">
        <v>80</v>
      </c>
      <c r="S732" s="32">
        <v>57</v>
      </c>
      <c r="T732" s="32">
        <v>78</v>
      </c>
      <c r="U732" s="32">
        <v>84</v>
      </c>
      <c r="V732" s="30">
        <v>0.80349344978165937</v>
      </c>
      <c r="W732" s="30">
        <v>0.75113122171945701</v>
      </c>
      <c r="X732" s="32">
        <v>33216.300000000003</v>
      </c>
      <c r="Y732" s="32">
        <v>33440.400000000001</v>
      </c>
      <c r="Z732" s="32">
        <v>66656.700000000012</v>
      </c>
      <c r="AA732" s="3">
        <f t="shared" si="11"/>
        <v>63709.120000000003</v>
      </c>
      <c r="AB732" s="3"/>
      <c r="AC732" s="3"/>
      <c r="AF732" s="3"/>
      <c r="AG732" s="3"/>
      <c r="AH732" s="3"/>
    </row>
    <row r="733" spans="1:34" x14ac:dyDescent="0.25">
      <c r="A733">
        <v>8340789</v>
      </c>
      <c r="B733">
        <v>834</v>
      </c>
      <c r="C733" s="2">
        <v>1</v>
      </c>
      <c r="D733" s="2" t="s">
        <v>811</v>
      </c>
      <c r="E733">
        <v>789</v>
      </c>
      <c r="F733" s="2" t="s">
        <v>815</v>
      </c>
      <c r="G733" s="3">
        <v>0</v>
      </c>
      <c r="H733" s="32">
        <v>22</v>
      </c>
      <c r="I733" s="32">
        <v>21</v>
      </c>
      <c r="J733" s="32">
        <v>21</v>
      </c>
      <c r="K733" s="32">
        <v>18</v>
      </c>
      <c r="L733" s="32">
        <v>23</v>
      </c>
      <c r="M733" s="32">
        <v>23</v>
      </c>
      <c r="N733" s="32">
        <v>15</v>
      </c>
      <c r="O733" s="32">
        <v>10</v>
      </c>
      <c r="P733" s="32">
        <v>14</v>
      </c>
      <c r="Q733" s="32">
        <v>12</v>
      </c>
      <c r="R733" s="32">
        <v>17</v>
      </c>
      <c r="S733" s="32">
        <v>16</v>
      </c>
      <c r="T733" s="32">
        <v>25</v>
      </c>
      <c r="U733" s="32">
        <v>17</v>
      </c>
      <c r="V733" s="30">
        <v>0.93939393939393945</v>
      </c>
      <c r="W733" s="30">
        <v>0.82608695652173914</v>
      </c>
      <c r="X733" s="32">
        <v>12447</v>
      </c>
      <c r="Y733" s="32">
        <v>7443.11</v>
      </c>
      <c r="Z733" s="32">
        <v>19890.11</v>
      </c>
      <c r="AA733" s="3">
        <f t="shared" si="11"/>
        <v>19010.560000000001</v>
      </c>
      <c r="AB733" s="3"/>
      <c r="AC733" s="3"/>
      <c r="AF733" s="3"/>
      <c r="AG733" s="3"/>
      <c r="AH733" s="3"/>
    </row>
    <row r="734" spans="1:34" x14ac:dyDescent="0.25">
      <c r="A734">
        <v>8340790</v>
      </c>
      <c r="B734">
        <v>834</v>
      </c>
      <c r="C734">
        <v>1</v>
      </c>
      <c r="D734" t="s">
        <v>811</v>
      </c>
      <c r="E734">
        <v>790</v>
      </c>
      <c r="F734" t="s">
        <v>816</v>
      </c>
      <c r="G734" s="3">
        <v>0</v>
      </c>
      <c r="H734" s="32">
        <v>45</v>
      </c>
      <c r="I734" s="32">
        <v>38</v>
      </c>
      <c r="J734" s="32">
        <v>44</v>
      </c>
      <c r="K734" s="32">
        <v>37</v>
      </c>
      <c r="L734" s="32">
        <v>51</v>
      </c>
      <c r="M734" s="32">
        <v>49</v>
      </c>
      <c r="N734" s="32">
        <v>63</v>
      </c>
      <c r="O734" s="32">
        <v>49</v>
      </c>
      <c r="P734" s="32">
        <v>65</v>
      </c>
      <c r="Q734" s="32">
        <v>55</v>
      </c>
      <c r="R734" s="32">
        <v>64</v>
      </c>
      <c r="S734" s="32">
        <v>56</v>
      </c>
      <c r="T734" s="32">
        <v>58</v>
      </c>
      <c r="U734" s="32">
        <v>75</v>
      </c>
      <c r="V734" s="30">
        <v>0.88571428571428568</v>
      </c>
      <c r="W734" s="30">
        <v>0.83333333333333337</v>
      </c>
      <c r="X734" s="32">
        <v>27226.94</v>
      </c>
      <c r="Y734" s="32">
        <v>33125.25</v>
      </c>
      <c r="Z734" s="32">
        <v>60352.19</v>
      </c>
      <c r="AA734" s="3">
        <f t="shared" si="11"/>
        <v>57683.4</v>
      </c>
      <c r="AB734" s="3"/>
      <c r="AC734" s="3"/>
      <c r="AF734" s="3"/>
      <c r="AG734" s="3"/>
      <c r="AH734" s="3"/>
    </row>
    <row r="735" spans="1:34" x14ac:dyDescent="0.25">
      <c r="A735">
        <v>8340792</v>
      </c>
      <c r="B735">
        <v>834</v>
      </c>
      <c r="C735" s="2">
        <v>1</v>
      </c>
      <c r="D735" s="2" t="s">
        <v>811</v>
      </c>
      <c r="E735">
        <v>792</v>
      </c>
      <c r="F735" s="2" t="s">
        <v>817</v>
      </c>
      <c r="G735" s="3">
        <v>0</v>
      </c>
      <c r="H735" s="32">
        <v>19</v>
      </c>
      <c r="I735" s="32">
        <v>14</v>
      </c>
      <c r="J735" s="32">
        <v>24</v>
      </c>
      <c r="K735" s="32">
        <v>21</v>
      </c>
      <c r="L735" s="32">
        <v>13</v>
      </c>
      <c r="M735" s="32">
        <v>11</v>
      </c>
      <c r="N735" s="32">
        <v>19</v>
      </c>
      <c r="O735" s="32">
        <v>16</v>
      </c>
      <c r="P735" s="32">
        <v>19</v>
      </c>
      <c r="Q735" s="32">
        <v>17</v>
      </c>
      <c r="R735" s="32">
        <v>24</v>
      </c>
      <c r="S735" s="32">
        <v>20</v>
      </c>
      <c r="T735" s="32">
        <v>12</v>
      </c>
      <c r="U735" s="32">
        <v>24</v>
      </c>
      <c r="V735" s="30">
        <v>0.8214285714285714</v>
      </c>
      <c r="W735" s="30">
        <v>0.85483870967741937</v>
      </c>
      <c r="X735" s="32">
        <v>5224.32</v>
      </c>
      <c r="Y735" s="32">
        <v>10873.44</v>
      </c>
      <c r="Z735" s="32">
        <v>16097.76</v>
      </c>
      <c r="AA735" s="3">
        <f t="shared" si="11"/>
        <v>15385.91</v>
      </c>
      <c r="AB735" s="3"/>
      <c r="AC735" s="3"/>
      <c r="AF735" s="3"/>
      <c r="AG735" s="3"/>
      <c r="AH735" s="3"/>
    </row>
    <row r="736" spans="1:34" x14ac:dyDescent="0.25">
      <c r="A736">
        <v>8340793</v>
      </c>
      <c r="B736">
        <v>834</v>
      </c>
      <c r="C736" s="2">
        <v>1</v>
      </c>
      <c r="D736" s="2" t="s">
        <v>811</v>
      </c>
      <c r="E736">
        <v>793</v>
      </c>
      <c r="F736" s="2" t="s">
        <v>818</v>
      </c>
      <c r="G736" s="3">
        <v>0</v>
      </c>
      <c r="H736" s="32">
        <v>68</v>
      </c>
      <c r="I736" s="32">
        <v>59</v>
      </c>
      <c r="J736" s="32">
        <v>70</v>
      </c>
      <c r="K736" s="32">
        <v>66</v>
      </c>
      <c r="L736" s="32">
        <v>74</v>
      </c>
      <c r="M736" s="32">
        <v>70</v>
      </c>
      <c r="N736" s="32">
        <v>49</v>
      </c>
      <c r="O736" s="32">
        <v>37</v>
      </c>
      <c r="P736" s="32">
        <v>69</v>
      </c>
      <c r="Q736" s="32">
        <v>56</v>
      </c>
      <c r="R736" s="32">
        <v>60</v>
      </c>
      <c r="S736" s="32">
        <v>40</v>
      </c>
      <c r="T736" s="32">
        <v>78</v>
      </c>
      <c r="U736" s="32">
        <v>64</v>
      </c>
      <c r="V736" s="30">
        <v>0.91981132075471694</v>
      </c>
      <c r="W736" s="30">
        <v>0.7471910112359551</v>
      </c>
      <c r="X736" s="32">
        <v>38025</v>
      </c>
      <c r="Y736" s="32">
        <v>25344.639999999999</v>
      </c>
      <c r="Z736" s="32">
        <v>63369.64</v>
      </c>
      <c r="AA736" s="3">
        <f t="shared" si="11"/>
        <v>60567.42</v>
      </c>
      <c r="AB736" s="3"/>
      <c r="AC736" s="3"/>
      <c r="AF736" s="3"/>
      <c r="AG736" s="3"/>
      <c r="AH736" s="3"/>
    </row>
    <row r="737" spans="1:34" x14ac:dyDescent="0.25">
      <c r="A737">
        <v>8340804</v>
      </c>
      <c r="B737">
        <v>834</v>
      </c>
      <c r="C737" s="2">
        <v>1</v>
      </c>
      <c r="D737" s="2" t="s">
        <v>811</v>
      </c>
      <c r="E737">
        <v>804</v>
      </c>
      <c r="F737" s="2" t="s">
        <v>819</v>
      </c>
      <c r="G737" s="3">
        <v>0</v>
      </c>
      <c r="H737" s="32">
        <v>101</v>
      </c>
      <c r="I737" s="32">
        <v>86</v>
      </c>
      <c r="J737" s="32">
        <v>102</v>
      </c>
      <c r="K737" s="32">
        <v>94</v>
      </c>
      <c r="L737" s="32">
        <v>112</v>
      </c>
      <c r="M737" s="32">
        <v>104</v>
      </c>
      <c r="N737" s="32">
        <v>86</v>
      </c>
      <c r="O737" s="32">
        <v>65</v>
      </c>
      <c r="P737" s="32">
        <v>98</v>
      </c>
      <c r="Q737" s="32">
        <v>78</v>
      </c>
      <c r="R737" s="32">
        <v>90</v>
      </c>
      <c r="S737" s="32">
        <v>84</v>
      </c>
      <c r="T737" s="32">
        <v>113</v>
      </c>
      <c r="U737" s="32">
        <v>99</v>
      </c>
      <c r="V737" s="30">
        <v>0.9015873015873016</v>
      </c>
      <c r="W737" s="30">
        <v>0.82846715328467158</v>
      </c>
      <c r="X737" s="32">
        <v>53995.92</v>
      </c>
      <c r="Y737" s="32">
        <v>43469.909999999996</v>
      </c>
      <c r="Z737" s="32">
        <v>97465.829999999987</v>
      </c>
      <c r="AA737" s="3">
        <f t="shared" si="11"/>
        <v>93155.87</v>
      </c>
      <c r="AB737" s="3"/>
      <c r="AC737" s="3"/>
      <c r="AF737" s="3"/>
      <c r="AG737" s="3"/>
      <c r="AH737" s="3"/>
    </row>
    <row r="738" spans="1:34" x14ac:dyDescent="0.25">
      <c r="A738">
        <v>8360010</v>
      </c>
      <c r="B738">
        <v>836</v>
      </c>
      <c r="C738" s="2">
        <v>1</v>
      </c>
      <c r="D738" s="2" t="s">
        <v>820</v>
      </c>
      <c r="E738">
        <v>10</v>
      </c>
      <c r="F738" s="2" t="s">
        <v>821</v>
      </c>
      <c r="G738" s="3">
        <v>0</v>
      </c>
      <c r="H738" s="32">
        <v>21</v>
      </c>
      <c r="I738" s="32">
        <v>13</v>
      </c>
      <c r="J738" s="32">
        <v>20</v>
      </c>
      <c r="K738" s="32">
        <v>15</v>
      </c>
      <c r="L738" s="32">
        <v>11</v>
      </c>
      <c r="M738" s="32">
        <v>6</v>
      </c>
      <c r="N738" s="32">
        <v>13</v>
      </c>
      <c r="O738" s="32">
        <v>10</v>
      </c>
      <c r="P738" s="32">
        <v>17</v>
      </c>
      <c r="Q738" s="32">
        <v>15</v>
      </c>
      <c r="R738" s="32">
        <v>21</v>
      </c>
      <c r="S738" s="32">
        <v>14</v>
      </c>
      <c r="T738" s="32">
        <v>10</v>
      </c>
      <c r="U738" s="32">
        <v>23</v>
      </c>
      <c r="V738" s="30">
        <v>0.65384615384615385</v>
      </c>
      <c r="W738" s="30">
        <v>0.76470588235294112</v>
      </c>
      <c r="X738" s="32">
        <v>3465.4</v>
      </c>
      <c r="Y738" s="32">
        <v>9321.67</v>
      </c>
      <c r="Z738" s="32">
        <v>12787.07</v>
      </c>
      <c r="AA738" s="3">
        <f t="shared" si="11"/>
        <v>12221.62</v>
      </c>
      <c r="AB738" s="3"/>
      <c r="AC738" s="3"/>
      <c r="AF738" s="3"/>
      <c r="AG738" s="3"/>
      <c r="AH738" s="3"/>
    </row>
    <row r="739" spans="1:34" x14ac:dyDescent="0.25">
      <c r="A739">
        <v>8370010</v>
      </c>
      <c r="B739">
        <v>837</v>
      </c>
      <c r="C739" s="2">
        <v>1</v>
      </c>
      <c r="D739" s="2" t="s">
        <v>822</v>
      </c>
      <c r="E739">
        <v>10</v>
      </c>
      <c r="F739" s="2" t="s">
        <v>823</v>
      </c>
      <c r="G739" s="3">
        <v>0</v>
      </c>
      <c r="H739" s="32">
        <v>44</v>
      </c>
      <c r="I739" s="32">
        <v>39</v>
      </c>
      <c r="J739" s="32">
        <v>35</v>
      </c>
      <c r="K739" s="32">
        <v>23</v>
      </c>
      <c r="L739" s="32">
        <v>43</v>
      </c>
      <c r="M739" s="32">
        <v>36</v>
      </c>
      <c r="N739" s="32">
        <v>52</v>
      </c>
      <c r="O739" s="32">
        <v>36</v>
      </c>
      <c r="P739" s="32">
        <v>41</v>
      </c>
      <c r="Q739" s="32">
        <v>24</v>
      </c>
      <c r="R739" s="32">
        <v>35</v>
      </c>
      <c r="S739" s="32">
        <v>19</v>
      </c>
      <c r="T739" s="32">
        <v>44</v>
      </c>
      <c r="U739" s="32">
        <v>36</v>
      </c>
      <c r="V739" s="30">
        <v>0.80327868852459017</v>
      </c>
      <c r="W739" s="30">
        <v>0.6171875</v>
      </c>
      <c r="X739" s="32">
        <v>18732.560000000001</v>
      </c>
      <c r="Y739" s="32">
        <v>11775.960000000001</v>
      </c>
      <c r="Z739" s="32">
        <v>30508.520000000004</v>
      </c>
      <c r="AA739" s="3">
        <f t="shared" si="11"/>
        <v>29159.43</v>
      </c>
      <c r="AB739" s="3"/>
      <c r="AC739" s="3"/>
      <c r="AF739" s="3"/>
      <c r="AG739" s="3"/>
      <c r="AH739" s="3"/>
    </row>
    <row r="740" spans="1:34" x14ac:dyDescent="0.25">
      <c r="A740">
        <v>8400020</v>
      </c>
      <c r="B740">
        <v>840</v>
      </c>
      <c r="C740">
        <v>1</v>
      </c>
      <c r="D740" t="s">
        <v>824</v>
      </c>
      <c r="E740">
        <v>20</v>
      </c>
      <c r="F740" t="s">
        <v>825</v>
      </c>
      <c r="G740" s="3">
        <v>0</v>
      </c>
      <c r="H740" s="32">
        <v>91</v>
      </c>
      <c r="I740" s="32">
        <v>56</v>
      </c>
      <c r="J740" s="32">
        <v>73</v>
      </c>
      <c r="K740" s="32">
        <v>54</v>
      </c>
      <c r="L740" s="32">
        <v>71</v>
      </c>
      <c r="M740" s="32">
        <v>49</v>
      </c>
      <c r="N740" s="32">
        <v>0</v>
      </c>
      <c r="O740" s="32">
        <v>0</v>
      </c>
      <c r="P740" s="32">
        <v>82</v>
      </c>
      <c r="Q740" s="32">
        <v>59</v>
      </c>
      <c r="R740" s="32">
        <v>66</v>
      </c>
      <c r="S740" s="32">
        <v>47</v>
      </c>
      <c r="T740" s="32">
        <v>72</v>
      </c>
      <c r="U740" s="32">
        <v>77</v>
      </c>
      <c r="V740" s="30">
        <v>0.67659574468085104</v>
      </c>
      <c r="W740" s="30">
        <v>0.71621621621621623</v>
      </c>
      <c r="X740" s="32">
        <v>25819.200000000001</v>
      </c>
      <c r="Y740" s="32">
        <v>29228.429999999997</v>
      </c>
      <c r="Z740" s="32">
        <v>55047.63</v>
      </c>
      <c r="AA740" s="3">
        <f t="shared" si="11"/>
        <v>52613.41</v>
      </c>
      <c r="AB740" s="3"/>
      <c r="AC740" s="3"/>
      <c r="AF740" s="3"/>
      <c r="AG740" s="3"/>
      <c r="AH740" s="3"/>
    </row>
    <row r="741" spans="1:34" x14ac:dyDescent="0.25">
      <c r="A741">
        <v>8400021</v>
      </c>
      <c r="B741">
        <v>840</v>
      </c>
      <c r="C741" s="2">
        <v>1</v>
      </c>
      <c r="D741" s="2" t="s">
        <v>824</v>
      </c>
      <c r="E741">
        <v>21</v>
      </c>
      <c r="F741" s="2" t="s">
        <v>826</v>
      </c>
      <c r="G741" s="3">
        <v>0</v>
      </c>
      <c r="H741" s="32">
        <v>0</v>
      </c>
      <c r="I741" s="32">
        <v>0</v>
      </c>
      <c r="J741" s="32">
        <v>0</v>
      </c>
      <c r="K741" s="32">
        <v>0</v>
      </c>
      <c r="L741" s="32">
        <v>0</v>
      </c>
      <c r="M741" s="32">
        <v>0</v>
      </c>
      <c r="N741" s="32">
        <v>70</v>
      </c>
      <c r="O741" s="32">
        <v>48</v>
      </c>
      <c r="P741" s="32">
        <v>0</v>
      </c>
      <c r="Q741" s="32">
        <v>0</v>
      </c>
      <c r="R741" s="32">
        <v>0</v>
      </c>
      <c r="S741" s="32">
        <v>0</v>
      </c>
      <c r="T741" s="32">
        <v>0</v>
      </c>
      <c r="U741" s="32">
        <v>0</v>
      </c>
      <c r="V741" s="30">
        <v>0</v>
      </c>
      <c r="W741" s="30">
        <v>0.68571428571428572</v>
      </c>
      <c r="X741" s="32">
        <v>0</v>
      </c>
      <c r="Y741" s="32">
        <v>0</v>
      </c>
      <c r="Z741" s="32">
        <v>0</v>
      </c>
      <c r="AA741" s="3">
        <f t="shared" si="11"/>
        <v>0</v>
      </c>
      <c r="AB741" s="3"/>
      <c r="AC741" s="3"/>
      <c r="AF741" s="3"/>
      <c r="AG741" s="3"/>
      <c r="AH741" s="3"/>
    </row>
    <row r="742" spans="1:34" x14ac:dyDescent="0.25">
      <c r="A742">
        <v>8460010</v>
      </c>
      <c r="B742">
        <v>846</v>
      </c>
      <c r="C742" s="2">
        <v>1</v>
      </c>
      <c r="D742" s="2" t="s">
        <v>827</v>
      </c>
      <c r="E742">
        <v>10</v>
      </c>
      <c r="F742" s="2" t="s">
        <v>828</v>
      </c>
      <c r="G742" s="3">
        <v>0</v>
      </c>
      <c r="H742" s="32">
        <v>56</v>
      </c>
      <c r="I742" s="32">
        <v>41</v>
      </c>
      <c r="J742" s="32">
        <v>43</v>
      </c>
      <c r="K742" s="32">
        <v>37</v>
      </c>
      <c r="L742" s="32">
        <v>39</v>
      </c>
      <c r="M742" s="32">
        <v>36</v>
      </c>
      <c r="N742" s="32">
        <v>47</v>
      </c>
      <c r="O742" s="32">
        <v>31</v>
      </c>
      <c r="P742" s="32">
        <v>40</v>
      </c>
      <c r="Q742" s="32">
        <v>22</v>
      </c>
      <c r="R742" s="32">
        <v>38</v>
      </c>
      <c r="S742" s="32">
        <v>25</v>
      </c>
      <c r="T742" s="32">
        <v>43</v>
      </c>
      <c r="U742" s="32">
        <v>48</v>
      </c>
      <c r="V742" s="30">
        <v>0.82608695652173914</v>
      </c>
      <c r="W742" s="30">
        <v>0.624</v>
      </c>
      <c r="X742" s="32">
        <v>18826.689999999999</v>
      </c>
      <c r="Y742" s="32">
        <v>15874.560000000001</v>
      </c>
      <c r="Z742" s="32">
        <v>34701.25</v>
      </c>
      <c r="AA742" s="3">
        <f t="shared" si="11"/>
        <v>33166.75</v>
      </c>
      <c r="AB742" s="3"/>
      <c r="AC742" s="3"/>
      <c r="AF742" s="3"/>
      <c r="AG742" s="3"/>
      <c r="AH742" s="3"/>
    </row>
    <row r="743" spans="1:34" x14ac:dyDescent="0.25">
      <c r="A743">
        <v>8500010</v>
      </c>
      <c r="B743">
        <v>850</v>
      </c>
      <c r="C743" s="2">
        <v>1</v>
      </c>
      <c r="D743" s="2" t="s">
        <v>829</v>
      </c>
      <c r="E743">
        <v>10</v>
      </c>
      <c r="F743" s="2" t="s">
        <v>830</v>
      </c>
      <c r="G743" s="3">
        <v>0</v>
      </c>
      <c r="H743" s="32">
        <v>13</v>
      </c>
      <c r="I743" s="32">
        <v>10</v>
      </c>
      <c r="J743" s="32">
        <v>12</v>
      </c>
      <c r="K743" s="32">
        <v>8</v>
      </c>
      <c r="L743" s="32">
        <v>16</v>
      </c>
      <c r="M743" s="32">
        <v>13</v>
      </c>
      <c r="N743" s="32">
        <v>12</v>
      </c>
      <c r="O743" s="32">
        <v>8</v>
      </c>
      <c r="P743" s="32">
        <v>12</v>
      </c>
      <c r="Q743" s="32">
        <v>8</v>
      </c>
      <c r="R743" s="32">
        <v>12</v>
      </c>
      <c r="S743" s="32">
        <v>9</v>
      </c>
      <c r="T743" s="32">
        <v>16</v>
      </c>
      <c r="U743" s="32">
        <v>12</v>
      </c>
      <c r="V743" s="30">
        <v>0.75609756097560976</v>
      </c>
      <c r="W743" s="30">
        <v>0.69444444444444442</v>
      </c>
      <c r="X743" s="32">
        <v>6411.68</v>
      </c>
      <c r="Y743" s="32">
        <v>4416.72</v>
      </c>
      <c r="Z743" s="32">
        <v>10828.400000000001</v>
      </c>
      <c r="AA743" s="3">
        <f t="shared" si="11"/>
        <v>10349.57</v>
      </c>
      <c r="AB743" s="3"/>
      <c r="AC743" s="3"/>
      <c r="AF743" s="3"/>
      <c r="AG743" s="3"/>
      <c r="AH743" s="3"/>
    </row>
    <row r="744" spans="1:34" x14ac:dyDescent="0.25">
      <c r="A744">
        <v>8520010</v>
      </c>
      <c r="B744">
        <v>852</v>
      </c>
      <c r="C744" s="2">
        <v>1</v>
      </c>
      <c r="D744" s="2" t="s">
        <v>831</v>
      </c>
      <c r="E744">
        <v>10</v>
      </c>
      <c r="F744" s="2" t="s">
        <v>1241</v>
      </c>
      <c r="G744" s="3">
        <v>1</v>
      </c>
      <c r="H744" s="32" t="s">
        <v>1328</v>
      </c>
      <c r="I744" s="32" t="s">
        <v>1328</v>
      </c>
      <c r="J744" s="32" t="s">
        <v>1328</v>
      </c>
      <c r="K744" s="32" t="s">
        <v>1328</v>
      </c>
      <c r="L744" s="32" t="s">
        <v>1328</v>
      </c>
      <c r="M744" s="32" t="s">
        <v>1328</v>
      </c>
      <c r="N744" s="32" t="s">
        <v>1328</v>
      </c>
      <c r="O744" s="32" t="s">
        <v>1328</v>
      </c>
      <c r="P744" s="32" t="s">
        <v>1328</v>
      </c>
      <c r="Q744" s="32" t="s">
        <v>1328</v>
      </c>
      <c r="R744" s="32" t="s">
        <v>1328</v>
      </c>
      <c r="S744" s="32" t="s">
        <v>1328</v>
      </c>
      <c r="T744" s="32">
        <v>9</v>
      </c>
      <c r="U744" s="32">
        <v>9</v>
      </c>
      <c r="V744" s="30" t="s">
        <v>1328</v>
      </c>
      <c r="W744" s="30" t="s">
        <v>1328</v>
      </c>
      <c r="X744" s="32" t="s">
        <v>1328</v>
      </c>
      <c r="Y744" s="32" t="s">
        <v>1328</v>
      </c>
      <c r="Z744" s="32">
        <v>6192.6299999999992</v>
      </c>
      <c r="AA744" s="3">
        <f t="shared" si="11"/>
        <v>5918.79</v>
      </c>
      <c r="AB744" s="3"/>
      <c r="AC744" s="3"/>
      <c r="AF744" s="3"/>
      <c r="AG744" s="3"/>
      <c r="AH744" s="3"/>
    </row>
    <row r="745" spans="1:34" x14ac:dyDescent="0.25">
      <c r="A745">
        <v>8570010</v>
      </c>
      <c r="B745">
        <v>857</v>
      </c>
      <c r="C745" s="2">
        <v>1</v>
      </c>
      <c r="D745" s="2" t="s">
        <v>832</v>
      </c>
      <c r="E745">
        <v>10</v>
      </c>
      <c r="F745" s="2" t="s">
        <v>833</v>
      </c>
      <c r="G745" s="3">
        <v>0</v>
      </c>
      <c r="H745" s="32">
        <v>55</v>
      </c>
      <c r="I745" s="32">
        <v>47</v>
      </c>
      <c r="J745" s="32">
        <v>50</v>
      </c>
      <c r="K745" s="32">
        <v>45</v>
      </c>
      <c r="L745" s="32">
        <v>46</v>
      </c>
      <c r="M745" s="32">
        <v>43</v>
      </c>
      <c r="N745" s="32">
        <v>43</v>
      </c>
      <c r="O745" s="32">
        <v>34</v>
      </c>
      <c r="P745" s="32">
        <v>53</v>
      </c>
      <c r="Q745" s="32">
        <v>46</v>
      </c>
      <c r="R745" s="32">
        <v>53</v>
      </c>
      <c r="S745" s="32">
        <v>38</v>
      </c>
      <c r="T745" s="32">
        <v>47</v>
      </c>
      <c r="U745" s="32">
        <v>55</v>
      </c>
      <c r="V745" s="30">
        <v>0.89403973509933776</v>
      </c>
      <c r="W745" s="30">
        <v>0.79194630872483218</v>
      </c>
      <c r="X745" s="32">
        <v>22270.48</v>
      </c>
      <c r="Y745" s="32">
        <v>23085.15</v>
      </c>
      <c r="Z745" s="32">
        <v>45355.630000000005</v>
      </c>
      <c r="AA745" s="3">
        <f t="shared" si="11"/>
        <v>43349.99</v>
      </c>
      <c r="AB745" s="3"/>
      <c r="AC745" s="3"/>
      <c r="AF745" s="3"/>
      <c r="AG745" s="3"/>
      <c r="AH745" s="3"/>
    </row>
    <row r="746" spans="1:34" x14ac:dyDescent="0.25">
      <c r="A746">
        <v>8580002</v>
      </c>
      <c r="B746">
        <v>858</v>
      </c>
      <c r="C746" s="2">
        <v>1</v>
      </c>
      <c r="D746" s="2" t="s">
        <v>834</v>
      </c>
      <c r="E746">
        <v>2</v>
      </c>
      <c r="F746" s="2" t="s">
        <v>835</v>
      </c>
      <c r="G746" s="3">
        <v>0</v>
      </c>
      <c r="H746" s="32">
        <v>85</v>
      </c>
      <c r="I746" s="32">
        <v>57</v>
      </c>
      <c r="J746" s="32">
        <v>67</v>
      </c>
      <c r="K746" s="32">
        <v>58</v>
      </c>
      <c r="L746" s="32">
        <v>78</v>
      </c>
      <c r="M746" s="32">
        <v>70</v>
      </c>
      <c r="N746" s="32">
        <v>64</v>
      </c>
      <c r="O746" s="32">
        <v>43</v>
      </c>
      <c r="P746" s="32">
        <v>77</v>
      </c>
      <c r="Q746" s="32">
        <v>66</v>
      </c>
      <c r="R746" s="32">
        <v>61</v>
      </c>
      <c r="S746" s="32">
        <v>53</v>
      </c>
      <c r="T746" s="32">
        <v>78</v>
      </c>
      <c r="U746" s="32">
        <v>64</v>
      </c>
      <c r="V746" s="30">
        <v>0.80434782608695654</v>
      </c>
      <c r="W746" s="30">
        <v>0.80198019801980203</v>
      </c>
      <c r="X746" s="32">
        <v>33251.4</v>
      </c>
      <c r="Y746" s="32">
        <v>27203.200000000001</v>
      </c>
      <c r="Z746" s="32">
        <v>60454.600000000006</v>
      </c>
      <c r="AA746" s="3">
        <f t="shared" si="11"/>
        <v>57781.279999999999</v>
      </c>
      <c r="AB746" s="3"/>
      <c r="AC746" s="3"/>
      <c r="AF746" s="3"/>
      <c r="AG746" s="3"/>
      <c r="AH746" s="3"/>
    </row>
    <row r="747" spans="1:34" x14ac:dyDescent="0.25">
      <c r="A747">
        <v>8610001</v>
      </c>
      <c r="B747">
        <v>861</v>
      </c>
      <c r="C747" s="2">
        <v>1</v>
      </c>
      <c r="D747" s="2" t="s">
        <v>836</v>
      </c>
      <c r="E747">
        <v>1</v>
      </c>
      <c r="F747" s="2" t="s">
        <v>110</v>
      </c>
      <c r="G747" s="3">
        <v>0</v>
      </c>
      <c r="H747" s="32">
        <v>16</v>
      </c>
      <c r="I747" s="32">
        <v>10</v>
      </c>
      <c r="J747" s="32">
        <v>11</v>
      </c>
      <c r="K747" s="32">
        <v>11</v>
      </c>
      <c r="L747" s="32">
        <v>0</v>
      </c>
      <c r="M747" s="32">
        <v>0</v>
      </c>
      <c r="N747" s="32">
        <v>0</v>
      </c>
      <c r="O747" s="32">
        <v>0</v>
      </c>
      <c r="P747" s="32">
        <v>0</v>
      </c>
      <c r="Q747" s="32">
        <v>0</v>
      </c>
      <c r="R747" s="32">
        <v>0</v>
      </c>
      <c r="S747" s="32">
        <v>0</v>
      </c>
      <c r="T747" s="32">
        <v>0</v>
      </c>
      <c r="U747" s="32">
        <v>0</v>
      </c>
      <c r="V747" s="30">
        <v>0.77777777777777779</v>
      </c>
      <c r="W747" s="30">
        <v>0</v>
      </c>
      <c r="X747" s="32">
        <v>0</v>
      </c>
      <c r="Y747" s="32">
        <v>0</v>
      </c>
      <c r="Z747" s="32">
        <v>0</v>
      </c>
      <c r="AA747" s="3">
        <f t="shared" si="11"/>
        <v>0</v>
      </c>
      <c r="AB747" s="3"/>
      <c r="AC747" s="3"/>
      <c r="AF747" s="3"/>
      <c r="AG747" s="3"/>
      <c r="AH747" s="3"/>
    </row>
    <row r="748" spans="1:34" x14ac:dyDescent="0.25">
      <c r="A748">
        <v>8610002</v>
      </c>
      <c r="B748">
        <v>861</v>
      </c>
      <c r="C748" s="2">
        <v>1</v>
      </c>
      <c r="D748" s="2" t="s">
        <v>836</v>
      </c>
      <c r="E748">
        <v>2</v>
      </c>
      <c r="F748" s="2" t="s">
        <v>28</v>
      </c>
      <c r="G748" s="3">
        <v>0</v>
      </c>
      <c r="H748" s="32">
        <v>67</v>
      </c>
      <c r="I748" s="32">
        <v>48</v>
      </c>
      <c r="J748" s="32">
        <v>45</v>
      </c>
      <c r="K748" s="32">
        <v>34</v>
      </c>
      <c r="L748" s="32">
        <v>47</v>
      </c>
      <c r="M748" s="32">
        <v>31</v>
      </c>
      <c r="N748" s="32">
        <v>54</v>
      </c>
      <c r="O748" s="32">
        <v>47</v>
      </c>
      <c r="P748" s="32">
        <v>60</v>
      </c>
      <c r="Q748" s="32">
        <v>54</v>
      </c>
      <c r="R748" s="32">
        <v>52</v>
      </c>
      <c r="S748" s="32">
        <v>45</v>
      </c>
      <c r="T748" s="32">
        <v>51</v>
      </c>
      <c r="U748" s="32">
        <v>61</v>
      </c>
      <c r="V748" s="30">
        <v>0.71069182389937102</v>
      </c>
      <c r="W748" s="30">
        <v>0.87951807228915657</v>
      </c>
      <c r="X748" s="32">
        <v>19210.170000000002</v>
      </c>
      <c r="Y748" s="32">
        <v>28434.54</v>
      </c>
      <c r="Z748" s="32">
        <v>47644.710000000006</v>
      </c>
      <c r="AA748" s="3">
        <f t="shared" si="11"/>
        <v>45537.85</v>
      </c>
      <c r="AB748" s="3"/>
      <c r="AC748" s="3"/>
      <c r="AF748" s="3"/>
      <c r="AG748" s="3"/>
      <c r="AH748" s="3"/>
    </row>
    <row r="749" spans="1:34" x14ac:dyDescent="0.25">
      <c r="A749">
        <v>8610004</v>
      </c>
      <c r="B749">
        <v>861</v>
      </c>
      <c r="C749" s="2">
        <v>1</v>
      </c>
      <c r="D749" s="2" t="s">
        <v>836</v>
      </c>
      <c r="E749">
        <v>4</v>
      </c>
      <c r="F749" s="2" t="s">
        <v>62</v>
      </c>
      <c r="G749" s="3">
        <v>0</v>
      </c>
      <c r="H749" s="32">
        <v>36</v>
      </c>
      <c r="I749" s="32">
        <v>24</v>
      </c>
      <c r="J749" s="32">
        <v>36</v>
      </c>
      <c r="K749" s="32">
        <v>31</v>
      </c>
      <c r="L749" s="32">
        <v>33</v>
      </c>
      <c r="M749" s="32">
        <v>25</v>
      </c>
      <c r="N749" s="32">
        <v>22</v>
      </c>
      <c r="O749" s="32">
        <v>18</v>
      </c>
      <c r="P749" s="32">
        <v>36</v>
      </c>
      <c r="Q749" s="32">
        <v>28</v>
      </c>
      <c r="R749" s="32">
        <v>31</v>
      </c>
      <c r="S749" s="32">
        <v>15</v>
      </c>
      <c r="T749" s="32">
        <v>36</v>
      </c>
      <c r="U749" s="32">
        <v>37</v>
      </c>
      <c r="V749" s="30">
        <v>0.76190476190476186</v>
      </c>
      <c r="W749" s="30">
        <v>0.6853932584269663</v>
      </c>
      <c r="X749" s="32">
        <v>14537.16</v>
      </c>
      <c r="Y749" s="32">
        <v>13440.619999999999</v>
      </c>
      <c r="Z749" s="32">
        <v>27977.78</v>
      </c>
      <c r="AA749" s="3">
        <f t="shared" si="11"/>
        <v>26740.6</v>
      </c>
      <c r="AB749" s="3"/>
      <c r="AC749" s="3"/>
      <c r="AF749" s="3"/>
      <c r="AG749" s="3"/>
      <c r="AH749" s="3"/>
    </row>
    <row r="750" spans="1:34" x14ac:dyDescent="0.25">
      <c r="A750">
        <v>8610011</v>
      </c>
      <c r="B750">
        <v>861</v>
      </c>
      <c r="C750" s="2">
        <v>1</v>
      </c>
      <c r="D750" s="2" t="s">
        <v>1242</v>
      </c>
      <c r="E750">
        <v>11</v>
      </c>
      <c r="F750" s="2" t="s">
        <v>1243</v>
      </c>
      <c r="G750" s="3">
        <v>1</v>
      </c>
      <c r="H750" s="32" t="s">
        <v>1328</v>
      </c>
      <c r="I750" s="32" t="s">
        <v>1328</v>
      </c>
      <c r="J750" s="32" t="s">
        <v>1328</v>
      </c>
      <c r="K750" s="32" t="s">
        <v>1328</v>
      </c>
      <c r="L750" s="32" t="s">
        <v>1328</v>
      </c>
      <c r="M750" s="32" t="s">
        <v>1328</v>
      </c>
      <c r="N750" s="32" t="s">
        <v>1328</v>
      </c>
      <c r="O750" s="32" t="s">
        <v>1328</v>
      </c>
      <c r="P750" s="32" t="s">
        <v>1328</v>
      </c>
      <c r="Q750" s="32" t="s">
        <v>1328</v>
      </c>
      <c r="R750" s="32" t="s">
        <v>1328</v>
      </c>
      <c r="S750" s="32" t="s">
        <v>1328</v>
      </c>
      <c r="T750" s="32">
        <v>6</v>
      </c>
      <c r="U750" s="32">
        <v>7</v>
      </c>
      <c r="V750" s="30" t="s">
        <v>1328</v>
      </c>
      <c r="W750" s="30" t="s">
        <v>1328</v>
      </c>
      <c r="X750" s="32" t="s">
        <v>1328</v>
      </c>
      <c r="Y750" s="32" t="s">
        <v>1328</v>
      </c>
      <c r="Z750" s="32">
        <v>5047.08</v>
      </c>
      <c r="AA750" s="3">
        <f t="shared" si="11"/>
        <v>4823.8999999999996</v>
      </c>
      <c r="AB750" s="3"/>
      <c r="AC750" s="3"/>
      <c r="AF750" s="3"/>
      <c r="AG750" s="3"/>
      <c r="AH750" s="3"/>
    </row>
    <row r="751" spans="1:34" x14ac:dyDescent="0.25">
      <c r="A751">
        <v>8610012</v>
      </c>
      <c r="B751">
        <v>861</v>
      </c>
      <c r="C751" s="2">
        <v>1</v>
      </c>
      <c r="D751" s="2" t="s">
        <v>836</v>
      </c>
      <c r="E751">
        <v>12</v>
      </c>
      <c r="F751" s="2" t="s">
        <v>71</v>
      </c>
      <c r="G751" s="3">
        <v>0</v>
      </c>
      <c r="H751" s="32">
        <v>47</v>
      </c>
      <c r="I751" s="32">
        <v>27</v>
      </c>
      <c r="J751" s="32">
        <v>54</v>
      </c>
      <c r="K751" s="32">
        <v>41</v>
      </c>
      <c r="L751" s="32">
        <v>52</v>
      </c>
      <c r="M751" s="32">
        <v>38</v>
      </c>
      <c r="N751" s="32">
        <v>54</v>
      </c>
      <c r="O751" s="32">
        <v>38</v>
      </c>
      <c r="P751" s="32">
        <v>36</v>
      </c>
      <c r="Q751" s="32">
        <v>30</v>
      </c>
      <c r="R751" s="32">
        <v>47</v>
      </c>
      <c r="S751" s="32">
        <v>34</v>
      </c>
      <c r="T751" s="32">
        <v>54</v>
      </c>
      <c r="U751" s="32">
        <v>59</v>
      </c>
      <c r="V751" s="30">
        <v>0.69281045751633985</v>
      </c>
      <c r="W751" s="30">
        <v>0.74452554744525545</v>
      </c>
      <c r="X751" s="32">
        <v>19828.259999999998</v>
      </c>
      <c r="Y751" s="32">
        <v>23281.4</v>
      </c>
      <c r="Z751" s="32">
        <v>43109.66</v>
      </c>
      <c r="AA751" s="3">
        <f t="shared" si="11"/>
        <v>41203.339999999997</v>
      </c>
      <c r="AB751" s="3"/>
      <c r="AC751" s="3"/>
      <c r="AF751" s="3"/>
      <c r="AG751" s="3"/>
      <c r="AH751" s="3"/>
    </row>
    <row r="752" spans="1:34" x14ac:dyDescent="0.25">
      <c r="A752">
        <v>8610015</v>
      </c>
      <c r="B752">
        <v>861</v>
      </c>
      <c r="C752" s="2">
        <v>1</v>
      </c>
      <c r="D752" s="2" t="s">
        <v>836</v>
      </c>
      <c r="E752">
        <v>15</v>
      </c>
      <c r="F752" s="2" t="s">
        <v>837</v>
      </c>
      <c r="G752" s="3">
        <v>0</v>
      </c>
      <c r="H752" s="32">
        <v>36</v>
      </c>
      <c r="I752" s="32">
        <v>33</v>
      </c>
      <c r="J752" s="32">
        <v>34</v>
      </c>
      <c r="K752" s="32">
        <v>28</v>
      </c>
      <c r="L752" s="32">
        <v>33</v>
      </c>
      <c r="M752" s="32">
        <v>25</v>
      </c>
      <c r="N752" s="32">
        <v>30</v>
      </c>
      <c r="O752" s="32">
        <v>27</v>
      </c>
      <c r="P752" s="32">
        <v>36</v>
      </c>
      <c r="Q752" s="32">
        <v>30</v>
      </c>
      <c r="R752" s="32">
        <v>33</v>
      </c>
      <c r="S752" s="32">
        <v>27</v>
      </c>
      <c r="T752" s="32">
        <v>34</v>
      </c>
      <c r="U752" s="32">
        <v>37</v>
      </c>
      <c r="V752" s="30">
        <v>0.83495145631067957</v>
      </c>
      <c r="W752" s="30">
        <v>0.84848484848484851</v>
      </c>
      <c r="X752" s="32">
        <v>15045.68</v>
      </c>
      <c r="Y752" s="32">
        <v>16638.899999999998</v>
      </c>
      <c r="Z752" s="32">
        <v>31684.579999999998</v>
      </c>
      <c r="AA752" s="3">
        <f t="shared" si="11"/>
        <v>30283.48</v>
      </c>
      <c r="AB752" s="3"/>
      <c r="AC752" s="3"/>
      <c r="AF752" s="3"/>
      <c r="AG752" s="3"/>
      <c r="AH752" s="3"/>
    </row>
    <row r="753" spans="1:34" x14ac:dyDescent="0.25">
      <c r="A753">
        <v>8760001</v>
      </c>
      <c r="B753">
        <v>876</v>
      </c>
      <c r="C753" s="2">
        <v>1</v>
      </c>
      <c r="D753" s="2" t="s">
        <v>838</v>
      </c>
      <c r="E753">
        <v>1</v>
      </c>
      <c r="F753" s="2" t="s">
        <v>839</v>
      </c>
      <c r="G753" s="3">
        <v>0</v>
      </c>
      <c r="H753" s="32">
        <v>122</v>
      </c>
      <c r="I753" s="32">
        <v>106</v>
      </c>
      <c r="J753" s="32">
        <v>106</v>
      </c>
      <c r="K753" s="32">
        <v>98</v>
      </c>
      <c r="L753" s="32">
        <v>108</v>
      </c>
      <c r="M753" s="32">
        <v>96</v>
      </c>
      <c r="N753" s="32">
        <v>124</v>
      </c>
      <c r="O753" s="32">
        <v>105</v>
      </c>
      <c r="P753" s="32">
        <v>123</v>
      </c>
      <c r="Q753" s="32">
        <v>109</v>
      </c>
      <c r="R753" s="32">
        <v>104</v>
      </c>
      <c r="S753" s="32">
        <v>94</v>
      </c>
      <c r="T753" s="32">
        <v>111</v>
      </c>
      <c r="U753" s="32">
        <v>115</v>
      </c>
      <c r="V753" s="30">
        <v>0.8928571428571429</v>
      </c>
      <c r="W753" s="30">
        <v>0.87749287749287752</v>
      </c>
      <c r="X753" s="32">
        <v>52526.31</v>
      </c>
      <c r="Y753" s="32">
        <v>53483.049999999996</v>
      </c>
      <c r="Z753" s="32">
        <v>106009.35999999999</v>
      </c>
      <c r="AA753" s="3">
        <f t="shared" si="11"/>
        <v>101321.60000000001</v>
      </c>
      <c r="AB753" s="3"/>
      <c r="AC753" s="3"/>
      <c r="AF753" s="3"/>
      <c r="AG753" s="3"/>
      <c r="AH753" s="3"/>
    </row>
    <row r="754" spans="1:34" x14ac:dyDescent="0.25">
      <c r="A754">
        <v>8770010</v>
      </c>
      <c r="B754">
        <v>877</v>
      </c>
      <c r="C754" s="2">
        <v>1</v>
      </c>
      <c r="D754" s="2" t="s">
        <v>840</v>
      </c>
      <c r="E754">
        <v>10</v>
      </c>
      <c r="F754" s="2" t="s">
        <v>841</v>
      </c>
      <c r="G754" s="3">
        <v>0</v>
      </c>
      <c r="H754" s="32">
        <v>70</v>
      </c>
      <c r="I754" s="32">
        <v>52</v>
      </c>
      <c r="J754" s="32">
        <v>68</v>
      </c>
      <c r="K754" s="32">
        <v>51</v>
      </c>
      <c r="L754" s="32">
        <v>71</v>
      </c>
      <c r="M754" s="32">
        <v>52</v>
      </c>
      <c r="N754" s="32">
        <v>57</v>
      </c>
      <c r="O754" s="32">
        <v>45</v>
      </c>
      <c r="P754" s="32">
        <v>67</v>
      </c>
      <c r="Q754" s="32">
        <v>56</v>
      </c>
      <c r="R754" s="32">
        <v>64</v>
      </c>
      <c r="S754" s="32">
        <v>57</v>
      </c>
      <c r="T754" s="32">
        <v>70</v>
      </c>
      <c r="U754" s="32">
        <v>70</v>
      </c>
      <c r="V754" s="30">
        <v>0.74162679425837319</v>
      </c>
      <c r="W754" s="30">
        <v>0.84042553191489366</v>
      </c>
      <c r="X754" s="32">
        <v>27514.2</v>
      </c>
      <c r="Y754" s="32">
        <v>31180.100000000002</v>
      </c>
      <c r="Z754" s="32">
        <v>58694.3</v>
      </c>
      <c r="AA754" s="3">
        <f t="shared" si="11"/>
        <v>56098.82</v>
      </c>
      <c r="AB754" s="3"/>
      <c r="AC754" s="3"/>
      <c r="AF754" s="3"/>
      <c r="AG754" s="3"/>
      <c r="AH754" s="3"/>
    </row>
    <row r="755" spans="1:34" x14ac:dyDescent="0.25">
      <c r="A755">
        <v>8770020</v>
      </c>
      <c r="B755">
        <v>877</v>
      </c>
      <c r="C755" s="2">
        <v>1</v>
      </c>
      <c r="D755" s="2" t="s">
        <v>840</v>
      </c>
      <c r="E755">
        <v>20</v>
      </c>
      <c r="F755" s="2" t="s">
        <v>842</v>
      </c>
      <c r="G755" s="3">
        <v>0</v>
      </c>
      <c r="H755" s="32">
        <v>82</v>
      </c>
      <c r="I755" s="32">
        <v>77</v>
      </c>
      <c r="J755" s="32">
        <v>78</v>
      </c>
      <c r="K755" s="32">
        <v>69</v>
      </c>
      <c r="L755" s="32">
        <v>88</v>
      </c>
      <c r="M755" s="32">
        <v>81</v>
      </c>
      <c r="N755" s="32">
        <v>74</v>
      </c>
      <c r="O755" s="32">
        <v>62</v>
      </c>
      <c r="P755" s="32">
        <v>74</v>
      </c>
      <c r="Q755" s="32">
        <v>59</v>
      </c>
      <c r="R755" s="32">
        <v>76</v>
      </c>
      <c r="S755" s="32">
        <v>67</v>
      </c>
      <c r="T755" s="32">
        <v>91</v>
      </c>
      <c r="U755" s="32">
        <v>78</v>
      </c>
      <c r="V755" s="30">
        <v>0.91532258064516125</v>
      </c>
      <c r="W755" s="30">
        <v>0.8392857142857143</v>
      </c>
      <c r="X755" s="32">
        <v>44145.919999999998</v>
      </c>
      <c r="Y755" s="32">
        <v>34695.96</v>
      </c>
      <c r="Z755" s="32">
        <v>78841.88</v>
      </c>
      <c r="AA755" s="3">
        <f t="shared" si="11"/>
        <v>75355.47</v>
      </c>
      <c r="AB755" s="3"/>
      <c r="AC755" s="3"/>
      <c r="AF755" s="3"/>
      <c r="AG755" s="3"/>
      <c r="AH755" s="3"/>
    </row>
    <row r="756" spans="1:34" x14ac:dyDescent="0.25">
      <c r="A756">
        <v>8770050</v>
      </c>
      <c r="B756">
        <v>877</v>
      </c>
      <c r="C756" s="2">
        <v>1</v>
      </c>
      <c r="D756" s="2" t="s">
        <v>840</v>
      </c>
      <c r="E756">
        <v>50</v>
      </c>
      <c r="F756" s="2" t="s">
        <v>843</v>
      </c>
      <c r="G756" s="3">
        <v>0</v>
      </c>
      <c r="H756" s="32">
        <v>60</v>
      </c>
      <c r="I756" s="32">
        <v>44</v>
      </c>
      <c r="J756" s="32">
        <v>51</v>
      </c>
      <c r="K756" s="32">
        <v>40</v>
      </c>
      <c r="L756" s="32">
        <v>53</v>
      </c>
      <c r="M756" s="32">
        <v>38</v>
      </c>
      <c r="N756" s="32">
        <v>44</v>
      </c>
      <c r="O756" s="32">
        <v>36</v>
      </c>
      <c r="P756" s="32">
        <v>52</v>
      </c>
      <c r="Q756" s="32">
        <v>45</v>
      </c>
      <c r="R756" s="32">
        <v>50</v>
      </c>
      <c r="S756" s="32">
        <v>32</v>
      </c>
      <c r="T756" s="32">
        <v>52</v>
      </c>
      <c r="U756" s="32">
        <v>53</v>
      </c>
      <c r="V756" s="30">
        <v>0.74390243902439024</v>
      </c>
      <c r="W756" s="30">
        <v>0.77397260273972601</v>
      </c>
      <c r="X756" s="32">
        <v>20502.04</v>
      </c>
      <c r="Y756" s="32">
        <v>21741.129999999997</v>
      </c>
      <c r="Z756" s="32">
        <v>42243.17</v>
      </c>
      <c r="AA756" s="3">
        <f t="shared" si="11"/>
        <v>40375.17</v>
      </c>
      <c r="AB756" s="3"/>
      <c r="AC756" s="3"/>
      <c r="AF756" s="3"/>
      <c r="AG756" s="3"/>
      <c r="AH756" s="3"/>
    </row>
    <row r="757" spans="1:34" x14ac:dyDescent="0.25">
      <c r="A757">
        <v>8770060</v>
      </c>
      <c r="B757">
        <v>877</v>
      </c>
      <c r="C757" s="2">
        <v>1</v>
      </c>
      <c r="D757" s="2" t="s">
        <v>840</v>
      </c>
      <c r="E757">
        <v>60</v>
      </c>
      <c r="F757" s="2" t="s">
        <v>844</v>
      </c>
      <c r="G757" s="3">
        <v>0</v>
      </c>
      <c r="H757" s="32">
        <v>86</v>
      </c>
      <c r="I757" s="32">
        <v>66</v>
      </c>
      <c r="J757" s="32">
        <v>82</v>
      </c>
      <c r="K757" s="32">
        <v>58</v>
      </c>
      <c r="L757" s="32">
        <v>98</v>
      </c>
      <c r="M757" s="32">
        <v>81</v>
      </c>
      <c r="N757" s="32">
        <v>81</v>
      </c>
      <c r="O757" s="32">
        <v>69</v>
      </c>
      <c r="P757" s="32">
        <v>87</v>
      </c>
      <c r="Q757" s="32">
        <v>70</v>
      </c>
      <c r="R757" s="32">
        <v>82</v>
      </c>
      <c r="S757" s="32">
        <v>63</v>
      </c>
      <c r="T757" s="32">
        <v>100</v>
      </c>
      <c r="U757" s="32">
        <v>89</v>
      </c>
      <c r="V757" s="30">
        <v>0.77067669172932329</v>
      </c>
      <c r="W757" s="30">
        <v>0.80800000000000005</v>
      </c>
      <c r="X757" s="32">
        <v>40846</v>
      </c>
      <c r="Y757" s="32">
        <v>38113.360000000001</v>
      </c>
      <c r="Z757" s="32">
        <v>78959.360000000001</v>
      </c>
      <c r="AA757" s="3">
        <f t="shared" si="11"/>
        <v>75467.759999999995</v>
      </c>
      <c r="AB757" s="3"/>
      <c r="AC757" s="3"/>
      <c r="AF757" s="3"/>
      <c r="AG757" s="3"/>
      <c r="AH757" s="3"/>
    </row>
    <row r="758" spans="1:34" x14ac:dyDescent="0.25">
      <c r="A758">
        <v>8770065</v>
      </c>
      <c r="B758">
        <v>877</v>
      </c>
      <c r="C758" s="2">
        <v>1</v>
      </c>
      <c r="D758" s="2" t="s">
        <v>840</v>
      </c>
      <c r="E758">
        <v>65</v>
      </c>
      <c r="F758" s="2" t="s">
        <v>845</v>
      </c>
      <c r="G758" s="3">
        <v>0</v>
      </c>
      <c r="H758" s="32">
        <v>128</v>
      </c>
      <c r="I758" s="32">
        <v>110</v>
      </c>
      <c r="J758" s="32">
        <v>87</v>
      </c>
      <c r="K758" s="32">
        <v>78</v>
      </c>
      <c r="L758" s="32">
        <v>101</v>
      </c>
      <c r="M758" s="32">
        <v>88</v>
      </c>
      <c r="N758" s="32">
        <v>90</v>
      </c>
      <c r="O758" s="32">
        <v>80</v>
      </c>
      <c r="P758" s="32">
        <v>124</v>
      </c>
      <c r="Q758" s="32">
        <v>104</v>
      </c>
      <c r="R758" s="32">
        <v>80</v>
      </c>
      <c r="S758" s="32">
        <v>59</v>
      </c>
      <c r="T758" s="32">
        <v>109</v>
      </c>
      <c r="U758" s="32">
        <v>93</v>
      </c>
      <c r="V758" s="30">
        <v>0.87341772151898733</v>
      </c>
      <c r="W758" s="30">
        <v>0.82653061224489799</v>
      </c>
      <c r="X758" s="32">
        <v>50457.19</v>
      </c>
      <c r="Y758" s="32">
        <v>40739.58</v>
      </c>
      <c r="Z758" s="32">
        <v>91196.77</v>
      </c>
      <c r="AA758" s="3">
        <f t="shared" si="11"/>
        <v>87164.03</v>
      </c>
      <c r="AB758" s="3"/>
      <c r="AC758" s="3"/>
      <c r="AF758" s="3"/>
      <c r="AG758" s="3"/>
      <c r="AH758" s="3"/>
    </row>
    <row r="759" spans="1:34" x14ac:dyDescent="0.25">
      <c r="A759">
        <v>8770070</v>
      </c>
      <c r="B759">
        <v>877</v>
      </c>
      <c r="C759" s="2">
        <v>1</v>
      </c>
      <c r="D759" s="2" t="s">
        <v>840</v>
      </c>
      <c r="E759">
        <v>70</v>
      </c>
      <c r="F759" s="2" t="s">
        <v>846</v>
      </c>
      <c r="G759" s="3">
        <v>0</v>
      </c>
      <c r="H759" s="32">
        <v>41</v>
      </c>
      <c r="I759" s="32">
        <v>39</v>
      </c>
      <c r="J759" s="32">
        <v>47</v>
      </c>
      <c r="K759" s="32">
        <v>40</v>
      </c>
      <c r="L759" s="32">
        <v>47</v>
      </c>
      <c r="M759" s="32">
        <v>40</v>
      </c>
      <c r="N759" s="32">
        <v>42</v>
      </c>
      <c r="O759" s="32">
        <v>33</v>
      </c>
      <c r="P759" s="32">
        <v>40</v>
      </c>
      <c r="Q759" s="32">
        <v>35</v>
      </c>
      <c r="R759" s="32">
        <v>46</v>
      </c>
      <c r="S759" s="32">
        <v>42</v>
      </c>
      <c r="T759" s="32">
        <v>47</v>
      </c>
      <c r="U759" s="32">
        <v>46</v>
      </c>
      <c r="V759" s="30">
        <v>0.88148148148148153</v>
      </c>
      <c r="W759" s="30">
        <v>0.859375</v>
      </c>
      <c r="X759" s="32">
        <v>21957.93</v>
      </c>
      <c r="Y759" s="32">
        <v>20951.620000000003</v>
      </c>
      <c r="Z759" s="32">
        <v>42909.55</v>
      </c>
      <c r="AA759" s="3">
        <f t="shared" si="11"/>
        <v>41012.080000000002</v>
      </c>
      <c r="AB759" s="3"/>
      <c r="AC759" s="3"/>
      <c r="AF759" s="3"/>
      <c r="AG759" s="3"/>
      <c r="AH759" s="3"/>
    </row>
    <row r="760" spans="1:34" x14ac:dyDescent="0.25">
      <c r="A760">
        <v>8790010</v>
      </c>
      <c r="B760">
        <v>879</v>
      </c>
      <c r="C760" s="2">
        <v>1</v>
      </c>
      <c r="D760" s="2" t="s">
        <v>847</v>
      </c>
      <c r="E760">
        <v>10</v>
      </c>
      <c r="F760" s="2" t="s">
        <v>848</v>
      </c>
      <c r="G760" s="3">
        <v>0</v>
      </c>
      <c r="H760" s="32">
        <v>169</v>
      </c>
      <c r="I760" s="32">
        <v>155</v>
      </c>
      <c r="J760" s="32">
        <v>164</v>
      </c>
      <c r="K760" s="32">
        <v>155</v>
      </c>
      <c r="L760" s="32">
        <v>150</v>
      </c>
      <c r="M760" s="32">
        <v>140</v>
      </c>
      <c r="N760" s="32">
        <v>151</v>
      </c>
      <c r="O760" s="32">
        <v>116</v>
      </c>
      <c r="P760" s="32">
        <v>167</v>
      </c>
      <c r="Q760" s="32">
        <v>145</v>
      </c>
      <c r="R760" s="32">
        <v>160</v>
      </c>
      <c r="S760" s="32">
        <v>136</v>
      </c>
      <c r="T760" s="32">
        <v>151</v>
      </c>
      <c r="U760" s="32">
        <v>174</v>
      </c>
      <c r="V760" s="30">
        <v>0.93167701863354035</v>
      </c>
      <c r="W760" s="30">
        <v>0.83054393305439334</v>
      </c>
      <c r="X760" s="32">
        <v>74562.290000000008</v>
      </c>
      <c r="Y760" s="32">
        <v>76593.06</v>
      </c>
      <c r="Z760" s="32">
        <v>151155.35</v>
      </c>
      <c r="AA760" s="3">
        <f t="shared" si="11"/>
        <v>144471.22</v>
      </c>
      <c r="AB760" s="3"/>
      <c r="AC760" s="3"/>
      <c r="AF760" s="3"/>
      <c r="AG760" s="3"/>
      <c r="AH760" s="3"/>
    </row>
    <row r="761" spans="1:34" x14ac:dyDescent="0.25">
      <c r="A761">
        <v>8810010</v>
      </c>
      <c r="B761">
        <v>881</v>
      </c>
      <c r="C761" s="2">
        <v>1</v>
      </c>
      <c r="D761" s="2" t="s">
        <v>849</v>
      </c>
      <c r="E761">
        <v>10</v>
      </c>
      <c r="F761" s="2" t="s">
        <v>850</v>
      </c>
      <c r="G761" s="3">
        <v>0</v>
      </c>
      <c r="H761" s="32">
        <v>63</v>
      </c>
      <c r="I761" s="32">
        <v>45</v>
      </c>
      <c r="J761" s="32">
        <v>57</v>
      </c>
      <c r="K761" s="32">
        <v>50</v>
      </c>
      <c r="L761" s="32">
        <v>60</v>
      </c>
      <c r="M761" s="32">
        <v>38</v>
      </c>
      <c r="N761" s="32">
        <v>72</v>
      </c>
      <c r="O761" s="32">
        <v>63</v>
      </c>
      <c r="P761" s="32">
        <v>56</v>
      </c>
      <c r="Q761" s="32">
        <v>50</v>
      </c>
      <c r="R761" s="32">
        <v>54</v>
      </c>
      <c r="S761" s="32">
        <v>50</v>
      </c>
      <c r="T761" s="32">
        <v>62</v>
      </c>
      <c r="U761" s="32">
        <v>59</v>
      </c>
      <c r="V761" s="30">
        <v>0.73888888888888893</v>
      </c>
      <c r="W761" s="30">
        <v>0.89560439560439564</v>
      </c>
      <c r="X761" s="32">
        <v>24279.82</v>
      </c>
      <c r="Y761" s="32">
        <v>28005.530000000002</v>
      </c>
      <c r="Z761" s="32">
        <v>52285.350000000006</v>
      </c>
      <c r="AA761" s="3">
        <f t="shared" si="11"/>
        <v>49973.279999999999</v>
      </c>
      <c r="AB761" s="3"/>
      <c r="AC761" s="3"/>
      <c r="AF761" s="3"/>
      <c r="AG761" s="3"/>
      <c r="AH761" s="3"/>
    </row>
    <row r="762" spans="1:34" x14ac:dyDescent="0.25">
      <c r="A762">
        <v>8820010</v>
      </c>
      <c r="B762">
        <v>882</v>
      </c>
      <c r="C762" s="2">
        <v>1</v>
      </c>
      <c r="D762" s="2" t="s">
        <v>851</v>
      </c>
      <c r="E762">
        <v>10</v>
      </c>
      <c r="F762" s="2" t="s">
        <v>250</v>
      </c>
      <c r="G762" s="3">
        <v>0</v>
      </c>
      <c r="H762" s="32">
        <v>150</v>
      </c>
      <c r="I762" s="32">
        <v>110</v>
      </c>
      <c r="J762" s="32">
        <v>137</v>
      </c>
      <c r="K762" s="32">
        <v>123</v>
      </c>
      <c r="L762" s="32">
        <v>163</v>
      </c>
      <c r="M762" s="32">
        <v>136</v>
      </c>
      <c r="N762" s="32">
        <v>149</v>
      </c>
      <c r="O762" s="32">
        <v>110</v>
      </c>
      <c r="P762" s="32">
        <v>145</v>
      </c>
      <c r="Q762" s="32">
        <v>125</v>
      </c>
      <c r="R762" s="32">
        <v>141</v>
      </c>
      <c r="S762" s="32">
        <v>121</v>
      </c>
      <c r="T762" s="32">
        <v>168</v>
      </c>
      <c r="U762" s="32">
        <v>153</v>
      </c>
      <c r="V762" s="30">
        <v>0.82</v>
      </c>
      <c r="W762" s="30">
        <v>0.81839080459770119</v>
      </c>
      <c r="X762" s="32">
        <v>73012.800000000003</v>
      </c>
      <c r="Y762" s="32">
        <v>66363.75</v>
      </c>
      <c r="Z762" s="32">
        <v>139376.54999999999</v>
      </c>
      <c r="AA762" s="3">
        <f t="shared" si="11"/>
        <v>133213.29</v>
      </c>
      <c r="AB762" s="3"/>
      <c r="AC762" s="3"/>
      <c r="AF762" s="3"/>
      <c r="AG762" s="3"/>
      <c r="AH762" s="3"/>
    </row>
    <row r="763" spans="1:34" x14ac:dyDescent="0.25">
      <c r="A763">
        <v>8820050</v>
      </c>
      <c r="B763">
        <v>882</v>
      </c>
      <c r="C763" s="2">
        <v>1</v>
      </c>
      <c r="D763" s="2" t="s">
        <v>851</v>
      </c>
      <c r="E763">
        <v>50</v>
      </c>
      <c r="F763" s="2" t="s">
        <v>852</v>
      </c>
      <c r="G763" s="3">
        <v>0</v>
      </c>
      <c r="H763" s="32">
        <v>132</v>
      </c>
      <c r="I763" s="32">
        <v>120</v>
      </c>
      <c r="J763" s="32">
        <v>123</v>
      </c>
      <c r="K763" s="32">
        <v>109</v>
      </c>
      <c r="L763" s="32">
        <v>125</v>
      </c>
      <c r="M763" s="32">
        <v>113</v>
      </c>
      <c r="N763" s="32">
        <v>116</v>
      </c>
      <c r="O763" s="32">
        <v>94</v>
      </c>
      <c r="P763" s="32">
        <v>121</v>
      </c>
      <c r="Q763" s="32">
        <v>106</v>
      </c>
      <c r="R763" s="32">
        <v>119</v>
      </c>
      <c r="S763" s="32">
        <v>94</v>
      </c>
      <c r="T763" s="32">
        <v>129</v>
      </c>
      <c r="U763" s="32">
        <v>124</v>
      </c>
      <c r="V763" s="30">
        <v>0.9</v>
      </c>
      <c r="W763" s="30">
        <v>0.8258426966292135</v>
      </c>
      <c r="X763" s="32">
        <v>61533</v>
      </c>
      <c r="Y763" s="32">
        <v>54274.799999999996</v>
      </c>
      <c r="Z763" s="32">
        <v>115807.79999999999</v>
      </c>
      <c r="AA763" s="3">
        <f t="shared" si="11"/>
        <v>110686.75</v>
      </c>
      <c r="AB763" s="3"/>
      <c r="AC763" s="3"/>
      <c r="AF763" s="3"/>
      <c r="AG763" s="3"/>
      <c r="AH763" s="3"/>
    </row>
    <row r="764" spans="1:34" x14ac:dyDescent="0.25">
      <c r="A764">
        <v>8830002</v>
      </c>
      <c r="B764">
        <v>883</v>
      </c>
      <c r="C764" s="2">
        <v>1</v>
      </c>
      <c r="D764" s="2" t="s">
        <v>853</v>
      </c>
      <c r="E764">
        <v>2</v>
      </c>
      <c r="F764" s="2" t="s">
        <v>854</v>
      </c>
      <c r="G764" s="3">
        <v>0</v>
      </c>
      <c r="H764" s="32">
        <v>105</v>
      </c>
      <c r="I764" s="32">
        <v>74</v>
      </c>
      <c r="J764" s="32">
        <v>132</v>
      </c>
      <c r="K764" s="32">
        <v>108</v>
      </c>
      <c r="L764" s="32">
        <v>126</v>
      </c>
      <c r="M764" s="32">
        <v>100</v>
      </c>
      <c r="N764" s="32">
        <v>108</v>
      </c>
      <c r="O764" s="32">
        <v>87</v>
      </c>
      <c r="P764" s="32">
        <v>99</v>
      </c>
      <c r="Q764" s="32">
        <v>91</v>
      </c>
      <c r="R764" s="32">
        <v>124</v>
      </c>
      <c r="S764" s="32">
        <v>98</v>
      </c>
      <c r="T764" s="32">
        <v>125</v>
      </c>
      <c r="U764" s="32">
        <v>137</v>
      </c>
      <c r="V764" s="30">
        <v>0.77685950413223137</v>
      </c>
      <c r="W764" s="30">
        <v>0.83383685800604235</v>
      </c>
      <c r="X764" s="32">
        <v>51467.5</v>
      </c>
      <c r="Y764" s="32">
        <v>60544.41</v>
      </c>
      <c r="Z764" s="32">
        <v>112011.91</v>
      </c>
      <c r="AA764" s="3">
        <f t="shared" si="11"/>
        <v>107058.72</v>
      </c>
      <c r="AB764" s="3"/>
      <c r="AC764" s="3"/>
      <c r="AF764" s="3"/>
      <c r="AG764" s="3"/>
      <c r="AH764" s="3"/>
    </row>
    <row r="765" spans="1:34" x14ac:dyDescent="0.25">
      <c r="A765">
        <v>8850040</v>
      </c>
      <c r="B765">
        <v>885</v>
      </c>
      <c r="C765" s="2">
        <v>1</v>
      </c>
      <c r="D765" s="2" t="s">
        <v>855</v>
      </c>
      <c r="E765">
        <v>40</v>
      </c>
      <c r="F765" s="2" t="s">
        <v>856</v>
      </c>
      <c r="G765" s="3">
        <v>0</v>
      </c>
      <c r="H765" s="32">
        <v>128</v>
      </c>
      <c r="I765" s="32">
        <v>102</v>
      </c>
      <c r="J765" s="32">
        <v>124</v>
      </c>
      <c r="K765" s="32">
        <v>112</v>
      </c>
      <c r="L765" s="32">
        <v>158</v>
      </c>
      <c r="M765" s="32">
        <v>134</v>
      </c>
      <c r="N765" s="32">
        <v>115</v>
      </c>
      <c r="O765" s="32">
        <v>92</v>
      </c>
      <c r="P765" s="32">
        <v>122</v>
      </c>
      <c r="Q765" s="32">
        <v>102</v>
      </c>
      <c r="R765" s="32">
        <v>125</v>
      </c>
      <c r="S765" s="32">
        <v>100</v>
      </c>
      <c r="T765" s="32">
        <v>158</v>
      </c>
      <c r="U765" s="32">
        <v>128</v>
      </c>
      <c r="V765" s="30">
        <v>0.84878048780487803</v>
      </c>
      <c r="W765" s="30">
        <v>0.81215469613259672</v>
      </c>
      <c r="X765" s="32">
        <v>71076.3</v>
      </c>
      <c r="Y765" s="32">
        <v>55096.32</v>
      </c>
      <c r="Z765" s="32">
        <v>126172.62</v>
      </c>
      <c r="AA765" s="3">
        <f t="shared" si="11"/>
        <v>120593.24</v>
      </c>
      <c r="AB765" s="3"/>
      <c r="AC765" s="3"/>
      <c r="AF765" s="3"/>
      <c r="AG765" s="3"/>
      <c r="AH765" s="3"/>
    </row>
    <row r="766" spans="1:34" x14ac:dyDescent="0.25">
      <c r="A766">
        <v>8850060</v>
      </c>
      <c r="B766">
        <v>885</v>
      </c>
      <c r="C766" s="2">
        <v>1</v>
      </c>
      <c r="D766" s="2" t="s">
        <v>855</v>
      </c>
      <c r="E766">
        <v>60</v>
      </c>
      <c r="F766" s="2" t="s">
        <v>857</v>
      </c>
      <c r="G766" s="3">
        <v>0</v>
      </c>
      <c r="H766" s="32">
        <v>149</v>
      </c>
      <c r="I766" s="32">
        <v>131</v>
      </c>
      <c r="J766" s="32">
        <v>159</v>
      </c>
      <c r="K766" s="32">
        <v>137</v>
      </c>
      <c r="L766" s="32">
        <v>143</v>
      </c>
      <c r="M766" s="32">
        <v>122</v>
      </c>
      <c r="N766" s="32">
        <v>123</v>
      </c>
      <c r="O766" s="32">
        <v>102</v>
      </c>
      <c r="P766" s="32">
        <v>141</v>
      </c>
      <c r="Q766" s="32">
        <v>118</v>
      </c>
      <c r="R766" s="32">
        <v>160</v>
      </c>
      <c r="S766" s="32">
        <v>130</v>
      </c>
      <c r="T766" s="32">
        <v>144</v>
      </c>
      <c r="U766" s="32">
        <v>161</v>
      </c>
      <c r="V766" s="30">
        <v>0.8647450110864745</v>
      </c>
      <c r="W766" s="30">
        <v>0.82547169811320753</v>
      </c>
      <c r="X766" s="32">
        <v>65996.639999999999</v>
      </c>
      <c r="Y766" s="32">
        <v>70437.5</v>
      </c>
      <c r="Z766" s="32">
        <v>136434.14000000001</v>
      </c>
      <c r="AA766" s="3">
        <f t="shared" si="11"/>
        <v>130400.99</v>
      </c>
      <c r="AB766" s="3"/>
      <c r="AC766" s="3"/>
      <c r="AF766" s="3"/>
      <c r="AG766" s="3"/>
      <c r="AH766" s="3"/>
    </row>
    <row r="767" spans="1:34" x14ac:dyDescent="0.25">
      <c r="A767">
        <v>8850070</v>
      </c>
      <c r="B767">
        <v>885</v>
      </c>
      <c r="C767" s="2">
        <v>1</v>
      </c>
      <c r="D767" s="2" t="s">
        <v>855</v>
      </c>
      <c r="E767">
        <v>70</v>
      </c>
      <c r="F767" s="2" t="s">
        <v>858</v>
      </c>
      <c r="G767" s="3">
        <v>0</v>
      </c>
      <c r="H767" s="32">
        <v>132</v>
      </c>
      <c r="I767" s="32">
        <v>109</v>
      </c>
      <c r="J767" s="32">
        <v>158</v>
      </c>
      <c r="K767" s="32">
        <v>130</v>
      </c>
      <c r="L767" s="32">
        <v>164</v>
      </c>
      <c r="M767" s="32">
        <v>134</v>
      </c>
      <c r="N767" s="32">
        <v>141</v>
      </c>
      <c r="O767" s="32">
        <v>103</v>
      </c>
      <c r="P767" s="32">
        <v>130</v>
      </c>
      <c r="Q767" s="32">
        <v>114</v>
      </c>
      <c r="R767" s="32">
        <v>150</v>
      </c>
      <c r="S767" s="32">
        <v>119</v>
      </c>
      <c r="T767" s="32">
        <v>167</v>
      </c>
      <c r="U767" s="32">
        <v>156</v>
      </c>
      <c r="V767" s="30">
        <v>0.82158590308370039</v>
      </c>
      <c r="W767" s="30">
        <v>0.79809976247030878</v>
      </c>
      <c r="X767" s="32">
        <v>72718.48</v>
      </c>
      <c r="Y767" s="32">
        <v>65986.44</v>
      </c>
      <c r="Z767" s="32">
        <v>138704.91999999998</v>
      </c>
      <c r="AA767" s="3">
        <f t="shared" si="11"/>
        <v>132571.35999999999</v>
      </c>
      <c r="AB767" s="3"/>
      <c r="AC767" s="3"/>
      <c r="AF767" s="3"/>
      <c r="AG767" s="3"/>
      <c r="AH767" s="3"/>
    </row>
    <row r="768" spans="1:34" x14ac:dyDescent="0.25">
      <c r="A768">
        <v>8910020</v>
      </c>
      <c r="B768">
        <v>891</v>
      </c>
      <c r="C768" s="2">
        <v>1</v>
      </c>
      <c r="D768" s="2" t="s">
        <v>859</v>
      </c>
      <c r="E768">
        <v>20</v>
      </c>
      <c r="F768" s="2" t="s">
        <v>860</v>
      </c>
      <c r="G768" s="3">
        <v>0</v>
      </c>
      <c r="H768" s="32">
        <v>37</v>
      </c>
      <c r="I768" s="32">
        <v>25</v>
      </c>
      <c r="J768" s="32">
        <v>30</v>
      </c>
      <c r="K768" s="32">
        <v>27</v>
      </c>
      <c r="L768" s="32">
        <v>26</v>
      </c>
      <c r="M768" s="32">
        <v>24</v>
      </c>
      <c r="N768" s="32">
        <v>30</v>
      </c>
      <c r="O768" s="32">
        <v>22</v>
      </c>
      <c r="P768" s="32">
        <v>34</v>
      </c>
      <c r="Q768" s="32">
        <v>30</v>
      </c>
      <c r="R768" s="32">
        <v>29</v>
      </c>
      <c r="S768" s="32">
        <v>27</v>
      </c>
      <c r="T768" s="32">
        <v>26</v>
      </c>
      <c r="U768" s="32">
        <v>30</v>
      </c>
      <c r="V768" s="30">
        <v>0.81720430107526887</v>
      </c>
      <c r="W768" s="30">
        <v>0.84946236559139787</v>
      </c>
      <c r="X768" s="32">
        <v>11261.12</v>
      </c>
      <c r="Y768" s="32">
        <v>13506.6</v>
      </c>
      <c r="Z768" s="32">
        <v>24767.72</v>
      </c>
      <c r="AA768" s="3">
        <f t="shared" si="11"/>
        <v>23672.49</v>
      </c>
      <c r="AB768" s="3"/>
      <c r="AC768" s="3"/>
      <c r="AF768" s="3"/>
      <c r="AG768" s="3"/>
      <c r="AH768" s="3"/>
    </row>
    <row r="769" spans="1:34" x14ac:dyDescent="0.25">
      <c r="A769">
        <v>9110103</v>
      </c>
      <c r="B769">
        <v>911</v>
      </c>
      <c r="C769" s="2">
        <v>1</v>
      </c>
      <c r="D769" s="2" t="s">
        <v>861</v>
      </c>
      <c r="E769">
        <v>103</v>
      </c>
      <c r="F769" s="2" t="s">
        <v>862</v>
      </c>
      <c r="G769" s="3">
        <v>0</v>
      </c>
      <c r="H769" s="32">
        <v>34</v>
      </c>
      <c r="I769" s="32">
        <v>21</v>
      </c>
      <c r="J769" s="32">
        <v>34</v>
      </c>
      <c r="K769" s="32">
        <v>24</v>
      </c>
      <c r="L769" s="32">
        <v>33</v>
      </c>
      <c r="M769" s="32">
        <v>25</v>
      </c>
      <c r="N769" s="32">
        <v>31</v>
      </c>
      <c r="O769" s="32">
        <v>22</v>
      </c>
      <c r="P769" s="32">
        <v>34</v>
      </c>
      <c r="Q769" s="32">
        <v>28</v>
      </c>
      <c r="R769" s="32">
        <v>31</v>
      </c>
      <c r="S769" s="32">
        <v>22</v>
      </c>
      <c r="T769" s="32">
        <v>35</v>
      </c>
      <c r="U769" s="32">
        <v>33</v>
      </c>
      <c r="V769" s="30">
        <v>0.69306930693069302</v>
      </c>
      <c r="W769" s="30">
        <v>0.75</v>
      </c>
      <c r="X769" s="32">
        <v>12856.55</v>
      </c>
      <c r="Y769" s="32">
        <v>13117.5</v>
      </c>
      <c r="Z769" s="32">
        <v>25974.05</v>
      </c>
      <c r="AA769" s="3">
        <f t="shared" si="11"/>
        <v>24825.47</v>
      </c>
      <c r="AB769" s="3"/>
      <c r="AC769" s="3"/>
      <c r="AF769" s="3"/>
      <c r="AG769" s="3"/>
      <c r="AH769" s="3"/>
    </row>
    <row r="770" spans="1:34" x14ac:dyDescent="0.25">
      <c r="A770" s="7">
        <v>9110201</v>
      </c>
      <c r="B770" s="8">
        <v>911</v>
      </c>
      <c r="C770" s="8">
        <v>1</v>
      </c>
      <c r="D770" s="8" t="s">
        <v>861</v>
      </c>
      <c r="E770" s="8">
        <v>201</v>
      </c>
      <c r="F770" s="8" t="s">
        <v>863</v>
      </c>
      <c r="G770" s="3">
        <v>0</v>
      </c>
      <c r="H770" s="32">
        <v>175</v>
      </c>
      <c r="I770" s="32">
        <v>137</v>
      </c>
      <c r="J770" s="32">
        <v>194</v>
      </c>
      <c r="K770" s="32">
        <v>149</v>
      </c>
      <c r="L770" s="32">
        <v>207</v>
      </c>
      <c r="M770" s="32">
        <v>167</v>
      </c>
      <c r="N770" s="32">
        <v>173</v>
      </c>
      <c r="O770" s="32">
        <v>123</v>
      </c>
      <c r="P770" s="32">
        <v>171</v>
      </c>
      <c r="Q770" s="32">
        <v>136</v>
      </c>
      <c r="R770" s="32">
        <v>188</v>
      </c>
      <c r="S770" s="32">
        <v>153</v>
      </c>
      <c r="T770" s="32">
        <v>212</v>
      </c>
      <c r="U770" s="32">
        <v>198</v>
      </c>
      <c r="V770" s="30">
        <v>0.78645833333333337</v>
      </c>
      <c r="W770" s="30">
        <v>0.77443609022556392</v>
      </c>
      <c r="X770" s="32">
        <v>88365.84</v>
      </c>
      <c r="Y770" s="32">
        <v>81269.099999999991</v>
      </c>
      <c r="Z770" s="32">
        <v>169634.94</v>
      </c>
      <c r="AA770" s="3">
        <f t="shared" si="11"/>
        <v>162133.64000000001</v>
      </c>
      <c r="AB770" s="3"/>
      <c r="AC770" s="3"/>
      <c r="AF770" s="3"/>
      <c r="AG770" s="3"/>
      <c r="AH770" s="3"/>
    </row>
    <row r="771" spans="1:34" x14ac:dyDescent="0.25">
      <c r="A771">
        <v>9110202</v>
      </c>
      <c r="B771">
        <v>911</v>
      </c>
      <c r="C771" s="2">
        <v>1</v>
      </c>
      <c r="D771" s="2" t="s">
        <v>861</v>
      </c>
      <c r="E771">
        <v>202</v>
      </c>
      <c r="F771" s="2" t="s">
        <v>864</v>
      </c>
      <c r="G771" s="3">
        <v>0</v>
      </c>
      <c r="H771" s="32">
        <v>140</v>
      </c>
      <c r="I771" s="32">
        <v>112</v>
      </c>
      <c r="J771" s="32">
        <v>142</v>
      </c>
      <c r="K771" s="32">
        <v>118</v>
      </c>
      <c r="L771" s="32">
        <v>169</v>
      </c>
      <c r="M771" s="32">
        <v>136</v>
      </c>
      <c r="N771" s="32">
        <v>142</v>
      </c>
      <c r="O771" s="32">
        <v>98</v>
      </c>
      <c r="P771" s="32">
        <v>134</v>
      </c>
      <c r="Q771" s="32">
        <v>84</v>
      </c>
      <c r="R771" s="32">
        <v>131</v>
      </c>
      <c r="S771" s="32">
        <v>96</v>
      </c>
      <c r="T771" s="32">
        <v>167</v>
      </c>
      <c r="U771" s="32">
        <v>144</v>
      </c>
      <c r="V771" s="30">
        <v>0.81152993348115299</v>
      </c>
      <c r="W771" s="30">
        <v>0.68304668304668303</v>
      </c>
      <c r="X771" s="32">
        <v>71828.37</v>
      </c>
      <c r="Y771" s="32">
        <v>52129.440000000002</v>
      </c>
      <c r="Z771" s="32">
        <v>123957.81</v>
      </c>
      <c r="AA771" s="3">
        <f t="shared" si="11"/>
        <v>118476.37</v>
      </c>
      <c r="AB771" s="3"/>
      <c r="AC771" s="3"/>
      <c r="AF771" s="3"/>
      <c r="AG771" s="3"/>
      <c r="AH771" s="3"/>
    </row>
    <row r="772" spans="1:34" x14ac:dyDescent="0.25">
      <c r="A772">
        <v>9120010</v>
      </c>
      <c r="B772">
        <v>912</v>
      </c>
      <c r="C772" s="2">
        <v>1</v>
      </c>
      <c r="D772" s="2" t="s">
        <v>865</v>
      </c>
      <c r="E772">
        <v>10</v>
      </c>
      <c r="F772" s="2" t="s">
        <v>866</v>
      </c>
      <c r="G772" s="3">
        <v>0</v>
      </c>
      <c r="H772" s="32">
        <v>125</v>
      </c>
      <c r="I772" s="32">
        <v>103</v>
      </c>
      <c r="J772" s="32">
        <v>142</v>
      </c>
      <c r="K772" s="32">
        <v>114</v>
      </c>
      <c r="L772" s="32">
        <v>127</v>
      </c>
      <c r="M772" s="32">
        <v>101</v>
      </c>
      <c r="N772" s="32">
        <v>123</v>
      </c>
      <c r="O772" s="32">
        <v>82</v>
      </c>
      <c r="P772" s="32">
        <v>123</v>
      </c>
      <c r="Q772" s="32">
        <v>77</v>
      </c>
      <c r="R772" s="32">
        <v>129</v>
      </c>
      <c r="S772" s="32">
        <v>91</v>
      </c>
      <c r="T772" s="32">
        <v>131</v>
      </c>
      <c r="U772" s="32">
        <v>150</v>
      </c>
      <c r="V772" s="30">
        <v>0.80710659898477155</v>
      </c>
      <c r="W772" s="30">
        <v>0.66666666666666663</v>
      </c>
      <c r="X772" s="32">
        <v>56037.869999999995</v>
      </c>
      <c r="Y772" s="32">
        <v>52999.5</v>
      </c>
      <c r="Z772" s="32">
        <v>109037.37</v>
      </c>
      <c r="AA772" s="3">
        <f t="shared" si="11"/>
        <v>104215.71</v>
      </c>
      <c r="AB772" s="3"/>
      <c r="AC772" s="3"/>
      <c r="AF772" s="3"/>
      <c r="AG772" s="3"/>
      <c r="AH772" s="3"/>
    </row>
    <row r="773" spans="1:34" x14ac:dyDescent="0.25">
      <c r="A773">
        <v>9140001</v>
      </c>
      <c r="B773">
        <v>914</v>
      </c>
      <c r="C773" s="2">
        <v>1</v>
      </c>
      <c r="D773" s="2" t="s">
        <v>867</v>
      </c>
      <c r="E773">
        <v>1</v>
      </c>
      <c r="F773" s="2" t="s">
        <v>868</v>
      </c>
      <c r="G773" s="3">
        <v>0</v>
      </c>
      <c r="H773" s="32">
        <v>23</v>
      </c>
      <c r="I773" s="32">
        <v>22</v>
      </c>
      <c r="J773" s="32">
        <v>21</v>
      </c>
      <c r="K773" s="32">
        <v>17</v>
      </c>
      <c r="L773" s="32">
        <v>26</v>
      </c>
      <c r="M773" s="32">
        <v>21</v>
      </c>
      <c r="N773" s="32">
        <v>13</v>
      </c>
      <c r="O773" s="32">
        <v>11</v>
      </c>
      <c r="P773" s="32">
        <v>21</v>
      </c>
      <c r="Q773" s="32">
        <v>21</v>
      </c>
      <c r="R773" s="32">
        <v>24</v>
      </c>
      <c r="S773" s="32">
        <v>22</v>
      </c>
      <c r="T773" s="32">
        <v>26</v>
      </c>
      <c r="U773" s="32">
        <v>25</v>
      </c>
      <c r="V773" s="30">
        <v>0.8571428571428571</v>
      </c>
      <c r="W773" s="30">
        <v>0.93103448275862066</v>
      </c>
      <c r="X773" s="32">
        <v>11811.54</v>
      </c>
      <c r="Y773" s="32">
        <v>12336.25</v>
      </c>
      <c r="Z773" s="32">
        <v>24147.79</v>
      </c>
      <c r="AA773" s="3">
        <f t="shared" si="11"/>
        <v>23079.97</v>
      </c>
      <c r="AB773" s="3"/>
      <c r="AC773" s="3"/>
      <c r="AF773" s="3"/>
      <c r="AG773" s="3"/>
      <c r="AH773" s="3"/>
    </row>
    <row r="774" spans="1:34" x14ac:dyDescent="0.25">
      <c r="A774">
        <v>20710010</v>
      </c>
      <c r="B774">
        <v>2071</v>
      </c>
      <c r="C774" s="2">
        <v>1</v>
      </c>
      <c r="D774" s="2" t="s">
        <v>869</v>
      </c>
      <c r="E774">
        <v>10</v>
      </c>
      <c r="F774" s="2" t="s">
        <v>870</v>
      </c>
      <c r="G774" s="3">
        <v>0</v>
      </c>
      <c r="H774" s="32">
        <v>56</v>
      </c>
      <c r="I774" s="32">
        <v>51</v>
      </c>
      <c r="J774" s="32">
        <v>59</v>
      </c>
      <c r="K774" s="32">
        <v>50</v>
      </c>
      <c r="L774" s="32">
        <v>51</v>
      </c>
      <c r="M774" s="32">
        <v>41</v>
      </c>
      <c r="N774" s="32">
        <v>51</v>
      </c>
      <c r="O774" s="32">
        <v>33</v>
      </c>
      <c r="P774" s="32">
        <v>56</v>
      </c>
      <c r="Q774" s="32">
        <v>41</v>
      </c>
      <c r="R774" s="32">
        <v>55</v>
      </c>
      <c r="S774" s="32">
        <v>45</v>
      </c>
      <c r="T774" s="32">
        <v>55</v>
      </c>
      <c r="U774" s="32">
        <v>59</v>
      </c>
      <c r="V774" s="30">
        <v>0.85542168674698793</v>
      </c>
      <c r="W774" s="30">
        <v>0.73456790123456794</v>
      </c>
      <c r="X774" s="32">
        <v>24935.35</v>
      </c>
      <c r="Y774" s="32">
        <v>22969.88</v>
      </c>
      <c r="Z774" s="32">
        <v>47905.229999999996</v>
      </c>
      <c r="AA774" s="3">
        <f t="shared" si="11"/>
        <v>45786.85</v>
      </c>
      <c r="AB774" s="3"/>
      <c r="AC774" s="3"/>
      <c r="AF774" s="3"/>
      <c r="AG774" s="3"/>
      <c r="AH774" s="3"/>
    </row>
    <row r="775" spans="1:34" x14ac:dyDescent="0.25">
      <c r="A775">
        <v>21250010</v>
      </c>
      <c r="B775">
        <v>2125</v>
      </c>
      <c r="C775">
        <v>1</v>
      </c>
      <c r="D775" t="s">
        <v>871</v>
      </c>
      <c r="E775">
        <v>10</v>
      </c>
      <c r="F775" t="s">
        <v>872</v>
      </c>
      <c r="G775" s="3">
        <v>0</v>
      </c>
      <c r="H775" s="32">
        <v>93</v>
      </c>
      <c r="I775" s="32">
        <v>67</v>
      </c>
      <c r="J775" s="32">
        <v>89</v>
      </c>
      <c r="K775" s="32">
        <v>68</v>
      </c>
      <c r="L775" s="32">
        <v>101</v>
      </c>
      <c r="M775" s="32">
        <v>81</v>
      </c>
      <c r="N775" s="32">
        <v>60</v>
      </c>
      <c r="O775" s="32">
        <v>43</v>
      </c>
      <c r="P775" s="32">
        <v>88</v>
      </c>
      <c r="Q775" s="32">
        <v>74</v>
      </c>
      <c r="R775" s="32">
        <v>89</v>
      </c>
      <c r="S775" s="32">
        <v>75</v>
      </c>
      <c r="T775" s="32">
        <v>100</v>
      </c>
      <c r="U775" s="32">
        <v>96</v>
      </c>
      <c r="V775" s="30">
        <v>0.76325088339222613</v>
      </c>
      <c r="W775" s="30">
        <v>0.810126582278481</v>
      </c>
      <c r="X775" s="32">
        <v>40452</v>
      </c>
      <c r="Y775" s="32">
        <v>41219.520000000004</v>
      </c>
      <c r="Z775" s="32">
        <v>81671.520000000004</v>
      </c>
      <c r="AA775" s="3">
        <f t="shared" si="11"/>
        <v>78059.990000000005</v>
      </c>
      <c r="AB775" s="3"/>
      <c r="AC775" s="3"/>
      <c r="AF775" s="3"/>
      <c r="AG775" s="3"/>
      <c r="AH775" s="3"/>
    </row>
    <row r="776" spans="1:34" x14ac:dyDescent="0.25">
      <c r="A776">
        <v>21340010</v>
      </c>
      <c r="B776">
        <v>2134</v>
      </c>
      <c r="C776" s="2">
        <v>1</v>
      </c>
      <c r="D776" s="2" t="s">
        <v>873</v>
      </c>
      <c r="E776">
        <v>10</v>
      </c>
      <c r="F776" s="2" t="s">
        <v>874</v>
      </c>
      <c r="G776" s="3">
        <v>0</v>
      </c>
      <c r="H776" s="32">
        <v>33</v>
      </c>
      <c r="I776" s="32">
        <v>27</v>
      </c>
      <c r="J776" s="32">
        <v>43</v>
      </c>
      <c r="K776" s="32">
        <v>31</v>
      </c>
      <c r="L776" s="32">
        <v>55</v>
      </c>
      <c r="M776" s="32">
        <v>51</v>
      </c>
      <c r="N776" s="32">
        <v>34</v>
      </c>
      <c r="O776" s="32">
        <v>24</v>
      </c>
      <c r="P776" s="32">
        <v>32</v>
      </c>
      <c r="Q776" s="32">
        <v>23</v>
      </c>
      <c r="R776" s="32">
        <v>41</v>
      </c>
      <c r="S776" s="32">
        <v>39</v>
      </c>
      <c r="T776" s="32">
        <v>56</v>
      </c>
      <c r="U776" s="32">
        <v>43</v>
      </c>
      <c r="V776" s="30">
        <v>0.83206106870229013</v>
      </c>
      <c r="W776" s="30">
        <v>0.80373831775700932</v>
      </c>
      <c r="X776" s="32">
        <v>24695.440000000002</v>
      </c>
      <c r="Y776" s="32">
        <v>18317.14</v>
      </c>
      <c r="Z776" s="32">
        <v>43012.58</v>
      </c>
      <c r="AA776" s="3">
        <f t="shared" si="11"/>
        <v>41110.550000000003</v>
      </c>
      <c r="AB776" s="3"/>
      <c r="AC776" s="3"/>
      <c r="AF776" s="3"/>
      <c r="AG776" s="3"/>
      <c r="AH776" s="3"/>
    </row>
    <row r="777" spans="1:34" x14ac:dyDescent="0.25">
      <c r="A777">
        <v>21350025</v>
      </c>
      <c r="B777">
        <v>2135</v>
      </c>
      <c r="C777">
        <v>1</v>
      </c>
      <c r="D777" t="s">
        <v>875</v>
      </c>
      <c r="E777">
        <v>25</v>
      </c>
      <c r="F777" t="s">
        <v>876</v>
      </c>
      <c r="G777" s="3">
        <v>0</v>
      </c>
      <c r="H777" s="32">
        <v>25</v>
      </c>
      <c r="I777" s="32">
        <v>22</v>
      </c>
      <c r="J777" s="32">
        <v>46</v>
      </c>
      <c r="K777" s="32">
        <v>40</v>
      </c>
      <c r="L777" s="32">
        <v>20</v>
      </c>
      <c r="M777" s="32">
        <v>20</v>
      </c>
      <c r="N777" s="32">
        <v>40</v>
      </c>
      <c r="O777" s="32">
        <v>30</v>
      </c>
      <c r="P777" s="32">
        <v>25</v>
      </c>
      <c r="Q777" s="32">
        <v>18</v>
      </c>
      <c r="R777" s="32">
        <v>38</v>
      </c>
      <c r="S777" s="32">
        <v>30</v>
      </c>
      <c r="T777" s="32">
        <v>24</v>
      </c>
      <c r="U777" s="32">
        <v>43</v>
      </c>
      <c r="V777" s="30">
        <v>0.90109890109890112</v>
      </c>
      <c r="W777" s="30">
        <v>0.75728155339805825</v>
      </c>
      <c r="X777" s="32">
        <v>11461.92</v>
      </c>
      <c r="Y777" s="32">
        <v>17258.48</v>
      </c>
      <c r="Z777" s="32">
        <v>28720.400000000001</v>
      </c>
      <c r="AA777" s="3">
        <f t="shared" si="11"/>
        <v>27450.38</v>
      </c>
      <c r="AB777" s="3"/>
      <c r="AC777" s="3"/>
      <c r="AF777" s="3"/>
      <c r="AG777" s="3"/>
      <c r="AH777" s="3"/>
    </row>
    <row r="778" spans="1:34" x14ac:dyDescent="0.25">
      <c r="A778">
        <v>21350035</v>
      </c>
      <c r="B778">
        <v>2135</v>
      </c>
      <c r="C778" s="2">
        <v>1</v>
      </c>
      <c r="D778" s="2" t="s">
        <v>875</v>
      </c>
      <c r="E778">
        <v>35</v>
      </c>
      <c r="F778" s="2" t="s">
        <v>877</v>
      </c>
      <c r="G778" s="3">
        <v>0</v>
      </c>
      <c r="H778" s="32">
        <v>52</v>
      </c>
      <c r="I778" s="32">
        <v>39</v>
      </c>
      <c r="J778" s="32">
        <v>44</v>
      </c>
      <c r="K778" s="32">
        <v>38</v>
      </c>
      <c r="L778" s="32">
        <v>44</v>
      </c>
      <c r="M778" s="32">
        <v>36</v>
      </c>
      <c r="N778" s="32">
        <v>52</v>
      </c>
      <c r="O778" s="32">
        <v>37</v>
      </c>
      <c r="P778" s="32">
        <v>51</v>
      </c>
      <c r="Q778" s="32">
        <v>42</v>
      </c>
      <c r="R778" s="32">
        <v>45</v>
      </c>
      <c r="S778" s="32">
        <v>36</v>
      </c>
      <c r="T778" s="32">
        <v>44</v>
      </c>
      <c r="U778" s="32">
        <v>48</v>
      </c>
      <c r="V778" s="30">
        <v>0.80714285714285716</v>
      </c>
      <c r="W778" s="30">
        <v>0.77702702702702697</v>
      </c>
      <c r="X778" s="32">
        <v>18822.760000000002</v>
      </c>
      <c r="Y778" s="32">
        <v>19767.36</v>
      </c>
      <c r="Z778" s="32">
        <v>38590.120000000003</v>
      </c>
      <c r="AA778" s="3">
        <f t="shared" si="11"/>
        <v>36883.660000000003</v>
      </c>
      <c r="AB778" s="3"/>
      <c r="AC778" s="3"/>
      <c r="AF778" s="3"/>
      <c r="AG778" s="3"/>
      <c r="AH778" s="3"/>
    </row>
    <row r="779" spans="1:34" x14ac:dyDescent="0.25">
      <c r="A779">
        <v>21350050</v>
      </c>
      <c r="B779">
        <v>2135</v>
      </c>
      <c r="C779" s="2">
        <v>1</v>
      </c>
      <c r="D779" s="2" t="s">
        <v>1371</v>
      </c>
      <c r="E779">
        <v>50</v>
      </c>
      <c r="F779" s="2" t="s">
        <v>1372</v>
      </c>
      <c r="G779" s="3">
        <v>1</v>
      </c>
      <c r="H779" s="32" t="s">
        <v>1328</v>
      </c>
      <c r="I779" s="32" t="s">
        <v>1328</v>
      </c>
      <c r="J779" s="32" t="s">
        <v>1328</v>
      </c>
      <c r="K779" s="32" t="s">
        <v>1328</v>
      </c>
      <c r="L779" s="32" t="s">
        <v>1328</v>
      </c>
      <c r="M779" s="32" t="s">
        <v>1328</v>
      </c>
      <c r="N779" s="32" t="s">
        <v>1328</v>
      </c>
      <c r="O779" s="32" t="s">
        <v>1328</v>
      </c>
      <c r="P779" s="32" t="s">
        <v>1328</v>
      </c>
      <c r="Q779" s="32" t="s">
        <v>1328</v>
      </c>
      <c r="R779" s="32" t="s">
        <v>1328</v>
      </c>
      <c r="S779" s="32" t="s">
        <v>1328</v>
      </c>
      <c r="T779" s="32">
        <v>0</v>
      </c>
      <c r="U779" s="32">
        <v>0</v>
      </c>
      <c r="V779" s="30" t="s">
        <v>1328</v>
      </c>
      <c r="W779" s="30" t="s">
        <v>1328</v>
      </c>
      <c r="X779" s="32" t="s">
        <v>1328</v>
      </c>
      <c r="Y779" s="32" t="s">
        <v>1328</v>
      </c>
      <c r="Z779" s="32">
        <v>0</v>
      </c>
      <c r="AA779" s="3">
        <f t="shared" si="11"/>
        <v>0</v>
      </c>
      <c r="AB779" s="3"/>
      <c r="AC779" s="3"/>
      <c r="AF779" s="3"/>
      <c r="AG779" s="3"/>
      <c r="AH779" s="3"/>
    </row>
    <row r="780" spans="1:34" x14ac:dyDescent="0.25">
      <c r="A780">
        <v>21370015</v>
      </c>
      <c r="B780">
        <v>2137</v>
      </c>
      <c r="C780" s="2">
        <v>1</v>
      </c>
      <c r="D780" s="2" t="s">
        <v>878</v>
      </c>
      <c r="E780">
        <v>15</v>
      </c>
      <c r="F780" s="2" t="s">
        <v>879</v>
      </c>
      <c r="G780" s="3">
        <v>0</v>
      </c>
      <c r="H780" s="32">
        <v>49</v>
      </c>
      <c r="I780" s="32">
        <v>42</v>
      </c>
      <c r="J780" s="32">
        <v>39</v>
      </c>
      <c r="K780" s="32">
        <v>33</v>
      </c>
      <c r="L780" s="32">
        <v>39</v>
      </c>
      <c r="M780" s="32">
        <v>29</v>
      </c>
      <c r="N780" s="32">
        <v>0</v>
      </c>
      <c r="O780" s="32">
        <v>0</v>
      </c>
      <c r="P780" s="32">
        <v>0</v>
      </c>
      <c r="Q780" s="32">
        <v>0</v>
      </c>
      <c r="R780" s="32">
        <v>0</v>
      </c>
      <c r="S780" s="32">
        <v>0</v>
      </c>
      <c r="T780" s="32">
        <v>42</v>
      </c>
      <c r="U780" s="32">
        <v>0</v>
      </c>
      <c r="V780" s="30">
        <v>0.81889763779527558</v>
      </c>
      <c r="W780" s="30">
        <v>0</v>
      </c>
      <c r="X780" s="32">
        <v>18228.84</v>
      </c>
      <c r="Y780" s="32">
        <v>0</v>
      </c>
      <c r="Z780" s="32">
        <v>18228.84</v>
      </c>
      <c r="AA780" s="3">
        <f t="shared" si="11"/>
        <v>17422.759999999998</v>
      </c>
      <c r="AB780" s="3"/>
      <c r="AC780" s="3"/>
      <c r="AF780" s="3"/>
      <c r="AG780" s="3"/>
      <c r="AH780" s="3"/>
    </row>
    <row r="781" spans="1:34" x14ac:dyDescent="0.25">
      <c r="A781">
        <v>21370020</v>
      </c>
      <c r="B781">
        <v>2137</v>
      </c>
      <c r="C781" s="2">
        <v>1</v>
      </c>
      <c r="D781" s="2" t="s">
        <v>878</v>
      </c>
      <c r="E781">
        <v>20</v>
      </c>
      <c r="F781" s="2" t="s">
        <v>880</v>
      </c>
      <c r="G781" s="3">
        <v>0</v>
      </c>
      <c r="H781" s="32">
        <v>0</v>
      </c>
      <c r="I781" s="32">
        <v>0</v>
      </c>
      <c r="J781" s="32">
        <v>0</v>
      </c>
      <c r="K781" s="32">
        <v>0</v>
      </c>
      <c r="L781" s="32">
        <v>0</v>
      </c>
      <c r="M781" s="32">
        <v>0</v>
      </c>
      <c r="N781" s="32">
        <v>39</v>
      </c>
      <c r="O781" s="32">
        <v>26</v>
      </c>
      <c r="P781" s="32">
        <v>43</v>
      </c>
      <c r="Q781" s="32">
        <v>34</v>
      </c>
      <c r="R781" s="32">
        <v>35</v>
      </c>
      <c r="S781" s="32">
        <v>30</v>
      </c>
      <c r="T781" s="32">
        <v>0</v>
      </c>
      <c r="U781" s="32">
        <v>41</v>
      </c>
      <c r="V781" s="30">
        <v>0</v>
      </c>
      <c r="W781" s="30">
        <v>0.76923076923076927</v>
      </c>
      <c r="X781" s="32">
        <v>0</v>
      </c>
      <c r="Y781" s="32">
        <v>16715.29</v>
      </c>
      <c r="Z781" s="32">
        <v>16715.29</v>
      </c>
      <c r="AA781" s="3">
        <f t="shared" si="11"/>
        <v>15976.14</v>
      </c>
      <c r="AB781" s="3"/>
      <c r="AC781" s="3"/>
      <c r="AF781" s="3"/>
      <c r="AG781" s="3"/>
      <c r="AH781" s="3"/>
    </row>
    <row r="782" spans="1:34" x14ac:dyDescent="0.25">
      <c r="A782">
        <v>21420010</v>
      </c>
      <c r="B782">
        <v>2142</v>
      </c>
      <c r="C782" s="2">
        <v>1</v>
      </c>
      <c r="D782" s="2" t="s">
        <v>881</v>
      </c>
      <c r="E782">
        <v>10</v>
      </c>
      <c r="F782" s="2" t="s">
        <v>882</v>
      </c>
      <c r="G782" s="3">
        <v>0</v>
      </c>
      <c r="H782" s="32">
        <v>22</v>
      </c>
      <c r="I782" s="32">
        <v>18</v>
      </c>
      <c r="J782" s="32">
        <v>14</v>
      </c>
      <c r="K782" s="32">
        <v>10</v>
      </c>
      <c r="L782" s="32">
        <v>25</v>
      </c>
      <c r="M782" s="32">
        <v>14</v>
      </c>
      <c r="N782" s="32">
        <v>16</v>
      </c>
      <c r="O782" s="32">
        <v>13</v>
      </c>
      <c r="P782" s="32">
        <v>21</v>
      </c>
      <c r="Q782" s="32">
        <v>16</v>
      </c>
      <c r="R782" s="32">
        <v>14</v>
      </c>
      <c r="S782" s="32">
        <v>13</v>
      </c>
      <c r="T782" s="32">
        <v>25</v>
      </c>
      <c r="U782" s="32">
        <v>14</v>
      </c>
      <c r="V782" s="30">
        <v>0.68852459016393441</v>
      </c>
      <c r="W782" s="30">
        <v>0.82352941176470584</v>
      </c>
      <c r="X782" s="32">
        <v>9123</v>
      </c>
      <c r="Y782" s="32">
        <v>6110.58</v>
      </c>
      <c r="Z782" s="32">
        <v>15233.58</v>
      </c>
      <c r="AA782" s="3">
        <f t="shared" si="11"/>
        <v>14559.95</v>
      </c>
      <c r="AB782" s="3"/>
      <c r="AC782" s="3"/>
      <c r="AF782" s="3"/>
      <c r="AG782" s="3"/>
      <c r="AH782" s="3"/>
    </row>
    <row r="783" spans="1:34" x14ac:dyDescent="0.25">
      <c r="A783">
        <v>21420016</v>
      </c>
      <c r="B783">
        <v>2142</v>
      </c>
      <c r="C783">
        <v>1</v>
      </c>
      <c r="D783" t="s">
        <v>881</v>
      </c>
      <c r="E783">
        <v>16</v>
      </c>
      <c r="F783" t="s">
        <v>883</v>
      </c>
      <c r="G783" s="3">
        <v>0</v>
      </c>
      <c r="H783" s="32">
        <v>21</v>
      </c>
      <c r="I783" s="32">
        <v>20</v>
      </c>
      <c r="J783" s="32">
        <v>19</v>
      </c>
      <c r="K783" s="32">
        <v>14</v>
      </c>
      <c r="L783" s="32">
        <v>0</v>
      </c>
      <c r="M783" s="32">
        <v>0</v>
      </c>
      <c r="N783" s="32">
        <v>24</v>
      </c>
      <c r="O783" s="32">
        <v>20</v>
      </c>
      <c r="P783" s="32">
        <v>19</v>
      </c>
      <c r="Q783" s="32">
        <v>12</v>
      </c>
      <c r="R783" s="32">
        <v>0</v>
      </c>
      <c r="S783" s="32">
        <v>0</v>
      </c>
      <c r="T783" s="32">
        <v>0</v>
      </c>
      <c r="U783" s="32">
        <v>0</v>
      </c>
      <c r="V783" s="30">
        <v>0.85</v>
      </c>
      <c r="W783" s="30">
        <v>0.7441860465116279</v>
      </c>
      <c r="X783" s="32">
        <v>0</v>
      </c>
      <c r="Y783" s="32">
        <v>0</v>
      </c>
      <c r="Z783" s="32">
        <v>0</v>
      </c>
      <c r="AA783" s="3">
        <f t="shared" ref="AA783:AA846" si="12">ROUND(Z783*AA$10,2)</f>
        <v>0</v>
      </c>
      <c r="AB783" s="3"/>
      <c r="AC783" s="3"/>
      <c r="AF783" s="3"/>
      <c r="AG783" s="3"/>
      <c r="AH783" s="3"/>
    </row>
    <row r="784" spans="1:34" x14ac:dyDescent="0.25">
      <c r="A784">
        <v>21420020</v>
      </c>
      <c r="B784">
        <v>2142</v>
      </c>
      <c r="C784" s="2">
        <v>1</v>
      </c>
      <c r="D784" s="2" t="s">
        <v>881</v>
      </c>
      <c r="E784">
        <v>20</v>
      </c>
      <c r="F784" s="2" t="s">
        <v>884</v>
      </c>
      <c r="G784" s="3">
        <v>0</v>
      </c>
      <c r="H784" s="32">
        <v>20</v>
      </c>
      <c r="I784" s="32">
        <v>15</v>
      </c>
      <c r="J784" s="32">
        <v>15</v>
      </c>
      <c r="K784" s="32">
        <v>12</v>
      </c>
      <c r="L784" s="32">
        <v>11</v>
      </c>
      <c r="M784" s="32">
        <v>11</v>
      </c>
      <c r="N784" s="32">
        <v>10</v>
      </c>
      <c r="O784" s="32">
        <v>7</v>
      </c>
      <c r="P784" s="32">
        <v>18</v>
      </c>
      <c r="Q784" s="32">
        <v>8</v>
      </c>
      <c r="R784" s="32">
        <v>12</v>
      </c>
      <c r="S784" s="32">
        <v>9</v>
      </c>
      <c r="T784" s="32">
        <v>10</v>
      </c>
      <c r="U784" s="32">
        <v>14</v>
      </c>
      <c r="V784" s="30">
        <v>0.82608695652173914</v>
      </c>
      <c r="W784" s="30">
        <v>0.6</v>
      </c>
      <c r="X784" s="32">
        <v>4378.3</v>
      </c>
      <c r="Y784" s="32">
        <v>4452</v>
      </c>
      <c r="Z784" s="32">
        <v>8830.2999999999993</v>
      </c>
      <c r="AA784" s="3">
        <f t="shared" si="12"/>
        <v>8439.82</v>
      </c>
      <c r="AB784" s="3"/>
      <c r="AC784" s="3"/>
      <c r="AF784" s="3"/>
      <c r="AG784" s="3"/>
      <c r="AH784" s="3"/>
    </row>
    <row r="785" spans="1:34" x14ac:dyDescent="0.25">
      <c r="A785">
        <v>21420040</v>
      </c>
      <c r="B785">
        <v>2142</v>
      </c>
      <c r="C785" s="2">
        <v>1</v>
      </c>
      <c r="D785" s="2" t="s">
        <v>1244</v>
      </c>
      <c r="E785">
        <v>40</v>
      </c>
      <c r="F785" s="2" t="s">
        <v>1300</v>
      </c>
      <c r="G785" s="3">
        <v>0</v>
      </c>
      <c r="H785" s="32">
        <v>0</v>
      </c>
      <c r="I785" s="32">
        <v>0</v>
      </c>
      <c r="J785" s="32">
        <v>0</v>
      </c>
      <c r="K785" s="32">
        <v>0</v>
      </c>
      <c r="L785" s="32">
        <v>35</v>
      </c>
      <c r="M785" s="32">
        <v>26</v>
      </c>
      <c r="N785" s="32">
        <v>0</v>
      </c>
      <c r="O785" s="32">
        <v>0</v>
      </c>
      <c r="P785" s="32">
        <v>0</v>
      </c>
      <c r="Q785" s="32">
        <v>0</v>
      </c>
      <c r="R785" s="32">
        <v>36</v>
      </c>
      <c r="S785" s="32">
        <v>22</v>
      </c>
      <c r="T785" s="32">
        <v>35</v>
      </c>
      <c r="U785" s="32">
        <v>39</v>
      </c>
      <c r="V785" s="30">
        <v>0.74285714285714288</v>
      </c>
      <c r="W785" s="30">
        <v>0.61111111111111116</v>
      </c>
      <c r="X785" s="32">
        <v>13779.849999999999</v>
      </c>
      <c r="Y785" s="32">
        <v>12631.71</v>
      </c>
      <c r="Z785" s="32">
        <v>26411.559999999998</v>
      </c>
      <c r="AA785" s="3">
        <f t="shared" si="12"/>
        <v>25243.63</v>
      </c>
      <c r="AB785" s="3"/>
      <c r="AC785" s="3"/>
      <c r="AF785" s="3"/>
      <c r="AG785" s="3"/>
      <c r="AH785" s="3"/>
    </row>
    <row r="786" spans="1:34" x14ac:dyDescent="0.25">
      <c r="A786">
        <v>21420050</v>
      </c>
      <c r="B786">
        <v>2142</v>
      </c>
      <c r="C786" s="2">
        <v>1</v>
      </c>
      <c r="D786" s="2" t="s">
        <v>1244</v>
      </c>
      <c r="E786">
        <v>50</v>
      </c>
      <c r="F786" s="2" t="s">
        <v>1301</v>
      </c>
      <c r="G786" s="3">
        <v>0</v>
      </c>
      <c r="H786" s="32">
        <v>0</v>
      </c>
      <c r="I786" s="32">
        <v>0</v>
      </c>
      <c r="J786" s="32">
        <v>0</v>
      </c>
      <c r="K786" s="32">
        <v>0</v>
      </c>
      <c r="L786" s="32">
        <v>34</v>
      </c>
      <c r="M786" s="32">
        <v>28</v>
      </c>
      <c r="N786" s="32">
        <v>0</v>
      </c>
      <c r="O786" s="32">
        <v>0</v>
      </c>
      <c r="P786" s="32">
        <v>0</v>
      </c>
      <c r="Q786" s="32">
        <v>0</v>
      </c>
      <c r="R786" s="32">
        <v>47</v>
      </c>
      <c r="S786" s="32">
        <v>34</v>
      </c>
      <c r="T786" s="32">
        <v>33</v>
      </c>
      <c r="U786" s="32">
        <v>51</v>
      </c>
      <c r="V786" s="30">
        <v>0.82352941176470584</v>
      </c>
      <c r="W786" s="30">
        <v>0.72340425531914898</v>
      </c>
      <c r="X786" s="32">
        <v>14403.51</v>
      </c>
      <c r="Y786" s="32">
        <v>19553.399999999998</v>
      </c>
      <c r="Z786" s="32">
        <v>33956.909999999996</v>
      </c>
      <c r="AA786" s="3">
        <f t="shared" si="12"/>
        <v>32455.33</v>
      </c>
      <c r="AB786" s="3"/>
      <c r="AC786" s="3"/>
      <c r="AF786" s="3"/>
      <c r="AG786" s="3"/>
      <c r="AH786" s="3"/>
    </row>
    <row r="787" spans="1:34" x14ac:dyDescent="0.25">
      <c r="A787">
        <v>21420096</v>
      </c>
      <c r="B787">
        <v>2142</v>
      </c>
      <c r="C787" s="2">
        <v>1</v>
      </c>
      <c r="D787" s="2" t="s">
        <v>881</v>
      </c>
      <c r="E787">
        <v>96</v>
      </c>
      <c r="F787" s="2" t="s">
        <v>885</v>
      </c>
      <c r="G787" s="3">
        <v>0</v>
      </c>
      <c r="H787" s="32">
        <v>27</v>
      </c>
      <c r="I787" s="32">
        <v>25</v>
      </c>
      <c r="J787" s="32">
        <v>14</v>
      </c>
      <c r="K787" s="32">
        <v>12</v>
      </c>
      <c r="L787" s="32">
        <v>33</v>
      </c>
      <c r="M787" s="32">
        <v>31</v>
      </c>
      <c r="N787" s="32">
        <v>13</v>
      </c>
      <c r="O787" s="32">
        <v>10</v>
      </c>
      <c r="P787" s="32">
        <v>29</v>
      </c>
      <c r="Q787" s="32">
        <v>22</v>
      </c>
      <c r="R787" s="32">
        <v>15</v>
      </c>
      <c r="S787" s="32">
        <v>13</v>
      </c>
      <c r="T787" s="32">
        <v>34</v>
      </c>
      <c r="U787" s="32">
        <v>16</v>
      </c>
      <c r="V787" s="30">
        <v>0.91891891891891897</v>
      </c>
      <c r="W787" s="30">
        <v>0.78947368421052633</v>
      </c>
      <c r="X787" s="32">
        <v>16559.02</v>
      </c>
      <c r="Y787" s="32">
        <v>6694.72</v>
      </c>
      <c r="Z787" s="32">
        <v>23253.74</v>
      </c>
      <c r="AA787" s="3">
        <f t="shared" si="12"/>
        <v>22225.45</v>
      </c>
      <c r="AB787" s="3"/>
      <c r="AC787" s="3"/>
      <c r="AF787" s="3"/>
      <c r="AG787" s="3"/>
      <c r="AH787" s="3"/>
    </row>
    <row r="788" spans="1:34" x14ac:dyDescent="0.25">
      <c r="A788">
        <v>21420100</v>
      </c>
      <c r="B788">
        <v>2142</v>
      </c>
      <c r="C788" s="2">
        <v>1</v>
      </c>
      <c r="D788" s="2" t="s">
        <v>1244</v>
      </c>
      <c r="E788">
        <v>100</v>
      </c>
      <c r="F788" s="2" t="s">
        <v>1245</v>
      </c>
      <c r="G788" s="3">
        <v>1</v>
      </c>
      <c r="H788" s="32" t="s">
        <v>1328</v>
      </c>
      <c r="I788" s="32" t="s">
        <v>1328</v>
      </c>
      <c r="J788" s="32" t="s">
        <v>1328</v>
      </c>
      <c r="K788" s="32" t="s">
        <v>1328</v>
      </c>
      <c r="L788" s="32" t="s">
        <v>1328</v>
      </c>
      <c r="M788" s="32" t="s">
        <v>1328</v>
      </c>
      <c r="N788" s="32" t="s">
        <v>1328</v>
      </c>
      <c r="O788" s="32" t="s">
        <v>1328</v>
      </c>
      <c r="P788" s="32" t="s">
        <v>1328</v>
      </c>
      <c r="Q788" s="32" t="s">
        <v>1328</v>
      </c>
      <c r="R788" s="32" t="s">
        <v>1328</v>
      </c>
      <c r="S788" s="32" t="s">
        <v>1328</v>
      </c>
      <c r="T788" s="32">
        <v>0</v>
      </c>
      <c r="U788" s="32">
        <v>0</v>
      </c>
      <c r="V788" s="30" t="s">
        <v>1328</v>
      </c>
      <c r="W788" s="30" t="s">
        <v>1328</v>
      </c>
      <c r="X788" s="32" t="s">
        <v>1328</v>
      </c>
      <c r="Y788" s="32" t="s">
        <v>1328</v>
      </c>
      <c r="Z788" s="32">
        <v>0</v>
      </c>
      <c r="AA788" s="3">
        <f t="shared" si="12"/>
        <v>0</v>
      </c>
      <c r="AB788" s="3"/>
      <c r="AC788" s="3"/>
      <c r="AF788" s="3"/>
      <c r="AG788" s="3"/>
      <c r="AH788" s="3"/>
    </row>
    <row r="789" spans="1:34" x14ac:dyDescent="0.25">
      <c r="A789">
        <v>21420114</v>
      </c>
      <c r="B789">
        <v>2142</v>
      </c>
      <c r="C789" s="2">
        <v>1</v>
      </c>
      <c r="D789" s="2" t="s">
        <v>881</v>
      </c>
      <c r="E789">
        <v>114</v>
      </c>
      <c r="F789" s="2" t="s">
        <v>886</v>
      </c>
      <c r="G789" s="3">
        <v>0</v>
      </c>
      <c r="H789" s="32">
        <v>36</v>
      </c>
      <c r="I789" s="32">
        <v>35</v>
      </c>
      <c r="J789" s="32">
        <v>37</v>
      </c>
      <c r="K789" s="32">
        <v>30</v>
      </c>
      <c r="L789" s="32">
        <v>0</v>
      </c>
      <c r="M789" s="32">
        <v>0</v>
      </c>
      <c r="N789" s="32">
        <v>27</v>
      </c>
      <c r="O789" s="32">
        <v>17</v>
      </c>
      <c r="P789" s="32">
        <v>36</v>
      </c>
      <c r="Q789" s="32">
        <v>29</v>
      </c>
      <c r="R789" s="32">
        <v>0</v>
      </c>
      <c r="S789" s="32">
        <v>0</v>
      </c>
      <c r="T789" s="32">
        <v>0</v>
      </c>
      <c r="U789" s="32">
        <v>0</v>
      </c>
      <c r="V789" s="30">
        <v>0.8904109589041096</v>
      </c>
      <c r="W789" s="30">
        <v>0.73015873015873012</v>
      </c>
      <c r="X789" s="32">
        <v>0</v>
      </c>
      <c r="Y789" s="32">
        <v>0</v>
      </c>
      <c r="Z789" s="32">
        <v>0</v>
      </c>
      <c r="AA789" s="3">
        <f t="shared" si="12"/>
        <v>0</v>
      </c>
      <c r="AB789" s="3"/>
      <c r="AC789" s="3"/>
      <c r="AF789" s="3"/>
      <c r="AG789" s="3"/>
      <c r="AH789" s="3"/>
    </row>
    <row r="790" spans="1:34" x14ac:dyDescent="0.25">
      <c r="A790">
        <v>21420142</v>
      </c>
      <c r="B790">
        <v>2142</v>
      </c>
      <c r="C790" s="2">
        <v>1</v>
      </c>
      <c r="D790" s="2" t="s">
        <v>1244</v>
      </c>
      <c r="E790">
        <v>142</v>
      </c>
      <c r="F790" s="2" t="s">
        <v>1246</v>
      </c>
      <c r="G790" s="3">
        <v>1</v>
      </c>
      <c r="H790" s="32" t="s">
        <v>1328</v>
      </c>
      <c r="I790" s="32" t="s">
        <v>1328</v>
      </c>
      <c r="J790" s="32" t="s">
        <v>1328</v>
      </c>
      <c r="K790" s="32" t="s">
        <v>1328</v>
      </c>
      <c r="L790" s="32" t="s">
        <v>1328</v>
      </c>
      <c r="M790" s="32" t="s">
        <v>1328</v>
      </c>
      <c r="N790" s="32" t="s">
        <v>1328</v>
      </c>
      <c r="O790" s="32" t="s">
        <v>1328</v>
      </c>
      <c r="P790" s="32" t="s">
        <v>1328</v>
      </c>
      <c r="Q790" s="32" t="s">
        <v>1328</v>
      </c>
      <c r="R790" s="32" t="s">
        <v>1328</v>
      </c>
      <c r="S790" s="32" t="s">
        <v>1328</v>
      </c>
      <c r="T790" s="32">
        <v>0</v>
      </c>
      <c r="U790" s="32">
        <v>0</v>
      </c>
      <c r="V790" s="30" t="s">
        <v>1328</v>
      </c>
      <c r="W790" s="30" t="s">
        <v>1328</v>
      </c>
      <c r="X790" s="32" t="s">
        <v>1328</v>
      </c>
      <c r="Y790" s="32" t="s">
        <v>1328</v>
      </c>
      <c r="Z790" s="32">
        <v>0</v>
      </c>
      <c r="AA790" s="3">
        <f t="shared" si="12"/>
        <v>0</v>
      </c>
      <c r="AB790" s="3"/>
      <c r="AC790" s="3"/>
      <c r="AF790" s="3"/>
      <c r="AG790" s="3"/>
      <c r="AH790" s="3"/>
    </row>
    <row r="791" spans="1:34" x14ac:dyDescent="0.25">
      <c r="A791">
        <v>21430030</v>
      </c>
      <c r="B791">
        <v>2143</v>
      </c>
      <c r="C791" s="2">
        <v>1</v>
      </c>
      <c r="D791" s="2" t="s">
        <v>887</v>
      </c>
      <c r="E791">
        <v>30</v>
      </c>
      <c r="F791" s="2" t="s">
        <v>888</v>
      </c>
      <c r="G791" s="3">
        <v>0</v>
      </c>
      <c r="H791" s="32">
        <v>58</v>
      </c>
      <c r="I791" s="32">
        <v>49</v>
      </c>
      <c r="J791" s="32">
        <v>62</v>
      </c>
      <c r="K791" s="32">
        <v>55</v>
      </c>
      <c r="L791" s="32">
        <v>60</v>
      </c>
      <c r="M791" s="32">
        <v>54</v>
      </c>
      <c r="N791" s="32">
        <v>55</v>
      </c>
      <c r="O791" s="32">
        <v>40</v>
      </c>
      <c r="P791" s="32">
        <v>60</v>
      </c>
      <c r="Q791" s="32">
        <v>42</v>
      </c>
      <c r="R791" s="32">
        <v>52</v>
      </c>
      <c r="S791" s="32">
        <v>38</v>
      </c>
      <c r="T791" s="32">
        <v>57</v>
      </c>
      <c r="U791" s="32">
        <v>52</v>
      </c>
      <c r="V791" s="30">
        <v>0.87777777777777777</v>
      </c>
      <c r="W791" s="30">
        <v>0.71856287425149701</v>
      </c>
      <c r="X791" s="32">
        <v>26517.54</v>
      </c>
      <c r="Y791" s="32">
        <v>19803.68</v>
      </c>
      <c r="Z791" s="32">
        <v>46321.22</v>
      </c>
      <c r="AA791" s="3">
        <f t="shared" si="12"/>
        <v>44272.88</v>
      </c>
      <c r="AB791" s="3"/>
      <c r="AC791" s="3"/>
      <c r="AF791" s="3"/>
      <c r="AG791" s="3"/>
      <c r="AH791" s="3"/>
    </row>
    <row r="792" spans="1:34" x14ac:dyDescent="0.25">
      <c r="A792">
        <v>21440001</v>
      </c>
      <c r="B792">
        <v>2144</v>
      </c>
      <c r="C792" s="2">
        <v>1</v>
      </c>
      <c r="D792" s="2" t="s">
        <v>889</v>
      </c>
      <c r="E792">
        <v>1</v>
      </c>
      <c r="F792" s="2" t="s">
        <v>890</v>
      </c>
      <c r="G792" s="3">
        <v>0</v>
      </c>
      <c r="H792" s="32">
        <v>82</v>
      </c>
      <c r="I792" s="32">
        <v>74</v>
      </c>
      <c r="J792" s="32">
        <v>75</v>
      </c>
      <c r="K792" s="32">
        <v>67</v>
      </c>
      <c r="L792" s="32">
        <v>81</v>
      </c>
      <c r="M792" s="32">
        <v>70</v>
      </c>
      <c r="N792" s="32">
        <v>0</v>
      </c>
      <c r="O792" s="32">
        <v>0</v>
      </c>
      <c r="P792" s="32">
        <v>0</v>
      </c>
      <c r="Q792" s="32">
        <v>0</v>
      </c>
      <c r="R792" s="32">
        <v>0</v>
      </c>
      <c r="S792" s="32">
        <v>0</v>
      </c>
      <c r="T792" s="32">
        <v>82</v>
      </c>
      <c r="U792" s="32">
        <v>0</v>
      </c>
      <c r="V792" s="30">
        <v>0.88655462184873945</v>
      </c>
      <c r="W792" s="30">
        <v>0</v>
      </c>
      <c r="X792" s="32">
        <v>38529.340000000004</v>
      </c>
      <c r="Y792" s="32">
        <v>0</v>
      </c>
      <c r="Z792" s="32">
        <v>38529.340000000004</v>
      </c>
      <c r="AA792" s="3">
        <f t="shared" si="12"/>
        <v>36825.56</v>
      </c>
      <c r="AB792" s="3"/>
      <c r="AC792" s="3"/>
      <c r="AF792" s="3"/>
      <c r="AG792" s="3"/>
      <c r="AH792" s="3"/>
    </row>
    <row r="793" spans="1:34" x14ac:dyDescent="0.25">
      <c r="A793">
        <v>21440002</v>
      </c>
      <c r="B793">
        <v>2144</v>
      </c>
      <c r="C793" s="2">
        <v>1</v>
      </c>
      <c r="D793" s="2" t="s">
        <v>889</v>
      </c>
      <c r="E793">
        <v>2</v>
      </c>
      <c r="F793" s="2" t="s">
        <v>891</v>
      </c>
      <c r="G793" s="3">
        <v>0</v>
      </c>
      <c r="H793" s="32">
        <v>104</v>
      </c>
      <c r="I793" s="32">
        <v>89</v>
      </c>
      <c r="J793" s="32">
        <v>95</v>
      </c>
      <c r="K793" s="32">
        <v>80</v>
      </c>
      <c r="L793" s="32">
        <v>103</v>
      </c>
      <c r="M793" s="32">
        <v>91</v>
      </c>
      <c r="N793" s="32">
        <v>177</v>
      </c>
      <c r="O793" s="32">
        <v>122</v>
      </c>
      <c r="P793" s="32">
        <v>185</v>
      </c>
      <c r="Q793" s="32">
        <v>131</v>
      </c>
      <c r="R793" s="32">
        <v>165</v>
      </c>
      <c r="S793" s="32">
        <v>121</v>
      </c>
      <c r="T793" s="32">
        <v>103</v>
      </c>
      <c r="U793" s="32">
        <v>170</v>
      </c>
      <c r="V793" s="30">
        <v>0.86092715231788075</v>
      </c>
      <c r="W793" s="30">
        <v>0.70967741935483875</v>
      </c>
      <c r="X793" s="32">
        <v>46997.87</v>
      </c>
      <c r="Y793" s="32">
        <v>63942.1</v>
      </c>
      <c r="Z793" s="32">
        <v>110939.97</v>
      </c>
      <c r="AA793" s="3">
        <f t="shared" si="12"/>
        <v>106034.18</v>
      </c>
      <c r="AB793" s="3"/>
      <c r="AC793" s="3"/>
      <c r="AF793" s="3"/>
      <c r="AG793" s="3"/>
      <c r="AH793" s="3"/>
    </row>
    <row r="794" spans="1:34" x14ac:dyDescent="0.25">
      <c r="A794">
        <v>21440006</v>
      </c>
      <c r="B794">
        <v>2144</v>
      </c>
      <c r="C794" s="2">
        <v>1</v>
      </c>
      <c r="D794" s="2" t="s">
        <v>889</v>
      </c>
      <c r="E794">
        <v>6</v>
      </c>
      <c r="F794" s="2" t="s">
        <v>892</v>
      </c>
      <c r="G794" s="3">
        <v>0</v>
      </c>
      <c r="H794" s="32">
        <v>49</v>
      </c>
      <c r="I794" s="32">
        <v>41</v>
      </c>
      <c r="J794" s="32">
        <v>68</v>
      </c>
      <c r="K794" s="32">
        <v>66</v>
      </c>
      <c r="L794" s="32">
        <v>60</v>
      </c>
      <c r="M794" s="32">
        <v>50</v>
      </c>
      <c r="N794" s="32">
        <v>65</v>
      </c>
      <c r="O794" s="32">
        <v>52</v>
      </c>
      <c r="P794" s="32">
        <v>47</v>
      </c>
      <c r="Q794" s="32">
        <v>35</v>
      </c>
      <c r="R794" s="32">
        <v>67</v>
      </c>
      <c r="S794" s="32">
        <v>55</v>
      </c>
      <c r="T794" s="32">
        <v>59</v>
      </c>
      <c r="U794" s="32">
        <v>71</v>
      </c>
      <c r="V794" s="30">
        <v>0.88700564971751417</v>
      </c>
      <c r="W794" s="30">
        <v>0.79329608938547491</v>
      </c>
      <c r="X794" s="32">
        <v>27736.49</v>
      </c>
      <c r="Y794" s="32">
        <v>29851.95</v>
      </c>
      <c r="Z794" s="32">
        <v>57588.44</v>
      </c>
      <c r="AA794" s="3">
        <f t="shared" si="12"/>
        <v>55041.87</v>
      </c>
      <c r="AB794" s="3"/>
      <c r="AC794" s="3"/>
      <c r="AF794" s="3"/>
      <c r="AG794" s="3"/>
      <c r="AH794" s="3"/>
    </row>
    <row r="795" spans="1:34" x14ac:dyDescent="0.25">
      <c r="A795">
        <v>21490070</v>
      </c>
      <c r="B795">
        <v>2149</v>
      </c>
      <c r="C795" s="2">
        <v>1</v>
      </c>
      <c r="D795" s="2" t="s">
        <v>893</v>
      </c>
      <c r="E795">
        <v>70</v>
      </c>
      <c r="F795" s="2" t="s">
        <v>894</v>
      </c>
      <c r="G795" s="3">
        <v>0</v>
      </c>
      <c r="H795" s="32">
        <v>57</v>
      </c>
      <c r="I795" s="32">
        <v>56</v>
      </c>
      <c r="J795" s="32">
        <v>79</v>
      </c>
      <c r="K795" s="32">
        <v>72</v>
      </c>
      <c r="L795" s="32">
        <v>85</v>
      </c>
      <c r="M795" s="32">
        <v>82</v>
      </c>
      <c r="N795" s="32">
        <v>74</v>
      </c>
      <c r="O795" s="32">
        <v>57</v>
      </c>
      <c r="P795" s="32">
        <v>54</v>
      </c>
      <c r="Q795" s="32">
        <v>39</v>
      </c>
      <c r="R795" s="32">
        <v>76</v>
      </c>
      <c r="S795" s="32">
        <v>58</v>
      </c>
      <c r="T795" s="32">
        <v>86</v>
      </c>
      <c r="U795" s="32">
        <v>81</v>
      </c>
      <c r="V795" s="30">
        <v>0.95022624434389136</v>
      </c>
      <c r="W795" s="30">
        <v>0.75490196078431371</v>
      </c>
      <c r="X795" s="32">
        <v>43311.32</v>
      </c>
      <c r="Y795" s="32">
        <v>32408.100000000002</v>
      </c>
      <c r="Z795" s="32">
        <v>75719.42</v>
      </c>
      <c r="AA795" s="3">
        <f t="shared" si="12"/>
        <v>72371.09</v>
      </c>
      <c r="AB795" s="3"/>
      <c r="AC795" s="3"/>
      <c r="AF795" s="3"/>
      <c r="AG795" s="3"/>
      <c r="AH795" s="3"/>
    </row>
    <row r="796" spans="1:34" x14ac:dyDescent="0.25">
      <c r="A796">
        <v>21490101</v>
      </c>
      <c r="B796">
        <v>2149</v>
      </c>
      <c r="C796" s="2">
        <v>1</v>
      </c>
      <c r="D796" s="2" t="s">
        <v>1247</v>
      </c>
      <c r="E796">
        <v>101</v>
      </c>
      <c r="F796" s="2" t="s">
        <v>1248</v>
      </c>
      <c r="G796" s="3">
        <v>1</v>
      </c>
      <c r="H796" s="32" t="s">
        <v>1328</v>
      </c>
      <c r="I796" s="32" t="s">
        <v>1328</v>
      </c>
      <c r="J796" s="32" t="s">
        <v>1328</v>
      </c>
      <c r="K796" s="32" t="s">
        <v>1328</v>
      </c>
      <c r="L796" s="32" t="s">
        <v>1328</v>
      </c>
      <c r="M796" s="32" t="s">
        <v>1328</v>
      </c>
      <c r="N796" s="32" t="s">
        <v>1328</v>
      </c>
      <c r="O796" s="32" t="s">
        <v>1328</v>
      </c>
      <c r="P796" s="32" t="s">
        <v>1328</v>
      </c>
      <c r="Q796" s="32" t="s">
        <v>1328</v>
      </c>
      <c r="R796" s="32" t="s">
        <v>1328</v>
      </c>
      <c r="S796" s="32" t="s">
        <v>1328</v>
      </c>
      <c r="T796" s="32">
        <v>3</v>
      </c>
      <c r="U796" s="32">
        <v>1</v>
      </c>
      <c r="V796" s="30" t="s">
        <v>1328</v>
      </c>
      <c r="W796" s="30" t="s">
        <v>1328</v>
      </c>
      <c r="X796" s="32" t="s">
        <v>1328</v>
      </c>
      <c r="Y796" s="32" t="s">
        <v>1328</v>
      </c>
      <c r="Z796" s="32">
        <v>1037.92</v>
      </c>
      <c r="AA796" s="3">
        <f t="shared" si="12"/>
        <v>992.02</v>
      </c>
      <c r="AB796" s="3"/>
      <c r="AC796" s="3"/>
      <c r="AF796" s="3"/>
      <c r="AG796" s="3"/>
      <c r="AH796" s="3"/>
    </row>
    <row r="797" spans="1:34" x14ac:dyDescent="0.25">
      <c r="A797">
        <v>21540010</v>
      </c>
      <c r="B797">
        <v>2154</v>
      </c>
      <c r="C797" s="2">
        <v>1</v>
      </c>
      <c r="D797" s="2" t="s">
        <v>895</v>
      </c>
      <c r="E797">
        <v>10</v>
      </c>
      <c r="F797" s="2" t="s">
        <v>56</v>
      </c>
      <c r="G797" s="3">
        <v>0</v>
      </c>
      <c r="H797" s="32">
        <v>72</v>
      </c>
      <c r="I797" s="32">
        <v>63</v>
      </c>
      <c r="J797" s="32">
        <v>73</v>
      </c>
      <c r="K797" s="32">
        <v>65</v>
      </c>
      <c r="L797" s="32">
        <v>75</v>
      </c>
      <c r="M797" s="32">
        <v>58</v>
      </c>
      <c r="N797" s="32">
        <v>51</v>
      </c>
      <c r="O797" s="32">
        <v>30</v>
      </c>
      <c r="P797" s="32">
        <v>68</v>
      </c>
      <c r="Q797" s="32">
        <v>45</v>
      </c>
      <c r="R797" s="32">
        <v>70</v>
      </c>
      <c r="S797" s="32">
        <v>41</v>
      </c>
      <c r="T797" s="32">
        <v>75</v>
      </c>
      <c r="U797" s="32">
        <v>74</v>
      </c>
      <c r="V797" s="30">
        <v>0.84545454545454546</v>
      </c>
      <c r="W797" s="30">
        <v>0.61375661375661372</v>
      </c>
      <c r="X797" s="32">
        <v>33606.75</v>
      </c>
      <c r="Y797" s="32">
        <v>24071.460000000003</v>
      </c>
      <c r="Z797" s="32">
        <v>57678.210000000006</v>
      </c>
      <c r="AA797" s="3">
        <f t="shared" si="12"/>
        <v>55127.67</v>
      </c>
      <c r="AB797" s="3"/>
      <c r="AC797" s="3"/>
      <c r="AF797" s="3"/>
      <c r="AG797" s="3"/>
      <c r="AH797" s="3"/>
    </row>
    <row r="798" spans="1:34" x14ac:dyDescent="0.25">
      <c r="A798">
        <v>21540020</v>
      </c>
      <c r="B798">
        <v>2154</v>
      </c>
      <c r="C798">
        <v>1</v>
      </c>
      <c r="D798" t="s">
        <v>895</v>
      </c>
      <c r="E798">
        <v>20</v>
      </c>
      <c r="F798" t="s">
        <v>896</v>
      </c>
      <c r="G798" s="3">
        <v>0</v>
      </c>
      <c r="H798" s="32">
        <v>20</v>
      </c>
      <c r="I798" s="32">
        <v>17</v>
      </c>
      <c r="J798" s="32">
        <v>26</v>
      </c>
      <c r="K798" s="32">
        <v>20</v>
      </c>
      <c r="L798" s="32">
        <v>22</v>
      </c>
      <c r="M798" s="32">
        <v>22</v>
      </c>
      <c r="N798" s="32">
        <v>22</v>
      </c>
      <c r="O798" s="32">
        <v>20</v>
      </c>
      <c r="P798" s="32">
        <v>20</v>
      </c>
      <c r="Q798" s="32">
        <v>16</v>
      </c>
      <c r="R798" s="32">
        <v>25</v>
      </c>
      <c r="S798" s="32">
        <v>22</v>
      </c>
      <c r="T798" s="32">
        <v>22</v>
      </c>
      <c r="U798" s="32">
        <v>26</v>
      </c>
      <c r="V798" s="30">
        <v>0.86764705882352944</v>
      </c>
      <c r="W798" s="30">
        <v>0.86567164179104472</v>
      </c>
      <c r="X798" s="32">
        <v>10116.700000000001</v>
      </c>
      <c r="Y798" s="32">
        <v>11929.06</v>
      </c>
      <c r="Z798" s="32">
        <v>22045.760000000002</v>
      </c>
      <c r="AA798" s="3">
        <f t="shared" si="12"/>
        <v>21070.89</v>
      </c>
      <c r="AB798" s="3"/>
      <c r="AC798" s="3"/>
      <c r="AF798" s="3"/>
      <c r="AG798" s="3"/>
      <c r="AH798" s="3"/>
    </row>
    <row r="799" spans="1:34" x14ac:dyDescent="0.25">
      <c r="A799">
        <v>21550002</v>
      </c>
      <c r="B799">
        <v>2155</v>
      </c>
      <c r="C799" s="2">
        <v>1</v>
      </c>
      <c r="D799" s="2" t="s">
        <v>897</v>
      </c>
      <c r="E799">
        <v>2</v>
      </c>
      <c r="F799" s="2" t="s">
        <v>898</v>
      </c>
      <c r="G799" s="3">
        <v>0</v>
      </c>
      <c r="H799" s="32">
        <v>72</v>
      </c>
      <c r="I799" s="32">
        <v>55</v>
      </c>
      <c r="J799" s="32">
        <v>64</v>
      </c>
      <c r="K799" s="32">
        <v>48</v>
      </c>
      <c r="L799" s="32">
        <v>84</v>
      </c>
      <c r="M799" s="32">
        <v>67</v>
      </c>
      <c r="N799" s="32">
        <v>68</v>
      </c>
      <c r="O799" s="32">
        <v>43</v>
      </c>
      <c r="P799" s="32">
        <v>69</v>
      </c>
      <c r="Q799" s="32">
        <v>50</v>
      </c>
      <c r="R799" s="32">
        <v>59</v>
      </c>
      <c r="S799" s="32">
        <v>47</v>
      </c>
      <c r="T799" s="32">
        <v>82</v>
      </c>
      <c r="U799" s="32">
        <v>63</v>
      </c>
      <c r="V799" s="30">
        <v>0.77272727272727271</v>
      </c>
      <c r="W799" s="30">
        <v>0.7142857142857143</v>
      </c>
      <c r="X799" s="32">
        <v>33583.1</v>
      </c>
      <c r="Y799" s="32">
        <v>23849.91</v>
      </c>
      <c r="Z799" s="32">
        <v>57433.009999999995</v>
      </c>
      <c r="AA799" s="3">
        <f t="shared" si="12"/>
        <v>54893.31</v>
      </c>
      <c r="AB799" s="3"/>
      <c r="AC799" s="3"/>
      <c r="AF799" s="3"/>
      <c r="AG799" s="3"/>
      <c r="AH799" s="3"/>
    </row>
    <row r="800" spans="1:34" x14ac:dyDescent="0.25">
      <c r="A800">
        <v>21590010</v>
      </c>
      <c r="B800">
        <v>2159</v>
      </c>
      <c r="C800" s="2">
        <v>1</v>
      </c>
      <c r="D800" s="2" t="s">
        <v>899</v>
      </c>
      <c r="E800">
        <v>10</v>
      </c>
      <c r="F800" s="2" t="s">
        <v>900</v>
      </c>
      <c r="G800" s="3">
        <v>0</v>
      </c>
      <c r="H800" s="32">
        <v>35</v>
      </c>
      <c r="I800" s="32">
        <v>33</v>
      </c>
      <c r="J800" s="32">
        <v>42</v>
      </c>
      <c r="K800" s="32">
        <v>39</v>
      </c>
      <c r="L800" s="32">
        <v>42</v>
      </c>
      <c r="M800" s="32">
        <v>39</v>
      </c>
      <c r="N800" s="32">
        <v>36</v>
      </c>
      <c r="O800" s="32">
        <v>31</v>
      </c>
      <c r="P800" s="32">
        <v>33</v>
      </c>
      <c r="Q800" s="32">
        <v>29</v>
      </c>
      <c r="R800" s="32">
        <v>40</v>
      </c>
      <c r="S800" s="32">
        <v>32</v>
      </c>
      <c r="T800" s="32">
        <v>46</v>
      </c>
      <c r="U800" s="32">
        <v>41</v>
      </c>
      <c r="V800" s="30">
        <v>0.9327731092436975</v>
      </c>
      <c r="W800" s="30">
        <v>0.84403669724770647</v>
      </c>
      <c r="X800" s="32">
        <v>22741.02</v>
      </c>
      <c r="Y800" s="32">
        <v>18340.939999999999</v>
      </c>
      <c r="Z800" s="32">
        <v>41081.96</v>
      </c>
      <c r="AA800" s="3">
        <f t="shared" si="12"/>
        <v>39265.31</v>
      </c>
      <c r="AB800" s="3"/>
      <c r="AC800" s="3"/>
      <c r="AF800" s="3"/>
      <c r="AG800" s="3"/>
      <c r="AH800" s="3"/>
    </row>
    <row r="801" spans="1:34" x14ac:dyDescent="0.25">
      <c r="A801">
        <v>21640001</v>
      </c>
      <c r="B801">
        <v>2164</v>
      </c>
      <c r="C801" s="2">
        <v>1</v>
      </c>
      <c r="D801" s="2" t="s">
        <v>901</v>
      </c>
      <c r="E801">
        <v>1</v>
      </c>
      <c r="F801" s="2" t="s">
        <v>902</v>
      </c>
      <c r="G801" s="3">
        <v>0</v>
      </c>
      <c r="H801" s="32">
        <v>72</v>
      </c>
      <c r="I801" s="32">
        <v>52</v>
      </c>
      <c r="J801" s="32">
        <v>63</v>
      </c>
      <c r="K801" s="32">
        <v>58</v>
      </c>
      <c r="L801" s="32">
        <v>82</v>
      </c>
      <c r="M801" s="32">
        <v>68</v>
      </c>
      <c r="N801" s="32">
        <v>71</v>
      </c>
      <c r="O801" s="32">
        <v>54</v>
      </c>
      <c r="P801" s="32">
        <v>60</v>
      </c>
      <c r="Q801" s="32">
        <v>45</v>
      </c>
      <c r="R801" s="32">
        <v>54</v>
      </c>
      <c r="S801" s="32">
        <v>45</v>
      </c>
      <c r="T801" s="32">
        <v>78</v>
      </c>
      <c r="U801" s="32">
        <v>60</v>
      </c>
      <c r="V801" s="30">
        <v>0.82027649769585254</v>
      </c>
      <c r="W801" s="30">
        <v>0.77837837837837842</v>
      </c>
      <c r="X801" s="32">
        <v>33910.5</v>
      </c>
      <c r="Y801" s="32">
        <v>24752.400000000001</v>
      </c>
      <c r="Z801" s="32">
        <v>58662.9</v>
      </c>
      <c r="AA801" s="3">
        <f t="shared" si="12"/>
        <v>56068.81</v>
      </c>
      <c r="AB801" s="3"/>
      <c r="AC801" s="3"/>
      <c r="AF801" s="3"/>
      <c r="AG801" s="3"/>
      <c r="AH801" s="3"/>
    </row>
    <row r="802" spans="1:34" x14ac:dyDescent="0.25">
      <c r="A802">
        <v>21640002</v>
      </c>
      <c r="B802">
        <v>2164</v>
      </c>
      <c r="C802" s="2">
        <v>1</v>
      </c>
      <c r="D802" s="2" t="s">
        <v>901</v>
      </c>
      <c r="E802">
        <v>2</v>
      </c>
      <c r="F802" s="2" t="s">
        <v>903</v>
      </c>
      <c r="G802" s="3">
        <v>0</v>
      </c>
      <c r="H802" s="32">
        <v>30</v>
      </c>
      <c r="I802" s="32">
        <v>22</v>
      </c>
      <c r="J802" s="32">
        <v>53</v>
      </c>
      <c r="K802" s="32">
        <v>44</v>
      </c>
      <c r="L802" s="32">
        <v>49</v>
      </c>
      <c r="M802" s="32">
        <v>45</v>
      </c>
      <c r="N802" s="32">
        <v>44</v>
      </c>
      <c r="O802" s="32">
        <v>29</v>
      </c>
      <c r="P802" s="32">
        <v>29</v>
      </c>
      <c r="Q802" s="32">
        <v>22</v>
      </c>
      <c r="R802" s="32">
        <v>55</v>
      </c>
      <c r="S802" s="32">
        <v>37</v>
      </c>
      <c r="T802" s="32">
        <v>52</v>
      </c>
      <c r="U802" s="32">
        <v>57</v>
      </c>
      <c r="V802" s="30">
        <v>0.84090909090909094</v>
      </c>
      <c r="W802" s="30">
        <v>0.6875</v>
      </c>
      <c r="X802" s="32">
        <v>23175.360000000001</v>
      </c>
      <c r="Y802" s="32">
        <v>20769.66</v>
      </c>
      <c r="Z802" s="32">
        <v>43945.020000000004</v>
      </c>
      <c r="AA802" s="3">
        <f t="shared" si="12"/>
        <v>42001.760000000002</v>
      </c>
      <c r="AB802" s="3"/>
      <c r="AC802" s="3"/>
      <c r="AF802" s="3"/>
      <c r="AG802" s="3"/>
      <c r="AH802" s="3"/>
    </row>
    <row r="803" spans="1:34" x14ac:dyDescent="0.25">
      <c r="A803">
        <v>21650010</v>
      </c>
      <c r="B803">
        <v>2165</v>
      </c>
      <c r="C803" s="2">
        <v>1</v>
      </c>
      <c r="D803" s="2" t="s">
        <v>904</v>
      </c>
      <c r="E803">
        <v>10</v>
      </c>
      <c r="F803" s="2" t="s">
        <v>905</v>
      </c>
      <c r="G803" s="3">
        <v>0</v>
      </c>
      <c r="H803" s="32">
        <v>76</v>
      </c>
      <c r="I803" s="32">
        <v>46</v>
      </c>
      <c r="J803" s="32">
        <v>56</v>
      </c>
      <c r="K803" s="32">
        <v>41</v>
      </c>
      <c r="L803" s="32">
        <v>68</v>
      </c>
      <c r="M803" s="32">
        <v>46</v>
      </c>
      <c r="N803" s="32">
        <v>58</v>
      </c>
      <c r="O803" s="32">
        <v>50</v>
      </c>
      <c r="P803" s="32">
        <v>66</v>
      </c>
      <c r="Q803" s="32">
        <v>52</v>
      </c>
      <c r="R803" s="32">
        <v>49</v>
      </c>
      <c r="S803" s="32">
        <v>45</v>
      </c>
      <c r="T803" s="32">
        <v>71</v>
      </c>
      <c r="U803" s="32">
        <v>53</v>
      </c>
      <c r="V803" s="30">
        <v>0.66500000000000004</v>
      </c>
      <c r="W803" s="30">
        <v>0.8497109826589595</v>
      </c>
      <c r="X803" s="32">
        <v>25023.95</v>
      </c>
      <c r="Y803" s="32">
        <v>23868.550000000003</v>
      </c>
      <c r="Z803" s="32">
        <v>48892.5</v>
      </c>
      <c r="AA803" s="3">
        <f t="shared" si="12"/>
        <v>46730.46</v>
      </c>
      <c r="AB803" s="3"/>
      <c r="AC803" s="3"/>
      <c r="AF803" s="3"/>
      <c r="AG803" s="3"/>
      <c r="AH803" s="3"/>
    </row>
    <row r="804" spans="1:34" x14ac:dyDescent="0.25">
      <c r="A804">
        <v>21650030</v>
      </c>
      <c r="B804">
        <v>2165</v>
      </c>
      <c r="C804" s="2">
        <v>1</v>
      </c>
      <c r="D804" s="2" t="s">
        <v>904</v>
      </c>
      <c r="E804">
        <v>30</v>
      </c>
      <c r="F804" s="2" t="s">
        <v>906</v>
      </c>
      <c r="G804" s="3">
        <v>1</v>
      </c>
      <c r="H804" s="32" t="s">
        <v>1328</v>
      </c>
      <c r="I804" s="32" t="s">
        <v>1328</v>
      </c>
      <c r="J804" s="32" t="s">
        <v>1328</v>
      </c>
      <c r="K804" s="32" t="s">
        <v>1328</v>
      </c>
      <c r="L804" s="32" t="s">
        <v>1328</v>
      </c>
      <c r="M804" s="32" t="s">
        <v>1328</v>
      </c>
      <c r="N804" s="32" t="s">
        <v>1328</v>
      </c>
      <c r="O804" s="32" t="s">
        <v>1328</v>
      </c>
      <c r="P804" s="32" t="s">
        <v>1328</v>
      </c>
      <c r="Q804" s="32" t="s">
        <v>1328</v>
      </c>
      <c r="R804" s="32" t="s">
        <v>1328</v>
      </c>
      <c r="S804" s="32" t="s">
        <v>1328</v>
      </c>
      <c r="T804" s="32">
        <v>10</v>
      </c>
      <c r="U804" s="32">
        <v>11</v>
      </c>
      <c r="V804" s="30" t="s">
        <v>1328</v>
      </c>
      <c r="W804" s="30" t="s">
        <v>1328</v>
      </c>
      <c r="X804" s="32" t="s">
        <v>1328</v>
      </c>
      <c r="Y804" s="32" t="s">
        <v>1328</v>
      </c>
      <c r="Z804" s="32">
        <v>8494.7000000000007</v>
      </c>
      <c r="AA804" s="3">
        <f t="shared" si="12"/>
        <v>8119.06</v>
      </c>
      <c r="AB804" s="3"/>
      <c r="AC804" s="3"/>
      <c r="AF804" s="3"/>
      <c r="AG804" s="3"/>
      <c r="AH804" s="3"/>
    </row>
    <row r="805" spans="1:34" x14ac:dyDescent="0.25">
      <c r="A805">
        <v>21670010</v>
      </c>
      <c r="B805">
        <v>2167</v>
      </c>
      <c r="C805" s="2">
        <v>1</v>
      </c>
      <c r="D805" s="2" t="s">
        <v>907</v>
      </c>
      <c r="E805">
        <v>10</v>
      </c>
      <c r="F805" s="2" t="s">
        <v>233</v>
      </c>
      <c r="G805" s="3">
        <v>0</v>
      </c>
      <c r="H805" s="32">
        <v>39</v>
      </c>
      <c r="I805" s="32">
        <v>29</v>
      </c>
      <c r="J805" s="32">
        <v>48</v>
      </c>
      <c r="K805" s="32">
        <v>37</v>
      </c>
      <c r="L805" s="32">
        <v>43</v>
      </c>
      <c r="M805" s="32">
        <v>31</v>
      </c>
      <c r="N805" s="32">
        <v>54</v>
      </c>
      <c r="O805" s="32">
        <v>39</v>
      </c>
      <c r="P805" s="32">
        <v>38</v>
      </c>
      <c r="Q805" s="32">
        <v>35</v>
      </c>
      <c r="R805" s="32">
        <v>48</v>
      </c>
      <c r="S805" s="32">
        <v>39</v>
      </c>
      <c r="T805" s="32">
        <v>43</v>
      </c>
      <c r="U805" s="32">
        <v>50</v>
      </c>
      <c r="V805" s="30">
        <v>0.74615384615384617</v>
      </c>
      <c r="W805" s="30">
        <v>0.80714285714285716</v>
      </c>
      <c r="X805" s="32">
        <v>17004.78</v>
      </c>
      <c r="Y805" s="32">
        <v>21389.5</v>
      </c>
      <c r="Z805" s="32">
        <v>38394.28</v>
      </c>
      <c r="AA805" s="3">
        <f t="shared" si="12"/>
        <v>36696.480000000003</v>
      </c>
      <c r="AB805" s="3"/>
      <c r="AC805" s="3"/>
      <c r="AF805" s="3"/>
      <c r="AG805" s="3"/>
      <c r="AH805" s="3"/>
    </row>
    <row r="806" spans="1:34" x14ac:dyDescent="0.25">
      <c r="A806">
        <v>21680010</v>
      </c>
      <c r="B806">
        <v>2168</v>
      </c>
      <c r="C806" s="2">
        <v>1</v>
      </c>
      <c r="D806" s="2" t="s">
        <v>908</v>
      </c>
      <c r="E806">
        <v>10</v>
      </c>
      <c r="F806" s="2" t="s">
        <v>909</v>
      </c>
      <c r="G806" s="3">
        <v>0</v>
      </c>
      <c r="H806" s="32">
        <v>73</v>
      </c>
      <c r="I806" s="32">
        <v>54</v>
      </c>
      <c r="J806" s="32">
        <v>62</v>
      </c>
      <c r="K806" s="32">
        <v>49</v>
      </c>
      <c r="L806" s="32">
        <v>74</v>
      </c>
      <c r="M806" s="32">
        <v>59</v>
      </c>
      <c r="N806" s="32">
        <v>73</v>
      </c>
      <c r="O806" s="32">
        <v>58</v>
      </c>
      <c r="P806" s="32">
        <v>71</v>
      </c>
      <c r="Q806" s="32">
        <v>59</v>
      </c>
      <c r="R806" s="32">
        <v>57</v>
      </c>
      <c r="S806" s="32">
        <v>43</v>
      </c>
      <c r="T806" s="32">
        <v>77</v>
      </c>
      <c r="U806" s="32">
        <v>60</v>
      </c>
      <c r="V806" s="30">
        <v>0.77511961722488043</v>
      </c>
      <c r="W806" s="30">
        <v>0.79601990049751248</v>
      </c>
      <c r="X806" s="32">
        <v>31632.37</v>
      </c>
      <c r="Y806" s="32">
        <v>25313.399999999998</v>
      </c>
      <c r="Z806" s="32">
        <v>56945.77</v>
      </c>
      <c r="AA806" s="3">
        <f t="shared" si="12"/>
        <v>54427.61</v>
      </c>
      <c r="AB806" s="3"/>
      <c r="AC806" s="3"/>
      <c r="AF806" s="3"/>
      <c r="AG806" s="3"/>
      <c r="AH806" s="3"/>
    </row>
    <row r="807" spans="1:34" x14ac:dyDescent="0.25">
      <c r="A807">
        <v>21690010</v>
      </c>
      <c r="B807">
        <v>2169</v>
      </c>
      <c r="C807" s="2">
        <v>1</v>
      </c>
      <c r="D807" s="2" t="s">
        <v>910</v>
      </c>
      <c r="E807">
        <v>10</v>
      </c>
      <c r="F807" s="2" t="s">
        <v>911</v>
      </c>
      <c r="G807" s="3">
        <v>0</v>
      </c>
      <c r="H807" s="32">
        <v>62</v>
      </c>
      <c r="I807" s="32">
        <v>54</v>
      </c>
      <c r="J807" s="32">
        <v>55</v>
      </c>
      <c r="K807" s="32">
        <v>43</v>
      </c>
      <c r="L807" s="32">
        <v>58</v>
      </c>
      <c r="M807" s="32">
        <v>48</v>
      </c>
      <c r="N807" s="32">
        <v>53</v>
      </c>
      <c r="O807" s="32">
        <v>42</v>
      </c>
      <c r="P807" s="32">
        <v>64</v>
      </c>
      <c r="Q807" s="32">
        <v>56</v>
      </c>
      <c r="R807" s="32">
        <v>58</v>
      </c>
      <c r="S807" s="32">
        <v>41</v>
      </c>
      <c r="T807" s="32">
        <v>61</v>
      </c>
      <c r="U807" s="32">
        <v>58</v>
      </c>
      <c r="V807" s="30">
        <v>0.82857142857142863</v>
      </c>
      <c r="W807" s="30">
        <v>0.79428571428571426</v>
      </c>
      <c r="X807" s="32">
        <v>26787.54</v>
      </c>
      <c r="Y807" s="32">
        <v>24416.260000000002</v>
      </c>
      <c r="Z807" s="32">
        <v>51203.8</v>
      </c>
      <c r="AA807" s="3">
        <f t="shared" si="12"/>
        <v>48939.56</v>
      </c>
      <c r="AB807" s="3"/>
      <c r="AC807" s="3"/>
      <c r="AF807" s="3"/>
      <c r="AG807" s="3"/>
      <c r="AH807" s="3"/>
    </row>
    <row r="808" spans="1:34" x14ac:dyDescent="0.25">
      <c r="A808">
        <v>21700010</v>
      </c>
      <c r="B808">
        <v>2170</v>
      </c>
      <c r="C808" s="2">
        <v>1</v>
      </c>
      <c r="D808" s="2" t="s">
        <v>912</v>
      </c>
      <c r="E808">
        <v>10</v>
      </c>
      <c r="F808" s="2" t="s">
        <v>913</v>
      </c>
      <c r="G808" s="3">
        <v>0</v>
      </c>
      <c r="H808" s="32">
        <v>25</v>
      </c>
      <c r="I808" s="32">
        <v>20</v>
      </c>
      <c r="J808" s="32">
        <v>27</v>
      </c>
      <c r="K808" s="32">
        <v>22</v>
      </c>
      <c r="L808" s="32">
        <v>30</v>
      </c>
      <c r="M808" s="32">
        <v>23</v>
      </c>
      <c r="N808" s="32">
        <v>20</v>
      </c>
      <c r="O808" s="32">
        <v>15</v>
      </c>
      <c r="P808" s="32">
        <v>18</v>
      </c>
      <c r="Q808" s="32">
        <v>13</v>
      </c>
      <c r="R808" s="32">
        <v>26</v>
      </c>
      <c r="S808" s="32">
        <v>16</v>
      </c>
      <c r="T808" s="32">
        <v>29</v>
      </c>
      <c r="U808" s="32">
        <v>26</v>
      </c>
      <c r="V808" s="30">
        <v>0.79268292682926833</v>
      </c>
      <c r="W808" s="30">
        <v>0.6875</v>
      </c>
      <c r="X808" s="32">
        <v>12183.48</v>
      </c>
      <c r="Y808" s="32">
        <v>9473.8799999999992</v>
      </c>
      <c r="Z808" s="32">
        <v>21657.360000000001</v>
      </c>
      <c r="AA808" s="3">
        <f t="shared" si="12"/>
        <v>20699.669999999998</v>
      </c>
      <c r="AB808" s="3"/>
      <c r="AC808" s="3"/>
      <c r="AF808" s="3"/>
      <c r="AG808" s="3"/>
      <c r="AH808" s="3"/>
    </row>
    <row r="809" spans="1:34" x14ac:dyDescent="0.25">
      <c r="A809">
        <v>21700030</v>
      </c>
      <c r="B809">
        <v>2170</v>
      </c>
      <c r="C809" s="2">
        <v>1</v>
      </c>
      <c r="D809" s="2" t="s">
        <v>912</v>
      </c>
      <c r="E809">
        <v>30</v>
      </c>
      <c r="F809" s="2" t="s">
        <v>914</v>
      </c>
      <c r="G809" s="3">
        <v>0</v>
      </c>
      <c r="H809" s="32">
        <v>51</v>
      </c>
      <c r="I809" s="32">
        <v>32</v>
      </c>
      <c r="J809" s="32">
        <v>68</v>
      </c>
      <c r="K809" s="32">
        <v>57</v>
      </c>
      <c r="L809" s="32">
        <v>55</v>
      </c>
      <c r="M809" s="32">
        <v>48</v>
      </c>
      <c r="N809" s="32">
        <v>64</v>
      </c>
      <c r="O809" s="32">
        <v>49</v>
      </c>
      <c r="P809" s="32">
        <v>50</v>
      </c>
      <c r="Q809" s="32">
        <v>36</v>
      </c>
      <c r="R809" s="32">
        <v>61</v>
      </c>
      <c r="S809" s="32">
        <v>46</v>
      </c>
      <c r="T809" s="32">
        <v>57</v>
      </c>
      <c r="U809" s="32">
        <v>67</v>
      </c>
      <c r="V809" s="30">
        <v>0.78735632183908044</v>
      </c>
      <c r="W809" s="30">
        <v>0.74857142857142855</v>
      </c>
      <c r="X809" s="32">
        <v>23786.100000000002</v>
      </c>
      <c r="Y809" s="32">
        <v>26581.58</v>
      </c>
      <c r="Z809" s="32">
        <v>50367.680000000008</v>
      </c>
      <c r="AA809" s="3">
        <f t="shared" si="12"/>
        <v>48140.41</v>
      </c>
      <c r="AB809" s="3"/>
      <c r="AC809" s="3"/>
      <c r="AF809" s="3"/>
      <c r="AG809" s="3"/>
      <c r="AH809" s="3"/>
    </row>
    <row r="810" spans="1:34" x14ac:dyDescent="0.25">
      <c r="A810">
        <v>21710015</v>
      </c>
      <c r="B810">
        <v>2171</v>
      </c>
      <c r="C810" s="2">
        <v>1</v>
      </c>
      <c r="D810" s="2" t="s">
        <v>915</v>
      </c>
      <c r="E810">
        <v>15</v>
      </c>
      <c r="F810" s="2" t="s">
        <v>916</v>
      </c>
      <c r="G810" s="3">
        <v>0</v>
      </c>
      <c r="H810" s="32">
        <v>15</v>
      </c>
      <c r="I810" s="32">
        <v>14</v>
      </c>
      <c r="J810" s="32">
        <v>21</v>
      </c>
      <c r="K810" s="32">
        <v>20</v>
      </c>
      <c r="L810" s="32">
        <v>12</v>
      </c>
      <c r="M810" s="32">
        <v>12</v>
      </c>
      <c r="N810" s="32">
        <v>20</v>
      </c>
      <c r="O810" s="32">
        <v>16</v>
      </c>
      <c r="P810" s="32">
        <v>14</v>
      </c>
      <c r="Q810" s="32">
        <v>11</v>
      </c>
      <c r="R810" s="32">
        <v>20</v>
      </c>
      <c r="S810" s="32">
        <v>17</v>
      </c>
      <c r="T810" s="32">
        <v>13</v>
      </c>
      <c r="U810" s="32">
        <v>21</v>
      </c>
      <c r="V810" s="30">
        <v>0.95833333333333337</v>
      </c>
      <c r="W810" s="30">
        <v>0.81481481481481477</v>
      </c>
      <c r="X810" s="32">
        <v>6602.96</v>
      </c>
      <c r="Y810" s="32">
        <v>9068.85</v>
      </c>
      <c r="Z810" s="32">
        <v>15671.810000000001</v>
      </c>
      <c r="AA810" s="3">
        <f t="shared" si="12"/>
        <v>14978.8</v>
      </c>
      <c r="AB810" s="3"/>
      <c r="AC810" s="3"/>
      <c r="AF810" s="3"/>
      <c r="AG810" s="3"/>
      <c r="AH810" s="3"/>
    </row>
    <row r="811" spans="1:34" x14ac:dyDescent="0.25">
      <c r="A811">
        <v>21710025</v>
      </c>
      <c r="B811">
        <v>2171</v>
      </c>
      <c r="C811" s="2">
        <v>1</v>
      </c>
      <c r="D811" s="2" t="s">
        <v>1249</v>
      </c>
      <c r="E811">
        <v>25</v>
      </c>
      <c r="F811" s="2" t="s">
        <v>1250</v>
      </c>
      <c r="G811" s="3">
        <v>1</v>
      </c>
      <c r="H811" s="32" t="s">
        <v>1328</v>
      </c>
      <c r="I811" s="32" t="s">
        <v>1328</v>
      </c>
      <c r="J811" s="32" t="s">
        <v>1328</v>
      </c>
      <c r="K811" s="32" t="s">
        <v>1328</v>
      </c>
      <c r="L811" s="32" t="s">
        <v>1328</v>
      </c>
      <c r="M811" s="32" t="s">
        <v>1328</v>
      </c>
      <c r="N811" s="32" t="s">
        <v>1328</v>
      </c>
      <c r="O811" s="32" t="s">
        <v>1328</v>
      </c>
      <c r="P811" s="32" t="s">
        <v>1328</v>
      </c>
      <c r="Q811" s="32" t="s">
        <v>1328</v>
      </c>
      <c r="R811" s="32" t="s">
        <v>1328</v>
      </c>
      <c r="S811" s="32" t="s">
        <v>1328</v>
      </c>
      <c r="T811" s="32">
        <v>0</v>
      </c>
      <c r="U811" s="32">
        <v>0</v>
      </c>
      <c r="V811" s="30" t="s">
        <v>1328</v>
      </c>
      <c r="W811" s="30" t="s">
        <v>1328</v>
      </c>
      <c r="X811" s="32" t="s">
        <v>1328</v>
      </c>
      <c r="Y811" s="32" t="s">
        <v>1328</v>
      </c>
      <c r="Z811" s="32">
        <v>0</v>
      </c>
      <c r="AA811" s="3">
        <f t="shared" si="12"/>
        <v>0</v>
      </c>
      <c r="AB811" s="3"/>
      <c r="AC811" s="3"/>
      <c r="AF811" s="3"/>
      <c r="AG811" s="3"/>
      <c r="AH811" s="3"/>
    </row>
    <row r="812" spans="1:34" x14ac:dyDescent="0.25">
      <c r="A812">
        <v>21720010</v>
      </c>
      <c r="B812">
        <v>2172</v>
      </c>
      <c r="C812" s="2">
        <v>1</v>
      </c>
      <c r="D812" s="2" t="s">
        <v>917</v>
      </c>
      <c r="E812">
        <v>10</v>
      </c>
      <c r="F812" s="2" t="s">
        <v>918</v>
      </c>
      <c r="G812" s="3">
        <v>0</v>
      </c>
      <c r="H812" s="32">
        <v>61</v>
      </c>
      <c r="I812" s="32">
        <v>46</v>
      </c>
      <c r="J812" s="32">
        <v>61</v>
      </c>
      <c r="K812" s="32">
        <v>51</v>
      </c>
      <c r="L812" s="32">
        <v>47</v>
      </c>
      <c r="M812" s="32">
        <v>41</v>
      </c>
      <c r="N812" s="32">
        <v>72</v>
      </c>
      <c r="O812" s="32">
        <v>53</v>
      </c>
      <c r="P812" s="32">
        <v>54</v>
      </c>
      <c r="Q812" s="32">
        <v>46</v>
      </c>
      <c r="R812" s="32">
        <v>60</v>
      </c>
      <c r="S812" s="32">
        <v>46</v>
      </c>
      <c r="T812" s="32">
        <v>49</v>
      </c>
      <c r="U812" s="32">
        <v>67</v>
      </c>
      <c r="V812" s="30">
        <v>0.81656804733727806</v>
      </c>
      <c r="W812" s="30">
        <v>0.77956989247311825</v>
      </c>
      <c r="X812" s="32">
        <v>21206.219999999998</v>
      </c>
      <c r="Y812" s="32">
        <v>27682.39</v>
      </c>
      <c r="Z812" s="32">
        <v>48888.61</v>
      </c>
      <c r="AA812" s="3">
        <f t="shared" si="12"/>
        <v>46726.74</v>
      </c>
      <c r="AB812" s="3"/>
      <c r="AC812" s="3"/>
      <c r="AF812" s="3"/>
      <c r="AG812" s="3"/>
      <c r="AH812" s="3"/>
    </row>
    <row r="813" spans="1:34" x14ac:dyDescent="0.25">
      <c r="A813">
        <v>21740010</v>
      </c>
      <c r="B813">
        <v>2174</v>
      </c>
      <c r="C813" s="2">
        <v>1</v>
      </c>
      <c r="D813" s="2" t="s">
        <v>919</v>
      </c>
      <c r="E813">
        <v>10</v>
      </c>
      <c r="F813" s="2" t="s">
        <v>920</v>
      </c>
      <c r="G813" s="3">
        <v>0</v>
      </c>
      <c r="H813" s="32">
        <v>66</v>
      </c>
      <c r="I813" s="32">
        <v>51</v>
      </c>
      <c r="J813" s="32">
        <v>48</v>
      </c>
      <c r="K813" s="32">
        <v>41</v>
      </c>
      <c r="L813" s="32">
        <v>65</v>
      </c>
      <c r="M813" s="32">
        <v>56</v>
      </c>
      <c r="N813" s="32">
        <v>46</v>
      </c>
      <c r="O813" s="32">
        <v>31</v>
      </c>
      <c r="P813" s="32">
        <v>65</v>
      </c>
      <c r="Q813" s="32">
        <v>44</v>
      </c>
      <c r="R813" s="32">
        <v>52</v>
      </c>
      <c r="S813" s="32">
        <v>38</v>
      </c>
      <c r="T813" s="32">
        <v>68</v>
      </c>
      <c r="U813" s="32">
        <v>55</v>
      </c>
      <c r="V813" s="30">
        <v>0.82681564245810057</v>
      </c>
      <c r="W813" s="30">
        <v>0.69325153374233128</v>
      </c>
      <c r="X813" s="32">
        <v>29798.28</v>
      </c>
      <c r="Y813" s="32">
        <v>20208.100000000002</v>
      </c>
      <c r="Z813" s="32">
        <v>50006.380000000005</v>
      </c>
      <c r="AA813" s="3">
        <f t="shared" si="12"/>
        <v>47795.09</v>
      </c>
      <c r="AB813" s="3"/>
      <c r="AC813" s="3"/>
      <c r="AF813" s="3"/>
      <c r="AG813" s="3"/>
      <c r="AH813" s="3"/>
    </row>
    <row r="814" spans="1:34" x14ac:dyDescent="0.25">
      <c r="A814">
        <v>21760010</v>
      </c>
      <c r="B814">
        <v>2176</v>
      </c>
      <c r="C814" s="2">
        <v>1</v>
      </c>
      <c r="D814" s="2" t="s">
        <v>921</v>
      </c>
      <c r="E814">
        <v>10</v>
      </c>
      <c r="F814" s="2" t="s">
        <v>922</v>
      </c>
      <c r="G814" s="3">
        <v>0</v>
      </c>
      <c r="H814" s="32">
        <v>30</v>
      </c>
      <c r="I814" s="32">
        <v>24</v>
      </c>
      <c r="J814" s="32">
        <v>31</v>
      </c>
      <c r="K814" s="32">
        <v>24</v>
      </c>
      <c r="L814" s="32">
        <v>29</v>
      </c>
      <c r="M814" s="32">
        <v>25</v>
      </c>
      <c r="N814" s="32">
        <v>25</v>
      </c>
      <c r="O814" s="32">
        <v>20</v>
      </c>
      <c r="P814" s="32">
        <v>23</v>
      </c>
      <c r="Q814" s="32">
        <v>15</v>
      </c>
      <c r="R814" s="32">
        <v>31</v>
      </c>
      <c r="S814" s="32">
        <v>29</v>
      </c>
      <c r="T814" s="32">
        <v>31</v>
      </c>
      <c r="U814" s="32">
        <v>33</v>
      </c>
      <c r="V814" s="30">
        <v>0.81111111111111112</v>
      </c>
      <c r="W814" s="30">
        <v>0.810126582278481</v>
      </c>
      <c r="X814" s="32">
        <v>13326.59</v>
      </c>
      <c r="Y814" s="32">
        <v>14169.210000000001</v>
      </c>
      <c r="Z814" s="32">
        <v>27495.800000000003</v>
      </c>
      <c r="AA814" s="3">
        <f t="shared" si="12"/>
        <v>26279.93</v>
      </c>
      <c r="AB814" s="3"/>
      <c r="AC814" s="3"/>
      <c r="AF814" s="3"/>
      <c r="AG814" s="3"/>
      <c r="AH814" s="3"/>
    </row>
    <row r="815" spans="1:34" x14ac:dyDescent="0.25">
      <c r="A815">
        <v>21800002</v>
      </c>
      <c r="B815">
        <v>2180</v>
      </c>
      <c r="C815" s="2">
        <v>1</v>
      </c>
      <c r="D815" s="2" t="s">
        <v>923</v>
      </c>
      <c r="E815">
        <v>2</v>
      </c>
      <c r="F815" s="2" t="s">
        <v>924</v>
      </c>
      <c r="G815" s="3">
        <v>0</v>
      </c>
      <c r="H815" s="32">
        <v>21</v>
      </c>
      <c r="I815" s="32">
        <v>16</v>
      </c>
      <c r="J815" s="32">
        <v>22</v>
      </c>
      <c r="K815" s="32">
        <v>19</v>
      </c>
      <c r="L815" s="32">
        <v>25</v>
      </c>
      <c r="M815" s="32">
        <v>20</v>
      </c>
      <c r="N815" s="32">
        <v>20</v>
      </c>
      <c r="O815" s="32">
        <v>15</v>
      </c>
      <c r="P815" s="32">
        <v>20</v>
      </c>
      <c r="Q815" s="32">
        <v>19</v>
      </c>
      <c r="R815" s="32">
        <v>21</v>
      </c>
      <c r="S815" s="32">
        <v>20</v>
      </c>
      <c r="T815" s="32">
        <v>24</v>
      </c>
      <c r="U815" s="32">
        <v>23</v>
      </c>
      <c r="V815" s="30">
        <v>0.80882352941176472</v>
      </c>
      <c r="W815" s="30">
        <v>0.88524590163934425</v>
      </c>
      <c r="X815" s="32">
        <v>10288.32</v>
      </c>
      <c r="Y815" s="32">
        <v>10791.14</v>
      </c>
      <c r="Z815" s="32">
        <v>21079.46</v>
      </c>
      <c r="AA815" s="3">
        <f t="shared" si="12"/>
        <v>20147.32</v>
      </c>
      <c r="AB815" s="3"/>
      <c r="AC815" s="3"/>
      <c r="AF815" s="3"/>
      <c r="AG815" s="3"/>
      <c r="AH815" s="3"/>
    </row>
    <row r="816" spans="1:34" x14ac:dyDescent="0.25">
      <c r="A816">
        <v>21800010</v>
      </c>
      <c r="B816">
        <v>2180</v>
      </c>
      <c r="C816" s="2">
        <v>1</v>
      </c>
      <c r="D816" s="2" t="s">
        <v>923</v>
      </c>
      <c r="E816">
        <v>10</v>
      </c>
      <c r="F816" s="2" t="s">
        <v>925</v>
      </c>
      <c r="G816" s="3">
        <v>0</v>
      </c>
      <c r="H816" s="32">
        <v>22</v>
      </c>
      <c r="I816" s="32">
        <v>14</v>
      </c>
      <c r="J816" s="32">
        <v>18</v>
      </c>
      <c r="K816" s="32">
        <v>15</v>
      </c>
      <c r="L816" s="32">
        <v>24</v>
      </c>
      <c r="M816" s="32">
        <v>17</v>
      </c>
      <c r="N816" s="32">
        <v>18</v>
      </c>
      <c r="O816" s="32">
        <v>15</v>
      </c>
      <c r="P816" s="32">
        <v>20</v>
      </c>
      <c r="Q816" s="32">
        <v>17</v>
      </c>
      <c r="R816" s="32">
        <v>17</v>
      </c>
      <c r="S816" s="32">
        <v>16</v>
      </c>
      <c r="T816" s="32">
        <v>26</v>
      </c>
      <c r="U816" s="32">
        <v>17</v>
      </c>
      <c r="V816" s="30">
        <v>0.71875</v>
      </c>
      <c r="W816" s="30">
        <v>0.87272727272727268</v>
      </c>
      <c r="X816" s="32">
        <v>9904.44</v>
      </c>
      <c r="Y816" s="32">
        <v>7863.35</v>
      </c>
      <c r="Z816" s="32">
        <v>17767.79</v>
      </c>
      <c r="AA816" s="3">
        <f t="shared" si="12"/>
        <v>16982.09</v>
      </c>
      <c r="AB816" s="3"/>
      <c r="AC816" s="3"/>
      <c r="AF816" s="3"/>
      <c r="AG816" s="3"/>
      <c r="AH816" s="3"/>
    </row>
    <row r="817" spans="1:34" x14ac:dyDescent="0.25">
      <c r="A817">
        <v>21840002</v>
      </c>
      <c r="B817">
        <v>2184</v>
      </c>
      <c r="C817" s="2">
        <v>1</v>
      </c>
      <c r="D817" s="2" t="s">
        <v>926</v>
      </c>
      <c r="E817">
        <v>2</v>
      </c>
      <c r="F817" s="2" t="s">
        <v>927</v>
      </c>
      <c r="G817" s="3">
        <v>0</v>
      </c>
      <c r="H817" s="32">
        <v>97</v>
      </c>
      <c r="I817" s="32">
        <v>83</v>
      </c>
      <c r="J817" s="32">
        <v>85</v>
      </c>
      <c r="K817" s="32">
        <v>75</v>
      </c>
      <c r="L817" s="32">
        <v>81</v>
      </c>
      <c r="M817" s="32">
        <v>66</v>
      </c>
      <c r="N817" s="32">
        <v>82</v>
      </c>
      <c r="O817" s="32">
        <v>67</v>
      </c>
      <c r="P817" s="32">
        <v>97</v>
      </c>
      <c r="Q817" s="32">
        <v>83</v>
      </c>
      <c r="R817" s="32">
        <v>83</v>
      </c>
      <c r="S817" s="32">
        <v>63</v>
      </c>
      <c r="T817" s="32">
        <v>86</v>
      </c>
      <c r="U817" s="32">
        <v>87</v>
      </c>
      <c r="V817" s="30">
        <v>0.85171102661596954</v>
      </c>
      <c r="W817" s="30">
        <v>0.81297709923664119</v>
      </c>
      <c r="X817" s="32">
        <v>38821.26</v>
      </c>
      <c r="Y817" s="32">
        <v>37486.559999999998</v>
      </c>
      <c r="Z817" s="32">
        <v>76307.820000000007</v>
      </c>
      <c r="AA817" s="3">
        <f t="shared" si="12"/>
        <v>72933.47</v>
      </c>
      <c r="AB817" s="3"/>
      <c r="AC817" s="3"/>
      <c r="AF817" s="3"/>
      <c r="AG817" s="3"/>
      <c r="AH817" s="3"/>
    </row>
    <row r="818" spans="1:34" x14ac:dyDescent="0.25">
      <c r="A818">
        <v>21900010</v>
      </c>
      <c r="B818">
        <v>2190</v>
      </c>
      <c r="C818" s="2">
        <v>1</v>
      </c>
      <c r="D818" s="2" t="s">
        <v>928</v>
      </c>
      <c r="E818">
        <v>10</v>
      </c>
      <c r="F818" s="2" t="s">
        <v>929</v>
      </c>
      <c r="G818" s="3">
        <v>0</v>
      </c>
      <c r="H818" s="32">
        <v>52</v>
      </c>
      <c r="I818" s="32">
        <v>27</v>
      </c>
      <c r="J818" s="32">
        <v>44</v>
      </c>
      <c r="K818" s="32">
        <v>31</v>
      </c>
      <c r="L818" s="32">
        <v>54</v>
      </c>
      <c r="M818" s="32">
        <v>29</v>
      </c>
      <c r="N818" s="32">
        <v>72</v>
      </c>
      <c r="O818" s="32">
        <v>55</v>
      </c>
      <c r="P818" s="32">
        <v>48</v>
      </c>
      <c r="Q818" s="32">
        <v>38</v>
      </c>
      <c r="R818" s="32">
        <v>42</v>
      </c>
      <c r="S818" s="32">
        <v>31</v>
      </c>
      <c r="T818" s="32">
        <v>55</v>
      </c>
      <c r="U818" s="32">
        <v>49</v>
      </c>
      <c r="V818" s="30">
        <v>0.57999999999999996</v>
      </c>
      <c r="W818" s="30">
        <v>0.76543209876543206</v>
      </c>
      <c r="X818" s="32">
        <v>16907</v>
      </c>
      <c r="Y818" s="32">
        <v>19878.32</v>
      </c>
      <c r="Z818" s="32">
        <v>36785.32</v>
      </c>
      <c r="AA818" s="3">
        <f t="shared" si="12"/>
        <v>35158.660000000003</v>
      </c>
      <c r="AB818" s="3"/>
      <c r="AC818" s="3"/>
      <c r="AF818" s="3"/>
      <c r="AG818" s="3"/>
      <c r="AH818" s="3"/>
    </row>
    <row r="819" spans="1:34" x14ac:dyDescent="0.25">
      <c r="A819">
        <v>21980010</v>
      </c>
      <c r="B819">
        <v>2198</v>
      </c>
      <c r="C819">
        <v>1</v>
      </c>
      <c r="D819" t="s">
        <v>930</v>
      </c>
      <c r="E819">
        <v>10</v>
      </c>
      <c r="F819" t="s">
        <v>931</v>
      </c>
      <c r="G819" s="3">
        <v>0</v>
      </c>
      <c r="H819" s="32">
        <v>36</v>
      </c>
      <c r="I819" s="32">
        <v>29</v>
      </c>
      <c r="J819" s="32">
        <v>44</v>
      </c>
      <c r="K819" s="32">
        <v>35</v>
      </c>
      <c r="L819" s="32">
        <v>46</v>
      </c>
      <c r="M819" s="32">
        <v>43</v>
      </c>
      <c r="N819" s="32">
        <v>47</v>
      </c>
      <c r="O819" s="32">
        <v>31</v>
      </c>
      <c r="P819" s="32">
        <v>35</v>
      </c>
      <c r="Q819" s="32">
        <v>23</v>
      </c>
      <c r="R819" s="32">
        <v>46</v>
      </c>
      <c r="S819" s="32">
        <v>41</v>
      </c>
      <c r="T819" s="32">
        <v>49</v>
      </c>
      <c r="U819" s="32">
        <v>46</v>
      </c>
      <c r="V819" s="30">
        <v>0.84920634920634919</v>
      </c>
      <c r="W819" s="30">
        <v>0.7421875</v>
      </c>
      <c r="X819" s="32">
        <v>22053.919999999998</v>
      </c>
      <c r="Y819" s="32">
        <v>18094.560000000001</v>
      </c>
      <c r="Z819" s="32">
        <v>40148.479999999996</v>
      </c>
      <c r="AA819" s="3">
        <f t="shared" si="12"/>
        <v>38373.1</v>
      </c>
      <c r="AB819" s="3"/>
      <c r="AC819" s="3"/>
      <c r="AF819" s="3"/>
      <c r="AG819" s="3"/>
      <c r="AH819" s="3"/>
    </row>
    <row r="820" spans="1:34" x14ac:dyDescent="0.25">
      <c r="A820">
        <v>22150010</v>
      </c>
      <c r="B820">
        <v>2215</v>
      </c>
      <c r="C820" s="2">
        <v>1</v>
      </c>
      <c r="D820" s="2" t="s">
        <v>932</v>
      </c>
      <c r="E820">
        <v>10</v>
      </c>
      <c r="F820" s="2" t="s">
        <v>933</v>
      </c>
      <c r="G820" s="3">
        <v>0</v>
      </c>
      <c r="H820" s="32">
        <v>19</v>
      </c>
      <c r="I820" s="32">
        <v>14</v>
      </c>
      <c r="J820" s="32">
        <v>28</v>
      </c>
      <c r="K820" s="32">
        <v>20</v>
      </c>
      <c r="L820" s="32">
        <v>18</v>
      </c>
      <c r="M820" s="32">
        <v>10</v>
      </c>
      <c r="N820" s="32">
        <v>14</v>
      </c>
      <c r="O820" s="32">
        <v>12</v>
      </c>
      <c r="P820" s="32">
        <v>16</v>
      </c>
      <c r="Q820" s="32">
        <v>15</v>
      </c>
      <c r="R820" s="32">
        <v>26</v>
      </c>
      <c r="S820" s="32">
        <v>23</v>
      </c>
      <c r="T820" s="32">
        <v>18</v>
      </c>
      <c r="U820" s="32">
        <v>27</v>
      </c>
      <c r="V820" s="30">
        <v>0.67692307692307696</v>
      </c>
      <c r="W820" s="30">
        <v>0.8928571428571429</v>
      </c>
      <c r="X820" s="32">
        <v>6457.86</v>
      </c>
      <c r="Y820" s="32">
        <v>12776.67</v>
      </c>
      <c r="Z820" s="32">
        <v>19234.53</v>
      </c>
      <c r="AA820" s="3">
        <f t="shared" si="12"/>
        <v>18383.97</v>
      </c>
      <c r="AB820" s="3"/>
      <c r="AC820" s="3"/>
      <c r="AF820" s="3"/>
      <c r="AG820" s="3"/>
      <c r="AH820" s="3"/>
    </row>
    <row r="821" spans="1:34" x14ac:dyDescent="0.25">
      <c r="A821">
        <v>23100001</v>
      </c>
      <c r="B821">
        <v>2310</v>
      </c>
      <c r="C821" s="2">
        <v>1</v>
      </c>
      <c r="D821" s="2" t="s">
        <v>934</v>
      </c>
      <c r="E821">
        <v>1</v>
      </c>
      <c r="F821" s="2" t="s">
        <v>935</v>
      </c>
      <c r="G821" s="3">
        <v>0</v>
      </c>
      <c r="H821" s="32">
        <v>30</v>
      </c>
      <c r="I821" s="32">
        <v>26</v>
      </c>
      <c r="J821" s="32">
        <v>48</v>
      </c>
      <c r="K821" s="32">
        <v>42</v>
      </c>
      <c r="L821" s="32">
        <v>51</v>
      </c>
      <c r="M821" s="32">
        <v>43</v>
      </c>
      <c r="N821" s="32">
        <v>49</v>
      </c>
      <c r="O821" s="32">
        <v>35</v>
      </c>
      <c r="P821" s="32">
        <v>33</v>
      </c>
      <c r="Q821" s="32">
        <v>23</v>
      </c>
      <c r="R821" s="32">
        <v>47</v>
      </c>
      <c r="S821" s="32">
        <v>36</v>
      </c>
      <c r="T821" s="32">
        <v>54</v>
      </c>
      <c r="U821" s="32">
        <v>53</v>
      </c>
      <c r="V821" s="30">
        <v>0.86046511627906974</v>
      </c>
      <c r="W821" s="30">
        <v>0.72868217054263562</v>
      </c>
      <c r="X821" s="32">
        <v>24626.7</v>
      </c>
      <c r="Y821" s="32">
        <v>20468.599999999999</v>
      </c>
      <c r="Z821" s="32">
        <v>45095.3</v>
      </c>
      <c r="AA821" s="3">
        <f t="shared" si="12"/>
        <v>43101.18</v>
      </c>
      <c r="AB821" s="3"/>
      <c r="AC821" s="3"/>
      <c r="AF821" s="3"/>
      <c r="AG821" s="3"/>
      <c r="AH821" s="3"/>
    </row>
    <row r="822" spans="1:34" x14ac:dyDescent="0.25">
      <c r="A822">
        <v>23100010</v>
      </c>
      <c r="B822">
        <v>2310</v>
      </c>
      <c r="C822" s="2">
        <v>1</v>
      </c>
      <c r="D822" s="2" t="s">
        <v>934</v>
      </c>
      <c r="E822">
        <v>10</v>
      </c>
      <c r="F822" s="2" t="s">
        <v>936</v>
      </c>
      <c r="G822" s="3">
        <v>0</v>
      </c>
      <c r="H822" s="32">
        <v>39</v>
      </c>
      <c r="I822" s="32">
        <v>35</v>
      </c>
      <c r="J822" s="32">
        <v>46</v>
      </c>
      <c r="K822" s="32">
        <v>40</v>
      </c>
      <c r="L822" s="32">
        <v>43</v>
      </c>
      <c r="M822" s="32">
        <v>37</v>
      </c>
      <c r="N822" s="32">
        <v>44</v>
      </c>
      <c r="O822" s="32">
        <v>37</v>
      </c>
      <c r="P822" s="32">
        <v>32</v>
      </c>
      <c r="Q822" s="32">
        <v>28</v>
      </c>
      <c r="R822" s="32">
        <v>42</v>
      </c>
      <c r="S822" s="32">
        <v>33</v>
      </c>
      <c r="T822" s="32">
        <v>48</v>
      </c>
      <c r="U822" s="32">
        <v>47</v>
      </c>
      <c r="V822" s="30">
        <v>0.875</v>
      </c>
      <c r="W822" s="30">
        <v>0.83050847457627119</v>
      </c>
      <c r="X822" s="32">
        <v>22260</v>
      </c>
      <c r="Y822" s="32">
        <v>20687.990000000002</v>
      </c>
      <c r="Z822" s="32">
        <v>42947.990000000005</v>
      </c>
      <c r="AA822" s="3">
        <f t="shared" si="12"/>
        <v>41048.82</v>
      </c>
      <c r="AB822" s="3"/>
      <c r="AC822" s="3"/>
      <c r="AF822" s="3"/>
      <c r="AG822" s="3"/>
      <c r="AH822" s="3"/>
    </row>
    <row r="823" spans="1:34" x14ac:dyDescent="0.25">
      <c r="A823">
        <v>23110010</v>
      </c>
      <c r="B823">
        <v>2311</v>
      </c>
      <c r="C823">
        <v>1</v>
      </c>
      <c r="D823" t="s">
        <v>937</v>
      </c>
      <c r="E823">
        <v>10</v>
      </c>
      <c r="F823" t="s">
        <v>938</v>
      </c>
      <c r="G823" s="3">
        <v>0</v>
      </c>
      <c r="H823" s="32">
        <v>40</v>
      </c>
      <c r="I823" s="32">
        <v>31</v>
      </c>
      <c r="J823" s="32">
        <v>26</v>
      </c>
      <c r="K823" s="32">
        <v>15</v>
      </c>
      <c r="L823" s="32">
        <v>31</v>
      </c>
      <c r="M823" s="32">
        <v>24</v>
      </c>
      <c r="N823" s="32">
        <v>33</v>
      </c>
      <c r="O823" s="32">
        <v>26</v>
      </c>
      <c r="P823" s="32">
        <v>40</v>
      </c>
      <c r="Q823" s="32">
        <v>35</v>
      </c>
      <c r="R823" s="32">
        <v>25</v>
      </c>
      <c r="S823" s="32">
        <v>20</v>
      </c>
      <c r="T823" s="32">
        <v>31</v>
      </c>
      <c r="U823" s="32">
        <v>27</v>
      </c>
      <c r="V823" s="30">
        <v>0.72164948453608246</v>
      </c>
      <c r="W823" s="30">
        <v>0.82653061224489799</v>
      </c>
      <c r="X823" s="32">
        <v>11856.570000000002</v>
      </c>
      <c r="Y823" s="32">
        <v>11827.62</v>
      </c>
      <c r="Z823" s="32">
        <v>23684.190000000002</v>
      </c>
      <c r="AA823" s="3">
        <f t="shared" si="12"/>
        <v>22636.87</v>
      </c>
      <c r="AB823" s="3"/>
      <c r="AC823" s="3"/>
      <c r="AF823" s="3"/>
      <c r="AG823" s="3"/>
      <c r="AH823" s="3"/>
    </row>
    <row r="824" spans="1:34" x14ac:dyDescent="0.25">
      <c r="A824">
        <v>23420001</v>
      </c>
      <c r="B824">
        <v>2342</v>
      </c>
      <c r="C824" s="2">
        <v>1</v>
      </c>
      <c r="D824" s="2" t="s">
        <v>939</v>
      </c>
      <c r="E824">
        <v>1</v>
      </c>
      <c r="F824" s="2" t="s">
        <v>940</v>
      </c>
      <c r="G824" s="3">
        <v>0</v>
      </c>
      <c r="H824" s="32">
        <v>23</v>
      </c>
      <c r="I824" s="32">
        <v>19</v>
      </c>
      <c r="J824" s="32">
        <v>30</v>
      </c>
      <c r="K824" s="32">
        <v>24</v>
      </c>
      <c r="L824" s="32">
        <v>37</v>
      </c>
      <c r="M824" s="32">
        <v>28</v>
      </c>
      <c r="N824" s="32">
        <v>21</v>
      </c>
      <c r="O824" s="32">
        <v>19</v>
      </c>
      <c r="P824" s="32">
        <v>21</v>
      </c>
      <c r="Q824" s="32">
        <v>17</v>
      </c>
      <c r="R824" s="32">
        <v>25</v>
      </c>
      <c r="S824" s="32">
        <v>21</v>
      </c>
      <c r="T824" s="32">
        <v>39</v>
      </c>
      <c r="U824" s="32">
        <v>28</v>
      </c>
      <c r="V824" s="30">
        <v>0.78888888888888886</v>
      </c>
      <c r="W824" s="30">
        <v>0.85074626865671643</v>
      </c>
      <c r="X824" s="32">
        <v>16306.29</v>
      </c>
      <c r="Y824" s="32">
        <v>12625.199999999999</v>
      </c>
      <c r="Z824" s="32">
        <v>28931.489999999998</v>
      </c>
      <c r="AA824" s="3">
        <f t="shared" si="12"/>
        <v>27652.13</v>
      </c>
      <c r="AB824" s="3"/>
      <c r="AC824" s="3"/>
      <c r="AF824" s="3"/>
      <c r="AG824" s="3"/>
      <c r="AH824" s="3"/>
    </row>
    <row r="825" spans="1:34" x14ac:dyDescent="0.25">
      <c r="A825">
        <v>23420002</v>
      </c>
      <c r="B825">
        <v>2342</v>
      </c>
      <c r="C825" s="2">
        <v>1</v>
      </c>
      <c r="D825" s="2" t="s">
        <v>939</v>
      </c>
      <c r="E825">
        <v>2</v>
      </c>
      <c r="F825" s="2" t="s">
        <v>941</v>
      </c>
      <c r="G825" s="3">
        <v>0</v>
      </c>
      <c r="H825" s="32">
        <v>24</v>
      </c>
      <c r="I825" s="32">
        <v>21</v>
      </c>
      <c r="J825" s="32">
        <v>25</v>
      </c>
      <c r="K825" s="32">
        <v>22</v>
      </c>
      <c r="L825" s="32">
        <v>28</v>
      </c>
      <c r="M825" s="32">
        <v>25</v>
      </c>
      <c r="N825" s="32">
        <v>23</v>
      </c>
      <c r="O825" s="32">
        <v>20</v>
      </c>
      <c r="P825" s="32">
        <v>22</v>
      </c>
      <c r="Q825" s="32">
        <v>14</v>
      </c>
      <c r="R825" s="32">
        <v>23</v>
      </c>
      <c r="S825" s="32">
        <v>23</v>
      </c>
      <c r="T825" s="32">
        <v>29</v>
      </c>
      <c r="U825" s="32">
        <v>24</v>
      </c>
      <c r="V825" s="30">
        <v>0.88311688311688308</v>
      </c>
      <c r="W825" s="30">
        <v>0.83823529411764708</v>
      </c>
      <c r="X825" s="32">
        <v>13573.45</v>
      </c>
      <c r="Y825" s="32">
        <v>10662.24</v>
      </c>
      <c r="Z825" s="32">
        <v>24235.690000000002</v>
      </c>
      <c r="AA825" s="3">
        <f t="shared" si="12"/>
        <v>23163.98</v>
      </c>
      <c r="AB825" s="3"/>
      <c r="AC825" s="3"/>
      <c r="AF825" s="3"/>
      <c r="AG825" s="3"/>
      <c r="AH825" s="3"/>
    </row>
    <row r="826" spans="1:34" x14ac:dyDescent="0.25">
      <c r="A826">
        <v>23580010</v>
      </c>
      <c r="B826">
        <v>2358</v>
      </c>
      <c r="C826" s="2">
        <v>1</v>
      </c>
      <c r="D826" s="2" t="s">
        <v>942</v>
      </c>
      <c r="E826">
        <v>10</v>
      </c>
      <c r="F826" s="2" t="s">
        <v>943</v>
      </c>
      <c r="G826" s="3">
        <v>0</v>
      </c>
      <c r="H826" s="32">
        <v>13</v>
      </c>
      <c r="I826" s="32">
        <v>12</v>
      </c>
      <c r="J826" s="32">
        <v>22</v>
      </c>
      <c r="K826" s="32">
        <v>16</v>
      </c>
      <c r="L826" s="32">
        <v>13</v>
      </c>
      <c r="M826" s="32">
        <v>11</v>
      </c>
      <c r="N826" s="32">
        <v>18</v>
      </c>
      <c r="O826" s="32">
        <v>17</v>
      </c>
      <c r="P826" s="32">
        <v>11</v>
      </c>
      <c r="Q826" s="32">
        <v>4</v>
      </c>
      <c r="R826" s="32">
        <v>19</v>
      </c>
      <c r="S826" s="32">
        <v>16</v>
      </c>
      <c r="T826" s="32">
        <v>13</v>
      </c>
      <c r="U826" s="32">
        <v>21</v>
      </c>
      <c r="V826" s="30">
        <v>0.8125</v>
      </c>
      <c r="W826" s="30">
        <v>0.77083333333333337</v>
      </c>
      <c r="X826" s="32">
        <v>5598.19</v>
      </c>
      <c r="Y826" s="32">
        <v>8579.34</v>
      </c>
      <c r="Z826" s="32">
        <v>14177.529999999999</v>
      </c>
      <c r="AA826" s="3">
        <f t="shared" si="12"/>
        <v>13550.6</v>
      </c>
      <c r="AB826" s="3"/>
      <c r="AC826" s="3"/>
      <c r="AF826" s="3"/>
      <c r="AG826" s="3"/>
      <c r="AH826" s="3"/>
    </row>
    <row r="827" spans="1:34" x14ac:dyDescent="0.25">
      <c r="A827">
        <v>23640001</v>
      </c>
      <c r="B827">
        <v>2364</v>
      </c>
      <c r="C827" s="2">
        <v>1</v>
      </c>
      <c r="D827" s="2" t="s">
        <v>944</v>
      </c>
      <c r="E827">
        <v>1</v>
      </c>
      <c r="F827" s="2" t="s">
        <v>945</v>
      </c>
      <c r="G827" s="3">
        <v>0</v>
      </c>
      <c r="H827" s="32">
        <v>48</v>
      </c>
      <c r="I827" s="32">
        <v>42</v>
      </c>
      <c r="J827" s="32">
        <v>49</v>
      </c>
      <c r="K827" s="32">
        <v>41</v>
      </c>
      <c r="L827" s="32">
        <v>49</v>
      </c>
      <c r="M827" s="32">
        <v>46</v>
      </c>
      <c r="N827" s="32">
        <v>50</v>
      </c>
      <c r="O827" s="32">
        <v>44</v>
      </c>
      <c r="P827" s="32">
        <v>46</v>
      </c>
      <c r="Q827" s="32">
        <v>41</v>
      </c>
      <c r="R827" s="32">
        <v>46</v>
      </c>
      <c r="S827" s="32">
        <v>39</v>
      </c>
      <c r="T827" s="32">
        <v>49</v>
      </c>
      <c r="U827" s="32">
        <v>52</v>
      </c>
      <c r="V827" s="30">
        <v>0.88356164383561642</v>
      </c>
      <c r="W827" s="30">
        <v>0.87323943661971826</v>
      </c>
      <c r="X827" s="32">
        <v>22946.210000000003</v>
      </c>
      <c r="Y827" s="32">
        <v>24066.639999999999</v>
      </c>
      <c r="Z827" s="32">
        <v>47012.850000000006</v>
      </c>
      <c r="AA827" s="3">
        <f t="shared" si="12"/>
        <v>44933.93</v>
      </c>
      <c r="AB827" s="3"/>
      <c r="AC827" s="3"/>
      <c r="AF827" s="3"/>
      <c r="AG827" s="3"/>
      <c r="AH827" s="3"/>
    </row>
    <row r="828" spans="1:34" x14ac:dyDescent="0.25">
      <c r="A828">
        <v>23650001</v>
      </c>
      <c r="B828">
        <v>2365</v>
      </c>
      <c r="C828" s="2">
        <v>1</v>
      </c>
      <c r="D828" s="2" t="s">
        <v>946</v>
      </c>
      <c r="E828">
        <v>1</v>
      </c>
      <c r="F828" s="2" t="s">
        <v>947</v>
      </c>
      <c r="G828" s="3">
        <v>0</v>
      </c>
      <c r="H828" s="32">
        <v>52</v>
      </c>
      <c r="I828" s="32">
        <v>44</v>
      </c>
      <c r="J828" s="32">
        <v>51</v>
      </c>
      <c r="K828" s="32">
        <v>38</v>
      </c>
      <c r="L828" s="32">
        <v>55</v>
      </c>
      <c r="M828" s="32">
        <v>49</v>
      </c>
      <c r="N828" s="32">
        <v>59</v>
      </c>
      <c r="O828" s="32">
        <v>52</v>
      </c>
      <c r="P828" s="32">
        <v>48</v>
      </c>
      <c r="Q828" s="32">
        <v>39</v>
      </c>
      <c r="R828" s="32">
        <v>48</v>
      </c>
      <c r="S828" s="32">
        <v>37</v>
      </c>
      <c r="T828" s="32">
        <v>54</v>
      </c>
      <c r="U828" s="32">
        <v>52</v>
      </c>
      <c r="V828" s="30">
        <v>0.82911392405063289</v>
      </c>
      <c r="W828" s="30">
        <v>0.82580645161290323</v>
      </c>
      <c r="X828" s="32">
        <v>23729.22</v>
      </c>
      <c r="Y828" s="32">
        <v>22759.360000000001</v>
      </c>
      <c r="Z828" s="32">
        <v>46488.58</v>
      </c>
      <c r="AA828" s="3">
        <f t="shared" si="12"/>
        <v>44432.84</v>
      </c>
      <c r="AB828" s="3"/>
      <c r="AC828" s="3"/>
      <c r="AF828" s="3"/>
      <c r="AG828" s="3"/>
      <c r="AH828" s="3"/>
    </row>
    <row r="829" spans="1:34" x14ac:dyDescent="0.25">
      <c r="A829">
        <v>23960100</v>
      </c>
      <c r="B829">
        <v>2396</v>
      </c>
      <c r="C829" s="2">
        <v>1</v>
      </c>
      <c r="D829" s="2" t="s">
        <v>948</v>
      </c>
      <c r="E829">
        <v>100</v>
      </c>
      <c r="F829" s="2" t="s">
        <v>949</v>
      </c>
      <c r="G829" s="3">
        <v>0</v>
      </c>
      <c r="H829" s="32">
        <v>49</v>
      </c>
      <c r="I829" s="32">
        <v>31</v>
      </c>
      <c r="J829" s="32">
        <v>44</v>
      </c>
      <c r="K829" s="32">
        <v>35</v>
      </c>
      <c r="L829" s="32">
        <v>40</v>
      </c>
      <c r="M829" s="32">
        <v>29</v>
      </c>
      <c r="N829" s="32">
        <v>42</v>
      </c>
      <c r="O829" s="32">
        <v>29</v>
      </c>
      <c r="P829" s="32">
        <v>50</v>
      </c>
      <c r="Q829" s="32">
        <v>42</v>
      </c>
      <c r="R829" s="32">
        <v>40</v>
      </c>
      <c r="S829" s="32">
        <v>33</v>
      </c>
      <c r="T829" s="32">
        <v>41</v>
      </c>
      <c r="U829" s="32">
        <v>44</v>
      </c>
      <c r="V829" s="30">
        <v>0.7142857142857143</v>
      </c>
      <c r="W829" s="30">
        <v>0.78787878787878785</v>
      </c>
      <c r="X829" s="32">
        <v>15521.369999999999</v>
      </c>
      <c r="Y829" s="32">
        <v>18373.52</v>
      </c>
      <c r="Z829" s="32">
        <v>33894.89</v>
      </c>
      <c r="AA829" s="3">
        <f t="shared" si="12"/>
        <v>32396.05</v>
      </c>
      <c r="AB829" s="3"/>
      <c r="AC829" s="3"/>
      <c r="AF829" s="3"/>
      <c r="AG829" s="3"/>
      <c r="AH829" s="3"/>
    </row>
    <row r="830" spans="1:34" x14ac:dyDescent="0.25">
      <c r="A830">
        <v>23960200</v>
      </c>
      <c r="B830">
        <v>2396</v>
      </c>
      <c r="C830" s="2">
        <v>1</v>
      </c>
      <c r="D830" s="2" t="s">
        <v>948</v>
      </c>
      <c r="E830">
        <v>200</v>
      </c>
      <c r="F830" s="2" t="s">
        <v>950</v>
      </c>
      <c r="G830" s="3">
        <v>0</v>
      </c>
      <c r="H830" s="32">
        <v>23</v>
      </c>
      <c r="I830" s="32">
        <v>16</v>
      </c>
      <c r="J830" s="32">
        <v>18</v>
      </c>
      <c r="K830" s="32">
        <v>15</v>
      </c>
      <c r="L830" s="32">
        <v>12</v>
      </c>
      <c r="M830" s="32">
        <v>7</v>
      </c>
      <c r="N830" s="32">
        <v>0</v>
      </c>
      <c r="O830" s="32">
        <v>0</v>
      </c>
      <c r="P830" s="32">
        <v>22</v>
      </c>
      <c r="Q830" s="32">
        <v>19</v>
      </c>
      <c r="R830" s="32">
        <v>17</v>
      </c>
      <c r="S830" s="32">
        <v>13</v>
      </c>
      <c r="T830" s="32">
        <v>12</v>
      </c>
      <c r="U830" s="32">
        <v>18</v>
      </c>
      <c r="V830" s="30">
        <v>0.71698113207547165</v>
      </c>
      <c r="W830" s="30">
        <v>0.82051282051282048</v>
      </c>
      <c r="X830" s="32">
        <v>4560</v>
      </c>
      <c r="Y830" s="32">
        <v>7827.66</v>
      </c>
      <c r="Z830" s="32">
        <v>12387.66</v>
      </c>
      <c r="AA830" s="3">
        <f t="shared" si="12"/>
        <v>11839.87</v>
      </c>
      <c r="AB830" s="3"/>
      <c r="AC830" s="3"/>
      <c r="AF830" s="3"/>
      <c r="AG830" s="3"/>
      <c r="AH830" s="3"/>
    </row>
    <row r="831" spans="1:34" x14ac:dyDescent="0.25">
      <c r="A831">
        <v>23970010</v>
      </c>
      <c r="B831">
        <v>2397</v>
      </c>
      <c r="C831">
        <v>1</v>
      </c>
      <c r="D831" t="s">
        <v>951</v>
      </c>
      <c r="E831">
        <v>10</v>
      </c>
      <c r="F831" t="s">
        <v>952</v>
      </c>
      <c r="G831" s="3">
        <v>0</v>
      </c>
      <c r="H831" s="32">
        <v>67</v>
      </c>
      <c r="I831" s="32">
        <v>55</v>
      </c>
      <c r="J831" s="32">
        <v>77</v>
      </c>
      <c r="K831" s="32">
        <v>56</v>
      </c>
      <c r="L831" s="32">
        <v>55</v>
      </c>
      <c r="M831" s="32">
        <v>40</v>
      </c>
      <c r="N831" s="32">
        <v>49</v>
      </c>
      <c r="O831" s="32">
        <v>34</v>
      </c>
      <c r="P831" s="32">
        <v>62</v>
      </c>
      <c r="Q831" s="32">
        <v>48</v>
      </c>
      <c r="R831" s="32">
        <v>73</v>
      </c>
      <c r="S831" s="32">
        <v>50</v>
      </c>
      <c r="T831" s="32">
        <v>59</v>
      </c>
      <c r="U831" s="32">
        <v>78</v>
      </c>
      <c r="V831" s="30">
        <v>0.75879396984924619</v>
      </c>
      <c r="W831" s="30">
        <v>0.71739130434782605</v>
      </c>
      <c r="X831" s="32">
        <v>23727.440000000002</v>
      </c>
      <c r="Y831" s="32">
        <v>29657.160000000003</v>
      </c>
      <c r="Z831" s="32">
        <v>53384.600000000006</v>
      </c>
      <c r="AA831" s="3">
        <f t="shared" si="12"/>
        <v>51023.92</v>
      </c>
      <c r="AB831" s="3"/>
      <c r="AC831" s="3"/>
      <c r="AF831" s="3"/>
      <c r="AG831" s="3"/>
      <c r="AH831" s="3"/>
    </row>
    <row r="832" spans="1:34" x14ac:dyDescent="0.25">
      <c r="A832">
        <v>23970015</v>
      </c>
      <c r="B832">
        <v>2397</v>
      </c>
      <c r="C832" s="2">
        <v>1</v>
      </c>
      <c r="D832" s="2" t="s">
        <v>1251</v>
      </c>
      <c r="E832">
        <v>15</v>
      </c>
      <c r="F832" s="2" t="s">
        <v>1252</v>
      </c>
      <c r="G832" s="3">
        <v>1</v>
      </c>
      <c r="H832" s="32" t="s">
        <v>1328</v>
      </c>
      <c r="I832" s="32" t="s">
        <v>1328</v>
      </c>
      <c r="J832" s="32" t="s">
        <v>1328</v>
      </c>
      <c r="K832" s="32" t="s">
        <v>1328</v>
      </c>
      <c r="L832" s="32" t="s">
        <v>1328</v>
      </c>
      <c r="M832" s="32" t="s">
        <v>1328</v>
      </c>
      <c r="N832" s="32" t="s">
        <v>1328</v>
      </c>
      <c r="O832" s="32" t="s">
        <v>1328</v>
      </c>
      <c r="P832" s="32" t="s">
        <v>1328</v>
      </c>
      <c r="Q832" s="32" t="s">
        <v>1328</v>
      </c>
      <c r="R832" s="32" t="s">
        <v>1328</v>
      </c>
      <c r="S832" s="32" t="s">
        <v>1328</v>
      </c>
      <c r="T832" s="32">
        <v>11</v>
      </c>
      <c r="U832" s="32">
        <v>8</v>
      </c>
      <c r="V832" s="30" t="s">
        <v>1328</v>
      </c>
      <c r="W832" s="30" t="s">
        <v>1328</v>
      </c>
      <c r="X832" s="32" t="s">
        <v>1328</v>
      </c>
      <c r="Y832" s="32" t="s">
        <v>1328</v>
      </c>
      <c r="Z832" s="32">
        <v>7628.57</v>
      </c>
      <c r="AA832" s="3">
        <f t="shared" si="12"/>
        <v>7291.23</v>
      </c>
      <c r="AB832" s="3"/>
      <c r="AC832" s="3"/>
      <c r="AF832" s="3"/>
      <c r="AG832" s="3"/>
      <c r="AH832" s="3"/>
    </row>
    <row r="833" spans="1:34" x14ac:dyDescent="0.25">
      <c r="A833">
        <v>24480010</v>
      </c>
      <c r="B833">
        <v>2448</v>
      </c>
      <c r="C833" s="2">
        <v>1</v>
      </c>
      <c r="D833" s="2" t="s">
        <v>953</v>
      </c>
      <c r="E833">
        <v>10</v>
      </c>
      <c r="F833" s="2" t="s">
        <v>954</v>
      </c>
      <c r="G833" s="3">
        <v>0</v>
      </c>
      <c r="H833" s="32">
        <v>56</v>
      </c>
      <c r="I833" s="32">
        <v>48</v>
      </c>
      <c r="J833" s="32">
        <v>53</v>
      </c>
      <c r="K833" s="32">
        <v>39</v>
      </c>
      <c r="L833" s="32">
        <v>41</v>
      </c>
      <c r="M833" s="32">
        <v>31</v>
      </c>
      <c r="N833" s="32">
        <v>56</v>
      </c>
      <c r="O833" s="32">
        <v>45</v>
      </c>
      <c r="P833" s="32">
        <v>55</v>
      </c>
      <c r="Q833" s="32">
        <v>40</v>
      </c>
      <c r="R833" s="32">
        <v>53</v>
      </c>
      <c r="S833" s="32">
        <v>38</v>
      </c>
      <c r="T833" s="32">
        <v>42</v>
      </c>
      <c r="U833" s="32">
        <v>57</v>
      </c>
      <c r="V833" s="30">
        <v>0.78666666666666663</v>
      </c>
      <c r="W833" s="30">
        <v>0.75</v>
      </c>
      <c r="X833" s="32">
        <v>17511.060000000001</v>
      </c>
      <c r="Y833" s="32">
        <v>22657.5</v>
      </c>
      <c r="Z833" s="32">
        <v>40168.559999999998</v>
      </c>
      <c r="AA833" s="3">
        <f t="shared" si="12"/>
        <v>38392.300000000003</v>
      </c>
      <c r="AB833" s="3"/>
      <c r="AC833" s="3"/>
      <c r="AF833" s="3"/>
      <c r="AG833" s="3"/>
      <c r="AH833" s="3"/>
    </row>
    <row r="834" spans="1:34" x14ac:dyDescent="0.25">
      <c r="A834">
        <v>25270001</v>
      </c>
      <c r="B834">
        <v>2527</v>
      </c>
      <c r="C834" s="2">
        <v>1</v>
      </c>
      <c r="D834" s="2" t="s">
        <v>955</v>
      </c>
      <c r="E834">
        <v>1</v>
      </c>
      <c r="F834" s="2" t="s">
        <v>956</v>
      </c>
      <c r="G834" s="3">
        <v>0</v>
      </c>
      <c r="H834" s="32">
        <v>19</v>
      </c>
      <c r="I834" s="32">
        <v>16</v>
      </c>
      <c r="J834" s="32">
        <v>31</v>
      </c>
      <c r="K834" s="32">
        <v>26</v>
      </c>
      <c r="L834" s="32">
        <v>19</v>
      </c>
      <c r="M834" s="32">
        <v>16</v>
      </c>
      <c r="N834" s="32">
        <v>16</v>
      </c>
      <c r="O834" s="32">
        <v>9</v>
      </c>
      <c r="P834" s="32">
        <v>19</v>
      </c>
      <c r="Q834" s="32">
        <v>19</v>
      </c>
      <c r="R834" s="32">
        <v>29</v>
      </c>
      <c r="S834" s="32">
        <v>23</v>
      </c>
      <c r="T834" s="32">
        <v>20</v>
      </c>
      <c r="U834" s="32">
        <v>33</v>
      </c>
      <c r="V834" s="30">
        <v>0.84057971014492749</v>
      </c>
      <c r="W834" s="30">
        <v>0.796875</v>
      </c>
      <c r="X834" s="32">
        <v>8910.2000000000007</v>
      </c>
      <c r="Y834" s="32">
        <v>13937.22</v>
      </c>
      <c r="Z834" s="32">
        <v>22847.42</v>
      </c>
      <c r="AA834" s="3">
        <f t="shared" si="12"/>
        <v>21837.1</v>
      </c>
      <c r="AB834" s="3"/>
      <c r="AC834" s="3"/>
      <c r="AF834" s="3"/>
      <c r="AG834" s="3"/>
      <c r="AH834" s="3"/>
    </row>
    <row r="835" spans="1:34" x14ac:dyDescent="0.25">
      <c r="A835">
        <v>25340015</v>
      </c>
      <c r="B835">
        <v>2534</v>
      </c>
      <c r="C835" s="2">
        <v>1</v>
      </c>
      <c r="D835" s="2" t="s">
        <v>957</v>
      </c>
      <c r="E835">
        <v>15</v>
      </c>
      <c r="F835" s="2" t="s">
        <v>958</v>
      </c>
      <c r="G835" s="3">
        <v>0</v>
      </c>
      <c r="H835" s="32">
        <v>43</v>
      </c>
      <c r="I835" s="32">
        <v>32</v>
      </c>
      <c r="J835" s="32">
        <v>47</v>
      </c>
      <c r="K835" s="32">
        <v>39</v>
      </c>
      <c r="L835" s="32">
        <v>46</v>
      </c>
      <c r="M835" s="32">
        <v>35</v>
      </c>
      <c r="N835" s="32">
        <v>41</v>
      </c>
      <c r="O835" s="32">
        <v>33</v>
      </c>
      <c r="P835" s="32">
        <v>39</v>
      </c>
      <c r="Q835" s="32">
        <v>37</v>
      </c>
      <c r="R835" s="32">
        <v>43</v>
      </c>
      <c r="S835" s="32">
        <v>34</v>
      </c>
      <c r="T835" s="32">
        <v>47</v>
      </c>
      <c r="U835" s="32">
        <v>52</v>
      </c>
      <c r="V835" s="30">
        <v>0.77941176470588236</v>
      </c>
      <c r="W835" s="30">
        <v>0.84552845528455289</v>
      </c>
      <c r="X835" s="32">
        <v>19415.23</v>
      </c>
      <c r="Y835" s="32">
        <v>23302.76</v>
      </c>
      <c r="Z835" s="32">
        <v>42717.99</v>
      </c>
      <c r="AA835" s="3">
        <f t="shared" si="12"/>
        <v>40828.99</v>
      </c>
      <c r="AB835" s="3"/>
      <c r="AC835" s="3"/>
      <c r="AF835" s="3"/>
      <c r="AG835" s="3"/>
      <c r="AH835" s="3"/>
    </row>
    <row r="836" spans="1:34" x14ac:dyDescent="0.25">
      <c r="A836">
        <v>25360015</v>
      </c>
      <c r="B836">
        <v>2536</v>
      </c>
      <c r="C836" s="2">
        <v>1</v>
      </c>
      <c r="D836" s="2" t="s">
        <v>1253</v>
      </c>
      <c r="E836">
        <v>15</v>
      </c>
      <c r="F836" s="2" t="s">
        <v>1254</v>
      </c>
      <c r="G836" s="3">
        <v>1</v>
      </c>
      <c r="H836" s="32" t="s">
        <v>1328</v>
      </c>
      <c r="I836" s="32" t="s">
        <v>1328</v>
      </c>
      <c r="J836" s="32" t="s">
        <v>1328</v>
      </c>
      <c r="K836" s="32" t="s">
        <v>1328</v>
      </c>
      <c r="L836" s="32" t="s">
        <v>1328</v>
      </c>
      <c r="M836" s="32" t="s">
        <v>1328</v>
      </c>
      <c r="N836" s="32" t="s">
        <v>1328</v>
      </c>
      <c r="O836" s="32" t="s">
        <v>1328</v>
      </c>
      <c r="P836" s="32" t="s">
        <v>1328</v>
      </c>
      <c r="Q836" s="32" t="s">
        <v>1328</v>
      </c>
      <c r="R836" s="32" t="s">
        <v>1328</v>
      </c>
      <c r="S836" s="32" t="s">
        <v>1328</v>
      </c>
      <c r="T836" s="32">
        <v>13</v>
      </c>
      <c r="U836" s="32">
        <v>17</v>
      </c>
      <c r="V836" s="30" t="s">
        <v>1328</v>
      </c>
      <c r="W836" s="30" t="s">
        <v>1328</v>
      </c>
      <c r="X836" s="32" t="s">
        <v>1328</v>
      </c>
      <c r="Y836" s="32" t="s">
        <v>1328</v>
      </c>
      <c r="Z836" s="32">
        <v>10070.02</v>
      </c>
      <c r="AA836" s="3">
        <f t="shared" si="12"/>
        <v>9624.7199999999993</v>
      </c>
      <c r="AB836" s="3"/>
      <c r="AC836" s="3"/>
      <c r="AF836" s="3"/>
      <c r="AG836" s="3"/>
      <c r="AH836" s="3"/>
    </row>
    <row r="837" spans="1:34" x14ac:dyDescent="0.25">
      <c r="A837">
        <v>25800010</v>
      </c>
      <c r="B837">
        <v>2580</v>
      </c>
      <c r="C837" s="2">
        <v>1</v>
      </c>
      <c r="D837" s="2" t="s">
        <v>959</v>
      </c>
      <c r="E837">
        <v>10</v>
      </c>
      <c r="F837" s="2" t="s">
        <v>960</v>
      </c>
      <c r="G837" s="3">
        <v>0</v>
      </c>
      <c r="H837" s="32">
        <v>57</v>
      </c>
      <c r="I837" s="32">
        <v>42</v>
      </c>
      <c r="J837" s="32">
        <v>61</v>
      </c>
      <c r="K837" s="32">
        <v>46</v>
      </c>
      <c r="L837" s="32">
        <v>59</v>
      </c>
      <c r="M837" s="32">
        <v>40</v>
      </c>
      <c r="N837" s="32">
        <v>65</v>
      </c>
      <c r="O837" s="32">
        <v>49</v>
      </c>
      <c r="P837" s="32">
        <v>54</v>
      </c>
      <c r="Q837" s="32">
        <v>44</v>
      </c>
      <c r="R837" s="32">
        <v>54</v>
      </c>
      <c r="S837" s="32">
        <v>32</v>
      </c>
      <c r="T837" s="32">
        <v>61</v>
      </c>
      <c r="U837" s="32">
        <v>60</v>
      </c>
      <c r="V837" s="30">
        <v>0.7231638418079096</v>
      </c>
      <c r="W837" s="30">
        <v>0.7225433526011561</v>
      </c>
      <c r="X837" s="32">
        <v>23380.079999999998</v>
      </c>
      <c r="Y837" s="32">
        <v>22977</v>
      </c>
      <c r="Z837" s="32">
        <v>46357.08</v>
      </c>
      <c r="AA837" s="3">
        <f t="shared" si="12"/>
        <v>44307.16</v>
      </c>
      <c r="AB837" s="3"/>
      <c r="AC837" s="3"/>
      <c r="AF837" s="3"/>
      <c r="AG837" s="3"/>
      <c r="AH837" s="3"/>
    </row>
    <row r="838" spans="1:34" x14ac:dyDescent="0.25">
      <c r="A838" s="7">
        <v>26090010</v>
      </c>
      <c r="B838" s="7">
        <v>2609</v>
      </c>
      <c r="C838" s="7">
        <v>1</v>
      </c>
      <c r="D838" s="7" t="s">
        <v>961</v>
      </c>
      <c r="E838" s="7">
        <v>10</v>
      </c>
      <c r="F838" s="7" t="s">
        <v>962</v>
      </c>
      <c r="G838" s="3">
        <v>0</v>
      </c>
      <c r="H838" s="32">
        <v>28</v>
      </c>
      <c r="I838" s="32">
        <v>21</v>
      </c>
      <c r="J838" s="32">
        <v>33</v>
      </c>
      <c r="K838" s="32">
        <v>26</v>
      </c>
      <c r="L838" s="32">
        <v>37</v>
      </c>
      <c r="M838" s="32">
        <v>30</v>
      </c>
      <c r="N838" s="32">
        <v>33</v>
      </c>
      <c r="O838" s="32">
        <v>28</v>
      </c>
      <c r="P838" s="32">
        <v>25</v>
      </c>
      <c r="Q838" s="32">
        <v>21</v>
      </c>
      <c r="R838" s="32">
        <v>30</v>
      </c>
      <c r="S838" s="32">
        <v>23</v>
      </c>
      <c r="T838" s="32">
        <v>37</v>
      </c>
      <c r="U838" s="32">
        <v>35</v>
      </c>
      <c r="V838" s="30">
        <v>0.7857142857142857</v>
      </c>
      <c r="W838" s="30">
        <v>0.81818181818181823</v>
      </c>
      <c r="X838" s="32">
        <v>15407.91</v>
      </c>
      <c r="Y838" s="32">
        <v>15177.4</v>
      </c>
      <c r="Z838" s="32">
        <v>30585.309999999998</v>
      </c>
      <c r="AA838" s="3">
        <f t="shared" si="12"/>
        <v>29232.82</v>
      </c>
      <c r="AB838" s="3"/>
      <c r="AC838" s="3"/>
      <c r="AF838" s="3"/>
      <c r="AG838" s="3"/>
      <c r="AH838" s="3"/>
    </row>
    <row r="839" spans="1:34" x14ac:dyDescent="0.25">
      <c r="A839">
        <v>26830010</v>
      </c>
      <c r="B839">
        <v>2683</v>
      </c>
      <c r="C839" s="2">
        <v>1</v>
      </c>
      <c r="D839" s="2" t="s">
        <v>963</v>
      </c>
      <c r="E839">
        <v>10</v>
      </c>
      <c r="F839" s="2" t="s">
        <v>964</v>
      </c>
      <c r="G839" s="3">
        <v>0</v>
      </c>
      <c r="H839" s="32">
        <v>21</v>
      </c>
      <c r="I839" s="32">
        <v>13</v>
      </c>
      <c r="J839" s="32">
        <v>19</v>
      </c>
      <c r="K839" s="32">
        <v>14</v>
      </c>
      <c r="L839" s="32">
        <v>19</v>
      </c>
      <c r="M839" s="32">
        <v>16</v>
      </c>
      <c r="N839" s="32">
        <v>15</v>
      </c>
      <c r="O839" s="32">
        <v>13</v>
      </c>
      <c r="P839" s="32">
        <v>20</v>
      </c>
      <c r="Q839" s="32">
        <v>18</v>
      </c>
      <c r="R839" s="32">
        <v>20</v>
      </c>
      <c r="S839" s="32">
        <v>17</v>
      </c>
      <c r="T839" s="32">
        <v>18</v>
      </c>
      <c r="U839" s="32">
        <v>20</v>
      </c>
      <c r="V839" s="30">
        <v>0.72881355932203384</v>
      </c>
      <c r="W839" s="30">
        <v>0.87272727272727268</v>
      </c>
      <c r="X839" s="32">
        <v>6952.86</v>
      </c>
      <c r="Y839" s="32">
        <v>9251</v>
      </c>
      <c r="Z839" s="32">
        <v>16203.86</v>
      </c>
      <c r="AA839" s="3">
        <f t="shared" si="12"/>
        <v>15487.32</v>
      </c>
      <c r="AB839" s="3"/>
      <c r="AC839" s="3"/>
      <c r="AF839" s="3"/>
      <c r="AG839" s="3"/>
      <c r="AH839" s="3"/>
    </row>
    <row r="840" spans="1:34" x14ac:dyDescent="0.25">
      <c r="A840">
        <v>26830011</v>
      </c>
      <c r="B840">
        <v>2683</v>
      </c>
      <c r="C840" s="2">
        <v>1</v>
      </c>
      <c r="D840" s="2" t="s">
        <v>963</v>
      </c>
      <c r="E840">
        <v>11</v>
      </c>
      <c r="F840" s="2" t="s">
        <v>965</v>
      </c>
      <c r="G840" s="3">
        <v>0</v>
      </c>
      <c r="H840" s="32">
        <v>15</v>
      </c>
      <c r="I840" s="32">
        <v>13</v>
      </c>
      <c r="J840" s="32">
        <v>13</v>
      </c>
      <c r="K840" s="32">
        <v>11</v>
      </c>
      <c r="L840" s="32">
        <v>11</v>
      </c>
      <c r="M840" s="32">
        <v>11</v>
      </c>
      <c r="N840" s="32">
        <v>12</v>
      </c>
      <c r="O840" s="32">
        <v>8</v>
      </c>
      <c r="P840" s="32">
        <v>16</v>
      </c>
      <c r="Q840" s="32">
        <v>12</v>
      </c>
      <c r="R840" s="32">
        <v>13</v>
      </c>
      <c r="S840" s="32">
        <v>13</v>
      </c>
      <c r="T840" s="32">
        <v>11</v>
      </c>
      <c r="U840" s="32">
        <v>13</v>
      </c>
      <c r="V840" s="30">
        <v>0.89743589743589747</v>
      </c>
      <c r="W840" s="30">
        <v>0.80487804878048785</v>
      </c>
      <c r="X840" s="32">
        <v>5232.04</v>
      </c>
      <c r="Y840" s="32">
        <v>5545.67</v>
      </c>
      <c r="Z840" s="32">
        <v>10777.71</v>
      </c>
      <c r="AA840" s="3">
        <f t="shared" si="12"/>
        <v>10301.120000000001</v>
      </c>
      <c r="AB840" s="3"/>
      <c r="AC840" s="3"/>
      <c r="AF840" s="3"/>
      <c r="AG840" s="3"/>
      <c r="AH840" s="3"/>
    </row>
    <row r="841" spans="1:34" x14ac:dyDescent="0.25">
      <c r="A841">
        <v>26870001</v>
      </c>
      <c r="B841">
        <v>2687</v>
      </c>
      <c r="C841" s="2">
        <v>1</v>
      </c>
      <c r="D841" s="2" t="s">
        <v>966</v>
      </c>
      <c r="E841">
        <v>1</v>
      </c>
      <c r="F841" s="2" t="s">
        <v>967</v>
      </c>
      <c r="G841" s="3">
        <v>0</v>
      </c>
      <c r="H841" s="32">
        <v>34</v>
      </c>
      <c r="I841" s="32">
        <v>27</v>
      </c>
      <c r="J841" s="32">
        <v>34</v>
      </c>
      <c r="K841" s="32">
        <v>28</v>
      </c>
      <c r="L841" s="32">
        <v>42</v>
      </c>
      <c r="M841" s="32">
        <v>39</v>
      </c>
      <c r="N841" s="32">
        <v>31</v>
      </c>
      <c r="O841" s="32">
        <v>26</v>
      </c>
      <c r="P841" s="32">
        <v>33</v>
      </c>
      <c r="Q841" s="32">
        <v>30</v>
      </c>
      <c r="R841" s="32">
        <v>33</v>
      </c>
      <c r="S841" s="32">
        <v>32</v>
      </c>
      <c r="T841" s="32">
        <v>42</v>
      </c>
      <c r="U841" s="32">
        <v>37</v>
      </c>
      <c r="V841" s="30">
        <v>0.8545454545454545</v>
      </c>
      <c r="W841" s="30">
        <v>0.90721649484536082</v>
      </c>
      <c r="X841" s="32">
        <v>19022.22</v>
      </c>
      <c r="Y841" s="32">
        <v>17790.34</v>
      </c>
      <c r="Z841" s="32">
        <v>36812.559999999998</v>
      </c>
      <c r="AA841" s="3">
        <f t="shared" si="12"/>
        <v>35184.699999999997</v>
      </c>
      <c r="AB841" s="3"/>
      <c r="AC841" s="3"/>
      <c r="AF841" s="3"/>
      <c r="AG841" s="3"/>
      <c r="AH841" s="3"/>
    </row>
    <row r="842" spans="1:34" x14ac:dyDescent="0.25">
      <c r="A842">
        <v>26870003</v>
      </c>
      <c r="B842">
        <v>2687</v>
      </c>
      <c r="C842" s="2">
        <v>1</v>
      </c>
      <c r="D842" s="2" t="s">
        <v>966</v>
      </c>
      <c r="E842">
        <v>3</v>
      </c>
      <c r="F842" s="2" t="s">
        <v>968</v>
      </c>
      <c r="G842" s="3">
        <v>0</v>
      </c>
      <c r="H842" s="32">
        <v>39</v>
      </c>
      <c r="I842" s="32">
        <v>35</v>
      </c>
      <c r="J842" s="32">
        <v>42</v>
      </c>
      <c r="K842" s="32">
        <v>41</v>
      </c>
      <c r="L842" s="32">
        <v>38</v>
      </c>
      <c r="M842" s="32">
        <v>35</v>
      </c>
      <c r="N842" s="32">
        <v>29</v>
      </c>
      <c r="O842" s="32">
        <v>23</v>
      </c>
      <c r="P842" s="32">
        <v>37</v>
      </c>
      <c r="Q842" s="32">
        <v>23</v>
      </c>
      <c r="R842" s="32">
        <v>36</v>
      </c>
      <c r="S842" s="32">
        <v>27</v>
      </c>
      <c r="T842" s="32">
        <v>40</v>
      </c>
      <c r="U842" s="32">
        <v>41</v>
      </c>
      <c r="V842" s="30">
        <v>0.9327731092436975</v>
      </c>
      <c r="W842" s="30">
        <v>0.71568627450980393</v>
      </c>
      <c r="X842" s="32">
        <v>19774.8</v>
      </c>
      <c r="Y842" s="32">
        <v>15551.710000000001</v>
      </c>
      <c r="Z842" s="32">
        <v>35326.51</v>
      </c>
      <c r="AA842" s="3">
        <f t="shared" si="12"/>
        <v>33764.36</v>
      </c>
      <c r="AB842" s="3"/>
      <c r="AC842" s="3"/>
      <c r="AF842" s="3"/>
      <c r="AG842" s="3"/>
      <c r="AH842" s="3"/>
    </row>
    <row r="843" spans="1:34" x14ac:dyDescent="0.25">
      <c r="A843">
        <v>26890003</v>
      </c>
      <c r="B843">
        <v>2689</v>
      </c>
      <c r="C843" s="2">
        <v>1</v>
      </c>
      <c r="D843" s="2" t="s">
        <v>969</v>
      </c>
      <c r="E843">
        <v>3</v>
      </c>
      <c r="F843" s="2" t="s">
        <v>970</v>
      </c>
      <c r="G843" s="3">
        <v>0</v>
      </c>
      <c r="H843" s="32">
        <v>92</v>
      </c>
      <c r="I843" s="32">
        <v>77</v>
      </c>
      <c r="J843" s="32">
        <v>65</v>
      </c>
      <c r="K843" s="32">
        <v>58</v>
      </c>
      <c r="L843" s="32">
        <v>90</v>
      </c>
      <c r="M843" s="32">
        <v>78</v>
      </c>
      <c r="N843" s="32">
        <v>53</v>
      </c>
      <c r="O843" s="32">
        <v>28</v>
      </c>
      <c r="P843" s="32">
        <v>86</v>
      </c>
      <c r="Q843" s="32">
        <v>73</v>
      </c>
      <c r="R843" s="32">
        <v>64</v>
      </c>
      <c r="S843" s="32">
        <v>47</v>
      </c>
      <c r="T843" s="32">
        <v>87</v>
      </c>
      <c r="U843" s="32">
        <v>72</v>
      </c>
      <c r="V843" s="30">
        <v>0.86234817813765186</v>
      </c>
      <c r="W843" s="30">
        <v>0.72906403940886699</v>
      </c>
      <c r="X843" s="32">
        <v>39762.480000000003</v>
      </c>
      <c r="Y843" s="32">
        <v>27820.799999999999</v>
      </c>
      <c r="Z843" s="32">
        <v>67583.28</v>
      </c>
      <c r="AA843" s="3">
        <f t="shared" si="12"/>
        <v>64594.73</v>
      </c>
      <c r="AB843" s="3"/>
      <c r="AC843" s="3"/>
      <c r="AF843" s="3"/>
      <c r="AG843" s="3"/>
      <c r="AH843" s="3"/>
    </row>
    <row r="844" spans="1:34" x14ac:dyDescent="0.25">
      <c r="A844">
        <v>26890006</v>
      </c>
      <c r="B844">
        <v>2689</v>
      </c>
      <c r="C844" s="2">
        <v>1</v>
      </c>
      <c r="D844" s="2" t="s">
        <v>1255</v>
      </c>
      <c r="E844">
        <v>6</v>
      </c>
      <c r="F844" s="2" t="s">
        <v>1256</v>
      </c>
      <c r="G844" s="3">
        <v>1</v>
      </c>
      <c r="H844" s="32" t="s">
        <v>1328</v>
      </c>
      <c r="I844" s="32" t="s">
        <v>1328</v>
      </c>
      <c r="J844" s="32" t="s">
        <v>1328</v>
      </c>
      <c r="K844" s="32" t="s">
        <v>1328</v>
      </c>
      <c r="L844" s="32" t="s">
        <v>1328</v>
      </c>
      <c r="M844" s="32" t="s">
        <v>1328</v>
      </c>
      <c r="N844" s="32" t="s">
        <v>1328</v>
      </c>
      <c r="O844" s="32" t="s">
        <v>1328</v>
      </c>
      <c r="P844" s="32" t="s">
        <v>1328</v>
      </c>
      <c r="Q844" s="32" t="s">
        <v>1328</v>
      </c>
      <c r="R844" s="32" t="s">
        <v>1328</v>
      </c>
      <c r="S844" s="32" t="s">
        <v>1328</v>
      </c>
      <c r="T844" s="32">
        <v>2</v>
      </c>
      <c r="U844" s="32">
        <v>2</v>
      </c>
      <c r="V844" s="30" t="s">
        <v>1328</v>
      </c>
      <c r="W844" s="30" t="s">
        <v>1328</v>
      </c>
      <c r="X844" s="32" t="s">
        <v>1328</v>
      </c>
      <c r="Y844" s="32" t="s">
        <v>1328</v>
      </c>
      <c r="Z844" s="32">
        <v>1552.1399999999999</v>
      </c>
      <c r="AA844" s="3">
        <f t="shared" si="12"/>
        <v>1483.5</v>
      </c>
      <c r="AB844" s="3"/>
      <c r="AC844" s="3"/>
      <c r="AF844" s="3"/>
      <c r="AG844" s="3"/>
      <c r="AH844" s="3"/>
    </row>
    <row r="845" spans="1:34" x14ac:dyDescent="0.25">
      <c r="A845">
        <v>27110010</v>
      </c>
      <c r="B845">
        <v>2711</v>
      </c>
      <c r="C845" s="2">
        <v>1</v>
      </c>
      <c r="D845" s="2" t="s">
        <v>971</v>
      </c>
      <c r="E845">
        <v>10</v>
      </c>
      <c r="F845" s="2" t="s">
        <v>972</v>
      </c>
      <c r="G845" s="3">
        <v>0</v>
      </c>
      <c r="H845" s="32">
        <v>64</v>
      </c>
      <c r="I845" s="32">
        <v>49</v>
      </c>
      <c r="J845" s="32">
        <v>73</v>
      </c>
      <c r="K845" s="32">
        <v>52</v>
      </c>
      <c r="L845" s="32">
        <v>74</v>
      </c>
      <c r="M845" s="32">
        <v>64</v>
      </c>
      <c r="N845" s="32">
        <v>73</v>
      </c>
      <c r="O845" s="32">
        <v>43</v>
      </c>
      <c r="P845" s="32">
        <v>59</v>
      </c>
      <c r="Q845" s="32">
        <v>46</v>
      </c>
      <c r="R845" s="32">
        <v>73</v>
      </c>
      <c r="S845" s="32">
        <v>56</v>
      </c>
      <c r="T845" s="32">
        <v>74</v>
      </c>
      <c r="U845" s="32">
        <v>77</v>
      </c>
      <c r="V845" s="30">
        <v>0.78199052132701419</v>
      </c>
      <c r="W845" s="30">
        <v>0.70731707317073167</v>
      </c>
      <c r="X845" s="32">
        <v>30669.3</v>
      </c>
      <c r="Y845" s="32">
        <v>28865.759999999998</v>
      </c>
      <c r="Z845" s="32">
        <v>59535.06</v>
      </c>
      <c r="AA845" s="3">
        <f t="shared" si="12"/>
        <v>56902.41</v>
      </c>
      <c r="AB845" s="3"/>
      <c r="AC845" s="3"/>
      <c r="AF845" s="3"/>
      <c r="AG845" s="3"/>
      <c r="AH845" s="3"/>
    </row>
    <row r="846" spans="1:34" x14ac:dyDescent="0.25">
      <c r="A846">
        <v>27520050</v>
      </c>
      <c r="B846">
        <v>2752</v>
      </c>
      <c r="C846" s="2">
        <v>1</v>
      </c>
      <c r="D846" s="2" t="s">
        <v>973</v>
      </c>
      <c r="E846">
        <v>50</v>
      </c>
      <c r="F846" s="2" t="s">
        <v>974</v>
      </c>
      <c r="G846" s="3">
        <v>0</v>
      </c>
      <c r="H846" s="32">
        <v>122</v>
      </c>
      <c r="I846" s="32">
        <v>96</v>
      </c>
      <c r="J846" s="32">
        <v>128</v>
      </c>
      <c r="K846" s="32">
        <v>98</v>
      </c>
      <c r="L846" s="32">
        <v>100</v>
      </c>
      <c r="M846" s="32">
        <v>81</v>
      </c>
      <c r="N846" s="32">
        <v>118</v>
      </c>
      <c r="O846" s="32">
        <v>72</v>
      </c>
      <c r="P846" s="32">
        <v>115</v>
      </c>
      <c r="Q846" s="32">
        <v>98</v>
      </c>
      <c r="R846" s="32">
        <v>122</v>
      </c>
      <c r="S846" s="32">
        <v>92</v>
      </c>
      <c r="T846" s="32">
        <v>96</v>
      </c>
      <c r="U846" s="32">
        <v>132</v>
      </c>
      <c r="V846" s="30">
        <v>0.7857142857142857</v>
      </c>
      <c r="W846" s="30">
        <v>0.73802816901408452</v>
      </c>
      <c r="X846" s="32">
        <v>39977.279999999999</v>
      </c>
      <c r="Y846" s="32">
        <v>51631.799999999996</v>
      </c>
      <c r="Z846" s="32">
        <v>91609.079999999987</v>
      </c>
      <c r="AA846" s="3">
        <f t="shared" si="12"/>
        <v>87558.1</v>
      </c>
      <c r="AB846" s="3"/>
      <c r="AC846" s="3"/>
      <c r="AF846" s="3"/>
      <c r="AG846" s="3"/>
      <c r="AH846" s="3"/>
    </row>
    <row r="847" spans="1:34" x14ac:dyDescent="0.25">
      <c r="A847">
        <v>27530010</v>
      </c>
      <c r="B847">
        <v>2753</v>
      </c>
      <c r="C847" s="2">
        <v>1</v>
      </c>
      <c r="D847" s="2" t="s">
        <v>975</v>
      </c>
      <c r="E847">
        <v>10</v>
      </c>
      <c r="F847" s="2" t="s">
        <v>976</v>
      </c>
      <c r="G847" s="3">
        <v>0</v>
      </c>
      <c r="H847" s="32">
        <v>66</v>
      </c>
      <c r="I847" s="32">
        <v>42</v>
      </c>
      <c r="J847" s="32">
        <v>70</v>
      </c>
      <c r="K847" s="32">
        <v>37</v>
      </c>
      <c r="L847" s="32">
        <v>61</v>
      </c>
      <c r="M847" s="32">
        <v>48</v>
      </c>
      <c r="N847" s="32">
        <v>60</v>
      </c>
      <c r="O847" s="32">
        <v>36</v>
      </c>
      <c r="P847" s="32">
        <v>58</v>
      </c>
      <c r="Q847" s="32">
        <v>42</v>
      </c>
      <c r="R847" s="32">
        <v>64</v>
      </c>
      <c r="S847" s="32">
        <v>46</v>
      </c>
      <c r="T847" s="32">
        <v>65</v>
      </c>
      <c r="U847" s="32">
        <v>74</v>
      </c>
      <c r="V847" s="30">
        <v>0.64467005076142136</v>
      </c>
      <c r="W847" s="30">
        <v>0.68131868131868134</v>
      </c>
      <c r="X847" s="32">
        <v>22209.200000000001</v>
      </c>
      <c r="Y847" s="32">
        <v>26721.4</v>
      </c>
      <c r="Z847" s="32">
        <v>48930.600000000006</v>
      </c>
      <c r="AA847" s="3">
        <f t="shared" ref="AA847:AA910" si="13">ROUND(Z847*AA$10,2)</f>
        <v>46766.879999999997</v>
      </c>
      <c r="AB847" s="3"/>
      <c r="AC847" s="3"/>
      <c r="AF847" s="3"/>
      <c r="AG847" s="3"/>
      <c r="AH847" s="3"/>
    </row>
    <row r="848" spans="1:34" x14ac:dyDescent="0.25">
      <c r="A848">
        <v>27540001</v>
      </c>
      <c r="B848">
        <v>2754</v>
      </c>
      <c r="C848" s="2">
        <v>1</v>
      </c>
      <c r="D848" s="2" t="s">
        <v>977</v>
      </c>
      <c r="E848">
        <v>1</v>
      </c>
      <c r="F848" s="2" t="s">
        <v>978</v>
      </c>
      <c r="G848" s="3">
        <v>0</v>
      </c>
      <c r="H848" s="32">
        <v>35</v>
      </c>
      <c r="I848" s="32">
        <v>29</v>
      </c>
      <c r="J848" s="32">
        <v>30</v>
      </c>
      <c r="K848" s="32">
        <v>18</v>
      </c>
      <c r="L848" s="32">
        <v>41</v>
      </c>
      <c r="M848" s="32">
        <v>34</v>
      </c>
      <c r="N848" s="32">
        <v>32</v>
      </c>
      <c r="O848" s="32">
        <v>25</v>
      </c>
      <c r="P848" s="32">
        <v>34</v>
      </c>
      <c r="Q848" s="32">
        <v>30</v>
      </c>
      <c r="R848" s="32">
        <v>22</v>
      </c>
      <c r="S848" s="32">
        <v>17</v>
      </c>
      <c r="T848" s="32">
        <v>41</v>
      </c>
      <c r="U848" s="32">
        <v>25</v>
      </c>
      <c r="V848" s="30">
        <v>0.76415094339622647</v>
      </c>
      <c r="W848" s="30">
        <v>0.81818181818181823</v>
      </c>
      <c r="X848" s="32">
        <v>16605</v>
      </c>
      <c r="Y848" s="32">
        <v>10841</v>
      </c>
      <c r="Z848" s="32">
        <v>27446</v>
      </c>
      <c r="AA848" s="3">
        <f t="shared" si="13"/>
        <v>26232.33</v>
      </c>
      <c r="AB848" s="3"/>
      <c r="AC848" s="3"/>
      <c r="AF848" s="3"/>
      <c r="AG848" s="3"/>
      <c r="AH848" s="3"/>
    </row>
    <row r="849" spans="1:34" x14ac:dyDescent="0.25">
      <c r="A849">
        <v>27590010</v>
      </c>
      <c r="B849">
        <v>2759</v>
      </c>
      <c r="C849" s="2">
        <v>1</v>
      </c>
      <c r="D849" s="2" t="s">
        <v>979</v>
      </c>
      <c r="E849">
        <v>10</v>
      </c>
      <c r="F849" s="2" t="s">
        <v>980</v>
      </c>
      <c r="G849" s="3">
        <v>0</v>
      </c>
      <c r="H849" s="32">
        <v>21</v>
      </c>
      <c r="I849" s="32">
        <v>18</v>
      </c>
      <c r="J849" s="32">
        <v>21</v>
      </c>
      <c r="K849" s="32">
        <v>21</v>
      </c>
      <c r="L849" s="32">
        <v>23</v>
      </c>
      <c r="M849" s="32">
        <v>20</v>
      </c>
      <c r="N849" s="32">
        <v>17</v>
      </c>
      <c r="O849" s="32">
        <v>13</v>
      </c>
      <c r="P849" s="32">
        <v>18</v>
      </c>
      <c r="Q849" s="32">
        <v>13</v>
      </c>
      <c r="R849" s="32">
        <v>20</v>
      </c>
      <c r="S849" s="32">
        <v>16</v>
      </c>
      <c r="T849" s="32">
        <v>23</v>
      </c>
      <c r="U849" s="32">
        <v>21</v>
      </c>
      <c r="V849" s="30">
        <v>0.90769230769230769</v>
      </c>
      <c r="W849" s="30">
        <v>0.76363636363636367</v>
      </c>
      <c r="X849" s="32">
        <v>11064.84</v>
      </c>
      <c r="Y849" s="32">
        <v>8499.33</v>
      </c>
      <c r="Z849" s="32">
        <v>19564.169999999998</v>
      </c>
      <c r="AA849" s="3">
        <f t="shared" si="13"/>
        <v>18699.04</v>
      </c>
      <c r="AB849" s="3"/>
      <c r="AC849" s="3"/>
      <c r="AF849" s="3"/>
      <c r="AG849" s="3"/>
      <c r="AH849" s="3"/>
    </row>
    <row r="850" spans="1:34" x14ac:dyDescent="0.25">
      <c r="A850">
        <v>28050001</v>
      </c>
      <c r="B850">
        <v>2805</v>
      </c>
      <c r="C850">
        <v>1</v>
      </c>
      <c r="D850" t="s">
        <v>981</v>
      </c>
      <c r="E850">
        <v>1</v>
      </c>
      <c r="F850" t="s">
        <v>982</v>
      </c>
      <c r="G850" s="3">
        <v>0</v>
      </c>
      <c r="H850" s="32">
        <v>69</v>
      </c>
      <c r="I850" s="32">
        <v>65</v>
      </c>
      <c r="J850" s="32">
        <v>75</v>
      </c>
      <c r="K850" s="32">
        <v>67</v>
      </c>
      <c r="L850" s="32">
        <v>86</v>
      </c>
      <c r="M850" s="32">
        <v>78</v>
      </c>
      <c r="N850" s="32">
        <v>74</v>
      </c>
      <c r="O850" s="32">
        <v>51</v>
      </c>
      <c r="P850" s="32">
        <v>73</v>
      </c>
      <c r="Q850" s="32">
        <v>49</v>
      </c>
      <c r="R850" s="32">
        <v>73</v>
      </c>
      <c r="S850" s="32">
        <v>50</v>
      </c>
      <c r="T850" s="32">
        <v>85</v>
      </c>
      <c r="U850" s="32">
        <v>76</v>
      </c>
      <c r="V850" s="30">
        <v>0.91304347826086951</v>
      </c>
      <c r="W850" s="30">
        <v>0.68181818181818177</v>
      </c>
      <c r="X850" s="32">
        <v>41132.35</v>
      </c>
      <c r="Y850" s="32">
        <v>27463.360000000001</v>
      </c>
      <c r="Z850" s="32">
        <v>68595.709999999992</v>
      </c>
      <c r="AA850" s="3">
        <f t="shared" si="13"/>
        <v>65562.39</v>
      </c>
      <c r="AB850" s="3"/>
      <c r="AC850" s="3"/>
      <c r="AF850" s="3"/>
      <c r="AG850" s="3"/>
      <c r="AH850" s="3"/>
    </row>
    <row r="851" spans="1:34" x14ac:dyDescent="0.25">
      <c r="A851">
        <v>28350001</v>
      </c>
      <c r="B851">
        <v>2835</v>
      </c>
      <c r="C851">
        <v>1</v>
      </c>
      <c r="D851" t="s">
        <v>983</v>
      </c>
      <c r="E851">
        <v>1</v>
      </c>
      <c r="F851" t="s">
        <v>984</v>
      </c>
      <c r="G851" s="3">
        <v>0</v>
      </c>
      <c r="H851" s="32">
        <v>0</v>
      </c>
      <c r="I851" s="32">
        <v>0</v>
      </c>
      <c r="J851" s="32">
        <v>0</v>
      </c>
      <c r="K851" s="32">
        <v>0</v>
      </c>
      <c r="L851" s="32">
        <v>0</v>
      </c>
      <c r="M851" s="32">
        <v>0</v>
      </c>
      <c r="N851" s="32">
        <v>45</v>
      </c>
      <c r="O851" s="32">
        <v>39</v>
      </c>
      <c r="P851" s="32">
        <v>0</v>
      </c>
      <c r="Q851" s="32">
        <v>0</v>
      </c>
      <c r="R851" s="32">
        <v>0</v>
      </c>
      <c r="S851" s="32">
        <v>0</v>
      </c>
      <c r="T851" s="32">
        <v>0</v>
      </c>
      <c r="U851" s="32">
        <v>0</v>
      </c>
      <c r="V851" s="30">
        <v>0</v>
      </c>
      <c r="W851" s="30">
        <v>0.8666666666666667</v>
      </c>
      <c r="X851" s="32">
        <v>0</v>
      </c>
      <c r="Y851" s="32">
        <v>0</v>
      </c>
      <c r="Z851" s="32">
        <v>0</v>
      </c>
      <c r="AA851" s="3">
        <f t="shared" si="13"/>
        <v>0</v>
      </c>
      <c r="AB851" s="3"/>
      <c r="AC851" s="3"/>
      <c r="AF851" s="3"/>
      <c r="AG851" s="3"/>
      <c r="AH851" s="3"/>
    </row>
    <row r="852" spans="1:34" x14ac:dyDescent="0.25">
      <c r="A852">
        <v>28350010</v>
      </c>
      <c r="B852">
        <v>2835</v>
      </c>
      <c r="C852" s="2">
        <v>1</v>
      </c>
      <c r="D852" s="2" t="s">
        <v>983</v>
      </c>
      <c r="E852">
        <v>10</v>
      </c>
      <c r="F852" s="2" t="s">
        <v>985</v>
      </c>
      <c r="G852" s="3">
        <v>0</v>
      </c>
      <c r="H852" s="32">
        <v>31</v>
      </c>
      <c r="I852" s="32">
        <v>21</v>
      </c>
      <c r="J852" s="32">
        <v>38</v>
      </c>
      <c r="K852" s="32">
        <v>33</v>
      </c>
      <c r="L852" s="32">
        <v>40</v>
      </c>
      <c r="M852" s="32">
        <v>32</v>
      </c>
      <c r="N852" s="32">
        <v>0</v>
      </c>
      <c r="O852" s="32">
        <v>0</v>
      </c>
      <c r="P852" s="32">
        <v>30</v>
      </c>
      <c r="Q852" s="32">
        <v>29</v>
      </c>
      <c r="R852" s="32">
        <v>37</v>
      </c>
      <c r="S852" s="32">
        <v>31</v>
      </c>
      <c r="T852" s="32">
        <v>42</v>
      </c>
      <c r="U852" s="32">
        <v>38</v>
      </c>
      <c r="V852" s="30">
        <v>0.78899082568807344</v>
      </c>
      <c r="W852" s="30">
        <v>0.89552238805970152</v>
      </c>
      <c r="X852" s="32">
        <v>17563.14</v>
      </c>
      <c r="Y852" s="32">
        <v>18035.939999999999</v>
      </c>
      <c r="Z852" s="32">
        <v>35599.08</v>
      </c>
      <c r="AA852" s="3">
        <f t="shared" si="13"/>
        <v>34024.879999999997</v>
      </c>
      <c r="AB852" s="3"/>
      <c r="AC852" s="3"/>
      <c r="AF852" s="3"/>
      <c r="AG852" s="3"/>
      <c r="AH852" s="3"/>
    </row>
    <row r="853" spans="1:34" x14ac:dyDescent="0.25">
      <c r="A853">
        <v>28530010</v>
      </c>
      <c r="B853">
        <v>2853</v>
      </c>
      <c r="C853" s="2">
        <v>1</v>
      </c>
      <c r="D853" s="2" t="s">
        <v>986</v>
      </c>
      <c r="E853">
        <v>10</v>
      </c>
      <c r="F853" s="2" t="s">
        <v>987</v>
      </c>
      <c r="G853" s="3">
        <v>0</v>
      </c>
      <c r="H853" s="32">
        <v>21</v>
      </c>
      <c r="I853" s="32">
        <v>16</v>
      </c>
      <c r="J853" s="32">
        <v>31</v>
      </c>
      <c r="K853" s="32">
        <v>30</v>
      </c>
      <c r="L853" s="32">
        <v>26</v>
      </c>
      <c r="M853" s="32">
        <v>22</v>
      </c>
      <c r="N853" s="32">
        <v>23</v>
      </c>
      <c r="O853" s="32">
        <v>15</v>
      </c>
      <c r="P853" s="32">
        <v>21</v>
      </c>
      <c r="Q853" s="32">
        <v>16</v>
      </c>
      <c r="R853" s="32">
        <v>30</v>
      </c>
      <c r="S853" s="32">
        <v>26</v>
      </c>
      <c r="T853" s="32">
        <v>27</v>
      </c>
      <c r="U853" s="32">
        <v>32</v>
      </c>
      <c r="V853" s="30">
        <v>0.87179487179487181</v>
      </c>
      <c r="W853" s="30">
        <v>0.77027027027027029</v>
      </c>
      <c r="X853" s="32">
        <v>12475.35</v>
      </c>
      <c r="Y853" s="32">
        <v>13063.68</v>
      </c>
      <c r="Z853" s="32">
        <v>25539.03</v>
      </c>
      <c r="AA853" s="3">
        <f t="shared" si="13"/>
        <v>24409.69</v>
      </c>
      <c r="AB853" s="3"/>
      <c r="AC853" s="3"/>
      <c r="AF853" s="3"/>
      <c r="AG853" s="3"/>
      <c r="AH853" s="3"/>
    </row>
    <row r="854" spans="1:34" x14ac:dyDescent="0.25">
      <c r="A854">
        <v>28530020</v>
      </c>
      <c r="B854">
        <v>2853</v>
      </c>
      <c r="C854" s="2">
        <v>1</v>
      </c>
      <c r="D854" s="2" t="s">
        <v>986</v>
      </c>
      <c r="E854">
        <v>20</v>
      </c>
      <c r="F854" s="2" t="s">
        <v>988</v>
      </c>
      <c r="G854" s="3">
        <v>0</v>
      </c>
      <c r="H854" s="32">
        <v>27</v>
      </c>
      <c r="I854" s="32">
        <v>25</v>
      </c>
      <c r="J854" s="32">
        <v>33</v>
      </c>
      <c r="K854" s="32">
        <v>26</v>
      </c>
      <c r="L854" s="32">
        <v>33</v>
      </c>
      <c r="M854" s="32">
        <v>21</v>
      </c>
      <c r="N854" s="32">
        <v>29</v>
      </c>
      <c r="O854" s="32">
        <v>22</v>
      </c>
      <c r="P854" s="32">
        <v>26</v>
      </c>
      <c r="Q854" s="32">
        <v>22</v>
      </c>
      <c r="R854" s="32">
        <v>29</v>
      </c>
      <c r="S854" s="32">
        <v>27</v>
      </c>
      <c r="T854" s="32">
        <v>34</v>
      </c>
      <c r="U854" s="32">
        <v>32</v>
      </c>
      <c r="V854" s="30">
        <v>0.77419354838709675</v>
      </c>
      <c r="W854" s="30">
        <v>0.84523809523809523</v>
      </c>
      <c r="X854" s="32">
        <v>13950.88</v>
      </c>
      <c r="Y854" s="32">
        <v>14335.36</v>
      </c>
      <c r="Z854" s="32">
        <v>28286.239999999998</v>
      </c>
      <c r="AA854" s="3">
        <f t="shared" si="13"/>
        <v>27035.42</v>
      </c>
      <c r="AB854" s="3"/>
      <c r="AC854" s="3"/>
      <c r="AF854" s="3"/>
      <c r="AG854" s="3"/>
      <c r="AH854" s="3"/>
    </row>
    <row r="855" spans="1:34" x14ac:dyDescent="0.25">
      <c r="A855">
        <v>28540010</v>
      </c>
      <c r="B855">
        <v>2854</v>
      </c>
      <c r="C855" s="2">
        <v>1</v>
      </c>
      <c r="D855" s="2" t="s">
        <v>989</v>
      </c>
      <c r="E855">
        <v>10</v>
      </c>
      <c r="F855" s="2" t="s">
        <v>990</v>
      </c>
      <c r="G855" s="3">
        <v>0</v>
      </c>
      <c r="H855" s="32">
        <v>42</v>
      </c>
      <c r="I855" s="32">
        <v>35</v>
      </c>
      <c r="J855" s="32">
        <v>47</v>
      </c>
      <c r="K855" s="32">
        <v>40</v>
      </c>
      <c r="L855" s="32">
        <v>32</v>
      </c>
      <c r="M855" s="32">
        <v>25</v>
      </c>
      <c r="N855" s="32">
        <v>35</v>
      </c>
      <c r="O855" s="32">
        <v>26</v>
      </c>
      <c r="P855" s="32">
        <v>40</v>
      </c>
      <c r="Q855" s="32">
        <v>33</v>
      </c>
      <c r="R855" s="32">
        <v>47</v>
      </c>
      <c r="S855" s="32">
        <v>42</v>
      </c>
      <c r="T855" s="32">
        <v>31</v>
      </c>
      <c r="U855" s="32">
        <v>49</v>
      </c>
      <c r="V855" s="30">
        <v>0.82644628099173556</v>
      </c>
      <c r="W855" s="30">
        <v>0.82786885245901642</v>
      </c>
      <c r="X855" s="32">
        <v>13578.619999999999</v>
      </c>
      <c r="Y855" s="32">
        <v>21499.73</v>
      </c>
      <c r="Z855" s="32">
        <v>35078.35</v>
      </c>
      <c r="AA855" s="3">
        <f t="shared" si="13"/>
        <v>33527.18</v>
      </c>
      <c r="AB855" s="3"/>
      <c r="AC855" s="3"/>
      <c r="AF855" s="3"/>
      <c r="AG855" s="3"/>
      <c r="AH855" s="3"/>
    </row>
    <row r="856" spans="1:34" x14ac:dyDescent="0.25">
      <c r="A856">
        <v>28560020</v>
      </c>
      <c r="B856">
        <v>2856</v>
      </c>
      <c r="C856" s="2">
        <v>1</v>
      </c>
      <c r="D856" s="2" t="s">
        <v>991</v>
      </c>
      <c r="E856">
        <v>20</v>
      </c>
      <c r="F856" s="2" t="s">
        <v>992</v>
      </c>
      <c r="G856" s="3">
        <v>0</v>
      </c>
      <c r="H856" s="32">
        <v>31</v>
      </c>
      <c r="I856" s="32">
        <v>27</v>
      </c>
      <c r="J856" s="32">
        <v>21</v>
      </c>
      <c r="K856" s="32">
        <v>12</v>
      </c>
      <c r="L856" s="32">
        <v>22</v>
      </c>
      <c r="M856" s="32">
        <v>20</v>
      </c>
      <c r="N856" s="32">
        <v>24</v>
      </c>
      <c r="O856" s="32">
        <v>19</v>
      </c>
      <c r="P856" s="32">
        <v>28</v>
      </c>
      <c r="Q856" s="32">
        <v>20</v>
      </c>
      <c r="R856" s="32">
        <v>19</v>
      </c>
      <c r="S856" s="32">
        <v>17</v>
      </c>
      <c r="T856" s="32">
        <v>25</v>
      </c>
      <c r="U856" s="32">
        <v>20</v>
      </c>
      <c r="V856" s="30">
        <v>0.79729729729729726</v>
      </c>
      <c r="W856" s="30">
        <v>0.78873239436619713</v>
      </c>
      <c r="X856" s="32">
        <v>10564.25</v>
      </c>
      <c r="Y856" s="32">
        <v>8360.5999999999985</v>
      </c>
      <c r="Z856" s="32">
        <v>18924.849999999999</v>
      </c>
      <c r="AA856" s="3">
        <f t="shared" si="13"/>
        <v>18087.990000000002</v>
      </c>
      <c r="AB856" s="3"/>
      <c r="AC856" s="3"/>
      <c r="AF856" s="3"/>
      <c r="AG856" s="3"/>
      <c r="AH856" s="3"/>
    </row>
    <row r="857" spans="1:34" x14ac:dyDescent="0.25">
      <c r="A857">
        <v>28590030</v>
      </c>
      <c r="B857">
        <v>2859</v>
      </c>
      <c r="C857" s="2">
        <v>1</v>
      </c>
      <c r="D857" s="2" t="s">
        <v>993</v>
      </c>
      <c r="E857">
        <v>30</v>
      </c>
      <c r="F857" s="2" t="s">
        <v>891</v>
      </c>
      <c r="G857" s="3">
        <v>0</v>
      </c>
      <c r="H857" s="32">
        <v>125</v>
      </c>
      <c r="I857" s="32">
        <v>93</v>
      </c>
      <c r="J857" s="32">
        <v>113</v>
      </c>
      <c r="K857" s="32">
        <v>88</v>
      </c>
      <c r="L857" s="32">
        <v>117</v>
      </c>
      <c r="M857" s="32">
        <v>93</v>
      </c>
      <c r="N857" s="32">
        <v>95</v>
      </c>
      <c r="O857" s="32">
        <v>67</v>
      </c>
      <c r="P857" s="32">
        <v>116</v>
      </c>
      <c r="Q857" s="32">
        <v>82</v>
      </c>
      <c r="R857" s="32">
        <v>104</v>
      </c>
      <c r="S857" s="32">
        <v>75</v>
      </c>
      <c r="T857" s="32">
        <v>121</v>
      </c>
      <c r="U857" s="32">
        <v>117</v>
      </c>
      <c r="V857" s="30">
        <v>0.77183098591549293</v>
      </c>
      <c r="W857" s="30">
        <v>0.71111111111111114</v>
      </c>
      <c r="X857" s="32">
        <v>49497.47</v>
      </c>
      <c r="Y857" s="32">
        <v>44096.13</v>
      </c>
      <c r="Z857" s="32">
        <v>93593.600000000006</v>
      </c>
      <c r="AA857" s="3">
        <f t="shared" si="13"/>
        <v>89454.87</v>
      </c>
      <c r="AB857" s="3"/>
      <c r="AC857" s="3"/>
      <c r="AF857" s="3"/>
      <c r="AG857" s="3"/>
      <c r="AH857" s="3"/>
    </row>
    <row r="858" spans="1:34" x14ac:dyDescent="0.25">
      <c r="A858">
        <v>28600010</v>
      </c>
      <c r="B858">
        <v>2860</v>
      </c>
      <c r="C858" s="2">
        <v>1</v>
      </c>
      <c r="D858" s="2" t="s">
        <v>994</v>
      </c>
      <c r="E858">
        <v>10</v>
      </c>
      <c r="F858" s="2" t="s">
        <v>995</v>
      </c>
      <c r="G858" s="3">
        <v>0</v>
      </c>
      <c r="H858" s="32">
        <v>66</v>
      </c>
      <c r="I858" s="32">
        <v>48</v>
      </c>
      <c r="J858" s="32">
        <v>64</v>
      </c>
      <c r="K858" s="32">
        <v>51</v>
      </c>
      <c r="L858" s="32">
        <v>64</v>
      </c>
      <c r="M858" s="32">
        <v>52</v>
      </c>
      <c r="N858" s="32">
        <v>62</v>
      </c>
      <c r="O858" s="32">
        <v>56</v>
      </c>
      <c r="P858" s="32">
        <v>61</v>
      </c>
      <c r="Q858" s="32">
        <v>53</v>
      </c>
      <c r="R858" s="32">
        <v>61</v>
      </c>
      <c r="S858" s="32">
        <v>51</v>
      </c>
      <c r="T858" s="32">
        <v>62</v>
      </c>
      <c r="U858" s="32">
        <v>65</v>
      </c>
      <c r="V858" s="30">
        <v>0.77835051546391754</v>
      </c>
      <c r="W858" s="30">
        <v>0.86956521739130432</v>
      </c>
      <c r="X858" s="32">
        <v>25576.859999999997</v>
      </c>
      <c r="Y858" s="32">
        <v>29956.55</v>
      </c>
      <c r="Z858" s="32">
        <v>55533.409999999996</v>
      </c>
      <c r="AA858" s="3">
        <f t="shared" si="13"/>
        <v>53077.71</v>
      </c>
      <c r="AB858" s="3"/>
      <c r="AC858" s="3"/>
      <c r="AF858" s="3"/>
      <c r="AG858" s="3"/>
      <c r="AH858" s="3"/>
    </row>
    <row r="859" spans="1:34" x14ac:dyDescent="0.25">
      <c r="A859" s="7">
        <v>28600040</v>
      </c>
      <c r="B859" s="7">
        <v>2860</v>
      </c>
      <c r="C859" s="7">
        <v>1</v>
      </c>
      <c r="D859" s="7" t="s">
        <v>994</v>
      </c>
      <c r="E859" s="7">
        <v>40</v>
      </c>
      <c r="F859" s="7" t="s">
        <v>996</v>
      </c>
      <c r="G859" s="3">
        <v>0</v>
      </c>
      <c r="H859" s="32">
        <v>12</v>
      </c>
      <c r="I859" s="32">
        <v>10</v>
      </c>
      <c r="J859" s="32">
        <v>17</v>
      </c>
      <c r="K859" s="32">
        <v>13</v>
      </c>
      <c r="L859" s="32">
        <v>20</v>
      </c>
      <c r="M859" s="32">
        <v>13</v>
      </c>
      <c r="N859" s="32">
        <v>15</v>
      </c>
      <c r="O859" s="32">
        <v>7</v>
      </c>
      <c r="P859" s="32">
        <v>12</v>
      </c>
      <c r="Q859" s="32">
        <v>9</v>
      </c>
      <c r="R859" s="32">
        <v>17</v>
      </c>
      <c r="S859" s="32">
        <v>15</v>
      </c>
      <c r="T859" s="32">
        <v>21</v>
      </c>
      <c r="U859" s="32">
        <v>18</v>
      </c>
      <c r="V859" s="30">
        <v>0.73469387755102045</v>
      </c>
      <c r="W859" s="30">
        <v>0.70454545454545459</v>
      </c>
      <c r="X859" s="32">
        <v>8177.19</v>
      </c>
      <c r="Y859" s="32">
        <v>6721.38</v>
      </c>
      <c r="Z859" s="32">
        <v>14898.57</v>
      </c>
      <c r="AA859" s="3">
        <f t="shared" si="13"/>
        <v>14239.75</v>
      </c>
      <c r="AB859" s="3"/>
      <c r="AC859" s="3"/>
      <c r="AF859" s="3"/>
      <c r="AG859" s="3"/>
      <c r="AH859" s="3"/>
    </row>
    <row r="860" spans="1:34" x14ac:dyDescent="0.25">
      <c r="A860">
        <v>28840030</v>
      </c>
      <c r="B860">
        <v>2884</v>
      </c>
      <c r="C860" s="2">
        <v>1</v>
      </c>
      <c r="D860" s="2" t="s">
        <v>997</v>
      </c>
      <c r="E860">
        <v>30</v>
      </c>
      <c r="F860" s="2" t="s">
        <v>998</v>
      </c>
      <c r="G860" s="3">
        <v>0</v>
      </c>
      <c r="H860" s="32">
        <v>38</v>
      </c>
      <c r="I860" s="32">
        <v>31</v>
      </c>
      <c r="J860" s="32">
        <v>37</v>
      </c>
      <c r="K860" s="32">
        <v>33</v>
      </c>
      <c r="L860" s="32">
        <v>25</v>
      </c>
      <c r="M860" s="32">
        <v>22</v>
      </c>
      <c r="N860" s="32">
        <v>29</v>
      </c>
      <c r="O860" s="32">
        <v>22</v>
      </c>
      <c r="P860" s="32">
        <v>36</v>
      </c>
      <c r="Q860" s="32">
        <v>30</v>
      </c>
      <c r="R860" s="32">
        <v>36</v>
      </c>
      <c r="S860" s="32">
        <v>27</v>
      </c>
      <c r="T860" s="32">
        <v>26</v>
      </c>
      <c r="U860" s="32">
        <v>37</v>
      </c>
      <c r="V860" s="30">
        <v>0.86</v>
      </c>
      <c r="W860" s="30">
        <v>0.78217821782178221</v>
      </c>
      <c r="X860" s="32">
        <v>11850.800000000001</v>
      </c>
      <c r="Y860" s="32">
        <v>15338.35</v>
      </c>
      <c r="Z860" s="32">
        <v>27189.15</v>
      </c>
      <c r="AA860" s="3">
        <f t="shared" si="13"/>
        <v>25986.84</v>
      </c>
      <c r="AB860" s="3"/>
      <c r="AC860" s="3"/>
      <c r="AF860" s="3"/>
      <c r="AG860" s="3"/>
      <c r="AH860" s="3"/>
    </row>
    <row r="861" spans="1:34" x14ac:dyDescent="0.25">
      <c r="A861">
        <v>28860100</v>
      </c>
      <c r="B861">
        <v>2886</v>
      </c>
      <c r="C861" s="2">
        <v>1</v>
      </c>
      <c r="D861" s="2" t="s">
        <v>999</v>
      </c>
      <c r="E861">
        <v>100</v>
      </c>
      <c r="F861" s="2" t="s">
        <v>1000</v>
      </c>
      <c r="G861" s="3">
        <v>0</v>
      </c>
      <c r="H861" s="32">
        <v>16</v>
      </c>
      <c r="I861" s="32">
        <v>12</v>
      </c>
      <c r="J861" s="32">
        <v>14</v>
      </c>
      <c r="K861" s="32">
        <v>14</v>
      </c>
      <c r="L861" s="32">
        <v>21</v>
      </c>
      <c r="M861" s="32">
        <v>19</v>
      </c>
      <c r="N861" s="32">
        <v>18</v>
      </c>
      <c r="O861" s="32">
        <v>13</v>
      </c>
      <c r="P861" s="32">
        <v>13</v>
      </c>
      <c r="Q861" s="32">
        <v>8</v>
      </c>
      <c r="R861" s="32">
        <v>14</v>
      </c>
      <c r="S861" s="32">
        <v>9</v>
      </c>
      <c r="T861" s="32">
        <v>22</v>
      </c>
      <c r="U861" s="32">
        <v>14</v>
      </c>
      <c r="V861" s="30">
        <v>0.88235294117647056</v>
      </c>
      <c r="W861" s="30">
        <v>0.66666666666666663</v>
      </c>
      <c r="X861" s="32">
        <v>10288.299999999999</v>
      </c>
      <c r="Y861" s="32">
        <v>4946.62</v>
      </c>
      <c r="Z861" s="32">
        <v>15234.919999999998</v>
      </c>
      <c r="AA861" s="3">
        <f t="shared" si="13"/>
        <v>14561.23</v>
      </c>
      <c r="AB861" s="3"/>
      <c r="AC861" s="3"/>
      <c r="AF861" s="3"/>
      <c r="AG861" s="3"/>
      <c r="AH861" s="3"/>
    </row>
    <row r="862" spans="1:34" x14ac:dyDescent="0.25">
      <c r="A862">
        <v>28880001</v>
      </c>
      <c r="B862">
        <v>2888</v>
      </c>
      <c r="C862" s="2">
        <v>1</v>
      </c>
      <c r="D862" s="2" t="s">
        <v>1001</v>
      </c>
      <c r="E862">
        <v>1</v>
      </c>
      <c r="F862" s="2" t="s">
        <v>1002</v>
      </c>
      <c r="G862" s="3">
        <v>0</v>
      </c>
      <c r="H862" s="32">
        <v>17</v>
      </c>
      <c r="I862" s="32">
        <v>15</v>
      </c>
      <c r="J862" s="32">
        <v>15</v>
      </c>
      <c r="K862" s="32">
        <v>15</v>
      </c>
      <c r="L862" s="32">
        <v>23</v>
      </c>
      <c r="M862" s="32">
        <v>23</v>
      </c>
      <c r="N862" s="32">
        <v>22</v>
      </c>
      <c r="O862" s="32">
        <v>18</v>
      </c>
      <c r="P862" s="32">
        <v>17</v>
      </c>
      <c r="Q862" s="32">
        <v>13</v>
      </c>
      <c r="R862" s="32">
        <v>12</v>
      </c>
      <c r="S862" s="32">
        <v>10</v>
      </c>
      <c r="T862" s="32">
        <v>23</v>
      </c>
      <c r="U862" s="32">
        <v>12</v>
      </c>
      <c r="V862" s="30">
        <v>0.96363636363636362</v>
      </c>
      <c r="W862" s="30">
        <v>0.80392156862745101</v>
      </c>
      <c r="X862" s="32">
        <v>11746.79</v>
      </c>
      <c r="Y862" s="32">
        <v>5112.96</v>
      </c>
      <c r="Z862" s="32">
        <v>16859.75</v>
      </c>
      <c r="AA862" s="3">
        <f t="shared" si="13"/>
        <v>16114.21</v>
      </c>
      <c r="AB862" s="3"/>
      <c r="AC862" s="3"/>
      <c r="AF862" s="3"/>
      <c r="AG862" s="3"/>
      <c r="AH862" s="3"/>
    </row>
    <row r="863" spans="1:34" x14ac:dyDescent="0.25">
      <c r="A863">
        <v>28880004</v>
      </c>
      <c r="B863">
        <v>2888</v>
      </c>
      <c r="C863" s="2">
        <v>1</v>
      </c>
      <c r="D863" s="2" t="s">
        <v>1257</v>
      </c>
      <c r="E863">
        <v>4</v>
      </c>
      <c r="F863" s="2" t="s">
        <v>1258</v>
      </c>
      <c r="G863" s="3">
        <v>1</v>
      </c>
      <c r="H863" s="32" t="s">
        <v>1328</v>
      </c>
      <c r="I863" s="32" t="s">
        <v>1328</v>
      </c>
      <c r="J863" s="32" t="s">
        <v>1328</v>
      </c>
      <c r="K863" s="32" t="s">
        <v>1328</v>
      </c>
      <c r="L863" s="32" t="s">
        <v>1328</v>
      </c>
      <c r="M863" s="32" t="s">
        <v>1328</v>
      </c>
      <c r="N863" s="32" t="s">
        <v>1328</v>
      </c>
      <c r="O863" s="32" t="s">
        <v>1328</v>
      </c>
      <c r="P863" s="32" t="s">
        <v>1328</v>
      </c>
      <c r="Q863" s="32" t="s">
        <v>1328</v>
      </c>
      <c r="R863" s="32" t="s">
        <v>1328</v>
      </c>
      <c r="S863" s="32" t="s">
        <v>1328</v>
      </c>
      <c r="T863" s="32">
        <v>3</v>
      </c>
      <c r="U863" s="32">
        <v>3</v>
      </c>
      <c r="V863" s="30" t="s">
        <v>1328</v>
      </c>
      <c r="W863" s="30" t="s">
        <v>1328</v>
      </c>
      <c r="X863" s="32" t="s">
        <v>1328</v>
      </c>
      <c r="Y863" s="32" t="s">
        <v>1328</v>
      </c>
      <c r="Z863" s="32">
        <v>3180</v>
      </c>
      <c r="AA863" s="3">
        <f t="shared" si="13"/>
        <v>3039.38</v>
      </c>
      <c r="AB863" s="3"/>
      <c r="AC863" s="3"/>
      <c r="AF863" s="3"/>
      <c r="AG863" s="3"/>
      <c r="AH863" s="3"/>
    </row>
    <row r="864" spans="1:34" x14ac:dyDescent="0.25">
      <c r="A864">
        <v>28880006</v>
      </c>
      <c r="B864">
        <v>2888</v>
      </c>
      <c r="C864">
        <v>1</v>
      </c>
      <c r="D864" t="s">
        <v>1257</v>
      </c>
      <c r="E864">
        <v>6</v>
      </c>
      <c r="F864" t="s">
        <v>1259</v>
      </c>
      <c r="G864" s="3">
        <v>1</v>
      </c>
      <c r="H864" s="32" t="s">
        <v>1328</v>
      </c>
      <c r="I864" s="32" t="s">
        <v>1328</v>
      </c>
      <c r="J864" s="32" t="s">
        <v>1328</v>
      </c>
      <c r="K864" s="32" t="s">
        <v>1328</v>
      </c>
      <c r="L864" s="32" t="s">
        <v>1328</v>
      </c>
      <c r="M864" s="32" t="s">
        <v>1328</v>
      </c>
      <c r="N864" s="32" t="s">
        <v>1328</v>
      </c>
      <c r="O864" s="32" t="s">
        <v>1328</v>
      </c>
      <c r="P864" s="32" t="s">
        <v>1328</v>
      </c>
      <c r="Q864" s="32" t="s">
        <v>1328</v>
      </c>
      <c r="R864" s="32" t="s">
        <v>1328</v>
      </c>
      <c r="S864" s="32" t="s">
        <v>1328</v>
      </c>
      <c r="T864" s="32">
        <v>3</v>
      </c>
      <c r="U864" s="32">
        <v>5</v>
      </c>
      <c r="V864" s="30" t="s">
        <v>1328</v>
      </c>
      <c r="W864" s="30" t="s">
        <v>1328</v>
      </c>
      <c r="X864" s="32" t="s">
        <v>1328</v>
      </c>
      <c r="Y864" s="32" t="s">
        <v>1328</v>
      </c>
      <c r="Z864" s="32">
        <v>3710</v>
      </c>
      <c r="AA864" s="3">
        <f t="shared" si="13"/>
        <v>3545.94</v>
      </c>
      <c r="AB864" s="3"/>
      <c r="AC864" s="3"/>
      <c r="AF864" s="3"/>
      <c r="AG864" s="3"/>
      <c r="AH864" s="3"/>
    </row>
    <row r="865" spans="1:34" x14ac:dyDescent="0.25">
      <c r="A865">
        <v>28890010</v>
      </c>
      <c r="B865">
        <v>2889</v>
      </c>
      <c r="C865" s="2">
        <v>1</v>
      </c>
      <c r="D865" s="2" t="s">
        <v>1003</v>
      </c>
      <c r="E865">
        <v>10</v>
      </c>
      <c r="F865" s="2" t="s">
        <v>1004</v>
      </c>
      <c r="G865" s="3">
        <v>0</v>
      </c>
      <c r="H865" s="32">
        <v>49</v>
      </c>
      <c r="I865" s="32">
        <v>48</v>
      </c>
      <c r="J865" s="32">
        <v>41</v>
      </c>
      <c r="K865" s="32">
        <v>39</v>
      </c>
      <c r="L865" s="32">
        <v>45</v>
      </c>
      <c r="M865" s="32">
        <v>41</v>
      </c>
      <c r="N865" s="32">
        <v>45</v>
      </c>
      <c r="O865" s="32">
        <v>24</v>
      </c>
      <c r="P865" s="32">
        <v>45</v>
      </c>
      <c r="Q865" s="32">
        <v>18</v>
      </c>
      <c r="R865" s="32">
        <v>41</v>
      </c>
      <c r="S865" s="32">
        <v>21</v>
      </c>
      <c r="T865" s="32">
        <v>48</v>
      </c>
      <c r="U865" s="32">
        <v>41</v>
      </c>
      <c r="V865" s="30">
        <v>0.94814814814814818</v>
      </c>
      <c r="W865" s="30">
        <v>0.48091603053435117</v>
      </c>
      <c r="X865" s="32">
        <v>24120.959999999999</v>
      </c>
      <c r="Y865" s="32">
        <v>10450.49</v>
      </c>
      <c r="Z865" s="32">
        <v>34571.449999999997</v>
      </c>
      <c r="AA865" s="3">
        <f t="shared" si="13"/>
        <v>33042.69</v>
      </c>
      <c r="AB865" s="3"/>
      <c r="AC865" s="3"/>
      <c r="AF865" s="3"/>
      <c r="AG865" s="3"/>
      <c r="AH865" s="3"/>
    </row>
    <row r="866" spans="1:34" x14ac:dyDescent="0.25">
      <c r="A866">
        <v>28900001</v>
      </c>
      <c r="B866">
        <v>2890</v>
      </c>
      <c r="C866">
        <v>1</v>
      </c>
      <c r="D866" t="s">
        <v>1005</v>
      </c>
      <c r="E866">
        <v>1</v>
      </c>
      <c r="F866" t="s">
        <v>1006</v>
      </c>
      <c r="G866" s="3">
        <v>0</v>
      </c>
      <c r="H866" s="32">
        <v>44</v>
      </c>
      <c r="I866" s="32">
        <v>33</v>
      </c>
      <c r="J866" s="32">
        <v>36</v>
      </c>
      <c r="K866" s="32">
        <v>28</v>
      </c>
      <c r="L866" s="32">
        <v>35</v>
      </c>
      <c r="M866" s="32">
        <v>23</v>
      </c>
      <c r="N866" s="32">
        <v>39</v>
      </c>
      <c r="O866" s="32">
        <v>20</v>
      </c>
      <c r="P866" s="32">
        <v>36</v>
      </c>
      <c r="Q866" s="32">
        <v>27</v>
      </c>
      <c r="R866" s="32">
        <v>34</v>
      </c>
      <c r="S866" s="32">
        <v>21</v>
      </c>
      <c r="T866" s="32">
        <v>37</v>
      </c>
      <c r="U866" s="32">
        <v>40</v>
      </c>
      <c r="V866" s="30">
        <v>0.73043478260869565</v>
      </c>
      <c r="W866" s="30">
        <v>0.62385321100917435</v>
      </c>
      <c r="X866" s="32">
        <v>14323.81</v>
      </c>
      <c r="Y866" s="32">
        <v>13225.599999999999</v>
      </c>
      <c r="Z866" s="32">
        <v>27549.409999999996</v>
      </c>
      <c r="AA866" s="3">
        <f t="shared" si="13"/>
        <v>26331.17</v>
      </c>
      <c r="AB866" s="3"/>
      <c r="AC866" s="3"/>
      <c r="AF866" s="3"/>
      <c r="AG866" s="3"/>
      <c r="AH866" s="3"/>
    </row>
    <row r="867" spans="1:34" x14ac:dyDescent="0.25">
      <c r="A867">
        <v>28950010</v>
      </c>
      <c r="B867">
        <v>2895</v>
      </c>
      <c r="C867" s="2">
        <v>1</v>
      </c>
      <c r="D867" s="2" t="s">
        <v>1007</v>
      </c>
      <c r="E867">
        <v>10</v>
      </c>
      <c r="F867" s="2" t="s">
        <v>1008</v>
      </c>
      <c r="G867" s="3">
        <v>0</v>
      </c>
      <c r="H867" s="32">
        <v>23</v>
      </c>
      <c r="I867" s="32">
        <v>20</v>
      </c>
      <c r="J867" s="32">
        <v>24</v>
      </c>
      <c r="K867" s="32">
        <v>22</v>
      </c>
      <c r="L867" s="32">
        <v>20</v>
      </c>
      <c r="M867" s="32">
        <v>16</v>
      </c>
      <c r="N867" s="32">
        <v>24</v>
      </c>
      <c r="O867" s="32">
        <v>18</v>
      </c>
      <c r="P867" s="32">
        <v>21</v>
      </c>
      <c r="Q867" s="32">
        <v>14</v>
      </c>
      <c r="R867" s="32">
        <v>25</v>
      </c>
      <c r="S867" s="32">
        <v>16</v>
      </c>
      <c r="T867" s="32">
        <v>23</v>
      </c>
      <c r="U867" s="32">
        <v>26</v>
      </c>
      <c r="V867" s="30">
        <v>0.86567164179104472</v>
      </c>
      <c r="W867" s="30">
        <v>0.68571428571428572</v>
      </c>
      <c r="X867" s="32">
        <v>10552.63</v>
      </c>
      <c r="Y867" s="32">
        <v>9449.18</v>
      </c>
      <c r="Z867" s="32">
        <v>20001.809999999998</v>
      </c>
      <c r="AA867" s="3">
        <f t="shared" si="13"/>
        <v>19117.330000000002</v>
      </c>
      <c r="AB867" s="3"/>
      <c r="AC867" s="3"/>
      <c r="AF867" s="3"/>
      <c r="AG867" s="3"/>
      <c r="AH867" s="3"/>
    </row>
    <row r="868" spans="1:34" x14ac:dyDescent="0.25">
      <c r="A868">
        <v>28950112</v>
      </c>
      <c r="B868">
        <v>2895</v>
      </c>
      <c r="C868" s="2">
        <v>1</v>
      </c>
      <c r="D868" s="2" t="s">
        <v>1007</v>
      </c>
      <c r="E868">
        <v>112</v>
      </c>
      <c r="F868" s="2" t="s">
        <v>204</v>
      </c>
      <c r="G868" s="3">
        <v>0</v>
      </c>
      <c r="H868" s="32">
        <v>63</v>
      </c>
      <c r="I868" s="32">
        <v>57</v>
      </c>
      <c r="J868" s="32">
        <v>75</v>
      </c>
      <c r="K868" s="32">
        <v>70</v>
      </c>
      <c r="L868" s="32">
        <v>58</v>
      </c>
      <c r="M868" s="32">
        <v>53</v>
      </c>
      <c r="N868" s="32">
        <v>61</v>
      </c>
      <c r="O868" s="32">
        <v>31</v>
      </c>
      <c r="P868" s="32">
        <v>61</v>
      </c>
      <c r="Q868" s="32">
        <v>31</v>
      </c>
      <c r="R868" s="32">
        <v>73</v>
      </c>
      <c r="S868" s="32">
        <v>53</v>
      </c>
      <c r="T868" s="32">
        <v>60</v>
      </c>
      <c r="U868" s="32">
        <v>76</v>
      </c>
      <c r="V868" s="30">
        <v>0.91836734693877553</v>
      </c>
      <c r="W868" s="30">
        <v>0.58974358974358976</v>
      </c>
      <c r="X868" s="32">
        <v>29203.800000000003</v>
      </c>
      <c r="Y868" s="32">
        <v>23754.560000000001</v>
      </c>
      <c r="Z868" s="32">
        <v>52958.36</v>
      </c>
      <c r="AA868" s="3">
        <f t="shared" si="13"/>
        <v>50616.53</v>
      </c>
      <c r="AB868" s="3"/>
      <c r="AC868" s="3"/>
      <c r="AF868" s="3"/>
      <c r="AG868" s="3"/>
      <c r="AH868" s="3"/>
    </row>
    <row r="869" spans="1:34" x14ac:dyDescent="0.25">
      <c r="A869">
        <v>28970002</v>
      </c>
      <c r="B869">
        <v>2897</v>
      </c>
      <c r="C869">
        <v>1</v>
      </c>
      <c r="D869" t="s">
        <v>1009</v>
      </c>
      <c r="E869">
        <v>2</v>
      </c>
      <c r="F869" t="s">
        <v>1010</v>
      </c>
      <c r="G869" s="3">
        <v>0</v>
      </c>
      <c r="H869" s="32">
        <v>93</v>
      </c>
      <c r="I869" s="32">
        <v>76</v>
      </c>
      <c r="J869" s="32">
        <v>83</v>
      </c>
      <c r="K869" s="32">
        <v>69</v>
      </c>
      <c r="L869" s="32">
        <v>85</v>
      </c>
      <c r="M869" s="32">
        <v>73</v>
      </c>
      <c r="N869" s="32">
        <v>73</v>
      </c>
      <c r="O869" s="32">
        <v>55</v>
      </c>
      <c r="P869" s="32">
        <v>88</v>
      </c>
      <c r="Q869" s="32">
        <v>82</v>
      </c>
      <c r="R869" s="32">
        <v>79</v>
      </c>
      <c r="S869" s="32">
        <v>62</v>
      </c>
      <c r="T869" s="32">
        <v>84</v>
      </c>
      <c r="U869" s="32">
        <v>82</v>
      </c>
      <c r="V869" s="30">
        <v>0.83524904214559392</v>
      </c>
      <c r="W869" s="30">
        <v>0.82916666666666672</v>
      </c>
      <c r="X869" s="32">
        <v>37185.120000000003</v>
      </c>
      <c r="Y869" s="32">
        <v>36035.72</v>
      </c>
      <c r="Z869" s="32">
        <v>73220.84</v>
      </c>
      <c r="AA869" s="3">
        <f t="shared" si="13"/>
        <v>69983</v>
      </c>
      <c r="AB869" s="3"/>
      <c r="AC869" s="3"/>
      <c r="AF869" s="3"/>
      <c r="AG869" s="3"/>
      <c r="AH869" s="3"/>
    </row>
    <row r="870" spans="1:34" x14ac:dyDescent="0.25">
      <c r="A870">
        <v>28980015</v>
      </c>
      <c r="B870">
        <v>2898</v>
      </c>
      <c r="C870" s="2">
        <v>1</v>
      </c>
      <c r="D870" s="2" t="s">
        <v>1011</v>
      </c>
      <c r="E870">
        <v>15</v>
      </c>
      <c r="F870" s="2" t="s">
        <v>1012</v>
      </c>
      <c r="G870" s="3">
        <v>0</v>
      </c>
      <c r="H870" s="32">
        <v>33</v>
      </c>
      <c r="I870" s="32">
        <v>24</v>
      </c>
      <c r="J870" s="32">
        <v>29</v>
      </c>
      <c r="K870" s="32">
        <v>20</v>
      </c>
      <c r="L870" s="32">
        <v>39</v>
      </c>
      <c r="M870" s="32">
        <v>28</v>
      </c>
      <c r="N870" s="32">
        <v>34</v>
      </c>
      <c r="O870" s="32">
        <v>29</v>
      </c>
      <c r="P870" s="32">
        <v>31</v>
      </c>
      <c r="Q870" s="32">
        <v>25</v>
      </c>
      <c r="R870" s="32">
        <v>25</v>
      </c>
      <c r="S870" s="32">
        <v>25</v>
      </c>
      <c r="T870" s="32">
        <v>39</v>
      </c>
      <c r="U870" s="32">
        <v>31</v>
      </c>
      <c r="V870" s="30">
        <v>0.71287128712871284</v>
      </c>
      <c r="W870" s="30">
        <v>0.87777777777777777</v>
      </c>
      <c r="X870" s="32">
        <v>14734.98</v>
      </c>
      <c r="Y870" s="32">
        <v>14421.820000000002</v>
      </c>
      <c r="Z870" s="32">
        <v>29156.800000000003</v>
      </c>
      <c r="AA870" s="3">
        <f t="shared" si="13"/>
        <v>27867.48</v>
      </c>
      <c r="AB870" s="3"/>
      <c r="AC870" s="3"/>
      <c r="AF870" s="3"/>
      <c r="AG870" s="3"/>
      <c r="AH870" s="3"/>
    </row>
    <row r="871" spans="1:34" x14ac:dyDescent="0.25">
      <c r="A871">
        <v>28990010</v>
      </c>
      <c r="B871">
        <v>2899</v>
      </c>
      <c r="C871" s="2">
        <v>1</v>
      </c>
      <c r="D871" s="2" t="s">
        <v>1013</v>
      </c>
      <c r="E871">
        <v>10</v>
      </c>
      <c r="F871" s="2" t="s">
        <v>1014</v>
      </c>
      <c r="G871" s="3">
        <v>0</v>
      </c>
      <c r="H871" s="32">
        <v>103</v>
      </c>
      <c r="I871" s="32">
        <v>78</v>
      </c>
      <c r="J871" s="32">
        <v>95</v>
      </c>
      <c r="K871" s="32">
        <v>81</v>
      </c>
      <c r="L871" s="32">
        <v>121</v>
      </c>
      <c r="M871" s="32">
        <v>108</v>
      </c>
      <c r="N871" s="32">
        <v>0</v>
      </c>
      <c r="O871" s="32">
        <v>0</v>
      </c>
      <c r="P871" s="32">
        <v>0</v>
      </c>
      <c r="Q871" s="32">
        <v>0</v>
      </c>
      <c r="R871" s="32">
        <v>0</v>
      </c>
      <c r="S871" s="32">
        <v>0</v>
      </c>
      <c r="T871" s="32">
        <v>126</v>
      </c>
      <c r="U871" s="32">
        <v>0</v>
      </c>
      <c r="V871" s="30">
        <v>0.8369905956112853</v>
      </c>
      <c r="W871" s="30">
        <v>0</v>
      </c>
      <c r="X871" s="32">
        <v>55894.86</v>
      </c>
      <c r="Y871" s="32">
        <v>0</v>
      </c>
      <c r="Z871" s="32">
        <v>55894.86</v>
      </c>
      <c r="AA871" s="3">
        <f t="shared" si="13"/>
        <v>53423.18</v>
      </c>
      <c r="AB871" s="3"/>
      <c r="AC871" s="3"/>
      <c r="AF871" s="3"/>
      <c r="AG871" s="3"/>
      <c r="AH871" s="3"/>
    </row>
    <row r="872" spans="1:34" x14ac:dyDescent="0.25">
      <c r="A872">
        <v>28990020</v>
      </c>
      <c r="B872">
        <v>2899</v>
      </c>
      <c r="C872">
        <v>1</v>
      </c>
      <c r="D872" t="s">
        <v>1013</v>
      </c>
      <c r="E872">
        <v>20</v>
      </c>
      <c r="F872" t="s">
        <v>1015</v>
      </c>
      <c r="G872" s="3">
        <v>0</v>
      </c>
      <c r="H872" s="32">
        <v>0</v>
      </c>
      <c r="I872" s="32">
        <v>0</v>
      </c>
      <c r="J872" s="32">
        <v>0</v>
      </c>
      <c r="K872" s="32">
        <v>0</v>
      </c>
      <c r="L872" s="32">
        <v>0</v>
      </c>
      <c r="M872" s="32">
        <v>0</v>
      </c>
      <c r="N872" s="32">
        <v>91</v>
      </c>
      <c r="O872" s="32">
        <v>63</v>
      </c>
      <c r="P872" s="32">
        <v>100</v>
      </c>
      <c r="Q872" s="32">
        <v>69</v>
      </c>
      <c r="R872" s="32">
        <v>88</v>
      </c>
      <c r="S872" s="32">
        <v>68</v>
      </c>
      <c r="T872" s="32">
        <v>0</v>
      </c>
      <c r="U872" s="32">
        <v>97</v>
      </c>
      <c r="V872" s="30">
        <v>0</v>
      </c>
      <c r="W872" s="30">
        <v>0.71684587813620071</v>
      </c>
      <c r="X872" s="32">
        <v>0</v>
      </c>
      <c r="Y872" s="32">
        <v>36853.21</v>
      </c>
      <c r="Z872" s="32">
        <v>36853.21</v>
      </c>
      <c r="AA872" s="3">
        <f t="shared" si="13"/>
        <v>35223.550000000003</v>
      </c>
      <c r="AB872" s="3"/>
      <c r="AC872" s="3"/>
      <c r="AF872" s="3"/>
      <c r="AG872" s="3"/>
      <c r="AH872" s="3"/>
    </row>
    <row r="873" spans="1:34" x14ac:dyDescent="0.25">
      <c r="A873">
        <v>29020100</v>
      </c>
      <c r="B873">
        <v>2902</v>
      </c>
      <c r="C873" s="2">
        <v>1</v>
      </c>
      <c r="D873" s="2" t="s">
        <v>1016</v>
      </c>
      <c r="E873">
        <v>100</v>
      </c>
      <c r="F873" s="2" t="s">
        <v>1017</v>
      </c>
      <c r="G873" s="3">
        <v>0</v>
      </c>
      <c r="H873" s="32">
        <v>31</v>
      </c>
      <c r="I873" s="32">
        <v>27</v>
      </c>
      <c r="J873" s="32">
        <v>36</v>
      </c>
      <c r="K873" s="32">
        <v>33</v>
      </c>
      <c r="L873" s="32">
        <v>40</v>
      </c>
      <c r="M873" s="32">
        <v>36</v>
      </c>
      <c r="N873" s="32">
        <v>35</v>
      </c>
      <c r="O873" s="32">
        <v>30</v>
      </c>
      <c r="P873" s="32">
        <v>32</v>
      </c>
      <c r="Q873" s="32">
        <v>28</v>
      </c>
      <c r="R873" s="32">
        <v>35</v>
      </c>
      <c r="S873" s="32">
        <v>28</v>
      </c>
      <c r="T873" s="32">
        <v>41</v>
      </c>
      <c r="U873" s="32">
        <v>37</v>
      </c>
      <c r="V873" s="30">
        <v>0.89719626168224298</v>
      </c>
      <c r="W873" s="30">
        <v>0.84313725490196079</v>
      </c>
      <c r="X873" s="32">
        <v>19495.91</v>
      </c>
      <c r="Y873" s="32">
        <v>16533.82</v>
      </c>
      <c r="Z873" s="32">
        <v>36029.729999999996</v>
      </c>
      <c r="AA873" s="3">
        <f t="shared" si="13"/>
        <v>34436.49</v>
      </c>
      <c r="AB873" s="3"/>
      <c r="AC873" s="3"/>
      <c r="AF873" s="3"/>
      <c r="AG873" s="3"/>
      <c r="AH873" s="3"/>
    </row>
    <row r="874" spans="1:34" x14ac:dyDescent="0.25">
      <c r="A874">
        <v>29030010</v>
      </c>
      <c r="B874">
        <v>2903</v>
      </c>
      <c r="C874" s="2">
        <v>1</v>
      </c>
      <c r="D874" s="2" t="s">
        <v>1018</v>
      </c>
      <c r="E874">
        <v>10</v>
      </c>
      <c r="F874" s="2" t="s">
        <v>127</v>
      </c>
      <c r="G874" s="3">
        <v>0</v>
      </c>
      <c r="H874" s="32">
        <v>38</v>
      </c>
      <c r="I874" s="32">
        <v>31</v>
      </c>
      <c r="J874" s="32">
        <v>37</v>
      </c>
      <c r="K874" s="32">
        <v>29</v>
      </c>
      <c r="L874" s="32">
        <v>23</v>
      </c>
      <c r="M874" s="32">
        <v>22</v>
      </c>
      <c r="N874" s="32">
        <v>24</v>
      </c>
      <c r="O874" s="32">
        <v>13</v>
      </c>
      <c r="P874" s="32">
        <v>36</v>
      </c>
      <c r="Q874" s="32">
        <v>25</v>
      </c>
      <c r="R874" s="32">
        <v>33</v>
      </c>
      <c r="S874" s="32">
        <v>25</v>
      </c>
      <c r="T874" s="32">
        <v>25</v>
      </c>
      <c r="U874" s="32">
        <v>34</v>
      </c>
      <c r="V874" s="30">
        <v>0.83673469387755106</v>
      </c>
      <c r="W874" s="30">
        <v>0.67741935483870963</v>
      </c>
      <c r="X874" s="32">
        <v>11086.75</v>
      </c>
      <c r="Y874" s="32">
        <v>12207.019999999999</v>
      </c>
      <c r="Z874" s="32">
        <v>23293.769999999997</v>
      </c>
      <c r="AA874" s="3">
        <f t="shared" si="13"/>
        <v>22263.71</v>
      </c>
      <c r="AB874" s="3"/>
      <c r="AC874" s="3"/>
      <c r="AF874" s="3"/>
      <c r="AG874" s="3"/>
      <c r="AH874" s="3"/>
    </row>
    <row r="875" spans="1:34" x14ac:dyDescent="0.25">
      <c r="A875">
        <v>29040002</v>
      </c>
      <c r="B875">
        <v>2904</v>
      </c>
      <c r="C875" s="2">
        <v>1</v>
      </c>
      <c r="D875" s="2" t="s">
        <v>1019</v>
      </c>
      <c r="E875">
        <v>2</v>
      </c>
      <c r="F875" s="2" t="s">
        <v>459</v>
      </c>
      <c r="G875" s="3">
        <v>0</v>
      </c>
      <c r="H875" s="32">
        <v>61</v>
      </c>
      <c r="I875" s="32">
        <v>46</v>
      </c>
      <c r="J875" s="32">
        <v>52</v>
      </c>
      <c r="K875" s="32">
        <v>45</v>
      </c>
      <c r="L875" s="32">
        <v>48</v>
      </c>
      <c r="M875" s="32">
        <v>43</v>
      </c>
      <c r="N875" s="32">
        <v>48</v>
      </c>
      <c r="O875" s="32">
        <v>32</v>
      </c>
      <c r="P875" s="32">
        <v>57</v>
      </c>
      <c r="Q875" s="32">
        <v>41</v>
      </c>
      <c r="R875" s="32">
        <v>53</v>
      </c>
      <c r="S875" s="32">
        <v>34</v>
      </c>
      <c r="T875" s="32">
        <v>48</v>
      </c>
      <c r="U875" s="32">
        <v>56</v>
      </c>
      <c r="V875" s="30">
        <v>0.83229813664596275</v>
      </c>
      <c r="W875" s="30">
        <v>0.67721518987341767</v>
      </c>
      <c r="X875" s="32">
        <v>21173.760000000002</v>
      </c>
      <c r="Y875" s="32">
        <v>20099.52</v>
      </c>
      <c r="Z875" s="32">
        <v>41273.279999999999</v>
      </c>
      <c r="AA875" s="3">
        <f t="shared" si="13"/>
        <v>39448.17</v>
      </c>
      <c r="AB875" s="3"/>
      <c r="AC875" s="3"/>
      <c r="AF875" s="3"/>
      <c r="AG875" s="3"/>
      <c r="AH875" s="3"/>
    </row>
    <row r="876" spans="1:34" x14ac:dyDescent="0.25">
      <c r="A876">
        <v>40010010</v>
      </c>
      <c r="B876">
        <v>4001</v>
      </c>
      <c r="C876" s="2">
        <v>7</v>
      </c>
      <c r="D876" s="2" t="s">
        <v>1020</v>
      </c>
      <c r="E876">
        <v>10</v>
      </c>
      <c r="F876" s="2" t="s">
        <v>1020</v>
      </c>
      <c r="G876" s="3">
        <v>0</v>
      </c>
      <c r="H876" s="32">
        <v>27</v>
      </c>
      <c r="I876" s="32">
        <v>25</v>
      </c>
      <c r="J876" s="32">
        <v>24</v>
      </c>
      <c r="K876" s="32">
        <v>23</v>
      </c>
      <c r="L876" s="32">
        <v>24</v>
      </c>
      <c r="M876" s="32">
        <v>22</v>
      </c>
      <c r="N876" s="32">
        <v>20</v>
      </c>
      <c r="O876" s="32">
        <v>16</v>
      </c>
      <c r="P876" s="32">
        <v>27</v>
      </c>
      <c r="Q876" s="32">
        <v>17</v>
      </c>
      <c r="R876" s="32">
        <v>25</v>
      </c>
      <c r="S876" s="32">
        <v>19</v>
      </c>
      <c r="T876" s="32">
        <v>24</v>
      </c>
      <c r="U876" s="32">
        <v>26</v>
      </c>
      <c r="V876" s="30">
        <v>0.93333333333333335</v>
      </c>
      <c r="W876" s="30">
        <v>0.72222222222222221</v>
      </c>
      <c r="X876" s="32">
        <v>11872.08</v>
      </c>
      <c r="Y876" s="32">
        <v>9952.2799999999988</v>
      </c>
      <c r="Z876" s="32">
        <v>21824.36</v>
      </c>
      <c r="AA876" s="3">
        <f t="shared" si="13"/>
        <v>20859.28</v>
      </c>
      <c r="AB876" s="3"/>
      <c r="AC876" s="3"/>
      <c r="AF876" s="3"/>
      <c r="AG876" s="3"/>
      <c r="AH876" s="3"/>
    </row>
    <row r="877" spans="1:34" x14ac:dyDescent="0.25">
      <c r="A877">
        <v>40030010</v>
      </c>
      <c r="B877">
        <v>4003</v>
      </c>
      <c r="C877" s="2">
        <v>7</v>
      </c>
      <c r="D877" s="2" t="s">
        <v>1260</v>
      </c>
      <c r="E877">
        <v>10</v>
      </c>
      <c r="F877" s="2" t="s">
        <v>1260</v>
      </c>
      <c r="G877" s="3">
        <v>1</v>
      </c>
      <c r="H877" s="32" t="s">
        <v>1328</v>
      </c>
      <c r="I877" s="32" t="s">
        <v>1328</v>
      </c>
      <c r="J877" s="32" t="s">
        <v>1328</v>
      </c>
      <c r="K877" s="32" t="s">
        <v>1328</v>
      </c>
      <c r="L877" s="32" t="s">
        <v>1328</v>
      </c>
      <c r="M877" s="32" t="s">
        <v>1328</v>
      </c>
      <c r="N877" s="32" t="s">
        <v>1328</v>
      </c>
      <c r="O877" s="32" t="s">
        <v>1328</v>
      </c>
      <c r="P877" s="32" t="s">
        <v>1328</v>
      </c>
      <c r="Q877" s="32" t="s">
        <v>1328</v>
      </c>
      <c r="R877" s="32" t="s">
        <v>1328</v>
      </c>
      <c r="S877" s="32" t="s">
        <v>1328</v>
      </c>
      <c r="T877" s="32">
        <v>11</v>
      </c>
      <c r="U877" s="32">
        <v>6</v>
      </c>
      <c r="V877" s="30" t="s">
        <v>1328</v>
      </c>
      <c r="W877" s="30" t="s">
        <v>1328</v>
      </c>
      <c r="X877" s="32" t="s">
        <v>1328</v>
      </c>
      <c r="Y877" s="32" t="s">
        <v>1328</v>
      </c>
      <c r="Z877" s="32">
        <v>5057.12</v>
      </c>
      <c r="AA877" s="3">
        <f t="shared" si="13"/>
        <v>4833.49</v>
      </c>
      <c r="AB877" s="3"/>
      <c r="AC877" s="3"/>
      <c r="AF877" s="3"/>
      <c r="AG877" s="3"/>
      <c r="AH877" s="3"/>
    </row>
    <row r="878" spans="1:34" x14ac:dyDescent="0.25">
      <c r="A878">
        <v>40040010</v>
      </c>
      <c r="B878">
        <v>4004</v>
      </c>
      <c r="C878">
        <v>7</v>
      </c>
      <c r="D878" t="s">
        <v>1021</v>
      </c>
      <c r="E878">
        <v>10</v>
      </c>
      <c r="F878" t="s">
        <v>1021</v>
      </c>
      <c r="G878" s="3">
        <v>1</v>
      </c>
      <c r="H878" s="32" t="s">
        <v>1328</v>
      </c>
      <c r="I878" s="32" t="s">
        <v>1328</v>
      </c>
      <c r="J878" s="32" t="s">
        <v>1328</v>
      </c>
      <c r="K878" s="32" t="s">
        <v>1328</v>
      </c>
      <c r="L878" s="32" t="s">
        <v>1328</v>
      </c>
      <c r="M878" s="32" t="s">
        <v>1328</v>
      </c>
      <c r="N878" s="32" t="s">
        <v>1328</v>
      </c>
      <c r="O878" s="32" t="s">
        <v>1328</v>
      </c>
      <c r="P878" s="32" t="s">
        <v>1328</v>
      </c>
      <c r="Q878" s="32" t="s">
        <v>1328</v>
      </c>
      <c r="R878" s="32" t="s">
        <v>1328</v>
      </c>
      <c r="S878" s="32" t="s">
        <v>1328</v>
      </c>
      <c r="T878" s="32">
        <v>17</v>
      </c>
      <c r="U878" s="32">
        <v>12</v>
      </c>
      <c r="V878" s="30" t="s">
        <v>1328</v>
      </c>
      <c r="W878" s="30" t="s">
        <v>1328</v>
      </c>
      <c r="X878" s="32" t="s">
        <v>1328</v>
      </c>
      <c r="Y878" s="32" t="s">
        <v>1328</v>
      </c>
      <c r="Z878" s="32">
        <v>10631.34</v>
      </c>
      <c r="AA878" s="3">
        <f t="shared" si="13"/>
        <v>10161.219999999999</v>
      </c>
      <c r="AB878" s="3"/>
      <c r="AC878" s="3"/>
      <c r="AF878" s="3"/>
      <c r="AG878" s="3"/>
      <c r="AH878" s="3"/>
    </row>
    <row r="879" spans="1:34" x14ac:dyDescent="0.25">
      <c r="A879">
        <v>40050010</v>
      </c>
      <c r="B879">
        <v>4005</v>
      </c>
      <c r="C879">
        <v>7</v>
      </c>
      <c r="D879" t="s">
        <v>1261</v>
      </c>
      <c r="E879">
        <v>10</v>
      </c>
      <c r="F879" t="s">
        <v>1261</v>
      </c>
      <c r="G879" s="3">
        <v>1</v>
      </c>
      <c r="H879" s="32" t="s">
        <v>1328</v>
      </c>
      <c r="I879" s="32" t="s">
        <v>1328</v>
      </c>
      <c r="J879" s="32" t="s">
        <v>1328</v>
      </c>
      <c r="K879" s="32" t="s">
        <v>1328</v>
      </c>
      <c r="L879" s="32" t="s">
        <v>1328</v>
      </c>
      <c r="M879" s="32" t="s">
        <v>1328</v>
      </c>
      <c r="N879" s="32" t="s">
        <v>1328</v>
      </c>
      <c r="O879" s="32" t="s">
        <v>1328</v>
      </c>
      <c r="P879" s="32" t="s">
        <v>1328</v>
      </c>
      <c r="Q879" s="32" t="s">
        <v>1328</v>
      </c>
      <c r="R879" s="32" t="s">
        <v>1328</v>
      </c>
      <c r="S879" s="32" t="s">
        <v>1328</v>
      </c>
      <c r="T879" s="32">
        <v>5</v>
      </c>
      <c r="U879" s="32">
        <v>5</v>
      </c>
      <c r="V879" s="30" t="s">
        <v>1328</v>
      </c>
      <c r="W879" s="30" t="s">
        <v>1328</v>
      </c>
      <c r="X879" s="32" t="s">
        <v>1328</v>
      </c>
      <c r="Y879" s="32" t="s">
        <v>1328</v>
      </c>
      <c r="Z879" s="32">
        <v>3710</v>
      </c>
      <c r="AA879" s="3">
        <f t="shared" si="13"/>
        <v>3545.94</v>
      </c>
      <c r="AB879" s="3"/>
      <c r="AC879" s="3"/>
      <c r="AF879" s="3"/>
      <c r="AG879" s="3"/>
      <c r="AH879" s="3"/>
    </row>
    <row r="880" spans="1:34" x14ac:dyDescent="0.25">
      <c r="A880">
        <v>40080010</v>
      </c>
      <c r="B880">
        <v>4008</v>
      </c>
      <c r="C880" s="2">
        <v>7</v>
      </c>
      <c r="D880" s="2" t="s">
        <v>1022</v>
      </c>
      <c r="E880">
        <v>10</v>
      </c>
      <c r="F880" s="2" t="s">
        <v>1022</v>
      </c>
      <c r="G880" s="3">
        <v>0</v>
      </c>
      <c r="H880" s="32">
        <v>37</v>
      </c>
      <c r="I880" s="32">
        <v>29</v>
      </c>
      <c r="J880" s="32">
        <v>45</v>
      </c>
      <c r="K880" s="32">
        <v>36</v>
      </c>
      <c r="L880" s="32">
        <v>47</v>
      </c>
      <c r="M880" s="32">
        <v>41</v>
      </c>
      <c r="N880" s="32">
        <v>44</v>
      </c>
      <c r="O880" s="32">
        <v>30</v>
      </c>
      <c r="P880" s="32">
        <v>45</v>
      </c>
      <c r="Q880" s="32">
        <v>39</v>
      </c>
      <c r="R880" s="32">
        <v>47</v>
      </c>
      <c r="S880" s="32">
        <v>31</v>
      </c>
      <c r="T880" s="32">
        <v>48</v>
      </c>
      <c r="U880" s="32">
        <v>52</v>
      </c>
      <c r="V880" s="30">
        <v>0.82170542635658916</v>
      </c>
      <c r="W880" s="30">
        <v>0.73529411764705888</v>
      </c>
      <c r="X880" s="32">
        <v>20904</v>
      </c>
      <c r="Y880" s="32">
        <v>20264.919999999998</v>
      </c>
      <c r="Z880" s="32">
        <v>41168.92</v>
      </c>
      <c r="AA880" s="3">
        <f t="shared" si="13"/>
        <v>39348.42</v>
      </c>
      <c r="AB880" s="3"/>
      <c r="AC880" s="3"/>
      <c r="AF880" s="3"/>
      <c r="AG880" s="3"/>
      <c r="AH880" s="3"/>
    </row>
    <row r="881" spans="1:34" x14ac:dyDescent="0.25">
      <c r="A881">
        <v>40110010</v>
      </c>
      <c r="B881">
        <v>4011</v>
      </c>
      <c r="C881" s="2">
        <v>7</v>
      </c>
      <c r="D881" s="2" t="s">
        <v>1023</v>
      </c>
      <c r="E881">
        <v>10</v>
      </c>
      <c r="F881" s="2" t="s">
        <v>1023</v>
      </c>
      <c r="G881" s="3">
        <v>0</v>
      </c>
      <c r="H881" s="32">
        <v>23</v>
      </c>
      <c r="I881" s="32">
        <v>11</v>
      </c>
      <c r="J881" s="32">
        <v>26</v>
      </c>
      <c r="K881" s="32">
        <v>12</v>
      </c>
      <c r="L881" s="32">
        <v>25</v>
      </c>
      <c r="M881" s="32">
        <v>15</v>
      </c>
      <c r="N881" s="32">
        <v>17</v>
      </c>
      <c r="O881" s="32">
        <v>15</v>
      </c>
      <c r="P881" s="32">
        <v>19</v>
      </c>
      <c r="Q881" s="32">
        <v>15</v>
      </c>
      <c r="R881" s="32">
        <v>21</v>
      </c>
      <c r="S881" s="32">
        <v>17</v>
      </c>
      <c r="T881" s="32">
        <v>26</v>
      </c>
      <c r="U881" s="32">
        <v>26</v>
      </c>
      <c r="V881" s="30">
        <v>0.51351351351351349</v>
      </c>
      <c r="W881" s="30">
        <v>0.82456140350877194</v>
      </c>
      <c r="X881" s="32">
        <v>7076.1600000000008</v>
      </c>
      <c r="Y881" s="32">
        <v>11362.52</v>
      </c>
      <c r="Z881" s="32">
        <v>18438.68</v>
      </c>
      <c r="AA881" s="3">
        <f t="shared" si="13"/>
        <v>17623.32</v>
      </c>
      <c r="AB881" s="3"/>
      <c r="AC881" s="3"/>
      <c r="AF881" s="3"/>
      <c r="AG881" s="3"/>
      <c r="AH881" s="3"/>
    </row>
    <row r="882" spans="1:34" x14ac:dyDescent="0.25">
      <c r="A882">
        <v>40120010</v>
      </c>
      <c r="B882">
        <v>4012</v>
      </c>
      <c r="C882" s="2">
        <v>7</v>
      </c>
      <c r="D882" s="2" t="s">
        <v>1262</v>
      </c>
      <c r="E882">
        <v>10</v>
      </c>
      <c r="F882" s="2" t="s">
        <v>1262</v>
      </c>
      <c r="G882" s="3">
        <v>1</v>
      </c>
      <c r="H882" s="32" t="s">
        <v>1328</v>
      </c>
      <c r="I882" s="32" t="s">
        <v>1328</v>
      </c>
      <c r="J882" s="32" t="s">
        <v>1328</v>
      </c>
      <c r="K882" s="32" t="s">
        <v>1328</v>
      </c>
      <c r="L882" s="32" t="s">
        <v>1328</v>
      </c>
      <c r="M882" s="32" t="s">
        <v>1328</v>
      </c>
      <c r="N882" s="32" t="s">
        <v>1328</v>
      </c>
      <c r="O882" s="32" t="s">
        <v>1328</v>
      </c>
      <c r="P882" s="32" t="s">
        <v>1328</v>
      </c>
      <c r="Q882" s="32" t="s">
        <v>1328</v>
      </c>
      <c r="R882" s="32" t="s">
        <v>1328</v>
      </c>
      <c r="S882" s="32" t="s">
        <v>1328</v>
      </c>
      <c r="T882" s="32">
        <v>0</v>
      </c>
      <c r="U882" s="32">
        <v>0</v>
      </c>
      <c r="V882" s="30" t="s">
        <v>1328</v>
      </c>
      <c r="W882" s="30" t="s">
        <v>1328</v>
      </c>
      <c r="X882" s="32" t="s">
        <v>1328</v>
      </c>
      <c r="Y882" s="32" t="s">
        <v>1328</v>
      </c>
      <c r="Z882" s="32">
        <v>0</v>
      </c>
      <c r="AA882" s="3">
        <f t="shared" si="13"/>
        <v>0</v>
      </c>
      <c r="AB882" s="3"/>
      <c r="AC882" s="3"/>
      <c r="AF882" s="3"/>
      <c r="AG882" s="3"/>
      <c r="AH882" s="3"/>
    </row>
    <row r="883" spans="1:34" x14ac:dyDescent="0.25">
      <c r="A883">
        <v>40150010</v>
      </c>
      <c r="B883">
        <v>4015</v>
      </c>
      <c r="C883" s="2">
        <v>7</v>
      </c>
      <c r="D883" s="2" t="s">
        <v>1024</v>
      </c>
      <c r="E883">
        <v>10</v>
      </c>
      <c r="F883" s="2" t="s">
        <v>1024</v>
      </c>
      <c r="G883" s="3">
        <v>0</v>
      </c>
      <c r="H883" s="32">
        <v>48</v>
      </c>
      <c r="I883" s="32">
        <v>20</v>
      </c>
      <c r="J883" s="32">
        <v>48</v>
      </c>
      <c r="K883" s="32">
        <v>27</v>
      </c>
      <c r="L883" s="32">
        <v>51</v>
      </c>
      <c r="M883" s="32">
        <v>23</v>
      </c>
      <c r="N883" s="32">
        <v>44</v>
      </c>
      <c r="O883" s="32">
        <v>32</v>
      </c>
      <c r="P883" s="32">
        <v>47</v>
      </c>
      <c r="Q883" s="32">
        <v>44</v>
      </c>
      <c r="R883" s="32">
        <v>45</v>
      </c>
      <c r="S883" s="32">
        <v>38</v>
      </c>
      <c r="T883" s="32">
        <v>52</v>
      </c>
      <c r="U883" s="32">
        <v>48</v>
      </c>
      <c r="V883" s="30">
        <v>0.47619047619047616</v>
      </c>
      <c r="W883" s="30">
        <v>0.83823529411764708</v>
      </c>
      <c r="X883" s="32">
        <v>13123.76</v>
      </c>
      <c r="Y883" s="32">
        <v>21324.48</v>
      </c>
      <c r="Z883" s="32">
        <v>34448.239999999998</v>
      </c>
      <c r="AA883" s="3">
        <f t="shared" si="13"/>
        <v>32924.93</v>
      </c>
      <c r="AB883" s="3"/>
      <c r="AC883" s="3"/>
      <c r="AF883" s="3"/>
      <c r="AG883" s="3"/>
      <c r="AH883" s="3"/>
    </row>
    <row r="884" spans="1:34" x14ac:dyDescent="0.25">
      <c r="A884">
        <v>40160010</v>
      </c>
      <c r="B884">
        <v>4016</v>
      </c>
      <c r="C884" s="2">
        <v>7</v>
      </c>
      <c r="D884" s="2" t="s">
        <v>1025</v>
      </c>
      <c r="E884">
        <v>10</v>
      </c>
      <c r="F884" s="2" t="s">
        <v>1025</v>
      </c>
      <c r="G884" s="3">
        <v>0</v>
      </c>
      <c r="H884" s="32">
        <v>26</v>
      </c>
      <c r="I884" s="32">
        <v>20</v>
      </c>
      <c r="J884" s="32">
        <v>28</v>
      </c>
      <c r="K884" s="32">
        <v>23</v>
      </c>
      <c r="L884" s="32">
        <v>28</v>
      </c>
      <c r="M884" s="32">
        <v>24</v>
      </c>
      <c r="N884" s="32">
        <v>25</v>
      </c>
      <c r="O884" s="32">
        <v>19</v>
      </c>
      <c r="P884" s="32">
        <v>25</v>
      </c>
      <c r="Q884" s="32">
        <v>19</v>
      </c>
      <c r="R884" s="32">
        <v>23</v>
      </c>
      <c r="S884" s="32">
        <v>19</v>
      </c>
      <c r="T884" s="32">
        <v>27</v>
      </c>
      <c r="U884" s="32">
        <v>28</v>
      </c>
      <c r="V884" s="30">
        <v>0.81707317073170727</v>
      </c>
      <c r="W884" s="30">
        <v>0.78082191780821919</v>
      </c>
      <c r="X884" s="32">
        <v>11692.35</v>
      </c>
      <c r="Y884" s="32">
        <v>11587.519999999999</v>
      </c>
      <c r="Z884" s="32">
        <v>23279.87</v>
      </c>
      <c r="AA884" s="3">
        <f t="shared" si="13"/>
        <v>22250.43</v>
      </c>
      <c r="AB884" s="3"/>
      <c r="AC884" s="3"/>
      <c r="AF884" s="3"/>
      <c r="AG884" s="3"/>
      <c r="AH884" s="3"/>
    </row>
    <row r="885" spans="1:34" x14ac:dyDescent="0.25">
      <c r="A885">
        <v>40170010</v>
      </c>
      <c r="B885">
        <v>4017</v>
      </c>
      <c r="C885" s="2">
        <v>7</v>
      </c>
      <c r="D885" s="2" t="s">
        <v>1263</v>
      </c>
      <c r="E885">
        <v>10</v>
      </c>
      <c r="F885" s="2" t="s">
        <v>1264</v>
      </c>
      <c r="G885" s="3">
        <v>1</v>
      </c>
      <c r="H885" s="32" t="s">
        <v>1328</v>
      </c>
      <c r="I885" s="32" t="s">
        <v>1328</v>
      </c>
      <c r="J885" s="32" t="s">
        <v>1328</v>
      </c>
      <c r="K885" s="32" t="s">
        <v>1328</v>
      </c>
      <c r="L885" s="32" t="s">
        <v>1328</v>
      </c>
      <c r="M885" s="32" t="s">
        <v>1328</v>
      </c>
      <c r="N885" s="32" t="s">
        <v>1328</v>
      </c>
      <c r="O885" s="32" t="s">
        <v>1328</v>
      </c>
      <c r="P885" s="32" t="s">
        <v>1328</v>
      </c>
      <c r="Q885" s="32" t="s">
        <v>1328</v>
      </c>
      <c r="R885" s="32" t="s">
        <v>1328</v>
      </c>
      <c r="S885" s="32" t="s">
        <v>1328</v>
      </c>
      <c r="T885" s="32">
        <v>16</v>
      </c>
      <c r="U885" s="32">
        <v>17</v>
      </c>
      <c r="V885" s="30" t="s">
        <v>1328</v>
      </c>
      <c r="W885" s="30" t="s">
        <v>1328</v>
      </c>
      <c r="X885" s="32" t="s">
        <v>1328</v>
      </c>
      <c r="Y885" s="32" t="s">
        <v>1328</v>
      </c>
      <c r="Z885" s="32">
        <v>10100.790000000001</v>
      </c>
      <c r="AA885" s="3">
        <f t="shared" si="13"/>
        <v>9654.1299999999992</v>
      </c>
      <c r="AB885" s="3"/>
      <c r="AC885" s="3"/>
      <c r="AF885" s="3"/>
      <c r="AG885" s="3"/>
      <c r="AH885" s="3"/>
    </row>
    <row r="886" spans="1:34" x14ac:dyDescent="0.25">
      <c r="A886">
        <v>40170017</v>
      </c>
      <c r="B886">
        <v>4017</v>
      </c>
      <c r="C886">
        <v>7</v>
      </c>
      <c r="D886" t="s">
        <v>1026</v>
      </c>
      <c r="E886">
        <v>17</v>
      </c>
      <c r="F886" t="s">
        <v>1027</v>
      </c>
      <c r="G886" s="3">
        <v>0</v>
      </c>
      <c r="H886" s="32">
        <v>18</v>
      </c>
      <c r="I886" s="32">
        <v>5</v>
      </c>
      <c r="J886" s="32">
        <v>24</v>
      </c>
      <c r="K886" s="32">
        <v>12</v>
      </c>
      <c r="L886" s="32">
        <v>27</v>
      </c>
      <c r="M886" s="32">
        <v>9</v>
      </c>
      <c r="N886" s="32">
        <v>12</v>
      </c>
      <c r="O886" s="32">
        <v>10</v>
      </c>
      <c r="P886" s="32">
        <v>14</v>
      </c>
      <c r="Q886" s="32">
        <v>14</v>
      </c>
      <c r="R886" s="32">
        <v>18</v>
      </c>
      <c r="S886" s="32">
        <v>11</v>
      </c>
      <c r="T886" s="32">
        <v>26</v>
      </c>
      <c r="U886" s="32">
        <v>25</v>
      </c>
      <c r="V886" s="30">
        <v>0.37681159420289856</v>
      </c>
      <c r="W886" s="30">
        <v>0.79545454545454541</v>
      </c>
      <c r="X886" s="32">
        <v>5192.46</v>
      </c>
      <c r="Y886" s="32">
        <v>10539.75</v>
      </c>
      <c r="Z886" s="32">
        <v>15732.21</v>
      </c>
      <c r="AA886" s="3">
        <f t="shared" si="13"/>
        <v>15036.53</v>
      </c>
      <c r="AB886" s="3"/>
      <c r="AC886" s="3"/>
      <c r="AF886" s="3"/>
      <c r="AG886" s="3"/>
      <c r="AH886" s="3"/>
    </row>
    <row r="887" spans="1:34" x14ac:dyDescent="0.25">
      <c r="A887">
        <v>40170018</v>
      </c>
      <c r="B887">
        <v>4017</v>
      </c>
      <c r="C887">
        <v>7</v>
      </c>
      <c r="D887" t="s">
        <v>1026</v>
      </c>
      <c r="E887">
        <v>18</v>
      </c>
      <c r="F887" t="s">
        <v>1028</v>
      </c>
      <c r="G887" s="3">
        <v>0</v>
      </c>
      <c r="H887" s="32">
        <v>62</v>
      </c>
      <c r="I887" s="32">
        <v>47</v>
      </c>
      <c r="J887" s="32">
        <v>67</v>
      </c>
      <c r="K887" s="32">
        <v>51</v>
      </c>
      <c r="L887" s="32">
        <v>68</v>
      </c>
      <c r="M887" s="32">
        <v>54</v>
      </c>
      <c r="N887" s="32">
        <v>32</v>
      </c>
      <c r="O887" s="32">
        <v>24</v>
      </c>
      <c r="P887" s="32">
        <v>41</v>
      </c>
      <c r="Q887" s="32">
        <v>30</v>
      </c>
      <c r="R887" s="32">
        <v>46</v>
      </c>
      <c r="S887" s="32">
        <v>34</v>
      </c>
      <c r="T887" s="32">
        <v>67</v>
      </c>
      <c r="U887" s="32">
        <v>70</v>
      </c>
      <c r="V887" s="30">
        <v>0.77157360406091369</v>
      </c>
      <c r="W887" s="30">
        <v>0.73949579831932777</v>
      </c>
      <c r="X887" s="32">
        <v>27398.31</v>
      </c>
      <c r="Y887" s="32">
        <v>27435.100000000002</v>
      </c>
      <c r="Z887" s="32">
        <v>54833.41</v>
      </c>
      <c r="AA887" s="3">
        <f t="shared" si="13"/>
        <v>52408.66</v>
      </c>
      <c r="AB887" s="3"/>
      <c r="AC887" s="3"/>
      <c r="AF887" s="3"/>
      <c r="AG887" s="3"/>
      <c r="AH887" s="3"/>
    </row>
    <row r="888" spans="1:34" x14ac:dyDescent="0.25">
      <c r="A888">
        <v>40180010</v>
      </c>
      <c r="B888">
        <v>4018</v>
      </c>
      <c r="C888">
        <v>7</v>
      </c>
      <c r="D888" t="s">
        <v>1029</v>
      </c>
      <c r="E888">
        <v>10</v>
      </c>
      <c r="F888" t="s">
        <v>1029</v>
      </c>
      <c r="G888" s="3">
        <v>0</v>
      </c>
      <c r="H888" s="32">
        <v>49</v>
      </c>
      <c r="I888" s="32">
        <v>23</v>
      </c>
      <c r="J888" s="32">
        <v>43</v>
      </c>
      <c r="K888" s="32">
        <v>21</v>
      </c>
      <c r="L888" s="32">
        <v>45</v>
      </c>
      <c r="M888" s="32">
        <v>29</v>
      </c>
      <c r="N888" s="32">
        <v>36</v>
      </c>
      <c r="O888" s="32">
        <v>28</v>
      </c>
      <c r="P888" s="32">
        <v>47</v>
      </c>
      <c r="Q888" s="32">
        <v>38</v>
      </c>
      <c r="R888" s="32">
        <v>42</v>
      </c>
      <c r="S888" s="32">
        <v>39</v>
      </c>
      <c r="T888" s="32">
        <v>47</v>
      </c>
      <c r="U888" s="32">
        <v>47</v>
      </c>
      <c r="V888" s="30">
        <v>0.53284671532846717</v>
      </c>
      <c r="W888" s="30">
        <v>0.84</v>
      </c>
      <c r="X888" s="32">
        <v>13273.27</v>
      </c>
      <c r="Y888" s="32">
        <v>20924.399999999998</v>
      </c>
      <c r="Z888" s="32">
        <v>34197.67</v>
      </c>
      <c r="AA888" s="3">
        <f t="shared" si="13"/>
        <v>32685.439999999999</v>
      </c>
      <c r="AB888" s="3"/>
      <c r="AC888" s="3"/>
      <c r="AF888" s="3"/>
      <c r="AG888" s="3"/>
      <c r="AH888" s="3"/>
    </row>
    <row r="889" spans="1:34" x14ac:dyDescent="0.25">
      <c r="A889">
        <v>40200010</v>
      </c>
      <c r="B889">
        <v>4020</v>
      </c>
      <c r="C889" s="2">
        <v>7</v>
      </c>
      <c r="D889" s="2" t="s">
        <v>1030</v>
      </c>
      <c r="E889">
        <v>10</v>
      </c>
      <c r="F889" s="2" t="s">
        <v>1031</v>
      </c>
      <c r="G889" s="3">
        <v>0</v>
      </c>
      <c r="H889" s="32">
        <v>72</v>
      </c>
      <c r="I889" s="32">
        <v>54</v>
      </c>
      <c r="J889" s="32">
        <v>79</v>
      </c>
      <c r="K889" s="32">
        <v>63</v>
      </c>
      <c r="L889" s="32">
        <v>75</v>
      </c>
      <c r="M889" s="32">
        <v>66</v>
      </c>
      <c r="N889" s="32">
        <v>70</v>
      </c>
      <c r="O889" s="32">
        <v>56</v>
      </c>
      <c r="P889" s="32">
        <v>77</v>
      </c>
      <c r="Q889" s="32">
        <v>57</v>
      </c>
      <c r="R889" s="32">
        <v>89</v>
      </c>
      <c r="S889" s="32">
        <v>77</v>
      </c>
      <c r="T889" s="32">
        <v>84</v>
      </c>
      <c r="U889" s="32">
        <v>108</v>
      </c>
      <c r="V889" s="30">
        <v>0.80973451327433632</v>
      </c>
      <c r="W889" s="30">
        <v>0.80508474576271183</v>
      </c>
      <c r="X889" s="32">
        <v>36049.440000000002</v>
      </c>
      <c r="Y889" s="32">
        <v>46082.52</v>
      </c>
      <c r="Z889" s="32">
        <v>82131.959999999992</v>
      </c>
      <c r="AA889" s="3">
        <f t="shared" si="13"/>
        <v>78500.070000000007</v>
      </c>
      <c r="AB889" s="3"/>
      <c r="AC889" s="3"/>
      <c r="AF889" s="3"/>
      <c r="AG889" s="3"/>
      <c r="AH889" s="3"/>
    </row>
    <row r="890" spans="1:34" x14ac:dyDescent="0.25">
      <c r="A890">
        <v>40200040</v>
      </c>
      <c r="B890">
        <v>4020</v>
      </c>
      <c r="C890" s="2">
        <v>7</v>
      </c>
      <c r="D890" s="2" t="s">
        <v>1030</v>
      </c>
      <c r="E890">
        <v>40</v>
      </c>
      <c r="F890" s="2" t="s">
        <v>1032</v>
      </c>
      <c r="G890" s="3">
        <v>0</v>
      </c>
      <c r="H890" s="32">
        <v>49</v>
      </c>
      <c r="I890" s="32">
        <v>23</v>
      </c>
      <c r="J890" s="32">
        <v>46</v>
      </c>
      <c r="K890" s="32">
        <v>34</v>
      </c>
      <c r="L890" s="32">
        <v>51</v>
      </c>
      <c r="M890" s="32">
        <v>42</v>
      </c>
      <c r="N890" s="32">
        <v>28</v>
      </c>
      <c r="O890" s="32">
        <v>19</v>
      </c>
      <c r="P890" s="32">
        <v>45</v>
      </c>
      <c r="Q890" s="32">
        <v>43</v>
      </c>
      <c r="R890" s="32">
        <v>38</v>
      </c>
      <c r="S890" s="32">
        <v>35</v>
      </c>
      <c r="T890" s="32">
        <v>53</v>
      </c>
      <c r="U890" s="32">
        <v>38</v>
      </c>
      <c r="V890" s="30">
        <v>0.67808219178082196</v>
      </c>
      <c r="W890" s="30">
        <v>0.87387387387387383</v>
      </c>
      <c r="X890" s="32">
        <v>19047.14</v>
      </c>
      <c r="Y890" s="32">
        <v>17599.7</v>
      </c>
      <c r="Z890" s="32">
        <v>36646.839999999997</v>
      </c>
      <c r="AA890" s="3">
        <f t="shared" si="13"/>
        <v>35026.31</v>
      </c>
      <c r="AB890" s="3"/>
      <c r="AC890" s="3"/>
      <c r="AF890" s="3"/>
      <c r="AG890" s="3"/>
      <c r="AH890" s="3"/>
    </row>
    <row r="891" spans="1:34" x14ac:dyDescent="0.25">
      <c r="A891">
        <v>40250010</v>
      </c>
      <c r="B891">
        <v>4025</v>
      </c>
      <c r="C891">
        <v>7</v>
      </c>
      <c r="D891" t="s">
        <v>1265</v>
      </c>
      <c r="E891">
        <v>10</v>
      </c>
      <c r="F891" t="s">
        <v>1265</v>
      </c>
      <c r="G891" s="3">
        <v>1</v>
      </c>
      <c r="H891" s="32" t="s">
        <v>1328</v>
      </c>
      <c r="I891" s="32" t="s">
        <v>1328</v>
      </c>
      <c r="J891" s="32" t="s">
        <v>1328</v>
      </c>
      <c r="K891" s="32" t="s">
        <v>1328</v>
      </c>
      <c r="L891" s="32" t="s">
        <v>1328</v>
      </c>
      <c r="M891" s="32" t="s">
        <v>1328</v>
      </c>
      <c r="N891" s="32" t="s">
        <v>1328</v>
      </c>
      <c r="O891" s="32" t="s">
        <v>1328</v>
      </c>
      <c r="P891" s="32" t="s">
        <v>1328</v>
      </c>
      <c r="Q891" s="32" t="s">
        <v>1328</v>
      </c>
      <c r="R891" s="32" t="s">
        <v>1328</v>
      </c>
      <c r="S891" s="32" t="s">
        <v>1328</v>
      </c>
      <c r="T891" s="32">
        <v>4</v>
      </c>
      <c r="U891" s="32">
        <v>11</v>
      </c>
      <c r="V891" s="30" t="s">
        <v>1328</v>
      </c>
      <c r="W891" s="30" t="s">
        <v>1328</v>
      </c>
      <c r="X891" s="32" t="s">
        <v>1328</v>
      </c>
      <c r="Y891" s="32" t="s">
        <v>1328</v>
      </c>
      <c r="Z891" s="32">
        <v>5482.37</v>
      </c>
      <c r="AA891" s="3">
        <f t="shared" si="13"/>
        <v>5239.9399999999996</v>
      </c>
      <c r="AB891" s="3"/>
      <c r="AC891" s="3"/>
      <c r="AF891" s="3"/>
      <c r="AG891" s="3"/>
      <c r="AH891" s="3"/>
    </row>
    <row r="892" spans="1:34" x14ac:dyDescent="0.25">
      <c r="A892">
        <v>40260010</v>
      </c>
      <c r="B892">
        <v>4026</v>
      </c>
      <c r="C892">
        <v>7</v>
      </c>
      <c r="D892" t="s">
        <v>1266</v>
      </c>
      <c r="E892">
        <v>10</v>
      </c>
      <c r="F892" t="s">
        <v>1266</v>
      </c>
      <c r="G892" s="3">
        <v>1</v>
      </c>
      <c r="H892" s="32" t="s">
        <v>1328</v>
      </c>
      <c r="I892" s="32" t="s">
        <v>1328</v>
      </c>
      <c r="J892" s="32" t="s">
        <v>1328</v>
      </c>
      <c r="K892" s="32" t="s">
        <v>1328</v>
      </c>
      <c r="L892" s="32" t="s">
        <v>1328</v>
      </c>
      <c r="M892" s="32" t="s">
        <v>1328</v>
      </c>
      <c r="N892" s="32" t="s">
        <v>1328</v>
      </c>
      <c r="O892" s="32" t="s">
        <v>1328</v>
      </c>
      <c r="P892" s="32" t="s">
        <v>1328</v>
      </c>
      <c r="Q892" s="32" t="s">
        <v>1328</v>
      </c>
      <c r="R892" s="32" t="s">
        <v>1328</v>
      </c>
      <c r="S892" s="32" t="s">
        <v>1328</v>
      </c>
      <c r="T892" s="32">
        <v>14</v>
      </c>
      <c r="U892" s="32">
        <v>15</v>
      </c>
      <c r="V892" s="30" t="s">
        <v>1328</v>
      </c>
      <c r="W892" s="30" t="s">
        <v>1328</v>
      </c>
      <c r="X892" s="32" t="s">
        <v>1328</v>
      </c>
      <c r="Y892" s="32" t="s">
        <v>1328</v>
      </c>
      <c r="Z892" s="32">
        <v>10977.810000000001</v>
      </c>
      <c r="AA892" s="3">
        <f t="shared" si="13"/>
        <v>10492.37</v>
      </c>
      <c r="AB892" s="3"/>
      <c r="AC892" s="3"/>
      <c r="AF892" s="3"/>
      <c r="AG892" s="3"/>
      <c r="AH892" s="3"/>
    </row>
    <row r="893" spans="1:34" x14ac:dyDescent="0.25">
      <c r="A893">
        <v>40270010</v>
      </c>
      <c r="B893">
        <v>4027</v>
      </c>
      <c r="C893" s="2">
        <v>7</v>
      </c>
      <c r="D893" s="2" t="s">
        <v>1033</v>
      </c>
      <c r="E893">
        <v>10</v>
      </c>
      <c r="F893" s="2" t="s">
        <v>1033</v>
      </c>
      <c r="G893" s="3">
        <v>0</v>
      </c>
      <c r="H893" s="32">
        <v>46</v>
      </c>
      <c r="I893" s="32">
        <v>34</v>
      </c>
      <c r="J893" s="32">
        <v>52</v>
      </c>
      <c r="K893" s="32">
        <v>29</v>
      </c>
      <c r="L893" s="32">
        <v>62</v>
      </c>
      <c r="M893" s="32">
        <v>41</v>
      </c>
      <c r="N893" s="32">
        <v>49</v>
      </c>
      <c r="O893" s="32">
        <v>32</v>
      </c>
      <c r="P893" s="32">
        <v>39</v>
      </c>
      <c r="Q893" s="32">
        <v>21</v>
      </c>
      <c r="R893" s="32">
        <v>47</v>
      </c>
      <c r="S893" s="32">
        <v>37</v>
      </c>
      <c r="T893" s="32">
        <v>63</v>
      </c>
      <c r="U893" s="32">
        <v>74</v>
      </c>
      <c r="V893" s="30">
        <v>0.65</v>
      </c>
      <c r="W893" s="30">
        <v>0.66666666666666663</v>
      </c>
      <c r="X893" s="32">
        <v>21703.5</v>
      </c>
      <c r="Y893" s="32">
        <v>26146.42</v>
      </c>
      <c r="Z893" s="32">
        <v>47849.919999999998</v>
      </c>
      <c r="AA893" s="3">
        <f t="shared" si="13"/>
        <v>45733.99</v>
      </c>
      <c r="AB893" s="3"/>
      <c r="AC893" s="3"/>
      <c r="AF893" s="3"/>
      <c r="AG893" s="3"/>
      <c r="AH893" s="3"/>
    </row>
    <row r="894" spans="1:34" x14ac:dyDescent="0.25">
      <c r="A894">
        <v>40290010</v>
      </c>
      <c r="B894">
        <v>4029</v>
      </c>
      <c r="C894" s="2">
        <v>7</v>
      </c>
      <c r="D894" s="2" t="s">
        <v>1034</v>
      </c>
      <c r="E894">
        <v>10</v>
      </c>
      <c r="F894" s="2" t="s">
        <v>1035</v>
      </c>
      <c r="G894" s="3">
        <v>0</v>
      </c>
      <c r="H894" s="32">
        <v>42</v>
      </c>
      <c r="I894" s="32">
        <v>16</v>
      </c>
      <c r="J894" s="32">
        <v>33</v>
      </c>
      <c r="K894" s="32">
        <v>15</v>
      </c>
      <c r="L894" s="32">
        <v>36</v>
      </c>
      <c r="M894" s="32">
        <v>18</v>
      </c>
      <c r="N894" s="32">
        <v>32</v>
      </c>
      <c r="O894" s="32">
        <v>26</v>
      </c>
      <c r="P894" s="32">
        <v>35</v>
      </c>
      <c r="Q894" s="32">
        <v>26</v>
      </c>
      <c r="R894" s="32">
        <v>32</v>
      </c>
      <c r="S894" s="32">
        <v>20</v>
      </c>
      <c r="T894" s="32">
        <v>36</v>
      </c>
      <c r="U894" s="32">
        <v>35</v>
      </c>
      <c r="V894" s="30">
        <v>0.44144144144144143</v>
      </c>
      <c r="W894" s="30">
        <v>0.72727272727272729</v>
      </c>
      <c r="X894" s="32">
        <v>8422.56</v>
      </c>
      <c r="Y894" s="32">
        <v>13490.75</v>
      </c>
      <c r="Z894" s="32">
        <v>21913.309999999998</v>
      </c>
      <c r="AA894" s="3">
        <f t="shared" si="13"/>
        <v>20944.3</v>
      </c>
      <c r="AB894" s="3"/>
      <c r="AC894" s="3"/>
      <c r="AF894" s="3"/>
      <c r="AG894" s="3"/>
      <c r="AH894" s="3"/>
    </row>
    <row r="895" spans="1:34" x14ac:dyDescent="0.25">
      <c r="A895">
        <v>40300010</v>
      </c>
      <c r="B895">
        <v>4030</v>
      </c>
      <c r="C895" s="2">
        <v>7</v>
      </c>
      <c r="D895" s="2" t="s">
        <v>1036</v>
      </c>
      <c r="E895">
        <v>10</v>
      </c>
      <c r="F895" s="2" t="s">
        <v>1036</v>
      </c>
      <c r="G895" s="3">
        <v>0</v>
      </c>
      <c r="H895" s="32">
        <v>19</v>
      </c>
      <c r="I895" s="32">
        <v>7</v>
      </c>
      <c r="J895" s="32">
        <v>31</v>
      </c>
      <c r="K895" s="32">
        <v>16</v>
      </c>
      <c r="L895" s="32">
        <v>30</v>
      </c>
      <c r="M895" s="32">
        <v>15</v>
      </c>
      <c r="N895" s="32">
        <v>15</v>
      </c>
      <c r="O895" s="32">
        <v>9</v>
      </c>
      <c r="P895" s="32">
        <v>18</v>
      </c>
      <c r="Q895" s="32">
        <v>13</v>
      </c>
      <c r="R895" s="32">
        <v>24</v>
      </c>
      <c r="S895" s="32">
        <v>20</v>
      </c>
      <c r="T895" s="32">
        <v>28</v>
      </c>
      <c r="U895" s="32">
        <v>28</v>
      </c>
      <c r="V895" s="30">
        <v>0.47499999999999998</v>
      </c>
      <c r="W895" s="30">
        <v>0.73684210526315785</v>
      </c>
      <c r="X895" s="32">
        <v>7049</v>
      </c>
      <c r="Y895" s="32">
        <v>10934.84</v>
      </c>
      <c r="Z895" s="32">
        <v>17983.84</v>
      </c>
      <c r="AA895" s="3">
        <f t="shared" si="13"/>
        <v>17188.59</v>
      </c>
      <c r="AB895" s="3"/>
      <c r="AC895" s="3"/>
      <c r="AF895" s="3"/>
      <c r="AG895" s="3"/>
      <c r="AH895" s="3"/>
    </row>
    <row r="896" spans="1:34" x14ac:dyDescent="0.25">
      <c r="A896">
        <v>40320010</v>
      </c>
      <c r="B896">
        <v>4032</v>
      </c>
      <c r="C896" s="2">
        <v>7</v>
      </c>
      <c r="D896" s="2" t="s">
        <v>1037</v>
      </c>
      <c r="E896">
        <v>10</v>
      </c>
      <c r="F896" s="2" t="s">
        <v>1037</v>
      </c>
      <c r="G896" s="3">
        <v>0</v>
      </c>
      <c r="H896" s="32">
        <v>46</v>
      </c>
      <c r="I896" s="32">
        <v>36</v>
      </c>
      <c r="J896" s="32">
        <v>38</v>
      </c>
      <c r="K896" s="32">
        <v>31</v>
      </c>
      <c r="L896" s="32">
        <v>48</v>
      </c>
      <c r="M896" s="32">
        <v>39</v>
      </c>
      <c r="N896" s="32">
        <v>34</v>
      </c>
      <c r="O896" s="32">
        <v>22</v>
      </c>
      <c r="P896" s="32">
        <v>29</v>
      </c>
      <c r="Q896" s="32">
        <v>24</v>
      </c>
      <c r="R896" s="32">
        <v>32</v>
      </c>
      <c r="S896" s="32">
        <v>22</v>
      </c>
      <c r="T896" s="32">
        <v>53</v>
      </c>
      <c r="U896" s="32">
        <v>46</v>
      </c>
      <c r="V896" s="30">
        <v>0.80303030303030298</v>
      </c>
      <c r="W896" s="30">
        <v>0.71578947368421053</v>
      </c>
      <c r="X896" s="32">
        <v>22557.33</v>
      </c>
      <c r="Y896" s="32">
        <v>17451.02</v>
      </c>
      <c r="Z896" s="32">
        <v>40008.350000000006</v>
      </c>
      <c r="AA896" s="3">
        <f t="shared" si="13"/>
        <v>38239.17</v>
      </c>
      <c r="AB896" s="3"/>
      <c r="AC896" s="3"/>
      <c r="AF896" s="3"/>
      <c r="AG896" s="3"/>
      <c r="AH896" s="3"/>
    </row>
    <row r="897" spans="1:34" x14ac:dyDescent="0.25">
      <c r="A897">
        <v>40350010</v>
      </c>
      <c r="B897">
        <v>4035</v>
      </c>
      <c r="C897" s="2">
        <v>7</v>
      </c>
      <c r="D897" s="2" t="s">
        <v>1038</v>
      </c>
      <c r="E897">
        <v>10</v>
      </c>
      <c r="F897" s="2" t="s">
        <v>1038</v>
      </c>
      <c r="G897" s="3">
        <v>0</v>
      </c>
      <c r="H897" s="32">
        <v>22</v>
      </c>
      <c r="I897" s="32">
        <v>22</v>
      </c>
      <c r="J897" s="32">
        <v>30</v>
      </c>
      <c r="K897" s="32">
        <v>28</v>
      </c>
      <c r="L897" s="32">
        <v>32</v>
      </c>
      <c r="M897" s="32">
        <v>26</v>
      </c>
      <c r="N897" s="32">
        <v>20</v>
      </c>
      <c r="O897" s="32">
        <v>12</v>
      </c>
      <c r="P897" s="32">
        <v>19</v>
      </c>
      <c r="Q897" s="32">
        <v>12</v>
      </c>
      <c r="R897" s="32">
        <v>27</v>
      </c>
      <c r="S897" s="32">
        <v>20</v>
      </c>
      <c r="T897" s="32">
        <v>34</v>
      </c>
      <c r="U897" s="32">
        <v>38</v>
      </c>
      <c r="V897" s="30">
        <v>0.90476190476190477</v>
      </c>
      <c r="W897" s="30">
        <v>0.66666666666666663</v>
      </c>
      <c r="X897" s="32">
        <v>16303.68</v>
      </c>
      <c r="Y897" s="32">
        <v>13426.539999999999</v>
      </c>
      <c r="Z897" s="32">
        <v>29730.22</v>
      </c>
      <c r="AA897" s="3">
        <f t="shared" si="13"/>
        <v>28415.54</v>
      </c>
      <c r="AB897" s="3"/>
      <c r="AC897" s="3"/>
      <c r="AF897" s="3"/>
      <c r="AG897" s="3"/>
      <c r="AH897" s="3"/>
    </row>
    <row r="898" spans="1:34" x14ac:dyDescent="0.25">
      <c r="A898">
        <v>40380010</v>
      </c>
      <c r="B898">
        <v>4038</v>
      </c>
      <c r="C898">
        <v>7</v>
      </c>
      <c r="D898" t="s">
        <v>1039</v>
      </c>
      <c r="E898">
        <v>10</v>
      </c>
      <c r="F898" t="s">
        <v>1039</v>
      </c>
      <c r="G898" s="3">
        <v>0</v>
      </c>
      <c r="H898" s="32">
        <v>44</v>
      </c>
      <c r="I898" s="32">
        <v>19</v>
      </c>
      <c r="J898" s="32">
        <v>45</v>
      </c>
      <c r="K898" s="32">
        <v>15</v>
      </c>
      <c r="L898" s="32">
        <v>40</v>
      </c>
      <c r="M898" s="32">
        <v>18</v>
      </c>
      <c r="N898" s="32">
        <v>36</v>
      </c>
      <c r="O898" s="32">
        <v>30</v>
      </c>
      <c r="P898" s="32">
        <v>41</v>
      </c>
      <c r="Q898" s="32">
        <v>36</v>
      </c>
      <c r="R898" s="32">
        <v>35</v>
      </c>
      <c r="S898" s="32">
        <v>26</v>
      </c>
      <c r="T898" s="32">
        <v>40</v>
      </c>
      <c r="U898" s="32">
        <v>46</v>
      </c>
      <c r="V898" s="30">
        <v>0.40310077519379844</v>
      </c>
      <c r="W898" s="30">
        <v>0.8214285714285714</v>
      </c>
      <c r="X898" s="32">
        <v>8545.5999999999985</v>
      </c>
      <c r="Y898" s="32">
        <v>20026.560000000001</v>
      </c>
      <c r="Z898" s="32">
        <v>28572.16</v>
      </c>
      <c r="AA898" s="3">
        <f t="shared" si="13"/>
        <v>27308.69</v>
      </c>
      <c r="AB898" s="3"/>
      <c r="AC898" s="3"/>
      <c r="AF898" s="3"/>
      <c r="AG898" s="3"/>
      <c r="AH898" s="3"/>
    </row>
    <row r="899" spans="1:34" x14ac:dyDescent="0.25">
      <c r="A899">
        <v>40500010</v>
      </c>
      <c r="B899">
        <v>4050</v>
      </c>
      <c r="C899" s="2">
        <v>7</v>
      </c>
      <c r="D899" s="2" t="s">
        <v>1267</v>
      </c>
      <c r="E899">
        <v>10</v>
      </c>
      <c r="F899" s="2" t="s">
        <v>1267</v>
      </c>
      <c r="G899" s="3">
        <v>1</v>
      </c>
      <c r="H899" s="32" t="s">
        <v>1328</v>
      </c>
      <c r="I899" s="32" t="s">
        <v>1328</v>
      </c>
      <c r="J899" s="32" t="s">
        <v>1328</v>
      </c>
      <c r="K899" s="32" t="s">
        <v>1328</v>
      </c>
      <c r="L899" s="32" t="s">
        <v>1328</v>
      </c>
      <c r="M899" s="32" t="s">
        <v>1328</v>
      </c>
      <c r="N899" s="32" t="s">
        <v>1328</v>
      </c>
      <c r="O899" s="32" t="s">
        <v>1328</v>
      </c>
      <c r="P899" s="32" t="s">
        <v>1328</v>
      </c>
      <c r="Q899" s="32" t="s">
        <v>1328</v>
      </c>
      <c r="R899" s="32" t="s">
        <v>1328</v>
      </c>
      <c r="S899" s="32" t="s">
        <v>1328</v>
      </c>
      <c r="T899" s="32">
        <v>9</v>
      </c>
      <c r="U899" s="32">
        <v>7</v>
      </c>
      <c r="V899" s="30" t="s">
        <v>1328</v>
      </c>
      <c r="W899" s="30" t="s">
        <v>1328</v>
      </c>
      <c r="X899" s="32" t="s">
        <v>1328</v>
      </c>
      <c r="Y899" s="32" t="s">
        <v>1328</v>
      </c>
      <c r="Z899" s="32">
        <v>5769.76</v>
      </c>
      <c r="AA899" s="3">
        <f t="shared" si="13"/>
        <v>5514.62</v>
      </c>
      <c r="AB899" s="3"/>
      <c r="AC899" s="3"/>
      <c r="AF899" s="3"/>
      <c r="AG899" s="3"/>
      <c r="AH899" s="3"/>
    </row>
    <row r="900" spans="1:34" x14ac:dyDescent="0.25">
      <c r="A900">
        <v>40500020</v>
      </c>
      <c r="B900">
        <v>4050</v>
      </c>
      <c r="C900" s="2">
        <v>7</v>
      </c>
      <c r="D900" s="2" t="s">
        <v>1267</v>
      </c>
      <c r="E900">
        <v>20</v>
      </c>
      <c r="F900" s="2" t="s">
        <v>1268</v>
      </c>
      <c r="G900" s="3">
        <v>1</v>
      </c>
      <c r="H900" s="32" t="s">
        <v>1328</v>
      </c>
      <c r="I900" s="32" t="s">
        <v>1328</v>
      </c>
      <c r="J900" s="32" t="s">
        <v>1328</v>
      </c>
      <c r="K900" s="32" t="s">
        <v>1328</v>
      </c>
      <c r="L900" s="32" t="s">
        <v>1328</v>
      </c>
      <c r="M900" s="32" t="s">
        <v>1328</v>
      </c>
      <c r="N900" s="32" t="s">
        <v>1328</v>
      </c>
      <c r="O900" s="32" t="s">
        <v>1328</v>
      </c>
      <c r="P900" s="32" t="s">
        <v>1328</v>
      </c>
      <c r="Q900" s="32" t="s">
        <v>1328</v>
      </c>
      <c r="R900" s="32" t="s">
        <v>1328</v>
      </c>
      <c r="S900" s="32" t="s">
        <v>1328</v>
      </c>
      <c r="T900" s="32">
        <v>1</v>
      </c>
      <c r="U900" s="32">
        <v>3</v>
      </c>
      <c r="V900" s="30" t="s">
        <v>1328</v>
      </c>
      <c r="W900" s="30" t="s">
        <v>1328</v>
      </c>
      <c r="X900" s="32" t="s">
        <v>1328</v>
      </c>
      <c r="Y900" s="32" t="s">
        <v>1328</v>
      </c>
      <c r="Z900" s="32">
        <v>1766.67</v>
      </c>
      <c r="AA900" s="3">
        <f t="shared" si="13"/>
        <v>1688.55</v>
      </c>
      <c r="AB900" s="3"/>
      <c r="AC900" s="3"/>
      <c r="AF900" s="3"/>
      <c r="AG900" s="3"/>
      <c r="AH900" s="3"/>
    </row>
    <row r="901" spans="1:34" x14ac:dyDescent="0.25">
      <c r="A901">
        <v>40540010</v>
      </c>
      <c r="B901">
        <v>4054</v>
      </c>
      <c r="C901" s="2">
        <v>7</v>
      </c>
      <c r="D901" s="2" t="s">
        <v>1269</v>
      </c>
      <c r="E901">
        <v>10</v>
      </c>
      <c r="F901" s="2" t="s">
        <v>1269</v>
      </c>
      <c r="G901" s="3">
        <v>1</v>
      </c>
      <c r="H901" s="32" t="s">
        <v>1328</v>
      </c>
      <c r="I901" s="32" t="s">
        <v>1328</v>
      </c>
      <c r="J901" s="32" t="s">
        <v>1328</v>
      </c>
      <c r="K901" s="32" t="s">
        <v>1328</v>
      </c>
      <c r="L901" s="32" t="s">
        <v>1328</v>
      </c>
      <c r="M901" s="32" t="s">
        <v>1328</v>
      </c>
      <c r="N901" s="32" t="s">
        <v>1328</v>
      </c>
      <c r="O901" s="32" t="s">
        <v>1328</v>
      </c>
      <c r="P901" s="32" t="s">
        <v>1328</v>
      </c>
      <c r="Q901" s="32" t="s">
        <v>1328</v>
      </c>
      <c r="R901" s="32" t="s">
        <v>1328</v>
      </c>
      <c r="S901" s="32" t="s">
        <v>1328</v>
      </c>
      <c r="T901" s="32">
        <v>8</v>
      </c>
      <c r="U901" s="32">
        <v>7</v>
      </c>
      <c r="V901" s="30" t="s">
        <v>1328</v>
      </c>
      <c r="W901" s="30" t="s">
        <v>1328</v>
      </c>
      <c r="X901" s="32" t="s">
        <v>1328</v>
      </c>
      <c r="Y901" s="32" t="s">
        <v>1328</v>
      </c>
      <c r="Z901" s="32">
        <v>5078.5</v>
      </c>
      <c r="AA901" s="3">
        <f t="shared" si="13"/>
        <v>4853.93</v>
      </c>
      <c r="AB901" s="3"/>
      <c r="AC901" s="3"/>
      <c r="AF901" s="3"/>
      <c r="AG901" s="3"/>
      <c r="AH901" s="3"/>
    </row>
    <row r="902" spans="1:34" x14ac:dyDescent="0.25">
      <c r="A902">
        <v>40550010</v>
      </c>
      <c r="B902">
        <v>4055</v>
      </c>
      <c r="C902" s="2">
        <v>7</v>
      </c>
      <c r="D902" s="2" t="s">
        <v>1040</v>
      </c>
      <c r="E902">
        <v>10</v>
      </c>
      <c r="F902" s="2" t="s">
        <v>1040</v>
      </c>
      <c r="G902" s="3">
        <v>0</v>
      </c>
      <c r="H902" s="32">
        <v>25</v>
      </c>
      <c r="I902" s="32">
        <v>24</v>
      </c>
      <c r="J902" s="32">
        <v>25</v>
      </c>
      <c r="K902" s="32">
        <v>23</v>
      </c>
      <c r="L902" s="32">
        <v>28</v>
      </c>
      <c r="M902" s="32">
        <v>23</v>
      </c>
      <c r="N902" s="32">
        <v>26</v>
      </c>
      <c r="O902" s="32">
        <v>21</v>
      </c>
      <c r="P902" s="32">
        <v>24</v>
      </c>
      <c r="Q902" s="32">
        <v>18</v>
      </c>
      <c r="R902" s="32">
        <v>23</v>
      </c>
      <c r="S902" s="32">
        <v>21</v>
      </c>
      <c r="T902" s="32">
        <v>28</v>
      </c>
      <c r="U902" s="32">
        <v>26</v>
      </c>
      <c r="V902" s="30">
        <v>0.89743589743589747</v>
      </c>
      <c r="W902" s="30">
        <v>0.82191780821917804</v>
      </c>
      <c r="X902" s="32">
        <v>13317.92</v>
      </c>
      <c r="Y902" s="32">
        <v>11326.12</v>
      </c>
      <c r="Z902" s="32">
        <v>24644.04</v>
      </c>
      <c r="AA902" s="3">
        <f t="shared" si="13"/>
        <v>23554.27</v>
      </c>
      <c r="AB902" s="3"/>
      <c r="AC902" s="3"/>
      <c r="AF902" s="3"/>
      <c r="AG902" s="3"/>
      <c r="AH902" s="3"/>
    </row>
    <row r="903" spans="1:34" x14ac:dyDescent="0.25">
      <c r="A903">
        <v>40580010</v>
      </c>
      <c r="B903">
        <v>4058</v>
      </c>
      <c r="C903">
        <v>7</v>
      </c>
      <c r="D903" t="s">
        <v>1041</v>
      </c>
      <c r="E903">
        <v>10</v>
      </c>
      <c r="F903" t="s">
        <v>1041</v>
      </c>
      <c r="G903" s="3">
        <v>0</v>
      </c>
      <c r="H903" s="32">
        <v>19</v>
      </c>
      <c r="I903" s="32">
        <v>13</v>
      </c>
      <c r="J903" s="32">
        <v>19</v>
      </c>
      <c r="K903" s="32">
        <v>15</v>
      </c>
      <c r="L903" s="32">
        <v>30</v>
      </c>
      <c r="M903" s="32">
        <v>21</v>
      </c>
      <c r="N903" s="32">
        <v>16</v>
      </c>
      <c r="O903" s="32">
        <v>12</v>
      </c>
      <c r="P903" s="32">
        <v>18</v>
      </c>
      <c r="Q903" s="32">
        <v>13</v>
      </c>
      <c r="R903" s="32">
        <v>20</v>
      </c>
      <c r="S903" s="32">
        <v>16</v>
      </c>
      <c r="T903" s="32">
        <v>31</v>
      </c>
      <c r="U903" s="32">
        <v>21</v>
      </c>
      <c r="V903" s="30">
        <v>0.72058823529411764</v>
      </c>
      <c r="W903" s="30">
        <v>0.7592592592592593</v>
      </c>
      <c r="X903" s="32">
        <v>11839.210000000001</v>
      </c>
      <c r="Y903" s="32">
        <v>8450.61</v>
      </c>
      <c r="Z903" s="32">
        <v>20289.82</v>
      </c>
      <c r="AA903" s="3">
        <f t="shared" si="13"/>
        <v>19392.599999999999</v>
      </c>
      <c r="AB903" s="3"/>
      <c r="AC903" s="3"/>
      <c r="AF903" s="3"/>
      <c r="AG903" s="3"/>
      <c r="AH903" s="3"/>
    </row>
    <row r="904" spans="1:34" x14ac:dyDescent="0.25">
      <c r="A904">
        <v>40590010</v>
      </c>
      <c r="B904">
        <v>4059</v>
      </c>
      <c r="C904" s="2">
        <v>7</v>
      </c>
      <c r="D904" s="2" t="s">
        <v>1270</v>
      </c>
      <c r="E904">
        <v>10</v>
      </c>
      <c r="F904" s="2" t="s">
        <v>1270</v>
      </c>
      <c r="G904" s="3">
        <v>1</v>
      </c>
      <c r="H904" s="32" t="s">
        <v>1328</v>
      </c>
      <c r="I904" s="32" t="s">
        <v>1328</v>
      </c>
      <c r="J904" s="32" t="s">
        <v>1328</v>
      </c>
      <c r="K904" s="32" t="s">
        <v>1328</v>
      </c>
      <c r="L904" s="32" t="s">
        <v>1328</v>
      </c>
      <c r="M904" s="32" t="s">
        <v>1328</v>
      </c>
      <c r="N904" s="32" t="s">
        <v>1328</v>
      </c>
      <c r="O904" s="32" t="s">
        <v>1328</v>
      </c>
      <c r="P904" s="32" t="s">
        <v>1328</v>
      </c>
      <c r="Q904" s="32" t="s">
        <v>1328</v>
      </c>
      <c r="R904" s="32" t="s">
        <v>1328</v>
      </c>
      <c r="S904" s="32" t="s">
        <v>1328</v>
      </c>
      <c r="T904" s="32">
        <v>17</v>
      </c>
      <c r="U904" s="32">
        <v>21</v>
      </c>
      <c r="V904" s="30" t="s">
        <v>1328</v>
      </c>
      <c r="W904" s="30" t="s">
        <v>1328</v>
      </c>
      <c r="X904" s="32" t="s">
        <v>1328</v>
      </c>
      <c r="Y904" s="32" t="s">
        <v>1328</v>
      </c>
      <c r="Z904" s="32">
        <v>15769.49</v>
      </c>
      <c r="AA904" s="3">
        <f t="shared" si="13"/>
        <v>15072.16</v>
      </c>
      <c r="AB904" s="3"/>
      <c r="AC904" s="3"/>
      <c r="AF904" s="3"/>
      <c r="AG904" s="3"/>
      <c r="AH904" s="3"/>
    </row>
    <row r="905" spans="1:34" x14ac:dyDescent="0.25">
      <c r="A905">
        <v>40640010</v>
      </c>
      <c r="B905">
        <v>4064</v>
      </c>
      <c r="C905" s="2">
        <v>7</v>
      </c>
      <c r="D905" s="2" t="s">
        <v>1271</v>
      </c>
      <c r="E905">
        <v>10</v>
      </c>
      <c r="F905" s="2" t="s">
        <v>1271</v>
      </c>
      <c r="G905" s="3">
        <v>1</v>
      </c>
      <c r="H905" s="32" t="s">
        <v>1328</v>
      </c>
      <c r="I905" s="32" t="s">
        <v>1328</v>
      </c>
      <c r="J905" s="32" t="s">
        <v>1328</v>
      </c>
      <c r="K905" s="32" t="s">
        <v>1328</v>
      </c>
      <c r="L905" s="32" t="s">
        <v>1328</v>
      </c>
      <c r="M905" s="32" t="s">
        <v>1328</v>
      </c>
      <c r="N905" s="32" t="s">
        <v>1328</v>
      </c>
      <c r="O905" s="32" t="s">
        <v>1328</v>
      </c>
      <c r="P905" s="32" t="s">
        <v>1328</v>
      </c>
      <c r="Q905" s="32" t="s">
        <v>1328</v>
      </c>
      <c r="R905" s="32" t="s">
        <v>1328</v>
      </c>
      <c r="S905" s="32" t="s">
        <v>1328</v>
      </c>
      <c r="T905" s="32">
        <v>5</v>
      </c>
      <c r="U905" s="32">
        <v>5</v>
      </c>
      <c r="V905" s="30" t="s">
        <v>1328</v>
      </c>
      <c r="W905" s="30" t="s">
        <v>1328</v>
      </c>
      <c r="X905" s="32" t="s">
        <v>1328</v>
      </c>
      <c r="Y905" s="32" t="s">
        <v>1328</v>
      </c>
      <c r="Z905" s="32">
        <v>3180</v>
      </c>
      <c r="AA905" s="3">
        <f t="shared" si="13"/>
        <v>3039.38</v>
      </c>
      <c r="AB905" s="3"/>
      <c r="AC905" s="3"/>
      <c r="AF905" s="3"/>
      <c r="AG905" s="3"/>
      <c r="AH905" s="3"/>
    </row>
    <row r="906" spans="1:34" x14ac:dyDescent="0.25">
      <c r="A906">
        <v>40670010</v>
      </c>
      <c r="B906">
        <v>4067</v>
      </c>
      <c r="C906" s="2">
        <v>7</v>
      </c>
      <c r="D906" s="2" t="s">
        <v>1042</v>
      </c>
      <c r="E906">
        <v>10</v>
      </c>
      <c r="F906" s="2" t="s">
        <v>1042</v>
      </c>
      <c r="G906" s="3">
        <v>0</v>
      </c>
      <c r="H906" s="32">
        <v>31</v>
      </c>
      <c r="I906" s="32">
        <v>4</v>
      </c>
      <c r="J906" s="32">
        <v>33</v>
      </c>
      <c r="K906" s="32">
        <v>11</v>
      </c>
      <c r="L906" s="32">
        <v>32</v>
      </c>
      <c r="M906" s="32">
        <v>16</v>
      </c>
      <c r="N906" s="32">
        <v>32</v>
      </c>
      <c r="O906" s="32">
        <v>27</v>
      </c>
      <c r="P906" s="32">
        <v>30</v>
      </c>
      <c r="Q906" s="32">
        <v>27</v>
      </c>
      <c r="R906" s="32">
        <v>28</v>
      </c>
      <c r="S906" s="32">
        <v>27</v>
      </c>
      <c r="T906" s="32">
        <v>35</v>
      </c>
      <c r="U906" s="32">
        <v>31</v>
      </c>
      <c r="V906" s="30">
        <v>0.32291666666666669</v>
      </c>
      <c r="W906" s="30">
        <v>0.9</v>
      </c>
      <c r="X906" s="32">
        <v>5990.25</v>
      </c>
      <c r="Y906" s="32">
        <v>14787</v>
      </c>
      <c r="Z906" s="32">
        <v>20777.25</v>
      </c>
      <c r="AA906" s="3">
        <f t="shared" si="13"/>
        <v>19858.48</v>
      </c>
      <c r="AB906" s="3"/>
      <c r="AC906" s="3"/>
      <c r="AF906" s="3"/>
      <c r="AG906" s="3"/>
      <c r="AH906" s="3"/>
    </row>
    <row r="907" spans="1:34" x14ac:dyDescent="0.25">
      <c r="A907">
        <v>40680010</v>
      </c>
      <c r="B907">
        <v>4068</v>
      </c>
      <c r="C907" s="2">
        <v>7</v>
      </c>
      <c r="D907" s="2" t="s">
        <v>1043</v>
      </c>
      <c r="E907">
        <v>10</v>
      </c>
      <c r="F907" s="2" t="s">
        <v>1043</v>
      </c>
      <c r="G907" s="3">
        <v>0</v>
      </c>
      <c r="H907" s="32">
        <v>62</v>
      </c>
      <c r="I907" s="32">
        <v>29</v>
      </c>
      <c r="J907" s="32">
        <v>42</v>
      </c>
      <c r="K907" s="32">
        <v>24</v>
      </c>
      <c r="L907" s="32">
        <v>42</v>
      </c>
      <c r="M907" s="32">
        <v>25</v>
      </c>
      <c r="N907" s="32">
        <v>51</v>
      </c>
      <c r="O907" s="32">
        <v>37</v>
      </c>
      <c r="P907" s="32">
        <v>39</v>
      </c>
      <c r="Q907" s="32">
        <v>31</v>
      </c>
      <c r="R907" s="32">
        <v>37</v>
      </c>
      <c r="S907" s="32">
        <v>21</v>
      </c>
      <c r="T907" s="32">
        <v>47</v>
      </c>
      <c r="U907" s="32">
        <v>45</v>
      </c>
      <c r="V907" s="30">
        <v>0.53424657534246578</v>
      </c>
      <c r="W907" s="30">
        <v>0.70078740157480313</v>
      </c>
      <c r="X907" s="32">
        <v>13308.05</v>
      </c>
      <c r="Y907" s="32">
        <v>16713.900000000001</v>
      </c>
      <c r="Z907" s="32">
        <v>30021.95</v>
      </c>
      <c r="AA907" s="3">
        <f t="shared" si="13"/>
        <v>28694.37</v>
      </c>
      <c r="AB907" s="3"/>
      <c r="AC907" s="3"/>
      <c r="AF907" s="3"/>
      <c r="AG907" s="3"/>
      <c r="AH907" s="3"/>
    </row>
    <row r="908" spans="1:34" x14ac:dyDescent="0.25">
      <c r="A908">
        <v>40700010</v>
      </c>
      <c r="B908">
        <v>4070</v>
      </c>
      <c r="C908" s="2">
        <v>7</v>
      </c>
      <c r="D908" s="2" t="s">
        <v>1044</v>
      </c>
      <c r="E908">
        <v>10</v>
      </c>
      <c r="F908" s="2" t="s">
        <v>1044</v>
      </c>
      <c r="G908" s="3">
        <v>0</v>
      </c>
      <c r="H908" s="32">
        <v>60</v>
      </c>
      <c r="I908" s="32">
        <v>20</v>
      </c>
      <c r="J908" s="32">
        <v>53</v>
      </c>
      <c r="K908" s="32">
        <v>16</v>
      </c>
      <c r="L908" s="32">
        <v>48</v>
      </c>
      <c r="M908" s="32">
        <v>23</v>
      </c>
      <c r="N908" s="32">
        <v>43</v>
      </c>
      <c r="O908" s="32">
        <v>34</v>
      </c>
      <c r="P908" s="32">
        <v>59</v>
      </c>
      <c r="Q908" s="32">
        <v>54</v>
      </c>
      <c r="R908" s="32">
        <v>48</v>
      </c>
      <c r="S908" s="32">
        <v>33</v>
      </c>
      <c r="T908" s="32">
        <v>44</v>
      </c>
      <c r="U908" s="32">
        <v>52</v>
      </c>
      <c r="V908" s="30">
        <v>0.36645962732919257</v>
      </c>
      <c r="W908" s="30">
        <v>0.80666666666666664</v>
      </c>
      <c r="X908" s="32">
        <v>8545.68</v>
      </c>
      <c r="Y908" s="32">
        <v>22231.559999999998</v>
      </c>
      <c r="Z908" s="32">
        <v>30777.239999999998</v>
      </c>
      <c r="AA908" s="3">
        <f t="shared" si="13"/>
        <v>29416.26</v>
      </c>
      <c r="AB908" s="3"/>
      <c r="AC908" s="3"/>
      <c r="AF908" s="3"/>
      <c r="AG908" s="3"/>
      <c r="AH908" s="3"/>
    </row>
    <row r="909" spans="1:34" x14ac:dyDescent="0.25">
      <c r="A909">
        <v>40730010</v>
      </c>
      <c r="B909">
        <v>4073</v>
      </c>
      <c r="C909">
        <v>7</v>
      </c>
      <c r="D909" t="s">
        <v>1045</v>
      </c>
      <c r="E909">
        <v>10</v>
      </c>
      <c r="F909" t="s">
        <v>1045</v>
      </c>
      <c r="G909" s="3">
        <v>0</v>
      </c>
      <c r="H909" s="32">
        <v>46</v>
      </c>
      <c r="I909" s="32">
        <v>20</v>
      </c>
      <c r="J909" s="32">
        <v>56</v>
      </c>
      <c r="K909" s="32">
        <v>32</v>
      </c>
      <c r="L909" s="32">
        <v>48</v>
      </c>
      <c r="M909" s="32">
        <v>27</v>
      </c>
      <c r="N909" s="32">
        <v>38</v>
      </c>
      <c r="O909" s="32">
        <v>24</v>
      </c>
      <c r="P909" s="32">
        <v>44</v>
      </c>
      <c r="Q909" s="32">
        <v>32</v>
      </c>
      <c r="R909" s="32">
        <v>51</v>
      </c>
      <c r="S909" s="32">
        <v>44</v>
      </c>
      <c r="T909" s="32">
        <v>46</v>
      </c>
      <c r="U909" s="32">
        <v>58</v>
      </c>
      <c r="V909" s="30">
        <v>0.52666666666666662</v>
      </c>
      <c r="W909" s="30">
        <v>0.75187969924812026</v>
      </c>
      <c r="X909" s="32">
        <v>12839.98</v>
      </c>
      <c r="Y909" s="32">
        <v>23113</v>
      </c>
      <c r="Z909" s="32">
        <v>35952.979999999996</v>
      </c>
      <c r="AA909" s="3">
        <f t="shared" si="13"/>
        <v>34363.129999999997</v>
      </c>
      <c r="AB909" s="3"/>
      <c r="AC909" s="3"/>
      <c r="AF909" s="3"/>
      <c r="AG909" s="3"/>
      <c r="AH909" s="3"/>
    </row>
    <row r="910" spans="1:34" x14ac:dyDescent="0.25">
      <c r="A910">
        <v>40770010</v>
      </c>
      <c r="B910">
        <v>4077</v>
      </c>
      <c r="C910" s="2">
        <v>7</v>
      </c>
      <c r="D910" s="2" t="s">
        <v>1046</v>
      </c>
      <c r="E910">
        <v>10</v>
      </c>
      <c r="F910" s="2" t="s">
        <v>1046</v>
      </c>
      <c r="G910" s="3">
        <v>0</v>
      </c>
      <c r="H910" s="32">
        <v>109</v>
      </c>
      <c r="I910" s="32">
        <v>55</v>
      </c>
      <c r="J910" s="32">
        <v>110</v>
      </c>
      <c r="K910" s="32">
        <v>67</v>
      </c>
      <c r="L910" s="32">
        <v>115</v>
      </c>
      <c r="M910" s="32">
        <v>83</v>
      </c>
      <c r="N910" s="32">
        <v>85</v>
      </c>
      <c r="O910" s="32">
        <v>76</v>
      </c>
      <c r="P910" s="32">
        <v>95</v>
      </c>
      <c r="Q910" s="32">
        <v>82</v>
      </c>
      <c r="R910" s="32">
        <v>94</v>
      </c>
      <c r="S910" s="32">
        <v>77</v>
      </c>
      <c r="T910" s="32">
        <v>121</v>
      </c>
      <c r="U910" s="32">
        <v>108</v>
      </c>
      <c r="V910" s="30">
        <v>0.61377245508982037</v>
      </c>
      <c r="W910" s="30">
        <v>0.85766423357664234</v>
      </c>
      <c r="X910" s="32">
        <v>39361.300000000003</v>
      </c>
      <c r="Y910" s="32">
        <v>49092.480000000003</v>
      </c>
      <c r="Z910" s="32">
        <v>88453.78</v>
      </c>
      <c r="AA910" s="3">
        <f t="shared" si="13"/>
        <v>84542.33</v>
      </c>
      <c r="AB910" s="3"/>
      <c r="AC910" s="3"/>
      <c r="AF910" s="3"/>
      <c r="AG910" s="3"/>
      <c r="AH910" s="3"/>
    </row>
    <row r="911" spans="1:34" x14ac:dyDescent="0.25">
      <c r="A911">
        <v>40790010</v>
      </c>
      <c r="B911">
        <v>4079</v>
      </c>
      <c r="C911">
        <v>7</v>
      </c>
      <c r="D911" t="s">
        <v>1047</v>
      </c>
      <c r="E911">
        <v>10</v>
      </c>
      <c r="F911" t="s">
        <v>1047</v>
      </c>
      <c r="G911" s="3">
        <v>1</v>
      </c>
      <c r="H911" s="32" t="s">
        <v>1328</v>
      </c>
      <c r="I911" s="32" t="s">
        <v>1328</v>
      </c>
      <c r="J911" s="32" t="s">
        <v>1328</v>
      </c>
      <c r="K911" s="32" t="s">
        <v>1328</v>
      </c>
      <c r="L911" s="32" t="s">
        <v>1328</v>
      </c>
      <c r="M911" s="32" t="s">
        <v>1328</v>
      </c>
      <c r="N911" s="32" t="s">
        <v>1328</v>
      </c>
      <c r="O911" s="32" t="s">
        <v>1328</v>
      </c>
      <c r="P911" s="32" t="s">
        <v>1328</v>
      </c>
      <c r="Q911" s="32" t="s">
        <v>1328</v>
      </c>
      <c r="R911" s="32" t="s">
        <v>1328</v>
      </c>
      <c r="S911" s="32" t="s">
        <v>1328</v>
      </c>
      <c r="T911" s="32">
        <v>14</v>
      </c>
      <c r="U911" s="32">
        <v>11</v>
      </c>
      <c r="V911" s="30" t="s">
        <v>1328</v>
      </c>
      <c r="W911" s="30" t="s">
        <v>1328</v>
      </c>
      <c r="X911" s="32" t="s">
        <v>1328</v>
      </c>
      <c r="Y911" s="32" t="s">
        <v>1328</v>
      </c>
      <c r="Z911" s="32">
        <v>8776.7099999999991</v>
      </c>
      <c r="AA911" s="3">
        <f t="shared" ref="AA911:AA973" si="14">ROUND(Z911*AA$10,2)</f>
        <v>8388.6</v>
      </c>
      <c r="AB911" s="3"/>
      <c r="AC911" s="3"/>
      <c r="AF911" s="3"/>
      <c r="AG911" s="3"/>
      <c r="AH911" s="3"/>
    </row>
    <row r="912" spans="1:34" x14ac:dyDescent="0.25">
      <c r="A912">
        <v>40830010</v>
      </c>
      <c r="B912">
        <v>4083</v>
      </c>
      <c r="C912" s="2">
        <v>7</v>
      </c>
      <c r="D912" s="2" t="s">
        <v>1048</v>
      </c>
      <c r="E912">
        <v>10</v>
      </c>
      <c r="F912" s="2" t="s">
        <v>1048</v>
      </c>
      <c r="G912" s="3">
        <v>0</v>
      </c>
      <c r="H912" s="32">
        <v>12</v>
      </c>
      <c r="I912" s="32">
        <v>11</v>
      </c>
      <c r="J912" s="32">
        <v>14</v>
      </c>
      <c r="K912" s="32">
        <v>10</v>
      </c>
      <c r="L912" s="32">
        <v>14</v>
      </c>
      <c r="M912" s="32">
        <v>10</v>
      </c>
      <c r="N912" s="32">
        <v>15</v>
      </c>
      <c r="O912" s="32">
        <v>11</v>
      </c>
      <c r="P912" s="32">
        <v>10</v>
      </c>
      <c r="Q912" s="32">
        <v>8</v>
      </c>
      <c r="R912" s="32">
        <v>13</v>
      </c>
      <c r="S912" s="32">
        <v>9</v>
      </c>
      <c r="T912" s="32">
        <v>14</v>
      </c>
      <c r="U912" s="32">
        <v>14</v>
      </c>
      <c r="V912" s="30">
        <v>0.77500000000000002</v>
      </c>
      <c r="W912" s="30">
        <v>0.73684210526315785</v>
      </c>
      <c r="X912" s="32">
        <v>5750.5</v>
      </c>
      <c r="Y912" s="32">
        <v>5467.42</v>
      </c>
      <c r="Z912" s="32">
        <v>11217.92</v>
      </c>
      <c r="AA912" s="3">
        <f t="shared" si="14"/>
        <v>10721.86</v>
      </c>
      <c r="AB912" s="3"/>
      <c r="AC912" s="3"/>
      <c r="AF912" s="3"/>
      <c r="AG912" s="3"/>
      <c r="AH912" s="3"/>
    </row>
    <row r="913" spans="1:34" x14ac:dyDescent="0.25">
      <c r="A913">
        <v>40840010</v>
      </c>
      <c r="B913">
        <v>4084</v>
      </c>
      <c r="C913" s="2">
        <v>7</v>
      </c>
      <c r="D913" s="2" t="s">
        <v>1049</v>
      </c>
      <c r="E913">
        <v>10</v>
      </c>
      <c r="F913" s="2" t="s">
        <v>1049</v>
      </c>
      <c r="G913" s="3">
        <v>0</v>
      </c>
      <c r="H913" s="32">
        <v>42</v>
      </c>
      <c r="I913" s="32">
        <v>34</v>
      </c>
      <c r="J913" s="32">
        <v>50</v>
      </c>
      <c r="K913" s="32">
        <v>43</v>
      </c>
      <c r="L913" s="32">
        <v>43</v>
      </c>
      <c r="M913" s="32">
        <v>33</v>
      </c>
      <c r="N913" s="32">
        <v>47</v>
      </c>
      <c r="O913" s="32">
        <v>34</v>
      </c>
      <c r="P913" s="32">
        <v>41</v>
      </c>
      <c r="Q913" s="32">
        <v>32</v>
      </c>
      <c r="R913" s="32">
        <v>48</v>
      </c>
      <c r="S913" s="32">
        <v>35</v>
      </c>
      <c r="T913" s="32">
        <v>41</v>
      </c>
      <c r="U913" s="32">
        <v>51</v>
      </c>
      <c r="V913" s="30">
        <v>0.81481481481481477</v>
      </c>
      <c r="W913" s="30">
        <v>0.74264705882352944</v>
      </c>
      <c r="X913" s="32">
        <v>17705.850000000002</v>
      </c>
      <c r="Y913" s="32">
        <v>20073.600000000002</v>
      </c>
      <c r="Z913" s="32">
        <v>37779.450000000004</v>
      </c>
      <c r="AA913" s="3">
        <f t="shared" si="14"/>
        <v>36108.83</v>
      </c>
      <c r="AB913" s="3"/>
      <c r="AC913" s="3"/>
      <c r="AF913" s="3"/>
      <c r="AG913" s="3"/>
      <c r="AH913" s="3"/>
    </row>
    <row r="914" spans="1:34" x14ac:dyDescent="0.25">
      <c r="A914">
        <v>40860010</v>
      </c>
      <c r="B914">
        <v>4086</v>
      </c>
      <c r="C914" s="2">
        <v>7</v>
      </c>
      <c r="D914" s="2" t="s">
        <v>1050</v>
      </c>
      <c r="E914">
        <v>10</v>
      </c>
      <c r="F914" s="2" t="s">
        <v>1050</v>
      </c>
      <c r="G914" s="3">
        <v>0</v>
      </c>
      <c r="H914" s="32">
        <v>36</v>
      </c>
      <c r="I914" s="32">
        <v>17</v>
      </c>
      <c r="J914" s="32">
        <v>34</v>
      </c>
      <c r="K914" s="32">
        <v>5</v>
      </c>
      <c r="L914" s="32">
        <v>21</v>
      </c>
      <c r="M914" s="32">
        <v>7</v>
      </c>
      <c r="N914" s="32">
        <v>34</v>
      </c>
      <c r="O914" s="32">
        <v>17</v>
      </c>
      <c r="P914" s="32">
        <v>26</v>
      </c>
      <c r="Q914" s="32">
        <v>22</v>
      </c>
      <c r="R914" s="32">
        <v>18</v>
      </c>
      <c r="S914" s="32">
        <v>10</v>
      </c>
      <c r="T914" s="32">
        <v>23</v>
      </c>
      <c r="U914" s="32">
        <v>25</v>
      </c>
      <c r="V914" s="30">
        <v>0.31868131868131866</v>
      </c>
      <c r="W914" s="30">
        <v>0.62820512820512819</v>
      </c>
      <c r="X914" s="32">
        <v>3884.7000000000003</v>
      </c>
      <c r="Y914" s="32">
        <v>8323.75</v>
      </c>
      <c r="Z914" s="32">
        <v>12208.45</v>
      </c>
      <c r="AA914" s="3">
        <f t="shared" si="14"/>
        <v>11668.59</v>
      </c>
      <c r="AB914" s="3"/>
      <c r="AC914" s="3"/>
      <c r="AF914" s="3"/>
      <c r="AG914" s="3"/>
      <c r="AH914" s="3"/>
    </row>
    <row r="915" spans="1:34" x14ac:dyDescent="0.25">
      <c r="A915">
        <v>40880010</v>
      </c>
      <c r="B915">
        <v>4088</v>
      </c>
      <c r="C915" s="2">
        <v>7</v>
      </c>
      <c r="D915" s="2" t="s">
        <v>1051</v>
      </c>
      <c r="E915">
        <v>10</v>
      </c>
      <c r="F915" s="2" t="s">
        <v>1051</v>
      </c>
      <c r="G915" s="3">
        <v>0</v>
      </c>
      <c r="H915" s="32">
        <v>33</v>
      </c>
      <c r="I915" s="32">
        <v>2</v>
      </c>
      <c r="J915" s="32">
        <v>31</v>
      </c>
      <c r="K915" s="32">
        <v>9</v>
      </c>
      <c r="L915" s="32">
        <v>32</v>
      </c>
      <c r="M915" s="32">
        <v>13</v>
      </c>
      <c r="N915" s="32">
        <v>29</v>
      </c>
      <c r="O915" s="32">
        <v>21</v>
      </c>
      <c r="P915" s="32">
        <v>32</v>
      </c>
      <c r="Q915" s="32">
        <v>22</v>
      </c>
      <c r="R915" s="32">
        <v>31</v>
      </c>
      <c r="S915" s="32">
        <v>19</v>
      </c>
      <c r="T915" s="32">
        <v>41</v>
      </c>
      <c r="U915" s="32">
        <v>42</v>
      </c>
      <c r="V915" s="30">
        <v>0.25</v>
      </c>
      <c r="W915" s="30">
        <v>0.67391304347826086</v>
      </c>
      <c r="X915" s="32">
        <v>5432.5</v>
      </c>
      <c r="Y915" s="32">
        <v>15001.140000000001</v>
      </c>
      <c r="Z915" s="32">
        <v>20433.64</v>
      </c>
      <c r="AA915" s="3">
        <f t="shared" si="14"/>
        <v>19530.060000000001</v>
      </c>
      <c r="AB915" s="3"/>
      <c r="AC915" s="3"/>
      <c r="AF915" s="3"/>
      <c r="AG915" s="3"/>
      <c r="AH915" s="3"/>
    </row>
    <row r="916" spans="1:34" x14ac:dyDescent="0.25">
      <c r="A916">
        <v>40890010</v>
      </c>
      <c r="B916">
        <v>4089</v>
      </c>
      <c r="C916">
        <v>7</v>
      </c>
      <c r="D916" t="s">
        <v>1272</v>
      </c>
      <c r="E916">
        <v>10</v>
      </c>
      <c r="F916" t="s">
        <v>1272</v>
      </c>
      <c r="G916" s="3">
        <v>1</v>
      </c>
      <c r="H916" s="32" t="s">
        <v>1328</v>
      </c>
      <c r="I916" s="32" t="s">
        <v>1328</v>
      </c>
      <c r="J916" s="32" t="s">
        <v>1328</v>
      </c>
      <c r="K916" s="32" t="s">
        <v>1328</v>
      </c>
      <c r="L916" s="32" t="s">
        <v>1328</v>
      </c>
      <c r="M916" s="32" t="s">
        <v>1328</v>
      </c>
      <c r="N916" s="32" t="s">
        <v>1328</v>
      </c>
      <c r="O916" s="32" t="s">
        <v>1328</v>
      </c>
      <c r="P916" s="32" t="s">
        <v>1328</v>
      </c>
      <c r="Q916" s="32" t="s">
        <v>1328</v>
      </c>
      <c r="R916" s="32" t="s">
        <v>1328</v>
      </c>
      <c r="S916" s="32" t="s">
        <v>1328</v>
      </c>
      <c r="T916" s="32">
        <v>13</v>
      </c>
      <c r="U916" s="32">
        <v>12</v>
      </c>
      <c r="V916" s="30" t="s">
        <v>1328</v>
      </c>
      <c r="W916" s="30" t="s">
        <v>1328</v>
      </c>
      <c r="X916" s="32" t="s">
        <v>1328</v>
      </c>
      <c r="Y916" s="32" t="s">
        <v>1328</v>
      </c>
      <c r="Z916" s="32">
        <v>10337.529999999999</v>
      </c>
      <c r="AA916" s="3">
        <f t="shared" si="14"/>
        <v>9880.4</v>
      </c>
      <c r="AB916" s="3"/>
      <c r="AC916" s="3"/>
      <c r="AF916" s="3"/>
      <c r="AG916" s="3"/>
      <c r="AH916" s="3"/>
    </row>
    <row r="917" spans="1:34" x14ac:dyDescent="0.25">
      <c r="A917">
        <v>40900010</v>
      </c>
      <c r="B917">
        <v>4090</v>
      </c>
      <c r="C917" s="2">
        <v>7</v>
      </c>
      <c r="D917" s="2" t="s">
        <v>1052</v>
      </c>
      <c r="E917">
        <v>10</v>
      </c>
      <c r="F917" s="2" t="s">
        <v>1052</v>
      </c>
      <c r="G917" s="3">
        <v>0</v>
      </c>
      <c r="H917" s="32">
        <v>30</v>
      </c>
      <c r="I917" s="32">
        <v>25</v>
      </c>
      <c r="J917" s="32">
        <v>31</v>
      </c>
      <c r="K917" s="32">
        <v>27</v>
      </c>
      <c r="L917" s="32">
        <v>29</v>
      </c>
      <c r="M917" s="32">
        <v>22</v>
      </c>
      <c r="N917" s="32">
        <v>30</v>
      </c>
      <c r="O917" s="32">
        <v>22</v>
      </c>
      <c r="P917" s="32">
        <v>30</v>
      </c>
      <c r="Q917" s="32">
        <v>27</v>
      </c>
      <c r="R917" s="32">
        <v>31</v>
      </c>
      <c r="S917" s="32">
        <v>21</v>
      </c>
      <c r="T917" s="32">
        <v>29</v>
      </c>
      <c r="U917" s="32">
        <v>31</v>
      </c>
      <c r="V917" s="30">
        <v>0.82222222222222219</v>
      </c>
      <c r="W917" s="30">
        <v>0.76923076923076927</v>
      </c>
      <c r="X917" s="32">
        <v>12637.619999999999</v>
      </c>
      <c r="Y917" s="32">
        <v>12638.39</v>
      </c>
      <c r="Z917" s="32">
        <v>25276.01</v>
      </c>
      <c r="AA917" s="3">
        <f t="shared" si="14"/>
        <v>24158.3</v>
      </c>
      <c r="AB917" s="3"/>
      <c r="AC917" s="3"/>
      <c r="AF917" s="3"/>
      <c r="AG917" s="3"/>
      <c r="AH917" s="3"/>
    </row>
    <row r="918" spans="1:34" x14ac:dyDescent="0.25">
      <c r="A918">
        <v>40970010</v>
      </c>
      <c r="B918">
        <v>4097</v>
      </c>
      <c r="C918">
        <v>7</v>
      </c>
      <c r="D918" t="s">
        <v>1053</v>
      </c>
      <c r="E918">
        <v>10</v>
      </c>
      <c r="F918" t="s">
        <v>1053</v>
      </c>
      <c r="G918" s="3">
        <v>0</v>
      </c>
      <c r="H918" s="32">
        <v>46</v>
      </c>
      <c r="I918" s="32">
        <v>9</v>
      </c>
      <c r="J918" s="32">
        <v>45</v>
      </c>
      <c r="K918" s="32">
        <v>19</v>
      </c>
      <c r="L918" s="32">
        <v>42</v>
      </c>
      <c r="M918" s="32">
        <v>23</v>
      </c>
      <c r="N918" s="32">
        <v>39</v>
      </c>
      <c r="O918" s="32">
        <v>22</v>
      </c>
      <c r="P918" s="32">
        <v>46</v>
      </c>
      <c r="Q918" s="32">
        <v>42</v>
      </c>
      <c r="R918" s="32">
        <v>36</v>
      </c>
      <c r="S918" s="32">
        <v>27</v>
      </c>
      <c r="T918" s="32">
        <v>41</v>
      </c>
      <c r="U918" s="32">
        <v>39</v>
      </c>
      <c r="V918" s="30">
        <v>0.38345864661654133</v>
      </c>
      <c r="W918" s="30">
        <v>0.75206611570247939</v>
      </c>
      <c r="X918" s="32">
        <v>8332.43</v>
      </c>
      <c r="Y918" s="32">
        <v>15545.400000000001</v>
      </c>
      <c r="Z918" s="32">
        <v>23877.83</v>
      </c>
      <c r="AA918" s="3">
        <f t="shared" si="14"/>
        <v>22821.95</v>
      </c>
      <c r="AB918" s="3"/>
      <c r="AC918" s="3"/>
      <c r="AF918" s="3"/>
      <c r="AG918" s="3"/>
      <c r="AH918" s="3"/>
    </row>
    <row r="919" spans="1:34" x14ac:dyDescent="0.25">
      <c r="A919">
        <v>40980010</v>
      </c>
      <c r="B919">
        <v>4098</v>
      </c>
      <c r="C919" s="2">
        <v>7</v>
      </c>
      <c r="D919" s="2" t="s">
        <v>1054</v>
      </c>
      <c r="E919">
        <v>10</v>
      </c>
      <c r="F919" s="2" t="s">
        <v>1054</v>
      </c>
      <c r="G919" s="3">
        <v>0</v>
      </c>
      <c r="H919" s="32">
        <v>78</v>
      </c>
      <c r="I919" s="32">
        <v>67</v>
      </c>
      <c r="J919" s="32">
        <v>77</v>
      </c>
      <c r="K919" s="32">
        <v>72</v>
      </c>
      <c r="L919" s="32">
        <v>78</v>
      </c>
      <c r="M919" s="32">
        <v>71</v>
      </c>
      <c r="N919" s="32">
        <v>48</v>
      </c>
      <c r="O919" s="32">
        <v>35</v>
      </c>
      <c r="P919" s="32">
        <v>74</v>
      </c>
      <c r="Q919" s="32">
        <v>59</v>
      </c>
      <c r="R919" s="32">
        <v>69</v>
      </c>
      <c r="S919" s="32">
        <v>58</v>
      </c>
      <c r="T919" s="32">
        <v>78</v>
      </c>
      <c r="U919" s="32">
        <v>76</v>
      </c>
      <c r="V919" s="30">
        <v>0.90128755364806867</v>
      </c>
      <c r="W919" s="30">
        <v>0.79581151832460728</v>
      </c>
      <c r="X919" s="32">
        <v>37259.040000000001</v>
      </c>
      <c r="Y919" s="32">
        <v>32055.279999999999</v>
      </c>
      <c r="Z919" s="32">
        <v>69314.320000000007</v>
      </c>
      <c r="AA919" s="3">
        <f t="shared" si="14"/>
        <v>66249.22</v>
      </c>
      <c r="AB919" s="3"/>
      <c r="AC919" s="3"/>
      <c r="AF919" s="3"/>
      <c r="AG919" s="3"/>
      <c r="AH919" s="3"/>
    </row>
    <row r="920" spans="1:34" x14ac:dyDescent="0.25">
      <c r="A920">
        <v>40990010</v>
      </c>
      <c r="B920">
        <v>4099</v>
      </c>
      <c r="C920" s="2">
        <v>7</v>
      </c>
      <c r="D920" s="2" t="s">
        <v>1055</v>
      </c>
      <c r="E920">
        <v>10</v>
      </c>
      <c r="F920" s="2" t="s">
        <v>1055</v>
      </c>
      <c r="G920" s="3">
        <v>0</v>
      </c>
      <c r="H920" s="32">
        <v>47</v>
      </c>
      <c r="I920" s="32">
        <v>27</v>
      </c>
      <c r="J920" s="32">
        <v>44</v>
      </c>
      <c r="K920" s="32">
        <v>34</v>
      </c>
      <c r="L920" s="32">
        <v>0</v>
      </c>
      <c r="M920" s="32">
        <v>0</v>
      </c>
      <c r="N920" s="32">
        <v>46</v>
      </c>
      <c r="O920" s="32">
        <v>36</v>
      </c>
      <c r="P920" s="32">
        <v>37</v>
      </c>
      <c r="Q920" s="32">
        <v>35</v>
      </c>
      <c r="R920" s="32">
        <v>0</v>
      </c>
      <c r="S920" s="32">
        <v>0</v>
      </c>
      <c r="T920" s="32">
        <v>0</v>
      </c>
      <c r="U920" s="32">
        <v>0</v>
      </c>
      <c r="V920" s="30">
        <v>0.67032967032967028</v>
      </c>
      <c r="W920" s="30">
        <v>0.85542168674698793</v>
      </c>
      <c r="X920" s="32">
        <v>0</v>
      </c>
      <c r="Y920" s="32">
        <v>0</v>
      </c>
      <c r="Z920" s="32">
        <v>0</v>
      </c>
      <c r="AA920" s="3">
        <f t="shared" si="14"/>
        <v>0</v>
      </c>
      <c r="AB920" s="3"/>
      <c r="AC920" s="3"/>
      <c r="AF920" s="3"/>
      <c r="AG920" s="3"/>
      <c r="AH920" s="3"/>
    </row>
    <row r="921" spans="1:34" x14ac:dyDescent="0.25">
      <c r="A921">
        <v>40990020</v>
      </c>
      <c r="B921">
        <v>4099</v>
      </c>
      <c r="C921" s="2">
        <v>7</v>
      </c>
      <c r="D921" s="2" t="s">
        <v>1055</v>
      </c>
      <c r="E921">
        <v>20</v>
      </c>
      <c r="F921" s="2" t="s">
        <v>1056</v>
      </c>
      <c r="G921" s="3">
        <v>0</v>
      </c>
      <c r="H921" s="32">
        <v>19</v>
      </c>
      <c r="I921" s="32">
        <v>16</v>
      </c>
      <c r="J921" s="32">
        <v>25</v>
      </c>
      <c r="K921" s="32">
        <v>24</v>
      </c>
      <c r="L921" s="32">
        <v>0</v>
      </c>
      <c r="M921" s="32">
        <v>0</v>
      </c>
      <c r="N921" s="32">
        <v>21</v>
      </c>
      <c r="O921" s="32">
        <v>19</v>
      </c>
      <c r="P921" s="32">
        <v>17</v>
      </c>
      <c r="Q921" s="32">
        <v>17</v>
      </c>
      <c r="R921" s="32">
        <v>0</v>
      </c>
      <c r="S921" s="32">
        <v>0</v>
      </c>
      <c r="T921" s="32">
        <v>0</v>
      </c>
      <c r="U921" s="32">
        <v>0</v>
      </c>
      <c r="V921" s="30">
        <v>0.90909090909090906</v>
      </c>
      <c r="W921" s="30">
        <v>0.94736842105263153</v>
      </c>
      <c r="X921" s="32">
        <v>0</v>
      </c>
      <c r="Y921" s="32">
        <v>0</v>
      </c>
      <c r="Z921" s="32">
        <v>0</v>
      </c>
      <c r="AA921" s="3">
        <f t="shared" si="14"/>
        <v>0</v>
      </c>
      <c r="AB921" s="3"/>
      <c r="AC921" s="3"/>
      <c r="AF921" s="3"/>
      <c r="AG921" s="3"/>
      <c r="AH921" s="3"/>
    </row>
    <row r="922" spans="1:34" x14ac:dyDescent="0.25">
      <c r="A922">
        <v>41000010</v>
      </c>
      <c r="B922">
        <v>4100</v>
      </c>
      <c r="C922" s="2">
        <v>7</v>
      </c>
      <c r="D922" s="2" t="s">
        <v>1273</v>
      </c>
      <c r="E922">
        <v>10</v>
      </c>
      <c r="F922" s="2" t="s">
        <v>1273</v>
      </c>
      <c r="G922" s="3">
        <v>1</v>
      </c>
      <c r="H922" s="32" t="s">
        <v>1328</v>
      </c>
      <c r="I922" s="32" t="s">
        <v>1328</v>
      </c>
      <c r="J922" s="32" t="s">
        <v>1328</v>
      </c>
      <c r="K922" s="32" t="s">
        <v>1328</v>
      </c>
      <c r="L922" s="32" t="s">
        <v>1328</v>
      </c>
      <c r="M922" s="32" t="s">
        <v>1328</v>
      </c>
      <c r="N922" s="32" t="s">
        <v>1328</v>
      </c>
      <c r="O922" s="32" t="s">
        <v>1328</v>
      </c>
      <c r="P922" s="32" t="s">
        <v>1328</v>
      </c>
      <c r="Q922" s="32" t="s">
        <v>1328</v>
      </c>
      <c r="R922" s="32" t="s">
        <v>1328</v>
      </c>
      <c r="S922" s="32" t="s">
        <v>1328</v>
      </c>
      <c r="T922" s="32">
        <v>10</v>
      </c>
      <c r="U922" s="32">
        <v>11</v>
      </c>
      <c r="V922" s="30" t="s">
        <v>1328</v>
      </c>
      <c r="W922" s="30" t="s">
        <v>1328</v>
      </c>
      <c r="X922" s="32" t="s">
        <v>1328</v>
      </c>
      <c r="Y922" s="32" t="s">
        <v>1328</v>
      </c>
      <c r="Z922" s="32">
        <v>9732.0400000000009</v>
      </c>
      <c r="AA922" s="3">
        <f t="shared" si="14"/>
        <v>9301.69</v>
      </c>
      <c r="AB922" s="3"/>
      <c r="AC922" s="3"/>
      <c r="AF922" s="3"/>
      <c r="AG922" s="3"/>
      <c r="AH922" s="3"/>
    </row>
    <row r="923" spans="1:34" x14ac:dyDescent="0.25">
      <c r="A923">
        <v>41030020</v>
      </c>
      <c r="B923">
        <v>4103</v>
      </c>
      <c r="C923">
        <v>7</v>
      </c>
      <c r="D923" t="s">
        <v>1057</v>
      </c>
      <c r="E923">
        <v>20</v>
      </c>
      <c r="F923" t="s">
        <v>1058</v>
      </c>
      <c r="G923" s="3">
        <v>0</v>
      </c>
      <c r="H923" s="32">
        <v>0</v>
      </c>
      <c r="I923" s="32">
        <v>0</v>
      </c>
      <c r="J923" s="32">
        <v>28</v>
      </c>
      <c r="K923" s="32">
        <v>7</v>
      </c>
      <c r="L923" s="32">
        <v>23</v>
      </c>
      <c r="M923" s="32">
        <v>5</v>
      </c>
      <c r="N923" s="32">
        <v>11</v>
      </c>
      <c r="O923" s="32">
        <v>7</v>
      </c>
      <c r="P923" s="32">
        <v>14</v>
      </c>
      <c r="Q923" s="32">
        <v>8</v>
      </c>
      <c r="R923" s="32">
        <v>29</v>
      </c>
      <c r="S923" s="32">
        <v>22</v>
      </c>
      <c r="T923" s="32">
        <v>20</v>
      </c>
      <c r="U923" s="32">
        <v>35</v>
      </c>
      <c r="V923" s="30">
        <v>0.23529411764705882</v>
      </c>
      <c r="W923" s="30">
        <v>0.68518518518518523</v>
      </c>
      <c r="X923" s="32">
        <v>2494.1999999999998</v>
      </c>
      <c r="Y923" s="32">
        <v>12710.25</v>
      </c>
      <c r="Z923" s="32">
        <v>15204.45</v>
      </c>
      <c r="AA923" s="3">
        <f t="shared" si="14"/>
        <v>14532.11</v>
      </c>
      <c r="AB923" s="3"/>
      <c r="AC923" s="3"/>
      <c r="AF923" s="3"/>
      <c r="AG923" s="3"/>
      <c r="AH923" s="3"/>
    </row>
    <row r="924" spans="1:34" x14ac:dyDescent="0.25">
      <c r="A924">
        <v>41130010</v>
      </c>
      <c r="B924">
        <v>4113</v>
      </c>
      <c r="C924" s="2">
        <v>7</v>
      </c>
      <c r="D924" s="2" t="s">
        <v>1274</v>
      </c>
      <c r="E924">
        <v>10</v>
      </c>
      <c r="F924" s="2" t="s">
        <v>1274</v>
      </c>
      <c r="G924" s="3">
        <v>1</v>
      </c>
      <c r="H924" s="32" t="s">
        <v>1328</v>
      </c>
      <c r="I924" s="32" t="s">
        <v>1328</v>
      </c>
      <c r="J924" s="32" t="s">
        <v>1328</v>
      </c>
      <c r="K924" s="32" t="s">
        <v>1328</v>
      </c>
      <c r="L924" s="32" t="s">
        <v>1328</v>
      </c>
      <c r="M924" s="32" t="s">
        <v>1328</v>
      </c>
      <c r="N924" s="32" t="s">
        <v>1328</v>
      </c>
      <c r="O924" s="32" t="s">
        <v>1328</v>
      </c>
      <c r="P924" s="32" t="s">
        <v>1328</v>
      </c>
      <c r="Q924" s="32" t="s">
        <v>1328</v>
      </c>
      <c r="R924" s="32" t="s">
        <v>1328</v>
      </c>
      <c r="S924" s="32" t="s">
        <v>1328</v>
      </c>
      <c r="T924" s="32">
        <v>11</v>
      </c>
      <c r="U924" s="32">
        <v>13</v>
      </c>
      <c r="V924" s="30" t="s">
        <v>1328</v>
      </c>
      <c r="W924" s="30" t="s">
        <v>1328</v>
      </c>
      <c r="X924" s="32" t="s">
        <v>1328</v>
      </c>
      <c r="Y924" s="32" t="s">
        <v>1328</v>
      </c>
      <c r="Z924" s="32">
        <v>7700.3899999999994</v>
      </c>
      <c r="AA924" s="3">
        <f t="shared" si="14"/>
        <v>7359.88</v>
      </c>
      <c r="AB924" s="3"/>
      <c r="AC924" s="3"/>
      <c r="AF924" s="3"/>
      <c r="AG924" s="3"/>
      <c r="AH924" s="3"/>
    </row>
    <row r="925" spans="1:34" x14ac:dyDescent="0.25">
      <c r="A925">
        <v>41160010</v>
      </c>
      <c r="B925">
        <v>4116</v>
      </c>
      <c r="C925" s="2">
        <v>7</v>
      </c>
      <c r="D925" s="2" t="s">
        <v>1059</v>
      </c>
      <c r="E925">
        <v>10</v>
      </c>
      <c r="F925" s="2" t="s">
        <v>1059</v>
      </c>
      <c r="G925" s="3">
        <v>0</v>
      </c>
      <c r="H925" s="32">
        <v>79</v>
      </c>
      <c r="I925" s="32">
        <v>67</v>
      </c>
      <c r="J925" s="32">
        <v>100</v>
      </c>
      <c r="K925" s="32">
        <v>67</v>
      </c>
      <c r="L925" s="32">
        <v>94</v>
      </c>
      <c r="M925" s="32">
        <v>74</v>
      </c>
      <c r="N925" s="32">
        <v>74</v>
      </c>
      <c r="O925" s="32">
        <v>64</v>
      </c>
      <c r="P925" s="32">
        <v>77</v>
      </c>
      <c r="Q925" s="32">
        <v>62</v>
      </c>
      <c r="R925" s="32">
        <v>98</v>
      </c>
      <c r="S925" s="32">
        <v>87</v>
      </c>
      <c r="T925" s="32">
        <v>95</v>
      </c>
      <c r="U925" s="32">
        <v>98</v>
      </c>
      <c r="V925" s="30">
        <v>0.76190476190476186</v>
      </c>
      <c r="W925" s="30">
        <v>0.85542168674698793</v>
      </c>
      <c r="X925" s="32">
        <v>38361.949999999997</v>
      </c>
      <c r="Y925" s="32">
        <v>44430.26</v>
      </c>
      <c r="Z925" s="32">
        <v>82792.209999999992</v>
      </c>
      <c r="AA925" s="3">
        <f t="shared" si="14"/>
        <v>79131.12</v>
      </c>
      <c r="AB925" s="3"/>
      <c r="AC925" s="3"/>
      <c r="AF925" s="3"/>
      <c r="AG925" s="3"/>
      <c r="AH925" s="3"/>
    </row>
    <row r="926" spans="1:34" x14ac:dyDescent="0.25">
      <c r="A926">
        <v>41180010</v>
      </c>
      <c r="B926">
        <v>4118</v>
      </c>
      <c r="C926" s="2">
        <v>7</v>
      </c>
      <c r="D926" s="2" t="s">
        <v>1060</v>
      </c>
      <c r="E926">
        <v>10</v>
      </c>
      <c r="F926" s="2" t="s">
        <v>1060</v>
      </c>
      <c r="G926" s="3">
        <v>0</v>
      </c>
      <c r="H926" s="32">
        <v>48</v>
      </c>
      <c r="I926" s="32">
        <v>41</v>
      </c>
      <c r="J926" s="32">
        <v>48</v>
      </c>
      <c r="K926" s="32">
        <v>47</v>
      </c>
      <c r="L926" s="32">
        <v>48</v>
      </c>
      <c r="M926" s="32">
        <v>40</v>
      </c>
      <c r="N926" s="32">
        <v>41</v>
      </c>
      <c r="O926" s="32">
        <v>33</v>
      </c>
      <c r="P926" s="32">
        <v>47</v>
      </c>
      <c r="Q926" s="32">
        <v>39</v>
      </c>
      <c r="R926" s="32">
        <v>46</v>
      </c>
      <c r="S926" s="32">
        <v>30</v>
      </c>
      <c r="T926" s="32">
        <v>48</v>
      </c>
      <c r="U926" s="32">
        <v>48</v>
      </c>
      <c r="V926" s="30">
        <v>0.88888888888888884</v>
      </c>
      <c r="W926" s="30">
        <v>0.76119402985074625</v>
      </c>
      <c r="X926" s="32">
        <v>22613.279999999999</v>
      </c>
      <c r="Y926" s="32">
        <v>19364.64</v>
      </c>
      <c r="Z926" s="32">
        <v>41977.919999999998</v>
      </c>
      <c r="AA926" s="3">
        <f t="shared" si="14"/>
        <v>40121.65</v>
      </c>
      <c r="AB926" s="3"/>
      <c r="AC926" s="3"/>
      <c r="AF926" s="3"/>
      <c r="AG926" s="3"/>
      <c r="AH926" s="3"/>
    </row>
    <row r="927" spans="1:34" x14ac:dyDescent="0.25">
      <c r="A927">
        <v>41200010</v>
      </c>
      <c r="B927">
        <v>4120</v>
      </c>
      <c r="C927" s="2">
        <v>7</v>
      </c>
      <c r="D927" s="2" t="s">
        <v>1061</v>
      </c>
      <c r="E927">
        <v>10</v>
      </c>
      <c r="F927" s="2" t="s">
        <v>1061</v>
      </c>
      <c r="G927" s="3">
        <v>0</v>
      </c>
      <c r="H927" s="32">
        <v>84</v>
      </c>
      <c r="I927" s="32">
        <v>73</v>
      </c>
      <c r="J927" s="32">
        <v>86</v>
      </c>
      <c r="K927" s="32">
        <v>83</v>
      </c>
      <c r="L927" s="32">
        <v>88</v>
      </c>
      <c r="M927" s="32">
        <v>88</v>
      </c>
      <c r="N927" s="32">
        <v>83</v>
      </c>
      <c r="O927" s="32">
        <v>73</v>
      </c>
      <c r="P927" s="32">
        <v>83</v>
      </c>
      <c r="Q927" s="32">
        <v>75</v>
      </c>
      <c r="R927" s="32">
        <v>79</v>
      </c>
      <c r="S927" s="32">
        <v>71</v>
      </c>
      <c r="T927" s="32">
        <v>87</v>
      </c>
      <c r="U927" s="32">
        <v>87</v>
      </c>
      <c r="V927" s="30">
        <v>0.94573643410852715</v>
      </c>
      <c r="W927" s="30">
        <v>0.89387755102040811</v>
      </c>
      <c r="X927" s="32">
        <v>43607.88</v>
      </c>
      <c r="Y927" s="32">
        <v>41217.120000000003</v>
      </c>
      <c r="Z927" s="32">
        <v>84825</v>
      </c>
      <c r="AA927" s="3">
        <f t="shared" si="14"/>
        <v>81074.02</v>
      </c>
      <c r="AB927" s="3"/>
      <c r="AC927" s="3"/>
      <c r="AF927" s="3"/>
      <c r="AG927" s="3"/>
      <c r="AH927" s="3"/>
    </row>
    <row r="928" spans="1:34" x14ac:dyDescent="0.25">
      <c r="A928">
        <v>41220020</v>
      </c>
      <c r="B928">
        <v>4122</v>
      </c>
      <c r="C928" s="2">
        <v>7</v>
      </c>
      <c r="D928" s="2" t="s">
        <v>1061</v>
      </c>
      <c r="E928">
        <v>20</v>
      </c>
      <c r="F928" s="2" t="s">
        <v>1061</v>
      </c>
      <c r="G928" s="3">
        <v>0</v>
      </c>
      <c r="H928" s="32">
        <v>0</v>
      </c>
      <c r="I928" s="32">
        <v>0</v>
      </c>
      <c r="J928" s="32">
        <v>45</v>
      </c>
      <c r="K928" s="32">
        <v>41</v>
      </c>
      <c r="L928" s="32">
        <v>69</v>
      </c>
      <c r="M928" s="32">
        <v>66</v>
      </c>
      <c r="N928" s="32">
        <v>0</v>
      </c>
      <c r="O928" s="32">
        <v>0</v>
      </c>
      <c r="P928" s="32">
        <v>24</v>
      </c>
      <c r="Q928" s="32">
        <v>21</v>
      </c>
      <c r="R928" s="32">
        <v>45</v>
      </c>
      <c r="S928" s="32">
        <v>40</v>
      </c>
      <c r="T928" s="32">
        <v>67</v>
      </c>
      <c r="U928" s="32">
        <v>67</v>
      </c>
      <c r="V928" s="30">
        <v>0.93859649122807021</v>
      </c>
      <c r="W928" s="30">
        <v>0.88405797101449279</v>
      </c>
      <c r="X928" s="32">
        <v>33329.82</v>
      </c>
      <c r="Y928" s="32">
        <v>31392.850000000002</v>
      </c>
      <c r="Z928" s="32">
        <v>64722.67</v>
      </c>
      <c r="AA928" s="3">
        <f t="shared" si="14"/>
        <v>61860.62</v>
      </c>
      <c r="AB928" s="3"/>
      <c r="AC928" s="3"/>
      <c r="AF928" s="3"/>
      <c r="AG928" s="3"/>
      <c r="AH928" s="3"/>
    </row>
    <row r="929" spans="1:34" x14ac:dyDescent="0.25">
      <c r="A929">
        <v>41230010</v>
      </c>
      <c r="B929">
        <v>4123</v>
      </c>
      <c r="C929">
        <v>7</v>
      </c>
      <c r="D929" t="s">
        <v>1275</v>
      </c>
      <c r="E929">
        <v>10</v>
      </c>
      <c r="F929" t="s">
        <v>1275</v>
      </c>
      <c r="G929" s="3">
        <v>1</v>
      </c>
      <c r="H929" s="32" t="s">
        <v>1328</v>
      </c>
      <c r="I929" s="32" t="s">
        <v>1328</v>
      </c>
      <c r="J929" s="32" t="s">
        <v>1328</v>
      </c>
      <c r="K929" s="32" t="s">
        <v>1328</v>
      </c>
      <c r="L929" s="32" t="s">
        <v>1328</v>
      </c>
      <c r="M929" s="32" t="s">
        <v>1328</v>
      </c>
      <c r="N929" s="32" t="s">
        <v>1328</v>
      </c>
      <c r="O929" s="32" t="s">
        <v>1328</v>
      </c>
      <c r="P929" s="32" t="s">
        <v>1328</v>
      </c>
      <c r="Q929" s="32" t="s">
        <v>1328</v>
      </c>
      <c r="R929" s="32" t="s">
        <v>1328</v>
      </c>
      <c r="S929" s="32" t="s">
        <v>1328</v>
      </c>
      <c r="T929" s="32">
        <v>11</v>
      </c>
      <c r="U929" s="32">
        <v>7</v>
      </c>
      <c r="V929" s="30" t="s">
        <v>1328</v>
      </c>
      <c r="W929" s="30" t="s">
        <v>1328</v>
      </c>
      <c r="X929" s="32" t="s">
        <v>1328</v>
      </c>
      <c r="Y929" s="32" t="s">
        <v>1328</v>
      </c>
      <c r="Z929" s="32">
        <v>8308.58</v>
      </c>
      <c r="AA929" s="3">
        <f t="shared" si="14"/>
        <v>7941.17</v>
      </c>
      <c r="AB929" s="3"/>
      <c r="AC929" s="3"/>
      <c r="AF929" s="3"/>
      <c r="AG929" s="3"/>
      <c r="AH929" s="3"/>
    </row>
    <row r="930" spans="1:34" x14ac:dyDescent="0.25">
      <c r="A930">
        <v>41240010</v>
      </c>
      <c r="B930">
        <v>4124</v>
      </c>
      <c r="C930">
        <v>7</v>
      </c>
      <c r="D930" t="s">
        <v>1062</v>
      </c>
      <c r="E930">
        <v>10</v>
      </c>
      <c r="F930" t="s">
        <v>1062</v>
      </c>
      <c r="G930" s="3">
        <v>0</v>
      </c>
      <c r="H930" s="32">
        <v>46</v>
      </c>
      <c r="I930" s="32">
        <v>43</v>
      </c>
      <c r="J930" s="32">
        <v>49</v>
      </c>
      <c r="K930" s="32">
        <v>43</v>
      </c>
      <c r="L930" s="32">
        <v>47</v>
      </c>
      <c r="M930" s="32">
        <v>41</v>
      </c>
      <c r="N930" s="32">
        <v>44</v>
      </c>
      <c r="O930" s="32">
        <v>37</v>
      </c>
      <c r="P930" s="32">
        <v>45</v>
      </c>
      <c r="Q930" s="32">
        <v>39</v>
      </c>
      <c r="R930" s="32">
        <v>44</v>
      </c>
      <c r="S930" s="32">
        <v>37</v>
      </c>
      <c r="T930" s="32">
        <v>48</v>
      </c>
      <c r="U930" s="32">
        <v>48</v>
      </c>
      <c r="V930" s="30">
        <v>0.89436619718309862</v>
      </c>
      <c r="W930" s="30">
        <v>0.84962406015037595</v>
      </c>
      <c r="X930" s="32">
        <v>22752.48</v>
      </c>
      <c r="Y930" s="32">
        <v>21614.400000000001</v>
      </c>
      <c r="Z930" s="32">
        <v>44366.880000000005</v>
      </c>
      <c r="AA930" s="3">
        <f t="shared" si="14"/>
        <v>42404.97</v>
      </c>
      <c r="AB930" s="3"/>
      <c r="AC930" s="3"/>
      <c r="AF930" s="3"/>
      <c r="AG930" s="3"/>
      <c r="AH930" s="3"/>
    </row>
    <row r="931" spans="1:34" x14ac:dyDescent="0.25">
      <c r="A931">
        <v>41250010</v>
      </c>
      <c r="B931">
        <v>4125</v>
      </c>
      <c r="C931" s="2">
        <v>7</v>
      </c>
      <c r="D931" s="2" t="s">
        <v>1276</v>
      </c>
      <c r="E931">
        <v>10</v>
      </c>
      <c r="F931" s="2" t="s">
        <v>1276</v>
      </c>
      <c r="G931" s="3">
        <v>1</v>
      </c>
      <c r="H931" s="32" t="s">
        <v>1328</v>
      </c>
      <c r="I931" s="32" t="s">
        <v>1328</v>
      </c>
      <c r="J931" s="32" t="s">
        <v>1328</v>
      </c>
      <c r="K931" s="32" t="s">
        <v>1328</v>
      </c>
      <c r="L931" s="32" t="s">
        <v>1328</v>
      </c>
      <c r="M931" s="32" t="s">
        <v>1328</v>
      </c>
      <c r="N931" s="32" t="s">
        <v>1328</v>
      </c>
      <c r="O931" s="32" t="s">
        <v>1328</v>
      </c>
      <c r="P931" s="32" t="s">
        <v>1328</v>
      </c>
      <c r="Q931" s="32" t="s">
        <v>1328</v>
      </c>
      <c r="R931" s="32" t="s">
        <v>1328</v>
      </c>
      <c r="S931" s="32" t="s">
        <v>1328</v>
      </c>
      <c r="T931" s="32">
        <v>0</v>
      </c>
      <c r="U931" s="32">
        <v>0</v>
      </c>
      <c r="V931" s="30" t="s">
        <v>1328</v>
      </c>
      <c r="W931" s="30" t="s">
        <v>1328</v>
      </c>
      <c r="X931" s="32" t="s">
        <v>1328</v>
      </c>
      <c r="Y931" s="32" t="s">
        <v>1328</v>
      </c>
      <c r="Z931" s="32">
        <v>0</v>
      </c>
      <c r="AA931" s="3">
        <f t="shared" si="14"/>
        <v>0</v>
      </c>
      <c r="AB931" s="3"/>
      <c r="AC931" s="3"/>
      <c r="AF931" s="3"/>
      <c r="AG931" s="3"/>
      <c r="AH931" s="3"/>
    </row>
    <row r="932" spans="1:34" x14ac:dyDescent="0.25">
      <c r="A932">
        <v>41260010</v>
      </c>
      <c r="B932">
        <v>4126</v>
      </c>
      <c r="C932" s="2">
        <v>7</v>
      </c>
      <c r="D932" s="2" t="s">
        <v>1063</v>
      </c>
      <c r="E932">
        <v>10</v>
      </c>
      <c r="F932" s="2" t="s">
        <v>1063</v>
      </c>
      <c r="G932" s="3">
        <v>0</v>
      </c>
      <c r="H932" s="32">
        <v>54</v>
      </c>
      <c r="I932" s="32">
        <v>14</v>
      </c>
      <c r="J932" s="32">
        <v>55</v>
      </c>
      <c r="K932" s="32">
        <v>14</v>
      </c>
      <c r="L932" s="32">
        <v>49</v>
      </c>
      <c r="M932" s="32">
        <v>23</v>
      </c>
      <c r="N932" s="32">
        <v>41</v>
      </c>
      <c r="O932" s="32">
        <v>33</v>
      </c>
      <c r="P932" s="32">
        <v>52</v>
      </c>
      <c r="Q932" s="32">
        <v>41</v>
      </c>
      <c r="R932" s="32">
        <v>51</v>
      </c>
      <c r="S932" s="32">
        <v>45</v>
      </c>
      <c r="T932" s="32">
        <v>46</v>
      </c>
      <c r="U932" s="32">
        <v>52</v>
      </c>
      <c r="V932" s="30">
        <v>0.32278481012658228</v>
      </c>
      <c r="W932" s="30">
        <v>0.82638888888888884</v>
      </c>
      <c r="X932" s="32">
        <v>7869.68</v>
      </c>
      <c r="Y932" s="32">
        <v>22775.48</v>
      </c>
      <c r="Z932" s="32">
        <v>30645.16</v>
      </c>
      <c r="AA932" s="3">
        <f t="shared" si="14"/>
        <v>29290.02</v>
      </c>
      <c r="AB932" s="3"/>
      <c r="AC932" s="3"/>
      <c r="AF932" s="3"/>
      <c r="AG932" s="3"/>
      <c r="AH932" s="3"/>
    </row>
    <row r="933" spans="1:34" x14ac:dyDescent="0.25">
      <c r="A933">
        <v>41270010</v>
      </c>
      <c r="B933">
        <v>4127</v>
      </c>
      <c r="C933">
        <v>7</v>
      </c>
      <c r="D933" t="s">
        <v>1064</v>
      </c>
      <c r="E933">
        <v>10</v>
      </c>
      <c r="F933" t="s">
        <v>1064</v>
      </c>
      <c r="G933" s="3">
        <v>0</v>
      </c>
      <c r="H933" s="32">
        <v>17</v>
      </c>
      <c r="I933" s="32">
        <v>14</v>
      </c>
      <c r="J933" s="32">
        <v>20</v>
      </c>
      <c r="K933" s="32">
        <v>18</v>
      </c>
      <c r="L933" s="32">
        <v>23</v>
      </c>
      <c r="M933" s="32">
        <v>17</v>
      </c>
      <c r="N933" s="32">
        <v>17</v>
      </c>
      <c r="O933" s="32">
        <v>13</v>
      </c>
      <c r="P933" s="32">
        <v>16</v>
      </c>
      <c r="Q933" s="32">
        <v>12</v>
      </c>
      <c r="R933" s="32">
        <v>15</v>
      </c>
      <c r="S933" s="32">
        <v>9</v>
      </c>
      <c r="T933" s="32">
        <v>25</v>
      </c>
      <c r="U933" s="32">
        <v>17</v>
      </c>
      <c r="V933" s="30">
        <v>0.81666666666666665</v>
      </c>
      <c r="W933" s="30">
        <v>0.70833333333333337</v>
      </c>
      <c r="X933" s="32">
        <v>10820.75</v>
      </c>
      <c r="Y933" s="32">
        <v>6382.14</v>
      </c>
      <c r="Z933" s="32">
        <v>17202.89</v>
      </c>
      <c r="AA933" s="3">
        <f t="shared" si="14"/>
        <v>16442.169999999998</v>
      </c>
      <c r="AB933" s="3"/>
      <c r="AC933" s="3"/>
      <c r="AF933" s="3"/>
      <c r="AG933" s="3"/>
      <c r="AH933" s="3"/>
    </row>
    <row r="934" spans="1:34" x14ac:dyDescent="0.25">
      <c r="A934">
        <v>41350010</v>
      </c>
      <c r="B934">
        <v>4135</v>
      </c>
      <c r="C934" s="2">
        <v>7</v>
      </c>
      <c r="D934" s="2" t="s">
        <v>1065</v>
      </c>
      <c r="E934">
        <v>10</v>
      </c>
      <c r="F934" s="2" t="s">
        <v>1065</v>
      </c>
      <c r="G934" s="3">
        <v>0</v>
      </c>
      <c r="H934" s="32">
        <v>18</v>
      </c>
      <c r="I934" s="32">
        <v>17</v>
      </c>
      <c r="J934" s="32">
        <v>27</v>
      </c>
      <c r="K934" s="32">
        <v>24</v>
      </c>
      <c r="L934" s="32">
        <v>26</v>
      </c>
      <c r="M934" s="32">
        <v>14</v>
      </c>
      <c r="N934" s="32">
        <v>17</v>
      </c>
      <c r="O934" s="32">
        <v>11</v>
      </c>
      <c r="P934" s="32">
        <v>16</v>
      </c>
      <c r="Q934" s="32">
        <v>7</v>
      </c>
      <c r="R934" s="32">
        <v>23</v>
      </c>
      <c r="S934" s="32">
        <v>6</v>
      </c>
      <c r="T934" s="32">
        <v>27</v>
      </c>
      <c r="U934" s="32">
        <v>26</v>
      </c>
      <c r="V934" s="30">
        <v>0.77464788732394363</v>
      </c>
      <c r="W934" s="30">
        <v>0.42857142857142855</v>
      </c>
      <c r="X934" s="32">
        <v>11085.12</v>
      </c>
      <c r="Y934" s="32">
        <v>5905.6399999999994</v>
      </c>
      <c r="Z934" s="32">
        <v>16990.760000000002</v>
      </c>
      <c r="AA934" s="3">
        <f t="shared" si="14"/>
        <v>16239.42</v>
      </c>
      <c r="AB934" s="3"/>
      <c r="AC934" s="3"/>
      <c r="AF934" s="3"/>
      <c r="AG934" s="3"/>
      <c r="AH934" s="3"/>
    </row>
    <row r="935" spans="1:34" x14ac:dyDescent="0.25">
      <c r="A935">
        <v>41370010</v>
      </c>
      <c r="B935">
        <v>4137</v>
      </c>
      <c r="C935" s="2">
        <v>7</v>
      </c>
      <c r="D935" s="2" t="s">
        <v>1066</v>
      </c>
      <c r="E935">
        <v>10</v>
      </c>
      <c r="F935" s="2" t="s">
        <v>1066</v>
      </c>
      <c r="G935" s="3">
        <v>0</v>
      </c>
      <c r="H935" s="32">
        <v>20</v>
      </c>
      <c r="I935" s="32">
        <v>18</v>
      </c>
      <c r="J935" s="32">
        <v>25</v>
      </c>
      <c r="K935" s="32">
        <v>18</v>
      </c>
      <c r="L935" s="32">
        <v>26</v>
      </c>
      <c r="M935" s="32">
        <v>26</v>
      </c>
      <c r="N935" s="32">
        <v>24</v>
      </c>
      <c r="O935" s="32">
        <v>18</v>
      </c>
      <c r="P935" s="32">
        <v>19</v>
      </c>
      <c r="Q935" s="32">
        <v>15</v>
      </c>
      <c r="R935" s="32">
        <v>23</v>
      </c>
      <c r="S935" s="32">
        <v>21</v>
      </c>
      <c r="T935" s="32">
        <v>27</v>
      </c>
      <c r="U935" s="32">
        <v>24</v>
      </c>
      <c r="V935" s="30">
        <v>0.87323943661971826</v>
      </c>
      <c r="W935" s="30">
        <v>0.81818181818181823</v>
      </c>
      <c r="X935" s="32">
        <v>12496.14</v>
      </c>
      <c r="Y935" s="32">
        <v>10407.36</v>
      </c>
      <c r="Z935" s="32">
        <v>22903.5</v>
      </c>
      <c r="AA935" s="3">
        <f t="shared" si="14"/>
        <v>21890.7</v>
      </c>
      <c r="AB935" s="3"/>
      <c r="AC935" s="3"/>
      <c r="AF935" s="3"/>
      <c r="AG935" s="3"/>
      <c r="AH935" s="3"/>
    </row>
    <row r="936" spans="1:34" x14ac:dyDescent="0.25">
      <c r="A936">
        <v>41380010</v>
      </c>
      <c r="B936">
        <v>4138</v>
      </c>
      <c r="C936" s="2">
        <v>7</v>
      </c>
      <c r="D936" s="2" t="s">
        <v>1277</v>
      </c>
      <c r="E936">
        <v>10</v>
      </c>
      <c r="F936" s="2" t="s">
        <v>1277</v>
      </c>
      <c r="G936" s="3">
        <v>1</v>
      </c>
      <c r="H936" s="32" t="s">
        <v>1328</v>
      </c>
      <c r="I936" s="32" t="s">
        <v>1328</v>
      </c>
      <c r="J936" s="32" t="s">
        <v>1328</v>
      </c>
      <c r="K936" s="32" t="s">
        <v>1328</v>
      </c>
      <c r="L936" s="32" t="s">
        <v>1328</v>
      </c>
      <c r="M936" s="32" t="s">
        <v>1328</v>
      </c>
      <c r="N936" s="32" t="s">
        <v>1328</v>
      </c>
      <c r="O936" s="32" t="s">
        <v>1328</v>
      </c>
      <c r="P936" s="32" t="s">
        <v>1328</v>
      </c>
      <c r="Q936" s="32" t="s">
        <v>1328</v>
      </c>
      <c r="R936" s="32" t="s">
        <v>1328</v>
      </c>
      <c r="S936" s="32" t="s">
        <v>1328</v>
      </c>
      <c r="T936" s="32">
        <v>9</v>
      </c>
      <c r="U936" s="32">
        <v>8</v>
      </c>
      <c r="V936" s="30" t="s">
        <v>1328</v>
      </c>
      <c r="W936" s="30" t="s">
        <v>1328</v>
      </c>
      <c r="X936" s="32" t="s">
        <v>1328</v>
      </c>
      <c r="Y936" s="32" t="s">
        <v>1328</v>
      </c>
      <c r="Z936" s="32">
        <v>6940.59</v>
      </c>
      <c r="AA936" s="3">
        <f t="shared" si="14"/>
        <v>6633.68</v>
      </c>
      <c r="AB936" s="3"/>
      <c r="AC936" s="3"/>
      <c r="AF936" s="3"/>
      <c r="AG936" s="3"/>
      <c r="AH936" s="3"/>
    </row>
    <row r="937" spans="1:34" x14ac:dyDescent="0.25">
      <c r="A937">
        <v>41390010</v>
      </c>
      <c r="B937">
        <v>4139</v>
      </c>
      <c r="C937" s="2">
        <v>7</v>
      </c>
      <c r="D937" s="2" t="s">
        <v>1067</v>
      </c>
      <c r="E937">
        <v>10</v>
      </c>
      <c r="F937" s="2" t="s">
        <v>1067</v>
      </c>
      <c r="G937" s="3">
        <v>0</v>
      </c>
      <c r="H937" s="32">
        <v>32</v>
      </c>
      <c r="I937" s="32">
        <v>8</v>
      </c>
      <c r="J937" s="32">
        <v>26</v>
      </c>
      <c r="K937" s="32">
        <v>19</v>
      </c>
      <c r="L937" s="32">
        <v>35</v>
      </c>
      <c r="M937" s="32">
        <v>10</v>
      </c>
      <c r="N937" s="32">
        <v>23</v>
      </c>
      <c r="O937" s="32">
        <v>16</v>
      </c>
      <c r="P937" s="32">
        <v>23</v>
      </c>
      <c r="Q937" s="32">
        <v>17</v>
      </c>
      <c r="R937" s="32">
        <v>18</v>
      </c>
      <c r="S937" s="32">
        <v>11</v>
      </c>
      <c r="T937" s="32">
        <v>33</v>
      </c>
      <c r="U937" s="32">
        <v>23</v>
      </c>
      <c r="V937" s="30">
        <v>0.39784946236559138</v>
      </c>
      <c r="W937" s="30">
        <v>0.6875</v>
      </c>
      <c r="X937" s="32">
        <v>6958.38</v>
      </c>
      <c r="Y937" s="32">
        <v>8380.74</v>
      </c>
      <c r="Z937" s="32">
        <v>15339.119999999999</v>
      </c>
      <c r="AA937" s="3">
        <f t="shared" si="14"/>
        <v>14660.82</v>
      </c>
      <c r="AB937" s="3"/>
      <c r="AC937" s="3"/>
      <c r="AF937" s="3"/>
      <c r="AG937" s="3"/>
      <c r="AH937" s="3"/>
    </row>
    <row r="938" spans="1:34" x14ac:dyDescent="0.25">
      <c r="A938">
        <v>41400010</v>
      </c>
      <c r="B938">
        <v>4140</v>
      </c>
      <c r="C938" s="2">
        <v>7</v>
      </c>
      <c r="D938" s="2" t="s">
        <v>1068</v>
      </c>
      <c r="E938">
        <v>10</v>
      </c>
      <c r="F938" s="2" t="s">
        <v>1068</v>
      </c>
      <c r="G938" s="3">
        <v>0</v>
      </c>
      <c r="H938" s="32">
        <v>46</v>
      </c>
      <c r="I938" s="32">
        <v>40</v>
      </c>
      <c r="J938" s="32">
        <v>48</v>
      </c>
      <c r="K938" s="32">
        <v>35</v>
      </c>
      <c r="L938" s="32">
        <v>67</v>
      </c>
      <c r="M938" s="32">
        <v>57</v>
      </c>
      <c r="N938" s="32">
        <v>21</v>
      </c>
      <c r="O938" s="32">
        <v>16</v>
      </c>
      <c r="P938" s="32">
        <v>40</v>
      </c>
      <c r="Q938" s="32">
        <v>36</v>
      </c>
      <c r="R938" s="32">
        <v>41</v>
      </c>
      <c r="S938" s="32">
        <v>36</v>
      </c>
      <c r="T938" s="32">
        <v>69</v>
      </c>
      <c r="U938" s="32">
        <v>42</v>
      </c>
      <c r="V938" s="30">
        <v>0.81987577639751552</v>
      </c>
      <c r="W938" s="30">
        <v>0.86274509803921573</v>
      </c>
      <c r="X938" s="32">
        <v>29982.57</v>
      </c>
      <c r="Y938" s="32">
        <v>19204.5</v>
      </c>
      <c r="Z938" s="32">
        <v>49187.07</v>
      </c>
      <c r="AA938" s="3">
        <f t="shared" si="14"/>
        <v>47012.01</v>
      </c>
      <c r="AB938" s="3"/>
      <c r="AC938" s="3"/>
      <c r="AF938" s="3"/>
      <c r="AG938" s="3"/>
      <c r="AH938" s="3"/>
    </row>
    <row r="939" spans="1:34" x14ac:dyDescent="0.25">
      <c r="A939">
        <v>41410010</v>
      </c>
      <c r="B939">
        <v>4141</v>
      </c>
      <c r="C939">
        <v>7</v>
      </c>
      <c r="D939" t="s">
        <v>1069</v>
      </c>
      <c r="E939">
        <v>10</v>
      </c>
      <c r="F939" t="s">
        <v>1069</v>
      </c>
      <c r="G939" s="3">
        <v>0</v>
      </c>
      <c r="H939" s="32">
        <v>44</v>
      </c>
      <c r="I939" s="32">
        <v>37</v>
      </c>
      <c r="J939" s="32">
        <v>44</v>
      </c>
      <c r="K939" s="32">
        <v>37</v>
      </c>
      <c r="L939" s="32">
        <v>44</v>
      </c>
      <c r="M939" s="32">
        <v>35</v>
      </c>
      <c r="N939" s="32">
        <v>38</v>
      </c>
      <c r="O939" s="32">
        <v>30</v>
      </c>
      <c r="P939" s="32">
        <v>40</v>
      </c>
      <c r="Q939" s="32">
        <v>32</v>
      </c>
      <c r="R939" s="32">
        <v>41</v>
      </c>
      <c r="S939" s="32">
        <v>26</v>
      </c>
      <c r="T939" s="32">
        <v>44</v>
      </c>
      <c r="U939" s="32">
        <v>44</v>
      </c>
      <c r="V939" s="30">
        <v>0.8257575757575758</v>
      </c>
      <c r="W939" s="30">
        <v>0.73949579831932777</v>
      </c>
      <c r="X939" s="32">
        <v>19256.599999999999</v>
      </c>
      <c r="Y939" s="32">
        <v>17244.920000000002</v>
      </c>
      <c r="Z939" s="32">
        <v>36501.520000000004</v>
      </c>
      <c r="AA939" s="3">
        <f t="shared" si="14"/>
        <v>34887.410000000003</v>
      </c>
      <c r="AB939" s="3"/>
      <c r="AC939" s="3"/>
      <c r="AF939" s="3"/>
      <c r="AG939" s="3"/>
      <c r="AH939" s="3"/>
    </row>
    <row r="940" spans="1:34" x14ac:dyDescent="0.25">
      <c r="A940">
        <v>41420010</v>
      </c>
      <c r="B940">
        <v>4142</v>
      </c>
      <c r="C940" s="2">
        <v>7</v>
      </c>
      <c r="D940" s="2" t="s">
        <v>1070</v>
      </c>
      <c r="E940">
        <v>10</v>
      </c>
      <c r="F940" s="2" t="s">
        <v>1070</v>
      </c>
      <c r="G940" s="3">
        <v>0</v>
      </c>
      <c r="H940" s="32">
        <v>39</v>
      </c>
      <c r="I940" s="32">
        <v>29</v>
      </c>
      <c r="J940" s="32">
        <v>40</v>
      </c>
      <c r="K940" s="32">
        <v>33</v>
      </c>
      <c r="L940" s="32">
        <v>42</v>
      </c>
      <c r="M940" s="32">
        <v>35</v>
      </c>
      <c r="N940" s="32">
        <v>37</v>
      </c>
      <c r="O940" s="32">
        <v>31</v>
      </c>
      <c r="P940" s="32">
        <v>36</v>
      </c>
      <c r="Q940" s="32">
        <v>23</v>
      </c>
      <c r="R940" s="32">
        <v>41</v>
      </c>
      <c r="S940" s="32">
        <v>28</v>
      </c>
      <c r="T940" s="32">
        <v>42</v>
      </c>
      <c r="U940" s="32">
        <v>44</v>
      </c>
      <c r="V940" s="30">
        <v>0.80165289256198347</v>
      </c>
      <c r="W940" s="30">
        <v>0.7192982456140351</v>
      </c>
      <c r="X940" s="32">
        <v>17844.96</v>
      </c>
      <c r="Y940" s="32">
        <v>16774.120000000003</v>
      </c>
      <c r="Z940" s="32">
        <v>34619.08</v>
      </c>
      <c r="AA940" s="3">
        <f t="shared" si="14"/>
        <v>33088.22</v>
      </c>
      <c r="AB940" s="3"/>
      <c r="AC940" s="3"/>
      <c r="AF940" s="3"/>
      <c r="AG940" s="3"/>
      <c r="AH940" s="3"/>
    </row>
    <row r="941" spans="1:34" x14ac:dyDescent="0.25">
      <c r="A941">
        <v>41430010</v>
      </c>
      <c r="B941">
        <v>4143</v>
      </c>
      <c r="C941" s="2">
        <v>7</v>
      </c>
      <c r="D941" s="2" t="s">
        <v>1071</v>
      </c>
      <c r="E941">
        <v>10</v>
      </c>
      <c r="F941" s="2" t="s">
        <v>1072</v>
      </c>
      <c r="G941" s="3">
        <v>0</v>
      </c>
      <c r="H941" s="32">
        <v>43</v>
      </c>
      <c r="I941" s="32">
        <v>21</v>
      </c>
      <c r="J941" s="32">
        <v>40</v>
      </c>
      <c r="K941" s="32">
        <v>14</v>
      </c>
      <c r="L941" s="32">
        <v>46</v>
      </c>
      <c r="M941" s="32">
        <v>26</v>
      </c>
      <c r="N941" s="32">
        <v>32</v>
      </c>
      <c r="O941" s="32">
        <v>28</v>
      </c>
      <c r="P941" s="32">
        <v>38</v>
      </c>
      <c r="Q941" s="32">
        <v>33</v>
      </c>
      <c r="R941" s="32">
        <v>39</v>
      </c>
      <c r="S941" s="32">
        <v>31</v>
      </c>
      <c r="T941" s="32">
        <v>49</v>
      </c>
      <c r="U941" s="32">
        <v>44</v>
      </c>
      <c r="V941" s="30">
        <v>0.47286821705426357</v>
      </c>
      <c r="W941" s="30">
        <v>0.84403669724770647</v>
      </c>
      <c r="X941" s="32">
        <v>12280.380000000001</v>
      </c>
      <c r="Y941" s="32">
        <v>19682.96</v>
      </c>
      <c r="Z941" s="32">
        <v>31963.34</v>
      </c>
      <c r="AA941" s="3">
        <f t="shared" si="14"/>
        <v>30549.91</v>
      </c>
      <c r="AB941" s="3"/>
      <c r="AC941" s="3"/>
      <c r="AF941" s="3"/>
      <c r="AG941" s="3"/>
      <c r="AH941" s="3"/>
    </row>
    <row r="942" spans="1:34" x14ac:dyDescent="0.25">
      <c r="A942">
        <v>41440010</v>
      </c>
      <c r="B942">
        <v>4144</v>
      </c>
      <c r="C942" s="2">
        <v>7</v>
      </c>
      <c r="D942" s="2" t="s">
        <v>1278</v>
      </c>
      <c r="E942">
        <v>10</v>
      </c>
      <c r="F942" s="2" t="s">
        <v>1278</v>
      </c>
      <c r="G942" s="3">
        <v>1</v>
      </c>
      <c r="H942" s="32" t="s">
        <v>1328</v>
      </c>
      <c r="I942" s="32" t="s">
        <v>1328</v>
      </c>
      <c r="J942" s="32" t="s">
        <v>1328</v>
      </c>
      <c r="K942" s="32" t="s">
        <v>1328</v>
      </c>
      <c r="L942" s="32" t="s">
        <v>1328</v>
      </c>
      <c r="M942" s="32" t="s">
        <v>1328</v>
      </c>
      <c r="N942" s="32" t="s">
        <v>1328</v>
      </c>
      <c r="O942" s="32" t="s">
        <v>1328</v>
      </c>
      <c r="P942" s="32" t="s">
        <v>1328</v>
      </c>
      <c r="Q942" s="32" t="s">
        <v>1328</v>
      </c>
      <c r="R942" s="32" t="s">
        <v>1328</v>
      </c>
      <c r="S942" s="32" t="s">
        <v>1328</v>
      </c>
      <c r="T942" s="32">
        <v>11</v>
      </c>
      <c r="U942" s="32">
        <v>8</v>
      </c>
      <c r="V942" s="30" t="s">
        <v>1328</v>
      </c>
      <c r="W942" s="30" t="s">
        <v>1328</v>
      </c>
      <c r="X942" s="32" t="s">
        <v>1328</v>
      </c>
      <c r="Y942" s="32" t="s">
        <v>1328</v>
      </c>
      <c r="Z942" s="32">
        <v>6996.85</v>
      </c>
      <c r="AA942" s="3">
        <f t="shared" si="14"/>
        <v>6687.45</v>
      </c>
      <c r="AB942" s="3"/>
      <c r="AC942" s="3"/>
      <c r="AF942" s="3"/>
      <c r="AG942" s="3"/>
      <c r="AH942" s="3"/>
    </row>
    <row r="943" spans="1:34" x14ac:dyDescent="0.25">
      <c r="A943">
        <v>41450010</v>
      </c>
      <c r="B943">
        <v>4145</v>
      </c>
      <c r="C943">
        <v>7</v>
      </c>
      <c r="D943" t="s">
        <v>1279</v>
      </c>
      <c r="E943">
        <v>10</v>
      </c>
      <c r="F943" t="s">
        <v>1279</v>
      </c>
      <c r="G943" s="3">
        <v>1</v>
      </c>
      <c r="H943" s="32" t="s">
        <v>1328</v>
      </c>
      <c r="I943" s="32" t="s">
        <v>1328</v>
      </c>
      <c r="J943" s="32" t="s">
        <v>1328</v>
      </c>
      <c r="K943" s="32" t="s">
        <v>1328</v>
      </c>
      <c r="L943" s="32" t="s">
        <v>1328</v>
      </c>
      <c r="M943" s="32" t="s">
        <v>1328</v>
      </c>
      <c r="N943" s="32" t="s">
        <v>1328</v>
      </c>
      <c r="O943" s="32" t="s">
        <v>1328</v>
      </c>
      <c r="P943" s="32" t="s">
        <v>1328</v>
      </c>
      <c r="Q943" s="32" t="s">
        <v>1328</v>
      </c>
      <c r="R943" s="32" t="s">
        <v>1328</v>
      </c>
      <c r="S943" s="32" t="s">
        <v>1328</v>
      </c>
      <c r="T943" s="32">
        <v>5</v>
      </c>
      <c r="U943" s="32">
        <v>5</v>
      </c>
      <c r="V943" s="30" t="s">
        <v>1328</v>
      </c>
      <c r="W943" s="30" t="s">
        <v>1328</v>
      </c>
      <c r="X943" s="32" t="s">
        <v>1328</v>
      </c>
      <c r="Y943" s="32" t="s">
        <v>1328</v>
      </c>
      <c r="Z943" s="32">
        <v>3918.7999999999997</v>
      </c>
      <c r="AA943" s="3">
        <f t="shared" si="14"/>
        <v>3745.51</v>
      </c>
      <c r="AB943" s="3"/>
      <c r="AC943" s="3"/>
      <c r="AF943" s="3"/>
      <c r="AG943" s="3"/>
      <c r="AH943" s="3"/>
    </row>
    <row r="944" spans="1:34" x14ac:dyDescent="0.25">
      <c r="A944">
        <v>41520010</v>
      </c>
      <c r="B944">
        <v>4152</v>
      </c>
      <c r="C944">
        <v>7</v>
      </c>
      <c r="D944" t="s">
        <v>1073</v>
      </c>
      <c r="E944">
        <v>10</v>
      </c>
      <c r="F944" t="s">
        <v>1073</v>
      </c>
      <c r="G944" s="3">
        <v>0</v>
      </c>
      <c r="H944" s="32">
        <v>31</v>
      </c>
      <c r="I944" s="32">
        <v>26</v>
      </c>
      <c r="J944" s="32">
        <v>35</v>
      </c>
      <c r="K944" s="32">
        <v>28</v>
      </c>
      <c r="L944" s="32">
        <v>34</v>
      </c>
      <c r="M944" s="32">
        <v>33</v>
      </c>
      <c r="N944" s="32">
        <v>20</v>
      </c>
      <c r="O944" s="32">
        <v>17</v>
      </c>
      <c r="P944" s="32">
        <v>27</v>
      </c>
      <c r="Q944" s="32">
        <v>23</v>
      </c>
      <c r="R944" s="32">
        <v>33</v>
      </c>
      <c r="S944" s="32">
        <v>29</v>
      </c>
      <c r="T944" s="32">
        <v>33</v>
      </c>
      <c r="U944" s="32">
        <v>38</v>
      </c>
      <c r="V944" s="30">
        <v>0.87</v>
      </c>
      <c r="W944" s="30">
        <v>0.86250000000000004</v>
      </c>
      <c r="X944" s="32">
        <v>15216.300000000001</v>
      </c>
      <c r="Y944" s="32">
        <v>17370.939999999999</v>
      </c>
      <c r="Z944" s="32">
        <v>32587.239999999998</v>
      </c>
      <c r="AA944" s="3">
        <f t="shared" si="14"/>
        <v>31146.22</v>
      </c>
      <c r="AB944" s="3"/>
      <c r="AC944" s="3"/>
      <c r="AF944" s="3"/>
      <c r="AG944" s="3"/>
      <c r="AH944" s="3"/>
    </row>
    <row r="945" spans="1:34" x14ac:dyDescent="0.25">
      <c r="A945">
        <v>41530010</v>
      </c>
      <c r="B945">
        <v>4153</v>
      </c>
      <c r="C945">
        <v>7</v>
      </c>
      <c r="D945" t="s">
        <v>1074</v>
      </c>
      <c r="E945">
        <v>10</v>
      </c>
      <c r="F945" t="s">
        <v>1074</v>
      </c>
      <c r="G945" s="3">
        <v>0</v>
      </c>
      <c r="H945" s="32">
        <v>28</v>
      </c>
      <c r="I945" s="32">
        <v>10</v>
      </c>
      <c r="J945" s="32">
        <v>28</v>
      </c>
      <c r="K945" s="32">
        <v>9</v>
      </c>
      <c r="L945" s="32">
        <v>33</v>
      </c>
      <c r="M945" s="32">
        <v>23</v>
      </c>
      <c r="N945" s="32">
        <v>15</v>
      </c>
      <c r="O945" s="32">
        <v>11</v>
      </c>
      <c r="P945" s="32">
        <v>18</v>
      </c>
      <c r="Q945" s="32">
        <v>14</v>
      </c>
      <c r="R945" s="32">
        <v>21</v>
      </c>
      <c r="S945" s="32">
        <v>18</v>
      </c>
      <c r="T945" s="32">
        <v>38</v>
      </c>
      <c r="U945" s="32">
        <v>32</v>
      </c>
      <c r="V945" s="30">
        <v>0.47191011235955055</v>
      </c>
      <c r="W945" s="30">
        <v>0.79629629629629628</v>
      </c>
      <c r="X945" s="32">
        <v>9504.18</v>
      </c>
      <c r="Y945" s="32">
        <v>13505.28</v>
      </c>
      <c r="Z945" s="32">
        <v>23009.46</v>
      </c>
      <c r="AA945" s="3">
        <f t="shared" si="14"/>
        <v>21991.98</v>
      </c>
      <c r="AB945" s="3"/>
      <c r="AC945" s="3"/>
      <c r="AF945" s="3"/>
      <c r="AG945" s="3"/>
      <c r="AH945" s="3"/>
    </row>
    <row r="946" spans="1:34" x14ac:dyDescent="0.25">
      <c r="A946">
        <v>41550010</v>
      </c>
      <c r="B946">
        <v>4155</v>
      </c>
      <c r="C946" s="2">
        <v>7</v>
      </c>
      <c r="D946" s="2" t="s">
        <v>1280</v>
      </c>
      <c r="E946">
        <v>10</v>
      </c>
      <c r="F946" s="2" t="s">
        <v>1280</v>
      </c>
      <c r="G946" s="3">
        <v>1</v>
      </c>
      <c r="H946" s="32" t="s">
        <v>1328</v>
      </c>
      <c r="I946" s="32" t="s">
        <v>1328</v>
      </c>
      <c r="J946" s="32" t="s">
        <v>1328</v>
      </c>
      <c r="K946" s="32" t="s">
        <v>1328</v>
      </c>
      <c r="L946" s="32" t="s">
        <v>1328</v>
      </c>
      <c r="M946" s="32" t="s">
        <v>1328</v>
      </c>
      <c r="N946" s="32" t="s">
        <v>1328</v>
      </c>
      <c r="O946" s="32" t="s">
        <v>1328</v>
      </c>
      <c r="P946" s="32" t="s">
        <v>1328</v>
      </c>
      <c r="Q946" s="32" t="s">
        <v>1328</v>
      </c>
      <c r="R946" s="32" t="s">
        <v>1328</v>
      </c>
      <c r="S946" s="32" t="s">
        <v>1328</v>
      </c>
      <c r="T946" s="32">
        <v>22</v>
      </c>
      <c r="U946" s="32">
        <v>11</v>
      </c>
      <c r="V946" s="30" t="s">
        <v>1328</v>
      </c>
      <c r="W946" s="30" t="s">
        <v>1328</v>
      </c>
      <c r="X946" s="32" t="s">
        <v>1328</v>
      </c>
      <c r="Y946" s="32" t="s">
        <v>1328</v>
      </c>
      <c r="Z946" s="32">
        <v>6252.51</v>
      </c>
      <c r="AA946" s="3">
        <f t="shared" si="14"/>
        <v>5976.02</v>
      </c>
      <c r="AB946" s="3"/>
      <c r="AC946" s="3"/>
      <c r="AF946" s="3"/>
      <c r="AG946" s="3"/>
      <c r="AH946" s="3"/>
    </row>
    <row r="947" spans="1:34" x14ac:dyDescent="0.25">
      <c r="A947">
        <v>41590010</v>
      </c>
      <c r="B947">
        <v>4159</v>
      </c>
      <c r="C947" s="2">
        <v>7</v>
      </c>
      <c r="D947" s="2" t="s">
        <v>1075</v>
      </c>
      <c r="E947">
        <v>10</v>
      </c>
      <c r="F947" s="2" t="s">
        <v>1075</v>
      </c>
      <c r="G947" s="3">
        <v>0</v>
      </c>
      <c r="H947" s="32">
        <v>77</v>
      </c>
      <c r="I947" s="32">
        <v>69</v>
      </c>
      <c r="J947" s="32">
        <v>74</v>
      </c>
      <c r="K947" s="32">
        <v>69</v>
      </c>
      <c r="L947" s="32">
        <v>69</v>
      </c>
      <c r="M947" s="32">
        <v>64</v>
      </c>
      <c r="N947" s="32">
        <v>49</v>
      </c>
      <c r="O947" s="32">
        <v>35</v>
      </c>
      <c r="P947" s="32">
        <v>74</v>
      </c>
      <c r="Q947" s="32">
        <v>62</v>
      </c>
      <c r="R947" s="32">
        <v>61</v>
      </c>
      <c r="S947" s="32">
        <v>51</v>
      </c>
      <c r="T947" s="32">
        <v>69</v>
      </c>
      <c r="U947" s="32">
        <v>66</v>
      </c>
      <c r="V947" s="30">
        <v>0.91818181818181821</v>
      </c>
      <c r="W947" s="30">
        <v>0.80434782608695654</v>
      </c>
      <c r="X947" s="32">
        <v>33578.159999999996</v>
      </c>
      <c r="Y947" s="32">
        <v>28135.8</v>
      </c>
      <c r="Z947" s="32">
        <v>61713.959999999992</v>
      </c>
      <c r="AA947" s="3">
        <f t="shared" si="14"/>
        <v>58984.95</v>
      </c>
      <c r="AB947" s="3"/>
      <c r="AC947" s="3"/>
      <c r="AF947" s="3"/>
      <c r="AG947" s="3"/>
      <c r="AH947" s="3"/>
    </row>
    <row r="948" spans="1:34" x14ac:dyDescent="0.25">
      <c r="A948">
        <v>41610010</v>
      </c>
      <c r="B948">
        <v>4161</v>
      </c>
      <c r="C948" s="2">
        <v>7</v>
      </c>
      <c r="D948" s="2" t="s">
        <v>1076</v>
      </c>
      <c r="E948">
        <v>10</v>
      </c>
      <c r="F948" s="2" t="s">
        <v>1076</v>
      </c>
      <c r="G948" s="3">
        <v>0</v>
      </c>
      <c r="H948" s="32">
        <v>26</v>
      </c>
      <c r="I948" s="32">
        <v>15</v>
      </c>
      <c r="J948" s="32">
        <v>25</v>
      </c>
      <c r="K948" s="32">
        <v>13</v>
      </c>
      <c r="L948" s="32">
        <v>24</v>
      </c>
      <c r="M948" s="32">
        <v>12</v>
      </c>
      <c r="N948" s="32">
        <v>18</v>
      </c>
      <c r="O948" s="32">
        <v>11</v>
      </c>
      <c r="P948" s="32">
        <v>19</v>
      </c>
      <c r="Q948" s="32">
        <v>14</v>
      </c>
      <c r="R948" s="32">
        <v>22</v>
      </c>
      <c r="S948" s="32">
        <v>13</v>
      </c>
      <c r="T948" s="32">
        <v>27</v>
      </c>
      <c r="U948" s="32">
        <v>27</v>
      </c>
      <c r="V948" s="30">
        <v>0.53333333333333333</v>
      </c>
      <c r="W948" s="30">
        <v>0.64406779661016944</v>
      </c>
      <c r="X948" s="32">
        <v>7632.09</v>
      </c>
      <c r="Y948" s="32">
        <v>9216.7200000000012</v>
      </c>
      <c r="Z948" s="32">
        <v>16848.810000000001</v>
      </c>
      <c r="AA948" s="3">
        <f t="shared" si="14"/>
        <v>16103.75</v>
      </c>
      <c r="AB948" s="3"/>
      <c r="AC948" s="3"/>
      <c r="AF948" s="3"/>
      <c r="AG948" s="3"/>
      <c r="AH948" s="3"/>
    </row>
    <row r="949" spans="1:34" x14ac:dyDescent="0.25">
      <c r="A949">
        <v>41620010</v>
      </c>
      <c r="B949">
        <v>4162</v>
      </c>
      <c r="C949" s="2">
        <v>7</v>
      </c>
      <c r="D949" s="2" t="s">
        <v>1077</v>
      </c>
      <c r="E949">
        <v>10</v>
      </c>
      <c r="F949" s="2" t="s">
        <v>1077</v>
      </c>
      <c r="G949" s="3">
        <v>1</v>
      </c>
      <c r="H949" s="32" t="s">
        <v>1328</v>
      </c>
      <c r="I949" s="32" t="s">
        <v>1328</v>
      </c>
      <c r="J949" s="32" t="s">
        <v>1328</v>
      </c>
      <c r="K949" s="32" t="s">
        <v>1328</v>
      </c>
      <c r="L949" s="32" t="s">
        <v>1328</v>
      </c>
      <c r="M949" s="32" t="s">
        <v>1328</v>
      </c>
      <c r="N949" s="32" t="s">
        <v>1328</v>
      </c>
      <c r="O949" s="32" t="s">
        <v>1328</v>
      </c>
      <c r="P949" s="32" t="s">
        <v>1328</v>
      </c>
      <c r="Q949" s="32" t="s">
        <v>1328</v>
      </c>
      <c r="R949" s="32" t="s">
        <v>1328</v>
      </c>
      <c r="S949" s="32" t="s">
        <v>1328</v>
      </c>
      <c r="T949" s="32">
        <v>14</v>
      </c>
      <c r="U949" s="32">
        <v>11</v>
      </c>
      <c r="V949" s="30" t="s">
        <v>1328</v>
      </c>
      <c r="W949" s="30" t="s">
        <v>1328</v>
      </c>
      <c r="X949" s="32" t="s">
        <v>1328</v>
      </c>
      <c r="Y949" s="32" t="s">
        <v>1328</v>
      </c>
      <c r="Z949" s="32">
        <v>9652.67</v>
      </c>
      <c r="AA949" s="3">
        <f t="shared" si="14"/>
        <v>9225.83</v>
      </c>
      <c r="AB949" s="3"/>
      <c r="AC949" s="3"/>
      <c r="AF949" s="3"/>
      <c r="AG949" s="3"/>
      <c r="AH949" s="3"/>
    </row>
    <row r="950" spans="1:34" x14ac:dyDescent="0.25">
      <c r="A950">
        <v>41630010</v>
      </c>
      <c r="B950">
        <v>4163</v>
      </c>
      <c r="C950" s="2">
        <v>7</v>
      </c>
      <c r="D950" s="2" t="s">
        <v>1078</v>
      </c>
      <c r="E950">
        <v>10</v>
      </c>
      <c r="F950" s="2" t="s">
        <v>1078</v>
      </c>
      <c r="G950" s="3">
        <v>0</v>
      </c>
      <c r="H950" s="32">
        <v>16</v>
      </c>
      <c r="I950" s="32">
        <v>4</v>
      </c>
      <c r="J950" s="32">
        <v>18</v>
      </c>
      <c r="K950" s="32">
        <v>7</v>
      </c>
      <c r="L950" s="32">
        <v>24</v>
      </c>
      <c r="M950" s="32">
        <v>10</v>
      </c>
      <c r="N950" s="32">
        <v>12</v>
      </c>
      <c r="O950" s="32">
        <v>5</v>
      </c>
      <c r="P950" s="32">
        <v>10</v>
      </c>
      <c r="Q950" s="32">
        <v>6</v>
      </c>
      <c r="R950" s="32">
        <v>16</v>
      </c>
      <c r="S950" s="32">
        <v>9</v>
      </c>
      <c r="T950" s="32">
        <v>21</v>
      </c>
      <c r="U950" s="32">
        <v>24</v>
      </c>
      <c r="V950" s="30">
        <v>0.36206896551724138</v>
      </c>
      <c r="W950" s="30">
        <v>0.52631578947368418</v>
      </c>
      <c r="X950" s="32">
        <v>4029.9</v>
      </c>
      <c r="Y950" s="32">
        <v>6694.7999999999993</v>
      </c>
      <c r="Z950" s="32">
        <v>10724.699999999999</v>
      </c>
      <c r="AA950" s="3">
        <f t="shared" si="14"/>
        <v>10250.450000000001</v>
      </c>
      <c r="AB950" s="3"/>
      <c r="AC950" s="3"/>
      <c r="AF950" s="3"/>
      <c r="AG950" s="3"/>
      <c r="AH950" s="3"/>
    </row>
    <row r="951" spans="1:34" x14ac:dyDescent="0.25">
      <c r="A951">
        <v>41670010</v>
      </c>
      <c r="B951">
        <v>4167</v>
      </c>
      <c r="C951">
        <v>7</v>
      </c>
      <c r="D951" t="s">
        <v>1079</v>
      </c>
      <c r="E951">
        <v>10</v>
      </c>
      <c r="F951" t="s">
        <v>1079</v>
      </c>
      <c r="G951" s="3">
        <v>0</v>
      </c>
      <c r="H951" s="32">
        <v>19</v>
      </c>
      <c r="I951" s="32">
        <v>15</v>
      </c>
      <c r="J951" s="32">
        <v>25</v>
      </c>
      <c r="K951" s="32">
        <v>23</v>
      </c>
      <c r="L951" s="32">
        <v>36</v>
      </c>
      <c r="M951" s="32">
        <v>32</v>
      </c>
      <c r="N951" s="32">
        <v>18</v>
      </c>
      <c r="O951" s="32">
        <v>15</v>
      </c>
      <c r="P951" s="32">
        <v>19</v>
      </c>
      <c r="Q951" s="32">
        <v>17</v>
      </c>
      <c r="R951" s="32">
        <v>20</v>
      </c>
      <c r="S951" s="32">
        <v>18</v>
      </c>
      <c r="T951" s="32">
        <v>38</v>
      </c>
      <c r="U951" s="32">
        <v>24</v>
      </c>
      <c r="V951" s="30">
        <v>0.875</v>
      </c>
      <c r="W951" s="30">
        <v>0.8771929824561403</v>
      </c>
      <c r="X951" s="32">
        <v>17622.5</v>
      </c>
      <c r="Y951" s="32">
        <v>11157.84</v>
      </c>
      <c r="Z951" s="32">
        <v>28780.34</v>
      </c>
      <c r="AA951" s="3">
        <f t="shared" si="14"/>
        <v>27507.67</v>
      </c>
      <c r="AB951" s="3"/>
      <c r="AC951" s="3"/>
      <c r="AF951" s="3"/>
      <c r="AG951" s="3"/>
      <c r="AH951" s="3"/>
    </row>
    <row r="952" spans="1:34" x14ac:dyDescent="0.25">
      <c r="A952">
        <v>41680010</v>
      </c>
      <c r="B952">
        <v>4168</v>
      </c>
      <c r="C952" s="2">
        <v>7</v>
      </c>
      <c r="D952" s="2" t="s">
        <v>1281</v>
      </c>
      <c r="E952">
        <v>10</v>
      </c>
      <c r="F952" s="2" t="s">
        <v>1281</v>
      </c>
      <c r="G952" s="3">
        <v>1</v>
      </c>
      <c r="H952" s="32" t="s">
        <v>1328</v>
      </c>
      <c r="I952" s="32" t="s">
        <v>1328</v>
      </c>
      <c r="J952" s="32" t="s">
        <v>1328</v>
      </c>
      <c r="K952" s="32" t="s">
        <v>1328</v>
      </c>
      <c r="L952" s="32" t="s">
        <v>1328</v>
      </c>
      <c r="M952" s="32" t="s">
        <v>1328</v>
      </c>
      <c r="N952" s="32" t="s">
        <v>1328</v>
      </c>
      <c r="O952" s="32" t="s">
        <v>1328</v>
      </c>
      <c r="P952" s="32" t="s">
        <v>1328</v>
      </c>
      <c r="Q952" s="32" t="s">
        <v>1328</v>
      </c>
      <c r="R952" s="32" t="s">
        <v>1328</v>
      </c>
      <c r="S952" s="32" t="s">
        <v>1328</v>
      </c>
      <c r="T952" s="32">
        <v>16</v>
      </c>
      <c r="U952" s="32">
        <v>10</v>
      </c>
      <c r="V952" s="30" t="s">
        <v>1328</v>
      </c>
      <c r="W952" s="30" t="s">
        <v>1328</v>
      </c>
      <c r="X952" s="32" t="s">
        <v>1328</v>
      </c>
      <c r="Y952" s="32" t="s">
        <v>1328</v>
      </c>
      <c r="Z952" s="32">
        <v>10767.32</v>
      </c>
      <c r="AA952" s="3">
        <f t="shared" si="14"/>
        <v>10291.19</v>
      </c>
      <c r="AB952" s="3"/>
      <c r="AC952" s="3"/>
      <c r="AF952" s="3"/>
      <c r="AG952" s="3"/>
      <c r="AH952" s="3"/>
    </row>
    <row r="953" spans="1:34" x14ac:dyDescent="0.25">
      <c r="A953">
        <v>41690010</v>
      </c>
      <c r="B953">
        <v>4169</v>
      </c>
      <c r="C953">
        <v>7</v>
      </c>
      <c r="D953" t="s">
        <v>1080</v>
      </c>
      <c r="E953">
        <v>10</v>
      </c>
      <c r="F953" t="s">
        <v>1080</v>
      </c>
      <c r="G953" s="3">
        <v>0</v>
      </c>
      <c r="H953" s="32">
        <v>19</v>
      </c>
      <c r="I953" s="32">
        <v>3</v>
      </c>
      <c r="J953" s="32">
        <v>19</v>
      </c>
      <c r="K953" s="32">
        <v>7</v>
      </c>
      <c r="L953" s="32">
        <v>17</v>
      </c>
      <c r="M953" s="32">
        <v>4</v>
      </c>
      <c r="N953" s="32">
        <v>10</v>
      </c>
      <c r="O953" s="32">
        <v>9</v>
      </c>
      <c r="P953" s="32">
        <v>17</v>
      </c>
      <c r="Q953" s="32">
        <v>13</v>
      </c>
      <c r="R953" s="32">
        <v>21</v>
      </c>
      <c r="S953" s="32">
        <v>18</v>
      </c>
      <c r="T953" s="32">
        <v>16</v>
      </c>
      <c r="U953" s="32">
        <v>26</v>
      </c>
      <c r="V953" s="30">
        <v>0.25454545454545452</v>
      </c>
      <c r="W953" s="30">
        <v>0.83333333333333337</v>
      </c>
      <c r="X953" s="32">
        <v>2158.56</v>
      </c>
      <c r="Y953" s="32">
        <v>11483.42</v>
      </c>
      <c r="Z953" s="32">
        <v>13641.98</v>
      </c>
      <c r="AA953" s="3">
        <f t="shared" si="14"/>
        <v>13038.73</v>
      </c>
      <c r="AB953" s="3"/>
      <c r="AC953" s="3"/>
      <c r="AF953" s="3"/>
      <c r="AG953" s="3"/>
      <c r="AH953" s="3"/>
    </row>
    <row r="954" spans="1:34" x14ac:dyDescent="0.25">
      <c r="A954">
        <v>41700010</v>
      </c>
      <c r="B954">
        <v>4170</v>
      </c>
      <c r="C954" s="2">
        <v>7</v>
      </c>
      <c r="D954" s="2" t="s">
        <v>1081</v>
      </c>
      <c r="E954">
        <v>10</v>
      </c>
      <c r="F954" s="2" t="s">
        <v>1081</v>
      </c>
      <c r="G954" s="3">
        <v>0</v>
      </c>
      <c r="H954" s="32">
        <v>47</v>
      </c>
      <c r="I954" s="32">
        <v>32</v>
      </c>
      <c r="J954" s="32">
        <v>77</v>
      </c>
      <c r="K954" s="32">
        <v>51</v>
      </c>
      <c r="L954" s="32">
        <v>64</v>
      </c>
      <c r="M954" s="32">
        <v>39</v>
      </c>
      <c r="N954" s="32">
        <v>0</v>
      </c>
      <c r="O954" s="32">
        <v>0</v>
      </c>
      <c r="P954" s="32">
        <v>36</v>
      </c>
      <c r="Q954" s="32">
        <v>33</v>
      </c>
      <c r="R954" s="32">
        <v>74</v>
      </c>
      <c r="S954" s="32">
        <v>46</v>
      </c>
      <c r="T954" s="32">
        <v>71</v>
      </c>
      <c r="U954" s="32">
        <v>78</v>
      </c>
      <c r="V954" s="30">
        <v>0.64893617021276595</v>
      </c>
      <c r="W954" s="30">
        <v>0.71818181818181814</v>
      </c>
      <c r="X954" s="32">
        <v>24419.74</v>
      </c>
      <c r="Y954" s="32">
        <v>29689.919999999998</v>
      </c>
      <c r="Z954" s="32">
        <v>54109.66</v>
      </c>
      <c r="AA954" s="3">
        <f t="shared" si="14"/>
        <v>51716.92</v>
      </c>
      <c r="AB954" s="3"/>
      <c r="AC954" s="3"/>
      <c r="AF954" s="3"/>
      <c r="AG954" s="3"/>
      <c r="AH954" s="3"/>
    </row>
    <row r="955" spans="1:34" x14ac:dyDescent="0.25">
      <c r="A955">
        <v>41710010</v>
      </c>
      <c r="B955">
        <v>4171</v>
      </c>
      <c r="C955" s="2">
        <v>7</v>
      </c>
      <c r="D955" s="2" t="s">
        <v>1082</v>
      </c>
      <c r="E955">
        <v>10</v>
      </c>
      <c r="F955" s="2" t="s">
        <v>1082</v>
      </c>
      <c r="G955" s="3">
        <v>0</v>
      </c>
      <c r="H955" s="32">
        <v>48</v>
      </c>
      <c r="I955" s="32">
        <v>15</v>
      </c>
      <c r="J955" s="32">
        <v>69</v>
      </c>
      <c r="K955" s="32">
        <v>44</v>
      </c>
      <c r="L955" s="32">
        <v>58</v>
      </c>
      <c r="M955" s="32">
        <v>33</v>
      </c>
      <c r="N955" s="32">
        <v>39</v>
      </c>
      <c r="O955" s="32">
        <v>29</v>
      </c>
      <c r="P955" s="32">
        <v>43</v>
      </c>
      <c r="Q955" s="32">
        <v>39</v>
      </c>
      <c r="R955" s="32">
        <v>57</v>
      </c>
      <c r="S955" s="32">
        <v>37</v>
      </c>
      <c r="T955" s="32">
        <v>60</v>
      </c>
      <c r="U955" s="32">
        <v>66</v>
      </c>
      <c r="V955" s="30">
        <v>0.52571428571428569</v>
      </c>
      <c r="W955" s="30">
        <v>0.75539568345323738</v>
      </c>
      <c r="X955" s="32">
        <v>16717.8</v>
      </c>
      <c r="Y955" s="32">
        <v>26423.760000000002</v>
      </c>
      <c r="Z955" s="32">
        <v>43141.56</v>
      </c>
      <c r="AA955" s="3">
        <f t="shared" si="14"/>
        <v>41233.83</v>
      </c>
      <c r="AB955" s="3"/>
      <c r="AC955" s="3"/>
      <c r="AF955" s="3"/>
      <c r="AG955" s="3"/>
      <c r="AH955" s="3"/>
    </row>
    <row r="956" spans="1:34" x14ac:dyDescent="0.25">
      <c r="A956">
        <v>41720010</v>
      </c>
      <c r="B956">
        <v>4172</v>
      </c>
      <c r="C956" s="2">
        <v>7</v>
      </c>
      <c r="D956" s="2" t="s">
        <v>1282</v>
      </c>
      <c r="E956">
        <v>10</v>
      </c>
      <c r="F956" s="2" t="s">
        <v>1282</v>
      </c>
      <c r="G956" s="3">
        <v>1</v>
      </c>
      <c r="H956" s="32" t="s">
        <v>1328</v>
      </c>
      <c r="I956" s="32" t="s">
        <v>1328</v>
      </c>
      <c r="J956" s="32" t="s">
        <v>1328</v>
      </c>
      <c r="K956" s="32" t="s">
        <v>1328</v>
      </c>
      <c r="L956" s="32" t="s">
        <v>1328</v>
      </c>
      <c r="M956" s="32" t="s">
        <v>1328</v>
      </c>
      <c r="N956" s="32" t="s">
        <v>1328</v>
      </c>
      <c r="O956" s="32" t="s">
        <v>1328</v>
      </c>
      <c r="P956" s="32" t="s">
        <v>1328</v>
      </c>
      <c r="Q956" s="32" t="s">
        <v>1328</v>
      </c>
      <c r="R956" s="32" t="s">
        <v>1328</v>
      </c>
      <c r="S956" s="32" t="s">
        <v>1328</v>
      </c>
      <c r="T956" s="32">
        <v>10</v>
      </c>
      <c r="U956" s="32">
        <v>7</v>
      </c>
      <c r="V956" s="30" t="s">
        <v>1328</v>
      </c>
      <c r="W956" s="30" t="s">
        <v>1328</v>
      </c>
      <c r="X956" s="32" t="s">
        <v>1328</v>
      </c>
      <c r="Y956" s="32" t="s">
        <v>1328</v>
      </c>
      <c r="Z956" s="32">
        <v>7244.37</v>
      </c>
      <c r="AA956" s="3">
        <f t="shared" si="14"/>
        <v>6924.02</v>
      </c>
      <c r="AB956" s="3"/>
      <c r="AC956" s="3"/>
      <c r="AF956" s="3"/>
      <c r="AG956" s="3"/>
      <c r="AH956" s="3"/>
    </row>
    <row r="957" spans="1:34" x14ac:dyDescent="0.25">
      <c r="A957">
        <v>41740010</v>
      </c>
      <c r="B957">
        <v>4174</v>
      </c>
      <c r="C957">
        <v>7</v>
      </c>
      <c r="D957" t="s">
        <v>1283</v>
      </c>
      <c r="E957">
        <v>10</v>
      </c>
      <c r="F957" t="s">
        <v>1283</v>
      </c>
      <c r="G957" s="3">
        <v>1</v>
      </c>
      <c r="H957" s="32" t="s">
        <v>1328</v>
      </c>
      <c r="I957" s="32" t="s">
        <v>1328</v>
      </c>
      <c r="J957" s="32" t="s">
        <v>1328</v>
      </c>
      <c r="K957" s="32" t="s">
        <v>1328</v>
      </c>
      <c r="L957" s="32" t="s">
        <v>1328</v>
      </c>
      <c r="M957" s="32" t="s">
        <v>1328</v>
      </c>
      <c r="N957" s="32" t="s">
        <v>1328</v>
      </c>
      <c r="O957" s="32" t="s">
        <v>1328</v>
      </c>
      <c r="P957" s="32" t="s">
        <v>1328</v>
      </c>
      <c r="Q957" s="32" t="s">
        <v>1328</v>
      </c>
      <c r="R957" s="32" t="s">
        <v>1328</v>
      </c>
      <c r="S957" s="32" t="s">
        <v>1328</v>
      </c>
      <c r="T957" s="32">
        <v>3</v>
      </c>
      <c r="U957" s="32">
        <v>1</v>
      </c>
      <c r="V957" s="30" t="s">
        <v>1328</v>
      </c>
      <c r="W957" s="30" t="s">
        <v>1328</v>
      </c>
      <c r="X957" s="32" t="s">
        <v>1328</v>
      </c>
      <c r="Y957" s="32" t="s">
        <v>1328</v>
      </c>
      <c r="Z957" s="32">
        <v>0</v>
      </c>
      <c r="AA957" s="3">
        <f t="shared" si="14"/>
        <v>0</v>
      </c>
      <c r="AB957" s="3"/>
      <c r="AC957" s="3"/>
      <c r="AF957" s="3"/>
      <c r="AG957" s="3"/>
      <c r="AH957" s="3"/>
    </row>
    <row r="958" spans="1:34" x14ac:dyDescent="0.25">
      <c r="A958">
        <v>41770010</v>
      </c>
      <c r="B958">
        <v>4177</v>
      </c>
      <c r="C958">
        <v>7</v>
      </c>
      <c r="D958" t="s">
        <v>1284</v>
      </c>
      <c r="E958">
        <v>10</v>
      </c>
      <c r="F958" t="s">
        <v>1284</v>
      </c>
      <c r="G958">
        <v>1</v>
      </c>
      <c r="H958" s="1" t="s">
        <v>1328</v>
      </c>
      <c r="I958" s="1" t="s">
        <v>1328</v>
      </c>
      <c r="J958" s="1" t="s">
        <v>1328</v>
      </c>
      <c r="K958" s="1" t="s">
        <v>1328</v>
      </c>
      <c r="L958" s="1" t="s">
        <v>1328</v>
      </c>
      <c r="M958" s="1" t="s">
        <v>1328</v>
      </c>
      <c r="N958" s="1" t="s">
        <v>1328</v>
      </c>
      <c r="O958" s="1" t="s">
        <v>1328</v>
      </c>
      <c r="P958" s="1" t="s">
        <v>1328</v>
      </c>
      <c r="Q958" s="1" t="s">
        <v>1328</v>
      </c>
      <c r="R958" s="1" t="s">
        <v>1328</v>
      </c>
      <c r="S958" s="1" t="s">
        <v>1328</v>
      </c>
      <c r="T958" s="1">
        <v>2</v>
      </c>
      <c r="U958" s="1">
        <v>3</v>
      </c>
      <c r="V958" s="1" t="s">
        <v>1328</v>
      </c>
      <c r="W958" s="1" t="s">
        <v>1328</v>
      </c>
      <c r="X958" s="1" t="s">
        <v>1328</v>
      </c>
      <c r="Y958" s="1" t="s">
        <v>1328</v>
      </c>
      <c r="Z958" s="29">
        <v>1489.05</v>
      </c>
      <c r="AA958" s="3">
        <f t="shared" si="14"/>
        <v>1423.2</v>
      </c>
      <c r="AB958" s="3"/>
      <c r="AC958" s="3"/>
      <c r="AF958" s="3"/>
      <c r="AG958" s="3"/>
      <c r="AH958" s="3"/>
    </row>
    <row r="959" spans="1:34" x14ac:dyDescent="0.25">
      <c r="A959">
        <v>41800010</v>
      </c>
      <c r="B959">
        <v>4180</v>
      </c>
      <c r="C959">
        <v>7</v>
      </c>
      <c r="D959" t="s">
        <v>1083</v>
      </c>
      <c r="E959">
        <v>10</v>
      </c>
      <c r="F959" t="s">
        <v>1083</v>
      </c>
      <c r="G959">
        <v>0</v>
      </c>
      <c r="H959" s="1">
        <v>17</v>
      </c>
      <c r="I959" s="1">
        <v>1</v>
      </c>
      <c r="J959" s="1">
        <v>40</v>
      </c>
      <c r="K959" s="1">
        <v>17</v>
      </c>
      <c r="L959" s="1">
        <v>37</v>
      </c>
      <c r="M959" s="1">
        <v>12</v>
      </c>
      <c r="N959" s="1">
        <v>17</v>
      </c>
      <c r="O959" s="1">
        <v>14</v>
      </c>
      <c r="P959" s="1">
        <v>20</v>
      </c>
      <c r="Q959" s="1">
        <v>16</v>
      </c>
      <c r="R959" s="1">
        <v>27</v>
      </c>
      <c r="S959" s="1">
        <v>18</v>
      </c>
      <c r="T959" s="1">
        <v>43</v>
      </c>
      <c r="U959" s="1">
        <v>39</v>
      </c>
      <c r="V959" s="1">
        <v>0.31914893617021278</v>
      </c>
      <c r="W959" s="1">
        <v>0.75</v>
      </c>
      <c r="X959" s="1">
        <v>7273.45</v>
      </c>
      <c r="Y959" s="1">
        <v>15502.5</v>
      </c>
      <c r="Z959" s="29">
        <v>22775.95</v>
      </c>
      <c r="AA959" s="3">
        <f t="shared" si="14"/>
        <v>21768.79</v>
      </c>
      <c r="AB959" s="3"/>
    </row>
    <row r="960" spans="1:34" x14ac:dyDescent="0.25">
      <c r="A960">
        <v>41810010</v>
      </c>
      <c r="B960">
        <v>4181</v>
      </c>
      <c r="C960">
        <v>7</v>
      </c>
      <c r="D960" t="s">
        <v>1084</v>
      </c>
      <c r="E960">
        <v>10</v>
      </c>
      <c r="F960" t="s">
        <v>1084</v>
      </c>
      <c r="G960">
        <v>0</v>
      </c>
      <c r="H960" s="1">
        <v>42</v>
      </c>
      <c r="I960" s="1">
        <v>6</v>
      </c>
      <c r="J960" s="1">
        <v>100</v>
      </c>
      <c r="K960" s="1">
        <v>21</v>
      </c>
      <c r="L960" s="1">
        <v>104</v>
      </c>
      <c r="M960" s="1">
        <v>35</v>
      </c>
      <c r="N960" s="1">
        <v>45</v>
      </c>
      <c r="O960" s="1">
        <v>36</v>
      </c>
      <c r="P960" s="1">
        <v>45</v>
      </c>
      <c r="Q960" s="1">
        <v>37</v>
      </c>
      <c r="R960" s="1">
        <v>97</v>
      </c>
      <c r="S960" s="1">
        <v>76</v>
      </c>
      <c r="T960" s="1">
        <v>104</v>
      </c>
      <c r="U960" s="1">
        <v>106</v>
      </c>
      <c r="V960" s="1">
        <v>0.25203252032520324</v>
      </c>
      <c r="W960" s="1">
        <v>0.79679144385026734</v>
      </c>
      <c r="X960" s="1">
        <v>13892.320000000002</v>
      </c>
      <c r="Y960" s="1">
        <v>44763.8</v>
      </c>
      <c r="Z960" s="29">
        <v>58656.12</v>
      </c>
      <c r="AA960" s="3">
        <f t="shared" si="14"/>
        <v>56062.33</v>
      </c>
      <c r="AB960" s="3"/>
    </row>
    <row r="961" spans="1:28" x14ac:dyDescent="0.25">
      <c r="A961">
        <v>41840010</v>
      </c>
      <c r="B961">
        <v>4184</v>
      </c>
      <c r="C961">
        <v>7</v>
      </c>
      <c r="D961" t="s">
        <v>1085</v>
      </c>
      <c r="E961">
        <v>10</v>
      </c>
      <c r="F961" t="s">
        <v>1085</v>
      </c>
      <c r="G961">
        <v>0</v>
      </c>
      <c r="H961" s="1">
        <v>41</v>
      </c>
      <c r="I961" s="1">
        <v>38</v>
      </c>
      <c r="J961" s="1">
        <v>44</v>
      </c>
      <c r="K961" s="1">
        <v>41</v>
      </c>
      <c r="L961" s="1">
        <v>44</v>
      </c>
      <c r="M961" s="1">
        <v>43</v>
      </c>
      <c r="N961" s="1">
        <v>0</v>
      </c>
      <c r="O961" s="1">
        <v>0</v>
      </c>
      <c r="P961" s="1">
        <v>36</v>
      </c>
      <c r="Q961" s="1">
        <v>30</v>
      </c>
      <c r="R961" s="1">
        <v>40</v>
      </c>
      <c r="S961" s="1">
        <v>30</v>
      </c>
      <c r="T961" s="1">
        <v>44</v>
      </c>
      <c r="U961" s="1">
        <v>43</v>
      </c>
      <c r="V961" s="1">
        <v>0.94573643410852715</v>
      </c>
      <c r="W961" s="1">
        <v>0.78947368421052633</v>
      </c>
      <c r="X961" s="1">
        <v>22054.560000000001</v>
      </c>
      <c r="Y961" s="1">
        <v>17992.060000000001</v>
      </c>
      <c r="Z961" s="29">
        <v>40046.620000000003</v>
      </c>
      <c r="AA961" s="3">
        <f t="shared" si="14"/>
        <v>38275.75</v>
      </c>
      <c r="AB961" s="3"/>
    </row>
    <row r="962" spans="1:28" x14ac:dyDescent="0.25">
      <c r="A962">
        <v>41850010</v>
      </c>
      <c r="B962">
        <v>4185</v>
      </c>
      <c r="C962">
        <v>7</v>
      </c>
      <c r="D962" t="s">
        <v>1086</v>
      </c>
      <c r="E962">
        <v>10</v>
      </c>
      <c r="F962" t="s">
        <v>1086</v>
      </c>
      <c r="G962">
        <v>0</v>
      </c>
      <c r="H962" s="1">
        <v>25</v>
      </c>
      <c r="I962" s="1">
        <v>23</v>
      </c>
      <c r="J962" s="1">
        <v>50</v>
      </c>
      <c r="K962" s="1">
        <v>42</v>
      </c>
      <c r="L962" s="1">
        <v>52</v>
      </c>
      <c r="M962" s="1">
        <v>50</v>
      </c>
      <c r="N962" s="1">
        <v>24</v>
      </c>
      <c r="O962" s="1">
        <v>22</v>
      </c>
      <c r="P962" s="1">
        <v>41</v>
      </c>
      <c r="Q962" s="1">
        <v>25</v>
      </c>
      <c r="R962" s="1">
        <v>48</v>
      </c>
      <c r="S962" s="1">
        <v>43</v>
      </c>
      <c r="T962" s="1">
        <v>52</v>
      </c>
      <c r="U962" s="1">
        <v>52</v>
      </c>
      <c r="V962" s="1">
        <v>0.90551181102362199</v>
      </c>
      <c r="W962" s="1">
        <v>0.79646017699115046</v>
      </c>
      <c r="X962" s="1">
        <v>24955.84</v>
      </c>
      <c r="Y962" s="1">
        <v>21950.240000000002</v>
      </c>
      <c r="Z962" s="29">
        <v>46906.080000000002</v>
      </c>
      <c r="AA962" s="3">
        <f t="shared" si="14"/>
        <v>44831.88</v>
      </c>
      <c r="AB962" s="3"/>
    </row>
    <row r="963" spans="1:28" x14ac:dyDescent="0.25">
      <c r="A963">
        <v>41860010</v>
      </c>
      <c r="B963">
        <v>4186</v>
      </c>
      <c r="C963">
        <v>7</v>
      </c>
      <c r="D963" t="s">
        <v>1087</v>
      </c>
      <c r="E963">
        <v>10</v>
      </c>
      <c r="F963" t="s">
        <v>1087</v>
      </c>
      <c r="G963">
        <v>0</v>
      </c>
      <c r="H963" s="1">
        <v>43</v>
      </c>
      <c r="I963" s="1">
        <v>31</v>
      </c>
      <c r="J963" s="1">
        <v>44</v>
      </c>
      <c r="K963" s="1">
        <v>31</v>
      </c>
      <c r="L963" s="1">
        <v>55</v>
      </c>
      <c r="M963" s="1">
        <v>44</v>
      </c>
      <c r="N963" s="1">
        <v>29</v>
      </c>
      <c r="O963" s="1">
        <v>21</v>
      </c>
      <c r="P963" s="1">
        <v>39</v>
      </c>
      <c r="Q963" s="1">
        <v>36</v>
      </c>
      <c r="R963" s="1">
        <v>44</v>
      </c>
      <c r="S963" s="1">
        <v>36</v>
      </c>
      <c r="T963" s="1">
        <v>58</v>
      </c>
      <c r="U963" s="1">
        <v>48</v>
      </c>
      <c r="V963" s="1">
        <v>0.74647887323943662</v>
      </c>
      <c r="W963" s="1">
        <v>0.8303571428571429</v>
      </c>
      <c r="X963" s="1">
        <v>22946.54</v>
      </c>
      <c r="Y963" s="1">
        <v>21124.32</v>
      </c>
      <c r="Z963" s="29">
        <v>44070.86</v>
      </c>
      <c r="AA963" s="3">
        <f t="shared" si="14"/>
        <v>42122.04</v>
      </c>
      <c r="AB963" s="3"/>
    </row>
    <row r="964" spans="1:28" x14ac:dyDescent="0.25">
      <c r="A964">
        <v>41870010</v>
      </c>
      <c r="B964">
        <v>4187</v>
      </c>
      <c r="C964">
        <v>7</v>
      </c>
      <c r="D964" t="s">
        <v>1285</v>
      </c>
      <c r="E964">
        <v>10</v>
      </c>
      <c r="F964" t="s">
        <v>1285</v>
      </c>
      <c r="G964">
        <v>1</v>
      </c>
      <c r="H964" s="1" t="s">
        <v>1328</v>
      </c>
      <c r="I964" s="1" t="s">
        <v>1328</v>
      </c>
      <c r="J964" s="1" t="s">
        <v>1328</v>
      </c>
      <c r="K964" s="1" t="s">
        <v>1328</v>
      </c>
      <c r="L964" s="1" t="s">
        <v>1328</v>
      </c>
      <c r="M964" s="1" t="s">
        <v>1328</v>
      </c>
      <c r="N964" s="1" t="s">
        <v>1328</v>
      </c>
      <c r="O964" s="1" t="s">
        <v>1328</v>
      </c>
      <c r="P964" s="1" t="s">
        <v>1328</v>
      </c>
      <c r="Q964" s="1" t="s">
        <v>1328</v>
      </c>
      <c r="R964" s="1" t="s">
        <v>1328</v>
      </c>
      <c r="S964" s="1" t="s">
        <v>1328</v>
      </c>
      <c r="T964" s="1">
        <v>8</v>
      </c>
      <c r="U964" s="1">
        <v>13</v>
      </c>
      <c r="V964" s="1" t="s">
        <v>1328</v>
      </c>
      <c r="W964" s="1" t="s">
        <v>1328</v>
      </c>
      <c r="X964" s="1" t="s">
        <v>1328</v>
      </c>
      <c r="Y964" s="1" t="s">
        <v>1328</v>
      </c>
      <c r="Z964" s="29">
        <v>8424.06</v>
      </c>
      <c r="AA964" s="3">
        <f t="shared" si="14"/>
        <v>8051.55</v>
      </c>
      <c r="AB964" s="3"/>
    </row>
    <row r="965" spans="1:28" x14ac:dyDescent="0.25">
      <c r="A965">
        <v>41880010</v>
      </c>
      <c r="B965">
        <v>4188</v>
      </c>
      <c r="C965">
        <v>7</v>
      </c>
      <c r="D965" t="s">
        <v>1088</v>
      </c>
      <c r="E965">
        <v>10</v>
      </c>
      <c r="F965" t="s">
        <v>1088</v>
      </c>
      <c r="G965">
        <v>0</v>
      </c>
      <c r="H965" s="1">
        <v>23</v>
      </c>
      <c r="I965" s="1">
        <v>23</v>
      </c>
      <c r="J965" s="1">
        <v>23</v>
      </c>
      <c r="K965" s="1">
        <v>19</v>
      </c>
      <c r="L965" s="1">
        <v>47</v>
      </c>
      <c r="M965" s="1">
        <v>40</v>
      </c>
      <c r="N965" s="1">
        <v>17</v>
      </c>
      <c r="O965" s="1">
        <v>13</v>
      </c>
      <c r="P965" s="1">
        <v>24</v>
      </c>
      <c r="Q965" s="1">
        <v>19</v>
      </c>
      <c r="R965" s="1">
        <v>21</v>
      </c>
      <c r="S965" s="1">
        <v>14</v>
      </c>
      <c r="T965" s="1">
        <v>48</v>
      </c>
      <c r="U965" s="1">
        <v>23</v>
      </c>
      <c r="V965" s="1">
        <v>0.88172043010752688</v>
      </c>
      <c r="W965" s="1">
        <v>0.74193548387096775</v>
      </c>
      <c r="X965" s="1">
        <v>22430.880000000001</v>
      </c>
      <c r="Y965" s="1">
        <v>9044.2900000000009</v>
      </c>
      <c r="Z965" s="29">
        <v>31475.170000000002</v>
      </c>
      <c r="AA965" s="3">
        <f t="shared" si="14"/>
        <v>30083.33</v>
      </c>
      <c r="AB965" s="3"/>
    </row>
    <row r="966" spans="1:28" x14ac:dyDescent="0.25">
      <c r="A966">
        <v>41890010</v>
      </c>
      <c r="B966">
        <v>4189</v>
      </c>
      <c r="C966">
        <v>7</v>
      </c>
      <c r="D966" t="s">
        <v>1286</v>
      </c>
      <c r="E966">
        <v>10</v>
      </c>
      <c r="F966" t="s">
        <v>1286</v>
      </c>
      <c r="G966">
        <v>1</v>
      </c>
      <c r="H966" s="1" t="s">
        <v>1328</v>
      </c>
      <c r="I966" s="1" t="s">
        <v>1328</v>
      </c>
      <c r="J966" s="1" t="s">
        <v>1328</v>
      </c>
      <c r="K966" s="1" t="s">
        <v>1328</v>
      </c>
      <c r="L966" s="1" t="s">
        <v>1328</v>
      </c>
      <c r="M966" s="1" t="s">
        <v>1328</v>
      </c>
      <c r="N966" s="1" t="s">
        <v>1328</v>
      </c>
      <c r="O966" s="1" t="s">
        <v>1328</v>
      </c>
      <c r="P966" s="1" t="s">
        <v>1328</v>
      </c>
      <c r="Q966" s="1" t="s">
        <v>1328</v>
      </c>
      <c r="R966" s="1" t="s">
        <v>1328</v>
      </c>
      <c r="S966" s="1" t="s">
        <v>1328</v>
      </c>
      <c r="T966" s="1">
        <v>19</v>
      </c>
      <c r="U966" s="1">
        <v>15</v>
      </c>
      <c r="V966" s="1" t="s">
        <v>1328</v>
      </c>
      <c r="W966" s="1" t="s">
        <v>1328</v>
      </c>
      <c r="X966" s="1" t="s">
        <v>1328</v>
      </c>
      <c r="Y966" s="1" t="s">
        <v>1328</v>
      </c>
      <c r="Z966" s="29">
        <v>11653.8</v>
      </c>
      <c r="AA966" s="3">
        <f t="shared" si="14"/>
        <v>11138.47</v>
      </c>
      <c r="AB966" s="3"/>
    </row>
    <row r="967" spans="1:28" x14ac:dyDescent="0.25">
      <c r="A967">
        <v>41920010</v>
      </c>
      <c r="B967">
        <v>4192</v>
      </c>
      <c r="C967">
        <v>7</v>
      </c>
      <c r="D967" t="s">
        <v>1089</v>
      </c>
      <c r="E967">
        <v>10</v>
      </c>
      <c r="F967" t="s">
        <v>1089</v>
      </c>
      <c r="G967">
        <v>0</v>
      </c>
      <c r="H967" s="1">
        <v>60</v>
      </c>
      <c r="I967" s="1">
        <v>34</v>
      </c>
      <c r="J967" s="1">
        <v>46</v>
      </c>
      <c r="K967" s="1">
        <v>33</v>
      </c>
      <c r="L967" s="1">
        <v>56</v>
      </c>
      <c r="M967" s="1">
        <v>46</v>
      </c>
      <c r="N967" s="1">
        <v>28</v>
      </c>
      <c r="O967" s="1">
        <v>25</v>
      </c>
      <c r="P967" s="1">
        <v>33</v>
      </c>
      <c r="Q967" s="1">
        <v>30</v>
      </c>
      <c r="R967" s="1">
        <v>34</v>
      </c>
      <c r="S967" s="1">
        <v>33</v>
      </c>
      <c r="T967" s="1">
        <v>65</v>
      </c>
      <c r="U967" s="1">
        <v>61</v>
      </c>
      <c r="V967" s="1">
        <v>0.69753086419753085</v>
      </c>
      <c r="W967" s="1">
        <v>0.9263157894736842</v>
      </c>
      <c r="X967" s="1">
        <v>24029.85</v>
      </c>
      <c r="Y967" s="1">
        <v>29947.95</v>
      </c>
      <c r="Z967" s="29">
        <v>53977.8</v>
      </c>
      <c r="AA967" s="3">
        <f t="shared" si="14"/>
        <v>51590.89</v>
      </c>
      <c r="AB967" s="3"/>
    </row>
    <row r="968" spans="1:28" x14ac:dyDescent="0.25">
      <c r="A968">
        <v>41930010</v>
      </c>
      <c r="B968">
        <v>4193</v>
      </c>
      <c r="C968">
        <v>7</v>
      </c>
      <c r="D968" t="s">
        <v>1090</v>
      </c>
      <c r="E968">
        <v>10</v>
      </c>
      <c r="F968" t="s">
        <v>1090</v>
      </c>
      <c r="G968">
        <v>0</v>
      </c>
      <c r="H968" s="1">
        <v>26</v>
      </c>
      <c r="I968" s="1">
        <v>11</v>
      </c>
      <c r="J968" s="1">
        <v>21</v>
      </c>
      <c r="K968" s="1">
        <v>7</v>
      </c>
      <c r="L968" s="1">
        <v>27</v>
      </c>
      <c r="M968" s="1">
        <v>6</v>
      </c>
      <c r="N968" s="1">
        <v>0</v>
      </c>
      <c r="O968" s="1">
        <v>0</v>
      </c>
      <c r="P968" s="1">
        <v>12</v>
      </c>
      <c r="Q968" s="1">
        <v>12</v>
      </c>
      <c r="R968" s="1">
        <v>19</v>
      </c>
      <c r="S968" s="1">
        <v>13</v>
      </c>
      <c r="T968" s="1">
        <v>28</v>
      </c>
      <c r="U968" s="1">
        <v>23</v>
      </c>
      <c r="V968" s="1">
        <v>0.32432432432432434</v>
      </c>
      <c r="W968" s="1">
        <v>0.80645161290322576</v>
      </c>
      <c r="X968" s="1">
        <v>4812.92</v>
      </c>
      <c r="Y968" s="1">
        <v>9830.66</v>
      </c>
      <c r="Z968" s="29">
        <v>14643.58</v>
      </c>
      <c r="AA968" s="3">
        <f t="shared" si="14"/>
        <v>13996.04</v>
      </c>
      <c r="AB968" s="3"/>
    </row>
    <row r="969" spans="1:28" x14ac:dyDescent="0.25">
      <c r="A969">
        <v>41940010</v>
      </c>
      <c r="B969">
        <v>4194</v>
      </c>
      <c r="C969">
        <v>7</v>
      </c>
      <c r="D969" t="s">
        <v>1091</v>
      </c>
      <c r="E969">
        <v>10</v>
      </c>
      <c r="F969" t="s">
        <v>1091</v>
      </c>
      <c r="G969">
        <v>0</v>
      </c>
      <c r="H969" s="1">
        <v>20</v>
      </c>
      <c r="I969" s="1">
        <v>18</v>
      </c>
      <c r="J969" s="1">
        <v>20</v>
      </c>
      <c r="K969" s="1">
        <v>19</v>
      </c>
      <c r="L969" s="1">
        <v>20</v>
      </c>
      <c r="M969" s="1">
        <v>18</v>
      </c>
      <c r="N969" s="1">
        <v>15</v>
      </c>
      <c r="O969" s="1">
        <v>11</v>
      </c>
      <c r="P969" s="1">
        <v>19</v>
      </c>
      <c r="Q969" s="1">
        <v>17</v>
      </c>
      <c r="R969" s="1">
        <v>22</v>
      </c>
      <c r="S969" s="1">
        <v>15</v>
      </c>
      <c r="T969" s="1">
        <v>20</v>
      </c>
      <c r="U969" s="1">
        <v>22</v>
      </c>
      <c r="V969" s="1">
        <v>0.91666666666666663</v>
      </c>
      <c r="W969" s="1">
        <v>0.7678571428571429</v>
      </c>
      <c r="X969" s="1">
        <v>9716.6</v>
      </c>
      <c r="Y969" s="1">
        <v>8953.119999999999</v>
      </c>
      <c r="Z969" s="29">
        <v>18669.72</v>
      </c>
      <c r="AA969" s="3">
        <f t="shared" si="14"/>
        <v>17844.14</v>
      </c>
      <c r="AB969" s="3"/>
    </row>
    <row r="970" spans="1:28" x14ac:dyDescent="0.25">
      <c r="A970">
        <v>41950010</v>
      </c>
      <c r="B970">
        <v>4195</v>
      </c>
      <c r="C970">
        <v>7</v>
      </c>
      <c r="D970" t="s">
        <v>1287</v>
      </c>
      <c r="E970">
        <v>10</v>
      </c>
      <c r="F970" t="s">
        <v>1287</v>
      </c>
      <c r="G970">
        <v>1</v>
      </c>
      <c r="H970" s="1" t="s">
        <v>1328</v>
      </c>
      <c r="I970" s="1" t="s">
        <v>1328</v>
      </c>
      <c r="J970" s="1" t="s">
        <v>1328</v>
      </c>
      <c r="K970" s="1" t="s">
        <v>1328</v>
      </c>
      <c r="L970" s="1" t="s">
        <v>1328</v>
      </c>
      <c r="M970" s="1" t="s">
        <v>1328</v>
      </c>
      <c r="N970" s="1" t="s">
        <v>1328</v>
      </c>
      <c r="O970" s="1" t="s">
        <v>1328</v>
      </c>
      <c r="P970" s="1" t="s">
        <v>1328</v>
      </c>
      <c r="Q970" s="1" t="s">
        <v>1328</v>
      </c>
      <c r="R970" s="1" t="s">
        <v>1328</v>
      </c>
      <c r="S970" s="1" t="s">
        <v>1328</v>
      </c>
      <c r="T970" s="1">
        <v>6</v>
      </c>
      <c r="U970" s="1">
        <v>8</v>
      </c>
      <c r="V970" s="1" t="s">
        <v>1328</v>
      </c>
      <c r="W970" s="1" t="s">
        <v>1328</v>
      </c>
      <c r="X970" s="1" t="s">
        <v>1328</v>
      </c>
      <c r="Y970" s="1" t="s">
        <v>1328</v>
      </c>
      <c r="Z970" s="29">
        <v>3221.2999999999997</v>
      </c>
      <c r="AA970" s="3">
        <f t="shared" si="14"/>
        <v>3078.85</v>
      </c>
      <c r="AB970" s="3"/>
    </row>
    <row r="971" spans="1:28" x14ac:dyDescent="0.25">
      <c r="A971">
        <v>41980010</v>
      </c>
      <c r="B971">
        <v>4198</v>
      </c>
      <c r="C971">
        <v>7</v>
      </c>
      <c r="D971" t="s">
        <v>1302</v>
      </c>
      <c r="E971">
        <v>10</v>
      </c>
      <c r="F971" t="s">
        <v>1302</v>
      </c>
      <c r="G97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18</v>
      </c>
      <c r="M971" s="1">
        <v>13</v>
      </c>
      <c r="N971" s="1">
        <v>0</v>
      </c>
      <c r="O971" s="1">
        <v>0</v>
      </c>
      <c r="P971" s="1">
        <v>0</v>
      </c>
      <c r="Q971" s="1">
        <v>0</v>
      </c>
      <c r="R971" s="1">
        <v>11</v>
      </c>
      <c r="S971" s="1">
        <v>1</v>
      </c>
      <c r="T971" s="1">
        <v>19</v>
      </c>
      <c r="U971" s="1">
        <v>17</v>
      </c>
      <c r="V971" s="1">
        <v>0.72222222222222221</v>
      </c>
      <c r="W971" s="1">
        <v>9.0909090909090912E-2</v>
      </c>
      <c r="X971" s="1">
        <v>7272.82</v>
      </c>
      <c r="Y971" s="1">
        <v>819.06</v>
      </c>
      <c r="Z971" s="29">
        <v>8091.8799999999992</v>
      </c>
      <c r="AA971" s="3">
        <f t="shared" si="14"/>
        <v>7734.06</v>
      </c>
      <c r="AB971" s="3"/>
    </row>
    <row r="972" spans="1:28" x14ac:dyDescent="0.25">
      <c r="A972">
        <v>41990010</v>
      </c>
      <c r="B972">
        <v>4199</v>
      </c>
      <c r="C972">
        <v>7</v>
      </c>
      <c r="D972" t="s">
        <v>1303</v>
      </c>
      <c r="E972">
        <v>10</v>
      </c>
      <c r="F972" t="s">
        <v>1303</v>
      </c>
      <c r="G972">
        <v>0</v>
      </c>
      <c r="H972" s="1">
        <v>0</v>
      </c>
      <c r="I972" s="1">
        <v>0</v>
      </c>
      <c r="J972" s="1">
        <v>0</v>
      </c>
      <c r="K972" s="1">
        <v>0</v>
      </c>
      <c r="L972" s="1">
        <v>56</v>
      </c>
      <c r="M972" s="1">
        <v>46</v>
      </c>
      <c r="N972" s="1">
        <v>0</v>
      </c>
      <c r="O972" s="1">
        <v>0</v>
      </c>
      <c r="P972" s="1">
        <v>0</v>
      </c>
      <c r="Q972" s="1">
        <v>0</v>
      </c>
      <c r="R972" s="1">
        <v>21</v>
      </c>
      <c r="S972" s="1">
        <v>17</v>
      </c>
      <c r="T972" s="1">
        <v>55</v>
      </c>
      <c r="U972" s="1">
        <v>29</v>
      </c>
      <c r="V972" s="1">
        <v>0.8214285714285714</v>
      </c>
      <c r="W972" s="1">
        <v>0.80952380952380953</v>
      </c>
      <c r="X972" s="1">
        <v>23944.799999999999</v>
      </c>
      <c r="Y972" s="1">
        <v>12442.45</v>
      </c>
      <c r="Z972" s="29">
        <v>36387.25</v>
      </c>
      <c r="AA972" s="3">
        <f t="shared" si="14"/>
        <v>34778.199999999997</v>
      </c>
      <c r="AB972" s="3"/>
    </row>
    <row r="973" spans="1:28" x14ac:dyDescent="0.25">
      <c r="A973">
        <v>42020010</v>
      </c>
      <c r="B973">
        <v>4202</v>
      </c>
      <c r="C973">
        <v>7</v>
      </c>
      <c r="D973" t="s">
        <v>1304</v>
      </c>
      <c r="E973">
        <v>10</v>
      </c>
      <c r="F973" t="s">
        <v>1304</v>
      </c>
      <c r="G973" s="3">
        <v>0</v>
      </c>
      <c r="H973" s="32">
        <v>0</v>
      </c>
      <c r="I973" s="32">
        <v>0</v>
      </c>
      <c r="J973" s="32">
        <v>0</v>
      </c>
      <c r="K973" s="32">
        <v>0</v>
      </c>
      <c r="L973" s="32">
        <v>35</v>
      </c>
      <c r="M973" s="32">
        <v>14</v>
      </c>
      <c r="N973" s="32">
        <v>0</v>
      </c>
      <c r="O973" s="32">
        <v>0</v>
      </c>
      <c r="P973" s="32">
        <v>0</v>
      </c>
      <c r="Q973" s="32">
        <v>0</v>
      </c>
      <c r="R973" s="32">
        <v>12</v>
      </c>
      <c r="S973" s="32">
        <v>10</v>
      </c>
      <c r="T973" s="32">
        <v>37</v>
      </c>
      <c r="U973" s="32">
        <v>28</v>
      </c>
      <c r="V973" s="30">
        <v>0.4</v>
      </c>
      <c r="W973" s="30">
        <v>0.83333333333333337</v>
      </c>
      <c r="X973" s="32">
        <v>7844</v>
      </c>
      <c r="Y973" s="32">
        <v>12366.76</v>
      </c>
      <c r="Z973" s="32">
        <v>20210.760000000002</v>
      </c>
      <c r="AA973" s="3">
        <f t="shared" si="14"/>
        <v>19317.04</v>
      </c>
    </row>
    <row r="975" spans="1:28" x14ac:dyDescent="0.25">
      <c r="A975" t="s">
        <v>1375</v>
      </c>
    </row>
    <row r="977" spans="1:28" x14ac:dyDescent="0.25">
      <c r="A977">
        <v>41970010</v>
      </c>
      <c r="B977">
        <v>4197</v>
      </c>
      <c r="C977">
        <v>7</v>
      </c>
      <c r="D977" t="s">
        <v>1288</v>
      </c>
      <c r="E977">
        <v>10</v>
      </c>
      <c r="F977" t="s">
        <v>1288</v>
      </c>
      <c r="G977">
        <v>1</v>
      </c>
      <c r="H977" s="1" t="s">
        <v>1328</v>
      </c>
      <c r="I977" s="1" t="s">
        <v>1328</v>
      </c>
      <c r="J977" s="1" t="s">
        <v>1328</v>
      </c>
      <c r="K977" s="1" t="s">
        <v>1328</v>
      </c>
      <c r="L977" s="1" t="s">
        <v>1328</v>
      </c>
      <c r="M977" s="1" t="s">
        <v>1328</v>
      </c>
      <c r="N977" s="1" t="s">
        <v>1328</v>
      </c>
      <c r="O977" s="1" t="s">
        <v>1328</v>
      </c>
      <c r="P977" s="1" t="s">
        <v>1328</v>
      </c>
      <c r="Q977" s="1" t="s">
        <v>1328</v>
      </c>
      <c r="R977" s="1" t="s">
        <v>1328</v>
      </c>
      <c r="S977" s="1" t="s">
        <v>1328</v>
      </c>
      <c r="T977" s="1">
        <v>17</v>
      </c>
      <c r="U977" s="1">
        <v>14</v>
      </c>
      <c r="V977" s="1" t="s">
        <v>1328</v>
      </c>
      <c r="W977" s="1" t="s">
        <v>1328</v>
      </c>
      <c r="X977" s="1" t="s">
        <v>1328</v>
      </c>
      <c r="Y977" s="1" t="s">
        <v>1328</v>
      </c>
      <c r="Z977" s="29">
        <v>4987.3</v>
      </c>
      <c r="AA977" s="3">
        <f>ROUND(Z977*AA$10,2)</f>
        <v>4766.76</v>
      </c>
      <c r="AB977" s="3"/>
    </row>
  </sheetData>
  <sortState ref="A13:AA957">
    <sortCondition ref="A13:A957"/>
  </sortState>
  <printOptions gridLines="1"/>
  <pageMargins left="0.5" right="0.5" top="0.75" bottom="0.5" header="0.3" footer="0.3"/>
  <pageSetup scale="44" fitToHeight="2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/>
  </sheetViews>
  <sheetFormatPr defaultRowHeight="15" x14ac:dyDescent="0.25"/>
  <cols>
    <col min="1" max="1" width="72.7109375" style="12" customWidth="1"/>
    <col min="2" max="16384" width="9.140625" style="12"/>
  </cols>
  <sheetData>
    <row r="1" spans="1:1" x14ac:dyDescent="0.25">
      <c r="A1" s="14" t="s">
        <v>1335</v>
      </c>
    </row>
    <row r="2" spans="1:1" x14ac:dyDescent="0.25">
      <c r="A2" s="14"/>
    </row>
    <row r="3" spans="1:1" x14ac:dyDescent="0.25">
      <c r="A3" t="s">
        <v>1331</v>
      </c>
    </row>
    <row r="4" spans="1:1" x14ac:dyDescent="0.25">
      <c r="A4"/>
    </row>
    <row r="5" spans="1:1" x14ac:dyDescent="0.25">
      <c r="A5" t="s">
        <v>1142</v>
      </c>
    </row>
    <row r="6" spans="1:1" x14ac:dyDescent="0.25">
      <c r="A6" t="s">
        <v>1143</v>
      </c>
    </row>
    <row r="7" spans="1:1" x14ac:dyDescent="0.25">
      <c r="A7" t="s">
        <v>1144</v>
      </c>
    </row>
    <row r="8" spans="1:1" x14ac:dyDescent="0.25">
      <c r="A8"/>
    </row>
    <row r="9" spans="1:1" x14ac:dyDescent="0.25">
      <c r="A9" t="s">
        <v>1332</v>
      </c>
    </row>
    <row r="10" spans="1:1" x14ac:dyDescent="0.25">
      <c r="A10"/>
    </row>
    <row r="11" spans="1:1" x14ac:dyDescent="0.25">
      <c r="A11" t="s">
        <v>1336</v>
      </c>
    </row>
    <row r="12" spans="1:1" x14ac:dyDescent="0.25">
      <c r="A12" t="s">
        <v>1337</v>
      </c>
    </row>
    <row r="13" spans="1:1" x14ac:dyDescent="0.25">
      <c r="A13" t="s">
        <v>1338</v>
      </c>
    </row>
    <row r="14" spans="1:1" x14ac:dyDescent="0.25">
      <c r="A14" t="s">
        <v>1339</v>
      </c>
    </row>
    <row r="15" spans="1:1" x14ac:dyDescent="0.25">
      <c r="A15" t="s">
        <v>1340</v>
      </c>
    </row>
    <row r="16" spans="1:1" x14ac:dyDescent="0.25">
      <c r="A16" t="s">
        <v>1341</v>
      </c>
    </row>
    <row r="17" spans="1:1" x14ac:dyDescent="0.25">
      <c r="A17" t="s">
        <v>1342</v>
      </c>
    </row>
    <row r="18" spans="1:1" x14ac:dyDescent="0.25">
      <c r="A18"/>
    </row>
    <row r="19" spans="1:1" x14ac:dyDescent="0.25">
      <c r="A19" t="s">
        <v>1334</v>
      </c>
    </row>
    <row r="20" spans="1:1" x14ac:dyDescent="0.25">
      <c r="A20"/>
    </row>
    <row r="21" spans="1:1" x14ac:dyDescent="0.25">
      <c r="A21" t="s">
        <v>1343</v>
      </c>
    </row>
    <row r="22" spans="1:1" x14ac:dyDescent="0.25">
      <c r="A22" t="s">
        <v>1344</v>
      </c>
    </row>
    <row r="23" spans="1:1" x14ac:dyDescent="0.25">
      <c r="A23" t="s">
        <v>1345</v>
      </c>
    </row>
    <row r="24" spans="1:1" x14ac:dyDescent="0.25">
      <c r="A24" t="s">
        <v>1346</v>
      </c>
    </row>
    <row r="25" spans="1:1" x14ac:dyDescent="0.25">
      <c r="A25" t="s">
        <v>1347</v>
      </c>
    </row>
    <row r="26" spans="1:1" x14ac:dyDescent="0.25">
      <c r="A26" t="s">
        <v>1348</v>
      </c>
    </row>
    <row r="27" spans="1:1" x14ac:dyDescent="0.25">
      <c r="A27" s="12" t="s">
        <v>1333</v>
      </c>
    </row>
    <row r="31" spans="1:1" x14ac:dyDescent="0.25">
      <c r="A31" s="13"/>
    </row>
  </sheetData>
  <pageMargins left="1.25" right="0.7" top="1.2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Site reports</vt:lpstr>
      <vt:lpstr>District totals</vt:lpstr>
      <vt:lpstr>Names</vt:lpstr>
      <vt:lpstr>All sites (summary)</vt:lpstr>
      <vt:lpstr>All sites (detail)</vt:lpstr>
      <vt:lpstr>Statute</vt:lpstr>
      <vt:lpstr>Inputall</vt:lpstr>
      <vt:lpstr>'All sites (detail)'!Print_Area</vt:lpstr>
      <vt:lpstr>'All sites (summary)'!Print_Area</vt:lpstr>
      <vt:lpstr>'District totals'!Print_Area</vt:lpstr>
      <vt:lpstr>'Site reports'!Print_Area</vt:lpstr>
      <vt:lpstr>Statute!Print_Area</vt:lpstr>
      <vt:lpstr>'All sites (detail)'!Print_Titles</vt:lpstr>
      <vt:lpstr>'All sites (summary)'!Print_Titles</vt:lpstr>
      <vt:lpstr>'District totals'!Print_Titles</vt:lpstr>
      <vt:lpstr>'Site reports'!Print_Titles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Literacy Incentive Aid - December 21, 2011</dc:title>
  <dc:creator>Terik</dc:creator>
  <cp:lastModifiedBy>Biringer, Catherine</cp:lastModifiedBy>
  <cp:lastPrinted>2012-10-25T18:45:48Z</cp:lastPrinted>
  <dcterms:created xsi:type="dcterms:W3CDTF">2011-10-27T22:01:47Z</dcterms:created>
  <dcterms:modified xsi:type="dcterms:W3CDTF">2013-10-18T16:04:58Z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004185</vt:lpwstr>
  </property>
</Properties>
</file>