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H:\APP\PA\Resource\FinanceFiles\Formula\FAC\2016-2017\GAI\01 Committee\2014 03 13 Meeting\"/>
    </mc:Choice>
  </mc:AlternateContent>
  <bookViews>
    <workbookView xWindow="0" yWindow="0" windowWidth="19200" windowHeight="11880"/>
  </bookViews>
  <sheets>
    <sheet name="2016-2017 Proposed" sheetId="2" r:id="rId1"/>
  </sheets>
  <externalReferences>
    <externalReference r:id="rId2"/>
    <externalReference r:id="rId3"/>
    <externalReference r:id="rId4"/>
  </externalReferences>
  <definedNames>
    <definedName name="_Fill" localSheetId="0" hidden="1">#REF!</definedName>
    <definedName name="_Fill" hidden="1">#REF!</definedName>
    <definedName name="_xlnm._FilterDatabase" localSheetId="0" hidden="1">'2016-2017 Proposed'!$A$89:$K$384</definedName>
    <definedName name="_Order1" hidden="1">255</definedName>
    <definedName name="_Order2" hidden="1">255</definedName>
    <definedName name="MATCHINST" localSheetId="0">#REF!</definedName>
    <definedName name="MATCHINST">#REF!</definedName>
    <definedName name="solver_adj2" localSheetId="0" hidden="1">#REF!</definedName>
    <definedName name="solver_adj2" hidden="1">#REF!</definedName>
    <definedName name="solver_cvg" hidden="1">0.0001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0</definedName>
    <definedName name="solver_nwt" hidden="1">1</definedName>
    <definedName name="solver_opt" localSheetId="0" hidden="1">[1]Infrastructure!#REF!</definedName>
    <definedName name="solver_opt" hidden="1">[2]Infrastructure!#REF!</definedName>
    <definedName name="solver_pre" hidden="1">0.000001</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0</definedName>
    <definedName name="Z_175A74B9_04D8_4168_BE0E_B9F6D216804E_.wvu.Cols" localSheetId="0" hidden="1">#REF!</definedName>
    <definedName name="Z_175A74B9_04D8_4168_BE0E_B9F6D216804E_.wvu.Cols" hidden="1">#REF!</definedName>
    <definedName name="Z_175A74B9_04D8_4168_BE0E_B9F6D216804E_.wvu.PrintTitles" localSheetId="0" hidden="1">[1]Infrastructure!$B:$K,[1]Infrastructure!$3:$3</definedName>
    <definedName name="Z_175A74B9_04D8_4168_BE0E_B9F6D216804E_.wvu.PrintTitles" hidden="1">[2]Infrastructure!$B:$K,[2]Infrastructure!$3:$3</definedName>
    <definedName name="Z_3B4A1CD3_71A7_41D8_BB20_2C00DD672F4C_.wvu.Cols" localSheetId="0" hidden="1">#REF!</definedName>
    <definedName name="Z_3B4A1CD3_71A7_41D8_BB20_2C00DD672F4C_.wvu.Cols" hidden="1">#REF!</definedName>
    <definedName name="Z_3B4A1CD3_71A7_41D8_BB20_2C00DD672F4C_.wvu.PrintTitles" localSheetId="0" hidden="1">[1]Infrastructure!$B:$K,[1]Infrastructure!$3:$3</definedName>
    <definedName name="Z_3B4A1CD3_71A7_41D8_BB20_2C00DD672F4C_.wvu.PrintTitles" hidden="1">[2]Infrastructure!$B:$K,[2]Infrastructure!$3:$3</definedName>
    <definedName name="Z_5F15871F_1F9D_454B_B820_06244E250857_.wvu.Cols" localSheetId="0" hidden="1">#REF!</definedName>
    <definedName name="Z_5F15871F_1F9D_454B_B820_06244E250857_.wvu.Cols" hidden="1">#REF!</definedName>
    <definedName name="Z_5F15871F_1F9D_454B_B820_06244E250857_.wvu.PrintTitles" localSheetId="0" hidden="1">[1]Infrastructure!$B:$K,[1]Infrastructure!$3:$3</definedName>
    <definedName name="Z_5F15871F_1F9D_454B_B820_06244E250857_.wvu.PrintTitles" hidden="1">[2]Infrastructure!$B:$K,[2]Infrastructure!$3:$3</definedName>
    <definedName name="Z_82D93351_CB79_47D8_8AE8_2B10EACDB89E_.wvu.Cols" localSheetId="0" hidden="1">#REF!</definedName>
    <definedName name="Z_82D93351_CB79_47D8_8AE8_2B10EACDB89E_.wvu.Cols" hidden="1">#REF!</definedName>
    <definedName name="Z_82D93351_CB79_47D8_8AE8_2B10EACDB89E_.wvu.PrintTitles" localSheetId="0" hidden="1">[1]Infrastructure!$B:$K,[1]Infrastructure!$3:$3</definedName>
    <definedName name="Z_82D93351_CB79_47D8_8AE8_2B10EACDB89E_.wvu.PrintTitles" hidden="1">[2]Infrastructure!$B:$K,[2]Infrastructure!$3:$3</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384" i="2" l="1"/>
  <c r="I384" i="2"/>
  <c r="H384" i="2"/>
  <c r="G384" i="2"/>
  <c r="F384" i="2"/>
  <c r="D384" i="2"/>
  <c r="J342" i="2"/>
  <c r="I342" i="2"/>
  <c r="H342" i="2"/>
  <c r="G342" i="2"/>
  <c r="F342" i="2"/>
  <c r="D342" i="2"/>
  <c r="J300" i="2"/>
  <c r="I300" i="2"/>
  <c r="H300" i="2"/>
  <c r="G300" i="2"/>
  <c r="F300" i="2"/>
  <c r="D300" i="2"/>
  <c r="E299" i="2"/>
  <c r="E286" i="2"/>
  <c r="E284" i="2"/>
  <c r="E282" i="2"/>
  <c r="E240" i="2" s="1"/>
  <c r="J257" i="2"/>
  <c r="J215" i="2" s="1"/>
  <c r="I257" i="2"/>
  <c r="H257" i="2"/>
  <c r="H215" i="2" s="1"/>
  <c r="G257" i="2"/>
  <c r="D257" i="2"/>
  <c r="D215" i="2" s="1"/>
  <c r="J256" i="2"/>
  <c r="I256" i="2"/>
  <c r="I214" i="2" s="1"/>
  <c r="H256" i="2"/>
  <c r="G256" i="2"/>
  <c r="G214" i="2" s="1"/>
  <c r="D256" i="2"/>
  <c r="J255" i="2"/>
  <c r="J213" i="2" s="1"/>
  <c r="I255" i="2"/>
  <c r="H255" i="2"/>
  <c r="H213" i="2" s="1"/>
  <c r="G255" i="2"/>
  <c r="D255" i="2"/>
  <c r="D213" i="2" s="1"/>
  <c r="J254" i="2"/>
  <c r="I254" i="2"/>
  <c r="I212" i="2" s="1"/>
  <c r="H254" i="2"/>
  <c r="G254" i="2"/>
  <c r="G212" i="2" s="1"/>
  <c r="D254" i="2"/>
  <c r="J253" i="2"/>
  <c r="J211" i="2" s="1"/>
  <c r="I253" i="2"/>
  <c r="H253" i="2"/>
  <c r="H211" i="2" s="1"/>
  <c r="G253" i="2"/>
  <c r="D253" i="2"/>
  <c r="D211" i="2" s="1"/>
  <c r="J252" i="2"/>
  <c r="J210" i="2" s="1"/>
  <c r="I252" i="2"/>
  <c r="I210" i="2" s="1"/>
  <c r="H252" i="2"/>
  <c r="G252" i="2"/>
  <c r="G210" i="2" s="1"/>
  <c r="E252" i="2"/>
  <c r="E210" i="2" s="1"/>
  <c r="D252" i="2"/>
  <c r="F252" i="2" s="1"/>
  <c r="F210" i="2" s="1"/>
  <c r="J251" i="2"/>
  <c r="I251" i="2"/>
  <c r="H251" i="2"/>
  <c r="G251" i="2"/>
  <c r="F251" i="2"/>
  <c r="D251" i="2"/>
  <c r="E251" i="2" s="1"/>
  <c r="E209" i="2" s="1"/>
  <c r="A251" i="2"/>
  <c r="A293" i="2" s="1"/>
  <c r="A335" i="2" s="1"/>
  <c r="A377" i="2" s="1"/>
  <c r="J250" i="2"/>
  <c r="I250" i="2"/>
  <c r="I208" i="2" s="1"/>
  <c r="H250" i="2"/>
  <c r="G250" i="2"/>
  <c r="G208" i="2" s="1"/>
  <c r="D250" i="2"/>
  <c r="J249" i="2"/>
  <c r="J207" i="2" s="1"/>
  <c r="I249" i="2"/>
  <c r="I207" i="2" s="1"/>
  <c r="H249" i="2"/>
  <c r="H207" i="2" s="1"/>
  <c r="G249" i="2"/>
  <c r="G207" i="2" s="1"/>
  <c r="D249" i="2"/>
  <c r="J248" i="2"/>
  <c r="J206" i="2" s="1"/>
  <c r="I248" i="2"/>
  <c r="I206" i="2" s="1"/>
  <c r="H248" i="2"/>
  <c r="H206" i="2" s="1"/>
  <c r="H160" i="2" s="1"/>
  <c r="H119" i="2" s="1"/>
  <c r="H77" i="2" s="1"/>
  <c r="G248" i="2"/>
  <c r="G206" i="2" s="1"/>
  <c r="E248" i="2"/>
  <c r="E206" i="2" s="1"/>
  <c r="D160" i="2" s="1"/>
  <c r="D119" i="2" s="1"/>
  <c r="D248" i="2"/>
  <c r="F248" i="2" s="1"/>
  <c r="F206" i="2" s="1"/>
  <c r="J247" i="2"/>
  <c r="J205" i="2" s="1"/>
  <c r="I247" i="2"/>
  <c r="H247" i="2"/>
  <c r="H205" i="2" s="1"/>
  <c r="G247" i="2"/>
  <c r="F247" i="2"/>
  <c r="F205" i="2" s="1"/>
  <c r="G159" i="2" s="1"/>
  <c r="D247" i="2"/>
  <c r="E247" i="2" s="1"/>
  <c r="E205" i="2" s="1"/>
  <c r="A247" i="2"/>
  <c r="A289" i="2" s="1"/>
  <c r="A331" i="2" s="1"/>
  <c r="A373" i="2" s="1"/>
  <c r="J246" i="2"/>
  <c r="I246" i="2"/>
  <c r="I204" i="2" s="1"/>
  <c r="H246" i="2"/>
  <c r="G246" i="2"/>
  <c r="G204" i="2" s="1"/>
  <c r="D246" i="2"/>
  <c r="J245" i="2"/>
  <c r="J203" i="2" s="1"/>
  <c r="I245" i="2"/>
  <c r="H245" i="2"/>
  <c r="H203" i="2" s="1"/>
  <c r="G245" i="2"/>
  <c r="G203" i="2" s="1"/>
  <c r="D245" i="2"/>
  <c r="J244" i="2"/>
  <c r="J202" i="2" s="1"/>
  <c r="I244" i="2"/>
  <c r="I202" i="2" s="1"/>
  <c r="H244" i="2"/>
  <c r="G244" i="2"/>
  <c r="G202" i="2" s="1"/>
  <c r="D244" i="2"/>
  <c r="F244" i="2" s="1"/>
  <c r="F202" i="2" s="1"/>
  <c r="J243" i="2"/>
  <c r="J201" i="2" s="1"/>
  <c r="I243" i="2"/>
  <c r="I201" i="2" s="1"/>
  <c r="H243" i="2"/>
  <c r="H201" i="2" s="1"/>
  <c r="G243" i="2"/>
  <c r="D243" i="2"/>
  <c r="J242" i="2"/>
  <c r="I242" i="2"/>
  <c r="I200" i="2" s="1"/>
  <c r="H242" i="2"/>
  <c r="H200" i="2" s="1"/>
  <c r="G242" i="2"/>
  <c r="G200" i="2" s="1"/>
  <c r="E242" i="2"/>
  <c r="E200" i="2" s="1"/>
  <c r="D242" i="2"/>
  <c r="F242" i="2" s="1"/>
  <c r="F200" i="2" s="1"/>
  <c r="J241" i="2"/>
  <c r="J199" i="2" s="1"/>
  <c r="I241" i="2"/>
  <c r="H241" i="2"/>
  <c r="H199" i="2" s="1"/>
  <c r="G241" i="2"/>
  <c r="F241" i="2"/>
  <c r="F199" i="2" s="1"/>
  <c r="D241" i="2"/>
  <c r="E241" i="2" s="1"/>
  <c r="E199" i="2" s="1"/>
  <c r="J240" i="2"/>
  <c r="I240" i="2"/>
  <c r="I198" i="2" s="1"/>
  <c r="H240" i="2"/>
  <c r="G240" i="2"/>
  <c r="G198" i="2" s="1"/>
  <c r="D240" i="2"/>
  <c r="F240" i="2" s="1"/>
  <c r="F198" i="2" s="1"/>
  <c r="J239" i="2"/>
  <c r="I239" i="2"/>
  <c r="H239" i="2"/>
  <c r="G239" i="2"/>
  <c r="F239" i="2"/>
  <c r="D239" i="2"/>
  <c r="E239" i="2" s="1"/>
  <c r="E197" i="2" s="1"/>
  <c r="A239" i="2"/>
  <c r="A281" i="2" s="1"/>
  <c r="A323" i="2" s="1"/>
  <c r="A365" i="2" s="1"/>
  <c r="J238" i="2"/>
  <c r="I238" i="2"/>
  <c r="I196" i="2" s="1"/>
  <c r="H238" i="2"/>
  <c r="G238" i="2"/>
  <c r="G196" i="2" s="1"/>
  <c r="D238" i="2"/>
  <c r="J237" i="2"/>
  <c r="I237" i="2"/>
  <c r="H237" i="2"/>
  <c r="G237" i="2"/>
  <c r="D237" i="2"/>
  <c r="J236" i="2"/>
  <c r="I236" i="2"/>
  <c r="I194" i="2" s="1"/>
  <c r="H236" i="2"/>
  <c r="H194" i="2" s="1"/>
  <c r="G236" i="2"/>
  <c r="G194" i="2" s="1"/>
  <c r="E236" i="2"/>
  <c r="E194" i="2" s="1"/>
  <c r="D236" i="2"/>
  <c r="F236" i="2" s="1"/>
  <c r="F194" i="2" s="1"/>
  <c r="J235" i="2"/>
  <c r="J193" i="2" s="1"/>
  <c r="I235" i="2"/>
  <c r="H235" i="2"/>
  <c r="H193" i="2" s="1"/>
  <c r="G235" i="2"/>
  <c r="F235" i="2"/>
  <c r="F193" i="2" s="1"/>
  <c r="D235" i="2"/>
  <c r="E235" i="2" s="1"/>
  <c r="A235" i="2"/>
  <c r="A277" i="2" s="1"/>
  <c r="A319" i="2" s="1"/>
  <c r="A361" i="2" s="1"/>
  <c r="J234" i="2"/>
  <c r="I234" i="2"/>
  <c r="I192" i="2" s="1"/>
  <c r="H234" i="2"/>
  <c r="G234" i="2"/>
  <c r="G192" i="2" s="1"/>
  <c r="D234" i="2"/>
  <c r="J233" i="2"/>
  <c r="I233" i="2"/>
  <c r="I191" i="2" s="1"/>
  <c r="H233" i="2"/>
  <c r="G233" i="2"/>
  <c r="G191" i="2" s="1"/>
  <c r="D233" i="2"/>
  <c r="J232" i="2"/>
  <c r="J190" i="2" s="1"/>
  <c r="I232" i="2"/>
  <c r="I190" i="2" s="1"/>
  <c r="H232" i="2"/>
  <c r="G232" i="2"/>
  <c r="G190" i="2" s="1"/>
  <c r="E232" i="2"/>
  <c r="E190" i="2" s="1"/>
  <c r="D232" i="2"/>
  <c r="F232" i="2" s="1"/>
  <c r="F190" i="2" s="1"/>
  <c r="J231" i="2"/>
  <c r="J189" i="2" s="1"/>
  <c r="I231" i="2"/>
  <c r="H231" i="2"/>
  <c r="H189" i="2" s="1"/>
  <c r="G231" i="2"/>
  <c r="F231" i="2"/>
  <c r="F189" i="2" s="1"/>
  <c r="D231" i="2"/>
  <c r="E231" i="2" s="1"/>
  <c r="A231" i="2"/>
  <c r="A273" i="2" s="1"/>
  <c r="A315" i="2" s="1"/>
  <c r="A357" i="2" s="1"/>
  <c r="J230" i="2"/>
  <c r="I230" i="2"/>
  <c r="I188" i="2" s="1"/>
  <c r="H230" i="2"/>
  <c r="G230" i="2"/>
  <c r="G188" i="2" s="1"/>
  <c r="D230" i="2"/>
  <c r="J229" i="2"/>
  <c r="I229" i="2"/>
  <c r="H229" i="2"/>
  <c r="G229" i="2"/>
  <c r="D229" i="2"/>
  <c r="J228" i="2"/>
  <c r="I228" i="2"/>
  <c r="I186" i="2" s="1"/>
  <c r="H228" i="2"/>
  <c r="H186" i="2" s="1"/>
  <c r="G228" i="2"/>
  <c r="G186" i="2" s="1"/>
  <c r="E228" i="2"/>
  <c r="E186" i="2" s="1"/>
  <c r="D228" i="2"/>
  <c r="F228" i="2" s="1"/>
  <c r="F186" i="2" s="1"/>
  <c r="J227" i="2"/>
  <c r="J185" i="2" s="1"/>
  <c r="I227" i="2"/>
  <c r="H227" i="2"/>
  <c r="H185" i="2" s="1"/>
  <c r="G227" i="2"/>
  <c r="F227" i="2"/>
  <c r="F185" i="2" s="1"/>
  <c r="D227" i="2"/>
  <c r="E227" i="2" s="1"/>
  <c r="A227" i="2"/>
  <c r="A269" i="2" s="1"/>
  <c r="A311" i="2" s="1"/>
  <c r="A353" i="2" s="1"/>
  <c r="J226" i="2"/>
  <c r="I226" i="2"/>
  <c r="I184" i="2" s="1"/>
  <c r="H226" i="2"/>
  <c r="G226" i="2"/>
  <c r="G184" i="2" s="1"/>
  <c r="D226" i="2"/>
  <c r="J225" i="2"/>
  <c r="I225" i="2"/>
  <c r="I183" i="2" s="1"/>
  <c r="H225" i="2"/>
  <c r="G225" i="2"/>
  <c r="G183" i="2" s="1"/>
  <c r="D225" i="2"/>
  <c r="J224" i="2"/>
  <c r="J182" i="2" s="1"/>
  <c r="I224" i="2"/>
  <c r="I182" i="2" s="1"/>
  <c r="H224" i="2"/>
  <c r="G224" i="2"/>
  <c r="G182" i="2" s="1"/>
  <c r="E224" i="2"/>
  <c r="E182" i="2" s="1"/>
  <c r="D224" i="2"/>
  <c r="F224" i="2" s="1"/>
  <c r="F182" i="2" s="1"/>
  <c r="J223" i="2"/>
  <c r="J181" i="2" s="1"/>
  <c r="I223" i="2"/>
  <c r="H223" i="2"/>
  <c r="H181" i="2" s="1"/>
  <c r="G223" i="2"/>
  <c r="F223" i="2"/>
  <c r="F181" i="2" s="1"/>
  <c r="D223" i="2"/>
  <c r="E223" i="2" s="1"/>
  <c r="A223" i="2"/>
  <c r="A265" i="2" s="1"/>
  <c r="A307" i="2" s="1"/>
  <c r="A349" i="2" s="1"/>
  <c r="J222" i="2"/>
  <c r="I222" i="2"/>
  <c r="I180" i="2" s="1"/>
  <c r="H222" i="2"/>
  <c r="G222" i="2"/>
  <c r="G180" i="2" s="1"/>
  <c r="D222" i="2"/>
  <c r="J221" i="2"/>
  <c r="I221" i="2"/>
  <c r="H221" i="2"/>
  <c r="G221" i="2"/>
  <c r="D221" i="2"/>
  <c r="J220" i="2"/>
  <c r="I220" i="2"/>
  <c r="H220" i="2"/>
  <c r="H178" i="2" s="1"/>
  <c r="G220" i="2"/>
  <c r="E220" i="2"/>
  <c r="E178" i="2" s="1"/>
  <c r="D220" i="2"/>
  <c r="I215" i="2"/>
  <c r="G215" i="2"/>
  <c r="B215" i="2"/>
  <c r="B257" i="2" s="1"/>
  <c r="B299" i="2" s="1"/>
  <c r="B341" i="2" s="1"/>
  <c r="B383" i="2" s="1"/>
  <c r="A215" i="2"/>
  <c r="A257" i="2" s="1"/>
  <c r="A299" i="2" s="1"/>
  <c r="A341" i="2" s="1"/>
  <c r="A383" i="2" s="1"/>
  <c r="J214" i="2"/>
  <c r="H214" i="2"/>
  <c r="D214" i="2"/>
  <c r="B214" i="2"/>
  <c r="B256" i="2" s="1"/>
  <c r="B298" i="2" s="1"/>
  <c r="B340" i="2" s="1"/>
  <c r="B382" i="2" s="1"/>
  <c r="A214" i="2"/>
  <c r="A256" i="2" s="1"/>
  <c r="A298" i="2" s="1"/>
  <c r="A340" i="2" s="1"/>
  <c r="A382" i="2" s="1"/>
  <c r="I213" i="2"/>
  <c r="G213" i="2"/>
  <c r="B213" i="2"/>
  <c r="B255" i="2" s="1"/>
  <c r="B297" i="2" s="1"/>
  <c r="B339" i="2" s="1"/>
  <c r="B381" i="2" s="1"/>
  <c r="A213" i="2"/>
  <c r="A255" i="2" s="1"/>
  <c r="A297" i="2" s="1"/>
  <c r="A339" i="2" s="1"/>
  <c r="A381" i="2" s="1"/>
  <c r="J212" i="2"/>
  <c r="H212" i="2"/>
  <c r="B212" i="2"/>
  <c r="B254" i="2" s="1"/>
  <c r="B296" i="2" s="1"/>
  <c r="B338" i="2" s="1"/>
  <c r="B380" i="2" s="1"/>
  <c r="A212" i="2"/>
  <c r="A254" i="2" s="1"/>
  <c r="A296" i="2" s="1"/>
  <c r="A338" i="2" s="1"/>
  <c r="A380" i="2" s="1"/>
  <c r="I211" i="2"/>
  <c r="G211" i="2"/>
  <c r="B211" i="2"/>
  <c r="B253" i="2" s="1"/>
  <c r="B295" i="2" s="1"/>
  <c r="B337" i="2" s="1"/>
  <c r="B379" i="2" s="1"/>
  <c r="A211" i="2"/>
  <c r="A253" i="2" s="1"/>
  <c r="A295" i="2" s="1"/>
  <c r="A337" i="2" s="1"/>
  <c r="A379" i="2" s="1"/>
  <c r="H210" i="2"/>
  <c r="D164" i="2" s="1"/>
  <c r="D123" i="2" s="1"/>
  <c r="D210" i="2"/>
  <c r="B210" i="2"/>
  <c r="B252" i="2" s="1"/>
  <c r="B294" i="2" s="1"/>
  <c r="B336" i="2" s="1"/>
  <c r="B378" i="2" s="1"/>
  <c r="A210" i="2"/>
  <c r="A252" i="2" s="1"/>
  <c r="A294" i="2" s="1"/>
  <c r="A336" i="2" s="1"/>
  <c r="A378" i="2" s="1"/>
  <c r="J209" i="2"/>
  <c r="I209" i="2"/>
  <c r="H209" i="2"/>
  <c r="G209" i="2"/>
  <c r="F209" i="2"/>
  <c r="G163" i="2" s="1"/>
  <c r="D209" i="2"/>
  <c r="B209" i="2"/>
  <c r="B251" i="2" s="1"/>
  <c r="B293" i="2" s="1"/>
  <c r="B335" i="2" s="1"/>
  <c r="B377" i="2" s="1"/>
  <c r="A209" i="2"/>
  <c r="J208" i="2"/>
  <c r="H208" i="2"/>
  <c r="B208" i="2"/>
  <c r="B250" i="2" s="1"/>
  <c r="B292" i="2" s="1"/>
  <c r="B334" i="2" s="1"/>
  <c r="B376" i="2" s="1"/>
  <c r="A208" i="2"/>
  <c r="A250" i="2" s="1"/>
  <c r="A292" i="2" s="1"/>
  <c r="A334" i="2" s="1"/>
  <c r="A376" i="2" s="1"/>
  <c r="D207" i="2"/>
  <c r="B207" i="2"/>
  <c r="B249" i="2" s="1"/>
  <c r="B291" i="2" s="1"/>
  <c r="B333" i="2" s="1"/>
  <c r="B375" i="2" s="1"/>
  <c r="A207" i="2"/>
  <c r="A249" i="2" s="1"/>
  <c r="A291" i="2" s="1"/>
  <c r="A333" i="2" s="1"/>
  <c r="A375" i="2" s="1"/>
  <c r="D206" i="2"/>
  <c r="B206" i="2"/>
  <c r="B248" i="2" s="1"/>
  <c r="B290" i="2" s="1"/>
  <c r="B332" i="2" s="1"/>
  <c r="B374" i="2" s="1"/>
  <c r="A206" i="2"/>
  <c r="A248" i="2" s="1"/>
  <c r="A290" i="2" s="1"/>
  <c r="A332" i="2" s="1"/>
  <c r="A374" i="2" s="1"/>
  <c r="I205" i="2"/>
  <c r="G205" i="2"/>
  <c r="D205" i="2"/>
  <c r="B205" i="2"/>
  <c r="B247" i="2" s="1"/>
  <c r="B289" i="2" s="1"/>
  <c r="B331" i="2" s="1"/>
  <c r="B373" i="2" s="1"/>
  <c r="A205" i="2"/>
  <c r="J204" i="2"/>
  <c r="H204" i="2"/>
  <c r="B204" i="2"/>
  <c r="B246" i="2" s="1"/>
  <c r="B288" i="2" s="1"/>
  <c r="B330" i="2" s="1"/>
  <c r="B372" i="2" s="1"/>
  <c r="A204" i="2"/>
  <c r="A246" i="2" s="1"/>
  <c r="A288" i="2" s="1"/>
  <c r="A330" i="2" s="1"/>
  <c r="A372" i="2" s="1"/>
  <c r="I203" i="2"/>
  <c r="B203" i="2"/>
  <c r="B245" i="2" s="1"/>
  <c r="B287" i="2" s="1"/>
  <c r="B329" i="2" s="1"/>
  <c r="B371" i="2" s="1"/>
  <c r="A203" i="2"/>
  <c r="A245" i="2" s="1"/>
  <c r="A287" i="2" s="1"/>
  <c r="A329" i="2" s="1"/>
  <c r="A371" i="2" s="1"/>
  <c r="H202" i="2"/>
  <c r="D202" i="2"/>
  <c r="B202" i="2"/>
  <c r="B244" i="2" s="1"/>
  <c r="B286" i="2" s="1"/>
  <c r="B328" i="2" s="1"/>
  <c r="B370" i="2" s="1"/>
  <c r="A202" i="2"/>
  <c r="A244" i="2" s="1"/>
  <c r="A286" i="2" s="1"/>
  <c r="A328" i="2" s="1"/>
  <c r="A370" i="2" s="1"/>
  <c r="G201" i="2"/>
  <c r="B201" i="2"/>
  <c r="B243" i="2" s="1"/>
  <c r="B285" i="2" s="1"/>
  <c r="B327" i="2" s="1"/>
  <c r="B369" i="2" s="1"/>
  <c r="A201" i="2"/>
  <c r="A243" i="2" s="1"/>
  <c r="A285" i="2" s="1"/>
  <c r="A327" i="2" s="1"/>
  <c r="A369" i="2" s="1"/>
  <c r="J200" i="2"/>
  <c r="D200" i="2"/>
  <c r="F154" i="2" s="1"/>
  <c r="F113" i="2" s="1"/>
  <c r="B200" i="2"/>
  <c r="B242" i="2" s="1"/>
  <c r="B284" i="2" s="1"/>
  <c r="B326" i="2" s="1"/>
  <c r="B368" i="2" s="1"/>
  <c r="A200" i="2"/>
  <c r="A242" i="2" s="1"/>
  <c r="A284" i="2" s="1"/>
  <c r="A326" i="2" s="1"/>
  <c r="A368" i="2" s="1"/>
  <c r="I199" i="2"/>
  <c r="G199" i="2"/>
  <c r="D199" i="2"/>
  <c r="B199" i="2"/>
  <c r="B241" i="2" s="1"/>
  <c r="B283" i="2" s="1"/>
  <c r="B325" i="2" s="1"/>
  <c r="B367" i="2" s="1"/>
  <c r="A199" i="2"/>
  <c r="A241" i="2" s="1"/>
  <c r="A283" i="2" s="1"/>
  <c r="A325" i="2" s="1"/>
  <c r="A367" i="2" s="1"/>
  <c r="J198" i="2"/>
  <c r="H198" i="2"/>
  <c r="D198" i="2"/>
  <c r="B198" i="2"/>
  <c r="B240" i="2" s="1"/>
  <c r="B282" i="2" s="1"/>
  <c r="B324" i="2" s="1"/>
  <c r="B366" i="2" s="1"/>
  <c r="A198" i="2"/>
  <c r="A240" i="2" s="1"/>
  <c r="A282" i="2" s="1"/>
  <c r="A324" i="2" s="1"/>
  <c r="A366" i="2" s="1"/>
  <c r="J197" i="2"/>
  <c r="I197" i="2"/>
  <c r="H197" i="2"/>
  <c r="G197" i="2"/>
  <c r="F197" i="2"/>
  <c r="D197" i="2"/>
  <c r="B197" i="2"/>
  <c r="B239" i="2" s="1"/>
  <c r="B281" i="2" s="1"/>
  <c r="B323" i="2" s="1"/>
  <c r="B365" i="2" s="1"/>
  <c r="A197" i="2"/>
  <c r="J196" i="2"/>
  <c r="H196" i="2"/>
  <c r="D196" i="2"/>
  <c r="B196" i="2"/>
  <c r="B238" i="2" s="1"/>
  <c r="B280" i="2" s="1"/>
  <c r="B322" i="2" s="1"/>
  <c r="B364" i="2" s="1"/>
  <c r="A196" i="2"/>
  <c r="A238" i="2" s="1"/>
  <c r="A280" i="2" s="1"/>
  <c r="A322" i="2" s="1"/>
  <c r="A364" i="2" s="1"/>
  <c r="J195" i="2"/>
  <c r="I195" i="2"/>
  <c r="H195" i="2"/>
  <c r="G195" i="2"/>
  <c r="B195" i="2"/>
  <c r="B237" i="2" s="1"/>
  <c r="B279" i="2" s="1"/>
  <c r="B321" i="2" s="1"/>
  <c r="B363" i="2" s="1"/>
  <c r="A195" i="2"/>
  <c r="A237" i="2" s="1"/>
  <c r="A279" i="2" s="1"/>
  <c r="A321" i="2" s="1"/>
  <c r="A363" i="2" s="1"/>
  <c r="J194" i="2"/>
  <c r="D194" i="2"/>
  <c r="B194" i="2"/>
  <c r="B236" i="2" s="1"/>
  <c r="B278" i="2" s="1"/>
  <c r="B320" i="2" s="1"/>
  <c r="B362" i="2" s="1"/>
  <c r="A194" i="2"/>
  <c r="A236" i="2" s="1"/>
  <c r="A278" i="2" s="1"/>
  <c r="A320" i="2" s="1"/>
  <c r="A362" i="2" s="1"/>
  <c r="I193" i="2"/>
  <c r="G193" i="2"/>
  <c r="E193" i="2"/>
  <c r="D193" i="2"/>
  <c r="B193" i="2"/>
  <c r="B235" i="2" s="1"/>
  <c r="B277" i="2" s="1"/>
  <c r="B319" i="2" s="1"/>
  <c r="B361" i="2" s="1"/>
  <c r="A193" i="2"/>
  <c r="J192" i="2"/>
  <c r="H192" i="2"/>
  <c r="B192" i="2"/>
  <c r="B234" i="2" s="1"/>
  <c r="B276" i="2" s="1"/>
  <c r="B318" i="2" s="1"/>
  <c r="B360" i="2" s="1"/>
  <c r="A192" i="2"/>
  <c r="A234" i="2" s="1"/>
  <c r="A276" i="2" s="1"/>
  <c r="A318" i="2" s="1"/>
  <c r="A360" i="2" s="1"/>
  <c r="J191" i="2"/>
  <c r="H191" i="2"/>
  <c r="D191" i="2"/>
  <c r="B191" i="2"/>
  <c r="B233" i="2" s="1"/>
  <c r="B275" i="2" s="1"/>
  <c r="B317" i="2" s="1"/>
  <c r="B359" i="2" s="1"/>
  <c r="A191" i="2"/>
  <c r="A233" i="2" s="1"/>
  <c r="A275" i="2" s="1"/>
  <c r="A317" i="2" s="1"/>
  <c r="A359" i="2" s="1"/>
  <c r="H190" i="2"/>
  <c r="D190" i="2"/>
  <c r="B190" i="2"/>
  <c r="B232" i="2" s="1"/>
  <c r="B274" i="2" s="1"/>
  <c r="B316" i="2" s="1"/>
  <c r="B358" i="2" s="1"/>
  <c r="A190" i="2"/>
  <c r="A232" i="2" s="1"/>
  <c r="A274" i="2" s="1"/>
  <c r="A316" i="2" s="1"/>
  <c r="A358" i="2" s="1"/>
  <c r="I189" i="2"/>
  <c r="G189" i="2"/>
  <c r="I143" i="2" s="1"/>
  <c r="I102" i="2" s="1"/>
  <c r="I60" i="2" s="1"/>
  <c r="E189" i="2"/>
  <c r="D189" i="2"/>
  <c r="B189" i="2"/>
  <c r="B231" i="2" s="1"/>
  <c r="B273" i="2" s="1"/>
  <c r="B315" i="2" s="1"/>
  <c r="B357" i="2" s="1"/>
  <c r="A189" i="2"/>
  <c r="J188" i="2"/>
  <c r="H188" i="2"/>
  <c r="D188" i="2"/>
  <c r="B188" i="2"/>
  <c r="B230" i="2" s="1"/>
  <c r="B272" i="2" s="1"/>
  <c r="B314" i="2" s="1"/>
  <c r="B356" i="2" s="1"/>
  <c r="A188" i="2"/>
  <c r="A230" i="2" s="1"/>
  <c r="A272" i="2" s="1"/>
  <c r="A314" i="2" s="1"/>
  <c r="A356" i="2" s="1"/>
  <c r="J187" i="2"/>
  <c r="I187" i="2"/>
  <c r="H187" i="2"/>
  <c r="G187" i="2"/>
  <c r="B187" i="2"/>
  <c r="B229" i="2" s="1"/>
  <c r="B271" i="2" s="1"/>
  <c r="B313" i="2" s="1"/>
  <c r="B355" i="2" s="1"/>
  <c r="A187" i="2"/>
  <c r="A229" i="2" s="1"/>
  <c r="A271" i="2" s="1"/>
  <c r="A313" i="2" s="1"/>
  <c r="A355" i="2" s="1"/>
  <c r="J186" i="2"/>
  <c r="D186" i="2"/>
  <c r="B186" i="2"/>
  <c r="B228" i="2" s="1"/>
  <c r="B270" i="2" s="1"/>
  <c r="B312" i="2" s="1"/>
  <c r="B354" i="2" s="1"/>
  <c r="A186" i="2"/>
  <c r="A228" i="2" s="1"/>
  <c r="A270" i="2" s="1"/>
  <c r="A312" i="2" s="1"/>
  <c r="A354" i="2" s="1"/>
  <c r="I185" i="2"/>
  <c r="G185" i="2"/>
  <c r="E185" i="2"/>
  <c r="D185" i="2"/>
  <c r="B185" i="2"/>
  <c r="B227" i="2" s="1"/>
  <c r="B269" i="2" s="1"/>
  <c r="B311" i="2" s="1"/>
  <c r="B353" i="2" s="1"/>
  <c r="A185" i="2"/>
  <c r="J184" i="2"/>
  <c r="H184" i="2"/>
  <c r="B184" i="2"/>
  <c r="B226" i="2" s="1"/>
  <c r="B268" i="2" s="1"/>
  <c r="B310" i="2" s="1"/>
  <c r="B352" i="2" s="1"/>
  <c r="A184" i="2"/>
  <c r="A226" i="2" s="1"/>
  <c r="A268" i="2" s="1"/>
  <c r="A310" i="2" s="1"/>
  <c r="A352" i="2" s="1"/>
  <c r="J183" i="2"/>
  <c r="H183" i="2"/>
  <c r="D183" i="2"/>
  <c r="B183" i="2"/>
  <c r="B225" i="2" s="1"/>
  <c r="B267" i="2" s="1"/>
  <c r="B309" i="2" s="1"/>
  <c r="B351" i="2" s="1"/>
  <c r="A183" i="2"/>
  <c r="A225" i="2" s="1"/>
  <c r="A267" i="2" s="1"/>
  <c r="A309" i="2" s="1"/>
  <c r="A351" i="2" s="1"/>
  <c r="H182" i="2"/>
  <c r="D182" i="2"/>
  <c r="B182" i="2"/>
  <c r="B224" i="2" s="1"/>
  <c r="B266" i="2" s="1"/>
  <c r="B308" i="2" s="1"/>
  <c r="B350" i="2" s="1"/>
  <c r="A182" i="2"/>
  <c r="A224" i="2" s="1"/>
  <c r="A266" i="2" s="1"/>
  <c r="A308" i="2" s="1"/>
  <c r="A350" i="2" s="1"/>
  <c r="I181" i="2"/>
  <c r="G181" i="2"/>
  <c r="E181" i="2"/>
  <c r="D181" i="2"/>
  <c r="B181" i="2"/>
  <c r="B223" i="2" s="1"/>
  <c r="B265" i="2" s="1"/>
  <c r="B307" i="2" s="1"/>
  <c r="B349" i="2" s="1"/>
  <c r="A181" i="2"/>
  <c r="J180" i="2"/>
  <c r="H180" i="2"/>
  <c r="D180" i="2"/>
  <c r="B180" i="2"/>
  <c r="B222" i="2" s="1"/>
  <c r="B264" i="2" s="1"/>
  <c r="B306" i="2" s="1"/>
  <c r="B348" i="2" s="1"/>
  <c r="A180" i="2"/>
  <c r="A222" i="2" s="1"/>
  <c r="A264" i="2" s="1"/>
  <c r="A306" i="2" s="1"/>
  <c r="A348" i="2" s="1"/>
  <c r="J179" i="2"/>
  <c r="I179" i="2"/>
  <c r="H179" i="2"/>
  <c r="G179" i="2"/>
  <c r="B179" i="2"/>
  <c r="B221" i="2" s="1"/>
  <c r="B263" i="2" s="1"/>
  <c r="B305" i="2" s="1"/>
  <c r="B347" i="2" s="1"/>
  <c r="A179" i="2"/>
  <c r="A221" i="2" s="1"/>
  <c r="A263" i="2" s="1"/>
  <c r="A305" i="2" s="1"/>
  <c r="A347" i="2" s="1"/>
  <c r="J178" i="2"/>
  <c r="D178" i="2"/>
  <c r="B178" i="2"/>
  <c r="B220" i="2" s="1"/>
  <c r="B262" i="2" s="1"/>
  <c r="B304" i="2" s="1"/>
  <c r="B346" i="2" s="1"/>
  <c r="A178" i="2"/>
  <c r="A220" i="2" s="1"/>
  <c r="A262" i="2" s="1"/>
  <c r="A304" i="2" s="1"/>
  <c r="A346" i="2" s="1"/>
  <c r="C172" i="2"/>
  <c r="A166" i="2"/>
  <c r="I163" i="2"/>
  <c r="I122" i="2" s="1"/>
  <c r="I80" i="2" s="1"/>
  <c r="I159" i="2"/>
  <c r="I118" i="2" s="1"/>
  <c r="I76" i="2" s="1"/>
  <c r="J154" i="2"/>
  <c r="J113" i="2" s="1"/>
  <c r="J71" i="2" s="1"/>
  <c r="J153" i="2"/>
  <c r="H153" i="2"/>
  <c r="F153" i="2"/>
  <c r="D153" i="2"/>
  <c r="J151" i="2"/>
  <c r="I151" i="2"/>
  <c r="I110" i="2" s="1"/>
  <c r="I68" i="2" s="1"/>
  <c r="H151" i="2"/>
  <c r="G151" i="2"/>
  <c r="G110" i="2" s="1"/>
  <c r="G68" i="2" s="1"/>
  <c r="F151" i="2"/>
  <c r="E151" i="2"/>
  <c r="E110" i="2" s="1"/>
  <c r="D151" i="2"/>
  <c r="D148" i="2"/>
  <c r="D107" i="2" s="1"/>
  <c r="D65" i="2" s="1"/>
  <c r="G147" i="2"/>
  <c r="F144" i="2"/>
  <c r="F103" i="2" s="1"/>
  <c r="F61" i="2" s="1"/>
  <c r="H140" i="2"/>
  <c r="H99" i="2" s="1"/>
  <c r="H57" i="2" s="1"/>
  <c r="G139" i="2"/>
  <c r="B139" i="2"/>
  <c r="J136" i="2"/>
  <c r="J95" i="2" s="1"/>
  <c r="F136" i="2"/>
  <c r="F95" i="2" s="1"/>
  <c r="F53" i="2" s="1"/>
  <c r="E135" i="2"/>
  <c r="E94" i="2" s="1"/>
  <c r="E52" i="2" s="1"/>
  <c r="B128" i="2"/>
  <c r="B169" i="2" s="1"/>
  <c r="A128" i="2"/>
  <c r="A169" i="2" s="1"/>
  <c r="B127" i="2"/>
  <c r="B168" i="2" s="1"/>
  <c r="A127" i="2"/>
  <c r="A168" i="2" s="1"/>
  <c r="B126" i="2"/>
  <c r="B167" i="2" s="1"/>
  <c r="A126" i="2"/>
  <c r="A167" i="2" s="1"/>
  <c r="B125" i="2"/>
  <c r="B166" i="2" s="1"/>
  <c r="A125" i="2"/>
  <c r="B124" i="2"/>
  <c r="B165" i="2" s="1"/>
  <c r="A124" i="2"/>
  <c r="A165" i="2" s="1"/>
  <c r="B123" i="2"/>
  <c r="B164" i="2" s="1"/>
  <c r="A123" i="2"/>
  <c r="A164" i="2" s="1"/>
  <c r="G122" i="2"/>
  <c r="B122" i="2"/>
  <c r="B163" i="2" s="1"/>
  <c r="A122" i="2"/>
  <c r="A163" i="2" s="1"/>
  <c r="B121" i="2"/>
  <c r="B162" i="2" s="1"/>
  <c r="A121" i="2"/>
  <c r="A162" i="2" s="1"/>
  <c r="B120" i="2"/>
  <c r="B161" i="2" s="1"/>
  <c r="A120" i="2"/>
  <c r="A161" i="2" s="1"/>
  <c r="B119" i="2"/>
  <c r="B160" i="2" s="1"/>
  <c r="A119" i="2"/>
  <c r="A160" i="2" s="1"/>
  <c r="G118" i="2"/>
  <c r="B118" i="2"/>
  <c r="B159" i="2" s="1"/>
  <c r="A118" i="2"/>
  <c r="A159" i="2" s="1"/>
  <c r="B117" i="2"/>
  <c r="B158" i="2" s="1"/>
  <c r="A117" i="2"/>
  <c r="A158" i="2" s="1"/>
  <c r="B116" i="2"/>
  <c r="B157" i="2" s="1"/>
  <c r="A116" i="2"/>
  <c r="A157" i="2" s="1"/>
  <c r="B115" i="2"/>
  <c r="B156" i="2" s="1"/>
  <c r="A115" i="2"/>
  <c r="A156" i="2" s="1"/>
  <c r="B114" i="2"/>
  <c r="B155" i="2" s="1"/>
  <c r="A114" i="2"/>
  <c r="A155" i="2" s="1"/>
  <c r="B113" i="2"/>
  <c r="B154" i="2" s="1"/>
  <c r="A113" i="2"/>
  <c r="A154" i="2" s="1"/>
  <c r="J112" i="2"/>
  <c r="J70" i="2" s="1"/>
  <c r="H112" i="2"/>
  <c r="H70" i="2" s="1"/>
  <c r="F112" i="2"/>
  <c r="F70" i="2" s="1"/>
  <c r="D112" i="2"/>
  <c r="B112" i="2"/>
  <c r="B153" i="2" s="1"/>
  <c r="A112" i="2"/>
  <c r="A153" i="2" s="1"/>
  <c r="B111" i="2"/>
  <c r="B152" i="2" s="1"/>
  <c r="A111" i="2"/>
  <c r="A152" i="2" s="1"/>
  <c r="J110" i="2"/>
  <c r="H110" i="2"/>
  <c r="F110" i="2"/>
  <c r="D110" i="2"/>
  <c r="B110" i="2"/>
  <c r="B151" i="2" s="1"/>
  <c r="A110" i="2"/>
  <c r="A151" i="2" s="1"/>
  <c r="B109" i="2"/>
  <c r="B150" i="2" s="1"/>
  <c r="A109" i="2"/>
  <c r="A150" i="2" s="1"/>
  <c r="B108" i="2"/>
  <c r="B149" i="2" s="1"/>
  <c r="A108" i="2"/>
  <c r="A149" i="2" s="1"/>
  <c r="B107" i="2"/>
  <c r="B148" i="2" s="1"/>
  <c r="A107" i="2"/>
  <c r="A148" i="2" s="1"/>
  <c r="G106" i="2"/>
  <c r="B106" i="2"/>
  <c r="B147" i="2" s="1"/>
  <c r="A106" i="2"/>
  <c r="A147" i="2" s="1"/>
  <c r="B105" i="2"/>
  <c r="B146" i="2" s="1"/>
  <c r="A105" i="2"/>
  <c r="A146" i="2" s="1"/>
  <c r="B104" i="2"/>
  <c r="B145" i="2" s="1"/>
  <c r="A104" i="2"/>
  <c r="A145" i="2" s="1"/>
  <c r="B103" i="2"/>
  <c r="B144" i="2" s="1"/>
  <c r="A103" i="2"/>
  <c r="A144" i="2" s="1"/>
  <c r="B102" i="2"/>
  <c r="B143" i="2" s="1"/>
  <c r="A102" i="2"/>
  <c r="A143" i="2" s="1"/>
  <c r="B101" i="2"/>
  <c r="B142" i="2" s="1"/>
  <c r="A101" i="2"/>
  <c r="A142" i="2" s="1"/>
  <c r="B100" i="2"/>
  <c r="B141" i="2" s="1"/>
  <c r="A100" i="2"/>
  <c r="A141" i="2" s="1"/>
  <c r="B99" i="2"/>
  <c r="B140" i="2" s="1"/>
  <c r="A99" i="2"/>
  <c r="A140" i="2" s="1"/>
  <c r="G98" i="2"/>
  <c r="B98" i="2"/>
  <c r="A98" i="2"/>
  <c r="A139" i="2" s="1"/>
  <c r="B97" i="2"/>
  <c r="B138" i="2" s="1"/>
  <c r="A97" i="2"/>
  <c r="A138" i="2" s="1"/>
  <c r="B96" i="2"/>
  <c r="B137" i="2" s="1"/>
  <c r="A96" i="2"/>
  <c r="A137" i="2" s="1"/>
  <c r="B95" i="2"/>
  <c r="B136" i="2" s="1"/>
  <c r="A95" i="2"/>
  <c r="A136" i="2" s="1"/>
  <c r="B94" i="2"/>
  <c r="B135" i="2" s="1"/>
  <c r="A94" i="2"/>
  <c r="A135" i="2" s="1"/>
  <c r="B93" i="2"/>
  <c r="B134" i="2" s="1"/>
  <c r="A93" i="2"/>
  <c r="A134" i="2" s="1"/>
  <c r="B92" i="2"/>
  <c r="B133" i="2" s="1"/>
  <c r="A92" i="2"/>
  <c r="A133" i="2" s="1"/>
  <c r="B91" i="2"/>
  <c r="B132" i="2" s="1"/>
  <c r="A91" i="2"/>
  <c r="A132" i="2" s="1"/>
  <c r="B86" i="2"/>
  <c r="A86" i="2"/>
  <c r="B85" i="2"/>
  <c r="A85" i="2"/>
  <c r="B84" i="2"/>
  <c r="A84" i="2"/>
  <c r="B83" i="2"/>
  <c r="A83" i="2"/>
  <c r="B82" i="2"/>
  <c r="A82" i="2"/>
  <c r="B81" i="2"/>
  <c r="A81" i="2"/>
  <c r="G80" i="2"/>
  <c r="B80" i="2"/>
  <c r="A80" i="2"/>
  <c r="B79" i="2"/>
  <c r="A79" i="2"/>
  <c r="B78" i="2"/>
  <c r="A78" i="2"/>
  <c r="B77" i="2"/>
  <c r="A77" i="2"/>
  <c r="G76" i="2"/>
  <c r="B76" i="2"/>
  <c r="A76" i="2"/>
  <c r="B75" i="2"/>
  <c r="A75" i="2"/>
  <c r="B74" i="2"/>
  <c r="A74" i="2"/>
  <c r="B73" i="2"/>
  <c r="A73" i="2"/>
  <c r="B72" i="2"/>
  <c r="A72" i="2"/>
  <c r="F71" i="2"/>
  <c r="B71" i="2"/>
  <c r="A71" i="2"/>
  <c r="B70" i="2"/>
  <c r="A70" i="2"/>
  <c r="B69" i="2"/>
  <c r="A69" i="2"/>
  <c r="J68" i="2"/>
  <c r="H68" i="2"/>
  <c r="F68" i="2"/>
  <c r="D68" i="2"/>
  <c r="B68" i="2"/>
  <c r="A68" i="2"/>
  <c r="B67" i="2"/>
  <c r="A67" i="2"/>
  <c r="B66" i="2"/>
  <c r="A66" i="2"/>
  <c r="B65" i="2"/>
  <c r="A65" i="2"/>
  <c r="G64" i="2"/>
  <c r="B64" i="2"/>
  <c r="A64" i="2"/>
  <c r="B63" i="2"/>
  <c r="A63" i="2"/>
  <c r="B62" i="2"/>
  <c r="A62" i="2"/>
  <c r="B61" i="2"/>
  <c r="A61" i="2"/>
  <c r="B60" i="2"/>
  <c r="A60" i="2"/>
  <c r="B59" i="2"/>
  <c r="A59" i="2"/>
  <c r="B58" i="2"/>
  <c r="A58" i="2"/>
  <c r="B57" i="2"/>
  <c r="A57" i="2"/>
  <c r="G56" i="2"/>
  <c r="B56" i="2"/>
  <c r="A56" i="2"/>
  <c r="B55" i="2"/>
  <c r="A55" i="2"/>
  <c r="B54" i="2"/>
  <c r="A54" i="2"/>
  <c r="J53" i="2"/>
  <c r="B53" i="2"/>
  <c r="A53" i="2"/>
  <c r="B52" i="2"/>
  <c r="A52" i="2"/>
  <c r="B51" i="2"/>
  <c r="A51" i="2"/>
  <c r="B50" i="2"/>
  <c r="A50" i="2"/>
  <c r="B49" i="2"/>
  <c r="A49" i="2"/>
  <c r="L44" i="2"/>
  <c r="P44" i="2" s="1"/>
  <c r="A1" i="2"/>
  <c r="H144" i="2" l="1"/>
  <c r="H103" i="2" s="1"/>
  <c r="H61" i="2" s="1"/>
  <c r="D144" i="2"/>
  <c r="D103" i="2" s="1"/>
  <c r="D61" i="2" s="1"/>
  <c r="E243" i="2"/>
  <c r="E201" i="2" s="1"/>
  <c r="F243" i="2"/>
  <c r="F201" i="2" s="1"/>
  <c r="D201" i="2"/>
  <c r="I155" i="2" s="1"/>
  <c r="I114" i="2" s="1"/>
  <c r="I72" i="2" s="1"/>
  <c r="E245" i="2"/>
  <c r="E203" i="2" s="1"/>
  <c r="F245" i="2"/>
  <c r="F203" i="2" s="1"/>
  <c r="D203" i="2"/>
  <c r="F250" i="2"/>
  <c r="F208" i="2" s="1"/>
  <c r="E250" i="2"/>
  <c r="E208" i="2" s="1"/>
  <c r="D208" i="2"/>
  <c r="D70" i="2"/>
  <c r="J144" i="2"/>
  <c r="J103" i="2" s="1"/>
  <c r="J61" i="2" s="1"/>
  <c r="E159" i="2"/>
  <c r="E118" i="2" s="1"/>
  <c r="E76" i="2" s="1"/>
  <c r="E163" i="2"/>
  <c r="E122" i="2" s="1"/>
  <c r="E80" i="2" s="1"/>
  <c r="H164" i="2"/>
  <c r="H123" i="2" s="1"/>
  <c r="H81" i="2" s="1"/>
  <c r="H136" i="2"/>
  <c r="H95" i="2" s="1"/>
  <c r="H53" i="2" s="1"/>
  <c r="D136" i="2"/>
  <c r="D95" i="2" s="1"/>
  <c r="D53" i="2" s="1"/>
  <c r="I153" i="2"/>
  <c r="I112" i="2" s="1"/>
  <c r="I70" i="2" s="1"/>
  <c r="G153" i="2"/>
  <c r="G112" i="2" s="1"/>
  <c r="G70" i="2" s="1"/>
  <c r="E153" i="2"/>
  <c r="E112" i="2" s="1"/>
  <c r="E70" i="2" s="1"/>
  <c r="H216" i="2"/>
  <c r="F222" i="2"/>
  <c r="F180" i="2" s="1"/>
  <c r="E222" i="2"/>
  <c r="E180" i="2" s="1"/>
  <c r="J134" i="2" s="1"/>
  <c r="J93" i="2" s="1"/>
  <c r="J51" i="2" s="1"/>
  <c r="E225" i="2"/>
  <c r="E183" i="2" s="1"/>
  <c r="F225" i="2"/>
  <c r="F183" i="2" s="1"/>
  <c r="G137" i="2" s="1"/>
  <c r="G96" i="2" s="1"/>
  <c r="G54" i="2" s="1"/>
  <c r="I139" i="2"/>
  <c r="I98" i="2" s="1"/>
  <c r="I56" i="2" s="1"/>
  <c r="E139" i="2"/>
  <c r="E98" i="2" s="1"/>
  <c r="E56" i="2" s="1"/>
  <c r="F230" i="2"/>
  <c r="F188" i="2" s="1"/>
  <c r="E230" i="2"/>
  <c r="E188" i="2" s="1"/>
  <c r="G142" i="2" s="1"/>
  <c r="G101" i="2" s="1"/>
  <c r="G59" i="2" s="1"/>
  <c r="E233" i="2"/>
  <c r="E191" i="2" s="1"/>
  <c r="F233" i="2"/>
  <c r="F191" i="2" s="1"/>
  <c r="G145" i="2" s="1"/>
  <c r="G104" i="2" s="1"/>
  <c r="G62" i="2" s="1"/>
  <c r="I147" i="2"/>
  <c r="I106" i="2" s="1"/>
  <c r="I64" i="2" s="1"/>
  <c r="E147" i="2"/>
  <c r="E106" i="2" s="1"/>
  <c r="E64" i="2" s="1"/>
  <c r="F238" i="2"/>
  <c r="F196" i="2" s="1"/>
  <c r="E238" i="2"/>
  <c r="E196" i="2" s="1"/>
  <c r="E221" i="2"/>
  <c r="E179" i="2" s="1"/>
  <c r="F221" i="2"/>
  <c r="F179" i="2" s="1"/>
  <c r="D133" i="2" s="1"/>
  <c r="D92" i="2" s="1"/>
  <c r="D179" i="2"/>
  <c r="J135" i="2"/>
  <c r="J94" i="2" s="1"/>
  <c r="J52" i="2" s="1"/>
  <c r="F226" i="2"/>
  <c r="F184" i="2" s="1"/>
  <c r="E226" i="2"/>
  <c r="E184" i="2" s="1"/>
  <c r="D184" i="2"/>
  <c r="E229" i="2"/>
  <c r="E187" i="2" s="1"/>
  <c r="F229" i="2"/>
  <c r="F187" i="2" s="1"/>
  <c r="D187" i="2"/>
  <c r="G141" i="2" s="1"/>
  <c r="G100" i="2" s="1"/>
  <c r="G58" i="2" s="1"/>
  <c r="F234" i="2"/>
  <c r="F192" i="2" s="1"/>
  <c r="E234" i="2"/>
  <c r="E192" i="2" s="1"/>
  <c r="D192" i="2"/>
  <c r="E237" i="2"/>
  <c r="E195" i="2" s="1"/>
  <c r="F237" i="2"/>
  <c r="F195" i="2" s="1"/>
  <c r="D195" i="2"/>
  <c r="C195" i="2" s="1"/>
  <c r="F246" i="2"/>
  <c r="F204" i="2" s="1"/>
  <c r="E246" i="2"/>
  <c r="E204" i="2" s="1"/>
  <c r="D204" i="2"/>
  <c r="E249" i="2"/>
  <c r="E207" i="2" s="1"/>
  <c r="G161" i="2" s="1"/>
  <c r="G120" i="2" s="1"/>
  <c r="G78" i="2" s="1"/>
  <c r="F249" i="2"/>
  <c r="F207" i="2" s="1"/>
  <c r="F254" i="2"/>
  <c r="F212" i="2" s="1"/>
  <c r="E254" i="2"/>
  <c r="E212" i="2" s="1"/>
  <c r="D212" i="2"/>
  <c r="J166" i="2" s="1"/>
  <c r="J125" i="2" s="1"/>
  <c r="J83" i="2" s="1"/>
  <c r="F256" i="2"/>
  <c r="F214" i="2" s="1"/>
  <c r="E256" i="2"/>
  <c r="E214" i="2" s="1"/>
  <c r="E244" i="2"/>
  <c r="E202" i="2" s="1"/>
  <c r="C179" i="2"/>
  <c r="I133" i="2"/>
  <c r="I92" i="2" s="1"/>
  <c r="I50" i="2" s="1"/>
  <c r="F133" i="2"/>
  <c r="F92" i="2" s="1"/>
  <c r="F50" i="2" s="1"/>
  <c r="J133" i="2"/>
  <c r="J92" i="2" s="1"/>
  <c r="J50" i="2" s="1"/>
  <c r="G134" i="2"/>
  <c r="G93" i="2" s="1"/>
  <c r="G51" i="2" s="1"/>
  <c r="H134" i="2"/>
  <c r="H93" i="2" s="1"/>
  <c r="H51" i="2" s="1"/>
  <c r="C181" i="2"/>
  <c r="D135" i="2"/>
  <c r="D94" i="2" s="1"/>
  <c r="G135" i="2"/>
  <c r="G94" i="2" s="1"/>
  <c r="G52" i="2" s="1"/>
  <c r="F135" i="2"/>
  <c r="F94" i="2" s="1"/>
  <c r="F52" i="2" s="1"/>
  <c r="H135" i="2"/>
  <c r="H94" i="2" s="1"/>
  <c r="H52" i="2" s="1"/>
  <c r="J140" i="2"/>
  <c r="J99" i="2" s="1"/>
  <c r="J57" i="2" s="1"/>
  <c r="F140" i="2"/>
  <c r="F99" i="2" s="1"/>
  <c r="F57" i="2" s="1"/>
  <c r="D141" i="2"/>
  <c r="D100" i="2" s="1"/>
  <c r="E141" i="2"/>
  <c r="E100" i="2" s="1"/>
  <c r="E58" i="2" s="1"/>
  <c r="H141" i="2"/>
  <c r="H100" i="2" s="1"/>
  <c r="H58" i="2" s="1"/>
  <c r="I142" i="2"/>
  <c r="I101" i="2" s="1"/>
  <c r="I59" i="2" s="1"/>
  <c r="E142" i="2"/>
  <c r="E101" i="2" s="1"/>
  <c r="E59" i="2" s="1"/>
  <c r="D142" i="2"/>
  <c r="D101" i="2" s="1"/>
  <c r="C189" i="2"/>
  <c r="D143" i="2"/>
  <c r="D102" i="2" s="1"/>
  <c r="G143" i="2"/>
  <c r="G102" i="2" s="1"/>
  <c r="G60" i="2" s="1"/>
  <c r="F143" i="2"/>
  <c r="F102" i="2" s="1"/>
  <c r="F60" i="2" s="1"/>
  <c r="H143" i="2"/>
  <c r="H102" i="2" s="1"/>
  <c r="H60" i="2" s="1"/>
  <c r="J143" i="2"/>
  <c r="J102" i="2" s="1"/>
  <c r="J60" i="2" s="1"/>
  <c r="J148" i="2"/>
  <c r="J107" i="2" s="1"/>
  <c r="J65" i="2" s="1"/>
  <c r="F148" i="2"/>
  <c r="F107" i="2" s="1"/>
  <c r="F65" i="2" s="1"/>
  <c r="D149" i="2"/>
  <c r="D108" i="2" s="1"/>
  <c r="E149" i="2"/>
  <c r="E108" i="2" s="1"/>
  <c r="E66" i="2" s="1"/>
  <c r="H149" i="2"/>
  <c r="H108" i="2" s="1"/>
  <c r="H66" i="2" s="1"/>
  <c r="E198" i="2"/>
  <c r="E156" i="2"/>
  <c r="E115" i="2" s="1"/>
  <c r="E73" i="2" s="1"/>
  <c r="J156" i="2"/>
  <c r="J115" i="2" s="1"/>
  <c r="J73" i="2" s="1"/>
  <c r="F156" i="2"/>
  <c r="F115" i="2" s="1"/>
  <c r="F73" i="2" s="1"/>
  <c r="H156" i="2"/>
  <c r="H115" i="2" s="1"/>
  <c r="H73" i="2" s="1"/>
  <c r="C110" i="2"/>
  <c r="E68" i="2"/>
  <c r="C68" i="2" s="1"/>
  <c r="D81" i="2"/>
  <c r="D77" i="2"/>
  <c r="G133" i="2"/>
  <c r="G92" i="2" s="1"/>
  <c r="G50" i="2" s="1"/>
  <c r="F134" i="2"/>
  <c r="F93" i="2" s="1"/>
  <c r="F51" i="2" s="1"/>
  <c r="I135" i="2"/>
  <c r="I94" i="2" s="1"/>
  <c r="I52" i="2" s="1"/>
  <c r="D140" i="2"/>
  <c r="D99" i="2" s="1"/>
  <c r="J142" i="2"/>
  <c r="J101" i="2" s="1"/>
  <c r="J59" i="2" s="1"/>
  <c r="E143" i="2"/>
  <c r="E102" i="2" s="1"/>
  <c r="E60" i="2" s="1"/>
  <c r="H148" i="2"/>
  <c r="H107" i="2" s="1"/>
  <c r="H65" i="2" s="1"/>
  <c r="D156" i="2"/>
  <c r="D115" i="2" s="1"/>
  <c r="J216" i="2"/>
  <c r="C183" i="2"/>
  <c r="D137" i="2"/>
  <c r="D96" i="2" s="1"/>
  <c r="F137" i="2"/>
  <c r="F96" i="2" s="1"/>
  <c r="F54" i="2" s="1"/>
  <c r="H137" i="2"/>
  <c r="H96" i="2" s="1"/>
  <c r="H54" i="2" s="1"/>
  <c r="J137" i="2"/>
  <c r="J96" i="2" s="1"/>
  <c r="J54" i="2" s="1"/>
  <c r="I138" i="2"/>
  <c r="I97" i="2" s="1"/>
  <c r="I55" i="2" s="1"/>
  <c r="G138" i="2"/>
  <c r="G97" i="2" s="1"/>
  <c r="G55" i="2" s="1"/>
  <c r="E138" i="2"/>
  <c r="E97" i="2" s="1"/>
  <c r="C185" i="2"/>
  <c r="D139" i="2"/>
  <c r="D98" i="2" s="1"/>
  <c r="F139" i="2"/>
  <c r="F98" i="2" s="1"/>
  <c r="F56" i="2" s="1"/>
  <c r="H139" i="2"/>
  <c r="H98" i="2" s="1"/>
  <c r="H56" i="2" s="1"/>
  <c r="J139" i="2"/>
  <c r="J98" i="2" s="1"/>
  <c r="J56" i="2" s="1"/>
  <c r="C191" i="2"/>
  <c r="D145" i="2"/>
  <c r="D104" i="2" s="1"/>
  <c r="F145" i="2"/>
  <c r="F104" i="2" s="1"/>
  <c r="F62" i="2" s="1"/>
  <c r="H145" i="2"/>
  <c r="H104" i="2" s="1"/>
  <c r="H62" i="2" s="1"/>
  <c r="J145" i="2"/>
  <c r="J104" i="2" s="1"/>
  <c r="J62" i="2" s="1"/>
  <c r="I146" i="2"/>
  <c r="I105" i="2" s="1"/>
  <c r="I63" i="2" s="1"/>
  <c r="G146" i="2"/>
  <c r="G105" i="2" s="1"/>
  <c r="G63" i="2" s="1"/>
  <c r="E146" i="2"/>
  <c r="E105" i="2" s="1"/>
  <c r="C193" i="2"/>
  <c r="D147" i="2"/>
  <c r="D106" i="2" s="1"/>
  <c r="F147" i="2"/>
  <c r="F106" i="2" s="1"/>
  <c r="F64" i="2" s="1"/>
  <c r="H147" i="2"/>
  <c r="H106" i="2" s="1"/>
  <c r="H64" i="2" s="1"/>
  <c r="J147" i="2"/>
  <c r="J106" i="2" s="1"/>
  <c r="J64" i="2" s="1"/>
  <c r="G258" i="2"/>
  <c r="G178" i="2"/>
  <c r="I258" i="2"/>
  <c r="I178" i="2"/>
  <c r="E136" i="2"/>
  <c r="E95" i="2" s="1"/>
  <c r="E53" i="2" s="1"/>
  <c r="G136" i="2"/>
  <c r="G95" i="2" s="1"/>
  <c r="G53" i="2" s="1"/>
  <c r="I136" i="2"/>
  <c r="I95" i="2" s="1"/>
  <c r="I53" i="2" s="1"/>
  <c r="E140" i="2"/>
  <c r="E99" i="2" s="1"/>
  <c r="E57" i="2" s="1"/>
  <c r="G140" i="2"/>
  <c r="G99" i="2" s="1"/>
  <c r="G57" i="2" s="1"/>
  <c r="I140" i="2"/>
  <c r="I99" i="2" s="1"/>
  <c r="I57" i="2" s="1"/>
  <c r="E144" i="2"/>
  <c r="E103" i="2" s="1"/>
  <c r="E61" i="2" s="1"/>
  <c r="G144" i="2"/>
  <c r="G103" i="2" s="1"/>
  <c r="G61" i="2" s="1"/>
  <c r="I144" i="2"/>
  <c r="I103" i="2" s="1"/>
  <c r="I61" i="2" s="1"/>
  <c r="E148" i="2"/>
  <c r="E107" i="2" s="1"/>
  <c r="E65" i="2" s="1"/>
  <c r="G148" i="2"/>
  <c r="G107" i="2" s="1"/>
  <c r="G65" i="2" s="1"/>
  <c r="I148" i="2"/>
  <c r="I107" i="2" s="1"/>
  <c r="I65" i="2" s="1"/>
  <c r="E154" i="2"/>
  <c r="E113" i="2" s="1"/>
  <c r="E71" i="2" s="1"/>
  <c r="H154" i="2"/>
  <c r="H113" i="2" s="1"/>
  <c r="H71" i="2" s="1"/>
  <c r="D154" i="2"/>
  <c r="D113" i="2" s="1"/>
  <c r="G154" i="2"/>
  <c r="G113" i="2" s="1"/>
  <c r="G71" i="2" s="1"/>
  <c r="I154" i="2"/>
  <c r="I113" i="2" s="1"/>
  <c r="I71" i="2" s="1"/>
  <c r="F155" i="2"/>
  <c r="F114" i="2" s="1"/>
  <c r="F72" i="2" s="1"/>
  <c r="D155" i="2"/>
  <c r="D114" i="2" s="1"/>
  <c r="G155" i="2"/>
  <c r="G114" i="2" s="1"/>
  <c r="G72" i="2" s="1"/>
  <c r="H155" i="2"/>
  <c r="H114" i="2" s="1"/>
  <c r="H72" i="2" s="1"/>
  <c r="J155" i="2"/>
  <c r="J114" i="2" s="1"/>
  <c r="J72" i="2" s="1"/>
  <c r="G156" i="2"/>
  <c r="G115" i="2" s="1"/>
  <c r="G73" i="2" s="1"/>
  <c r="I156" i="2"/>
  <c r="I115" i="2" s="1"/>
  <c r="I73" i="2" s="1"/>
  <c r="F157" i="2"/>
  <c r="F116" i="2" s="1"/>
  <c r="F74" i="2" s="1"/>
  <c r="D157" i="2"/>
  <c r="D116" i="2" s="1"/>
  <c r="I157" i="2"/>
  <c r="I116" i="2" s="1"/>
  <c r="I74" i="2" s="1"/>
  <c r="E157" i="2"/>
  <c r="E116" i="2" s="1"/>
  <c r="E74" i="2" s="1"/>
  <c r="H157" i="2"/>
  <c r="H116" i="2" s="1"/>
  <c r="H74" i="2" s="1"/>
  <c r="J157" i="2"/>
  <c r="J116" i="2" s="1"/>
  <c r="J74" i="2" s="1"/>
  <c r="E160" i="2"/>
  <c r="E119" i="2" s="1"/>
  <c r="E77" i="2" s="1"/>
  <c r="J160" i="2"/>
  <c r="J119" i="2" s="1"/>
  <c r="J77" i="2" s="1"/>
  <c r="F160" i="2"/>
  <c r="F119" i="2" s="1"/>
  <c r="F77" i="2" s="1"/>
  <c r="G160" i="2"/>
  <c r="G119" i="2" s="1"/>
  <c r="G77" i="2" s="1"/>
  <c r="I160" i="2"/>
  <c r="I119" i="2" s="1"/>
  <c r="I77" i="2" s="1"/>
  <c r="F161" i="2"/>
  <c r="F120" i="2" s="1"/>
  <c r="F78" i="2" s="1"/>
  <c r="D161" i="2"/>
  <c r="D120" i="2" s="1"/>
  <c r="I161" i="2"/>
  <c r="I120" i="2" s="1"/>
  <c r="I78" i="2" s="1"/>
  <c r="E161" i="2"/>
  <c r="E120" i="2" s="1"/>
  <c r="E78" i="2" s="1"/>
  <c r="H161" i="2"/>
  <c r="H120" i="2" s="1"/>
  <c r="H78" i="2" s="1"/>
  <c r="J161" i="2"/>
  <c r="J120" i="2" s="1"/>
  <c r="J78" i="2" s="1"/>
  <c r="E164" i="2"/>
  <c r="E123" i="2" s="1"/>
  <c r="E81" i="2" s="1"/>
  <c r="J164" i="2"/>
  <c r="J123" i="2" s="1"/>
  <c r="J81" i="2" s="1"/>
  <c r="F164" i="2"/>
  <c r="F123" i="2" s="1"/>
  <c r="F81" i="2" s="1"/>
  <c r="G164" i="2"/>
  <c r="G123" i="2" s="1"/>
  <c r="G81" i="2" s="1"/>
  <c r="I164" i="2"/>
  <c r="I123" i="2" s="1"/>
  <c r="I81" i="2" s="1"/>
  <c r="I166" i="2"/>
  <c r="I125" i="2" s="1"/>
  <c r="I83" i="2" s="1"/>
  <c r="G166" i="2"/>
  <c r="G125" i="2" s="1"/>
  <c r="G83" i="2" s="1"/>
  <c r="E166" i="2"/>
  <c r="E125" i="2" s="1"/>
  <c r="E83" i="2" s="1"/>
  <c r="H166" i="2"/>
  <c r="H125" i="2" s="1"/>
  <c r="H83" i="2" s="1"/>
  <c r="D166" i="2"/>
  <c r="D125" i="2" s="1"/>
  <c r="I168" i="2"/>
  <c r="I127" i="2" s="1"/>
  <c r="I85" i="2" s="1"/>
  <c r="G168" i="2"/>
  <c r="G127" i="2" s="1"/>
  <c r="G85" i="2" s="1"/>
  <c r="E168" i="2"/>
  <c r="E127" i="2" s="1"/>
  <c r="J168" i="2"/>
  <c r="J127" i="2" s="1"/>
  <c r="J85" i="2" s="1"/>
  <c r="F168" i="2"/>
  <c r="F127" i="2" s="1"/>
  <c r="F85" i="2" s="1"/>
  <c r="D216" i="2"/>
  <c r="C180" i="2"/>
  <c r="C182" i="2"/>
  <c r="C184" i="2"/>
  <c r="C186" i="2"/>
  <c r="C188" i="2"/>
  <c r="C190" i="2"/>
  <c r="C192" i="2"/>
  <c r="C194" i="2"/>
  <c r="F159" i="2"/>
  <c r="F118" i="2" s="1"/>
  <c r="F76" i="2" s="1"/>
  <c r="D159" i="2"/>
  <c r="D118" i="2" s="1"/>
  <c r="H159" i="2"/>
  <c r="H118" i="2" s="1"/>
  <c r="H76" i="2" s="1"/>
  <c r="J159" i="2"/>
  <c r="J118" i="2" s="1"/>
  <c r="J76" i="2" s="1"/>
  <c r="F163" i="2"/>
  <c r="F122" i="2" s="1"/>
  <c r="F80" i="2" s="1"/>
  <c r="D163" i="2"/>
  <c r="D122" i="2" s="1"/>
  <c r="H163" i="2"/>
  <c r="H122" i="2" s="1"/>
  <c r="H80" i="2" s="1"/>
  <c r="J163" i="2"/>
  <c r="J122" i="2" s="1"/>
  <c r="J80" i="2" s="1"/>
  <c r="G158" i="2"/>
  <c r="G117" i="2" s="1"/>
  <c r="G75" i="2" s="1"/>
  <c r="I158" i="2"/>
  <c r="I117" i="2" s="1"/>
  <c r="I75" i="2" s="1"/>
  <c r="G162" i="2"/>
  <c r="G121" i="2" s="1"/>
  <c r="G79" i="2" s="1"/>
  <c r="I162" i="2"/>
  <c r="I121" i="2" s="1"/>
  <c r="I79" i="2" s="1"/>
  <c r="C197" i="2"/>
  <c r="C198" i="2"/>
  <c r="C199" i="2"/>
  <c r="C200" i="2"/>
  <c r="C201" i="2"/>
  <c r="C202" i="2"/>
  <c r="C203" i="2"/>
  <c r="C204" i="2"/>
  <c r="C205" i="2"/>
  <c r="C206" i="2"/>
  <c r="C207" i="2"/>
  <c r="C208" i="2"/>
  <c r="C209" i="2"/>
  <c r="C210" i="2"/>
  <c r="C212" i="2"/>
  <c r="C214" i="2"/>
  <c r="E253" i="2"/>
  <c r="E211" i="2" s="1"/>
  <c r="F253" i="2"/>
  <c r="F211" i="2" s="1"/>
  <c r="E255" i="2"/>
  <c r="E213" i="2" s="1"/>
  <c r="F255" i="2"/>
  <c r="F213" i="2" s="1"/>
  <c r="E257" i="2"/>
  <c r="E215" i="2" s="1"/>
  <c r="F257" i="2"/>
  <c r="F215" i="2" s="1"/>
  <c r="D258" i="2"/>
  <c r="Q44" i="2" s="1"/>
  <c r="F220" i="2"/>
  <c r="H258" i="2"/>
  <c r="J258" i="2"/>
  <c r="C61" i="2" l="1"/>
  <c r="D168" i="2"/>
  <c r="D127" i="2" s="1"/>
  <c r="D85" i="2" s="1"/>
  <c r="H168" i="2"/>
  <c r="H127" i="2" s="1"/>
  <c r="H85" i="2" s="1"/>
  <c r="F166" i="2"/>
  <c r="F125" i="2" s="1"/>
  <c r="F83" i="2" s="1"/>
  <c r="I150" i="2"/>
  <c r="I109" i="2" s="1"/>
  <c r="I67" i="2" s="1"/>
  <c r="E150" i="2"/>
  <c r="E109" i="2" s="1"/>
  <c r="E67" i="2" s="1"/>
  <c r="G150" i="2"/>
  <c r="G109" i="2" s="1"/>
  <c r="G67" i="2" s="1"/>
  <c r="D162" i="2"/>
  <c r="D121" i="2" s="1"/>
  <c r="D79" i="2" s="1"/>
  <c r="H162" i="2"/>
  <c r="H121" i="2" s="1"/>
  <c r="H79" i="2" s="1"/>
  <c r="E162" i="2"/>
  <c r="E121" i="2" s="1"/>
  <c r="E79" i="2" s="1"/>
  <c r="F162" i="2"/>
  <c r="F121" i="2" s="1"/>
  <c r="F79" i="2" s="1"/>
  <c r="E155" i="2"/>
  <c r="E114" i="2" s="1"/>
  <c r="E72" i="2" s="1"/>
  <c r="D150" i="2"/>
  <c r="D109" i="2" s="1"/>
  <c r="J150" i="2"/>
  <c r="J109" i="2" s="1"/>
  <c r="J67" i="2" s="1"/>
  <c r="J167" i="2"/>
  <c r="J126" i="2" s="1"/>
  <c r="J84" i="2" s="1"/>
  <c r="G149" i="2"/>
  <c r="G108" i="2" s="1"/>
  <c r="G66" i="2" s="1"/>
  <c r="J149" i="2"/>
  <c r="J108" i="2" s="1"/>
  <c r="J66" i="2" s="1"/>
  <c r="F149" i="2"/>
  <c r="F108" i="2" s="1"/>
  <c r="F66" i="2" s="1"/>
  <c r="I149" i="2"/>
  <c r="I108" i="2" s="1"/>
  <c r="I66" i="2" s="1"/>
  <c r="H142" i="2"/>
  <c r="H101" i="2" s="1"/>
  <c r="H59" i="2" s="1"/>
  <c r="J141" i="2"/>
  <c r="J100" i="2" s="1"/>
  <c r="J58" i="2" s="1"/>
  <c r="F141" i="2"/>
  <c r="F100" i="2" s="1"/>
  <c r="F58" i="2" s="1"/>
  <c r="I141" i="2"/>
  <c r="I100" i="2" s="1"/>
  <c r="I58" i="2" s="1"/>
  <c r="C187" i="2"/>
  <c r="D134" i="2"/>
  <c r="D93" i="2" s="1"/>
  <c r="E134" i="2"/>
  <c r="E93" i="2" s="1"/>
  <c r="E51" i="2" s="1"/>
  <c r="I134" i="2"/>
  <c r="I93" i="2" s="1"/>
  <c r="I51" i="2" s="1"/>
  <c r="H133" i="2"/>
  <c r="H92" i="2" s="1"/>
  <c r="H50" i="2" s="1"/>
  <c r="E133" i="2"/>
  <c r="E92" i="2" s="1"/>
  <c r="E50" i="2" s="1"/>
  <c r="J158" i="2"/>
  <c r="J117" i="2" s="1"/>
  <c r="J75" i="2" s="1"/>
  <c r="D158" i="2"/>
  <c r="D117" i="2" s="1"/>
  <c r="D75" i="2" s="1"/>
  <c r="H158" i="2"/>
  <c r="H117" i="2" s="1"/>
  <c r="H75" i="2" s="1"/>
  <c r="E158" i="2"/>
  <c r="E117" i="2" s="1"/>
  <c r="E75" i="2" s="1"/>
  <c r="F158" i="2"/>
  <c r="F117" i="2" s="1"/>
  <c r="F75" i="2" s="1"/>
  <c r="J146" i="2"/>
  <c r="J105" i="2" s="1"/>
  <c r="J63" i="2" s="1"/>
  <c r="H146" i="2"/>
  <c r="H105" i="2" s="1"/>
  <c r="H63" i="2" s="1"/>
  <c r="D146" i="2"/>
  <c r="D105" i="2" s="1"/>
  <c r="D63" i="2" s="1"/>
  <c r="F146" i="2"/>
  <c r="F105" i="2" s="1"/>
  <c r="F63" i="2" s="1"/>
  <c r="J138" i="2"/>
  <c r="J97" i="2" s="1"/>
  <c r="J55" i="2" s="1"/>
  <c r="H138" i="2"/>
  <c r="H97" i="2" s="1"/>
  <c r="H55" i="2" s="1"/>
  <c r="D138" i="2"/>
  <c r="D97" i="2" s="1"/>
  <c r="D55" i="2" s="1"/>
  <c r="F138" i="2"/>
  <c r="F97" i="2" s="1"/>
  <c r="F55" i="2" s="1"/>
  <c r="F150" i="2"/>
  <c r="F109" i="2" s="1"/>
  <c r="F67" i="2" s="1"/>
  <c r="E145" i="2"/>
  <c r="E104" i="2" s="1"/>
  <c r="E62" i="2" s="1"/>
  <c r="F142" i="2"/>
  <c r="F101" i="2" s="1"/>
  <c r="F59" i="2" s="1"/>
  <c r="I137" i="2"/>
  <c r="I96" i="2" s="1"/>
  <c r="I54" i="2" s="1"/>
  <c r="E137" i="2"/>
  <c r="E96" i="2" s="1"/>
  <c r="E54" i="2" s="1"/>
  <c r="I145" i="2"/>
  <c r="I104" i="2" s="1"/>
  <c r="I62" i="2" s="1"/>
  <c r="C70" i="2"/>
  <c r="G157" i="2"/>
  <c r="G116" i="2" s="1"/>
  <c r="G74" i="2" s="1"/>
  <c r="J162" i="2"/>
  <c r="J121" i="2" s="1"/>
  <c r="J79" i="2" s="1"/>
  <c r="C79" i="2" s="1"/>
  <c r="H150" i="2"/>
  <c r="H109" i="2" s="1"/>
  <c r="H67" i="2" s="1"/>
  <c r="C196" i="2"/>
  <c r="C112" i="2"/>
  <c r="D169" i="2"/>
  <c r="D128" i="2" s="1"/>
  <c r="I169" i="2"/>
  <c r="I128" i="2" s="1"/>
  <c r="I86" i="2" s="1"/>
  <c r="E169" i="2"/>
  <c r="E128" i="2" s="1"/>
  <c r="E86" i="2" s="1"/>
  <c r="G169" i="2"/>
  <c r="G128" i="2" s="1"/>
  <c r="G86" i="2" s="1"/>
  <c r="D165" i="2"/>
  <c r="D124" i="2" s="1"/>
  <c r="I165" i="2"/>
  <c r="I124" i="2" s="1"/>
  <c r="I82" i="2" s="1"/>
  <c r="E165" i="2"/>
  <c r="E124" i="2" s="1"/>
  <c r="E82" i="2" s="1"/>
  <c r="G165" i="2"/>
  <c r="G124" i="2" s="1"/>
  <c r="G82" i="2" s="1"/>
  <c r="F258" i="2"/>
  <c r="F178" i="2"/>
  <c r="F169" i="2"/>
  <c r="F128" i="2" s="1"/>
  <c r="F86" i="2" s="1"/>
  <c r="F167" i="2"/>
  <c r="F126" i="2" s="1"/>
  <c r="F84" i="2" s="1"/>
  <c r="F165" i="2"/>
  <c r="F124" i="2" s="1"/>
  <c r="F82" i="2" s="1"/>
  <c r="C215" i="2"/>
  <c r="C213" i="2"/>
  <c r="C211" i="2"/>
  <c r="J169" i="2"/>
  <c r="J128" i="2" s="1"/>
  <c r="J86" i="2" s="1"/>
  <c r="J165" i="2"/>
  <c r="J124" i="2" s="1"/>
  <c r="J82" i="2" s="1"/>
  <c r="C122" i="2"/>
  <c r="D80" i="2"/>
  <c r="C118" i="2"/>
  <c r="D76" i="2"/>
  <c r="C127" i="2"/>
  <c r="E85" i="2"/>
  <c r="C116" i="2"/>
  <c r="D74" i="2"/>
  <c r="I216" i="2"/>
  <c r="I132" i="2"/>
  <c r="I91" i="2" s="1"/>
  <c r="I49" i="2" s="1"/>
  <c r="G216" i="2"/>
  <c r="G132" i="2"/>
  <c r="G91" i="2" s="1"/>
  <c r="G49" i="2" s="1"/>
  <c r="C98" i="2"/>
  <c r="D56" i="2"/>
  <c r="C97" i="2"/>
  <c r="E55" i="2"/>
  <c r="C96" i="2"/>
  <c r="D54" i="2"/>
  <c r="C115" i="2"/>
  <c r="D73" i="2"/>
  <c r="C99" i="2"/>
  <c r="D57" i="2"/>
  <c r="C123" i="2"/>
  <c r="C121" i="2"/>
  <c r="C117" i="2"/>
  <c r="E258" i="2"/>
  <c r="C94" i="2"/>
  <c r="D52" i="2"/>
  <c r="C93" i="2"/>
  <c r="D51" i="2"/>
  <c r="C92" i="2"/>
  <c r="D50" i="2"/>
  <c r="C107" i="2"/>
  <c r="C65" i="2"/>
  <c r="D167" i="2"/>
  <c r="D126" i="2" s="1"/>
  <c r="G167" i="2"/>
  <c r="G126" i="2" s="1"/>
  <c r="G84" i="2" s="1"/>
  <c r="E167" i="2"/>
  <c r="E126" i="2" s="1"/>
  <c r="E84" i="2" s="1"/>
  <c r="I167" i="2"/>
  <c r="I126" i="2" s="1"/>
  <c r="I84" i="2" s="1"/>
  <c r="E216" i="2"/>
  <c r="H169" i="2"/>
  <c r="H128" i="2" s="1"/>
  <c r="H86" i="2" s="1"/>
  <c r="H167" i="2"/>
  <c r="H126" i="2" s="1"/>
  <c r="H84" i="2" s="1"/>
  <c r="H165" i="2"/>
  <c r="H124" i="2" s="1"/>
  <c r="H82" i="2" s="1"/>
  <c r="D83" i="2"/>
  <c r="C125" i="2"/>
  <c r="C120" i="2"/>
  <c r="D78" i="2"/>
  <c r="C114" i="2"/>
  <c r="D72" i="2"/>
  <c r="C113" i="2"/>
  <c r="D71" i="2"/>
  <c r="C106" i="2"/>
  <c r="D64" i="2"/>
  <c r="C105" i="2"/>
  <c r="E63" i="2"/>
  <c r="C104" i="2"/>
  <c r="D62" i="2"/>
  <c r="C103" i="2"/>
  <c r="C77" i="2"/>
  <c r="C75" i="2"/>
  <c r="C81" i="2"/>
  <c r="C119" i="2"/>
  <c r="I152" i="2"/>
  <c r="I111" i="2" s="1"/>
  <c r="I69" i="2" s="1"/>
  <c r="G152" i="2"/>
  <c r="G111" i="2" s="1"/>
  <c r="G69" i="2" s="1"/>
  <c r="E152" i="2"/>
  <c r="E111" i="2" s="1"/>
  <c r="E69" i="2" s="1"/>
  <c r="H152" i="2"/>
  <c r="H111" i="2" s="1"/>
  <c r="H69" i="2" s="1"/>
  <c r="D152" i="2"/>
  <c r="D111" i="2" s="1"/>
  <c r="F152" i="2"/>
  <c r="F111" i="2" s="1"/>
  <c r="F69" i="2" s="1"/>
  <c r="J152" i="2"/>
  <c r="J111" i="2" s="1"/>
  <c r="J69" i="2" s="1"/>
  <c r="C108" i="2"/>
  <c r="D66" i="2"/>
  <c r="C102" i="2"/>
  <c r="D60" i="2"/>
  <c r="C101" i="2"/>
  <c r="D59" i="2"/>
  <c r="C100" i="2"/>
  <c r="D58" i="2"/>
  <c r="C95" i="2"/>
  <c r="C53" i="2"/>
  <c r="D67" i="2" l="1"/>
  <c r="C67" i="2" s="1"/>
  <c r="C109" i="2"/>
  <c r="C58" i="2"/>
  <c r="C59" i="2"/>
  <c r="C60" i="2"/>
  <c r="C72" i="2"/>
  <c r="C78" i="2"/>
  <c r="C50" i="2"/>
  <c r="C51" i="2"/>
  <c r="C52" i="2"/>
  <c r="C57" i="2"/>
  <c r="C73" i="2"/>
  <c r="C54" i="2"/>
  <c r="C55" i="2"/>
  <c r="C56" i="2"/>
  <c r="G87" i="2"/>
  <c r="I87" i="2"/>
  <c r="C74" i="2"/>
  <c r="C76" i="2"/>
  <c r="E132" i="2"/>
  <c r="E91" i="2" s="1"/>
  <c r="E49" i="2" s="1"/>
  <c r="J132" i="2"/>
  <c r="J91" i="2" s="1"/>
  <c r="J49" i="2" s="1"/>
  <c r="F132" i="2"/>
  <c r="F91" i="2" s="1"/>
  <c r="F49" i="2" s="1"/>
  <c r="D132" i="2"/>
  <c r="D91" i="2" s="1"/>
  <c r="F216" i="2"/>
  <c r="H132" i="2"/>
  <c r="H91" i="2" s="1"/>
  <c r="H49" i="2" s="1"/>
  <c r="C178" i="2"/>
  <c r="C216" i="2" s="1"/>
  <c r="C66" i="2"/>
  <c r="C111" i="2"/>
  <c r="D69" i="2"/>
  <c r="C62" i="2"/>
  <c r="C63" i="2"/>
  <c r="C64" i="2"/>
  <c r="C71" i="2"/>
  <c r="C83" i="2"/>
  <c r="D84" i="2"/>
  <c r="C126" i="2"/>
  <c r="C85" i="2"/>
  <c r="C80" i="2"/>
  <c r="D82" i="2"/>
  <c r="C124" i="2"/>
  <c r="D86" i="2"/>
  <c r="C128" i="2"/>
  <c r="C82" i="2" l="1"/>
  <c r="C84" i="2"/>
  <c r="C69" i="2"/>
  <c r="F87" i="2"/>
  <c r="E87" i="2"/>
  <c r="C86" i="2"/>
  <c r="H87" i="2"/>
  <c r="C91" i="2"/>
  <c r="D49" i="2"/>
  <c r="J87" i="2"/>
  <c r="D87" i="2" l="1"/>
  <c r="C49" i="2"/>
  <c r="C87" i="2" l="1"/>
  <c r="M27" i="2" l="1"/>
  <c r="M18" i="2"/>
  <c r="M36" i="2"/>
  <c r="M25" i="2"/>
  <c r="M24" i="2"/>
  <c r="M32" i="2"/>
  <c r="M22" i="2"/>
  <c r="M10" i="2"/>
  <c r="M38" i="2"/>
  <c r="M34" i="2"/>
  <c r="M37" i="2"/>
  <c r="M40" i="2"/>
  <c r="M21" i="2"/>
  <c r="M23" i="2"/>
  <c r="M31" i="2"/>
  <c r="M11" i="2"/>
  <c r="M14" i="2"/>
  <c r="M8" i="2"/>
  <c r="M17" i="2"/>
  <c r="M15" i="2"/>
  <c r="M12" i="2"/>
  <c r="M29" i="2"/>
  <c r="M42" i="2"/>
  <c r="M28" i="2"/>
  <c r="M19" i="2"/>
  <c r="M33" i="2"/>
  <c r="M13" i="2"/>
  <c r="M30" i="2"/>
  <c r="M9" i="2"/>
  <c r="M7" i="2"/>
  <c r="M16" i="2"/>
  <c r="M20" i="2"/>
  <c r="M35" i="2"/>
  <c r="M26" i="2"/>
  <c r="M39" i="2"/>
  <c r="M43" i="2"/>
  <c r="M41" i="2"/>
  <c r="M6" i="2"/>
  <c r="M44" i="2" l="1"/>
  <c r="C44" i="2" s="1"/>
  <c r="D42" i="2" l="1"/>
  <c r="H38" i="2"/>
  <c r="G35" i="2"/>
  <c r="G33" i="2"/>
  <c r="G31" i="2"/>
  <c r="J28" i="2"/>
  <c r="G27" i="2"/>
  <c r="H24" i="2"/>
  <c r="G21" i="2"/>
  <c r="D20" i="2"/>
  <c r="G19" i="2"/>
  <c r="D18" i="2"/>
  <c r="E11" i="2"/>
  <c r="F10" i="2"/>
  <c r="D27" i="2"/>
  <c r="F25" i="2"/>
  <c r="E36" i="2"/>
  <c r="J27" i="2"/>
  <c r="H25" i="2"/>
  <c r="I24" i="2"/>
  <c r="F18" i="2"/>
  <c r="H32" i="2"/>
  <c r="I21" i="2"/>
  <c r="J8" i="2"/>
  <c r="I17" i="2"/>
  <c r="J24" i="2"/>
  <c r="E13" i="2"/>
  <c r="D36" i="2"/>
  <c r="H42" i="2"/>
  <c r="D24" i="2"/>
  <c r="J40" i="2"/>
  <c r="J18" i="2"/>
  <c r="I11" i="2"/>
  <c r="E29" i="2"/>
  <c r="E9" i="2"/>
  <c r="G25" i="2"/>
  <c r="G11" i="2"/>
  <c r="I13" i="2"/>
  <c r="F36" i="2"/>
  <c r="D10" i="2"/>
  <c r="H36" i="2"/>
  <c r="J37" i="2"/>
  <c r="H40" i="2"/>
  <c r="E38" i="2"/>
  <c r="G34" i="2"/>
  <c r="I30" i="2"/>
  <c r="G28" i="2"/>
  <c r="G18" i="2"/>
  <c r="J21" i="2"/>
  <c r="F19" i="2"/>
  <c r="H22" i="2"/>
  <c r="F32" i="2"/>
  <c r="F23" i="2"/>
  <c r="G17" i="2"/>
  <c r="F15" i="2"/>
  <c r="E8" i="2"/>
  <c r="G32" i="2"/>
  <c r="H33" i="2"/>
  <c r="E40" i="2"/>
  <c r="J35" i="2"/>
  <c r="E34" i="2"/>
  <c r="G30" i="2"/>
  <c r="G22" i="2"/>
  <c r="I10" i="2"/>
  <c r="H19" i="2"/>
  <c r="J11" i="2"/>
  <c r="J16" i="2"/>
  <c r="D34" i="2"/>
  <c r="E23" i="2"/>
  <c r="E16" i="2"/>
  <c r="F14" i="2"/>
  <c r="G8" i="2"/>
  <c r="I32" i="2"/>
  <c r="I42" i="2"/>
  <c r="F38" i="2"/>
  <c r="F35" i="2"/>
  <c r="E31" i="2"/>
  <c r="F29" i="2"/>
  <c r="E22" i="2"/>
  <c r="G10" i="2"/>
  <c r="J19" i="2"/>
  <c r="H11" i="2"/>
  <c r="E24" i="2"/>
  <c r="J23" i="2"/>
  <c r="H17" i="2"/>
  <c r="J15" i="2"/>
  <c r="F9" i="2"/>
  <c r="E7" i="2"/>
  <c r="F37" i="2"/>
  <c r="G42" i="2"/>
  <c r="J38" i="2"/>
  <c r="F34" i="2"/>
  <c r="F31" i="2"/>
  <c r="E28" i="2"/>
  <c r="G14" i="2"/>
  <c r="I20" i="2"/>
  <c r="G12" i="2"/>
  <c r="I9" i="2"/>
  <c r="E25" i="2"/>
  <c r="H23" i="2"/>
  <c r="F17" i="2"/>
  <c r="E15" i="2"/>
  <c r="H8" i="2"/>
  <c r="I7" i="2"/>
  <c r="D15" i="2"/>
  <c r="D17" i="2"/>
  <c r="I41" i="2"/>
  <c r="D7" i="2"/>
  <c r="D9" i="2"/>
  <c r="D30" i="2"/>
  <c r="D13" i="2"/>
  <c r="I6" i="2"/>
  <c r="D33" i="2"/>
  <c r="G39" i="2"/>
  <c r="E26" i="2"/>
  <c r="D19" i="2"/>
  <c r="D28" i="2"/>
  <c r="E41" i="2"/>
  <c r="D37" i="2"/>
  <c r="E39" i="2"/>
  <c r="G26" i="2"/>
  <c r="D29" i="2"/>
  <c r="H43" i="2"/>
  <c r="E12" i="2"/>
  <c r="I39" i="2"/>
  <c r="J26" i="2"/>
  <c r="E20" i="2"/>
  <c r="J43" i="2"/>
  <c r="E43" i="2"/>
  <c r="E6" i="2"/>
  <c r="D39" i="2"/>
  <c r="D41" i="2"/>
  <c r="J6" i="2"/>
  <c r="D6" i="2"/>
  <c r="F40" i="2"/>
  <c r="G37" i="2"/>
  <c r="H34" i="2"/>
  <c r="D32" i="2"/>
  <c r="I29" i="2"/>
  <c r="F28" i="2"/>
  <c r="I27" i="2"/>
  <c r="E27" i="2"/>
  <c r="F24" i="2"/>
  <c r="H20" i="2"/>
  <c r="I19" i="2"/>
  <c r="H18" i="2"/>
  <c r="G13" i="2"/>
  <c r="J10" i="2"/>
  <c r="H27" i="2"/>
  <c r="J25" i="2"/>
  <c r="G24" i="2"/>
  <c r="E32" i="2"/>
  <c r="F27" i="2"/>
  <c r="D25" i="2"/>
  <c r="H12" i="2"/>
  <c r="F20" i="2"/>
  <c r="E19" i="2"/>
  <c r="E33" i="2"/>
  <c r="H14" i="2"/>
  <c r="I25" i="2"/>
  <c r="F12" i="2"/>
  <c r="J32" i="2"/>
  <c r="I37" i="2"/>
  <c r="D12" i="2"/>
  <c r="E37" i="2"/>
  <c r="F16" i="2"/>
  <c r="J20" i="2"/>
  <c r="E21" i="2"/>
  <c r="I33" i="2"/>
  <c r="G15" i="2"/>
  <c r="H10" i="2"/>
  <c r="J12" i="2"/>
  <c r="J9" i="2"/>
  <c r="J36" i="2"/>
  <c r="D22" i="2"/>
  <c r="J41" i="2"/>
  <c r="I36" i="2"/>
  <c r="F42" i="2"/>
  <c r="I38" i="2"/>
  <c r="I35" i="2"/>
  <c r="J31" i="2"/>
  <c r="G29" i="2"/>
  <c r="I22" i="2"/>
  <c r="E14" i="2"/>
  <c r="G20" i="2"/>
  <c r="I12" i="2"/>
  <c r="F8" i="2"/>
  <c r="H30" i="2"/>
  <c r="J22" i="2"/>
  <c r="G16" i="2"/>
  <c r="J14" i="2"/>
  <c r="H7" i="2"/>
  <c r="H37" i="2"/>
  <c r="J42" i="2"/>
  <c r="G38" i="2"/>
  <c r="I34" i="2"/>
  <c r="I31" i="2"/>
  <c r="I28" i="2"/>
  <c r="E18" i="2"/>
  <c r="H21" i="2"/>
  <c r="F13" i="2"/>
  <c r="G23" i="2"/>
  <c r="G7" i="2"/>
  <c r="F30" i="2"/>
  <c r="J17" i="2"/>
  <c r="H15" i="2"/>
  <c r="G9" i="2"/>
  <c r="F7" i="2"/>
  <c r="J33" i="2"/>
  <c r="G40" i="2"/>
  <c r="H35" i="2"/>
  <c r="J34" i="2"/>
  <c r="J29" i="2"/>
  <c r="H28" i="2"/>
  <c r="I14" i="2"/>
  <c r="F21" i="2"/>
  <c r="H13" i="2"/>
  <c r="E17" i="2"/>
  <c r="J30" i="2"/>
  <c r="I23" i="2"/>
  <c r="H16" i="2"/>
  <c r="I15" i="2"/>
  <c r="I8" i="2"/>
  <c r="G36" i="2"/>
  <c r="F33" i="2"/>
  <c r="I40" i="2"/>
  <c r="E35" i="2"/>
  <c r="H31" i="2"/>
  <c r="H29" i="2"/>
  <c r="I18" i="2"/>
  <c r="E10" i="2"/>
  <c r="J13" i="2"/>
  <c r="F11" i="2"/>
  <c r="D38" i="2"/>
  <c r="C38" i="2" s="1"/>
  <c r="N38" i="2" s="1"/>
  <c r="E30" i="2"/>
  <c r="F22" i="2"/>
  <c r="I16" i="2"/>
  <c r="H9" i="2"/>
  <c r="J7" i="2"/>
  <c r="D16" i="2"/>
  <c r="H26" i="2"/>
  <c r="H39" i="2"/>
  <c r="D8" i="2"/>
  <c r="C8" i="2" s="1"/>
  <c r="N8" i="2" s="1"/>
  <c r="D14" i="2"/>
  <c r="C14" i="2" s="1"/>
  <c r="N14" i="2" s="1"/>
  <c r="D11" i="2"/>
  <c r="C11" i="2" s="1"/>
  <c r="N11" i="2" s="1"/>
  <c r="G6" i="2"/>
  <c r="D31" i="2"/>
  <c r="C31" i="2" s="1"/>
  <c r="N31" i="2" s="1"/>
  <c r="F41" i="2"/>
  <c r="G43" i="2"/>
  <c r="D23" i="2"/>
  <c r="C23" i="2" s="1"/>
  <c r="N23" i="2" s="1"/>
  <c r="D21" i="2"/>
  <c r="C21" i="2" s="1"/>
  <c r="N21" i="2" s="1"/>
  <c r="D40" i="2"/>
  <c r="C40" i="2" s="1"/>
  <c r="N40" i="2" s="1"/>
  <c r="E42" i="2"/>
  <c r="F39" i="2"/>
  <c r="F26" i="2"/>
  <c r="D35" i="2"/>
  <c r="C35" i="2" s="1"/>
  <c r="N35" i="2" s="1"/>
  <c r="G41" i="2"/>
  <c r="J39" i="2"/>
  <c r="I43" i="2"/>
  <c r="I26" i="2"/>
  <c r="H41" i="2"/>
  <c r="F43" i="2"/>
  <c r="F6" i="2"/>
  <c r="D43" i="2"/>
  <c r="C43" i="2" s="1"/>
  <c r="N43" i="2" s="1"/>
  <c r="D26" i="2"/>
  <c r="H6" i="2"/>
  <c r="H44" i="2" s="1"/>
  <c r="G44" i="2" l="1"/>
  <c r="C16" i="2"/>
  <c r="N16" i="2" s="1"/>
  <c r="Q40" i="2"/>
  <c r="R40" i="2"/>
  <c r="P40" i="2"/>
  <c r="R23" i="2"/>
  <c r="P23" i="2"/>
  <c r="Q23" i="2"/>
  <c r="Q14" i="2"/>
  <c r="R14" i="2"/>
  <c r="P14" i="2"/>
  <c r="Q16" i="2"/>
  <c r="P16" i="2"/>
  <c r="R16" i="2"/>
  <c r="Q38" i="2"/>
  <c r="P38" i="2"/>
  <c r="R38" i="2"/>
  <c r="C12" i="2"/>
  <c r="N12" i="2" s="1"/>
  <c r="C25" i="2"/>
  <c r="N25" i="2" s="1"/>
  <c r="C32" i="2"/>
  <c r="N32" i="2" s="1"/>
  <c r="D44" i="2"/>
  <c r="C6" i="2"/>
  <c r="N6" i="2" s="1"/>
  <c r="C41" i="2"/>
  <c r="N41" i="2" s="1"/>
  <c r="E44" i="2"/>
  <c r="C29" i="2"/>
  <c r="N29" i="2" s="1"/>
  <c r="C19" i="2"/>
  <c r="N19" i="2" s="1"/>
  <c r="I44" i="2"/>
  <c r="C30" i="2"/>
  <c r="N30" i="2" s="1"/>
  <c r="C7" i="2"/>
  <c r="N7" i="2" s="1"/>
  <c r="C17" i="2"/>
  <c r="N17" i="2" s="1"/>
  <c r="C34" i="2"/>
  <c r="N34" i="2" s="1"/>
  <c r="C10" i="2"/>
  <c r="N10" i="2" s="1"/>
  <c r="C24" i="2"/>
  <c r="N24" i="2" s="1"/>
  <c r="C36" i="2"/>
  <c r="N36" i="2" s="1"/>
  <c r="C18" i="2"/>
  <c r="N18" i="2" s="1"/>
  <c r="C20" i="2"/>
  <c r="N20" i="2" s="1"/>
  <c r="R43" i="2"/>
  <c r="P43" i="2"/>
  <c r="Q43" i="2"/>
  <c r="R35" i="2"/>
  <c r="P35" i="2"/>
  <c r="Q35" i="2"/>
  <c r="C26" i="2"/>
  <c r="N26" i="2" s="1"/>
  <c r="F44" i="2"/>
  <c r="R21" i="2"/>
  <c r="P21" i="2"/>
  <c r="Q21" i="2"/>
  <c r="R31" i="2"/>
  <c r="P31" i="2"/>
  <c r="Q31" i="2"/>
  <c r="R11" i="2"/>
  <c r="P11" i="2"/>
  <c r="Q11" i="2"/>
  <c r="Q8" i="2"/>
  <c r="P8" i="2"/>
  <c r="R8" i="2"/>
  <c r="C22" i="2"/>
  <c r="N22" i="2" s="1"/>
  <c r="J44" i="2"/>
  <c r="C39" i="2"/>
  <c r="N39" i="2" s="1"/>
  <c r="C37" i="2"/>
  <c r="N37" i="2" s="1"/>
  <c r="C28" i="2"/>
  <c r="N28" i="2" s="1"/>
  <c r="C33" i="2"/>
  <c r="N33" i="2" s="1"/>
  <c r="C13" i="2"/>
  <c r="N13" i="2" s="1"/>
  <c r="C9" i="2"/>
  <c r="N9" i="2" s="1"/>
  <c r="C15" i="2"/>
  <c r="N15" i="2" s="1"/>
  <c r="C27" i="2"/>
  <c r="N27" i="2" s="1"/>
  <c r="C42" i="2"/>
  <c r="N42" i="2" s="1"/>
  <c r="R27" i="2" l="1"/>
  <c r="P27" i="2"/>
  <c r="Q27" i="2"/>
  <c r="R9" i="2"/>
  <c r="P9" i="2"/>
  <c r="Q9" i="2"/>
  <c r="R33" i="2"/>
  <c r="P33" i="2"/>
  <c r="Q33" i="2"/>
  <c r="R37" i="2"/>
  <c r="P37" i="2"/>
  <c r="Q37" i="2"/>
  <c r="Q20" i="2"/>
  <c r="R20" i="2"/>
  <c r="P20" i="2"/>
  <c r="Q36" i="2"/>
  <c r="R36" i="2"/>
  <c r="P36" i="2"/>
  <c r="Q10" i="2"/>
  <c r="R10" i="2"/>
  <c r="P10" i="2"/>
  <c r="R17" i="2"/>
  <c r="P17" i="2"/>
  <c r="Q17" i="2"/>
  <c r="Q30" i="2"/>
  <c r="P30" i="2"/>
  <c r="R30" i="2"/>
  <c r="R19" i="2"/>
  <c r="P19" i="2"/>
  <c r="Q19" i="2"/>
  <c r="Q6" i="2"/>
  <c r="R6" i="2"/>
  <c r="P6" i="2"/>
  <c r="Q32" i="2"/>
  <c r="R32" i="2"/>
  <c r="P32" i="2"/>
  <c r="Q12" i="2"/>
  <c r="R12" i="2"/>
  <c r="P12" i="2"/>
  <c r="Q42" i="2"/>
  <c r="P42" i="2"/>
  <c r="R42" i="2"/>
  <c r="R15" i="2"/>
  <c r="P15" i="2"/>
  <c r="Q15" i="2"/>
  <c r="R13" i="2"/>
  <c r="P13" i="2"/>
  <c r="Q13" i="2"/>
  <c r="Q28" i="2"/>
  <c r="P28" i="2"/>
  <c r="R28" i="2"/>
  <c r="R39" i="2"/>
  <c r="P39" i="2"/>
  <c r="Q39" i="2"/>
  <c r="Q22" i="2"/>
  <c r="P22" i="2"/>
  <c r="R22" i="2"/>
  <c r="Q26" i="2"/>
  <c r="P26" i="2"/>
  <c r="R26" i="2"/>
  <c r="Q18" i="2"/>
  <c r="P18" i="2"/>
  <c r="R18" i="2"/>
  <c r="Q24" i="2"/>
  <c r="R24" i="2"/>
  <c r="P24" i="2"/>
  <c r="Q34" i="2"/>
  <c r="P34" i="2"/>
  <c r="R34" i="2"/>
  <c r="R7" i="2"/>
  <c r="P7" i="2"/>
  <c r="Q7" i="2"/>
  <c r="R29" i="2"/>
  <c r="P29" i="2"/>
  <c r="Q29" i="2"/>
  <c r="R41" i="2"/>
  <c r="P41" i="2"/>
  <c r="Q41" i="2"/>
  <c r="R25" i="2"/>
  <c r="P25" i="2"/>
  <c r="Q25" i="2"/>
  <c r="R44" i="2" l="1"/>
</calcChain>
</file>

<file path=xl/sharedStrings.xml><?xml version="1.0" encoding="utf-8"?>
<sst xmlns="http://schemas.openxmlformats.org/spreadsheetml/2006/main" count="167" uniqueCount="83">
  <si>
    <t>FICE</t>
  </si>
  <si>
    <t>Name</t>
  </si>
  <si>
    <t>Funding</t>
  </si>
  <si>
    <t xml:space="preserve">Total Undergraduate Degrees </t>
  </si>
  <si>
    <t>At-Risk Degrees</t>
  </si>
  <si>
    <t>Retention Metrics</t>
  </si>
  <si>
    <t>Adjusted by 6-Year Graduation Rate</t>
  </si>
  <si>
    <t>per 100 FTSE</t>
  </si>
  <si>
    <t>30 Hours</t>
  </si>
  <si>
    <t>60 Hours</t>
  </si>
  <si>
    <t>90 Hours</t>
  </si>
  <si>
    <t>UTA</t>
  </si>
  <si>
    <t>UT</t>
  </si>
  <si>
    <t>UTD</t>
  </si>
  <si>
    <t>UTEP</t>
  </si>
  <si>
    <t>UTPA</t>
  </si>
  <si>
    <t>UTB</t>
  </si>
  <si>
    <t>UTPB</t>
  </si>
  <si>
    <t>UTSA</t>
  </si>
  <si>
    <t>UTT</t>
  </si>
  <si>
    <t>TAMU</t>
  </si>
  <si>
    <t>TAMUG</t>
  </si>
  <si>
    <t>Prairie View</t>
  </si>
  <si>
    <t>Tarleton</t>
  </si>
  <si>
    <t>TAMUCT</t>
  </si>
  <si>
    <t>TAMUCC</t>
  </si>
  <si>
    <t>TAMUK</t>
  </si>
  <si>
    <t>TAMUSA</t>
  </si>
  <si>
    <t>TAMI</t>
  </si>
  <si>
    <t>WTAMU</t>
  </si>
  <si>
    <t>TAMUC</t>
  </si>
  <si>
    <t>TAMUT</t>
  </si>
  <si>
    <t>UH</t>
  </si>
  <si>
    <t>UHCL</t>
  </si>
  <si>
    <t>UHD</t>
  </si>
  <si>
    <t>UHV</t>
  </si>
  <si>
    <t>Midwestern</t>
  </si>
  <si>
    <t>UNT</t>
  </si>
  <si>
    <t>UNTD</t>
  </si>
  <si>
    <t>SFA</t>
  </si>
  <si>
    <t>TSU</t>
  </si>
  <si>
    <t>TTU</t>
  </si>
  <si>
    <t>Angelo</t>
  </si>
  <si>
    <t>TWU</t>
  </si>
  <si>
    <t>Lamar</t>
  </si>
  <si>
    <t>SHSU</t>
  </si>
  <si>
    <t>SRSU</t>
  </si>
  <si>
    <t>SRRG</t>
  </si>
  <si>
    <t>Total</t>
  </si>
  <si>
    <t>Total Points</t>
  </si>
  <si>
    <t>Weights</t>
  </si>
  <si>
    <t>Three-Year Average</t>
  </si>
  <si>
    <t>Total Undergraduate Degrees</t>
  </si>
  <si>
    <t>6-Year Graduation Rate</t>
  </si>
  <si>
    <t>Undergraduate FTSE</t>
  </si>
  <si>
    <t>Hours Completed</t>
  </si>
  <si>
    <t>Fiscal Year 2012</t>
  </si>
  <si>
    <t>Undergraduate Degrees</t>
  </si>
  <si>
    <t>Fiscal Year 2011</t>
  </si>
  <si>
    <t>Graduation Rates for UNTD, TAMUSA, and TAMUCT are assumed to be the same as their parent institutions. 3-Year Graduation Rate used for Upper-Level institutions.</t>
  </si>
  <si>
    <t xml:space="preserve">Texas A&amp;M Galveston is given an additional weight of 1.5 to all metrics for ship operation similar to the instructions and operations formula. </t>
  </si>
  <si>
    <t>Sources</t>
  </si>
  <si>
    <t>Undergraduate Degrees - CBM009 Report</t>
  </si>
  <si>
    <t>6-Yr/3-Yr Graduation Rates - CBM001/CBM009 Reports</t>
  </si>
  <si>
    <t>Undergraduate FTSE - CBM004 PREP fall of fiscal year state-funded hours divided by 15</t>
  </si>
  <si>
    <t>At-Risk Degrees - CBM009 meeting criteria in statute for At-Risk</t>
  </si>
  <si>
    <t>Hours Completed - CBM002 or CBM00S</t>
  </si>
  <si>
    <t>Phase-In Adjustment</t>
  </si>
  <si>
    <t>2014-2015 Undergraduate Instruction and Operations Percent of Total</t>
  </si>
  <si>
    <t>Phase-In Set-Asides</t>
  </si>
  <si>
    <t>Funding After Set-Asides</t>
  </si>
  <si>
    <t>Increase/ (Decrease) from I&amp;O</t>
  </si>
  <si>
    <t>Funding Per Degree</t>
  </si>
  <si>
    <t>Funding Per FTSE</t>
  </si>
  <si>
    <t>TXST</t>
  </si>
  <si>
    <t>Threshold</t>
  </si>
  <si>
    <t>Points Three-Year Average - Scaled and Weighted</t>
  </si>
  <si>
    <t>Total Weights</t>
  </si>
  <si>
    <t>Rank of Total Average Scaled Points per Institution</t>
  </si>
  <si>
    <t>Points Three-Year Average - Scaled</t>
  </si>
  <si>
    <t>Scale</t>
  </si>
  <si>
    <t>Fiscal Year 2013</t>
  </si>
  <si>
    <t>Outcomes Based Funding (FY 2011 - FY 2013 Averaged) with Total Undergraduate Degrees, Total Undergraduate Degrees adjusted by Six-Year Graduation Rate (Three-Year Rate for Upper-Levels), Total Undergraduate Degrees per 100 FTSE, Undergraduate At-Risk Degrees, and Retention Metrics of 30, 60, and 90 hours. Metrics are scaled for mathematical comparability and optimally weighted by institution. The model is funded at 10 percent of undergraduate formula funding.</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</si>
</sst>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44" formatCode="_(&quot;$&quot;* #,##0.00_);_(&quot;$&quot;* \(#,##0.00\);_(&quot;$&quot;* &quot;-&quot;??_);_(@_)"/>
    <numFmt numFmtId="43" formatCode="_(* #,##0.00_);_(* \(#,##0.00\);_(* &quot;-&quot;??_);_(@_)"/>
    <numFmt numFmtId="164" formatCode="_(* #,##0_);_(* \(#,##0\);_(* &quot;-&quot;??_);_(@_)"/>
    <numFmt numFmtId="165" formatCode="000000"/>
    <numFmt numFmtId="166" formatCode="_(&quot;$&quot;* #,##0_);_(&quot;$&quot;* \(#,##0\);_(&quot;$&quot;* &quot;-&quot;??_);_(@_)"/>
    <numFmt numFmtId="167" formatCode="0.0%"/>
    <numFmt numFmtId="168" formatCode="&quot;$&quot;#,##0"/>
  </numFmts>
  <fonts count="10" x14ac:knownFonts="1">
    <font>
      <sz val="11"/>
      <color theme="1"/>
      <name val="Calibri"/>
      <family val="2"/>
      <scheme val="minor"/>
    </font>
    <font>
      <sz val="10"/>
      <name val="System"/>
      <family val="2"/>
    </font>
    <font>
      <b/>
      <sz val="10"/>
      <name val="Tahoma"/>
      <family val="2"/>
    </font>
    <font>
      <sz val="10"/>
      <name val="Tahoma"/>
      <family val="2"/>
    </font>
    <font>
      <sz val="10"/>
      <color theme="0"/>
      <name val="Tahoma"/>
      <family val="2"/>
    </font>
    <font>
      <i/>
      <sz val="10"/>
      <name val="System"/>
      <family val="2"/>
    </font>
    <font>
      <b/>
      <sz val="10"/>
      <color theme="1"/>
      <name val="Tahoma"/>
      <family val="2"/>
    </font>
    <font>
      <sz val="10"/>
      <name val="Arial"/>
      <family val="2"/>
    </font>
    <font>
      <sz val="10"/>
      <color theme="1"/>
      <name val="Tahoma"/>
      <family val="2"/>
    </font>
    <font>
      <sz val="10"/>
      <name val="Arial"/>
    </font>
  </fonts>
  <fills count="10">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3"/>
        <bgColor indexed="64"/>
      </patternFill>
    </fill>
    <fill>
      <patternFill patternType="solid">
        <fgColor theme="3" tint="0.59999389629810485"/>
        <bgColor indexed="64"/>
      </patternFill>
    </fill>
    <fill>
      <patternFill patternType="solid">
        <fgColor rgb="FF00B050"/>
        <bgColor indexed="64"/>
      </patternFill>
    </fill>
    <fill>
      <patternFill patternType="solid">
        <fgColor rgb="FFFFC000"/>
        <bgColor indexed="64"/>
      </patternFill>
    </fill>
    <fill>
      <patternFill patternType="solid">
        <fgColor theme="5" tint="0.39997558519241921"/>
        <bgColor indexed="64"/>
      </patternFill>
    </fill>
    <fill>
      <patternFill patternType="solid">
        <fgColor rgb="FFFF6161"/>
        <bgColor indexed="64"/>
      </patternFill>
    </fill>
  </fills>
  <borders count="66">
    <border>
      <left/>
      <right/>
      <top/>
      <bottom/>
      <diagonal/>
    </border>
    <border>
      <left/>
      <right/>
      <top/>
      <bottom style="medium">
        <color indexed="64"/>
      </bottom>
      <diagonal/>
    </border>
    <border>
      <left style="medium">
        <color indexed="64"/>
      </left>
      <right/>
      <top style="medium">
        <color indexed="64"/>
      </top>
      <bottom/>
      <diagonal/>
    </border>
    <border>
      <left style="thin">
        <color theme="0"/>
      </left>
      <right/>
      <top style="medium">
        <color indexed="64"/>
      </top>
      <bottom/>
      <diagonal/>
    </border>
    <border>
      <left style="medium">
        <color theme="0"/>
      </left>
      <right style="medium">
        <color theme="0"/>
      </right>
      <top style="medium">
        <color indexed="64"/>
      </top>
      <bottom/>
      <diagonal/>
    </border>
    <border>
      <left/>
      <right/>
      <top style="medium">
        <color indexed="64"/>
      </top>
      <bottom/>
      <diagonal/>
    </border>
    <border>
      <left/>
      <right/>
      <top style="medium">
        <color indexed="64"/>
      </top>
      <bottom style="thin">
        <color indexed="64"/>
      </bottom>
      <diagonal/>
    </border>
    <border>
      <left style="medium">
        <color theme="0"/>
      </left>
      <right/>
      <top style="medium">
        <color indexed="64"/>
      </top>
      <bottom style="thin">
        <color theme="0"/>
      </bottom>
      <diagonal/>
    </border>
    <border>
      <left/>
      <right/>
      <top style="medium">
        <color indexed="64"/>
      </top>
      <bottom style="thin">
        <color theme="0"/>
      </bottom>
      <diagonal/>
    </border>
    <border>
      <left style="medium">
        <color indexed="64"/>
      </left>
      <right/>
      <top/>
      <bottom style="medium">
        <color indexed="64"/>
      </bottom>
      <diagonal/>
    </border>
    <border>
      <left style="thin">
        <color theme="0"/>
      </left>
      <right/>
      <top/>
      <bottom style="medium">
        <color indexed="64"/>
      </bottom>
      <diagonal/>
    </border>
    <border>
      <left style="medium">
        <color theme="0"/>
      </left>
      <right style="medium">
        <color theme="0"/>
      </right>
      <top/>
      <bottom style="medium">
        <color indexed="64"/>
      </bottom>
      <diagonal/>
    </border>
    <border>
      <left style="thin">
        <color theme="0"/>
      </left>
      <right style="thin">
        <color theme="0"/>
      </right>
      <top style="thin">
        <color theme="0"/>
      </top>
      <bottom style="medium">
        <color indexed="64"/>
      </bottom>
      <diagonal/>
    </border>
    <border>
      <left/>
      <right/>
      <top style="thin">
        <color indexed="64"/>
      </top>
      <bottom style="medium">
        <color indexed="64"/>
      </bottom>
      <diagonal/>
    </border>
    <border>
      <left style="medium">
        <color theme="0"/>
      </left>
      <right style="thin">
        <color theme="0"/>
      </right>
      <top style="thin">
        <color theme="0"/>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theme="0"/>
      </right>
      <top style="medium">
        <color indexed="64"/>
      </top>
      <bottom/>
      <diagonal/>
    </border>
    <border>
      <left style="thin">
        <color theme="0"/>
      </left>
      <right style="thin">
        <color theme="0"/>
      </right>
      <top style="medium">
        <color indexed="64"/>
      </top>
      <bottom/>
      <diagonal/>
    </border>
    <border>
      <left style="thin">
        <color theme="0"/>
      </left>
      <right style="medium">
        <color theme="0"/>
      </right>
      <top style="medium">
        <color indexed="64"/>
      </top>
      <bottom/>
      <diagonal/>
    </border>
    <border>
      <left style="medium">
        <color theme="0"/>
      </left>
      <right/>
      <top style="medium">
        <color indexed="64"/>
      </top>
      <bottom/>
      <diagonal/>
    </border>
    <border>
      <left style="medium">
        <color indexed="64"/>
      </left>
      <right style="thin">
        <color theme="0"/>
      </right>
      <top/>
      <bottom style="medium">
        <color indexed="64"/>
      </bottom>
      <diagonal/>
    </border>
    <border>
      <left style="thin">
        <color theme="0"/>
      </left>
      <right style="thin">
        <color theme="0"/>
      </right>
      <top/>
      <bottom style="medium">
        <color indexed="64"/>
      </bottom>
      <diagonal/>
    </border>
    <border>
      <left style="thin">
        <color theme="0"/>
      </left>
      <right style="medium">
        <color theme="0"/>
      </right>
      <top/>
      <bottom style="medium">
        <color indexed="64"/>
      </bottom>
      <diagonal/>
    </border>
    <border>
      <left style="medium">
        <color theme="0"/>
      </left>
      <right/>
      <top/>
      <bottom style="medium">
        <color indexed="64"/>
      </bottom>
      <diagonal/>
    </border>
    <border>
      <left style="medium">
        <color indexed="64"/>
      </left>
      <right/>
      <top/>
      <bottom style="thin">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style="thin">
        <color theme="0"/>
      </right>
      <top style="medium">
        <color indexed="64"/>
      </top>
      <bottom/>
      <diagonal/>
    </border>
    <border>
      <left style="thin">
        <color theme="0"/>
      </left>
      <right style="thin">
        <color theme="0"/>
      </right>
      <top style="medium">
        <color indexed="64"/>
      </top>
      <bottom style="thin">
        <color indexed="64"/>
      </bottom>
      <diagonal/>
    </border>
    <border>
      <left/>
      <right style="thin">
        <color theme="0"/>
      </right>
      <top/>
      <bottom style="medium">
        <color indexed="64"/>
      </bottom>
      <diagonal/>
    </border>
    <border>
      <left style="thin">
        <color theme="0"/>
      </left>
      <right style="thin">
        <color theme="0"/>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style="thin">
        <color theme="0"/>
      </bottom>
      <diagonal/>
    </border>
    <border>
      <left style="medium">
        <color indexed="64"/>
      </left>
      <right style="thin">
        <color theme="0"/>
      </right>
      <top style="medium">
        <color indexed="64"/>
      </top>
      <bottom style="thin">
        <color theme="0"/>
      </bottom>
      <diagonal/>
    </border>
    <border>
      <left style="thin">
        <color theme="0"/>
      </left>
      <right style="thin">
        <color theme="0"/>
      </right>
      <top style="medium">
        <color indexed="64"/>
      </top>
      <bottom style="thin">
        <color theme="0"/>
      </bottom>
      <diagonal/>
    </border>
    <border>
      <left style="thin">
        <color theme="0"/>
      </left>
      <right style="medium">
        <color indexed="64"/>
      </right>
      <top style="medium">
        <color indexed="64"/>
      </top>
      <bottom style="thin">
        <color theme="0"/>
      </bottom>
      <diagonal/>
    </border>
    <border>
      <left style="medium">
        <color theme="0"/>
      </left>
      <right/>
      <top/>
      <bottom/>
      <diagonal/>
    </border>
    <border>
      <left style="thin">
        <color theme="0"/>
      </left>
      <right style="thin">
        <color theme="0"/>
      </right>
      <top style="thin">
        <color theme="0"/>
      </top>
      <bottom/>
      <diagonal/>
    </border>
    <border>
      <left/>
      <right/>
      <top style="thin">
        <color indexed="64"/>
      </top>
      <bottom/>
      <diagonal/>
    </border>
    <border>
      <left style="thin">
        <color theme="0"/>
      </left>
      <right style="medium">
        <color indexed="64"/>
      </right>
      <top style="thin">
        <color theme="0"/>
      </top>
      <bottom style="medium">
        <color indexed="64"/>
      </bottom>
      <diagonal/>
    </border>
    <border>
      <left style="medium">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theme="0"/>
      </left>
      <right style="medium">
        <color indexed="64"/>
      </right>
      <top style="thin">
        <color theme="0"/>
      </top>
      <bottom style="thin">
        <color indexed="64"/>
      </bottom>
      <diagonal/>
    </border>
    <border>
      <left/>
      <right style="medium">
        <color indexed="64"/>
      </right>
      <top/>
      <bottom style="medium">
        <color indexed="64"/>
      </bottom>
      <diagonal/>
    </border>
    <border>
      <left style="medium">
        <color theme="0"/>
      </left>
      <right style="thin">
        <color theme="0"/>
      </right>
      <top style="thin">
        <color theme="0"/>
      </top>
      <bottom/>
      <diagonal/>
    </border>
    <border>
      <left style="thin">
        <color theme="0"/>
      </left>
      <right style="medium">
        <color indexed="64"/>
      </right>
      <top style="thin">
        <color theme="0"/>
      </top>
      <bottom/>
      <diagonal/>
    </border>
    <border>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s>
  <cellStyleXfs count="10">
    <xf numFmtId="0" fontId="0" fillId="0" borderId="0"/>
    <xf numFmtId="9" fontId="7" fillId="0" borderId="0" applyFont="0" applyFill="0" applyBorder="0" applyAlignment="0" applyProtection="0"/>
    <xf numFmtId="0" fontId="1" fillId="0" borderId="0"/>
    <xf numFmtId="43" fontId="5"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43" fontId="8" fillId="0" borderId="0" applyFont="0" applyFill="0" applyBorder="0" applyAlignment="0" applyProtection="0"/>
    <xf numFmtId="44" fontId="8" fillId="0" borderId="0" applyFont="0" applyFill="0" applyBorder="0" applyAlignment="0" applyProtection="0"/>
    <xf numFmtId="9" fontId="7" fillId="0" borderId="0" applyFont="0" applyFill="0" applyBorder="0" applyAlignment="0" applyProtection="0"/>
    <xf numFmtId="0" fontId="9" fillId="0" borderId="0"/>
  </cellStyleXfs>
  <cellXfs count="190">
    <xf numFmtId="0" fontId="0" fillId="0" borderId="0" xfId="0"/>
    <xf numFmtId="0" fontId="2" fillId="0" borderId="0" xfId="2" applyFont="1"/>
    <xf numFmtId="0" fontId="3" fillId="0" borderId="0" xfId="2" applyFont="1"/>
    <xf numFmtId="0" fontId="2" fillId="0" borderId="1" xfId="2" applyFont="1" applyBorder="1"/>
    <xf numFmtId="0" fontId="3" fillId="0" borderId="1" xfId="2" applyFont="1" applyBorder="1"/>
    <xf numFmtId="165" fontId="3" fillId="0" borderId="15" xfId="2" applyNumberFormat="1" applyFont="1" applyBorder="1"/>
    <xf numFmtId="0" fontId="3" fillId="0" borderId="16" xfId="2" applyFont="1" applyBorder="1"/>
    <xf numFmtId="166" fontId="3" fillId="0" borderId="17" xfId="4" applyNumberFormat="1" applyFont="1" applyBorder="1"/>
    <xf numFmtId="166" fontId="3" fillId="0" borderId="15" xfId="4" applyNumberFormat="1" applyFont="1" applyBorder="1"/>
    <xf numFmtId="166" fontId="3" fillId="0" borderId="18" xfId="4" applyNumberFormat="1" applyFont="1" applyBorder="1"/>
    <xf numFmtId="166" fontId="3" fillId="0" borderId="16" xfId="4" applyNumberFormat="1" applyFont="1" applyBorder="1"/>
    <xf numFmtId="166" fontId="3" fillId="0" borderId="19" xfId="4" applyNumberFormat="1" applyFont="1" applyBorder="1"/>
    <xf numFmtId="165" fontId="3" fillId="0" borderId="20" xfId="2" applyNumberFormat="1" applyFont="1" applyBorder="1"/>
    <xf numFmtId="0" fontId="3" fillId="0" borderId="21" xfId="2" applyFont="1" applyBorder="1"/>
    <xf numFmtId="164" fontId="3" fillId="0" borderId="22" xfId="2" applyNumberFormat="1" applyFont="1" applyBorder="1"/>
    <xf numFmtId="164" fontId="3" fillId="0" borderId="20" xfId="3" applyNumberFormat="1" applyFont="1" applyBorder="1"/>
    <xf numFmtId="164" fontId="3" fillId="0" borderId="23" xfId="3" applyNumberFormat="1" applyFont="1" applyBorder="1"/>
    <xf numFmtId="164" fontId="3" fillId="0" borderId="21" xfId="3" applyNumberFormat="1" applyFont="1" applyBorder="1"/>
    <xf numFmtId="164" fontId="3" fillId="0" borderId="24" xfId="3" applyNumberFormat="1" applyFont="1" applyBorder="1"/>
    <xf numFmtId="0" fontId="3" fillId="0" borderId="20" xfId="2" quotePrefix="1" applyFont="1" applyBorder="1"/>
    <xf numFmtId="164" fontId="3" fillId="0" borderId="24" xfId="2" applyNumberFormat="1" applyFont="1" applyBorder="1"/>
    <xf numFmtId="0" fontId="3" fillId="0" borderId="25" xfId="2" applyFont="1" applyBorder="1"/>
    <xf numFmtId="0" fontId="3" fillId="0" borderId="26" xfId="2" applyFont="1" applyBorder="1" applyAlignment="1">
      <alignment horizontal="right"/>
    </xf>
    <xf numFmtId="166" fontId="3" fillId="0" borderId="25" xfId="4" applyNumberFormat="1" applyFont="1" applyBorder="1"/>
    <xf numFmtId="166" fontId="3" fillId="0" borderId="28" xfId="4" applyNumberFormat="1" applyFont="1" applyBorder="1"/>
    <xf numFmtId="166" fontId="3" fillId="0" borderId="26" xfId="4" applyNumberFormat="1" applyFont="1" applyBorder="1"/>
    <xf numFmtId="166" fontId="3" fillId="0" borderId="27" xfId="4" applyNumberFormat="1" applyFont="1" applyBorder="1"/>
    <xf numFmtId="0" fontId="3" fillId="0" borderId="0" xfId="2" applyFont="1" applyBorder="1"/>
    <xf numFmtId="166" fontId="3" fillId="0" borderId="0" xfId="4" applyNumberFormat="1" applyFont="1" applyBorder="1"/>
    <xf numFmtId="0" fontId="2" fillId="0" borderId="0" xfId="2" applyFont="1" applyAlignment="1"/>
    <xf numFmtId="164" fontId="3" fillId="0" borderId="15" xfId="3" applyNumberFormat="1" applyFont="1" applyBorder="1"/>
    <xf numFmtId="164" fontId="3" fillId="0" borderId="16" xfId="3" applyNumberFormat="1" applyFont="1" applyBorder="1"/>
    <xf numFmtId="164" fontId="3" fillId="0" borderId="19" xfId="3" applyNumberFormat="1" applyFont="1" applyBorder="1"/>
    <xf numFmtId="164" fontId="3" fillId="0" borderId="18" xfId="3" applyNumberFormat="1" applyFont="1" applyBorder="1"/>
    <xf numFmtId="165" fontId="3" fillId="0" borderId="20" xfId="2" quotePrefix="1" applyNumberFormat="1" applyFont="1" applyBorder="1"/>
    <xf numFmtId="164" fontId="3" fillId="0" borderId="42" xfId="2" applyNumberFormat="1" applyFont="1" applyBorder="1" applyAlignment="1">
      <alignment horizontal="right"/>
    </xf>
    <xf numFmtId="164" fontId="3" fillId="0" borderId="25" xfId="3" applyNumberFormat="1" applyFont="1" applyBorder="1"/>
    <xf numFmtId="164" fontId="3" fillId="0" borderId="28" xfId="3" applyNumberFormat="1" applyFont="1" applyBorder="1"/>
    <xf numFmtId="164" fontId="3" fillId="0" borderId="26" xfId="2" applyNumberFormat="1" applyFont="1" applyBorder="1"/>
    <xf numFmtId="164" fontId="3" fillId="0" borderId="25" xfId="2" applyNumberFormat="1" applyFont="1" applyBorder="1"/>
    <xf numFmtId="164" fontId="3" fillId="0" borderId="27" xfId="2" applyNumberFormat="1" applyFont="1" applyBorder="1"/>
    <xf numFmtId="164" fontId="3" fillId="0" borderId="28" xfId="2" applyNumberFormat="1" applyFont="1" applyBorder="1"/>
    <xf numFmtId="3" fontId="2" fillId="0" borderId="0" xfId="2" applyNumberFormat="1" applyFont="1"/>
    <xf numFmtId="0" fontId="6" fillId="0" borderId="0" xfId="2" applyFont="1" applyBorder="1" applyAlignment="1">
      <alignment horizontal="center" vertical="center"/>
    </xf>
    <xf numFmtId="0" fontId="3" fillId="0" borderId="0" xfId="2" applyFont="1" applyAlignment="1">
      <alignment horizontal="center"/>
    </xf>
    <xf numFmtId="164" fontId="3" fillId="0" borderId="47" xfId="2" applyNumberFormat="1" applyFont="1" applyBorder="1"/>
    <xf numFmtId="164" fontId="3" fillId="0" borderId="39" xfId="3" applyNumberFormat="1" applyFont="1" applyBorder="1"/>
    <xf numFmtId="9" fontId="3" fillId="0" borderId="40" xfId="5" applyFont="1" applyBorder="1"/>
    <xf numFmtId="164" fontId="3" fillId="0" borderId="40" xfId="3" applyNumberFormat="1" applyFont="1" applyBorder="1"/>
    <xf numFmtId="164" fontId="3" fillId="0" borderId="41" xfId="3" applyNumberFormat="1" applyFont="1" applyBorder="1"/>
    <xf numFmtId="164" fontId="3" fillId="0" borderId="48" xfId="2" applyNumberFormat="1" applyFont="1" applyBorder="1"/>
    <xf numFmtId="9" fontId="3" fillId="0" borderId="23" xfId="5" applyFont="1" applyBorder="1"/>
    <xf numFmtId="164" fontId="3" fillId="0" borderId="49" xfId="2" applyNumberFormat="1" applyFont="1" applyBorder="1" applyAlignment="1">
      <alignment horizontal="right"/>
    </xf>
    <xf numFmtId="9" fontId="3" fillId="0" borderId="28" xfId="5" applyFont="1" applyBorder="1"/>
    <xf numFmtId="164" fontId="3" fillId="0" borderId="41" xfId="3" applyNumberFormat="1" applyFont="1" applyFill="1" applyBorder="1"/>
    <xf numFmtId="164" fontId="3" fillId="0" borderId="39" xfId="3" applyNumberFormat="1" applyFont="1" applyFill="1" applyBorder="1"/>
    <xf numFmtId="164" fontId="3" fillId="0" borderId="40" xfId="3" applyNumberFormat="1" applyFont="1" applyFill="1" applyBorder="1"/>
    <xf numFmtId="164" fontId="3" fillId="0" borderId="21" xfId="3" applyNumberFormat="1" applyFont="1" applyFill="1" applyBorder="1"/>
    <xf numFmtId="164" fontId="3" fillId="0" borderId="20" xfId="3" applyNumberFormat="1" applyFont="1" applyFill="1" applyBorder="1"/>
    <xf numFmtId="164" fontId="3" fillId="0" borderId="23" xfId="3" applyNumberFormat="1" applyFont="1" applyFill="1" applyBorder="1"/>
    <xf numFmtId="9" fontId="2" fillId="0" borderId="23" xfId="5" applyFont="1" applyBorder="1"/>
    <xf numFmtId="164" fontId="3" fillId="2" borderId="23" xfId="3" applyNumberFormat="1" applyFont="1" applyFill="1" applyBorder="1"/>
    <xf numFmtId="164" fontId="3" fillId="2" borderId="21" xfId="3" applyNumberFormat="1" applyFont="1" applyFill="1" applyBorder="1"/>
    <xf numFmtId="164" fontId="3" fillId="2" borderId="20" xfId="3" applyNumberFormat="1" applyFont="1" applyFill="1" applyBorder="1"/>
    <xf numFmtId="9" fontId="3" fillId="0" borderId="23" xfId="5" applyFont="1" applyFill="1" applyBorder="1"/>
    <xf numFmtId="164" fontId="3" fillId="0" borderId="24" xfId="3" applyNumberFormat="1" applyFont="1" applyFill="1" applyBorder="1"/>
    <xf numFmtId="0" fontId="3" fillId="0" borderId="0" xfId="2" applyNumberFormat="1" applyFont="1"/>
    <xf numFmtId="0" fontId="3" fillId="0" borderId="0" xfId="2" applyFont="1" applyFill="1" applyBorder="1"/>
    <xf numFmtId="0" fontId="4" fillId="4" borderId="54" xfId="2" applyFont="1" applyFill="1" applyBorder="1" applyAlignment="1">
      <alignment wrapText="1"/>
    </xf>
    <xf numFmtId="0" fontId="4" fillId="4" borderId="55" xfId="2" applyFont="1" applyFill="1" applyBorder="1" applyAlignment="1">
      <alignment horizontal="center" wrapText="1"/>
    </xf>
    <xf numFmtId="164" fontId="4" fillId="4" borderId="14" xfId="3" applyNumberFormat="1" applyFont="1" applyFill="1" applyBorder="1" applyAlignment="1">
      <alignment horizontal="center" wrapText="1"/>
    </xf>
    <xf numFmtId="164" fontId="4" fillId="4" borderId="12" xfId="3" applyNumberFormat="1" applyFont="1" applyFill="1" applyBorder="1" applyAlignment="1">
      <alignment horizontal="center" wrapText="1"/>
    </xf>
    <xf numFmtId="164" fontId="4" fillId="4" borderId="57" xfId="3" applyNumberFormat="1" applyFont="1" applyFill="1" applyBorder="1" applyAlignment="1">
      <alignment horizontal="center" wrapText="1"/>
    </xf>
    <xf numFmtId="0" fontId="4" fillId="4" borderId="58" xfId="2" applyFont="1" applyFill="1" applyBorder="1" applyAlignment="1">
      <alignment horizontal="center" wrapText="1"/>
    </xf>
    <xf numFmtId="0" fontId="4" fillId="4" borderId="59" xfId="2" applyFont="1" applyFill="1" applyBorder="1" applyAlignment="1">
      <alignment horizontal="center" wrapText="1"/>
    </xf>
    <xf numFmtId="0" fontId="4" fillId="4" borderId="60" xfId="2" applyFont="1" applyFill="1" applyBorder="1" applyAlignment="1">
      <alignment horizontal="center" wrapText="1"/>
    </xf>
    <xf numFmtId="0" fontId="4" fillId="4" borderId="47" xfId="2" applyFont="1" applyFill="1" applyBorder="1" applyAlignment="1">
      <alignment horizontal="center" wrapText="1"/>
    </xf>
    <xf numFmtId="166" fontId="3" fillId="0" borderId="39" xfId="4" applyNumberFormat="1" applyFont="1" applyBorder="1"/>
    <xf numFmtId="167" fontId="3" fillId="0" borderId="20" xfId="1" applyNumberFormat="1" applyFont="1" applyBorder="1"/>
    <xf numFmtId="166" fontId="3" fillId="0" borderId="23" xfId="4" applyNumberFormat="1" applyFont="1" applyBorder="1"/>
    <xf numFmtId="166" fontId="3" fillId="0" borderId="21" xfId="4" applyNumberFormat="1" applyFont="1" applyBorder="1"/>
    <xf numFmtId="164" fontId="3" fillId="0" borderId="24" xfId="6" applyNumberFormat="1" applyFont="1" applyBorder="1"/>
    <xf numFmtId="168" fontId="3" fillId="0" borderId="24" xfId="2" applyNumberFormat="1" applyFont="1" applyBorder="1"/>
    <xf numFmtId="164" fontId="3" fillId="0" borderId="23" xfId="2" applyNumberFormat="1" applyFont="1" applyBorder="1"/>
    <xf numFmtId="164" fontId="3" fillId="0" borderId="21" xfId="2" applyNumberFormat="1" applyFont="1" applyBorder="1"/>
    <xf numFmtId="3" fontId="3" fillId="0" borderId="24" xfId="2" applyNumberFormat="1" applyFont="1" applyBorder="1"/>
    <xf numFmtId="0" fontId="3" fillId="0" borderId="21" xfId="2" applyFont="1" applyFill="1" applyBorder="1"/>
    <xf numFmtId="164" fontId="3" fillId="0" borderId="22" xfId="2" applyNumberFormat="1" applyFont="1" applyFill="1" applyBorder="1"/>
    <xf numFmtId="167" fontId="3" fillId="0" borderId="20" xfId="1" applyNumberFormat="1" applyFont="1" applyFill="1" applyBorder="1"/>
    <xf numFmtId="164" fontId="3" fillId="0" borderId="23" xfId="2" applyNumberFormat="1" applyFont="1" applyFill="1" applyBorder="1"/>
    <xf numFmtId="164" fontId="3" fillId="0" borderId="21" xfId="2" applyNumberFormat="1" applyFont="1" applyFill="1" applyBorder="1"/>
    <xf numFmtId="0" fontId="3" fillId="0" borderId="0" xfId="2" applyFont="1" applyFill="1"/>
    <xf numFmtId="164" fontId="3" fillId="0" borderId="24" xfId="6" applyNumberFormat="1" applyFont="1" applyFill="1" applyBorder="1"/>
    <xf numFmtId="3" fontId="3" fillId="0" borderId="24" xfId="2" applyNumberFormat="1" applyFont="1" applyFill="1" applyBorder="1"/>
    <xf numFmtId="167" fontId="3" fillId="0" borderId="20" xfId="1" applyNumberFormat="1" applyFont="1" applyFill="1" applyBorder="1" applyAlignment="1">
      <alignment horizontal="right"/>
    </xf>
    <xf numFmtId="166" fontId="3" fillId="5" borderId="21" xfId="7" applyNumberFormat="1" applyFont="1" applyFill="1" applyBorder="1"/>
    <xf numFmtId="164" fontId="3" fillId="0" borderId="27" xfId="6" applyNumberFormat="1" applyFont="1" applyBorder="1"/>
    <xf numFmtId="3" fontId="3" fillId="0" borderId="27" xfId="2" applyNumberFormat="1" applyFont="1" applyBorder="1"/>
    <xf numFmtId="10" fontId="3" fillId="0" borderId="5" xfId="5" applyNumberFormat="1" applyFont="1" applyFill="1" applyBorder="1"/>
    <xf numFmtId="0" fontId="3" fillId="0" borderId="5" xfId="2" applyFont="1" applyFill="1" applyBorder="1" applyAlignment="1">
      <alignment horizontal="left"/>
    </xf>
    <xf numFmtId="0" fontId="4" fillId="4" borderId="25" xfId="2" applyFont="1" applyFill="1" applyBorder="1" applyAlignment="1">
      <alignment horizontal="right"/>
    </xf>
    <xf numFmtId="167" fontId="3" fillId="5" borderId="28" xfId="1" applyNumberFormat="1" applyFont="1" applyFill="1" applyBorder="1"/>
    <xf numFmtId="0" fontId="3" fillId="0" borderId="61" xfId="2" applyFont="1" applyBorder="1"/>
    <xf numFmtId="0" fontId="4" fillId="4" borderId="36" xfId="2" applyFont="1" applyFill="1" applyBorder="1" applyAlignment="1">
      <alignment wrapText="1"/>
    </xf>
    <xf numFmtId="0" fontId="4" fillId="4" borderId="12" xfId="2" applyFont="1" applyFill="1" applyBorder="1" applyAlignment="1">
      <alignment horizontal="center" wrapText="1"/>
    </xf>
    <xf numFmtId="0" fontId="3" fillId="0" borderId="0" xfId="4" applyNumberFormat="1" applyFont="1" applyFill="1" applyBorder="1" applyAlignment="1">
      <alignment horizontal="center"/>
    </xf>
    <xf numFmtId="0" fontId="3" fillId="0" borderId="0" xfId="3" applyNumberFormat="1" applyFont="1" applyFill="1" applyBorder="1" applyAlignment="1">
      <alignment horizontal="center"/>
    </xf>
    <xf numFmtId="164" fontId="4" fillId="4" borderId="62" xfId="3" applyNumberFormat="1" applyFont="1" applyFill="1" applyBorder="1" applyAlignment="1">
      <alignment horizontal="center" wrapText="1"/>
    </xf>
    <xf numFmtId="164" fontId="4" fillId="4" borderId="55" xfId="3" applyNumberFormat="1" applyFont="1" applyFill="1" applyBorder="1" applyAlignment="1">
      <alignment horizontal="center" wrapText="1"/>
    </xf>
    <xf numFmtId="164" fontId="4" fillId="4" borderId="63" xfId="3" applyNumberFormat="1" applyFont="1" applyFill="1" applyBorder="1" applyAlignment="1">
      <alignment horizontal="center" wrapText="1"/>
    </xf>
    <xf numFmtId="167" fontId="3" fillId="0" borderId="64" xfId="1" applyNumberFormat="1" applyFont="1" applyBorder="1"/>
    <xf numFmtId="167" fontId="3" fillId="0" borderId="23" xfId="8" applyNumberFormat="1" applyFont="1" applyFill="1" applyBorder="1"/>
    <xf numFmtId="167" fontId="3" fillId="0" borderId="21" xfId="8" applyNumberFormat="1" applyFont="1" applyFill="1" applyBorder="1"/>
    <xf numFmtId="167" fontId="3" fillId="0" borderId="0" xfId="1" applyNumberFormat="1" applyFont="1"/>
    <xf numFmtId="165" fontId="3" fillId="0" borderId="25" xfId="2" applyNumberFormat="1" applyFont="1" applyBorder="1"/>
    <xf numFmtId="0" fontId="3" fillId="0" borderId="26" xfId="2" applyFont="1" applyBorder="1"/>
    <xf numFmtId="167" fontId="3" fillId="0" borderId="13" xfId="1" applyNumberFormat="1" applyFont="1" applyBorder="1"/>
    <xf numFmtId="167" fontId="3" fillId="0" borderId="28" xfId="8" applyNumberFormat="1" applyFont="1" applyFill="1" applyBorder="1"/>
    <xf numFmtId="167" fontId="3" fillId="0" borderId="26" xfId="8" applyNumberFormat="1" applyFont="1" applyFill="1" applyBorder="1"/>
    <xf numFmtId="165" fontId="2" fillId="0" borderId="0" xfId="2" applyNumberFormat="1" applyFont="1" applyBorder="1"/>
    <xf numFmtId="167" fontId="3" fillId="0" borderId="0" xfId="8" applyNumberFormat="1" applyFont="1" applyBorder="1"/>
    <xf numFmtId="164" fontId="3" fillId="0" borderId="0" xfId="6" applyNumberFormat="1" applyFont="1" applyFill="1" applyBorder="1"/>
    <xf numFmtId="0" fontId="4" fillId="4" borderId="1" xfId="2" applyFont="1" applyFill="1" applyBorder="1" applyAlignment="1">
      <alignment wrapText="1"/>
    </xf>
    <xf numFmtId="164" fontId="3" fillId="0" borderId="39" xfId="6" applyNumberFormat="1" applyFont="1" applyFill="1" applyBorder="1"/>
    <xf numFmtId="164" fontId="3" fillId="0" borderId="40" xfId="6" applyNumberFormat="1" applyFont="1" applyFill="1" applyBorder="1"/>
    <xf numFmtId="164" fontId="3" fillId="0" borderId="65" xfId="6" applyNumberFormat="1" applyFont="1" applyFill="1" applyBorder="1"/>
    <xf numFmtId="164" fontId="3" fillId="0" borderId="41" xfId="6" applyNumberFormat="1" applyFont="1" applyFill="1" applyBorder="1"/>
    <xf numFmtId="164" fontId="3" fillId="0" borderId="20" xfId="6" applyNumberFormat="1" applyFont="1" applyFill="1" applyBorder="1"/>
    <xf numFmtId="164" fontId="3" fillId="0" borderId="23" xfId="6" applyNumberFormat="1" applyFont="1" applyFill="1" applyBorder="1"/>
    <xf numFmtId="164" fontId="3" fillId="0" borderId="21" xfId="6" applyNumberFormat="1" applyFont="1" applyFill="1" applyBorder="1"/>
    <xf numFmtId="167" fontId="3" fillId="0" borderId="1" xfId="8" applyNumberFormat="1" applyFont="1" applyBorder="1"/>
    <xf numFmtId="164" fontId="3" fillId="0" borderId="25" xfId="6" applyNumberFormat="1" applyFont="1" applyFill="1" applyBorder="1"/>
    <xf numFmtId="164" fontId="3" fillId="0" borderId="28" xfId="6" applyNumberFormat="1" applyFont="1" applyFill="1" applyBorder="1"/>
    <xf numFmtId="164" fontId="3" fillId="0" borderId="26" xfId="6" applyNumberFormat="1" applyFont="1" applyFill="1" applyBorder="1"/>
    <xf numFmtId="167" fontId="3" fillId="0" borderId="0" xfId="8" applyNumberFormat="1" applyFont="1" applyFill="1" applyBorder="1"/>
    <xf numFmtId="0" fontId="3" fillId="0" borderId="39" xfId="6" applyNumberFormat="1" applyFont="1" applyFill="1" applyBorder="1" applyAlignment="1">
      <alignment horizontal="center"/>
    </xf>
    <xf numFmtId="0" fontId="3" fillId="0" borderId="40" xfId="6" applyNumberFormat="1" applyFont="1" applyFill="1" applyBorder="1" applyAlignment="1">
      <alignment horizontal="center"/>
    </xf>
    <xf numFmtId="0" fontId="3" fillId="0" borderId="41" xfId="6" applyNumberFormat="1" applyFont="1" applyFill="1" applyBorder="1" applyAlignment="1">
      <alignment horizontal="center"/>
    </xf>
    <xf numFmtId="167" fontId="3" fillId="0" borderId="25" xfId="1" applyNumberFormat="1" applyFont="1" applyFill="1" applyBorder="1"/>
    <xf numFmtId="167" fontId="4" fillId="4" borderId="28" xfId="8" applyNumberFormat="1" applyFont="1" applyFill="1" applyBorder="1"/>
    <xf numFmtId="167" fontId="3" fillId="6" borderId="28" xfId="8" applyNumberFormat="1" applyFont="1" applyFill="1" applyBorder="1"/>
    <xf numFmtId="167" fontId="3" fillId="3" borderId="28" xfId="1" applyNumberFormat="1" applyFont="1" applyFill="1" applyBorder="1"/>
    <xf numFmtId="167" fontId="3" fillId="7" borderId="28" xfId="8" applyNumberFormat="1" applyFont="1" applyFill="1" applyBorder="1"/>
    <xf numFmtId="167" fontId="3" fillId="8" borderId="28" xfId="8" applyNumberFormat="1" applyFont="1" applyFill="1" applyBorder="1"/>
    <xf numFmtId="167" fontId="3" fillId="9" borderId="26" xfId="8" applyNumberFormat="1" applyFont="1" applyFill="1" applyBorder="1"/>
    <xf numFmtId="43" fontId="2" fillId="0" borderId="39" xfId="6" applyFont="1" applyBorder="1" applyAlignment="1">
      <alignment horizontal="center"/>
    </xf>
    <xf numFmtId="43" fontId="2" fillId="0" borderId="40" xfId="6" applyFont="1" applyBorder="1" applyAlignment="1">
      <alignment horizontal="center"/>
    </xf>
    <xf numFmtId="43" fontId="2" fillId="0" borderId="37" xfId="6" applyFont="1" applyBorder="1" applyAlignment="1">
      <alignment horizontal="center"/>
    </xf>
    <xf numFmtId="43" fontId="2" fillId="0" borderId="41" xfId="6" applyFont="1" applyBorder="1" applyAlignment="1">
      <alignment horizontal="center"/>
    </xf>
    <xf numFmtId="9" fontId="3" fillId="0" borderId="0" xfId="1" applyFont="1" applyFill="1" applyBorder="1"/>
    <xf numFmtId="9" fontId="2" fillId="0" borderId="0" xfId="1" applyFont="1"/>
    <xf numFmtId="164" fontId="3" fillId="0" borderId="40" xfId="6" applyNumberFormat="1" applyFont="1" applyBorder="1"/>
    <xf numFmtId="164" fontId="3" fillId="0" borderId="23" xfId="6" applyNumberFormat="1" applyFont="1" applyBorder="1"/>
    <xf numFmtId="0" fontId="3" fillId="0" borderId="0" xfId="2" applyFont="1" applyFill="1" applyBorder="1" applyAlignment="1">
      <alignment horizontal="center"/>
    </xf>
    <xf numFmtId="164" fontId="3" fillId="0" borderId="28" xfId="6" applyNumberFormat="1" applyFont="1" applyBorder="1"/>
    <xf numFmtId="0" fontId="7" fillId="0" borderId="0" xfId="9" applyFont="1" applyAlignment="1">
      <alignment vertical="top"/>
    </xf>
    <xf numFmtId="0" fontId="7" fillId="0" borderId="0" xfId="9" applyFont="1" applyAlignment="1">
      <alignment vertical="center"/>
    </xf>
    <xf numFmtId="3" fontId="7" fillId="0" borderId="0" xfId="9" applyNumberFormat="1" applyFont="1" applyAlignment="1">
      <alignment horizontal="right" vertical="top"/>
    </xf>
    <xf numFmtId="164" fontId="4" fillId="4" borderId="6" xfId="3" applyNumberFormat="1" applyFont="1" applyFill="1" applyBorder="1" applyAlignment="1">
      <alignment horizontal="center" wrapText="1"/>
    </xf>
    <xf numFmtId="164" fontId="4" fillId="4" borderId="13" xfId="3" applyNumberFormat="1" applyFont="1" applyFill="1" applyBorder="1" applyAlignment="1">
      <alignment horizontal="center" wrapText="1"/>
    </xf>
    <xf numFmtId="164" fontId="4" fillId="4" borderId="7" xfId="3" applyNumberFormat="1" applyFont="1" applyFill="1" applyBorder="1" applyAlignment="1">
      <alignment horizontal="center" vertical="center" wrapText="1"/>
    </xf>
    <xf numFmtId="164" fontId="4" fillId="4" borderId="8" xfId="3" applyNumberFormat="1" applyFont="1" applyFill="1" applyBorder="1" applyAlignment="1">
      <alignment horizontal="center" vertical="center" wrapText="1"/>
    </xf>
    <xf numFmtId="164" fontId="4" fillId="4" borderId="50" xfId="3" applyNumberFormat="1" applyFont="1" applyFill="1" applyBorder="1" applyAlignment="1">
      <alignment horizontal="center" vertical="center" wrapText="1"/>
    </xf>
    <xf numFmtId="0" fontId="4" fillId="4" borderId="29" xfId="2" applyFont="1" applyFill="1" applyBorder="1" applyAlignment="1">
      <alignment horizontal="center" wrapText="1"/>
    </xf>
    <xf numFmtId="0" fontId="4" fillId="4" borderId="33" xfId="2" applyFont="1" applyFill="1" applyBorder="1" applyAlignment="1">
      <alignment horizontal="center" wrapText="1"/>
    </xf>
    <xf numFmtId="0" fontId="4" fillId="4" borderId="30" xfId="2" applyFont="1" applyFill="1" applyBorder="1" applyAlignment="1">
      <alignment horizontal="center" wrapText="1"/>
    </xf>
    <xf numFmtId="0" fontId="4" fillId="4" borderId="34" xfId="2" applyFont="1" applyFill="1" applyBorder="1" applyAlignment="1">
      <alignment horizontal="center" wrapText="1"/>
    </xf>
    <xf numFmtId="0" fontId="4" fillId="4" borderId="31" xfId="2" applyFont="1" applyFill="1" applyBorder="1" applyAlignment="1">
      <alignment horizontal="center" wrapText="1"/>
    </xf>
    <xf numFmtId="0" fontId="4" fillId="4" borderId="35" xfId="2" applyFont="1" applyFill="1" applyBorder="1" applyAlignment="1">
      <alignment horizontal="center" wrapText="1"/>
    </xf>
    <xf numFmtId="0" fontId="4" fillId="4" borderId="43" xfId="2" applyFont="1" applyFill="1" applyBorder="1" applyAlignment="1">
      <alignment horizontal="center" wrapText="1"/>
    </xf>
    <xf numFmtId="0" fontId="4" fillId="4" borderId="45" xfId="2" applyFont="1" applyFill="1" applyBorder="1" applyAlignment="1">
      <alignment horizontal="center" wrapText="1"/>
    </xf>
    <xf numFmtId="164" fontId="4" fillId="4" borderId="44" xfId="3" applyNumberFormat="1" applyFont="1" applyFill="1" applyBorder="1" applyAlignment="1">
      <alignment horizontal="center" wrapText="1"/>
    </xf>
    <xf numFmtId="164" fontId="4" fillId="4" borderId="46" xfId="3" applyNumberFormat="1" applyFont="1" applyFill="1" applyBorder="1" applyAlignment="1">
      <alignment horizontal="center" wrapText="1"/>
    </xf>
    <xf numFmtId="0" fontId="4" fillId="0" borderId="0" xfId="2" applyFont="1" applyFill="1" applyBorder="1" applyAlignment="1">
      <alignment horizontal="center" wrapText="1"/>
    </xf>
    <xf numFmtId="0" fontId="2" fillId="0" borderId="37" xfId="2" applyFont="1" applyBorder="1" applyAlignment="1">
      <alignment horizontal="right"/>
    </xf>
    <xf numFmtId="0" fontId="2" fillId="0" borderId="38" xfId="2" applyFont="1" applyBorder="1" applyAlignment="1">
      <alignment horizontal="right"/>
    </xf>
    <xf numFmtId="0" fontId="2" fillId="0" borderId="17" xfId="2" applyFont="1" applyBorder="1" applyAlignment="1">
      <alignment horizontal="right"/>
    </xf>
    <xf numFmtId="0" fontId="4" fillId="4" borderId="32" xfId="2" applyFont="1" applyFill="1" applyBorder="1" applyAlignment="1">
      <alignment horizontal="center" vertical="center" wrapText="1"/>
    </xf>
    <xf numFmtId="0" fontId="4" fillId="4" borderId="5" xfId="2" applyFont="1" applyFill="1" applyBorder="1" applyAlignment="1">
      <alignment horizontal="center" vertical="center" wrapText="1"/>
    </xf>
    <xf numFmtId="0" fontId="4" fillId="4" borderId="2" xfId="2" applyFont="1" applyFill="1" applyBorder="1" applyAlignment="1">
      <alignment horizontal="center" wrapText="1"/>
    </xf>
    <xf numFmtId="0" fontId="4" fillId="4" borderId="9" xfId="2" applyFont="1" applyFill="1" applyBorder="1" applyAlignment="1">
      <alignment horizontal="center" wrapText="1"/>
    </xf>
    <xf numFmtId="0" fontId="4" fillId="4" borderId="3" xfId="2" applyFont="1" applyFill="1" applyBorder="1" applyAlignment="1">
      <alignment horizontal="center" wrapText="1"/>
    </xf>
    <xf numFmtId="0" fontId="4" fillId="4" borderId="10" xfId="2" applyFont="1" applyFill="1" applyBorder="1" applyAlignment="1">
      <alignment horizontal="center" wrapText="1"/>
    </xf>
    <xf numFmtId="0" fontId="4" fillId="4" borderId="4" xfId="2" applyFont="1" applyFill="1" applyBorder="1" applyAlignment="1">
      <alignment horizontal="center" wrapText="1"/>
    </xf>
    <xf numFmtId="0" fontId="4" fillId="4" borderId="11" xfId="2" applyFont="1" applyFill="1" applyBorder="1" applyAlignment="1">
      <alignment horizontal="center" wrapText="1"/>
    </xf>
    <xf numFmtId="164" fontId="4" fillId="4" borderId="56" xfId="3" applyNumberFormat="1" applyFont="1" applyFill="1" applyBorder="1" applyAlignment="1">
      <alignment horizontal="center" wrapText="1"/>
    </xf>
    <xf numFmtId="0" fontId="4" fillId="4" borderId="51" xfId="2" applyFont="1" applyFill="1" applyBorder="1" applyAlignment="1">
      <alignment horizontal="center"/>
    </xf>
    <xf numFmtId="0" fontId="4" fillId="4" borderId="52" xfId="2" applyFont="1" applyFill="1" applyBorder="1" applyAlignment="1">
      <alignment horizontal="center"/>
    </xf>
    <xf numFmtId="0" fontId="4" fillId="4" borderId="53" xfId="2" applyFont="1" applyFill="1" applyBorder="1" applyAlignment="1">
      <alignment horizontal="center"/>
    </xf>
    <xf numFmtId="0" fontId="3" fillId="0" borderId="0" xfId="2" applyFont="1" applyAlignment="1">
      <alignment horizontal="left" vertical="top" wrapText="1"/>
    </xf>
  </cellXfs>
  <cellStyles count="10">
    <cellStyle name="Comma 5" xfId="3"/>
    <cellStyle name="Comma 7" xfId="6"/>
    <cellStyle name="Currency 4" xfId="4"/>
    <cellStyle name="Currency 5" xfId="7"/>
    <cellStyle name="Normal" xfId="0" builtinId="0"/>
    <cellStyle name="Normal 11" xfId="2"/>
    <cellStyle name="Normal 2" xfId="9"/>
    <cellStyle name="Percent" xfId="1" builtinId="5"/>
    <cellStyle name="Percent 5" xfId="5"/>
    <cellStyle name="Percent 7" xfId="8"/>
  </cellStyles>
  <dxfs count="13">
    <dxf>
      <font>
        <color auto="1"/>
      </font>
      <fill>
        <patternFill>
          <bgColor rgb="FFB482DA"/>
        </patternFill>
      </fill>
    </dxf>
    <dxf>
      <fill>
        <patternFill>
          <bgColor rgb="FFFF6161"/>
        </patternFill>
      </fill>
    </dxf>
    <dxf>
      <fill>
        <patternFill>
          <bgColor theme="5" tint="0.39994506668294322"/>
        </patternFill>
      </fill>
    </dxf>
    <dxf>
      <fill>
        <patternFill>
          <bgColor rgb="FFFFC000"/>
        </patternFill>
      </fill>
    </dxf>
    <dxf>
      <fill>
        <patternFill>
          <bgColor rgb="FFFFFF00"/>
        </patternFill>
      </fill>
    </dxf>
    <dxf>
      <fill>
        <patternFill>
          <bgColor rgb="FF92D050"/>
        </patternFill>
      </fill>
    </dxf>
    <dxf>
      <font>
        <color auto="1"/>
      </font>
      <fill>
        <patternFill>
          <bgColor rgb="FF00B050"/>
        </patternFill>
      </fill>
    </dxf>
    <dxf>
      <fill>
        <patternFill>
          <bgColor theme="3" tint="0.39994506668294322"/>
        </patternFill>
      </fill>
    </dxf>
    <dxf>
      <font>
        <color theme="0"/>
      </font>
      <fill>
        <patternFill>
          <bgColor theme="3"/>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APP\PA\Resource\FinanceFiles\Appropriations\Biennium20122013\GAI\GAI%20Formulas%20Model%20Proof.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PP/PA/Resource/FinanceFiles/Formula/LBB%20Request/2014-2015/GAI/Final/GAI%20Formulas%20Model%20Final%20Run%20-%20Certified%20Data.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PP/PA/Resource/FinanceFiles/Formula/LBB%20Request/2016-2017/GAI/Initial/GAI%20Formulas%20Model%20GAIFAC%20Recommend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NACUBO"/>
      <sheetName val="I and O"/>
      <sheetName val="SCH"/>
      <sheetName val="Cost Study"/>
      <sheetName val="CBM"/>
      <sheetName val="Infrastructure"/>
      <sheetName val="Utilities"/>
      <sheetName val="TAMUG"/>
      <sheetName val="SIS"/>
      <sheetName val="Comparison"/>
      <sheetName val="Law VM Tuition"/>
      <sheetName val="Enroll Projs"/>
      <sheetName val="CPI"/>
      <sheetName val="Funding Levels"/>
    </sheetNames>
    <sheetDataSet>
      <sheetData sheetId="0"/>
      <sheetData sheetId="1"/>
      <sheetData sheetId="2"/>
      <sheetData sheetId="3"/>
      <sheetData sheetId="4"/>
      <sheetData sheetId="5">
        <row r="1">
          <cell r="A1" t="str">
            <v>Report For  BY 2010 (Spring 2011 Uncertified, but Error Free)</v>
          </cell>
        </row>
      </sheetData>
      <sheetData sheetId="6">
        <row r="3">
          <cell r="A3" t="str">
            <v>Insitution</v>
          </cell>
          <cell r="C3" t="str">
            <v>FY 2012 - FY 2013 Total</v>
          </cell>
          <cell r="D3" t="str">
            <v>FY 2012</v>
          </cell>
          <cell r="E3" t="str">
            <v>O&amp;M 
Funding</v>
          </cell>
          <cell r="F3" t="str">
            <v>Utility 
Funding</v>
          </cell>
          <cell r="G3" t="str">
            <v>FY 2013</v>
          </cell>
          <cell r="H3" t="str">
            <v>O&amp;M 
Funding</v>
          </cell>
          <cell r="I3" t="str">
            <v>Utility 
Funding</v>
          </cell>
          <cell r="J3" t="str">
            <v>Utility Rate Adjustment</v>
          </cell>
          <cell r="K3" t="str">
            <v>Adjusted Utility Square Feet</v>
          </cell>
          <cell r="L3" t="str">
            <v xml:space="preserve">Predicted
Square Feet1 </v>
          </cell>
        </row>
        <row r="4">
          <cell r="B4" t="str">
            <v>UT-Arlington</v>
          </cell>
          <cell r="C4">
            <v>28774178.886879198</v>
          </cell>
          <cell r="D4">
            <v>14387089.443439599</v>
          </cell>
          <cell r="E4">
            <v>6484606.4534401596</v>
          </cell>
          <cell r="F4">
            <v>7902482.9899994386</v>
          </cell>
          <cell r="G4">
            <v>14387089.443439599</v>
          </cell>
          <cell r="H4">
            <v>6484606.4534401596</v>
          </cell>
          <cell r="I4">
            <v>7902482.9899994386</v>
          </cell>
          <cell r="J4">
            <v>1.1249101600000002</v>
          </cell>
          <cell r="K4">
            <v>3067812.0451473487</v>
          </cell>
        </row>
        <row r="5">
          <cell r="B5" t="str">
            <v>UT-Austin</v>
          </cell>
          <cell r="C5">
            <v>109717007.32797512</v>
          </cell>
          <cell r="D5">
            <v>54858503.663987562</v>
          </cell>
          <cell r="E5">
            <v>24252915.909404933</v>
          </cell>
          <cell r="F5">
            <v>30605587.754582632</v>
          </cell>
          <cell r="G5">
            <v>54858503.663987562</v>
          </cell>
          <cell r="H5">
            <v>24252915.909404933</v>
          </cell>
          <cell r="I5">
            <v>30605587.754582632</v>
          </cell>
          <cell r="J5">
            <v>1.16486248</v>
          </cell>
          <cell r="K5">
            <v>11881353.09891119</v>
          </cell>
        </row>
        <row r="6">
          <cell r="B6" t="str">
            <v>UT-Dallas</v>
          </cell>
          <cell r="C6">
            <v>21603008.275112055</v>
          </cell>
          <cell r="D6">
            <v>10801504.137556028</v>
          </cell>
          <cell r="E6">
            <v>4856728.9344045622</v>
          </cell>
          <cell r="F6">
            <v>5944775.2031514645</v>
          </cell>
          <cell r="G6">
            <v>10801504.137556028</v>
          </cell>
          <cell r="H6">
            <v>4856728.9344045622</v>
          </cell>
          <cell r="I6">
            <v>5944775.2031514645</v>
          </cell>
          <cell r="J6">
            <v>1.1298725699999999</v>
          </cell>
          <cell r="K6">
            <v>2307812.9996610894</v>
          </cell>
        </row>
        <row r="7">
          <cell r="B7" t="str">
            <v>UT-El Paso</v>
          </cell>
          <cell r="C7">
            <v>21377315.272495672</v>
          </cell>
          <cell r="D7">
            <v>10688657.636247836</v>
          </cell>
          <cell r="E7">
            <v>5084957.7670230521</v>
          </cell>
          <cell r="F7">
            <v>5603699.869224783</v>
          </cell>
          <cell r="G7">
            <v>10688657.636247836</v>
          </cell>
          <cell r="H7">
            <v>5084957.7670230521</v>
          </cell>
          <cell r="I7">
            <v>5603699.869224783</v>
          </cell>
          <cell r="J7">
            <v>1.0172446399999999</v>
          </cell>
          <cell r="K7">
            <v>2175404.6137085874</v>
          </cell>
        </row>
        <row r="8">
          <cell r="B8" t="str">
            <v>UT-Pan American</v>
          </cell>
          <cell r="C8">
            <v>17150931.092331886</v>
          </cell>
          <cell r="D8">
            <v>8575465.5461659431</v>
          </cell>
          <cell r="E8">
            <v>3779016.3034145022</v>
          </cell>
          <cell r="F8">
            <v>4796449.2427514419</v>
          </cell>
          <cell r="G8">
            <v>8575465.5461659431</v>
          </cell>
          <cell r="H8">
            <v>3779016.3034145022</v>
          </cell>
          <cell r="I8">
            <v>4796449.2427514419</v>
          </cell>
          <cell r="J8">
            <v>1.17159897</v>
          </cell>
          <cell r="K8">
            <v>1862022.9590461666</v>
          </cell>
        </row>
        <row r="9">
          <cell r="B9" t="str">
            <v>UT-Brownsville</v>
          </cell>
          <cell r="C9">
            <v>5708323.8307687752</v>
          </cell>
          <cell r="D9">
            <v>2854161.9153843876</v>
          </cell>
          <cell r="E9">
            <v>1350414.5493757755</v>
          </cell>
          <cell r="F9">
            <v>1503747.3660086119</v>
          </cell>
          <cell r="G9">
            <v>2854161.9153843876</v>
          </cell>
          <cell r="H9">
            <v>1350414.5493757755</v>
          </cell>
          <cell r="I9">
            <v>1503747.3660086119</v>
          </cell>
          <cell r="J9">
            <v>1.02788769</v>
          </cell>
          <cell r="K9">
            <v>583767.69531017309</v>
          </cell>
        </row>
        <row r="10">
          <cell r="B10" t="str">
            <v>UT-Permian Basin</v>
          </cell>
          <cell r="C10">
            <v>3505882.1620279774</v>
          </cell>
          <cell r="D10">
            <v>1752941.0810139887</v>
          </cell>
          <cell r="E10">
            <v>811960.06125595619</v>
          </cell>
          <cell r="F10">
            <v>940981.01975803252</v>
          </cell>
          <cell r="G10">
            <v>1752941.0810139887</v>
          </cell>
          <cell r="H10">
            <v>811960.06125595619</v>
          </cell>
          <cell r="I10">
            <v>940981.01975803252</v>
          </cell>
          <cell r="J10">
            <v>1.06975442</v>
          </cell>
          <cell r="K10">
            <v>365296.9465827262</v>
          </cell>
        </row>
        <row r="11">
          <cell r="B11" t="str">
            <v>UT-San Antonio</v>
          </cell>
          <cell r="C11">
            <v>26841057.186713859</v>
          </cell>
          <cell r="D11">
            <v>13420528.59335693</v>
          </cell>
          <cell r="E11">
            <v>6379266.6327061672</v>
          </cell>
          <cell r="F11">
            <v>7041261.9606507635</v>
          </cell>
          <cell r="G11">
            <v>13420528.59335693</v>
          </cell>
          <cell r="H11">
            <v>6379266.6327061672</v>
          </cell>
          <cell r="I11">
            <v>7041261.9606507635</v>
          </cell>
          <cell r="J11">
            <v>1.0188673399999999</v>
          </cell>
          <cell r="K11">
            <v>2733478.6146656144</v>
          </cell>
        </row>
        <row r="12">
          <cell r="B12" t="str">
            <v>UT-Tyler</v>
          </cell>
          <cell r="C12">
            <v>5345126.0377391949</v>
          </cell>
          <cell r="D12">
            <v>2672563.0188695975</v>
          </cell>
          <cell r="E12">
            <v>1309536.8476707058</v>
          </cell>
          <cell r="F12">
            <v>1363026.1711988915</v>
          </cell>
          <cell r="G12">
            <v>2672563.0188695975</v>
          </cell>
          <cell r="H12">
            <v>1309536.8476707058</v>
          </cell>
          <cell r="I12">
            <v>1363026.1711988915</v>
          </cell>
          <cell r="J12">
            <v>0.96078090999999999</v>
          </cell>
          <cell r="K12">
            <v>529138.51395146479</v>
          </cell>
        </row>
        <row r="13">
          <cell r="B13" t="str">
            <v>TAMU</v>
          </cell>
          <cell r="C13">
            <v>63350127.415048331</v>
          </cell>
          <cell r="D13">
            <v>31675063.707524166</v>
          </cell>
          <cell r="E13">
            <v>15189251.231589444</v>
          </cell>
          <cell r="F13">
            <v>16485812.47593472</v>
          </cell>
          <cell r="G13">
            <v>31675063.707524166</v>
          </cell>
          <cell r="H13">
            <v>15189251.231589444</v>
          </cell>
          <cell r="I13">
            <v>16485812.47593472</v>
          </cell>
          <cell r="J13">
            <v>1.00187118</v>
          </cell>
          <cell r="K13">
            <v>6399934.5714145675</v>
          </cell>
        </row>
        <row r="14">
          <cell r="B14" t="str">
            <v>TAMU-Galveston</v>
          </cell>
          <cell r="C14">
            <v>5708922.5033713952</v>
          </cell>
          <cell r="D14">
            <v>2854461.2516856976</v>
          </cell>
          <cell r="E14">
            <v>606099.93905371206</v>
          </cell>
          <cell r="F14">
            <v>846687.31263198529</v>
          </cell>
          <cell r="G14">
            <v>2854461.2516856976</v>
          </cell>
          <cell r="H14">
            <v>606099.93905371206</v>
          </cell>
          <cell r="I14">
            <v>846687.31263198529</v>
          </cell>
          <cell r="J14">
            <v>1.2894862200000001</v>
          </cell>
          <cell r="K14">
            <v>328691.31631829403</v>
          </cell>
        </row>
        <row r="15">
          <cell r="B15" t="str">
            <v>Prairie View</v>
          </cell>
          <cell r="C15">
            <v>9611279.485257756</v>
          </cell>
          <cell r="D15">
            <v>4805639.742628878</v>
          </cell>
          <cell r="E15">
            <v>2273204.4331299271</v>
          </cell>
          <cell r="F15">
            <v>2532435.3094989508</v>
          </cell>
          <cell r="G15">
            <v>4805639.742628878</v>
          </cell>
          <cell r="H15">
            <v>2273204.4331299271</v>
          </cell>
          <cell r="I15">
            <v>2532435.3094989508</v>
          </cell>
          <cell r="J15">
            <v>1.0283424400000001</v>
          </cell>
          <cell r="K15">
            <v>983113.22604161489</v>
          </cell>
        </row>
        <row r="16">
          <cell r="B16" t="str">
            <v>Tarleton</v>
          </cell>
          <cell r="C16">
            <v>9609466.2331559155</v>
          </cell>
          <cell r="D16">
            <v>4804733.1165779578</v>
          </cell>
          <cell r="E16">
            <v>1914013.7363242113</v>
          </cell>
          <cell r="F16">
            <v>2890719.3802537462</v>
          </cell>
          <cell r="G16">
            <v>4804733.1165779578</v>
          </cell>
          <cell r="H16">
            <v>1914013.7363242113</v>
          </cell>
          <cell r="I16">
            <v>2890719.3802537462</v>
          </cell>
          <cell r="J16">
            <v>1.3941155700000001</v>
          </cell>
          <cell r="K16">
            <v>1122202.1920333107</v>
          </cell>
        </row>
        <row r="17">
          <cell r="B17" t="str">
            <v>TAMU-Central</v>
          </cell>
          <cell r="C17">
            <v>1797006.9086982145</v>
          </cell>
          <cell r="D17">
            <v>898503.45434910723</v>
          </cell>
          <cell r="E17">
            <v>326045.03580438928</v>
          </cell>
          <cell r="F17">
            <v>572458.41854471795</v>
          </cell>
          <cell r="G17">
            <v>898503.45434910723</v>
          </cell>
          <cell r="H17">
            <v>326045.03580438928</v>
          </cell>
          <cell r="I17">
            <v>572458.41854471795</v>
          </cell>
          <cell r="J17">
            <v>1.62070603</v>
          </cell>
          <cell r="K17">
            <v>222233.29477329415</v>
          </cell>
        </row>
        <row r="18">
          <cell r="B18" t="str">
            <v>TAMU-CC</v>
          </cell>
          <cell r="C18">
            <v>12043764.227252744</v>
          </cell>
          <cell r="D18">
            <v>6021882.1136263721</v>
          </cell>
          <cell r="E18">
            <v>2323965.2866370226</v>
          </cell>
          <cell r="F18">
            <v>3697916.8269893494</v>
          </cell>
          <cell r="G18">
            <v>6021882.1136263721</v>
          </cell>
          <cell r="H18">
            <v>2323965.2866370226</v>
          </cell>
          <cell r="I18">
            <v>3697916.8269893494</v>
          </cell>
          <cell r="J18">
            <v>1.4688092399999999</v>
          </cell>
          <cell r="K18">
            <v>1435563.2018629371</v>
          </cell>
        </row>
        <row r="19">
          <cell r="B19" t="str">
            <v>TAMU-Kingsville</v>
          </cell>
          <cell r="C19">
            <v>7954019.8083173521</v>
          </cell>
          <cell r="D19">
            <v>3977009.904158676</v>
          </cell>
          <cell r="E19">
            <v>1750407.8817218563</v>
          </cell>
          <cell r="F19">
            <v>2226602.0224368195</v>
          </cell>
          <cell r="G19">
            <v>3977009.904158676</v>
          </cell>
          <cell r="H19">
            <v>1750407.8817218563</v>
          </cell>
          <cell r="I19">
            <v>2226602.0224368195</v>
          </cell>
          <cell r="J19">
            <v>1.17419772</v>
          </cell>
          <cell r="K19">
            <v>864386.106597821</v>
          </cell>
        </row>
        <row r="20">
          <cell r="B20" t="str">
            <v>TAMU-San Antonio</v>
          </cell>
          <cell r="C20">
            <v>2685226.6436393689</v>
          </cell>
          <cell r="D20">
            <v>1342613.3218196845</v>
          </cell>
          <cell r="E20">
            <v>481089.34481997567</v>
          </cell>
          <cell r="F20">
            <v>861523.97699970868</v>
          </cell>
          <cell r="G20">
            <v>1342613.3218196845</v>
          </cell>
          <cell r="H20">
            <v>481089.34481997567</v>
          </cell>
          <cell r="I20">
            <v>861523.97699970868</v>
          </cell>
          <cell r="J20">
            <v>1.65302539</v>
          </cell>
          <cell r="K20">
            <v>334451.03737238684</v>
          </cell>
        </row>
        <row r="21">
          <cell r="B21" t="str">
            <v>TAMI</v>
          </cell>
          <cell r="C21">
            <v>5715745.6222505905</v>
          </cell>
          <cell r="D21">
            <v>2857872.8111252952</v>
          </cell>
          <cell r="E21">
            <v>1273094.8913852083</v>
          </cell>
          <cell r="F21">
            <v>1584777.9197400869</v>
          </cell>
          <cell r="G21">
            <v>2857872.8111252952</v>
          </cell>
          <cell r="H21">
            <v>1273094.8913852083</v>
          </cell>
          <cell r="I21">
            <v>1584777.9197400869</v>
          </cell>
          <cell r="J21">
            <v>1.1490674700000001</v>
          </cell>
          <cell r="K21">
            <v>615224.45504973398</v>
          </cell>
        </row>
        <row r="22">
          <cell r="B22" t="str">
            <v>WTAMU</v>
          </cell>
          <cell r="C22">
            <v>7607077.45645996</v>
          </cell>
          <cell r="D22">
            <v>3803538.72822998</v>
          </cell>
          <cell r="E22">
            <v>1735120.6584092684</v>
          </cell>
          <cell r="F22">
            <v>2068418.0698207114</v>
          </cell>
          <cell r="G22">
            <v>3803538.72822998</v>
          </cell>
          <cell r="H22">
            <v>1735120.6584092684</v>
          </cell>
          <cell r="I22">
            <v>2068418.0698207114</v>
          </cell>
          <cell r="J22">
            <v>1.1003897499999999</v>
          </cell>
          <cell r="K22">
            <v>802977.73206555913</v>
          </cell>
        </row>
        <row r="23">
          <cell r="B23" t="str">
            <v>TAMU-Commerce</v>
          </cell>
          <cell r="C23">
            <v>8643081.9792225324</v>
          </cell>
          <cell r="D23">
            <v>4321540.9896112662</v>
          </cell>
          <cell r="E23">
            <v>1811610.5784128527</v>
          </cell>
          <cell r="F23">
            <v>2509930.411198413</v>
          </cell>
          <cell r="G23">
            <v>4321540.9896112662</v>
          </cell>
          <cell r="H23">
            <v>1811610.5784128527</v>
          </cell>
          <cell r="I23">
            <v>2509930.411198413</v>
          </cell>
          <cell r="J23">
            <v>1.2788945199999997</v>
          </cell>
          <cell r="K23">
            <v>974376.63044646126</v>
          </cell>
        </row>
        <row r="24">
          <cell r="B24" t="str">
            <v>TAMU-Texarkana</v>
          </cell>
          <cell r="C24">
            <v>1382117.053959361</v>
          </cell>
          <cell r="D24">
            <v>691058.52697968052</v>
          </cell>
          <cell r="E24">
            <v>350453.18994757952</v>
          </cell>
          <cell r="F24">
            <v>340605.337032101</v>
          </cell>
          <cell r="G24">
            <v>691058.52697968052</v>
          </cell>
          <cell r="H24">
            <v>350453.18994757952</v>
          </cell>
          <cell r="I24">
            <v>340605.337032101</v>
          </cell>
          <cell r="J24">
            <v>0.89713815000000008</v>
          </cell>
          <cell r="K24">
            <v>132225.9291049263</v>
          </cell>
        </row>
        <row r="25">
          <cell r="B25" t="str">
            <v>UH</v>
          </cell>
          <cell r="C25">
            <v>45773712.23842638</v>
          </cell>
          <cell r="D25">
            <v>22886856.11921319</v>
          </cell>
          <cell r="E25">
            <v>10217163.724556096</v>
          </cell>
          <cell r="F25">
            <v>12669692.394657094</v>
          </cell>
          <cell r="G25">
            <v>22886856.11921319</v>
          </cell>
          <cell r="H25">
            <v>10217163.724556096</v>
          </cell>
          <cell r="I25">
            <v>12669692.394657094</v>
          </cell>
          <cell r="J25">
            <v>1.14465237</v>
          </cell>
          <cell r="K25">
            <v>4918483.8468907038</v>
          </cell>
        </row>
        <row r="26">
          <cell r="B26" t="str">
            <v>UH-Clear Lake</v>
          </cell>
          <cell r="C26">
            <v>5911588.8945033699</v>
          </cell>
          <cell r="D26">
            <v>2955794.447251685</v>
          </cell>
          <cell r="E26">
            <v>1397624.4579013574</v>
          </cell>
          <cell r="F26">
            <v>1558169.9893503275</v>
          </cell>
          <cell r="G26">
            <v>2955794.447251685</v>
          </cell>
          <cell r="H26">
            <v>1397624.4579013574</v>
          </cell>
          <cell r="I26">
            <v>1558169.9893503275</v>
          </cell>
          <cell r="J26">
            <v>1.0291110400000001</v>
          </cell>
          <cell r="K26">
            <v>604895.02701433725</v>
          </cell>
        </row>
        <row r="27">
          <cell r="B27" t="str">
            <v>UH-Downtown</v>
          </cell>
          <cell r="C27">
            <v>9157106.3765570503</v>
          </cell>
          <cell r="D27">
            <v>4578553.1882785251</v>
          </cell>
          <cell r="E27">
            <v>2014554.6209960473</v>
          </cell>
          <cell r="F27">
            <v>2563998.5672824779</v>
          </cell>
          <cell r="G27">
            <v>4578553.1882785251</v>
          </cell>
          <cell r="H27">
            <v>2014554.6209960473</v>
          </cell>
          <cell r="I27">
            <v>2563998.5672824779</v>
          </cell>
          <cell r="J27">
            <v>1.17483432</v>
          </cell>
          <cell r="K27">
            <v>995366.35490439564</v>
          </cell>
        </row>
        <row r="28">
          <cell r="B28" t="str">
            <v>UH-Victoria</v>
          </cell>
          <cell r="C28">
            <v>2868700.3190174019</v>
          </cell>
          <cell r="D28">
            <v>1434350.1595087009</v>
          </cell>
          <cell r="E28">
            <v>611365.63215490454</v>
          </cell>
          <cell r="F28">
            <v>822984.52735379653</v>
          </cell>
          <cell r="G28">
            <v>1434350.1595087009</v>
          </cell>
          <cell r="H28">
            <v>611365.63215490454</v>
          </cell>
          <cell r="I28">
            <v>822984.52735379653</v>
          </cell>
          <cell r="J28">
            <v>1.2425919700000001</v>
          </cell>
          <cell r="K28">
            <v>319489.69066823059</v>
          </cell>
        </row>
        <row r="29">
          <cell r="B29" t="str">
            <v>Midwestern</v>
          </cell>
          <cell r="C29">
            <v>5865451.8499927111</v>
          </cell>
          <cell r="D29">
            <v>2932725.9249963555</v>
          </cell>
          <cell r="E29">
            <v>1273536.957313509</v>
          </cell>
          <cell r="F29">
            <v>1659188.9676828468</v>
          </cell>
          <cell r="G29">
            <v>2932725.9249963555</v>
          </cell>
          <cell r="H29">
            <v>1273536.957313509</v>
          </cell>
          <cell r="I29">
            <v>1659188.9676828468</v>
          </cell>
          <cell r="J29">
            <v>1.2026027500000001</v>
          </cell>
          <cell r="K29">
            <v>644111.46555766196</v>
          </cell>
        </row>
        <row r="30">
          <cell r="B30" t="str">
            <v>UNT</v>
          </cell>
          <cell r="C30">
            <v>33713749.249093249</v>
          </cell>
          <cell r="D30">
            <v>16856874.624546625</v>
          </cell>
          <cell r="E30">
            <v>7742527.8684881162</v>
          </cell>
          <cell r="F30">
            <v>9114346.7560585067</v>
          </cell>
          <cell r="G30">
            <v>16856874.624546625</v>
          </cell>
          <cell r="H30">
            <v>7742527.8684881162</v>
          </cell>
          <cell r="I30">
            <v>9114346.7560585067</v>
          </cell>
          <cell r="J30">
            <v>1.0866274300000001</v>
          </cell>
          <cell r="K30">
            <v>3538268.0098483749</v>
          </cell>
        </row>
        <row r="31">
          <cell r="B31" t="str">
            <v>UNT-Dallas</v>
          </cell>
          <cell r="C31">
            <v>2276582.6287558633</v>
          </cell>
          <cell r="D31">
            <v>1138291.3143779316</v>
          </cell>
          <cell r="E31">
            <v>468293.31934790034</v>
          </cell>
          <cell r="F31">
            <v>669997.99503003131</v>
          </cell>
          <cell r="G31">
            <v>1138291.3143779316</v>
          </cell>
          <cell r="H31">
            <v>468293.31934790034</v>
          </cell>
          <cell r="I31">
            <v>669997.99503003131</v>
          </cell>
          <cell r="J31">
            <v>1.32066733</v>
          </cell>
          <cell r="K31">
            <v>260098.99951430957</v>
          </cell>
        </row>
        <row r="32">
          <cell r="B32" t="str">
            <v>SFA</v>
          </cell>
          <cell r="C32">
            <v>13050096.803484164</v>
          </cell>
          <cell r="D32">
            <v>6525048.4017420821</v>
          </cell>
          <cell r="E32">
            <v>2828098.2453449587</v>
          </cell>
          <cell r="F32">
            <v>3696950.1563971238</v>
          </cell>
          <cell r="G32">
            <v>6525048.4017420821</v>
          </cell>
          <cell r="H32">
            <v>2828098.2453449587</v>
          </cell>
          <cell r="I32">
            <v>3696950.1563971238</v>
          </cell>
          <cell r="J32">
            <v>1.20666578</v>
          </cell>
          <cell r="K32">
            <v>1435187.932002784</v>
          </cell>
        </row>
        <row r="33">
          <cell r="B33" t="str">
            <v>TSU</v>
          </cell>
          <cell r="C33">
            <v>12606709.993801983</v>
          </cell>
          <cell r="D33">
            <v>6303354.9969009915</v>
          </cell>
          <cell r="E33">
            <v>2691966.9804682774</v>
          </cell>
          <cell r="F33">
            <v>3611388.0164327142</v>
          </cell>
          <cell r="G33">
            <v>6303354.9969009915</v>
          </cell>
          <cell r="H33">
            <v>2691966.9804682774</v>
          </cell>
          <cell r="I33">
            <v>3611388.0164327142</v>
          </cell>
          <cell r="J33">
            <v>1.2383468899999999</v>
          </cell>
          <cell r="K33">
            <v>1401971.9714086798</v>
          </cell>
        </row>
        <row r="34">
          <cell r="B34" t="str">
            <v>TTU</v>
          </cell>
          <cell r="C34">
            <v>37219579.077593289</v>
          </cell>
          <cell r="D34">
            <v>18609789.538796645</v>
          </cell>
          <cell r="E34">
            <v>9063945.8867170513</v>
          </cell>
          <cell r="F34">
            <v>9545843.6520795934</v>
          </cell>
          <cell r="G34">
            <v>18609789.538796645</v>
          </cell>
          <cell r="H34">
            <v>9063945.8867170513</v>
          </cell>
          <cell r="I34">
            <v>9545843.6520795934</v>
          </cell>
          <cell r="J34">
            <v>0.97215363999999993</v>
          </cell>
          <cell r="K34">
            <v>3705778.8259719131</v>
          </cell>
        </row>
        <row r="35">
          <cell r="B35" t="str">
            <v>Angelo</v>
          </cell>
          <cell r="C35">
            <v>6818350.2517482918</v>
          </cell>
          <cell r="D35">
            <v>3409175.1258741459</v>
          </cell>
          <cell r="E35">
            <v>1459207.53512762</v>
          </cell>
          <cell r="F35">
            <v>1949967.5907465261</v>
          </cell>
          <cell r="G35">
            <v>3409175.1258741459</v>
          </cell>
          <cell r="H35">
            <v>1459207.53512762</v>
          </cell>
          <cell r="I35">
            <v>1949967.5907465261</v>
          </cell>
          <cell r="J35">
            <v>1.2335257599999998</v>
          </cell>
          <cell r="K35">
            <v>756994.23461075663</v>
          </cell>
        </row>
        <row r="36">
          <cell r="B36" t="str">
            <v>TWU</v>
          </cell>
          <cell r="C36">
            <v>11476034.973522253</v>
          </cell>
          <cell r="D36">
            <v>5738017.4867611267</v>
          </cell>
          <cell r="E36">
            <v>2683554.5877049631</v>
          </cell>
          <cell r="F36">
            <v>3054462.8990561636</v>
          </cell>
          <cell r="G36">
            <v>5738017.4867611267</v>
          </cell>
          <cell r="H36">
            <v>2683554.5877049631</v>
          </cell>
          <cell r="I36">
            <v>3054462.8990561636</v>
          </cell>
          <cell r="J36">
            <v>1.0506602800000002</v>
          </cell>
          <cell r="K36">
            <v>1185768.8381029789</v>
          </cell>
        </row>
        <row r="37">
          <cell r="B37" t="str">
            <v>Lamar</v>
          </cell>
          <cell r="C37">
            <v>10567161.268997066</v>
          </cell>
          <cell r="D37">
            <v>5283580.6344985329</v>
          </cell>
          <cell r="E37">
            <v>2648234.3619206231</v>
          </cell>
          <cell r="F37">
            <v>2635346.2725779093</v>
          </cell>
          <cell r="G37">
            <v>5283580.6344985329</v>
          </cell>
          <cell r="H37">
            <v>2648234.3619206231</v>
          </cell>
          <cell r="I37">
            <v>2635346.2725779093</v>
          </cell>
          <cell r="J37">
            <v>0.91858460999999991</v>
          </cell>
          <cell r="K37">
            <v>1023064.1493793651</v>
          </cell>
        </row>
        <row r="38">
          <cell r="B38" t="str">
            <v>Sam Houston</v>
          </cell>
          <cell r="C38">
            <v>15181113.590270456</v>
          </cell>
          <cell r="D38">
            <v>7590556.795135228</v>
          </cell>
          <cell r="E38">
            <v>3562081.3122848826</v>
          </cell>
          <cell r="F38">
            <v>4028475.4828503453</v>
          </cell>
          <cell r="G38">
            <v>7590556.795135228</v>
          </cell>
          <cell r="H38">
            <v>3562081.3122848826</v>
          </cell>
          <cell r="I38">
            <v>4028475.4828503453</v>
          </cell>
          <cell r="J38">
            <v>1.0439381999999999</v>
          </cell>
          <cell r="K38">
            <v>1563888.9226979467</v>
          </cell>
        </row>
        <row r="39">
          <cell r="B39" t="str">
            <v>TxStU-SM</v>
          </cell>
          <cell r="C39">
            <v>29555589.025835741</v>
          </cell>
          <cell r="D39">
            <v>14777794.512917871</v>
          </cell>
          <cell r="E39">
            <v>6649786.6955529982</v>
          </cell>
          <cell r="F39">
            <v>8128007.8173648724</v>
          </cell>
          <cell r="G39">
            <v>14777794.512917871</v>
          </cell>
          <cell r="H39">
            <v>6649786.6955529982</v>
          </cell>
          <cell r="I39">
            <v>8128007.8173648724</v>
          </cell>
          <cell r="J39">
            <v>1.1282732500000001</v>
          </cell>
          <cell r="K39">
            <v>3155362.7279829853</v>
          </cell>
        </row>
        <row r="40">
          <cell r="B40" t="str">
            <v>Sul Ross</v>
          </cell>
          <cell r="C40">
            <v>3359581.6448495379</v>
          </cell>
          <cell r="D40">
            <v>1679790.8224247689</v>
          </cell>
          <cell r="E40">
            <v>601522.76901936834</v>
          </cell>
          <cell r="F40">
            <v>1078268.0534054006</v>
          </cell>
          <cell r="G40">
            <v>1679790.8224247689</v>
          </cell>
          <cell r="H40">
            <v>601522.76901936834</v>
          </cell>
          <cell r="I40">
            <v>1078268.0534054006</v>
          </cell>
          <cell r="J40">
            <v>1.6546744499999999</v>
          </cell>
          <cell r="K40">
            <v>418592.95696312626</v>
          </cell>
        </row>
        <row r="41">
          <cell r="B41" t="str">
            <v>Sul Ross - RG</v>
          </cell>
          <cell r="C41">
            <v>344152.88510861818</v>
          </cell>
          <cell r="D41">
            <v>172076.44255430909</v>
          </cell>
          <cell r="E41">
            <v>172076.44255430909</v>
          </cell>
          <cell r="F41">
            <v>0</v>
          </cell>
          <cell r="G41">
            <v>172076.44255430909</v>
          </cell>
          <cell r="H41">
            <v>172076.44255430909</v>
          </cell>
          <cell r="I41">
            <v>0</v>
          </cell>
          <cell r="J41">
            <v>0</v>
          </cell>
          <cell r="K41">
            <v>0</v>
          </cell>
        </row>
        <row r="42">
          <cell r="B42" t="str">
            <v>TAMU-CVM</v>
          </cell>
          <cell r="C42">
            <v>6459323.375</v>
          </cell>
          <cell r="D42">
            <v>3229661.6875</v>
          </cell>
          <cell r="E42">
            <v>3229661.6875</v>
          </cell>
          <cell r="G42">
            <v>3229661.6875</v>
          </cell>
          <cell r="H42">
            <v>3229661.6875</v>
          </cell>
        </row>
        <row r="43">
          <cell r="B43" t="str">
            <v>Total Universities</v>
          </cell>
          <cell r="C43">
            <v>628335249.85523474</v>
          </cell>
          <cell r="D43">
            <v>314167624.92761737</v>
          </cell>
          <cell r="E43">
            <v>143658962.75088418</v>
          </cell>
          <cell r="F43">
            <v>169106988.17673308</v>
          </cell>
          <cell r="G43">
            <v>314167624.92761737</v>
          </cell>
          <cell r="H43">
            <v>143658962.75088418</v>
          </cell>
          <cell r="I43">
            <v>169106988.17673308</v>
          </cell>
          <cell r="K43">
            <v>65648791.133583836</v>
          </cell>
        </row>
        <row r="44">
          <cell r="B44" t="str">
            <v>TSTC-Harlingen</v>
          </cell>
          <cell r="C44">
            <v>5280450.5362915322</v>
          </cell>
          <cell r="D44">
            <v>2640225.2681457661</v>
          </cell>
          <cell r="E44">
            <v>1040611.9281960414</v>
          </cell>
          <cell r="F44">
            <v>1599613.339949725</v>
          </cell>
          <cell r="G44">
            <v>2640225.2681457661</v>
          </cell>
          <cell r="H44">
            <v>1040611.9281960414</v>
          </cell>
          <cell r="I44">
            <v>1599613.339949725</v>
          </cell>
          <cell r="J44">
            <v>1.4189402599999998</v>
          </cell>
          <cell r="K44">
            <v>620983.69311092887</v>
          </cell>
        </row>
        <row r="45">
          <cell r="B45" t="str">
            <v>TSTC-West Texas</v>
          </cell>
          <cell r="C45">
            <v>2266189.1170991128</v>
          </cell>
          <cell r="D45">
            <v>1133094.5585495564</v>
          </cell>
          <cell r="E45">
            <v>342316.13109345734</v>
          </cell>
          <cell r="F45">
            <v>790778.42745609919</v>
          </cell>
          <cell r="G45">
            <v>1133094.5585495564</v>
          </cell>
          <cell r="H45">
            <v>342316.13109345734</v>
          </cell>
          <cell r="I45">
            <v>790778.42745609919</v>
          </cell>
          <cell r="J45">
            <v>2.13238364</v>
          </cell>
          <cell r="K45">
            <v>306987.00495306886</v>
          </cell>
        </row>
        <row r="46">
          <cell r="B46" t="str">
            <v>TSTC-Marshall</v>
          </cell>
          <cell r="C46">
            <v>788621.28418724553</v>
          </cell>
          <cell r="D46">
            <v>394310.64209362277</v>
          </cell>
          <cell r="E46">
            <v>198982.20301786024</v>
          </cell>
          <cell r="F46">
            <v>195328.43907576252</v>
          </cell>
          <cell r="G46">
            <v>394310.64209362277</v>
          </cell>
          <cell r="H46">
            <v>198982.20301786024</v>
          </cell>
          <cell r="I46">
            <v>195328.43907576252</v>
          </cell>
          <cell r="J46">
            <v>0.90612714000000005</v>
          </cell>
          <cell r="K46">
            <v>75828.184497806418</v>
          </cell>
        </row>
        <row r="47">
          <cell r="B47" t="str">
            <v>TSTC-Waco</v>
          </cell>
          <cell r="C47">
            <v>7258481.7088005599</v>
          </cell>
          <cell r="D47">
            <v>3629240.8544002799</v>
          </cell>
          <cell r="E47">
            <v>1474938.368955266</v>
          </cell>
          <cell r="F47">
            <v>2154302.4854450142</v>
          </cell>
          <cell r="G47">
            <v>3629240.8544002799</v>
          </cell>
          <cell r="H47">
            <v>1474938.368955266</v>
          </cell>
          <cell r="I47">
            <v>2154302.4854450142</v>
          </cell>
          <cell r="J47">
            <v>1.3482508500000001</v>
          </cell>
          <cell r="K47">
            <v>836318.80285003362</v>
          </cell>
        </row>
        <row r="48">
          <cell r="B48" t="str">
            <v>Lamar-IOT</v>
          </cell>
          <cell r="C48">
            <v>2177034.3285536775</v>
          </cell>
          <cell r="D48">
            <v>1088517.1642768388</v>
          </cell>
          <cell r="E48">
            <v>596659.48082407913</v>
          </cell>
          <cell r="F48">
            <v>491857.68345275958</v>
          </cell>
          <cell r="G48">
            <v>1088517.1642768388</v>
          </cell>
          <cell r="H48">
            <v>596659.48082407913</v>
          </cell>
          <cell r="I48">
            <v>491857.68345275958</v>
          </cell>
          <cell r="J48">
            <v>0.76094068999999998</v>
          </cell>
          <cell r="K48">
            <v>190943.39433620911</v>
          </cell>
        </row>
        <row r="49">
          <cell r="B49" t="str">
            <v>Lamar-Orange</v>
          </cell>
          <cell r="C49">
            <v>1896543.1267362759</v>
          </cell>
          <cell r="D49">
            <v>948271.56336813793</v>
          </cell>
          <cell r="E49">
            <v>443748.56014510535</v>
          </cell>
          <cell r="F49">
            <v>504523.00322303263</v>
          </cell>
          <cell r="G49">
            <v>948271.56336813793</v>
          </cell>
          <cell r="H49">
            <v>443748.56014510535</v>
          </cell>
          <cell r="I49">
            <v>504523.00322303263</v>
          </cell>
          <cell r="J49">
            <v>1.0494987099999999</v>
          </cell>
          <cell r="K49">
            <v>195860.18069260585</v>
          </cell>
        </row>
        <row r="50">
          <cell r="B50" t="str">
            <v>Lamar-Port Arthur</v>
          </cell>
          <cell r="C50">
            <v>2209188.043096737</v>
          </cell>
          <cell r="D50">
            <v>1104594.0215483685</v>
          </cell>
          <cell r="E50">
            <v>523516.20297679433</v>
          </cell>
          <cell r="F50">
            <v>581077.81857157417</v>
          </cell>
          <cell r="G50">
            <v>1104594.0215483685</v>
          </cell>
          <cell r="H50">
            <v>523516.20297679433</v>
          </cell>
          <cell r="I50">
            <v>581077.81857157417</v>
          </cell>
          <cell r="J50">
            <v>1.0245710100000001</v>
          </cell>
          <cell r="K50">
            <v>225579.42019460743</v>
          </cell>
        </row>
        <row r="51">
          <cell r="B51" t="str">
            <v>Total TSTC and Lamar</v>
          </cell>
          <cell r="C51">
            <v>21876508.144765139</v>
          </cell>
          <cell r="D51">
            <v>10938254.072382569</v>
          </cell>
          <cell r="E51">
            <v>4620772.8752086032</v>
          </cell>
          <cell r="F51">
            <v>6317481.197173967</v>
          </cell>
          <cell r="G51">
            <v>10938254.072382569</v>
          </cell>
          <cell r="H51">
            <v>4620772.8752086032</v>
          </cell>
          <cell r="I51">
            <v>6317481.197173967</v>
          </cell>
          <cell r="K51">
            <v>2452500.68063526</v>
          </cell>
        </row>
        <row r="52">
          <cell r="B52" t="str">
            <v>Formula Total</v>
          </cell>
          <cell r="C52">
            <v>650211758</v>
          </cell>
          <cell r="D52">
            <v>325105879</v>
          </cell>
          <cell r="E52">
            <v>148279735.62609279</v>
          </cell>
          <cell r="F52">
            <v>175424469.37390703</v>
          </cell>
          <cell r="G52">
            <v>325105879</v>
          </cell>
          <cell r="H52">
            <v>148279735.62609279</v>
          </cell>
          <cell r="I52">
            <v>175424469.37390703</v>
          </cell>
          <cell r="K52">
            <v>68101291.814219102</v>
          </cell>
        </row>
        <row r="54">
          <cell r="B54" t="str">
            <v>Small Institution Set-Aside</v>
          </cell>
          <cell r="C54">
            <v>26628150</v>
          </cell>
          <cell r="D54" t="str">
            <v>Not included in Table Above</v>
          </cell>
        </row>
        <row r="55">
          <cell r="B55" t="str">
            <v>TAMUG Set-Aside</v>
          </cell>
          <cell r="C55">
            <v>2803348</v>
          </cell>
          <cell r="D55" t="str">
            <v>Added to TAMUG's Annual amount in table above</v>
          </cell>
        </row>
        <row r="56">
          <cell r="B56" t="str">
            <v>Total Appropriation</v>
          </cell>
          <cell r="C56">
            <v>676839908</v>
          </cell>
        </row>
        <row r="57">
          <cell r="B57" t="str">
            <v/>
          </cell>
          <cell r="C57" t="str">
            <v>Rates</v>
          </cell>
          <cell r="D57">
            <v>4.9537202571176158</v>
          </cell>
          <cell r="E57">
            <v>2.3777857234164554</v>
          </cell>
          <cell r="F57">
            <v>2.5759345337011603</v>
          </cell>
          <cell r="G57">
            <v>4.9537202571176158</v>
          </cell>
          <cell r="H57">
            <v>2.3777857234164554</v>
          </cell>
          <cell r="I57">
            <v>2.5759345337011603</v>
          </cell>
          <cell r="J57" t="str">
            <v>HRI Rate3</v>
          </cell>
          <cell r="K57">
            <v>6.25</v>
          </cell>
        </row>
        <row r="58">
          <cell r="C58" t="str">
            <v>Percentages2</v>
          </cell>
          <cell r="D58">
            <v>1</v>
          </cell>
          <cell r="E58">
            <v>0.48</v>
          </cell>
          <cell r="F58">
            <v>0.52</v>
          </cell>
          <cell r="G58">
            <v>1</v>
          </cell>
          <cell r="H58">
            <v>0.52</v>
          </cell>
          <cell r="I58">
            <v>0.48</v>
          </cell>
        </row>
        <row r="59">
          <cell r="D59">
            <v>5.8541475290984097</v>
          </cell>
          <cell r="E59">
            <v>0.90042727198079398</v>
          </cell>
        </row>
        <row r="68">
          <cell r="C68" t="str">
            <v>FY 2012 - FY 2013 Total</v>
          </cell>
          <cell r="D68" t="str">
            <v>FY 2012</v>
          </cell>
          <cell r="E68" t="str">
            <v>O&amp;M 
Funding</v>
          </cell>
          <cell r="F68" t="str">
            <v>Utility 
Funding</v>
          </cell>
          <cell r="G68" t="str">
            <v>FY 2013</v>
          </cell>
          <cell r="H68" t="str">
            <v>O&amp;M 
Funding</v>
          </cell>
          <cell r="I68" t="str">
            <v>Utility 
Funding</v>
          </cell>
          <cell r="J68" t="str">
            <v>Utility Rate Adjustment</v>
          </cell>
          <cell r="K68" t="str">
            <v>Adjusted Utility Square Feet</v>
          </cell>
        </row>
        <row r="69">
          <cell r="B69" t="str">
            <v>Texas Engineering Experiment Station (TEES)</v>
          </cell>
          <cell r="C69">
            <v>7933803.3100056592</v>
          </cell>
          <cell r="D69">
            <v>3966901.6550028296</v>
          </cell>
          <cell r="E69">
            <v>1902261.8677332923</v>
          </cell>
          <cell r="F69">
            <v>2064639.7872695373</v>
          </cell>
          <cell r="G69">
            <v>3966901.6550028296</v>
          </cell>
          <cell r="H69">
            <v>1902261.8677332923</v>
          </cell>
          <cell r="I69">
            <v>2064639.7872695373</v>
          </cell>
          <cell r="J69">
            <v>1.00187118</v>
          </cell>
          <cell r="K69">
            <v>801510.97019651998</v>
          </cell>
        </row>
        <row r="70">
          <cell r="B70" t="str">
            <v>Texas Engineering Extension Service (TEEX)</v>
          </cell>
          <cell r="C70">
            <v>2895728.0293867262</v>
          </cell>
          <cell r="D70">
            <v>1447864.0146933631</v>
          </cell>
          <cell r="E70">
            <v>694299.16452326451</v>
          </cell>
          <cell r="F70">
            <v>753564.85017009871</v>
          </cell>
          <cell r="G70">
            <v>1447864.0146933631</v>
          </cell>
          <cell r="H70">
            <v>694299.16452326451</v>
          </cell>
          <cell r="I70">
            <v>753564.85017009871</v>
          </cell>
          <cell r="J70">
            <v>1.00187118</v>
          </cell>
          <cell r="K70">
            <v>292540.37333292002</v>
          </cell>
        </row>
        <row r="71">
          <cell r="B71" t="str">
            <v>Texas Transportation Institute (TTI)</v>
          </cell>
          <cell r="C71">
            <v>3351318.7116268617</v>
          </cell>
          <cell r="D71">
            <v>1675659.3558134309</v>
          </cell>
          <cell r="E71">
            <v>803534.64065701643</v>
          </cell>
          <cell r="F71">
            <v>872124.71515641443</v>
          </cell>
          <cell r="G71">
            <v>1675659.3558134309</v>
          </cell>
          <cell r="H71">
            <v>803534.64065701643</v>
          </cell>
          <cell r="I71">
            <v>872124.71515641443</v>
          </cell>
          <cell r="J71">
            <v>1.00187118</v>
          </cell>
          <cell r="K71">
            <v>338566.33534211997</v>
          </cell>
        </row>
        <row r="72">
          <cell r="B72" t="str">
            <v>Texas AgriLife Research (TAES)</v>
          </cell>
          <cell r="C72">
            <v>10000274.977654513</v>
          </cell>
          <cell r="D72">
            <v>5000137.4888272565</v>
          </cell>
          <cell r="E72">
            <v>2397732.9678501962</v>
          </cell>
          <cell r="F72">
            <v>2602404.5209770598</v>
          </cell>
          <cell r="G72">
            <v>5000137.4888272565</v>
          </cell>
          <cell r="H72">
            <v>2397732.9678501962</v>
          </cell>
          <cell r="I72">
            <v>2602404.5209770598</v>
          </cell>
          <cell r="J72">
            <v>1.00187118</v>
          </cell>
          <cell r="K72">
            <v>1010275.8773290199</v>
          </cell>
        </row>
        <row r="73">
          <cell r="B73" t="str">
            <v>Texas AgriLife Extension Service (TAEX)</v>
          </cell>
          <cell r="C73">
            <v>1285997.4253262866</v>
          </cell>
          <cell r="D73">
            <v>642998.71266314329</v>
          </cell>
          <cell r="E73">
            <v>308339.36368402885</v>
          </cell>
          <cell r="F73">
            <v>334659.34897911444</v>
          </cell>
          <cell r="G73">
            <v>642998.71266314329</v>
          </cell>
          <cell r="H73">
            <v>308339.36368402885</v>
          </cell>
          <cell r="I73">
            <v>334659.34897911444</v>
          </cell>
          <cell r="J73">
            <v>1.00187118</v>
          </cell>
          <cell r="K73">
            <v>129917.6452665</v>
          </cell>
        </row>
        <row r="74">
          <cell r="B74" t="str">
            <v>Texas Vet. Med. Diagnostic Lab. (TVMDL)4</v>
          </cell>
          <cell r="C74">
            <v>984567.76083588763</v>
          </cell>
          <cell r="D74">
            <v>492283.88041794382</v>
          </cell>
          <cell r="E74">
            <v>236066.56662078568</v>
          </cell>
          <cell r="F74">
            <v>256217.31379715813</v>
          </cell>
          <cell r="G74">
            <v>492283.88041794382</v>
          </cell>
          <cell r="H74">
            <v>236066.56662078568</v>
          </cell>
          <cell r="I74">
            <v>256217.31379715813</v>
          </cell>
          <cell r="J74">
            <v>1.00187118</v>
          </cell>
          <cell r="K74">
            <v>99465.770750399999</v>
          </cell>
        </row>
        <row r="75">
          <cell r="B75" t="str">
            <v>Texas Forest Service (TFS)</v>
          </cell>
          <cell r="C75">
            <v>210995.80660298493</v>
          </cell>
          <cell r="D75">
            <v>105497.90330149246</v>
          </cell>
          <cell r="E75">
            <v>50589.769051408504</v>
          </cell>
          <cell r="F75">
            <v>54908.13425008396</v>
          </cell>
          <cell r="G75">
            <v>105497.90330149246</v>
          </cell>
          <cell r="H75">
            <v>50589.769051408504</v>
          </cell>
          <cell r="I75">
            <v>54908.13425008396</v>
          </cell>
          <cell r="J75">
            <v>1.00187118</v>
          </cell>
          <cell r="K75">
            <v>21315.811225679998</v>
          </cell>
        </row>
        <row r="76">
          <cell r="B76" t="str">
            <v>Total</v>
          </cell>
          <cell r="C76">
            <v>26662686.021438919</v>
          </cell>
          <cell r="D76">
            <v>13331343.01071946</v>
          </cell>
          <cell r="E76">
            <v>6392824.3401199915</v>
          </cell>
          <cell r="F76">
            <v>6938518.6705994671</v>
          </cell>
          <cell r="G76">
            <v>13331343.01071946</v>
          </cell>
          <cell r="H76">
            <v>6392824.3401199915</v>
          </cell>
          <cell r="I76">
            <v>6938518.6705994671</v>
          </cell>
          <cell r="K76">
            <v>2693592.7834431599</v>
          </cell>
        </row>
      </sheetData>
      <sheetData sheetId="7"/>
      <sheetData sheetId="8"/>
      <sheetData sheetId="9"/>
      <sheetData sheetId="10"/>
      <sheetData sheetId="11"/>
      <sheetData sheetId="12"/>
      <sheetData sheetId="13"/>
      <sheetData sheetId="1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NACUBO"/>
      <sheetName val="Funding Levels"/>
      <sheetName val="I and O"/>
      <sheetName val="OBF"/>
      <sheetName val="SCH"/>
      <sheetName val="Cost Study"/>
      <sheetName val="Infrastructure"/>
      <sheetName val="Utilities"/>
      <sheetName val="TAMUG"/>
      <sheetName val="SIS"/>
      <sheetName val="Comparison"/>
      <sheetName val="Law VM Tuition"/>
      <sheetName val="Growth"/>
      <sheetName val="CPI"/>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
          <cell r="A3" t="str">
            <v>Institution</v>
          </cell>
          <cell r="C3" t="str">
            <v>FY 2014 - FY 2015 Total</v>
          </cell>
          <cell r="D3" t="str">
            <v>FY 2014</v>
          </cell>
          <cell r="E3" t="str">
            <v>O&amp;M 
Funding</v>
          </cell>
          <cell r="F3" t="str">
            <v>Utility 
Funding</v>
          </cell>
          <cell r="G3" t="str">
            <v>FY 2015</v>
          </cell>
          <cell r="H3" t="str">
            <v>O&amp;M 
Funding</v>
          </cell>
          <cell r="I3" t="str">
            <v>Utility 
Funding</v>
          </cell>
          <cell r="J3" t="str">
            <v>Utility Rate Adjustment</v>
          </cell>
          <cell r="K3" t="str">
            <v>Adjusted Utility Square Feet</v>
          </cell>
          <cell r="L3" t="str">
            <v xml:space="preserve">Predicted
Square Feet1 </v>
          </cell>
        </row>
        <row r="4">
          <cell r="B4" t="str">
            <v>UT-Arlington</v>
          </cell>
          <cell r="C4">
            <v>31807080.209555022</v>
          </cell>
          <cell r="D4">
            <v>15903540.104777511</v>
          </cell>
          <cell r="E4">
            <v>8447924.4938445706</v>
          </cell>
          <cell r="F4">
            <v>7455615.6109329397</v>
          </cell>
          <cell r="G4">
            <v>15903540.104777511</v>
          </cell>
          <cell r="H4">
            <v>8447924.4938445706</v>
          </cell>
          <cell r="I4">
            <v>7455615.6109329397</v>
          </cell>
          <cell r="J4">
            <v>0.97647769000000006</v>
          </cell>
          <cell r="K4">
            <v>2746908.8837075103</v>
          </cell>
        </row>
        <row r="5">
          <cell r="B5" t="str">
            <v>UT-Austin</v>
          </cell>
          <cell r="C5">
            <v>118011935.5017083</v>
          </cell>
          <cell r="D5">
            <v>59005967.750854149</v>
          </cell>
          <cell r="E5">
            <v>30423926.699605692</v>
          </cell>
          <cell r="F5">
            <v>28582041.051248457</v>
          </cell>
          <cell r="G5">
            <v>59005967.750854149</v>
          </cell>
          <cell r="H5">
            <v>30423926.699605692</v>
          </cell>
          <cell r="I5">
            <v>28582041.051248457</v>
          </cell>
          <cell r="J5">
            <v>1.0394576799999999</v>
          </cell>
          <cell r="K5">
            <v>10530621.021158399</v>
          </cell>
        </row>
        <row r="6">
          <cell r="B6" t="str">
            <v>UT-Dallas</v>
          </cell>
          <cell r="C6">
            <v>25853817.889887951</v>
          </cell>
          <cell r="D6">
            <v>12926908.944943976</v>
          </cell>
          <cell r="E6">
            <v>6945551.5160211297</v>
          </cell>
          <cell r="F6">
            <v>5981357.428922846</v>
          </cell>
          <cell r="G6">
            <v>12926908.944943976</v>
          </cell>
          <cell r="H6">
            <v>6945551.5160211297</v>
          </cell>
          <cell r="I6">
            <v>5981357.428922846</v>
          </cell>
          <cell r="J6">
            <v>0.95284411999999996</v>
          </cell>
          <cell r="K6">
            <v>2203740.7392683597</v>
          </cell>
        </row>
        <row r="7">
          <cell r="B7" t="str">
            <v>UT-El Paso</v>
          </cell>
          <cell r="C7">
            <v>24665595.778528862</v>
          </cell>
          <cell r="D7">
            <v>12332797.889264431</v>
          </cell>
          <cell r="E7">
            <v>6677420.7815366331</v>
          </cell>
          <cell r="F7">
            <v>5655377.1077277968</v>
          </cell>
          <cell r="G7">
            <v>12332797.889264431</v>
          </cell>
          <cell r="H7">
            <v>6677420.7815366331</v>
          </cell>
          <cell r="I7">
            <v>5655377.1077277968</v>
          </cell>
          <cell r="J7">
            <v>0.93709078000000001</v>
          </cell>
          <cell r="K7">
            <v>2083638.21696404</v>
          </cell>
        </row>
        <row r="8">
          <cell r="B8" t="str">
            <v>UT-Pan American</v>
          </cell>
          <cell r="C8">
            <v>17906809.314481311</v>
          </cell>
          <cell r="D8">
            <v>8953404.6572406553</v>
          </cell>
          <cell r="E8">
            <v>4705523.96494467</v>
          </cell>
          <cell r="F8">
            <v>4247880.6922959853</v>
          </cell>
          <cell r="G8">
            <v>8953404.6572406553</v>
          </cell>
          <cell r="H8">
            <v>4705523.96494467</v>
          </cell>
          <cell r="I8">
            <v>4247880.6922959853</v>
          </cell>
          <cell r="J8">
            <v>0.99883363999999997</v>
          </cell>
          <cell r="K8">
            <v>1565067.4363477998</v>
          </cell>
        </row>
        <row r="9">
          <cell r="B9" t="str">
            <v>UT-Brownsville</v>
          </cell>
          <cell r="C9">
            <v>7272866.8572981711</v>
          </cell>
          <cell r="D9">
            <v>3636433.4286490856</v>
          </cell>
          <cell r="E9">
            <v>2069536.2248945273</v>
          </cell>
          <cell r="F9">
            <v>1566897.203754558</v>
          </cell>
          <cell r="G9">
            <v>3636433.4286490856</v>
          </cell>
          <cell r="H9">
            <v>2069536.2248945273</v>
          </cell>
          <cell r="I9">
            <v>1566897.203754558</v>
          </cell>
          <cell r="J9">
            <v>0.83771503999999997</v>
          </cell>
          <cell r="K9">
            <v>577299.59180544002</v>
          </cell>
        </row>
        <row r="10">
          <cell r="B10" t="str">
            <v>UT-Permian Basin</v>
          </cell>
          <cell r="C10">
            <v>3544603.8918381473</v>
          </cell>
          <cell r="D10">
            <v>1772301.9459190737</v>
          </cell>
          <cell r="E10">
            <v>921470.60200433829</v>
          </cell>
          <cell r="F10">
            <v>850831.34391473536</v>
          </cell>
          <cell r="G10">
            <v>1772301.9459190737</v>
          </cell>
          <cell r="H10">
            <v>921470.60200433829</v>
          </cell>
          <cell r="I10">
            <v>850831.34391473536</v>
          </cell>
          <cell r="J10">
            <v>1.0216234100000001</v>
          </cell>
          <cell r="K10">
            <v>313475.94874781003</v>
          </cell>
        </row>
        <row r="11">
          <cell r="B11" t="str">
            <v>UT-San Antonio</v>
          </cell>
          <cell r="C11">
            <v>30837556.348135367</v>
          </cell>
          <cell r="D11">
            <v>15418778.174067684</v>
          </cell>
          <cell r="E11">
            <v>8248041.9429507628</v>
          </cell>
          <cell r="F11">
            <v>7170736.2311169207</v>
          </cell>
          <cell r="G11">
            <v>15418778.174067684</v>
          </cell>
          <cell r="H11">
            <v>8248041.9429507628</v>
          </cell>
          <cell r="I11">
            <v>7170736.2311169207</v>
          </cell>
          <cell r="J11">
            <v>0.9619261400000001</v>
          </cell>
          <cell r="K11">
            <v>2641949.3820328005</v>
          </cell>
        </row>
        <row r="12">
          <cell r="B12" t="str">
            <v>UT-Tyler</v>
          </cell>
          <cell r="C12">
            <v>6501496.805446472</v>
          </cell>
          <cell r="D12">
            <v>3250748.402723236</v>
          </cell>
          <cell r="E12">
            <v>1762218.1918236145</v>
          </cell>
          <cell r="F12">
            <v>1488530.2108996217</v>
          </cell>
          <cell r="G12">
            <v>3250748.402723236</v>
          </cell>
          <cell r="H12">
            <v>1762218.1918236145</v>
          </cell>
          <cell r="I12">
            <v>1488530.2108996217</v>
          </cell>
          <cell r="J12">
            <v>0.93460222999999998</v>
          </cell>
          <cell r="K12">
            <v>548426.45776846004</v>
          </cell>
        </row>
        <row r="13">
          <cell r="B13" t="str">
            <v>TAMU</v>
          </cell>
          <cell r="C13">
            <v>73035527.867271066</v>
          </cell>
          <cell r="D13">
            <v>36517763.933635533</v>
          </cell>
          <cell r="E13">
            <v>19260411.605443515</v>
          </cell>
          <cell r="F13">
            <v>17257352.328192022</v>
          </cell>
          <cell r="G13">
            <v>36517763.933635533</v>
          </cell>
          <cell r="H13">
            <v>19260411.605443515</v>
          </cell>
          <cell r="I13">
            <v>17257352.328192022</v>
          </cell>
          <cell r="J13">
            <v>0.99137381000000002</v>
          </cell>
          <cell r="K13">
            <v>6358210.6285183504</v>
          </cell>
        </row>
        <row r="14">
          <cell r="B14" t="str">
            <v>TAMU-Galveston</v>
          </cell>
          <cell r="C14">
            <v>5014329.727057917</v>
          </cell>
          <cell r="D14">
            <v>2507164.8635289585</v>
          </cell>
          <cell r="E14">
            <v>1252051.7518960969</v>
          </cell>
          <cell r="F14">
            <v>1255113.1116328614</v>
          </cell>
          <cell r="G14">
            <v>2507164.8635289585</v>
          </cell>
          <cell r="H14">
            <v>1252051.7518960969</v>
          </cell>
          <cell r="I14">
            <v>1255113.1116328614</v>
          </cell>
          <cell r="J14">
            <v>1.1091478100000001</v>
          </cell>
          <cell r="K14">
            <v>462427.45553383837</v>
          </cell>
        </row>
        <row r="15">
          <cell r="B15" t="str">
            <v>Prairie View</v>
          </cell>
          <cell r="C15">
            <v>10018161.925815467</v>
          </cell>
          <cell r="D15">
            <v>5009080.9629077334</v>
          </cell>
          <cell r="E15">
            <v>2697151.6384568824</v>
          </cell>
          <cell r="F15">
            <v>2311929.3244508514</v>
          </cell>
          <cell r="G15">
            <v>5009080.9629077334</v>
          </cell>
          <cell r="H15">
            <v>2697151.6384568824</v>
          </cell>
          <cell r="I15">
            <v>2311929.3244508514</v>
          </cell>
          <cell r="J15">
            <v>0.94841416000000001</v>
          </cell>
          <cell r="K15">
            <v>851795.41586416005</v>
          </cell>
        </row>
        <row r="16">
          <cell r="B16" t="str">
            <v>Tarleton</v>
          </cell>
          <cell r="C16">
            <v>10206654.77763319</v>
          </cell>
          <cell r="D16">
            <v>5103327.3888165951</v>
          </cell>
          <cell r="E16">
            <v>2575730.7742951852</v>
          </cell>
          <cell r="F16">
            <v>2527596.6145214094</v>
          </cell>
          <cell r="G16">
            <v>5103327.3888165951</v>
          </cell>
          <cell r="H16">
            <v>2575730.7742951852</v>
          </cell>
          <cell r="I16">
            <v>2527596.6145214094</v>
          </cell>
          <cell r="J16">
            <v>1.08576575</v>
          </cell>
          <cell r="K16">
            <v>931254.76918049995</v>
          </cell>
        </row>
        <row r="17">
          <cell r="B17" t="str">
            <v>TAMU-Central</v>
          </cell>
          <cell r="C17">
            <v>1709348.3130202568</v>
          </cell>
          <cell r="D17">
            <v>854674.15651012841</v>
          </cell>
          <cell r="E17">
            <v>448637.3599832881</v>
          </cell>
          <cell r="F17">
            <v>406036.79652684031</v>
          </cell>
          <cell r="G17">
            <v>854674.15651012841</v>
          </cell>
          <cell r="H17">
            <v>448637.3599832881</v>
          </cell>
          <cell r="I17">
            <v>406036.79652684031</v>
          </cell>
          <cell r="J17">
            <v>1.00137973</v>
          </cell>
          <cell r="K17">
            <v>149598.12062416002</v>
          </cell>
        </row>
        <row r="18">
          <cell r="B18" t="str">
            <v>TAMU-CC</v>
          </cell>
          <cell r="C18">
            <v>12273085.966621902</v>
          </cell>
          <cell r="D18">
            <v>6136542.9833109509</v>
          </cell>
          <cell r="E18">
            <v>2895163.2653703592</v>
          </cell>
          <cell r="F18">
            <v>3241379.7179405917</v>
          </cell>
          <cell r="G18">
            <v>6136542.9833109509</v>
          </cell>
          <cell r="H18">
            <v>2895163.2653703592</v>
          </cell>
          <cell r="I18">
            <v>3241379.7179405917</v>
          </cell>
          <cell r="J18">
            <v>1.23875577</v>
          </cell>
          <cell r="K18">
            <v>1194237.36513774</v>
          </cell>
        </row>
        <row r="19">
          <cell r="B19" t="str">
            <v>TAMU-Kingsville</v>
          </cell>
          <cell r="C19">
            <v>9757393.959249109</v>
          </cell>
          <cell r="D19">
            <v>4878696.9796245545</v>
          </cell>
          <cell r="E19">
            <v>2316759.4589760327</v>
          </cell>
          <cell r="F19">
            <v>2561937.5206485218</v>
          </cell>
          <cell r="G19">
            <v>4878696.9796245545</v>
          </cell>
          <cell r="H19">
            <v>2316759.4589760327</v>
          </cell>
          <cell r="I19">
            <v>2561937.5206485218</v>
          </cell>
          <cell r="J19">
            <v>1.2235350899999999</v>
          </cell>
          <cell r="K19">
            <v>943907.15699630999</v>
          </cell>
        </row>
        <row r="20">
          <cell r="B20" t="str">
            <v>TAMU-San Antonio</v>
          </cell>
          <cell r="C20">
            <v>3290461.7972570127</v>
          </cell>
          <cell r="D20">
            <v>1645230.8986285063</v>
          </cell>
          <cell r="E20">
            <v>762294.91235191911</v>
          </cell>
          <cell r="F20">
            <v>882935.98627658735</v>
          </cell>
          <cell r="G20">
            <v>1645230.8986285063</v>
          </cell>
          <cell r="H20">
            <v>762294.91235191911</v>
          </cell>
          <cell r="I20">
            <v>882935.98627658735</v>
          </cell>
          <cell r="J20">
            <v>1.2815484700000002</v>
          </cell>
          <cell r="K20">
            <v>325304.41897939006</v>
          </cell>
        </row>
        <row r="21">
          <cell r="B21" t="str">
            <v>TAMI</v>
          </cell>
          <cell r="C21">
            <v>6776232.8558748756</v>
          </cell>
          <cell r="D21">
            <v>3388116.4279374378</v>
          </cell>
          <cell r="E21">
            <v>1642698.2825247573</v>
          </cell>
          <cell r="F21">
            <v>1745418.1454126807</v>
          </cell>
          <cell r="G21">
            <v>3388116.4279374378</v>
          </cell>
          <cell r="H21">
            <v>1642698.2825247573</v>
          </cell>
          <cell r="I21">
            <v>1745418.1454126807</v>
          </cell>
          <cell r="J21">
            <v>1.17562963</v>
          </cell>
          <cell r="K21">
            <v>643072.93449888995</v>
          </cell>
        </row>
        <row r="22">
          <cell r="B22" t="str">
            <v>WTAMU</v>
          </cell>
          <cell r="C22">
            <v>7179148.812675735</v>
          </cell>
          <cell r="D22">
            <v>3589574.4063378675</v>
          </cell>
          <cell r="E22">
            <v>2159061.2887430722</v>
          </cell>
          <cell r="F22">
            <v>1430513.1175947953</v>
          </cell>
          <cell r="G22">
            <v>3589574.4063378675</v>
          </cell>
          <cell r="H22">
            <v>2159061.2887430722</v>
          </cell>
          <cell r="I22">
            <v>1430513.1175947953</v>
          </cell>
          <cell r="J22">
            <v>0.73308732999999993</v>
          </cell>
          <cell r="K22">
            <v>527050.93664150999</v>
          </cell>
        </row>
        <row r="23">
          <cell r="B23" t="str">
            <v>TAMU-Commerce</v>
          </cell>
          <cell r="C23">
            <v>9707455.9245321043</v>
          </cell>
          <cell r="D23">
            <v>4853727.9622660521</v>
          </cell>
          <cell r="E23">
            <v>2365235.3095225827</v>
          </cell>
          <cell r="F23">
            <v>2488492.6527434699</v>
          </cell>
          <cell r="G23">
            <v>4853727.9622660521</v>
          </cell>
          <cell r="H23">
            <v>2365235.3095225827</v>
          </cell>
          <cell r="I23">
            <v>2488492.6527434699</v>
          </cell>
          <cell r="J23">
            <v>1.1641014999999999</v>
          </cell>
          <cell r="K23">
            <v>916847.50550149987</v>
          </cell>
        </row>
        <row r="24">
          <cell r="B24" t="str">
            <v>TAMU-Texarkana</v>
          </cell>
          <cell r="C24">
            <v>1858593.730301199</v>
          </cell>
          <cell r="D24">
            <v>929296.86515059951</v>
          </cell>
          <cell r="E24">
            <v>492917.89624328585</v>
          </cell>
          <cell r="F24">
            <v>436378.9689073136</v>
          </cell>
          <cell r="G24">
            <v>929296.86515059951</v>
          </cell>
          <cell r="H24">
            <v>492917.89624328585</v>
          </cell>
          <cell r="I24">
            <v>436378.9689073136</v>
          </cell>
          <cell r="J24">
            <v>0.97953073000000013</v>
          </cell>
          <cell r="K24">
            <v>160777.23543001001</v>
          </cell>
        </row>
        <row r="25">
          <cell r="B25" t="str">
            <v>UH</v>
          </cell>
          <cell r="C25">
            <v>50660951.07582137</v>
          </cell>
          <cell r="D25">
            <v>25330475.537910685</v>
          </cell>
          <cell r="E25">
            <v>13048658.697361207</v>
          </cell>
          <cell r="F25">
            <v>12281816.840549476</v>
          </cell>
          <cell r="G25">
            <v>25330475.537910685</v>
          </cell>
          <cell r="H25">
            <v>13048658.697361207</v>
          </cell>
          <cell r="I25">
            <v>12281816.840549476</v>
          </cell>
          <cell r="J25">
            <v>1.0414192099999999</v>
          </cell>
          <cell r="K25">
            <v>4525049.7809867999</v>
          </cell>
        </row>
        <row r="26">
          <cell r="B26" t="str">
            <v>UH-Clear Lake</v>
          </cell>
          <cell r="C26">
            <v>6982764.9199850224</v>
          </cell>
          <cell r="D26">
            <v>3491382.4599925112</v>
          </cell>
          <cell r="E26">
            <v>1779930.4063276136</v>
          </cell>
          <cell r="F26">
            <v>1711452.0536648978</v>
          </cell>
          <cell r="G26">
            <v>3491382.4599925112</v>
          </cell>
          <cell r="H26">
            <v>1779930.4063276136</v>
          </cell>
          <cell r="I26">
            <v>1711452.0536648978</v>
          </cell>
          <cell r="J26">
            <v>1.06387488</v>
          </cell>
          <cell r="K26">
            <v>630558.64137600001</v>
          </cell>
        </row>
        <row r="27">
          <cell r="B27" t="str">
            <v>UH-Downtown</v>
          </cell>
          <cell r="C27">
            <v>12038967.521617878</v>
          </cell>
          <cell r="D27">
            <v>6019483.7608089391</v>
          </cell>
          <cell r="E27">
            <v>2704950.6586445537</v>
          </cell>
          <cell r="F27">
            <v>3314533.1021643854</v>
          </cell>
          <cell r="G27">
            <v>6019483.7608089391</v>
          </cell>
          <cell r="H27">
            <v>2704950.6586445537</v>
          </cell>
          <cell r="I27">
            <v>3314533.1021643854</v>
          </cell>
          <cell r="J27">
            <v>1.35578821</v>
          </cell>
          <cell r="K27">
            <v>1221189.6238758301</v>
          </cell>
        </row>
        <row r="28">
          <cell r="B28" t="str">
            <v>UH-Victoria</v>
          </cell>
          <cell r="C28">
            <v>3404580.2988143298</v>
          </cell>
          <cell r="D28">
            <v>1702290.1494071649</v>
          </cell>
          <cell r="E28">
            <v>838795.58245617023</v>
          </cell>
          <cell r="F28">
            <v>863494.56695099466</v>
          </cell>
          <cell r="G28">
            <v>1702290.1494071649</v>
          </cell>
          <cell r="H28">
            <v>838795.58245617023</v>
          </cell>
          <cell r="I28">
            <v>863494.56695099466</v>
          </cell>
          <cell r="J28">
            <v>1.1390225299999999</v>
          </cell>
          <cell r="K28">
            <v>318141.52187682997</v>
          </cell>
        </row>
        <row r="29">
          <cell r="B29" t="str">
            <v>Midwestern</v>
          </cell>
          <cell r="C29">
            <v>5587638.8098004386</v>
          </cell>
          <cell r="D29">
            <v>2793819.4049002193</v>
          </cell>
          <cell r="E29">
            <v>1472059.8050185293</v>
          </cell>
          <cell r="F29">
            <v>1321759.5998816902</v>
          </cell>
          <cell r="G29">
            <v>2793819.4049002193</v>
          </cell>
          <cell r="H29">
            <v>1472059.8050185293</v>
          </cell>
          <cell r="I29">
            <v>1321759.5998816902</v>
          </cell>
          <cell r="J29">
            <v>0.99347252000000008</v>
          </cell>
          <cell r="K29">
            <v>486982.34679864004</v>
          </cell>
        </row>
        <row r="30">
          <cell r="B30" t="str">
            <v>UNT</v>
          </cell>
          <cell r="C30">
            <v>36686554.013207778</v>
          </cell>
          <cell r="D30">
            <v>18343277.006603889</v>
          </cell>
          <cell r="E30">
            <v>9574671.1932413913</v>
          </cell>
          <cell r="F30">
            <v>8768605.8133624978</v>
          </cell>
          <cell r="G30">
            <v>18343277.006603889</v>
          </cell>
          <cell r="H30">
            <v>9574671.1932413913</v>
          </cell>
          <cell r="I30">
            <v>8768605.8133624978</v>
          </cell>
          <cell r="J30">
            <v>1.0132941100000001</v>
          </cell>
          <cell r="K30">
            <v>3230660.2785602505</v>
          </cell>
        </row>
        <row r="31">
          <cell r="B31" t="str">
            <v>UNT-Dallas</v>
          </cell>
          <cell r="C31">
            <v>1911047.1053005573</v>
          </cell>
          <cell r="D31">
            <v>955523.55265027867</v>
          </cell>
          <cell r="E31">
            <v>425720.79354042321</v>
          </cell>
          <cell r="F31">
            <v>529802.7591098554</v>
          </cell>
          <cell r="G31">
            <v>955523.55265027867</v>
          </cell>
          <cell r="H31">
            <v>425720.79354042321</v>
          </cell>
          <cell r="I31">
            <v>529802.7591098554</v>
          </cell>
          <cell r="J31">
            <v>1.3769500699999999</v>
          </cell>
          <cell r="K31">
            <v>195197.81887326998</v>
          </cell>
        </row>
        <row r="32">
          <cell r="B32" t="str">
            <v>SFA</v>
          </cell>
          <cell r="C32">
            <v>13644367.631960317</v>
          </cell>
          <cell r="D32">
            <v>6822183.8159801587</v>
          </cell>
          <cell r="E32">
            <v>3525736.7208598829</v>
          </cell>
          <cell r="F32">
            <v>3296447.0951202754</v>
          </cell>
          <cell r="G32">
            <v>6822183.8159801587</v>
          </cell>
          <cell r="H32">
            <v>3525736.7208598829</v>
          </cell>
          <cell r="I32">
            <v>3296447.0951202754</v>
          </cell>
          <cell r="J32">
            <v>1.0344870799999999</v>
          </cell>
          <cell r="K32">
            <v>1214526.10794196</v>
          </cell>
        </row>
        <row r="33">
          <cell r="B33" t="str">
            <v>TSU</v>
          </cell>
          <cell r="C33">
            <v>14915514.181661531</v>
          </cell>
          <cell r="D33">
            <v>7457757.0908307657</v>
          </cell>
          <cell r="E33">
            <v>3345587.4628629517</v>
          </cell>
          <cell r="F33">
            <v>4112169.6279678144</v>
          </cell>
          <cell r="G33">
            <v>7457757.0908307657</v>
          </cell>
          <cell r="H33">
            <v>3345587.4628629517</v>
          </cell>
          <cell r="I33">
            <v>4112169.6279678144</v>
          </cell>
          <cell r="J33">
            <v>1.3599641899999999</v>
          </cell>
          <cell r="K33">
            <v>1515066.7459053099</v>
          </cell>
        </row>
        <row r="34">
          <cell r="B34" t="str">
            <v>TTU</v>
          </cell>
          <cell r="C34">
            <v>44505620.760491803</v>
          </cell>
          <cell r="D34">
            <v>22252810.380245902</v>
          </cell>
          <cell r="E34">
            <v>11994025.156134026</v>
          </cell>
          <cell r="F34">
            <v>10258785.224111876</v>
          </cell>
          <cell r="G34">
            <v>22252810.380245902</v>
          </cell>
          <cell r="H34">
            <v>11994025.156134026</v>
          </cell>
          <cell r="I34">
            <v>10258785.224111876</v>
          </cell>
          <cell r="J34">
            <v>0.94636750999999997</v>
          </cell>
          <cell r="K34">
            <v>3779694.3590864697</v>
          </cell>
        </row>
        <row r="35">
          <cell r="B35" t="str">
            <v>Angelo</v>
          </cell>
          <cell r="C35">
            <v>7977428.4714653566</v>
          </cell>
          <cell r="D35">
            <v>3988714.2357326783</v>
          </cell>
          <cell r="E35">
            <v>1878575.8491942401</v>
          </cell>
          <cell r="F35">
            <v>2110138.3865384385</v>
          </cell>
          <cell r="G35">
            <v>3988714.2357326783</v>
          </cell>
          <cell r="H35">
            <v>1878575.8491942401</v>
          </cell>
          <cell r="I35">
            <v>2110138.3865384385</v>
          </cell>
          <cell r="J35">
            <v>1.2428280399999998</v>
          </cell>
          <cell r="K35">
            <v>777448.59476591984</v>
          </cell>
        </row>
        <row r="36">
          <cell r="B36" t="str">
            <v>TWU</v>
          </cell>
          <cell r="C36">
            <v>13535961.528345382</v>
          </cell>
          <cell r="D36">
            <v>6767980.7641726909</v>
          </cell>
          <cell r="E36">
            <v>3562038.0516371531</v>
          </cell>
          <cell r="F36">
            <v>3205942.7125355378</v>
          </cell>
          <cell r="G36">
            <v>6767980.7641726909</v>
          </cell>
          <cell r="H36">
            <v>3562038.0516371531</v>
          </cell>
          <cell r="I36">
            <v>3205942.7125355378</v>
          </cell>
          <cell r="J36">
            <v>0.99583191999999998</v>
          </cell>
          <cell r="K36">
            <v>1181181.1361100001</v>
          </cell>
        </row>
        <row r="37">
          <cell r="B37" t="str">
            <v>Lamar</v>
          </cell>
          <cell r="C37">
            <v>11751022.335271161</v>
          </cell>
          <cell r="D37">
            <v>5875511.1676355805</v>
          </cell>
          <cell r="E37">
            <v>3194165.7470744401</v>
          </cell>
          <cell r="F37">
            <v>2681345.4205611404</v>
          </cell>
          <cell r="G37">
            <v>5875511.1676355805</v>
          </cell>
          <cell r="H37">
            <v>3194165.7470744401</v>
          </cell>
          <cell r="I37">
            <v>2681345.4205611404</v>
          </cell>
          <cell r="J37">
            <v>0.92880417000000004</v>
          </cell>
          <cell r="K37">
            <v>987901.19292459008</v>
          </cell>
        </row>
        <row r="38">
          <cell r="B38" t="str">
            <v>Sam Houston</v>
          </cell>
          <cell r="C38">
            <v>16563980.382816639</v>
          </cell>
          <cell r="D38">
            <v>8281990.1914083194</v>
          </cell>
          <cell r="E38">
            <v>4532738.2793390257</v>
          </cell>
          <cell r="F38">
            <v>3749251.9120692937</v>
          </cell>
          <cell r="G38">
            <v>8281990.1914083194</v>
          </cell>
          <cell r="H38">
            <v>4532738.2793390257</v>
          </cell>
          <cell r="I38">
            <v>3749251.9120692937</v>
          </cell>
          <cell r="J38">
            <v>0.91519327000000006</v>
          </cell>
          <cell r="K38">
            <v>1381355.1988139302</v>
          </cell>
        </row>
        <row r="39">
          <cell r="B39" t="str">
            <v>TxStU-SM</v>
          </cell>
          <cell r="C39">
            <v>34868567.855581619</v>
          </cell>
          <cell r="D39">
            <v>17434283.927790809</v>
          </cell>
          <cell r="E39">
            <v>8958749.8053281661</v>
          </cell>
          <cell r="F39">
            <v>8475534.1224626433</v>
          </cell>
          <cell r="G39">
            <v>17434283.927790809</v>
          </cell>
          <cell r="H39">
            <v>8958749.8053281661</v>
          </cell>
          <cell r="I39">
            <v>8475534.1224626433</v>
          </cell>
          <cell r="J39">
            <v>1.04676335</v>
          </cell>
          <cell r="K39">
            <v>3122682.4436896499</v>
          </cell>
        </row>
        <row r="40">
          <cell r="B40" t="str">
            <v>Sul Ross</v>
          </cell>
          <cell r="C40">
            <v>3179224.3256634502</v>
          </cell>
          <cell r="D40">
            <v>1589612.1628317251</v>
          </cell>
          <cell r="E40">
            <v>681968.30781598017</v>
          </cell>
          <cell r="F40">
            <v>907643.85501574492</v>
          </cell>
          <cell r="G40">
            <v>1589612.1628317251</v>
          </cell>
          <cell r="H40">
            <v>681968.30781598017</v>
          </cell>
          <cell r="I40">
            <v>907643.85501574492</v>
          </cell>
          <cell r="J40">
            <v>1.4725841399999999</v>
          </cell>
          <cell r="K40">
            <v>334407.65976845997</v>
          </cell>
        </row>
        <row r="41">
          <cell r="B41" t="str">
            <v>Sul Ross - RG</v>
          </cell>
          <cell r="C41">
            <v>384100.99347075151</v>
          </cell>
          <cell r="D41">
            <v>192050.49673537575</v>
          </cell>
          <cell r="E41">
            <v>192050.49673537575</v>
          </cell>
          <cell r="F41">
            <v>0</v>
          </cell>
          <cell r="G41">
            <v>192050.49673537575</v>
          </cell>
          <cell r="H41">
            <v>192050.49673537575</v>
          </cell>
          <cell r="I41">
            <v>0</v>
          </cell>
          <cell r="J41">
            <v>0</v>
          </cell>
          <cell r="K41">
            <v>0</v>
          </cell>
        </row>
        <row r="42">
          <cell r="B42" t="str">
            <v>TAMU-CVM</v>
          </cell>
          <cell r="C42">
            <v>7019558.5456138942</v>
          </cell>
          <cell r="D42">
            <v>3509779.2728069471</v>
          </cell>
          <cell r="E42">
            <v>3509779.2728069471</v>
          </cell>
          <cell r="G42">
            <v>3509779.2728069471</v>
          </cell>
          <cell r="H42">
            <v>3509779.2728069471</v>
          </cell>
        </row>
        <row r="43">
          <cell r="B43" t="str">
            <v>Total Universities</v>
          </cell>
          <cell r="C43">
            <v>702846009.01107872</v>
          </cell>
          <cell r="D43">
            <v>351423004.50553936</v>
          </cell>
          <cell r="E43">
            <v>184289930.24781096</v>
          </cell>
          <cell r="F43">
            <v>167133074.25772837</v>
          </cell>
          <cell r="G43">
            <v>351423004.50553936</v>
          </cell>
          <cell r="H43">
            <v>184289930.24781096</v>
          </cell>
          <cell r="I43">
            <v>167133074.25772837</v>
          </cell>
          <cell r="K43">
            <v>61577655.07206089</v>
          </cell>
        </row>
        <row r="44">
          <cell r="B44" t="str">
            <v>TSTC-Harlingen</v>
          </cell>
          <cell r="C44">
            <v>5493476.5050561968</v>
          </cell>
          <cell r="D44">
            <v>2746738.2525280984</v>
          </cell>
          <cell r="E44">
            <v>1200196.2318381239</v>
          </cell>
          <cell r="F44">
            <v>1546542.0206899743</v>
          </cell>
          <cell r="G44">
            <v>2746738.2525280984</v>
          </cell>
          <cell r="H44">
            <v>1200196.2318381239</v>
          </cell>
          <cell r="I44">
            <v>1546542.0206899743</v>
          </cell>
          <cell r="J44">
            <v>1.4257333400000001</v>
          </cell>
          <cell r="K44">
            <v>569800.03226435999</v>
          </cell>
        </row>
        <row r="45">
          <cell r="B45" t="str">
            <v>TSTC-West Texas</v>
          </cell>
          <cell r="C45">
            <v>1398056.3898776458</v>
          </cell>
          <cell r="D45">
            <v>699028.19493882288</v>
          </cell>
          <cell r="E45">
            <v>317411.41268229648</v>
          </cell>
          <cell r="F45">
            <v>381616.78225652641</v>
          </cell>
          <cell r="G45">
            <v>699028.19493882288</v>
          </cell>
          <cell r="H45">
            <v>317411.41268229648</v>
          </cell>
          <cell r="I45">
            <v>381616.78225652641</v>
          </cell>
          <cell r="J45">
            <v>1.33025153</v>
          </cell>
          <cell r="K45">
            <v>140600.93546335</v>
          </cell>
        </row>
        <row r="46">
          <cell r="B46" t="str">
            <v>TSTC-Marshall</v>
          </cell>
          <cell r="C46">
            <v>750876.4426783009</v>
          </cell>
          <cell r="D46">
            <v>375438.22133915045</v>
          </cell>
          <cell r="E46">
            <v>210159.11888849793</v>
          </cell>
          <cell r="F46">
            <v>165279.10245065248</v>
          </cell>
          <cell r="G46">
            <v>375438.22133915045</v>
          </cell>
          <cell r="H46">
            <v>210159.11888849793</v>
          </cell>
          <cell r="I46">
            <v>165279.10245065248</v>
          </cell>
          <cell r="J46">
            <v>0.87015885999999987</v>
          </cell>
          <cell r="K46">
            <v>60894.58718165999</v>
          </cell>
        </row>
        <row r="47">
          <cell r="B47" t="str">
            <v>TSTC-Waco</v>
          </cell>
          <cell r="C47">
            <v>5862939.8830377636</v>
          </cell>
          <cell r="D47">
            <v>2931469.9415188818</v>
          </cell>
          <cell r="E47">
            <v>1528109.4441339308</v>
          </cell>
          <cell r="F47">
            <v>1403360.497384951</v>
          </cell>
          <cell r="G47">
            <v>2931469.9415188818</v>
          </cell>
          <cell r="H47">
            <v>1528109.4441339308</v>
          </cell>
          <cell r="I47">
            <v>1403360.497384951</v>
          </cell>
          <cell r="J47">
            <v>1.0161167899999999</v>
          </cell>
          <cell r="K47">
            <v>517046.96412433992</v>
          </cell>
        </row>
        <row r="48">
          <cell r="B48" t="str">
            <v>Lamar-IOT</v>
          </cell>
          <cell r="C48">
            <v>2406849.7238945272</v>
          </cell>
          <cell r="D48">
            <v>1203424.8619472636</v>
          </cell>
          <cell r="E48">
            <v>676010.18072613038</v>
          </cell>
          <cell r="F48">
            <v>527414.68122113333</v>
          </cell>
          <cell r="G48">
            <v>1203424.8619472636</v>
          </cell>
          <cell r="H48">
            <v>676010.18072613038</v>
          </cell>
          <cell r="I48">
            <v>527414.68122113333</v>
          </cell>
          <cell r="J48">
            <v>0.86323256999999998</v>
          </cell>
          <cell r="K48">
            <v>194317.96766984998</v>
          </cell>
        </row>
        <row r="49">
          <cell r="B49" t="str">
            <v>Lamar-Orange</v>
          </cell>
          <cell r="C49">
            <v>1894104.0594405392</v>
          </cell>
          <cell r="D49">
            <v>947052.02972026961</v>
          </cell>
          <cell r="E49">
            <v>514492.08223798394</v>
          </cell>
          <cell r="F49">
            <v>432559.94748228561</v>
          </cell>
          <cell r="G49">
            <v>947052.02972026961</v>
          </cell>
          <cell r="H49">
            <v>514492.08223798394</v>
          </cell>
          <cell r="I49">
            <v>432559.94748228561</v>
          </cell>
          <cell r="J49">
            <v>0.93024308</v>
          </cell>
          <cell r="K49">
            <v>159370.17470867999</v>
          </cell>
        </row>
        <row r="50">
          <cell r="B50" t="str">
            <v>Lamar-Port Arthur</v>
          </cell>
          <cell r="C50">
            <v>2602585.9662741926</v>
          </cell>
          <cell r="D50">
            <v>1301292.9831370963</v>
          </cell>
          <cell r="E50">
            <v>667967.9103901335</v>
          </cell>
          <cell r="F50">
            <v>633325.07274696277</v>
          </cell>
          <cell r="G50">
            <v>1301292.9831370963</v>
          </cell>
          <cell r="H50">
            <v>667967.9103901335</v>
          </cell>
          <cell r="I50">
            <v>633325.07274696277</v>
          </cell>
          <cell r="J50">
            <v>1.0490590199999998</v>
          </cell>
          <cell r="K50">
            <v>233339.05064153997</v>
          </cell>
        </row>
        <row r="51">
          <cell r="B51" t="str">
            <v>Total TSTC and Lamar</v>
          </cell>
          <cell r="C51">
            <v>20408888.970259167</v>
          </cell>
          <cell r="D51">
            <v>10204444.485129584</v>
          </cell>
          <cell r="E51">
            <v>5114346.3808970973</v>
          </cell>
          <cell r="F51">
            <v>5090098.1042324863</v>
          </cell>
          <cell r="G51">
            <v>10204444.485129584</v>
          </cell>
          <cell r="H51">
            <v>5114346.3808970973</v>
          </cell>
          <cell r="I51">
            <v>5090098.1042324863</v>
          </cell>
          <cell r="K51">
            <v>1875369.71205378</v>
          </cell>
        </row>
        <row r="52">
          <cell r="B52" t="str">
            <v>Formula Total</v>
          </cell>
          <cell r="C52">
            <v>723254897.9813379</v>
          </cell>
          <cell r="D52">
            <v>361627448.99066895</v>
          </cell>
          <cell r="E52">
            <v>189404276.62870806</v>
          </cell>
          <cell r="F52">
            <v>172223172.36196086</v>
          </cell>
          <cell r="G52">
            <v>361627448.99066895</v>
          </cell>
          <cell r="H52">
            <v>189404276.62870806</v>
          </cell>
          <cell r="I52">
            <v>172223172.36196086</v>
          </cell>
          <cell r="K52">
            <v>63453024.784114674</v>
          </cell>
        </row>
        <row r="53">
          <cell r="B53" t="str">
            <v>Small Institution Set-Aside</v>
          </cell>
          <cell r="C53">
            <v>25898550</v>
          </cell>
          <cell r="D53" t="str">
            <v>Not included in Table Above</v>
          </cell>
        </row>
        <row r="54">
          <cell r="B54" t="str">
            <v>TAMUG Set-Aside</v>
          </cell>
          <cell r="C54">
            <v>1770769.4872156784</v>
          </cell>
          <cell r="D54" t="str">
            <v>Added to TAMUG's predicted square feet in table above and included in amounts</v>
          </cell>
        </row>
        <row r="55">
          <cell r="B55" t="str">
            <v>Total</v>
          </cell>
          <cell r="C55">
            <v>749153447.9813379</v>
          </cell>
        </row>
        <row r="57">
          <cell r="C57">
            <v>676839030.74790382</v>
          </cell>
          <cell r="D57" t="str">
            <v>FY 2012-2013 Appropriated</v>
          </cell>
        </row>
        <row r="58">
          <cell r="C58">
            <v>47746743.216482833</v>
          </cell>
          <cell r="D58" t="str">
            <v>7.1% Biennial Rate Increase</v>
          </cell>
        </row>
        <row r="59">
          <cell r="C59">
            <v>24567674.016951248</v>
          </cell>
          <cell r="D59" t="str">
            <v>3.4% Predicted Square Foot Growth</v>
          </cell>
        </row>
        <row r="60">
          <cell r="C60">
            <v>749153447.9813379</v>
          </cell>
          <cell r="D60" t="str">
            <v>FY 2014-2015 Recommended Funding</v>
          </cell>
        </row>
        <row r="61">
          <cell r="C61" t="str">
            <v>Rates</v>
          </cell>
          <cell r="D61">
            <v>5.7172720577392653</v>
          </cell>
          <cell r="E61">
            <v>3.0030882509323664</v>
          </cell>
          <cell r="F61">
            <v>2.7141838068068989</v>
          </cell>
          <cell r="G61">
            <v>5.7172720577392653</v>
          </cell>
          <cell r="H61">
            <v>3.0030882509323664</v>
          </cell>
          <cell r="I61">
            <v>2.7141838068068989</v>
          </cell>
          <cell r="J61" t="str">
            <v>HRI Rate3</v>
          </cell>
          <cell r="K61">
            <v>6.5546870319349999</v>
          </cell>
        </row>
        <row r="62">
          <cell r="C62" t="str">
            <v>Percentages2</v>
          </cell>
          <cell r="D62">
            <v>1</v>
          </cell>
          <cell r="E62">
            <v>0.52526593462824533</v>
          </cell>
          <cell r="F62">
            <v>0.47473406537175467</v>
          </cell>
          <cell r="G62">
            <v>1</v>
          </cell>
          <cell r="H62">
            <v>0.52526593462824533</v>
          </cell>
          <cell r="I62">
            <v>0.47473406537175467</v>
          </cell>
        </row>
        <row r="70">
          <cell r="C70" t="str">
            <v>FY 2014 - FY 2015 Total</v>
          </cell>
          <cell r="D70" t="str">
            <v>FY 2014</v>
          </cell>
          <cell r="E70" t="str">
            <v>O&amp;M 
Funding</v>
          </cell>
          <cell r="F70" t="str">
            <v>Utility 
Funding</v>
          </cell>
          <cell r="G70" t="str">
            <v>FY 2015</v>
          </cell>
          <cell r="H70" t="str">
            <v>O&amp;M 
Funding</v>
          </cell>
          <cell r="I70" t="str">
            <v>Utility 
Funding</v>
          </cell>
          <cell r="J70" t="str">
            <v>Utility Rate Adjustment</v>
          </cell>
          <cell r="K70" t="str">
            <v>Adjusted Utility Square Feet</v>
          </cell>
        </row>
        <row r="71">
          <cell r="B71" t="str">
            <v>Texas Engineering Experiment Station (TEES)</v>
          </cell>
          <cell r="C71">
            <v>11288371.533352043</v>
          </cell>
          <cell r="D71">
            <v>5644185.7666760217</v>
          </cell>
          <cell r="E71">
            <v>2976889.3090312323</v>
          </cell>
          <cell r="F71">
            <v>2667296.4576447895</v>
          </cell>
          <cell r="G71">
            <v>5644185.7666760217</v>
          </cell>
          <cell r="H71">
            <v>2976889.3090312323</v>
          </cell>
          <cell r="I71">
            <v>2667296.4576447895</v>
          </cell>
          <cell r="J71">
            <v>0.99137381000000002</v>
          </cell>
          <cell r="K71">
            <v>982725.06488156004</v>
          </cell>
        </row>
        <row r="72">
          <cell r="B72" t="str">
            <v>Texas Engineering Extension Service (TEEX)</v>
          </cell>
          <cell r="C72">
            <v>3264152.7077998081</v>
          </cell>
          <cell r="D72">
            <v>1632076.3538999041</v>
          </cell>
          <cell r="E72">
            <v>860799.21007075161</v>
          </cell>
          <cell r="F72">
            <v>771277.14382915257</v>
          </cell>
          <cell r="G72">
            <v>1632076.3538999041</v>
          </cell>
          <cell r="H72">
            <v>860799.21007075161</v>
          </cell>
          <cell r="I72">
            <v>771277.14382915257</v>
          </cell>
          <cell r="J72">
            <v>0.99137381000000002</v>
          </cell>
          <cell r="K72">
            <v>284165.40615077998</v>
          </cell>
        </row>
        <row r="73">
          <cell r="B73" t="str">
            <v>Texas Transportation Institute (TTI)</v>
          </cell>
          <cell r="C73">
            <v>4507611.7977417726</v>
          </cell>
          <cell r="D73">
            <v>2253805.8988708863</v>
          </cell>
          <cell r="E73">
            <v>1188715.4254548096</v>
          </cell>
          <cell r="F73">
            <v>1065090.4734160765</v>
          </cell>
          <cell r="G73">
            <v>2253805.8988708863</v>
          </cell>
          <cell r="H73">
            <v>1188715.4254548096</v>
          </cell>
          <cell r="I73">
            <v>1065090.4734160765</v>
          </cell>
          <cell r="J73">
            <v>0.99137381000000002</v>
          </cell>
          <cell r="K73">
            <v>392416.48658611003</v>
          </cell>
        </row>
        <row r="74">
          <cell r="B74" t="str">
            <v>Texas AgriLife Research (TALR)</v>
          </cell>
          <cell r="C74">
            <v>11424500.314145375</v>
          </cell>
          <cell r="D74">
            <v>5712250.1570726875</v>
          </cell>
          <cell r="E74">
            <v>3012788.2259828779</v>
          </cell>
          <cell r="F74">
            <v>2699461.9310898092</v>
          </cell>
          <cell r="G74">
            <v>5712250.1570726875</v>
          </cell>
          <cell r="H74">
            <v>3012788.2259828779</v>
          </cell>
          <cell r="I74">
            <v>2699461.9310898092</v>
          </cell>
          <cell r="J74">
            <v>0.99137381000000002</v>
          </cell>
          <cell r="K74">
            <v>994575.94740629999</v>
          </cell>
        </row>
        <row r="75">
          <cell r="B75" t="str">
            <v>Texas AgriLife Extension Service (TALX)</v>
          </cell>
          <cell r="C75">
            <v>1271347.6112873596</v>
          </cell>
          <cell r="D75">
            <v>635673.80564367981</v>
          </cell>
          <cell r="E75">
            <v>335270.77851059125</v>
          </cell>
          <cell r="F75">
            <v>300403.02713308862</v>
          </cell>
          <cell r="G75">
            <v>635673.80564367981</v>
          </cell>
          <cell r="H75">
            <v>335270.77851059125</v>
          </cell>
          <cell r="I75">
            <v>300403.02713308862</v>
          </cell>
          <cell r="J75">
            <v>0.99137381000000002</v>
          </cell>
          <cell r="K75">
            <v>110678.95489602</v>
          </cell>
        </row>
        <row r="76">
          <cell r="B76" t="str">
            <v>Texas Vet. Med. Diagnostic Lab. (TVMDL)4</v>
          </cell>
          <cell r="C76">
            <v>1076116.5741516</v>
          </cell>
          <cell r="D76">
            <v>538058.28707580001</v>
          </cell>
          <cell r="E76">
            <v>283785.83353660675</v>
          </cell>
          <cell r="F76">
            <v>254272.45353919323</v>
          </cell>
          <cell r="G76">
            <v>538058.28707580001</v>
          </cell>
          <cell r="H76">
            <v>283785.83353660675</v>
          </cell>
          <cell r="I76">
            <v>254272.45353919323</v>
          </cell>
          <cell r="J76">
            <v>0.99137381000000002</v>
          </cell>
          <cell r="K76">
            <v>93682.842297380004</v>
          </cell>
        </row>
        <row r="77">
          <cell r="B77" t="str">
            <v>Texas Forest Service (TFS)</v>
          </cell>
          <cell r="C77">
            <v>235589.10967478994</v>
          </cell>
          <cell r="D77">
            <v>117794.55483739497</v>
          </cell>
          <cell r="E77">
            <v>62127.889735288794</v>
          </cell>
          <cell r="F77">
            <v>55666.66510210617</v>
          </cell>
          <cell r="G77">
            <v>117794.55483739497</v>
          </cell>
          <cell r="H77">
            <v>62127.889735288794</v>
          </cell>
          <cell r="I77">
            <v>55666.66510210617</v>
          </cell>
          <cell r="J77">
            <v>0.99137381000000002</v>
          </cell>
          <cell r="K77">
            <v>20509.54138128</v>
          </cell>
        </row>
        <row r="78">
          <cell r="B78" t="str">
            <v>Total</v>
          </cell>
          <cell r="C78">
            <v>33067689.64815275</v>
          </cell>
          <cell r="D78">
            <v>16533844.824076375</v>
          </cell>
          <cell r="E78">
            <v>8720376.6723221578</v>
          </cell>
          <cell r="F78">
            <v>7813468.1517542163</v>
          </cell>
          <cell r="G78">
            <v>16533844.824076375</v>
          </cell>
          <cell r="H78">
            <v>8720376.6723221578</v>
          </cell>
          <cell r="I78">
            <v>7813468.1517542163</v>
          </cell>
          <cell r="K78">
            <v>2878754.2435994297</v>
          </cell>
        </row>
      </sheetData>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Funding Levels"/>
      <sheetName val="OBF"/>
      <sheetName val="I and O"/>
      <sheetName val="SCH"/>
      <sheetName val="Cost Study"/>
      <sheetName val="Infrastructure"/>
      <sheetName val="Utilities"/>
      <sheetName val="TAMUG"/>
      <sheetName val="SIS"/>
      <sheetName val="Comparison"/>
      <sheetName val="Law VM Tuition"/>
      <sheetName val="Growth"/>
      <sheetName val="CPI"/>
    </sheetNames>
    <sheetDataSet>
      <sheetData sheetId="0">
        <row r="1">
          <cell r="A1" t="str">
            <v>Formula Funding - 2016-2017 Biennium - Recommendation</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outlinePr summaryBelow="0" summaryRight="0"/>
  </sheetPr>
  <dimension ref="A1:R394"/>
  <sheetViews>
    <sheetView showGridLines="0" tabSelected="1" zoomScale="70" zoomScaleNormal="70" workbookViewId="0">
      <pane xSplit="2" ySplit="5" topLeftCell="C6" activePane="bottomRight" state="frozen"/>
      <selection activeCell="A2" sqref="A2"/>
      <selection pane="topRight" activeCell="A2" sqref="A2"/>
      <selection pane="bottomLeft" activeCell="A2" sqref="A2"/>
      <selection pane="bottomRight" activeCell="C6" sqref="C6"/>
    </sheetView>
  </sheetViews>
  <sheetFormatPr defaultRowHeight="12.75" outlineLevelRow="1" x14ac:dyDescent="0.2"/>
  <cols>
    <col min="1" max="1" width="7.28515625" style="2" customWidth="1"/>
    <col min="2" max="2" width="10.85546875" style="2" bestFit="1" customWidth="1"/>
    <col min="3" max="3" width="13.7109375" style="2" bestFit="1" customWidth="1"/>
    <col min="4" max="4" width="13.7109375" style="2" customWidth="1"/>
    <col min="5" max="5" width="12.5703125" style="2" customWidth="1"/>
    <col min="6" max="6" width="14" style="2" customWidth="1"/>
    <col min="7" max="7" width="12.42578125" style="2" customWidth="1"/>
    <col min="8" max="10" width="12.5703125" style="2" bestFit="1" customWidth="1"/>
    <col min="11" max="11" width="2.7109375" style="67" customWidth="1"/>
    <col min="12" max="12" width="16.42578125" style="2" customWidth="1"/>
    <col min="13" max="13" width="11" style="2" customWidth="1"/>
    <col min="14" max="14" width="13.5703125" style="2" customWidth="1"/>
    <col min="15" max="15" width="2.42578125" style="2" customWidth="1"/>
    <col min="16" max="16" width="11" style="2" customWidth="1"/>
    <col min="17" max="17" width="8.42578125" style="2" customWidth="1"/>
    <col min="18" max="18" width="8.28515625" style="2" customWidth="1"/>
    <col min="19" max="19" width="4.28515625" style="2" customWidth="1"/>
    <col min="20" max="16384" width="9.140625" style="2"/>
  </cols>
  <sheetData>
    <row r="1" spans="1:18" x14ac:dyDescent="0.2">
      <c r="A1" s="1" t="str">
        <f>[3]Summary!A1</f>
        <v>Formula Funding - 2016-2017 Biennium - Recommendation</v>
      </c>
    </row>
    <row r="2" spans="1:18" ht="57.75" customHeight="1" x14ac:dyDescent="0.2">
      <c r="A2" s="189" t="s">
        <v>82</v>
      </c>
      <c r="B2" s="189"/>
      <c r="C2" s="189"/>
      <c r="D2" s="189"/>
      <c r="E2" s="189"/>
      <c r="F2" s="189"/>
      <c r="G2" s="189"/>
      <c r="H2" s="189"/>
      <c r="I2" s="189"/>
      <c r="J2" s="189"/>
    </row>
    <row r="3" spans="1:18" ht="13.5" thickBot="1" x14ac:dyDescent="0.25">
      <c r="A3" s="3"/>
      <c r="B3" s="4"/>
      <c r="C3" s="4"/>
      <c r="D3" s="4"/>
      <c r="E3" s="4"/>
      <c r="F3" s="4"/>
    </row>
    <row r="4" spans="1:18" ht="12.75" customHeight="1" thickBot="1" x14ac:dyDescent="0.25">
      <c r="A4" s="179" t="s">
        <v>0</v>
      </c>
      <c r="B4" s="181" t="s">
        <v>1</v>
      </c>
      <c r="C4" s="183" t="s">
        <v>2</v>
      </c>
      <c r="D4" s="177" t="s">
        <v>3</v>
      </c>
      <c r="E4" s="178"/>
      <c r="F4" s="178"/>
      <c r="G4" s="158" t="s">
        <v>4</v>
      </c>
      <c r="H4" s="160" t="s">
        <v>5</v>
      </c>
      <c r="I4" s="161"/>
      <c r="J4" s="162"/>
      <c r="L4" s="186" t="s">
        <v>67</v>
      </c>
      <c r="M4" s="187"/>
      <c r="N4" s="188"/>
    </row>
    <row r="5" spans="1:18" ht="54" customHeight="1" thickBot="1" x14ac:dyDescent="0.25">
      <c r="A5" s="180"/>
      <c r="B5" s="182"/>
      <c r="C5" s="184"/>
      <c r="D5" s="68"/>
      <c r="E5" s="69" t="s">
        <v>6</v>
      </c>
      <c r="F5" s="69" t="s">
        <v>7</v>
      </c>
      <c r="G5" s="185"/>
      <c r="H5" s="70" t="s">
        <v>8</v>
      </c>
      <c r="I5" s="71" t="s">
        <v>9</v>
      </c>
      <c r="J5" s="72" t="s">
        <v>10</v>
      </c>
      <c r="L5" s="73" t="s">
        <v>68</v>
      </c>
      <c r="M5" s="74" t="s">
        <v>69</v>
      </c>
      <c r="N5" s="75" t="s">
        <v>70</v>
      </c>
      <c r="P5" s="76" t="s">
        <v>71</v>
      </c>
      <c r="Q5" s="76" t="s">
        <v>72</v>
      </c>
      <c r="R5" s="76" t="s">
        <v>73</v>
      </c>
    </row>
    <row r="6" spans="1:18" x14ac:dyDescent="0.2">
      <c r="A6" s="5">
        <v>3656</v>
      </c>
      <c r="B6" s="6" t="s">
        <v>11</v>
      </c>
      <c r="C6" s="7">
        <f t="shared" ref="C6:C43" si="0">SUM(D6:J6)</f>
        <v>13089512.377845902</v>
      </c>
      <c r="D6" s="77">
        <f t="shared" ref="D6:J21" si="1">D49/$C$87*$C$44</f>
        <v>235173.24115019094</v>
      </c>
      <c r="E6" s="9">
        <f t="shared" si="1"/>
        <v>4307589.8670676639</v>
      </c>
      <c r="F6" s="9">
        <f t="shared" si="1"/>
        <v>0</v>
      </c>
      <c r="G6" s="11">
        <f t="shared" si="1"/>
        <v>5003935.8901566267</v>
      </c>
      <c r="H6" s="8">
        <f t="shared" si="1"/>
        <v>1722928.4146057602</v>
      </c>
      <c r="I6" s="9">
        <f t="shared" si="1"/>
        <v>1219161.3549725183</v>
      </c>
      <c r="J6" s="10">
        <f t="shared" si="1"/>
        <v>600723.6098931412</v>
      </c>
      <c r="L6" s="78">
        <v>5.3941374102444546E-2</v>
      </c>
      <c r="M6" s="79">
        <f t="shared" ref="M6:M43" si="2">MIN(0,C49/$C$87-L6+$M$45)*-1*$N$44</f>
        <v>0</v>
      </c>
      <c r="N6" s="80">
        <f t="shared" ref="N6:N43" si="3">C6+M6</f>
        <v>13089512.377845902</v>
      </c>
      <c r="P6" s="81">
        <f t="shared" ref="P6:P44" si="4">N6-L6*$N$44</f>
        <v>413289.4637714345</v>
      </c>
      <c r="Q6" s="82">
        <f t="shared" ref="Q6:Q44" si="5">N6/D220</f>
        <v>2280.5352885497246</v>
      </c>
      <c r="R6" s="82">
        <f t="shared" ref="R6:R43" si="6">N6/(D220/F220*100)</f>
        <v>734.76227643591847</v>
      </c>
    </row>
    <row r="7" spans="1:18" x14ac:dyDescent="0.2">
      <c r="A7" s="12">
        <v>3658</v>
      </c>
      <c r="B7" s="13" t="s">
        <v>12</v>
      </c>
      <c r="C7" s="14">
        <f t="shared" si="0"/>
        <v>24695741.775389366</v>
      </c>
      <c r="D7" s="15">
        <f t="shared" si="1"/>
        <v>370043.77697446273</v>
      </c>
      <c r="E7" s="16">
        <f t="shared" si="1"/>
        <v>10732503.011515997</v>
      </c>
      <c r="F7" s="16">
        <f t="shared" si="1"/>
        <v>0</v>
      </c>
      <c r="G7" s="18">
        <f t="shared" si="1"/>
        <v>4094928.9653647053</v>
      </c>
      <c r="H7" s="15">
        <f t="shared" si="1"/>
        <v>1213834.822418446</v>
      </c>
      <c r="I7" s="16">
        <f t="shared" si="1"/>
        <v>2677914.241559952</v>
      </c>
      <c r="J7" s="17">
        <f t="shared" si="1"/>
        <v>5606516.9575558035</v>
      </c>
      <c r="L7" s="78">
        <v>9.7535367886092073E-2</v>
      </c>
      <c r="M7" s="83">
        <f t="shared" si="2"/>
        <v>0</v>
      </c>
      <c r="N7" s="84">
        <f t="shared" si="3"/>
        <v>24695741.775389366</v>
      </c>
      <c r="P7" s="81">
        <f t="shared" si="4"/>
        <v>1774930.3221577294</v>
      </c>
      <c r="Q7" s="85">
        <f t="shared" si="5"/>
        <v>2734.4513665818295</v>
      </c>
      <c r="R7" s="85">
        <f t="shared" si="6"/>
        <v>707.62113607740378</v>
      </c>
    </row>
    <row r="8" spans="1:18" x14ac:dyDescent="0.2">
      <c r="A8" s="12">
        <v>9741</v>
      </c>
      <c r="B8" s="86" t="s">
        <v>13</v>
      </c>
      <c r="C8" s="87">
        <f t="shared" si="0"/>
        <v>6650055.5004660236</v>
      </c>
      <c r="D8" s="58">
        <f t="shared" si="1"/>
        <v>103922.01590753255</v>
      </c>
      <c r="E8" s="59">
        <f t="shared" si="1"/>
        <v>2542452.1191777834</v>
      </c>
      <c r="F8" s="59">
        <f t="shared" si="1"/>
        <v>0</v>
      </c>
      <c r="G8" s="65">
        <f t="shared" si="1"/>
        <v>2039720.5238152773</v>
      </c>
      <c r="H8" s="58">
        <f t="shared" si="1"/>
        <v>633775.42727995</v>
      </c>
      <c r="I8" s="59">
        <f t="shared" si="1"/>
        <v>961097.68161559512</v>
      </c>
      <c r="J8" s="57">
        <f t="shared" si="1"/>
        <v>369087.73266988562</v>
      </c>
      <c r="L8" s="88">
        <v>3.0845130992374833E-2</v>
      </c>
      <c r="M8" s="89">
        <f t="shared" si="2"/>
        <v>0</v>
      </c>
      <c r="N8" s="90">
        <f t="shared" si="3"/>
        <v>6650055.5004660236</v>
      </c>
      <c r="O8" s="91"/>
      <c r="P8" s="92">
        <f t="shared" si="4"/>
        <v>-598550.28274206258</v>
      </c>
      <c r="Q8" s="93">
        <f t="shared" si="5"/>
        <v>2621.9170063606348</v>
      </c>
      <c r="R8" s="93">
        <f t="shared" si="6"/>
        <v>638.94238041355527</v>
      </c>
    </row>
    <row r="9" spans="1:18" x14ac:dyDescent="0.2">
      <c r="A9" s="12">
        <v>3661</v>
      </c>
      <c r="B9" s="86" t="s">
        <v>14</v>
      </c>
      <c r="C9" s="87">
        <f t="shared" si="0"/>
        <v>8335422.2545966078</v>
      </c>
      <c r="D9" s="58">
        <f t="shared" si="1"/>
        <v>126511.97704711181</v>
      </c>
      <c r="E9" s="59">
        <f t="shared" si="1"/>
        <v>1813970.8975605052</v>
      </c>
      <c r="F9" s="59">
        <f t="shared" si="1"/>
        <v>0</v>
      </c>
      <c r="G9" s="65">
        <f t="shared" si="1"/>
        <v>3600462.8510374189</v>
      </c>
      <c r="H9" s="58">
        <f t="shared" si="1"/>
        <v>548182.14646873879</v>
      </c>
      <c r="I9" s="59">
        <f t="shared" si="1"/>
        <v>1341603.3148372879</v>
      </c>
      <c r="J9" s="57">
        <f t="shared" si="1"/>
        <v>904691.06764554547</v>
      </c>
      <c r="L9" s="88">
        <v>3.8067899960727944E-2</v>
      </c>
      <c r="M9" s="89">
        <f t="shared" si="2"/>
        <v>0</v>
      </c>
      <c r="N9" s="90">
        <f t="shared" si="3"/>
        <v>8335422.2545966078</v>
      </c>
      <c r="O9" s="91"/>
      <c r="P9" s="92">
        <f t="shared" si="4"/>
        <v>-610534.23617445864</v>
      </c>
      <c r="Q9" s="93">
        <f t="shared" si="5"/>
        <v>2699.586177673521</v>
      </c>
      <c r="R9" s="93">
        <f t="shared" si="6"/>
        <v>590.47604284498357</v>
      </c>
    </row>
    <row r="10" spans="1:18" x14ac:dyDescent="0.2">
      <c r="A10" s="12">
        <v>3599</v>
      </c>
      <c r="B10" s="86" t="s">
        <v>15</v>
      </c>
      <c r="C10" s="87">
        <f t="shared" si="0"/>
        <v>7921725.1759937191</v>
      </c>
      <c r="D10" s="58">
        <f t="shared" si="1"/>
        <v>108401.76636326531</v>
      </c>
      <c r="E10" s="59">
        <f t="shared" si="1"/>
        <v>1701004.3838502381</v>
      </c>
      <c r="F10" s="59">
        <f t="shared" si="1"/>
        <v>0</v>
      </c>
      <c r="G10" s="65">
        <f t="shared" si="1"/>
        <v>3447017.7401527921</v>
      </c>
      <c r="H10" s="58">
        <f t="shared" si="1"/>
        <v>477462.18348159146</v>
      </c>
      <c r="I10" s="59">
        <f t="shared" si="1"/>
        <v>928045.86422878643</v>
      </c>
      <c r="J10" s="57">
        <f t="shared" si="1"/>
        <v>1259793.2379170461</v>
      </c>
      <c r="L10" s="88">
        <v>3.6041180893975448E-2</v>
      </c>
      <c r="M10" s="89">
        <f t="shared" si="2"/>
        <v>0</v>
      </c>
      <c r="N10" s="90">
        <f t="shared" si="3"/>
        <v>7921725.1759937191</v>
      </c>
      <c r="O10" s="91"/>
      <c r="P10" s="92">
        <f t="shared" si="4"/>
        <v>-547952.33409051131</v>
      </c>
      <c r="Q10" s="93">
        <f t="shared" si="5"/>
        <v>2994.2264744842082</v>
      </c>
      <c r="R10" s="93">
        <f t="shared" si="6"/>
        <v>602.08900484356082</v>
      </c>
    </row>
    <row r="11" spans="1:18" x14ac:dyDescent="0.2">
      <c r="A11" s="12">
        <v>30646</v>
      </c>
      <c r="B11" s="86" t="s">
        <v>16</v>
      </c>
      <c r="C11" s="87">
        <f t="shared" si="0"/>
        <v>2818665.3925192445</v>
      </c>
      <c r="D11" s="58">
        <f t="shared" si="1"/>
        <v>88393.124846044244</v>
      </c>
      <c r="E11" s="59">
        <f t="shared" si="1"/>
        <v>806479.97118099686</v>
      </c>
      <c r="F11" s="59">
        <f t="shared" si="1"/>
        <v>24070.803306464837</v>
      </c>
      <c r="G11" s="65">
        <f t="shared" si="1"/>
        <v>1315994.9852504006</v>
      </c>
      <c r="H11" s="58">
        <f t="shared" si="1"/>
        <v>412355.56633988995</v>
      </c>
      <c r="I11" s="59">
        <f t="shared" si="1"/>
        <v>171370.94159544806</v>
      </c>
      <c r="J11" s="57">
        <f t="shared" si="1"/>
        <v>0</v>
      </c>
      <c r="L11" s="88">
        <v>1.3127311227878089E-2</v>
      </c>
      <c r="M11" s="89">
        <f t="shared" si="2"/>
        <v>0</v>
      </c>
      <c r="N11" s="90">
        <f t="shared" si="3"/>
        <v>2818665.3925192445</v>
      </c>
      <c r="O11" s="91"/>
      <c r="P11" s="92">
        <f t="shared" si="4"/>
        <v>-266252.74603210622</v>
      </c>
      <c r="Q11" s="93">
        <f t="shared" si="5"/>
        <v>2613.1014145728468</v>
      </c>
      <c r="R11" s="93">
        <f t="shared" si="6"/>
        <v>614.0526460015202</v>
      </c>
    </row>
    <row r="12" spans="1:18" x14ac:dyDescent="0.2">
      <c r="A12" s="12">
        <v>9930</v>
      </c>
      <c r="B12" s="86" t="s">
        <v>17</v>
      </c>
      <c r="C12" s="87">
        <f t="shared" si="0"/>
        <v>1376085.6476592594</v>
      </c>
      <c r="D12" s="58">
        <f t="shared" si="1"/>
        <v>22617.276691138639</v>
      </c>
      <c r="E12" s="59">
        <f t="shared" si="1"/>
        <v>331682.36267554812</v>
      </c>
      <c r="F12" s="59">
        <f t="shared" si="1"/>
        <v>0</v>
      </c>
      <c r="G12" s="65">
        <f t="shared" si="1"/>
        <v>590835.38022865786</v>
      </c>
      <c r="H12" s="58">
        <f t="shared" si="1"/>
        <v>151130.11788997258</v>
      </c>
      <c r="I12" s="59">
        <f t="shared" si="1"/>
        <v>208690.8139134048</v>
      </c>
      <c r="J12" s="57">
        <f t="shared" si="1"/>
        <v>71129.696260537457</v>
      </c>
      <c r="L12" s="88">
        <v>6.658597974462911E-3</v>
      </c>
      <c r="M12" s="89">
        <f t="shared" si="2"/>
        <v>0</v>
      </c>
      <c r="N12" s="90">
        <f t="shared" si="3"/>
        <v>1376085.6476592594</v>
      </c>
      <c r="O12" s="91"/>
      <c r="P12" s="92">
        <f t="shared" si="4"/>
        <v>-188684.87633952475</v>
      </c>
      <c r="Q12" s="93">
        <f t="shared" si="5"/>
        <v>2492.9087819914121</v>
      </c>
      <c r="R12" s="93">
        <f t="shared" si="6"/>
        <v>545.47408141668791</v>
      </c>
    </row>
    <row r="13" spans="1:18" x14ac:dyDescent="0.2">
      <c r="A13" s="12">
        <v>10115</v>
      </c>
      <c r="B13" s="86" t="s">
        <v>18</v>
      </c>
      <c r="C13" s="87">
        <f t="shared" si="0"/>
        <v>11602280.251676776</v>
      </c>
      <c r="D13" s="58">
        <f t="shared" si="1"/>
        <v>175529.73432035855</v>
      </c>
      <c r="E13" s="59">
        <f t="shared" si="1"/>
        <v>2697014.3678323091</v>
      </c>
      <c r="F13" s="59">
        <f t="shared" si="1"/>
        <v>0</v>
      </c>
      <c r="G13" s="65">
        <f t="shared" si="1"/>
        <v>4737199.5291796122</v>
      </c>
      <c r="H13" s="58">
        <f t="shared" si="1"/>
        <v>835405.17111526395</v>
      </c>
      <c r="I13" s="59">
        <f t="shared" si="1"/>
        <v>1842707.108193493</v>
      </c>
      <c r="J13" s="57">
        <f t="shared" si="1"/>
        <v>1314424.3410357381</v>
      </c>
      <c r="L13" s="88">
        <v>5.1993931386758195E-2</v>
      </c>
      <c r="M13" s="89">
        <f t="shared" si="2"/>
        <v>0</v>
      </c>
      <c r="N13" s="90">
        <f t="shared" si="3"/>
        <v>11602280.251676776</v>
      </c>
      <c r="O13" s="91"/>
      <c r="P13" s="92">
        <f t="shared" si="4"/>
        <v>-616293.62421140075</v>
      </c>
      <c r="Q13" s="93">
        <f t="shared" si="5"/>
        <v>2708.2820382065302</v>
      </c>
      <c r="R13" s="93">
        <f t="shared" si="6"/>
        <v>573.83687477037836</v>
      </c>
    </row>
    <row r="14" spans="1:18" x14ac:dyDescent="0.2">
      <c r="A14" s="12">
        <v>11163</v>
      </c>
      <c r="B14" s="86" t="s">
        <v>19</v>
      </c>
      <c r="C14" s="87">
        <f t="shared" si="0"/>
        <v>3079291.551150383</v>
      </c>
      <c r="D14" s="58">
        <f t="shared" si="1"/>
        <v>49208.966134162147</v>
      </c>
      <c r="E14" s="59">
        <f t="shared" si="1"/>
        <v>938086.92440424406</v>
      </c>
      <c r="F14" s="59">
        <f t="shared" si="1"/>
        <v>0</v>
      </c>
      <c r="G14" s="65">
        <f t="shared" si="1"/>
        <v>1329379.60551448</v>
      </c>
      <c r="H14" s="58">
        <f t="shared" si="1"/>
        <v>270608.34041055274</v>
      </c>
      <c r="I14" s="59">
        <f t="shared" si="1"/>
        <v>366028.39089523884</v>
      </c>
      <c r="J14" s="57">
        <f t="shared" si="1"/>
        <v>125979.32379170459</v>
      </c>
      <c r="L14" s="88">
        <v>1.2069401585431769E-2</v>
      </c>
      <c r="M14" s="89">
        <f t="shared" si="2"/>
        <v>0</v>
      </c>
      <c r="N14" s="90">
        <f t="shared" si="3"/>
        <v>3079291.551150383</v>
      </c>
      <c r="O14" s="91"/>
      <c r="P14" s="92">
        <f t="shared" si="4"/>
        <v>242982.17857391713</v>
      </c>
      <c r="Q14" s="93">
        <f t="shared" si="5"/>
        <v>2563.9396762284623</v>
      </c>
      <c r="R14" s="93">
        <f t="shared" si="6"/>
        <v>730.20135113990955</v>
      </c>
    </row>
    <row r="15" spans="1:18" x14ac:dyDescent="0.2">
      <c r="A15" s="12">
        <v>3632</v>
      </c>
      <c r="B15" s="86" t="s">
        <v>20</v>
      </c>
      <c r="C15" s="87">
        <f t="shared" si="0"/>
        <v>25461991.117525689</v>
      </c>
      <c r="D15" s="58">
        <f t="shared" si="1"/>
        <v>369156.02154878399</v>
      </c>
      <c r="E15" s="59">
        <f t="shared" si="1"/>
        <v>10913482.51705388</v>
      </c>
      <c r="F15" s="59">
        <f t="shared" si="1"/>
        <v>0</v>
      </c>
      <c r="G15" s="65">
        <f t="shared" si="1"/>
        <v>5641139.4191572741</v>
      </c>
      <c r="H15" s="58">
        <f t="shared" si="1"/>
        <v>1249850.3771494438</v>
      </c>
      <c r="I15" s="59">
        <f t="shared" si="1"/>
        <v>2803804.7898090882</v>
      </c>
      <c r="J15" s="57">
        <f t="shared" si="1"/>
        <v>4484557.9928072188</v>
      </c>
      <c r="L15" s="88">
        <v>0.10514316433214833</v>
      </c>
      <c r="M15" s="89">
        <f t="shared" si="2"/>
        <v>0</v>
      </c>
      <c r="N15" s="90">
        <f t="shared" si="3"/>
        <v>25461991.117525689</v>
      </c>
      <c r="O15" s="91"/>
      <c r="P15" s="92">
        <f t="shared" si="4"/>
        <v>753347.49947082996</v>
      </c>
      <c r="Q15" s="93">
        <f t="shared" si="5"/>
        <v>2826.0747105914784</v>
      </c>
      <c r="R15" s="93">
        <f t="shared" si="6"/>
        <v>713.8573570021058</v>
      </c>
    </row>
    <row r="16" spans="1:18" x14ac:dyDescent="0.2">
      <c r="A16" s="12">
        <v>10298</v>
      </c>
      <c r="B16" s="86" t="s">
        <v>21</v>
      </c>
      <c r="C16" s="87">
        <f t="shared" si="0"/>
        <v>1287577.4756158323</v>
      </c>
      <c r="D16" s="58">
        <f t="shared" si="1"/>
        <v>0</v>
      </c>
      <c r="E16" s="59">
        <f t="shared" si="1"/>
        <v>391022.59859419294</v>
      </c>
      <c r="F16" s="59">
        <f t="shared" si="1"/>
        <v>25041.961188864738</v>
      </c>
      <c r="G16" s="65">
        <f t="shared" si="1"/>
        <v>371423.2123282096</v>
      </c>
      <c r="H16" s="58">
        <f t="shared" si="1"/>
        <v>163452.84608718261</v>
      </c>
      <c r="I16" s="59">
        <f t="shared" si="1"/>
        <v>103252.78489432855</v>
      </c>
      <c r="J16" s="57">
        <f t="shared" si="1"/>
        <v>233384.07252305376</v>
      </c>
      <c r="L16" s="88">
        <v>7.0859752523080169E-3</v>
      </c>
      <c r="M16" s="89">
        <f t="shared" si="2"/>
        <v>0</v>
      </c>
      <c r="N16" s="90">
        <f t="shared" si="3"/>
        <v>1287577.4756158323</v>
      </c>
      <c r="O16" s="91"/>
      <c r="P16" s="92">
        <f t="shared" si="4"/>
        <v>-377626.7086765517</v>
      </c>
      <c r="Q16" s="93">
        <f t="shared" si="5"/>
        <v>4424.6648646592175</v>
      </c>
      <c r="R16" s="93">
        <f t="shared" si="6"/>
        <v>721.13440953255815</v>
      </c>
    </row>
    <row r="17" spans="1:18" x14ac:dyDescent="0.2">
      <c r="A17" s="12">
        <v>3630</v>
      </c>
      <c r="B17" s="86" t="s">
        <v>22</v>
      </c>
      <c r="C17" s="87">
        <f t="shared" si="0"/>
        <v>2988200.9063256467</v>
      </c>
      <c r="D17" s="58">
        <f t="shared" si="1"/>
        <v>40126.545240679538</v>
      </c>
      <c r="E17" s="59">
        <f t="shared" si="1"/>
        <v>330602.60623795871</v>
      </c>
      <c r="F17" s="59">
        <f t="shared" si="1"/>
        <v>0</v>
      </c>
      <c r="G17" s="65">
        <f t="shared" si="1"/>
        <v>1210352.0895946291</v>
      </c>
      <c r="H17" s="58">
        <f t="shared" si="1"/>
        <v>207284.06300809848</v>
      </c>
      <c r="I17" s="59">
        <f t="shared" si="1"/>
        <v>487992.32860771951</v>
      </c>
      <c r="J17" s="57">
        <f t="shared" si="1"/>
        <v>711843.27363656135</v>
      </c>
      <c r="L17" s="88">
        <v>1.5279410782616385E-2</v>
      </c>
      <c r="M17" s="89">
        <f t="shared" si="2"/>
        <v>0</v>
      </c>
      <c r="N17" s="90">
        <f t="shared" si="3"/>
        <v>2988200.9063256467</v>
      </c>
      <c r="O17" s="91"/>
      <c r="P17" s="92">
        <f t="shared" si="4"/>
        <v>-602460.62758920388</v>
      </c>
      <c r="Q17" s="93">
        <f t="shared" si="5"/>
        <v>3051.2602855605651</v>
      </c>
      <c r="R17" s="93">
        <f t="shared" si="6"/>
        <v>506.56631249587167</v>
      </c>
    </row>
    <row r="18" spans="1:18" x14ac:dyDescent="0.2">
      <c r="A18" s="12">
        <v>3631</v>
      </c>
      <c r="B18" s="86" t="s">
        <v>23</v>
      </c>
      <c r="C18" s="87">
        <f t="shared" si="0"/>
        <v>4395584.4124905374</v>
      </c>
      <c r="D18" s="58">
        <f t="shared" si="1"/>
        <v>69381.5009607393</v>
      </c>
      <c r="E18" s="59">
        <f t="shared" si="1"/>
        <v>1202034.504144808</v>
      </c>
      <c r="F18" s="59">
        <f t="shared" si="1"/>
        <v>0</v>
      </c>
      <c r="G18" s="65">
        <f t="shared" si="1"/>
        <v>1871456.7262097052</v>
      </c>
      <c r="H18" s="58">
        <f t="shared" si="1"/>
        <v>560105.38472439337</v>
      </c>
      <c r="I18" s="59">
        <f t="shared" si="1"/>
        <v>416391.4390827833</v>
      </c>
      <c r="J18" s="57">
        <f t="shared" si="1"/>
        <v>276214.85736810853</v>
      </c>
      <c r="L18" s="88">
        <v>1.9985241623354359E-2</v>
      </c>
      <c r="M18" s="89">
        <f t="shared" si="2"/>
        <v>0</v>
      </c>
      <c r="N18" s="90">
        <f t="shared" si="3"/>
        <v>4395584.4124905374</v>
      </c>
      <c r="O18" s="91"/>
      <c r="P18" s="92">
        <f t="shared" si="4"/>
        <v>-300947.36899773683</v>
      </c>
      <c r="Q18" s="93">
        <f t="shared" si="5"/>
        <v>2595.8175664314199</v>
      </c>
      <c r="R18" s="93">
        <f t="shared" si="6"/>
        <v>609.48954372419144</v>
      </c>
    </row>
    <row r="19" spans="1:18" x14ac:dyDescent="0.2">
      <c r="A19" s="19">
        <v>103631</v>
      </c>
      <c r="B19" s="86" t="s">
        <v>24</v>
      </c>
      <c r="C19" s="87">
        <f t="shared" si="0"/>
        <v>1114160.1838287222</v>
      </c>
      <c r="D19" s="58">
        <f t="shared" si="1"/>
        <v>38542.243250237458</v>
      </c>
      <c r="E19" s="59">
        <f t="shared" si="1"/>
        <v>172489.3859592294</v>
      </c>
      <c r="F19" s="59">
        <f t="shared" si="1"/>
        <v>311378.10341335955</v>
      </c>
      <c r="G19" s="65">
        <f t="shared" si="1"/>
        <v>477544.13013626955</v>
      </c>
      <c r="H19" s="58">
        <f t="shared" si="1"/>
        <v>102392.34502020913</v>
      </c>
      <c r="I19" s="59">
        <f t="shared" si="1"/>
        <v>11813.976049417221</v>
      </c>
      <c r="J19" s="57">
        <f t="shared" si="1"/>
        <v>0</v>
      </c>
      <c r="L19" s="88">
        <v>3.4527219750504121E-3</v>
      </c>
      <c r="M19" s="89">
        <f t="shared" si="2"/>
        <v>0</v>
      </c>
      <c r="N19" s="90">
        <f t="shared" si="3"/>
        <v>1114160.1838287222</v>
      </c>
      <c r="O19" s="91"/>
      <c r="P19" s="92">
        <f t="shared" si="4"/>
        <v>302770.51969187532</v>
      </c>
      <c r="Q19" s="93">
        <f t="shared" si="5"/>
        <v>2368.8735304650368</v>
      </c>
      <c r="R19" s="93">
        <f t="shared" si="6"/>
        <v>1440.1863749832678</v>
      </c>
    </row>
    <row r="20" spans="1:18" x14ac:dyDescent="0.2">
      <c r="A20" s="12">
        <v>11161</v>
      </c>
      <c r="B20" s="86" t="s">
        <v>25</v>
      </c>
      <c r="C20" s="87">
        <f t="shared" si="0"/>
        <v>3999981.8381293486</v>
      </c>
      <c r="D20" s="58">
        <f t="shared" si="1"/>
        <v>58646.489197916249</v>
      </c>
      <c r="E20" s="59">
        <f t="shared" si="1"/>
        <v>1041366.1598576665</v>
      </c>
      <c r="F20" s="59">
        <f t="shared" si="1"/>
        <v>0</v>
      </c>
      <c r="G20" s="65">
        <f t="shared" si="1"/>
        <v>1601852.2323189583</v>
      </c>
      <c r="H20" s="58">
        <f t="shared" si="1"/>
        <v>251084.5499335101</v>
      </c>
      <c r="I20" s="59">
        <f t="shared" si="1"/>
        <v>605176.04479731456</v>
      </c>
      <c r="J20" s="57">
        <f t="shared" si="1"/>
        <v>441856.36202398373</v>
      </c>
      <c r="L20" s="88">
        <v>1.9224284187157891E-2</v>
      </c>
      <c r="M20" s="89">
        <f t="shared" si="2"/>
        <v>0</v>
      </c>
      <c r="N20" s="90">
        <f t="shared" si="3"/>
        <v>3999981.8381293486</v>
      </c>
      <c r="O20" s="91"/>
      <c r="P20" s="92">
        <f t="shared" si="4"/>
        <v>-517724.94585275603</v>
      </c>
      <c r="Q20" s="93">
        <f t="shared" si="5"/>
        <v>2794.584423471832</v>
      </c>
      <c r="R20" s="93">
        <f t="shared" si="6"/>
        <v>566.25418861956246</v>
      </c>
    </row>
    <row r="21" spans="1:18" x14ac:dyDescent="0.2">
      <c r="A21" s="12">
        <v>3639</v>
      </c>
      <c r="B21" s="86" t="s">
        <v>26</v>
      </c>
      <c r="C21" s="87">
        <f t="shared" si="0"/>
        <v>2412810.7359662754</v>
      </c>
      <c r="D21" s="58">
        <f t="shared" si="1"/>
        <v>35387.297045132982</v>
      </c>
      <c r="E21" s="59">
        <f t="shared" si="1"/>
        <v>499137.82482160063</v>
      </c>
      <c r="F21" s="59">
        <f t="shared" si="1"/>
        <v>0</v>
      </c>
      <c r="G21" s="65">
        <f t="shared" si="1"/>
        <v>1062165.222385176</v>
      </c>
      <c r="H21" s="58">
        <f t="shared" si="1"/>
        <v>160492.52318693852</v>
      </c>
      <c r="I21" s="59">
        <f t="shared" si="1"/>
        <v>375042.52290982311</v>
      </c>
      <c r="J21" s="57">
        <f t="shared" si="1"/>
        <v>280585.34561760392</v>
      </c>
      <c r="L21" s="88">
        <v>1.296528221607569E-2</v>
      </c>
      <c r="M21" s="89">
        <f t="shared" si="2"/>
        <v>0</v>
      </c>
      <c r="N21" s="90">
        <f t="shared" si="3"/>
        <v>2412810.7359662754</v>
      </c>
      <c r="O21" s="91"/>
      <c r="P21" s="92">
        <f t="shared" si="4"/>
        <v>-634030.58481151192</v>
      </c>
      <c r="Q21" s="93">
        <f t="shared" si="5"/>
        <v>2793.6828282125921</v>
      </c>
      <c r="R21" s="93">
        <f t="shared" si="6"/>
        <v>487.37743626353898</v>
      </c>
    </row>
    <row r="22" spans="1:18" x14ac:dyDescent="0.2">
      <c r="A22" s="19">
        <v>103639</v>
      </c>
      <c r="B22" s="86" t="s">
        <v>27</v>
      </c>
      <c r="C22" s="87">
        <f t="shared" si="0"/>
        <v>1528322.1142673616</v>
      </c>
      <c r="D22" s="58">
        <f t="shared" ref="D22:J37" si="7">D65/$C$87*$C$44</f>
        <v>56379.298418490514</v>
      </c>
      <c r="E22" s="59">
        <f t="shared" si="7"/>
        <v>207851.68016950172</v>
      </c>
      <c r="F22" s="59">
        <f t="shared" si="7"/>
        <v>111135.84879881638</v>
      </c>
      <c r="G22" s="65">
        <f t="shared" si="7"/>
        <v>834148.65574353386</v>
      </c>
      <c r="H22" s="58">
        <f t="shared" si="7"/>
        <v>298900.42293814558</v>
      </c>
      <c r="I22" s="59">
        <f t="shared" si="7"/>
        <v>19906.208198873534</v>
      </c>
      <c r="J22" s="57">
        <f t="shared" si="7"/>
        <v>0</v>
      </c>
      <c r="L22" s="88">
        <v>5.939285915308113E-3</v>
      </c>
      <c r="M22" s="89">
        <f t="shared" si="2"/>
        <v>0</v>
      </c>
      <c r="N22" s="90">
        <f t="shared" si="3"/>
        <v>1528322.1142673616</v>
      </c>
      <c r="O22" s="91"/>
      <c r="P22" s="92">
        <f t="shared" si="4"/>
        <v>132589.92416995508</v>
      </c>
      <c r="Q22" s="93">
        <f t="shared" si="5"/>
        <v>2221.398421900235</v>
      </c>
      <c r="R22" s="93">
        <f t="shared" si="6"/>
        <v>803.37466728224661</v>
      </c>
    </row>
    <row r="23" spans="1:18" x14ac:dyDescent="0.2">
      <c r="A23" s="12">
        <v>9651</v>
      </c>
      <c r="B23" s="86" t="s">
        <v>28</v>
      </c>
      <c r="C23" s="87">
        <f t="shared" si="0"/>
        <v>2489222.4404318435</v>
      </c>
      <c r="D23" s="58">
        <f t="shared" si="7"/>
        <v>32874.266301673131</v>
      </c>
      <c r="E23" s="59">
        <f t="shared" si="7"/>
        <v>564944.26639425254</v>
      </c>
      <c r="F23" s="59">
        <f t="shared" si="7"/>
        <v>0</v>
      </c>
      <c r="G23" s="65">
        <f t="shared" si="7"/>
        <v>1045912.4692073653</v>
      </c>
      <c r="H23" s="58">
        <f t="shared" si="7"/>
        <v>256595.46246060816</v>
      </c>
      <c r="I23" s="59">
        <f t="shared" si="7"/>
        <v>420522.9162561344</v>
      </c>
      <c r="J23" s="57">
        <f t="shared" si="7"/>
        <v>168373.05981180986</v>
      </c>
      <c r="L23" s="88">
        <v>1.0886031395541047E-2</v>
      </c>
      <c r="M23" s="89">
        <f t="shared" si="2"/>
        <v>0</v>
      </c>
      <c r="N23" s="90">
        <f t="shared" si="3"/>
        <v>2489222.4404318435</v>
      </c>
      <c r="O23" s="91"/>
      <c r="P23" s="92">
        <f t="shared" si="4"/>
        <v>-68994.937520302366</v>
      </c>
      <c r="Q23" s="93">
        <f t="shared" si="5"/>
        <v>3102.4791530101911</v>
      </c>
      <c r="R23" s="93">
        <f t="shared" si="6"/>
        <v>563.89260201279137</v>
      </c>
    </row>
    <row r="24" spans="1:18" x14ac:dyDescent="0.2">
      <c r="A24" s="12">
        <v>3665</v>
      </c>
      <c r="B24" s="86" t="s">
        <v>29</v>
      </c>
      <c r="C24" s="87">
        <f t="shared" si="0"/>
        <v>3325336.6549767088</v>
      </c>
      <c r="D24" s="58">
        <f t="shared" si="7"/>
        <v>53565.796607877848</v>
      </c>
      <c r="E24" s="59">
        <f t="shared" si="7"/>
        <v>886781.76284341794</v>
      </c>
      <c r="F24" s="59">
        <f t="shared" si="7"/>
        <v>0</v>
      </c>
      <c r="G24" s="65">
        <f t="shared" si="7"/>
        <v>1326033.4504484602</v>
      </c>
      <c r="H24" s="58">
        <f t="shared" si="7"/>
        <v>215150.94185719019</v>
      </c>
      <c r="I24" s="59">
        <f t="shared" si="7"/>
        <v>504381.65954332717</v>
      </c>
      <c r="J24" s="57">
        <f t="shared" si="7"/>
        <v>339423.0436764356</v>
      </c>
      <c r="L24" s="88">
        <v>1.5183466872892367E-2</v>
      </c>
      <c r="M24" s="89">
        <f t="shared" si="2"/>
        <v>0</v>
      </c>
      <c r="N24" s="90">
        <f t="shared" si="3"/>
        <v>3325336.6549767088</v>
      </c>
      <c r="O24" s="91"/>
      <c r="P24" s="92">
        <f t="shared" si="4"/>
        <v>-242778.06015299773</v>
      </c>
      <c r="Q24" s="93">
        <f t="shared" si="5"/>
        <v>2543.6027447552592</v>
      </c>
      <c r="R24" s="93">
        <f t="shared" si="6"/>
        <v>587.48763102622536</v>
      </c>
    </row>
    <row r="25" spans="1:18" x14ac:dyDescent="0.2">
      <c r="A25" s="12">
        <v>3565</v>
      </c>
      <c r="B25" s="86" t="s">
        <v>30</v>
      </c>
      <c r="C25" s="87">
        <f t="shared" si="0"/>
        <v>3624279.963330803</v>
      </c>
      <c r="D25" s="58">
        <f t="shared" si="7"/>
        <v>59247.431332221866</v>
      </c>
      <c r="E25" s="59">
        <f t="shared" si="7"/>
        <v>957339.74460981833</v>
      </c>
      <c r="F25" s="59">
        <f t="shared" si="7"/>
        <v>0</v>
      </c>
      <c r="G25" s="65">
        <f t="shared" si="7"/>
        <v>1590857.7228163215</v>
      </c>
      <c r="H25" s="58">
        <f t="shared" si="7"/>
        <v>361261.82714813284</v>
      </c>
      <c r="I25" s="59">
        <f t="shared" si="7"/>
        <v>500967.21559840901</v>
      </c>
      <c r="J25" s="57">
        <f t="shared" si="7"/>
        <v>154606.0218258994</v>
      </c>
      <c r="L25" s="88">
        <v>1.411122580581306E-2</v>
      </c>
      <c r="M25" s="89">
        <f t="shared" si="2"/>
        <v>0</v>
      </c>
      <c r="N25" s="90">
        <f t="shared" si="3"/>
        <v>3624279.963330803</v>
      </c>
      <c r="O25" s="91"/>
      <c r="P25" s="92">
        <f t="shared" si="4"/>
        <v>308141.89896473382</v>
      </c>
      <c r="Q25" s="93">
        <f t="shared" si="5"/>
        <v>2506.4176786520075</v>
      </c>
      <c r="R25" s="93">
        <f t="shared" si="6"/>
        <v>693.88409078290408</v>
      </c>
    </row>
    <row r="26" spans="1:18" x14ac:dyDescent="0.2">
      <c r="A26" s="12">
        <v>29269</v>
      </c>
      <c r="B26" s="86" t="s">
        <v>31</v>
      </c>
      <c r="C26" s="87">
        <f t="shared" si="0"/>
        <v>892011.97515132907</v>
      </c>
      <c r="D26" s="58">
        <f t="shared" si="7"/>
        <v>14272.375689758381</v>
      </c>
      <c r="E26" s="59">
        <f t="shared" si="7"/>
        <v>257281.58003819225</v>
      </c>
      <c r="F26" s="59">
        <f t="shared" si="7"/>
        <v>135477.23037507691</v>
      </c>
      <c r="G26" s="65">
        <f t="shared" si="7"/>
        <v>359950.68067328428</v>
      </c>
      <c r="H26" s="58">
        <f t="shared" si="7"/>
        <v>81188.648122266677</v>
      </c>
      <c r="I26" s="59">
        <f t="shared" si="7"/>
        <v>43841.460252750621</v>
      </c>
      <c r="J26" s="57">
        <f t="shared" si="7"/>
        <v>0</v>
      </c>
      <c r="L26" s="88">
        <v>2.885126155730112E-3</v>
      </c>
      <c r="M26" s="89">
        <f t="shared" si="2"/>
        <v>0</v>
      </c>
      <c r="N26" s="90">
        <f t="shared" si="3"/>
        <v>892011.97515132907</v>
      </c>
      <c r="O26" s="91"/>
      <c r="P26" s="92">
        <f t="shared" si="4"/>
        <v>214007.32855475275</v>
      </c>
      <c r="Q26" s="93">
        <f t="shared" si="5"/>
        <v>2560.7999286641029</v>
      </c>
      <c r="R26" s="93">
        <f t="shared" si="6"/>
        <v>846.7217685533742</v>
      </c>
    </row>
    <row r="27" spans="1:18" x14ac:dyDescent="0.2">
      <c r="A27" s="12">
        <v>3652</v>
      </c>
      <c r="B27" s="86" t="s">
        <v>32</v>
      </c>
      <c r="C27" s="87">
        <f t="shared" si="0"/>
        <v>14747427.275814859</v>
      </c>
      <c r="D27" s="58">
        <f t="shared" si="7"/>
        <v>222280.30081417953</v>
      </c>
      <c r="E27" s="59">
        <f t="shared" si="7"/>
        <v>4221843.8467973173</v>
      </c>
      <c r="F27" s="59">
        <f t="shared" si="7"/>
        <v>0</v>
      </c>
      <c r="G27" s="65">
        <f t="shared" si="7"/>
        <v>5287881.0486160303</v>
      </c>
      <c r="H27" s="58">
        <f t="shared" si="7"/>
        <v>967093.445182872</v>
      </c>
      <c r="I27" s="59">
        <f t="shared" si="7"/>
        <v>2451843.9079669132</v>
      </c>
      <c r="J27" s="57">
        <f t="shared" si="7"/>
        <v>1596484.7264375465</v>
      </c>
      <c r="L27" s="88">
        <v>6.680079885949769E-2</v>
      </c>
      <c r="M27" s="89">
        <f t="shared" si="2"/>
        <v>0</v>
      </c>
      <c r="N27" s="90">
        <f t="shared" si="3"/>
        <v>14747427.275814859</v>
      </c>
      <c r="O27" s="91"/>
      <c r="P27" s="92">
        <f t="shared" si="4"/>
        <v>-950760.45616709813</v>
      </c>
      <c r="Q27" s="93">
        <f t="shared" si="5"/>
        <v>2718.419774343753</v>
      </c>
      <c r="R27" s="93">
        <f t="shared" si="6"/>
        <v>590.64787010303655</v>
      </c>
    </row>
    <row r="28" spans="1:18" x14ac:dyDescent="0.2">
      <c r="A28" s="12">
        <v>11711</v>
      </c>
      <c r="B28" s="86" t="s">
        <v>33</v>
      </c>
      <c r="C28" s="87">
        <f t="shared" si="0"/>
        <v>2885484.8182710907</v>
      </c>
      <c r="D28" s="58">
        <f t="shared" si="7"/>
        <v>99729.078743172897</v>
      </c>
      <c r="E28" s="59">
        <f t="shared" si="7"/>
        <v>914303.30643564439</v>
      </c>
      <c r="F28" s="59">
        <f t="shared" si="7"/>
        <v>40859.772015350209</v>
      </c>
      <c r="G28" s="65">
        <f t="shared" si="7"/>
        <v>1158247.6749951763</v>
      </c>
      <c r="H28" s="58">
        <f t="shared" si="7"/>
        <v>262065.40166036726</v>
      </c>
      <c r="I28" s="59">
        <f t="shared" si="7"/>
        <v>410279.58442137967</v>
      </c>
      <c r="J28" s="57">
        <f t="shared" si="7"/>
        <v>0</v>
      </c>
      <c r="L28" s="88">
        <v>1.0972897764284933E-2</v>
      </c>
      <c r="M28" s="89">
        <f t="shared" si="2"/>
        <v>0</v>
      </c>
      <c r="N28" s="90">
        <f t="shared" si="3"/>
        <v>2885484.8182710907</v>
      </c>
      <c r="O28" s="91"/>
      <c r="P28" s="92">
        <f t="shared" si="4"/>
        <v>306853.84366413159</v>
      </c>
      <c r="Q28" s="93">
        <f t="shared" si="5"/>
        <v>2370.9817734355715</v>
      </c>
      <c r="R28" s="93">
        <f t="shared" si="6"/>
        <v>945.76429113064103</v>
      </c>
    </row>
    <row r="29" spans="1:18" x14ac:dyDescent="0.2">
      <c r="A29" s="12">
        <v>12826</v>
      </c>
      <c r="B29" s="86" t="s">
        <v>34</v>
      </c>
      <c r="C29" s="87">
        <f t="shared" si="0"/>
        <v>4896239.1108635571</v>
      </c>
      <c r="D29" s="58">
        <f t="shared" si="7"/>
        <v>195114.98478840978</v>
      </c>
      <c r="E29" s="59">
        <f t="shared" si="7"/>
        <v>422033.71209733031</v>
      </c>
      <c r="F29" s="59">
        <f t="shared" si="7"/>
        <v>0</v>
      </c>
      <c r="G29" s="65">
        <f t="shared" si="7"/>
        <v>2478066.8374638855</v>
      </c>
      <c r="H29" s="58">
        <f t="shared" si="7"/>
        <v>949351.99444507645</v>
      </c>
      <c r="I29" s="59">
        <f t="shared" si="7"/>
        <v>755957.88940490549</v>
      </c>
      <c r="J29" s="57">
        <f t="shared" si="7"/>
        <v>95713.692663949012</v>
      </c>
      <c r="L29" s="88">
        <v>2.262163232206927E-2</v>
      </c>
      <c r="M29" s="89">
        <f t="shared" si="2"/>
        <v>0</v>
      </c>
      <c r="N29" s="90">
        <f t="shared" si="3"/>
        <v>4896239.1108635571</v>
      </c>
      <c r="O29" s="91"/>
      <c r="P29" s="92">
        <f t="shared" si="4"/>
        <v>-419844.48482272122</v>
      </c>
      <c r="Q29" s="93">
        <f t="shared" si="5"/>
        <v>2056.3792989767144</v>
      </c>
      <c r="R29" s="93">
        <f t="shared" si="6"/>
        <v>586.04685057455447</v>
      </c>
    </row>
    <row r="30" spans="1:18" x14ac:dyDescent="0.2">
      <c r="A30" s="12">
        <v>13231</v>
      </c>
      <c r="B30" s="86" t="s">
        <v>35</v>
      </c>
      <c r="C30" s="87">
        <f t="shared" si="0"/>
        <v>1450885.9528224962</v>
      </c>
      <c r="D30" s="58">
        <f t="shared" si="7"/>
        <v>26100.009514955276</v>
      </c>
      <c r="E30" s="59">
        <f t="shared" si="7"/>
        <v>451984.70162795193</v>
      </c>
      <c r="F30" s="59">
        <f t="shared" si="7"/>
        <v>110080.51900497873</v>
      </c>
      <c r="G30" s="65">
        <f t="shared" si="7"/>
        <v>610912.31062477734</v>
      </c>
      <c r="H30" s="58">
        <f t="shared" si="7"/>
        <v>182085.46669460164</v>
      </c>
      <c r="I30" s="59">
        <f t="shared" si="7"/>
        <v>69722.945355231117</v>
      </c>
      <c r="J30" s="57">
        <f t="shared" si="7"/>
        <v>0</v>
      </c>
      <c r="L30" s="88">
        <v>5.6229417841748381E-3</v>
      </c>
      <c r="M30" s="89">
        <f t="shared" si="2"/>
        <v>0</v>
      </c>
      <c r="N30" s="90">
        <f t="shared" si="3"/>
        <v>1450885.9528224962</v>
      </c>
      <c r="O30" s="91"/>
      <c r="P30" s="92">
        <f t="shared" si="4"/>
        <v>129494.63354140916</v>
      </c>
      <c r="Q30" s="93">
        <f t="shared" si="5"/>
        <v>2277.6859541954414</v>
      </c>
      <c r="R30" s="93">
        <f t="shared" si="6"/>
        <v>815.90917230492391</v>
      </c>
    </row>
    <row r="31" spans="1:18" x14ac:dyDescent="0.2">
      <c r="A31" s="12">
        <v>3592</v>
      </c>
      <c r="B31" s="86" t="s">
        <v>36</v>
      </c>
      <c r="C31" s="87">
        <f t="shared" si="0"/>
        <v>2682052.5476211929</v>
      </c>
      <c r="D31" s="58">
        <f t="shared" si="7"/>
        <v>43349.78032468239</v>
      </c>
      <c r="E31" s="59">
        <f t="shared" si="7"/>
        <v>708046.41196981235</v>
      </c>
      <c r="F31" s="59">
        <f t="shared" si="7"/>
        <v>0</v>
      </c>
      <c r="G31" s="65">
        <f t="shared" si="7"/>
        <v>1015797.0736131861</v>
      </c>
      <c r="H31" s="58">
        <f t="shared" si="7"/>
        <v>163360.65610066985</v>
      </c>
      <c r="I31" s="59">
        <f t="shared" si="7"/>
        <v>300027.18943996856</v>
      </c>
      <c r="J31" s="57">
        <f t="shared" si="7"/>
        <v>451471.4361728736</v>
      </c>
      <c r="L31" s="88">
        <v>1.0364568727977754E-2</v>
      </c>
      <c r="M31" s="89">
        <f t="shared" si="2"/>
        <v>0</v>
      </c>
      <c r="N31" s="90">
        <f t="shared" si="3"/>
        <v>2682052.5476211929</v>
      </c>
      <c r="O31" s="91"/>
      <c r="P31" s="92">
        <f t="shared" si="4"/>
        <v>246378.89654642064</v>
      </c>
      <c r="Q31" s="93">
        <f t="shared" si="5"/>
        <v>2535.021311551222</v>
      </c>
      <c r="R31" s="93">
        <f t="shared" si="6"/>
        <v>666.51773338130693</v>
      </c>
    </row>
    <row r="32" spans="1:18" x14ac:dyDescent="0.2">
      <c r="A32" s="12">
        <v>3594</v>
      </c>
      <c r="B32" s="86" t="s">
        <v>37</v>
      </c>
      <c r="C32" s="87">
        <f t="shared" si="0"/>
        <v>15522893.112676902</v>
      </c>
      <c r="D32" s="58">
        <f t="shared" si="7"/>
        <v>245184.3907966913</v>
      </c>
      <c r="E32" s="59">
        <f t="shared" si="7"/>
        <v>4965801.1949356552</v>
      </c>
      <c r="F32" s="59">
        <f t="shared" si="7"/>
        <v>0</v>
      </c>
      <c r="G32" s="65">
        <f t="shared" si="7"/>
        <v>5524023.9918465782</v>
      </c>
      <c r="H32" s="58">
        <f t="shared" si="7"/>
        <v>933331.42345551995</v>
      </c>
      <c r="I32" s="59">
        <f t="shared" si="7"/>
        <v>2308710.4177959394</v>
      </c>
      <c r="J32" s="57">
        <f t="shared" si="7"/>
        <v>1545841.6938465189</v>
      </c>
      <c r="L32" s="88">
        <v>5.9972196847224775E-2</v>
      </c>
      <c r="M32" s="89">
        <f t="shared" si="2"/>
        <v>0</v>
      </c>
      <c r="N32" s="90">
        <f t="shared" si="3"/>
        <v>15522893.112676902</v>
      </c>
      <c r="O32" s="91"/>
      <c r="P32" s="92">
        <f t="shared" si="4"/>
        <v>1429426.8535790797</v>
      </c>
      <c r="Q32" s="93">
        <f t="shared" si="5"/>
        <v>2594.0663624125837</v>
      </c>
      <c r="R32" s="93">
        <f t="shared" si="6"/>
        <v>651.41406235442707</v>
      </c>
    </row>
    <row r="33" spans="1:18" x14ac:dyDescent="0.2">
      <c r="A33" s="19">
        <v>113594</v>
      </c>
      <c r="B33" s="86" t="s">
        <v>38</v>
      </c>
      <c r="C33" s="87">
        <f t="shared" si="0"/>
        <v>917417.20999306487</v>
      </c>
      <c r="D33" s="58">
        <f t="shared" si="7"/>
        <v>31494.830947926148</v>
      </c>
      <c r="E33" s="59">
        <f t="shared" si="7"/>
        <v>212196.42351165242</v>
      </c>
      <c r="F33" s="59">
        <f t="shared" si="7"/>
        <v>150366.81654430335</v>
      </c>
      <c r="G33" s="65">
        <f t="shared" si="7"/>
        <v>426873.78199368244</v>
      </c>
      <c r="H33" s="58">
        <f t="shared" si="7"/>
        <v>87949.247133204859</v>
      </c>
      <c r="I33" s="59">
        <f t="shared" si="7"/>
        <v>8536.1098622956815</v>
      </c>
      <c r="J33" s="57">
        <f t="shared" si="7"/>
        <v>0</v>
      </c>
      <c r="L33" s="88">
        <v>2.8602942419239919E-3</v>
      </c>
      <c r="M33" s="89">
        <f t="shared" si="2"/>
        <v>0</v>
      </c>
      <c r="N33" s="90">
        <f t="shared" si="3"/>
        <v>917417.20999306487</v>
      </c>
      <c r="O33" s="91"/>
      <c r="P33" s="92">
        <f t="shared" si="4"/>
        <v>245248.06314092677</v>
      </c>
      <c r="Q33" s="93">
        <f t="shared" si="5"/>
        <v>2387.0352384901948</v>
      </c>
      <c r="R33" s="93">
        <f t="shared" si="6"/>
        <v>876.01108599503323</v>
      </c>
    </row>
    <row r="34" spans="1:18" x14ac:dyDescent="0.2">
      <c r="A34" s="12">
        <v>3624</v>
      </c>
      <c r="B34" s="86" t="s">
        <v>39</v>
      </c>
      <c r="C34" s="87">
        <f t="shared" si="0"/>
        <v>5717432.8928105105</v>
      </c>
      <c r="D34" s="58">
        <f t="shared" si="7"/>
        <v>81263.765889054877</v>
      </c>
      <c r="E34" s="59">
        <f t="shared" si="7"/>
        <v>1523560.170809964</v>
      </c>
      <c r="F34" s="59">
        <f t="shared" si="7"/>
        <v>0</v>
      </c>
      <c r="G34" s="65">
        <f t="shared" si="7"/>
        <v>2163528.2612580145</v>
      </c>
      <c r="H34" s="58">
        <f t="shared" si="7"/>
        <v>343192.58979162539</v>
      </c>
      <c r="I34" s="59">
        <f t="shared" si="7"/>
        <v>654651.33755918045</v>
      </c>
      <c r="J34" s="57">
        <f t="shared" si="7"/>
        <v>951236.76750267134</v>
      </c>
      <c r="L34" s="88">
        <v>2.3435865298122357E-2</v>
      </c>
      <c r="M34" s="89">
        <f t="shared" si="2"/>
        <v>0</v>
      </c>
      <c r="N34" s="90">
        <f t="shared" si="3"/>
        <v>5717432.8928105105</v>
      </c>
      <c r="O34" s="91"/>
      <c r="P34" s="92">
        <f t="shared" si="4"/>
        <v>210004.54775175638</v>
      </c>
      <c r="Q34" s="93">
        <f t="shared" si="5"/>
        <v>2882.739273685972</v>
      </c>
      <c r="R34" s="93">
        <f t="shared" si="6"/>
        <v>611.77222575940664</v>
      </c>
    </row>
    <row r="35" spans="1:18" x14ac:dyDescent="0.2">
      <c r="A35" s="12">
        <v>3642</v>
      </c>
      <c r="B35" s="86" t="s">
        <v>40</v>
      </c>
      <c r="C35" s="87">
        <f t="shared" si="0"/>
        <v>2371605.1308345706</v>
      </c>
      <c r="D35" s="58">
        <f t="shared" si="7"/>
        <v>30402.2088855523</v>
      </c>
      <c r="E35" s="59">
        <f t="shared" si="7"/>
        <v>63277.130760462846</v>
      </c>
      <c r="F35" s="59">
        <f t="shared" si="7"/>
        <v>0</v>
      </c>
      <c r="G35" s="65">
        <f t="shared" si="7"/>
        <v>934533.30772413104</v>
      </c>
      <c r="H35" s="58">
        <f t="shared" si="7"/>
        <v>271530.24027568067</v>
      </c>
      <c r="I35" s="59">
        <f t="shared" si="7"/>
        <v>434317.26979360427</v>
      </c>
      <c r="J35" s="57">
        <f t="shared" si="7"/>
        <v>637544.97339513979</v>
      </c>
      <c r="L35" s="88">
        <v>1.3524899052819646E-2</v>
      </c>
      <c r="M35" s="89">
        <f t="shared" si="2"/>
        <v>0</v>
      </c>
      <c r="N35" s="90">
        <f t="shared" si="3"/>
        <v>2371605.1308345706</v>
      </c>
      <c r="O35" s="91"/>
      <c r="P35" s="92">
        <f t="shared" si="4"/>
        <v>-806746.14657804603</v>
      </c>
      <c r="Q35" s="93">
        <f t="shared" si="5"/>
        <v>3196.2333299657284</v>
      </c>
      <c r="R35" s="93">
        <f t="shared" si="6"/>
        <v>411.15326576294331</v>
      </c>
    </row>
    <row r="36" spans="1:18" x14ac:dyDescent="0.2">
      <c r="A36" s="12">
        <v>3644</v>
      </c>
      <c r="B36" s="86" t="s">
        <v>41</v>
      </c>
      <c r="C36" s="87">
        <f t="shared" si="0"/>
        <v>14626047.253542878</v>
      </c>
      <c r="D36" s="58">
        <f t="shared" si="7"/>
        <v>201479.50830173743</v>
      </c>
      <c r="E36" s="59">
        <f t="shared" si="7"/>
        <v>5096088.3633119455</v>
      </c>
      <c r="F36" s="59">
        <f t="shared" si="7"/>
        <v>0</v>
      </c>
      <c r="G36" s="65">
        <f t="shared" si="7"/>
        <v>4256787.2661296101</v>
      </c>
      <c r="H36" s="58">
        <f t="shared" si="7"/>
        <v>800168.10960370733</v>
      </c>
      <c r="I36" s="59">
        <f t="shared" si="7"/>
        <v>1641801.2264745021</v>
      </c>
      <c r="J36" s="57">
        <f t="shared" si="7"/>
        <v>2629722.7797213756</v>
      </c>
      <c r="L36" s="88">
        <v>6.3345925146063756E-2</v>
      </c>
      <c r="M36" s="89">
        <f t="shared" si="2"/>
        <v>0</v>
      </c>
      <c r="N36" s="90">
        <f t="shared" si="3"/>
        <v>14626047.253542878</v>
      </c>
      <c r="O36" s="91"/>
      <c r="P36" s="92">
        <f t="shared" si="4"/>
        <v>-260245.1557821054</v>
      </c>
      <c r="Q36" s="93">
        <f t="shared" si="5"/>
        <v>2974.3859653354552</v>
      </c>
      <c r="R36" s="93">
        <f t="shared" si="6"/>
        <v>639.31862029687477</v>
      </c>
    </row>
    <row r="37" spans="1:18" x14ac:dyDescent="0.2">
      <c r="A37" s="12">
        <v>3541</v>
      </c>
      <c r="B37" s="13" t="s">
        <v>42</v>
      </c>
      <c r="C37" s="14">
        <f t="shared" si="0"/>
        <v>2728231.695539352</v>
      </c>
      <c r="D37" s="15">
        <f t="shared" si="7"/>
        <v>42762.495966156443</v>
      </c>
      <c r="E37" s="16">
        <f t="shared" si="7"/>
        <v>619129.67076333519</v>
      </c>
      <c r="F37" s="16">
        <f t="shared" si="7"/>
        <v>0</v>
      </c>
      <c r="G37" s="18">
        <f t="shared" si="7"/>
        <v>1098972.9281113953</v>
      </c>
      <c r="H37" s="15">
        <f t="shared" si="7"/>
        <v>169383.73521950567</v>
      </c>
      <c r="I37" s="16">
        <f t="shared" si="7"/>
        <v>322255.21952138655</v>
      </c>
      <c r="J37" s="17">
        <f t="shared" si="7"/>
        <v>475727.64595757297</v>
      </c>
      <c r="L37" s="78">
        <v>1.2561069385453944E-2</v>
      </c>
      <c r="M37" s="83">
        <f t="shared" si="2"/>
        <v>0</v>
      </c>
      <c r="N37" s="84">
        <f t="shared" si="3"/>
        <v>2728231.695539352</v>
      </c>
      <c r="P37" s="81">
        <f t="shared" si="4"/>
        <v>-223619.61004232476</v>
      </c>
      <c r="Q37" s="85">
        <f t="shared" si="5"/>
        <v>2614.0833876135598</v>
      </c>
      <c r="R37" s="85">
        <f t="shared" si="6"/>
        <v>563.3609099427365</v>
      </c>
    </row>
    <row r="38" spans="1:18" x14ac:dyDescent="0.2">
      <c r="A38" s="12">
        <v>3646</v>
      </c>
      <c r="B38" s="13" t="s">
        <v>43</v>
      </c>
      <c r="C38" s="14">
        <f t="shared" si="0"/>
        <v>4471132.8089490728</v>
      </c>
      <c r="D38" s="15">
        <f t="shared" ref="D38:J43" si="8">D81/$C$87*$C$44</f>
        <v>76183.073299016483</v>
      </c>
      <c r="E38" s="16">
        <f t="shared" si="8"/>
        <v>1362534.2659529101</v>
      </c>
      <c r="F38" s="16">
        <f t="shared" si="8"/>
        <v>0</v>
      </c>
      <c r="G38" s="18">
        <f t="shared" si="8"/>
        <v>1841341.3306155261</v>
      </c>
      <c r="H38" s="15">
        <f t="shared" si="8"/>
        <v>573626.58274626976</v>
      </c>
      <c r="I38" s="16">
        <f t="shared" si="8"/>
        <v>409630.84007184516</v>
      </c>
      <c r="J38" s="17">
        <f t="shared" si="8"/>
        <v>207816.71626350575</v>
      </c>
      <c r="L38" s="78">
        <v>1.8983457031793705E-2</v>
      </c>
      <c r="M38" s="83">
        <f t="shared" si="2"/>
        <v>0</v>
      </c>
      <c r="N38" s="84">
        <f t="shared" si="3"/>
        <v>4471132.8089490728</v>
      </c>
      <c r="P38" s="81">
        <f t="shared" si="4"/>
        <v>10020.406477551907</v>
      </c>
      <c r="Q38" s="85">
        <f t="shared" si="5"/>
        <v>2404.6967419948401</v>
      </c>
      <c r="R38" s="85">
        <f t="shared" si="6"/>
        <v>619.61565662221267</v>
      </c>
    </row>
    <row r="39" spans="1:18" x14ac:dyDescent="0.2">
      <c r="A39" s="12">
        <v>3581</v>
      </c>
      <c r="B39" s="13" t="s">
        <v>44</v>
      </c>
      <c r="C39" s="14">
        <f t="shared" si="0"/>
        <v>3615383.2608723715</v>
      </c>
      <c r="D39" s="15">
        <f t="shared" si="8"/>
        <v>56215.405109134445</v>
      </c>
      <c r="E39" s="16">
        <f t="shared" si="8"/>
        <v>434432.65068339097</v>
      </c>
      <c r="F39" s="16">
        <f t="shared" si="8"/>
        <v>0</v>
      </c>
      <c r="G39" s="18">
        <f t="shared" si="8"/>
        <v>1416379.6372309974</v>
      </c>
      <c r="H39" s="15">
        <f t="shared" si="8"/>
        <v>270874.66703825636</v>
      </c>
      <c r="I39" s="16">
        <f t="shared" si="8"/>
        <v>617194.88748342695</v>
      </c>
      <c r="J39" s="17">
        <f t="shared" si="8"/>
        <v>820286.01332716574</v>
      </c>
      <c r="L39" s="78">
        <v>1.8519296567582645E-2</v>
      </c>
      <c r="M39" s="83">
        <f t="shared" si="2"/>
        <v>0</v>
      </c>
      <c r="N39" s="84">
        <f t="shared" si="3"/>
        <v>3615383.2608723715</v>
      </c>
      <c r="P39" s="81">
        <f t="shared" si="4"/>
        <v>-736651.43250954989</v>
      </c>
      <c r="Q39" s="85">
        <f t="shared" si="5"/>
        <v>2635.1189948049355</v>
      </c>
      <c r="R39" s="85">
        <f t="shared" si="6"/>
        <v>505.69987516748176</v>
      </c>
    </row>
    <row r="40" spans="1:18" x14ac:dyDescent="0.2">
      <c r="A40" s="12">
        <v>3606</v>
      </c>
      <c r="B40" s="13" t="s">
        <v>45</v>
      </c>
      <c r="C40" s="14">
        <f t="shared" si="0"/>
        <v>8516387.4877588023</v>
      </c>
      <c r="D40" s="15">
        <f t="shared" si="8"/>
        <v>126238.82153151838</v>
      </c>
      <c r="E40" s="16">
        <f t="shared" si="8"/>
        <v>2615668.3821330606</v>
      </c>
      <c r="F40" s="16">
        <f t="shared" si="8"/>
        <v>0</v>
      </c>
      <c r="G40" s="18">
        <f t="shared" si="8"/>
        <v>3205138.5310947821</v>
      </c>
      <c r="H40" s="15">
        <f t="shared" si="8"/>
        <v>485574.90229471738</v>
      </c>
      <c r="I40" s="16">
        <f t="shared" si="8"/>
        <v>1231521.6420531224</v>
      </c>
      <c r="J40" s="17">
        <f t="shared" si="8"/>
        <v>852245.20865160075</v>
      </c>
      <c r="L40" s="78">
        <v>3.2554270941238916E-2</v>
      </c>
      <c r="M40" s="83">
        <f t="shared" si="2"/>
        <v>0</v>
      </c>
      <c r="N40" s="84">
        <f t="shared" si="3"/>
        <v>8516387.4877588023</v>
      </c>
      <c r="P40" s="81">
        <f t="shared" si="4"/>
        <v>866133.81656765658</v>
      </c>
      <c r="Q40" s="85">
        <f t="shared" si="5"/>
        <v>2764.1634169940935</v>
      </c>
      <c r="R40" s="85">
        <f t="shared" si="6"/>
        <v>649.85016405612396</v>
      </c>
    </row>
    <row r="41" spans="1:18" x14ac:dyDescent="0.2">
      <c r="A41" s="12">
        <v>3615</v>
      </c>
      <c r="B41" s="13" t="s">
        <v>74</v>
      </c>
      <c r="C41" s="14">
        <f t="shared" si="0"/>
        <v>15706175.546840835</v>
      </c>
      <c r="D41" s="15">
        <f t="shared" si="8"/>
        <v>226090.82025670836</v>
      </c>
      <c r="E41" s="16">
        <f t="shared" si="8"/>
        <v>5001128.9440783886</v>
      </c>
      <c r="F41" s="16">
        <f t="shared" si="8"/>
        <v>0</v>
      </c>
      <c r="G41" s="18">
        <f t="shared" si="8"/>
        <v>5524502.013998867</v>
      </c>
      <c r="H41" s="15">
        <f t="shared" si="8"/>
        <v>940296.88910315314</v>
      </c>
      <c r="I41" s="16">
        <f t="shared" si="8"/>
        <v>2355556.5887202178</v>
      </c>
      <c r="J41" s="17">
        <f t="shared" si="8"/>
        <v>1658600.2906835</v>
      </c>
      <c r="L41" s="78">
        <v>6.1387457427191858E-2</v>
      </c>
      <c r="M41" s="83">
        <f t="shared" si="2"/>
        <v>0</v>
      </c>
      <c r="N41" s="84">
        <f t="shared" si="3"/>
        <v>15706175.546840835</v>
      </c>
      <c r="P41" s="81">
        <f t="shared" si="4"/>
        <v>1280123.051450748</v>
      </c>
      <c r="Q41" s="85">
        <f t="shared" si="5"/>
        <v>2846.3529443350553</v>
      </c>
      <c r="R41" s="85">
        <f t="shared" si="6"/>
        <v>630.57819941261744</v>
      </c>
    </row>
    <row r="42" spans="1:18" x14ac:dyDescent="0.2">
      <c r="A42" s="12">
        <v>3625</v>
      </c>
      <c r="B42" s="13" t="s">
        <v>46</v>
      </c>
      <c r="C42" s="14">
        <f t="shared" si="0"/>
        <v>543721.33517914289</v>
      </c>
      <c r="D42" s="15">
        <f t="shared" si="8"/>
        <v>0</v>
      </c>
      <c r="E42" s="16">
        <f t="shared" si="8"/>
        <v>17486.050330715458</v>
      </c>
      <c r="F42" s="16">
        <f t="shared" si="8"/>
        <v>54577.656073196958</v>
      </c>
      <c r="G42" s="18">
        <f t="shared" si="8"/>
        <v>242835.25336258757</v>
      </c>
      <c r="H42" s="15">
        <f t="shared" si="8"/>
        <v>36384.314677049115</v>
      </c>
      <c r="I42" s="16">
        <f t="shared" si="8"/>
        <v>80990.610373461415</v>
      </c>
      <c r="J42" s="17">
        <f t="shared" si="8"/>
        <v>111447.45036213241</v>
      </c>
      <c r="L42" s="78">
        <v>2.5717361648878246E-3</v>
      </c>
      <c r="M42" s="83">
        <f t="shared" si="2"/>
        <v>0</v>
      </c>
      <c r="N42" s="84">
        <f t="shared" si="3"/>
        <v>543721.33517914289</v>
      </c>
      <c r="P42" s="81">
        <f t="shared" si="4"/>
        <v>-60636.663569495897</v>
      </c>
      <c r="Q42" s="85">
        <f t="shared" si="5"/>
        <v>2764.6847551481842</v>
      </c>
      <c r="R42" s="85">
        <f t="shared" si="6"/>
        <v>491.01866512264564</v>
      </c>
    </row>
    <row r="43" spans="1:18" x14ac:dyDescent="0.2">
      <c r="A43" s="12">
        <v>20</v>
      </c>
      <c r="B43" s="13" t="s">
        <v>47</v>
      </c>
      <c r="C43" s="20">
        <f t="shared" si="0"/>
        <v>513222.81427198707</v>
      </c>
      <c r="D43" s="15">
        <f t="shared" si="8"/>
        <v>6391.8390648870063</v>
      </c>
      <c r="E43" s="16">
        <f t="shared" si="8"/>
        <v>50468.444548773077</v>
      </c>
      <c r="F43" s="16">
        <f t="shared" si="8"/>
        <v>201344.54130027108</v>
      </c>
      <c r="G43" s="18">
        <f t="shared" si="8"/>
        <v>198857.21535204019</v>
      </c>
      <c r="H43" s="15">
        <f t="shared" si="8"/>
        <v>37244.754551168509</v>
      </c>
      <c r="I43" s="16">
        <f t="shared" si="8"/>
        <v>18916.019454847228</v>
      </c>
      <c r="J43" s="17">
        <f t="shared" si="8"/>
        <v>0</v>
      </c>
      <c r="L43" s="78">
        <v>1.4792799135503695E-3</v>
      </c>
      <c r="M43" s="83">
        <f t="shared" si="2"/>
        <v>0</v>
      </c>
      <c r="N43" s="84">
        <f t="shared" si="3"/>
        <v>513222.81427198707</v>
      </c>
      <c r="P43" s="81">
        <f t="shared" si="4"/>
        <v>165592.03458765021</v>
      </c>
      <c r="Q43" s="85">
        <f t="shared" si="5"/>
        <v>3289.88983507684</v>
      </c>
      <c r="R43" s="85">
        <f t="shared" si="6"/>
        <v>1293.3318386201163</v>
      </c>
    </row>
    <row r="44" spans="1:18" ht="13.5" thickBot="1" x14ac:dyDescent="0.25">
      <c r="A44" s="21"/>
      <c r="B44" s="22" t="s">
        <v>48</v>
      </c>
      <c r="C44" s="23">
        <f>N44-M44</f>
        <v>235000000</v>
      </c>
      <c r="D44" s="23">
        <f t="shared" ref="D44:J44" si="9">SUM(D6:D43)</f>
        <v>3817662.4592615617</v>
      </c>
      <c r="E44" s="24">
        <f t="shared" si="9"/>
        <v>71975102.206738114</v>
      </c>
      <c r="F44" s="24">
        <f t="shared" si="9"/>
        <v>1164333.2520206827</v>
      </c>
      <c r="G44" s="26">
        <f t="shared" si="9"/>
        <v>80936989.945750415</v>
      </c>
      <c r="H44" s="23">
        <f t="shared" si="9"/>
        <v>17646956.00161973</v>
      </c>
      <c r="I44" s="24">
        <f t="shared" si="9"/>
        <v>30081626.743563917</v>
      </c>
      <c r="J44" s="25">
        <f t="shared" si="9"/>
        <v>29377329.39104563</v>
      </c>
      <c r="L44" s="94">
        <f>SUM(L6:L43)</f>
        <v>1.0000000000000002</v>
      </c>
      <c r="M44" s="79">
        <f>SUM(M6:M43)</f>
        <v>0</v>
      </c>
      <c r="N44" s="95">
        <v>235000000</v>
      </c>
      <c r="P44" s="96">
        <f t="shared" si="4"/>
        <v>0</v>
      </c>
      <c r="Q44" s="97">
        <f t="shared" si="5"/>
        <v>2687.4752218596564</v>
      </c>
      <c r="R44" s="97">
        <f>AVERAGE(R6:R43)</f>
        <v>679.62349112709592</v>
      </c>
    </row>
    <row r="45" spans="1:18" ht="13.5" thickBot="1" x14ac:dyDescent="0.25">
      <c r="A45" s="27"/>
      <c r="C45" s="98"/>
      <c r="D45" s="99"/>
      <c r="E45" s="28"/>
      <c r="F45" s="28"/>
      <c r="G45" s="28"/>
      <c r="H45" s="28"/>
      <c r="I45" s="28"/>
      <c r="J45" s="28"/>
      <c r="L45" s="100" t="s">
        <v>75</v>
      </c>
      <c r="M45" s="101">
        <v>5.0000000000000001E-3</v>
      </c>
      <c r="N45" s="102"/>
    </row>
    <row r="46" spans="1:18" ht="13.5" thickBot="1" x14ac:dyDescent="0.25">
      <c r="A46" s="29" t="s">
        <v>76</v>
      </c>
    </row>
    <row r="47" spans="1:18" ht="12.75" customHeight="1" outlineLevel="1" x14ac:dyDescent="0.2">
      <c r="A47" s="163" t="s">
        <v>0</v>
      </c>
      <c r="B47" s="165" t="s">
        <v>1</v>
      </c>
      <c r="C47" s="167" t="s">
        <v>49</v>
      </c>
      <c r="D47" s="177" t="s">
        <v>3</v>
      </c>
      <c r="E47" s="178"/>
      <c r="F47" s="178"/>
      <c r="G47" s="158" t="s">
        <v>4</v>
      </c>
      <c r="H47" s="160" t="s">
        <v>5</v>
      </c>
      <c r="I47" s="161"/>
      <c r="J47" s="162"/>
      <c r="K47" s="173"/>
    </row>
    <row r="48" spans="1:18" ht="51.75" outlineLevel="1" thickBot="1" x14ac:dyDescent="0.25">
      <c r="A48" s="164"/>
      <c r="B48" s="166"/>
      <c r="C48" s="168"/>
      <c r="D48" s="103"/>
      <c r="E48" s="104" t="s">
        <v>6</v>
      </c>
      <c r="F48" s="104" t="s">
        <v>7</v>
      </c>
      <c r="G48" s="159"/>
      <c r="H48" s="70" t="s">
        <v>8</v>
      </c>
      <c r="I48" s="71" t="s">
        <v>9</v>
      </c>
      <c r="J48" s="72" t="s">
        <v>10</v>
      </c>
      <c r="K48" s="173"/>
    </row>
    <row r="49" spans="1:11" outlineLevel="1" x14ac:dyDescent="0.2">
      <c r="A49" s="12">
        <f t="shared" ref="A49:B64" si="10">A6</f>
        <v>3656</v>
      </c>
      <c r="B49" s="13" t="str">
        <f t="shared" si="10"/>
        <v>UTA</v>
      </c>
      <c r="C49" s="14">
        <f t="shared" ref="C49:C86" si="11">SUM(D49:J49)</f>
        <v>15973.211388888891</v>
      </c>
      <c r="D49" s="15">
        <f t="shared" ref="D49:J58" si="12">D91*D178</f>
        <v>286.98333333333335</v>
      </c>
      <c r="E49" s="16">
        <f t="shared" si="12"/>
        <v>5256.5780555555557</v>
      </c>
      <c r="F49" s="16">
        <f t="shared" si="12"/>
        <v>0</v>
      </c>
      <c r="G49" s="32">
        <f t="shared" si="12"/>
        <v>6106.3333333333339</v>
      </c>
      <c r="H49" s="30">
        <f t="shared" si="12"/>
        <v>2102.5</v>
      </c>
      <c r="I49" s="33">
        <f t="shared" si="12"/>
        <v>1487.75</v>
      </c>
      <c r="J49" s="31">
        <f t="shared" si="12"/>
        <v>733.06666666666672</v>
      </c>
      <c r="K49" s="105"/>
    </row>
    <row r="50" spans="1:11" outlineLevel="1" x14ac:dyDescent="0.2">
      <c r="A50" s="12">
        <f t="shared" si="10"/>
        <v>3658</v>
      </c>
      <c r="B50" s="13" t="str">
        <f t="shared" si="10"/>
        <v>UT</v>
      </c>
      <c r="C50" s="14">
        <f t="shared" si="11"/>
        <v>30136.363555555556</v>
      </c>
      <c r="D50" s="15">
        <f t="shared" si="12"/>
        <v>451.56666666666672</v>
      </c>
      <c r="E50" s="16">
        <f t="shared" si="12"/>
        <v>13096.938555555555</v>
      </c>
      <c r="F50" s="16">
        <f t="shared" si="12"/>
        <v>0</v>
      </c>
      <c r="G50" s="18">
        <f t="shared" si="12"/>
        <v>4997.0666666666675</v>
      </c>
      <c r="H50" s="15">
        <f t="shared" si="12"/>
        <v>1481.25</v>
      </c>
      <c r="I50" s="16">
        <f t="shared" si="12"/>
        <v>3267.8750000000005</v>
      </c>
      <c r="J50" s="17">
        <f t="shared" si="12"/>
        <v>6841.666666666667</v>
      </c>
      <c r="K50" s="106"/>
    </row>
    <row r="51" spans="1:11" outlineLevel="1" x14ac:dyDescent="0.2">
      <c r="A51" s="12">
        <f t="shared" si="10"/>
        <v>9741</v>
      </c>
      <c r="B51" s="13" t="str">
        <f t="shared" si="10"/>
        <v>UTD</v>
      </c>
      <c r="C51" s="14">
        <f t="shared" si="11"/>
        <v>8115.1030833333316</v>
      </c>
      <c r="D51" s="15">
        <f t="shared" si="12"/>
        <v>126.81666666666668</v>
      </c>
      <c r="E51" s="16">
        <f t="shared" si="12"/>
        <v>3102.5697499999997</v>
      </c>
      <c r="F51" s="16">
        <f t="shared" si="12"/>
        <v>0</v>
      </c>
      <c r="G51" s="18">
        <f t="shared" si="12"/>
        <v>2489.083333333333</v>
      </c>
      <c r="H51" s="15">
        <f t="shared" si="12"/>
        <v>773.4</v>
      </c>
      <c r="I51" s="16">
        <f t="shared" si="12"/>
        <v>1172.8333333333333</v>
      </c>
      <c r="J51" s="17">
        <f t="shared" si="12"/>
        <v>450.40000000000003</v>
      </c>
      <c r="K51" s="106"/>
    </row>
    <row r="52" spans="1:11" outlineLevel="1" x14ac:dyDescent="0.2">
      <c r="A52" s="12">
        <f t="shared" si="10"/>
        <v>3661</v>
      </c>
      <c r="B52" s="13" t="str">
        <f t="shared" si="10"/>
        <v>UTEP</v>
      </c>
      <c r="C52" s="14">
        <f t="shared" si="11"/>
        <v>10171.766361111111</v>
      </c>
      <c r="D52" s="15">
        <f t="shared" si="12"/>
        <v>154.38333333333333</v>
      </c>
      <c r="E52" s="16">
        <f t="shared" si="12"/>
        <v>2213.5996944444446</v>
      </c>
      <c r="F52" s="16">
        <f t="shared" si="12"/>
        <v>0</v>
      </c>
      <c r="G52" s="18">
        <f t="shared" si="12"/>
        <v>4393.6666666666661</v>
      </c>
      <c r="H52" s="15">
        <f t="shared" si="12"/>
        <v>668.95</v>
      </c>
      <c r="I52" s="16">
        <f t="shared" si="12"/>
        <v>1637.166666666667</v>
      </c>
      <c r="J52" s="17">
        <f t="shared" si="12"/>
        <v>1104</v>
      </c>
      <c r="K52" s="106"/>
    </row>
    <row r="53" spans="1:11" outlineLevel="1" x14ac:dyDescent="0.2">
      <c r="A53" s="12">
        <f t="shared" si="10"/>
        <v>3599</v>
      </c>
      <c r="B53" s="13" t="str">
        <f t="shared" si="10"/>
        <v>UTPA</v>
      </c>
      <c r="C53" s="14">
        <f t="shared" si="11"/>
        <v>9666.9293055555554</v>
      </c>
      <c r="D53" s="15">
        <f t="shared" si="12"/>
        <v>132.28333333333333</v>
      </c>
      <c r="E53" s="16">
        <f t="shared" si="12"/>
        <v>2075.745972222222</v>
      </c>
      <c r="F53" s="16">
        <f t="shared" si="12"/>
        <v>0</v>
      </c>
      <c r="G53" s="18">
        <f t="shared" si="12"/>
        <v>4206.4166666666661</v>
      </c>
      <c r="H53" s="15">
        <f t="shared" si="12"/>
        <v>582.65</v>
      </c>
      <c r="I53" s="16">
        <f t="shared" si="12"/>
        <v>1132.5</v>
      </c>
      <c r="J53" s="17">
        <f t="shared" si="12"/>
        <v>1537.3333333333335</v>
      </c>
      <c r="K53" s="106"/>
    </row>
    <row r="54" spans="1:11" outlineLevel="1" x14ac:dyDescent="0.2">
      <c r="A54" s="12">
        <f t="shared" si="10"/>
        <v>30646</v>
      </c>
      <c r="B54" s="13" t="str">
        <f t="shared" si="10"/>
        <v>UTB</v>
      </c>
      <c r="C54" s="14">
        <f t="shared" si="11"/>
        <v>3439.6344836693352</v>
      </c>
      <c r="D54" s="15">
        <f t="shared" si="12"/>
        <v>107.86666666666667</v>
      </c>
      <c r="E54" s="16">
        <f t="shared" si="12"/>
        <v>984.15240298653839</v>
      </c>
      <c r="F54" s="16">
        <f t="shared" si="12"/>
        <v>29.373747349464089</v>
      </c>
      <c r="G54" s="18">
        <f t="shared" si="12"/>
        <v>1605.9166666666665</v>
      </c>
      <c r="H54" s="15">
        <f t="shared" si="12"/>
        <v>503.20000000000005</v>
      </c>
      <c r="I54" s="16">
        <f t="shared" si="12"/>
        <v>209.12499999999997</v>
      </c>
      <c r="J54" s="17">
        <f t="shared" si="12"/>
        <v>0</v>
      </c>
      <c r="K54" s="106"/>
    </row>
    <row r="55" spans="1:11" outlineLevel="1" x14ac:dyDescent="0.2">
      <c r="A55" s="12">
        <f t="shared" si="10"/>
        <v>9930</v>
      </c>
      <c r="B55" s="13" t="str">
        <f t="shared" si="10"/>
        <v>UTPB</v>
      </c>
      <c r="C55" s="14">
        <f t="shared" si="11"/>
        <v>1679.2456666666667</v>
      </c>
      <c r="D55" s="15">
        <f t="shared" si="12"/>
        <v>27.6</v>
      </c>
      <c r="E55" s="16">
        <f t="shared" si="12"/>
        <v>404.75400000000002</v>
      </c>
      <c r="F55" s="16">
        <f t="shared" si="12"/>
        <v>0</v>
      </c>
      <c r="G55" s="18">
        <f t="shared" si="12"/>
        <v>721</v>
      </c>
      <c r="H55" s="15">
        <f t="shared" si="12"/>
        <v>184.42499999999998</v>
      </c>
      <c r="I55" s="16">
        <f t="shared" si="12"/>
        <v>254.66666666666666</v>
      </c>
      <c r="J55" s="17">
        <f t="shared" si="12"/>
        <v>86.800000000000011</v>
      </c>
      <c r="K55" s="106"/>
    </row>
    <row r="56" spans="1:11" outlineLevel="1" x14ac:dyDescent="0.2">
      <c r="A56" s="12">
        <f t="shared" si="10"/>
        <v>10115</v>
      </c>
      <c r="B56" s="13" t="str">
        <f t="shared" si="10"/>
        <v>UTSA</v>
      </c>
      <c r="C56" s="14">
        <f t="shared" si="11"/>
        <v>14158.333000000001</v>
      </c>
      <c r="D56" s="15">
        <f t="shared" si="12"/>
        <v>214.20000000000002</v>
      </c>
      <c r="E56" s="16">
        <f t="shared" si="12"/>
        <v>3291.1830000000004</v>
      </c>
      <c r="F56" s="16">
        <f t="shared" si="12"/>
        <v>0</v>
      </c>
      <c r="G56" s="18">
        <f t="shared" si="12"/>
        <v>5780.8333333333339</v>
      </c>
      <c r="H56" s="15">
        <f t="shared" si="12"/>
        <v>1019.45</v>
      </c>
      <c r="I56" s="16">
        <f t="shared" si="12"/>
        <v>2248.6666666666665</v>
      </c>
      <c r="J56" s="17">
        <f t="shared" si="12"/>
        <v>1604</v>
      </c>
      <c r="K56" s="106"/>
    </row>
    <row r="57" spans="1:11" outlineLevel="1" x14ac:dyDescent="0.2">
      <c r="A57" s="12">
        <f t="shared" si="10"/>
        <v>11163</v>
      </c>
      <c r="B57" s="13" t="str">
        <f t="shared" si="10"/>
        <v>UTT</v>
      </c>
      <c r="C57" s="14">
        <f t="shared" si="11"/>
        <v>3757.6781666666666</v>
      </c>
      <c r="D57" s="15">
        <f t="shared" si="12"/>
        <v>60.050000000000004</v>
      </c>
      <c r="E57" s="16">
        <f t="shared" si="12"/>
        <v>1144.7531666666664</v>
      </c>
      <c r="F57" s="16">
        <f t="shared" si="12"/>
        <v>0</v>
      </c>
      <c r="G57" s="18">
        <f t="shared" si="12"/>
        <v>1622.25</v>
      </c>
      <c r="H57" s="15">
        <f t="shared" si="12"/>
        <v>330.22499999999997</v>
      </c>
      <c r="I57" s="16">
        <f t="shared" si="12"/>
        <v>446.66666666666674</v>
      </c>
      <c r="J57" s="17">
        <f t="shared" si="12"/>
        <v>153.73333333333335</v>
      </c>
      <c r="K57" s="106"/>
    </row>
    <row r="58" spans="1:11" outlineLevel="1" x14ac:dyDescent="0.2">
      <c r="A58" s="12">
        <f t="shared" si="10"/>
        <v>3632</v>
      </c>
      <c r="B58" s="13" t="str">
        <f t="shared" si="10"/>
        <v>TAMU</v>
      </c>
      <c r="C58" s="14">
        <f t="shared" si="11"/>
        <v>31071.422277777772</v>
      </c>
      <c r="D58" s="15">
        <f t="shared" si="12"/>
        <v>450.48333333333335</v>
      </c>
      <c r="E58" s="16">
        <f t="shared" si="12"/>
        <v>13317.788944444441</v>
      </c>
      <c r="F58" s="16">
        <f t="shared" si="12"/>
        <v>0</v>
      </c>
      <c r="G58" s="18">
        <f t="shared" si="12"/>
        <v>6883.9166666666661</v>
      </c>
      <c r="H58" s="15">
        <f t="shared" si="12"/>
        <v>1525.2</v>
      </c>
      <c r="I58" s="16">
        <f t="shared" si="12"/>
        <v>3421.5</v>
      </c>
      <c r="J58" s="17">
        <f t="shared" si="12"/>
        <v>5472.5333333333338</v>
      </c>
      <c r="K58" s="106"/>
    </row>
    <row r="59" spans="1:11" outlineLevel="1" x14ac:dyDescent="0.2">
      <c r="A59" s="12">
        <f t="shared" si="10"/>
        <v>10298</v>
      </c>
      <c r="B59" s="13" t="str">
        <f t="shared" si="10"/>
        <v>TAMUG</v>
      </c>
      <c r="C59" s="14">
        <f t="shared" si="11"/>
        <v>1571.238607206865</v>
      </c>
      <c r="D59" s="15">
        <f t="shared" ref="D59:J59" si="13">D101*D188*1.5</f>
        <v>0</v>
      </c>
      <c r="E59" s="16">
        <f t="shared" si="13"/>
        <v>477.16725000000008</v>
      </c>
      <c r="F59" s="16">
        <f t="shared" si="13"/>
        <v>30.558857206865223</v>
      </c>
      <c r="G59" s="18">
        <f t="shared" si="13"/>
        <v>453.24999999999994</v>
      </c>
      <c r="H59" s="15">
        <f t="shared" si="13"/>
        <v>199.46249999999998</v>
      </c>
      <c r="I59" s="16">
        <f t="shared" si="13"/>
        <v>126</v>
      </c>
      <c r="J59" s="17">
        <f t="shared" si="13"/>
        <v>284.8</v>
      </c>
      <c r="K59" s="106"/>
    </row>
    <row r="60" spans="1:11" outlineLevel="1" x14ac:dyDescent="0.2">
      <c r="A60" s="12">
        <f t="shared" si="10"/>
        <v>3630</v>
      </c>
      <c r="B60" s="13" t="str">
        <f t="shared" si="10"/>
        <v>Prairie View</v>
      </c>
      <c r="C60" s="14">
        <f t="shared" si="11"/>
        <v>3646.5196999999998</v>
      </c>
      <c r="D60" s="15">
        <f t="shared" ref="D60:J75" si="14">D102*D189</f>
        <v>48.966666666666669</v>
      </c>
      <c r="E60" s="16">
        <f t="shared" si="14"/>
        <v>403.43636666666669</v>
      </c>
      <c r="F60" s="16">
        <f t="shared" si="14"/>
        <v>0</v>
      </c>
      <c r="G60" s="18">
        <f t="shared" si="14"/>
        <v>1477</v>
      </c>
      <c r="H60" s="15">
        <f t="shared" si="14"/>
        <v>252.95000000000002</v>
      </c>
      <c r="I60" s="16">
        <f t="shared" si="14"/>
        <v>595.5</v>
      </c>
      <c r="J60" s="17">
        <f t="shared" si="14"/>
        <v>868.66666666666663</v>
      </c>
      <c r="K60" s="106"/>
    </row>
    <row r="61" spans="1:11" outlineLevel="1" x14ac:dyDescent="0.2">
      <c r="A61" s="12">
        <f t="shared" si="10"/>
        <v>3631</v>
      </c>
      <c r="B61" s="13" t="str">
        <f t="shared" si="10"/>
        <v>Tarleton</v>
      </c>
      <c r="C61" s="14">
        <f t="shared" si="11"/>
        <v>5363.958333333333</v>
      </c>
      <c r="D61" s="15">
        <f t="shared" si="14"/>
        <v>84.666666666666671</v>
      </c>
      <c r="E61" s="16">
        <f t="shared" si="14"/>
        <v>1466.8499999999997</v>
      </c>
      <c r="F61" s="16">
        <f t="shared" si="14"/>
        <v>0</v>
      </c>
      <c r="G61" s="18">
        <f t="shared" si="14"/>
        <v>2283.75</v>
      </c>
      <c r="H61" s="15">
        <f t="shared" si="14"/>
        <v>683.5</v>
      </c>
      <c r="I61" s="16">
        <f t="shared" si="14"/>
        <v>508.125</v>
      </c>
      <c r="J61" s="17">
        <f t="shared" si="14"/>
        <v>337.06666666666666</v>
      </c>
      <c r="K61" s="106"/>
    </row>
    <row r="62" spans="1:11" outlineLevel="1" x14ac:dyDescent="0.2">
      <c r="A62" s="34">
        <f t="shared" si="10"/>
        <v>103631</v>
      </c>
      <c r="B62" s="13" t="str">
        <f t="shared" si="10"/>
        <v>TAMUCT</v>
      </c>
      <c r="C62" s="14">
        <f t="shared" si="11"/>
        <v>1359.6164336496265</v>
      </c>
      <c r="D62" s="15">
        <f t="shared" si="14"/>
        <v>47.033333333333331</v>
      </c>
      <c r="E62" s="16">
        <f t="shared" si="14"/>
        <v>210.48984444444446</v>
      </c>
      <c r="F62" s="16">
        <f t="shared" si="14"/>
        <v>379.97658920518199</v>
      </c>
      <c r="G62" s="18">
        <f t="shared" si="14"/>
        <v>582.75</v>
      </c>
      <c r="H62" s="15">
        <f t="shared" si="14"/>
        <v>124.94999999999999</v>
      </c>
      <c r="I62" s="16">
        <f t="shared" si="14"/>
        <v>14.416666666666666</v>
      </c>
      <c r="J62" s="17">
        <f t="shared" si="14"/>
        <v>0</v>
      </c>
      <c r="K62" s="106"/>
    </row>
    <row r="63" spans="1:11" outlineLevel="1" x14ac:dyDescent="0.2">
      <c r="A63" s="12">
        <f t="shared" si="10"/>
        <v>11161</v>
      </c>
      <c r="B63" s="13" t="str">
        <f t="shared" si="10"/>
        <v>TAMUCC</v>
      </c>
      <c r="C63" s="14">
        <f t="shared" si="11"/>
        <v>4881.2021111111108</v>
      </c>
      <c r="D63" s="15">
        <f t="shared" si="14"/>
        <v>71.566666666666663</v>
      </c>
      <c r="E63" s="16">
        <f t="shared" si="14"/>
        <v>1270.7854444444447</v>
      </c>
      <c r="F63" s="16">
        <f t="shared" si="14"/>
        <v>0</v>
      </c>
      <c r="G63" s="18">
        <f t="shared" si="14"/>
        <v>1954.75</v>
      </c>
      <c r="H63" s="15">
        <f t="shared" si="14"/>
        <v>306.40000000000003</v>
      </c>
      <c r="I63" s="16">
        <f t="shared" si="14"/>
        <v>738.5</v>
      </c>
      <c r="J63" s="17">
        <f t="shared" si="14"/>
        <v>539.19999999999993</v>
      </c>
      <c r="K63" s="106"/>
    </row>
    <row r="64" spans="1:11" outlineLevel="1" x14ac:dyDescent="0.2">
      <c r="A64" s="12">
        <f t="shared" si="10"/>
        <v>3639</v>
      </c>
      <c r="B64" s="13" t="str">
        <f t="shared" si="10"/>
        <v>TAMUK</v>
      </c>
      <c r="C64" s="14">
        <f t="shared" si="11"/>
        <v>2944.3675833333332</v>
      </c>
      <c r="D64" s="15">
        <f t="shared" si="14"/>
        <v>43.183333333333337</v>
      </c>
      <c r="E64" s="16">
        <f t="shared" si="14"/>
        <v>609.10091666666665</v>
      </c>
      <c r="F64" s="16">
        <f t="shared" si="14"/>
        <v>0</v>
      </c>
      <c r="G64" s="18">
        <f t="shared" si="14"/>
        <v>1296.1666666666665</v>
      </c>
      <c r="H64" s="15">
        <f t="shared" si="14"/>
        <v>195.85000000000002</v>
      </c>
      <c r="I64" s="16">
        <f t="shared" si="14"/>
        <v>457.66666666666674</v>
      </c>
      <c r="J64" s="17">
        <f t="shared" si="14"/>
        <v>342.4</v>
      </c>
      <c r="K64" s="106"/>
    </row>
    <row r="65" spans="1:11" outlineLevel="1" x14ac:dyDescent="0.2">
      <c r="A65" s="34">
        <f t="shared" ref="A65:B80" si="15">A22</f>
        <v>103639</v>
      </c>
      <c r="B65" s="13" t="str">
        <f t="shared" si="15"/>
        <v>TAMUSA</v>
      </c>
      <c r="C65" s="14">
        <f t="shared" si="11"/>
        <v>1865.0207507213197</v>
      </c>
      <c r="D65" s="15">
        <f t="shared" si="14"/>
        <v>68.8</v>
      </c>
      <c r="E65" s="16">
        <f t="shared" si="14"/>
        <v>253.64266666666668</v>
      </c>
      <c r="F65" s="16">
        <f t="shared" si="14"/>
        <v>135.61975072131952</v>
      </c>
      <c r="G65" s="18">
        <f t="shared" si="14"/>
        <v>1017.9166666666666</v>
      </c>
      <c r="H65" s="15">
        <f t="shared" si="14"/>
        <v>364.75</v>
      </c>
      <c r="I65" s="16">
        <f t="shared" si="14"/>
        <v>24.291666666666671</v>
      </c>
      <c r="J65" s="17">
        <f t="shared" si="14"/>
        <v>0</v>
      </c>
      <c r="K65" s="106"/>
    </row>
    <row r="66" spans="1:11" outlineLevel="1" x14ac:dyDescent="0.2">
      <c r="A66" s="12">
        <f t="shared" si="15"/>
        <v>9651</v>
      </c>
      <c r="B66" s="13" t="str">
        <f t="shared" si="15"/>
        <v>TAMI</v>
      </c>
      <c r="C66" s="14">
        <f t="shared" si="11"/>
        <v>3037.6132499999999</v>
      </c>
      <c r="D66" s="15">
        <f t="shared" si="14"/>
        <v>40.116666666666674</v>
      </c>
      <c r="E66" s="16">
        <f t="shared" si="14"/>
        <v>689.40491666666662</v>
      </c>
      <c r="F66" s="16">
        <f t="shared" si="14"/>
        <v>0</v>
      </c>
      <c r="G66" s="18">
        <f t="shared" si="14"/>
        <v>1276.3333333333335</v>
      </c>
      <c r="H66" s="15">
        <f t="shared" si="14"/>
        <v>313.125</v>
      </c>
      <c r="I66" s="16">
        <f t="shared" si="14"/>
        <v>513.16666666666663</v>
      </c>
      <c r="J66" s="17">
        <f t="shared" si="14"/>
        <v>205.46666666666667</v>
      </c>
      <c r="K66" s="106"/>
    </row>
    <row r="67" spans="1:11" outlineLevel="1" x14ac:dyDescent="0.2">
      <c r="A67" s="12">
        <f t="shared" si="15"/>
        <v>3665</v>
      </c>
      <c r="B67" s="13" t="str">
        <f t="shared" si="15"/>
        <v>WTAMU</v>
      </c>
      <c r="C67" s="14">
        <f t="shared" si="11"/>
        <v>4057.9285</v>
      </c>
      <c r="D67" s="15">
        <f t="shared" si="14"/>
        <v>65.36666666666666</v>
      </c>
      <c r="E67" s="16">
        <f t="shared" si="14"/>
        <v>1082.1451666666667</v>
      </c>
      <c r="F67" s="16">
        <f t="shared" si="14"/>
        <v>0</v>
      </c>
      <c r="G67" s="18">
        <f t="shared" si="14"/>
        <v>1618.1666666666665</v>
      </c>
      <c r="H67" s="15">
        <f t="shared" si="14"/>
        <v>262.55</v>
      </c>
      <c r="I67" s="16">
        <f t="shared" si="14"/>
        <v>615.5</v>
      </c>
      <c r="J67" s="17">
        <f t="shared" si="14"/>
        <v>414.2</v>
      </c>
      <c r="K67" s="106"/>
    </row>
    <row r="68" spans="1:11" outlineLevel="1" x14ac:dyDescent="0.2">
      <c r="A68" s="12">
        <f t="shared" si="15"/>
        <v>3565</v>
      </c>
      <c r="B68" s="13" t="str">
        <f t="shared" si="15"/>
        <v>TAMUC</v>
      </c>
      <c r="C68" s="14">
        <f t="shared" si="11"/>
        <v>4422.730833333334</v>
      </c>
      <c r="D68" s="15">
        <f t="shared" si="14"/>
        <v>72.3</v>
      </c>
      <c r="E68" s="16">
        <f t="shared" si="14"/>
        <v>1168.2475000000002</v>
      </c>
      <c r="F68" s="16">
        <f t="shared" si="14"/>
        <v>0</v>
      </c>
      <c r="G68" s="18">
        <f t="shared" si="14"/>
        <v>1941.3333333333333</v>
      </c>
      <c r="H68" s="15">
        <f t="shared" si="14"/>
        <v>440.84999999999997</v>
      </c>
      <c r="I68" s="16">
        <f t="shared" si="14"/>
        <v>611.33333333333337</v>
      </c>
      <c r="J68" s="17">
        <f t="shared" si="14"/>
        <v>188.66666666666669</v>
      </c>
      <c r="K68" s="106"/>
    </row>
    <row r="69" spans="1:11" outlineLevel="1" x14ac:dyDescent="0.2">
      <c r="A69" s="12">
        <f t="shared" si="15"/>
        <v>29269</v>
      </c>
      <c r="B69" s="13" t="str">
        <f t="shared" si="15"/>
        <v>TAMUT</v>
      </c>
      <c r="C69" s="14">
        <f t="shared" si="11"/>
        <v>1088.527626485753</v>
      </c>
      <c r="D69" s="15">
        <f t="shared" si="14"/>
        <v>17.416666666666668</v>
      </c>
      <c r="E69" s="16">
        <f t="shared" si="14"/>
        <v>313.96227344365644</v>
      </c>
      <c r="F69" s="16">
        <f t="shared" si="14"/>
        <v>165.32368637542982</v>
      </c>
      <c r="G69" s="18">
        <f t="shared" si="14"/>
        <v>439.25</v>
      </c>
      <c r="H69" s="15">
        <f t="shared" si="14"/>
        <v>99.075000000000003</v>
      </c>
      <c r="I69" s="16">
        <f t="shared" si="14"/>
        <v>53.5</v>
      </c>
      <c r="J69" s="17">
        <f t="shared" si="14"/>
        <v>0</v>
      </c>
      <c r="K69" s="106"/>
    </row>
    <row r="70" spans="1:11" outlineLevel="1" x14ac:dyDescent="0.2">
      <c r="A70" s="12">
        <f t="shared" si="15"/>
        <v>3652</v>
      </c>
      <c r="B70" s="13" t="str">
        <f t="shared" si="15"/>
        <v>UH</v>
      </c>
      <c r="C70" s="14">
        <f t="shared" si="11"/>
        <v>17996.375</v>
      </c>
      <c r="D70" s="15">
        <f t="shared" si="14"/>
        <v>271.25</v>
      </c>
      <c r="E70" s="16">
        <f t="shared" si="14"/>
        <v>5151.9416666666675</v>
      </c>
      <c r="F70" s="16">
        <f t="shared" si="14"/>
        <v>0</v>
      </c>
      <c r="G70" s="18">
        <f t="shared" si="14"/>
        <v>6452.8333333333339</v>
      </c>
      <c r="H70" s="15">
        <f t="shared" si="14"/>
        <v>1180.1500000000001</v>
      </c>
      <c r="I70" s="16">
        <f t="shared" si="14"/>
        <v>2992</v>
      </c>
      <c r="J70" s="17">
        <f t="shared" si="14"/>
        <v>1948.1999999999998</v>
      </c>
      <c r="K70" s="106"/>
    </row>
    <row r="71" spans="1:11" outlineLevel="1" x14ac:dyDescent="0.2">
      <c r="A71" s="12">
        <f t="shared" si="15"/>
        <v>11711</v>
      </c>
      <c r="B71" s="13" t="str">
        <f t="shared" si="15"/>
        <v>UHCL</v>
      </c>
      <c r="C71" s="14">
        <f t="shared" si="11"/>
        <v>3521.1746344105395</v>
      </c>
      <c r="D71" s="15">
        <f t="shared" si="14"/>
        <v>121.7</v>
      </c>
      <c r="E71" s="16">
        <f t="shared" si="14"/>
        <v>1115.7298733277944</v>
      </c>
      <c r="F71" s="16">
        <f t="shared" si="14"/>
        <v>49.861427749411845</v>
      </c>
      <c r="G71" s="18">
        <f t="shared" si="14"/>
        <v>1413.4166666666665</v>
      </c>
      <c r="H71" s="15">
        <f t="shared" si="14"/>
        <v>319.8</v>
      </c>
      <c r="I71" s="16">
        <f t="shared" si="14"/>
        <v>500.66666666666674</v>
      </c>
      <c r="J71" s="17">
        <f t="shared" si="14"/>
        <v>0</v>
      </c>
      <c r="K71" s="106"/>
    </row>
    <row r="72" spans="1:11" outlineLevel="1" x14ac:dyDescent="0.2">
      <c r="A72" s="12">
        <f t="shared" si="15"/>
        <v>12826</v>
      </c>
      <c r="B72" s="13" t="str">
        <f t="shared" si="15"/>
        <v>UHD</v>
      </c>
      <c r="C72" s="14">
        <f t="shared" si="11"/>
        <v>5974.9103000000005</v>
      </c>
      <c r="D72" s="15">
        <f t="shared" si="14"/>
        <v>238.10000000000002</v>
      </c>
      <c r="E72" s="16">
        <f t="shared" si="14"/>
        <v>515.01030000000003</v>
      </c>
      <c r="F72" s="16">
        <f t="shared" si="14"/>
        <v>0</v>
      </c>
      <c r="G72" s="18">
        <f t="shared" si="14"/>
        <v>3024</v>
      </c>
      <c r="H72" s="15">
        <f t="shared" si="14"/>
        <v>1158.5</v>
      </c>
      <c r="I72" s="16">
        <f t="shared" si="14"/>
        <v>922.5</v>
      </c>
      <c r="J72" s="17">
        <f t="shared" si="14"/>
        <v>116.80000000000001</v>
      </c>
      <c r="K72" s="106"/>
    </row>
    <row r="73" spans="1:11" outlineLevel="1" x14ac:dyDescent="0.2">
      <c r="A73" s="12">
        <f t="shared" si="15"/>
        <v>13231</v>
      </c>
      <c r="B73" s="13" t="str">
        <f t="shared" si="15"/>
        <v>UHV</v>
      </c>
      <c r="C73" s="14">
        <f t="shared" si="11"/>
        <v>1770.52493298586</v>
      </c>
      <c r="D73" s="15">
        <f t="shared" si="14"/>
        <v>31.85</v>
      </c>
      <c r="E73" s="16">
        <f t="shared" si="14"/>
        <v>551.55967428293627</v>
      </c>
      <c r="F73" s="16">
        <f t="shared" si="14"/>
        <v>134.33192536959046</v>
      </c>
      <c r="G73" s="18">
        <f t="shared" si="14"/>
        <v>745.5</v>
      </c>
      <c r="H73" s="15">
        <f t="shared" si="14"/>
        <v>222.20000000000002</v>
      </c>
      <c r="I73" s="16">
        <f t="shared" si="14"/>
        <v>85.083333333333329</v>
      </c>
      <c r="J73" s="17">
        <f t="shared" si="14"/>
        <v>0</v>
      </c>
      <c r="K73" s="106"/>
    </row>
    <row r="74" spans="1:11" outlineLevel="1" x14ac:dyDescent="0.2">
      <c r="A74" s="12">
        <f t="shared" si="15"/>
        <v>3592</v>
      </c>
      <c r="B74" s="13" t="str">
        <f t="shared" si="15"/>
        <v>Midwestern</v>
      </c>
      <c r="C74" s="14">
        <f t="shared" si="11"/>
        <v>3272.9250000000002</v>
      </c>
      <c r="D74" s="15">
        <f t="shared" si="14"/>
        <v>52.900000000000006</v>
      </c>
      <c r="E74" s="16">
        <f t="shared" si="14"/>
        <v>864.0333333333333</v>
      </c>
      <c r="F74" s="16">
        <f t="shared" si="14"/>
        <v>0</v>
      </c>
      <c r="G74" s="18">
        <f t="shared" si="14"/>
        <v>1239.5833333333335</v>
      </c>
      <c r="H74" s="15">
        <f t="shared" si="14"/>
        <v>199.35000000000002</v>
      </c>
      <c r="I74" s="16">
        <f t="shared" si="14"/>
        <v>366.125</v>
      </c>
      <c r="J74" s="17">
        <f t="shared" si="14"/>
        <v>550.93333333333328</v>
      </c>
      <c r="K74" s="106"/>
    </row>
    <row r="75" spans="1:11" outlineLevel="1" x14ac:dyDescent="0.2">
      <c r="A75" s="12">
        <f t="shared" si="15"/>
        <v>3594</v>
      </c>
      <c r="B75" s="13" t="str">
        <f t="shared" si="15"/>
        <v>UNT</v>
      </c>
      <c r="C75" s="14">
        <f t="shared" si="11"/>
        <v>18942.680666666667</v>
      </c>
      <c r="D75" s="15">
        <f t="shared" si="14"/>
        <v>299.2</v>
      </c>
      <c r="E75" s="16">
        <f t="shared" si="14"/>
        <v>6059.7973333333339</v>
      </c>
      <c r="F75" s="16">
        <f t="shared" si="14"/>
        <v>0</v>
      </c>
      <c r="G75" s="18">
        <f t="shared" si="14"/>
        <v>6741</v>
      </c>
      <c r="H75" s="15">
        <f t="shared" si="14"/>
        <v>1138.95</v>
      </c>
      <c r="I75" s="16">
        <f t="shared" si="14"/>
        <v>2817.3333333333339</v>
      </c>
      <c r="J75" s="17">
        <f t="shared" si="14"/>
        <v>1886.3999999999999</v>
      </c>
      <c r="K75" s="106"/>
    </row>
    <row r="76" spans="1:11" outlineLevel="1" x14ac:dyDescent="0.2">
      <c r="A76" s="34">
        <f t="shared" si="15"/>
        <v>113594</v>
      </c>
      <c r="B76" s="13" t="str">
        <f t="shared" si="15"/>
        <v>UNTD</v>
      </c>
      <c r="C76" s="14">
        <f t="shared" si="11"/>
        <v>1119.5297887357567</v>
      </c>
      <c r="D76" s="15">
        <f t="shared" ref="D76:J86" si="16">D118*D205</f>
        <v>38.433333333333337</v>
      </c>
      <c r="E76" s="16">
        <f t="shared" si="16"/>
        <v>258.94458333333336</v>
      </c>
      <c r="F76" s="16">
        <f t="shared" si="16"/>
        <v>183.4935387357566</v>
      </c>
      <c r="G76" s="18">
        <f t="shared" si="16"/>
        <v>520.91666666666674</v>
      </c>
      <c r="H76" s="15">
        <f t="shared" si="16"/>
        <v>107.325</v>
      </c>
      <c r="I76" s="16">
        <f t="shared" si="16"/>
        <v>10.416666666666666</v>
      </c>
      <c r="J76" s="17">
        <f t="shared" si="16"/>
        <v>0</v>
      </c>
      <c r="K76" s="106"/>
    </row>
    <row r="77" spans="1:11" outlineLevel="1" x14ac:dyDescent="0.2">
      <c r="A77" s="12">
        <f t="shared" si="15"/>
        <v>3624</v>
      </c>
      <c r="B77" s="13" t="str">
        <f t="shared" si="15"/>
        <v>SFA</v>
      </c>
      <c r="C77" s="14">
        <f t="shared" si="11"/>
        <v>6977.0180555555562</v>
      </c>
      <c r="D77" s="15">
        <f t="shared" si="16"/>
        <v>99.166666666666671</v>
      </c>
      <c r="E77" s="16">
        <f t="shared" si="16"/>
        <v>1859.2097222222224</v>
      </c>
      <c r="F77" s="16">
        <f t="shared" si="16"/>
        <v>0</v>
      </c>
      <c r="G77" s="18">
        <f t="shared" si="16"/>
        <v>2640.166666666667</v>
      </c>
      <c r="H77" s="15">
        <f t="shared" si="16"/>
        <v>418.8</v>
      </c>
      <c r="I77" s="16">
        <f t="shared" si="16"/>
        <v>798.87500000000011</v>
      </c>
      <c r="J77" s="17">
        <f t="shared" si="16"/>
        <v>1160.8</v>
      </c>
      <c r="K77" s="106"/>
    </row>
    <row r="78" spans="1:11" outlineLevel="1" x14ac:dyDescent="0.2">
      <c r="A78" s="12">
        <f t="shared" si="15"/>
        <v>3642</v>
      </c>
      <c r="B78" s="13" t="str">
        <f t="shared" si="15"/>
        <v>TSU</v>
      </c>
      <c r="C78" s="14">
        <f t="shared" si="11"/>
        <v>2894.0841333333328</v>
      </c>
      <c r="D78" s="15">
        <f t="shared" si="16"/>
        <v>37.1</v>
      </c>
      <c r="E78" s="16">
        <f t="shared" si="16"/>
        <v>77.217466666666667</v>
      </c>
      <c r="F78" s="16">
        <f t="shared" si="16"/>
        <v>0</v>
      </c>
      <c r="G78" s="18">
        <f t="shared" si="16"/>
        <v>1140.4166666666665</v>
      </c>
      <c r="H78" s="15">
        <f t="shared" si="16"/>
        <v>331.34999999999997</v>
      </c>
      <c r="I78" s="16">
        <f t="shared" si="16"/>
        <v>530</v>
      </c>
      <c r="J78" s="17">
        <f t="shared" si="16"/>
        <v>778</v>
      </c>
      <c r="K78" s="106"/>
    </row>
    <row r="79" spans="1:11" outlineLevel="1" x14ac:dyDescent="0.2">
      <c r="A79" s="12">
        <f t="shared" si="15"/>
        <v>3644</v>
      </c>
      <c r="B79" s="13" t="str">
        <f t="shared" si="15"/>
        <v>TTU</v>
      </c>
      <c r="C79" s="14">
        <f t="shared" si="11"/>
        <v>17848.254222222222</v>
      </c>
      <c r="D79" s="15">
        <f t="shared" si="16"/>
        <v>245.86666666666667</v>
      </c>
      <c r="E79" s="16">
        <f t="shared" si="16"/>
        <v>6218.7875555555556</v>
      </c>
      <c r="F79" s="16">
        <f t="shared" si="16"/>
        <v>0</v>
      </c>
      <c r="G79" s="18">
        <f t="shared" si="16"/>
        <v>5194.5833333333339</v>
      </c>
      <c r="H79" s="15">
        <f t="shared" si="16"/>
        <v>976.45</v>
      </c>
      <c r="I79" s="16">
        <f t="shared" si="16"/>
        <v>2003.5</v>
      </c>
      <c r="J79" s="17">
        <f t="shared" si="16"/>
        <v>3209.0666666666671</v>
      </c>
      <c r="K79" s="106"/>
    </row>
    <row r="80" spans="1:11" outlineLevel="1" x14ac:dyDescent="0.2">
      <c r="A80" s="12">
        <f t="shared" si="15"/>
        <v>3541</v>
      </c>
      <c r="B80" s="13" t="str">
        <f t="shared" si="15"/>
        <v>Angelo</v>
      </c>
      <c r="C80" s="14">
        <f t="shared" si="11"/>
        <v>3329.2776944444445</v>
      </c>
      <c r="D80" s="15">
        <f t="shared" si="16"/>
        <v>52.183333333333337</v>
      </c>
      <c r="E80" s="16">
        <f t="shared" si="16"/>
        <v>755.52769444444459</v>
      </c>
      <c r="F80" s="16">
        <f t="shared" si="16"/>
        <v>0</v>
      </c>
      <c r="G80" s="18">
        <f t="shared" si="16"/>
        <v>1341.0833333333335</v>
      </c>
      <c r="H80" s="15">
        <f t="shared" si="16"/>
        <v>206.70000000000002</v>
      </c>
      <c r="I80" s="16">
        <f t="shared" si="16"/>
        <v>393.25000000000006</v>
      </c>
      <c r="J80" s="17">
        <f t="shared" si="16"/>
        <v>580.5333333333333</v>
      </c>
      <c r="K80" s="106"/>
    </row>
    <row r="81" spans="1:11" outlineLevel="1" x14ac:dyDescent="0.2">
      <c r="A81" s="12">
        <f t="shared" ref="A81:B86" si="17">A38</f>
        <v>3646</v>
      </c>
      <c r="B81" s="13" t="str">
        <f t="shared" si="17"/>
        <v>TWU</v>
      </c>
      <c r="C81" s="14">
        <f t="shared" si="11"/>
        <v>5456.1505000000006</v>
      </c>
      <c r="D81" s="15">
        <f t="shared" si="16"/>
        <v>92.966666666666669</v>
      </c>
      <c r="E81" s="16">
        <f t="shared" si="16"/>
        <v>1662.7088333333334</v>
      </c>
      <c r="F81" s="16">
        <f t="shared" si="16"/>
        <v>0</v>
      </c>
      <c r="G81" s="18">
        <f t="shared" si="16"/>
        <v>2247</v>
      </c>
      <c r="H81" s="15">
        <f t="shared" si="16"/>
        <v>700</v>
      </c>
      <c r="I81" s="16">
        <f t="shared" si="16"/>
        <v>499.875</v>
      </c>
      <c r="J81" s="17">
        <f t="shared" si="16"/>
        <v>253.60000000000002</v>
      </c>
      <c r="K81" s="106"/>
    </row>
    <row r="82" spans="1:11" outlineLevel="1" x14ac:dyDescent="0.2">
      <c r="A82" s="12">
        <f t="shared" si="17"/>
        <v>3581</v>
      </c>
      <c r="B82" s="13" t="str">
        <f t="shared" si="17"/>
        <v>Lamar</v>
      </c>
      <c r="C82" s="14">
        <f t="shared" si="11"/>
        <v>4411.8741333333328</v>
      </c>
      <c r="D82" s="15">
        <f t="shared" si="16"/>
        <v>68.600000000000009</v>
      </c>
      <c r="E82" s="16">
        <f t="shared" si="16"/>
        <v>530.14080000000001</v>
      </c>
      <c r="F82" s="16">
        <f t="shared" si="16"/>
        <v>0</v>
      </c>
      <c r="G82" s="18">
        <f t="shared" si="16"/>
        <v>1728.4166666666665</v>
      </c>
      <c r="H82" s="15">
        <f t="shared" si="16"/>
        <v>330.55</v>
      </c>
      <c r="I82" s="16">
        <f t="shared" si="16"/>
        <v>753.16666666666663</v>
      </c>
      <c r="J82" s="17">
        <f t="shared" si="16"/>
        <v>1001</v>
      </c>
      <c r="K82" s="106"/>
    </row>
    <row r="83" spans="1:11" outlineLevel="1" x14ac:dyDescent="0.2">
      <c r="A83" s="12">
        <f t="shared" si="17"/>
        <v>3606</v>
      </c>
      <c r="B83" s="13" t="str">
        <f t="shared" si="17"/>
        <v>SHSU</v>
      </c>
      <c r="C83" s="14">
        <f t="shared" si="11"/>
        <v>10392.599333333334</v>
      </c>
      <c r="D83" s="15">
        <f t="shared" si="16"/>
        <v>154.05000000000001</v>
      </c>
      <c r="E83" s="16">
        <f t="shared" si="16"/>
        <v>3191.9160000000002</v>
      </c>
      <c r="F83" s="16">
        <f t="shared" si="16"/>
        <v>0</v>
      </c>
      <c r="G83" s="18">
        <f t="shared" si="16"/>
        <v>3911.25</v>
      </c>
      <c r="H83" s="15">
        <f t="shared" si="16"/>
        <v>592.55000000000007</v>
      </c>
      <c r="I83" s="16">
        <f t="shared" si="16"/>
        <v>1502.8333333333333</v>
      </c>
      <c r="J83" s="17">
        <f t="shared" si="16"/>
        <v>1040</v>
      </c>
      <c r="K83" s="106"/>
    </row>
    <row r="84" spans="1:11" outlineLevel="1" x14ac:dyDescent="0.2">
      <c r="A84" s="12">
        <f t="shared" si="17"/>
        <v>3615</v>
      </c>
      <c r="B84" s="13" t="str">
        <f t="shared" si="17"/>
        <v>TXST</v>
      </c>
      <c r="C84" s="14">
        <f t="shared" si="11"/>
        <v>19166.341333333334</v>
      </c>
      <c r="D84" s="15">
        <f t="shared" si="16"/>
        <v>275.90000000000003</v>
      </c>
      <c r="E84" s="16">
        <f t="shared" si="16"/>
        <v>6102.9080000000004</v>
      </c>
      <c r="F84" s="16">
        <f t="shared" si="16"/>
        <v>0</v>
      </c>
      <c r="G84" s="18">
        <f t="shared" si="16"/>
        <v>6741.5833333333339</v>
      </c>
      <c r="H84" s="15">
        <f t="shared" si="16"/>
        <v>1147.45</v>
      </c>
      <c r="I84" s="16">
        <f t="shared" si="16"/>
        <v>2874.5</v>
      </c>
      <c r="J84" s="17">
        <f t="shared" si="16"/>
        <v>2024</v>
      </c>
      <c r="K84" s="106"/>
    </row>
    <row r="85" spans="1:11" outlineLevel="1" x14ac:dyDescent="0.2">
      <c r="A85" s="12">
        <f t="shared" si="17"/>
        <v>3625</v>
      </c>
      <c r="B85" s="13" t="str">
        <f t="shared" si="17"/>
        <v>SRSU</v>
      </c>
      <c r="C85" s="14">
        <f t="shared" si="11"/>
        <v>663.50644491270327</v>
      </c>
      <c r="D85" s="15">
        <f t="shared" si="16"/>
        <v>0</v>
      </c>
      <c r="E85" s="16">
        <f t="shared" si="16"/>
        <v>21.338333333333335</v>
      </c>
      <c r="F85" s="16">
        <f t="shared" si="16"/>
        <v>66.601444912703201</v>
      </c>
      <c r="G85" s="18">
        <f t="shared" si="16"/>
        <v>296.33333333333337</v>
      </c>
      <c r="H85" s="15">
        <f t="shared" si="16"/>
        <v>44.400000000000006</v>
      </c>
      <c r="I85" s="16">
        <f t="shared" si="16"/>
        <v>98.833333333333329</v>
      </c>
      <c r="J85" s="17">
        <f t="shared" si="16"/>
        <v>136</v>
      </c>
      <c r="K85" s="106"/>
    </row>
    <row r="86" spans="1:11" outlineLevel="1" x14ac:dyDescent="0.2">
      <c r="A86" s="12">
        <f t="shared" si="17"/>
        <v>20</v>
      </c>
      <c r="B86" s="13" t="str">
        <f t="shared" si="17"/>
        <v>SRRG</v>
      </c>
      <c r="C86" s="14">
        <f t="shared" si="11"/>
        <v>626.28891476826732</v>
      </c>
      <c r="D86" s="15">
        <f t="shared" si="16"/>
        <v>7.8000000000000007</v>
      </c>
      <c r="E86" s="16">
        <f t="shared" si="16"/>
        <v>61.586949152542367</v>
      </c>
      <c r="F86" s="16">
        <f t="shared" si="16"/>
        <v>245.70196561572493</v>
      </c>
      <c r="G86" s="18">
        <f t="shared" si="16"/>
        <v>242.66666666666666</v>
      </c>
      <c r="H86" s="15">
        <f t="shared" si="16"/>
        <v>45.449999999999996</v>
      </c>
      <c r="I86" s="16">
        <f t="shared" si="16"/>
        <v>23.083333333333332</v>
      </c>
      <c r="J86" s="17">
        <f t="shared" si="16"/>
        <v>0</v>
      </c>
      <c r="K86" s="106"/>
    </row>
    <row r="87" spans="1:11" ht="13.5" outlineLevel="1" thickBot="1" x14ac:dyDescent="0.25">
      <c r="A87" s="21"/>
      <c r="B87" s="22" t="s">
        <v>48</v>
      </c>
      <c r="C87" s="35">
        <f t="shared" ref="C87:J87" si="18">SUM(C49:C86)</f>
        <v>286771.92610643484</v>
      </c>
      <c r="D87" s="36">
        <f t="shared" si="18"/>
        <v>4658.7166666666662</v>
      </c>
      <c r="E87" s="37">
        <f t="shared" si="18"/>
        <v>87831.654006526791</v>
      </c>
      <c r="F87" s="37">
        <f t="shared" si="18"/>
        <v>1420.8429332414478</v>
      </c>
      <c r="G87" s="40">
        <f t="shared" si="18"/>
        <v>98767.9</v>
      </c>
      <c r="H87" s="39">
        <f t="shared" si="18"/>
        <v>21534.687500000004</v>
      </c>
      <c r="I87" s="41">
        <f t="shared" si="18"/>
        <v>36708.791666666679</v>
      </c>
      <c r="J87" s="38">
        <f t="shared" si="18"/>
        <v>35849.333333333336</v>
      </c>
    </row>
    <row r="88" spans="1:11" ht="13.5" thickBot="1" x14ac:dyDescent="0.25">
      <c r="A88" s="29" t="s">
        <v>50</v>
      </c>
    </row>
    <row r="89" spans="1:11" ht="12.75" customHeight="1" outlineLevel="1" x14ac:dyDescent="0.2">
      <c r="A89" s="163" t="s">
        <v>0</v>
      </c>
      <c r="B89" s="165" t="s">
        <v>1</v>
      </c>
      <c r="C89" s="167" t="s">
        <v>77</v>
      </c>
      <c r="D89" s="177" t="s">
        <v>3</v>
      </c>
      <c r="E89" s="178"/>
      <c r="F89" s="178"/>
      <c r="G89" s="158" t="s">
        <v>4</v>
      </c>
      <c r="H89" s="160" t="s">
        <v>5</v>
      </c>
      <c r="I89" s="161"/>
      <c r="J89" s="162"/>
      <c r="K89" s="173"/>
    </row>
    <row r="90" spans="1:11" ht="51.75" outlineLevel="1" thickBot="1" x14ac:dyDescent="0.25">
      <c r="A90" s="164"/>
      <c r="B90" s="166"/>
      <c r="C90" s="168"/>
      <c r="D90" s="68"/>
      <c r="E90" s="69" t="s">
        <v>6</v>
      </c>
      <c r="F90" s="69" t="s">
        <v>7</v>
      </c>
      <c r="G90" s="185"/>
      <c r="H90" s="107" t="s">
        <v>8</v>
      </c>
      <c r="I90" s="108" t="s">
        <v>9</v>
      </c>
      <c r="J90" s="109" t="s">
        <v>10</v>
      </c>
      <c r="K90" s="173"/>
    </row>
    <row r="91" spans="1:11" outlineLevel="1" x14ac:dyDescent="0.2">
      <c r="A91" s="12">
        <f t="shared" ref="A91:B106" si="19">A6</f>
        <v>3656</v>
      </c>
      <c r="B91" s="13" t="str">
        <f t="shared" si="19"/>
        <v>UTA</v>
      </c>
      <c r="C91" s="110">
        <f t="shared" ref="C91:C128" si="20">SUM(D91:J91)</f>
        <v>1</v>
      </c>
      <c r="D91" s="111">
        <f t="shared" ref="D91:J106" si="21">HLOOKUP(D132,$D$171:$J$172,2,0)</f>
        <v>0.05</v>
      </c>
      <c r="E91" s="111">
        <f t="shared" si="21"/>
        <v>0.25</v>
      </c>
      <c r="F91" s="111">
        <f t="shared" si="21"/>
        <v>0</v>
      </c>
      <c r="G91" s="111">
        <f t="shared" si="21"/>
        <v>0.25</v>
      </c>
      <c r="H91" s="111">
        <f t="shared" si="21"/>
        <v>0.2</v>
      </c>
      <c r="I91" s="111">
        <f t="shared" si="21"/>
        <v>0.15</v>
      </c>
      <c r="J91" s="112">
        <f t="shared" si="21"/>
        <v>0.1</v>
      </c>
      <c r="K91" s="105"/>
    </row>
    <row r="92" spans="1:11" outlineLevel="1" x14ac:dyDescent="0.2">
      <c r="A92" s="12">
        <f t="shared" si="19"/>
        <v>3658</v>
      </c>
      <c r="B92" s="13" t="str">
        <f t="shared" si="19"/>
        <v>UT</v>
      </c>
      <c r="C92" s="110">
        <f t="shared" si="20"/>
        <v>1</v>
      </c>
      <c r="D92" s="111">
        <f t="shared" si="21"/>
        <v>0.05</v>
      </c>
      <c r="E92" s="111">
        <f t="shared" si="21"/>
        <v>0.25</v>
      </c>
      <c r="F92" s="111">
        <f t="shared" si="21"/>
        <v>0</v>
      </c>
      <c r="G92" s="111">
        <f t="shared" si="21"/>
        <v>0.2</v>
      </c>
      <c r="H92" s="111">
        <f t="shared" si="21"/>
        <v>0.1</v>
      </c>
      <c r="I92" s="111">
        <f t="shared" si="21"/>
        <v>0.15</v>
      </c>
      <c r="J92" s="112">
        <f t="shared" si="21"/>
        <v>0.25</v>
      </c>
      <c r="K92" s="106"/>
    </row>
    <row r="93" spans="1:11" outlineLevel="1" x14ac:dyDescent="0.2">
      <c r="A93" s="12">
        <f t="shared" si="19"/>
        <v>9741</v>
      </c>
      <c r="B93" s="13" t="str">
        <f t="shared" si="19"/>
        <v>UTD</v>
      </c>
      <c r="C93" s="110">
        <f t="shared" si="20"/>
        <v>1.0000000000000002</v>
      </c>
      <c r="D93" s="111">
        <f t="shared" si="21"/>
        <v>0.05</v>
      </c>
      <c r="E93" s="111">
        <f t="shared" si="21"/>
        <v>0.25</v>
      </c>
      <c r="F93" s="111">
        <f t="shared" si="21"/>
        <v>0</v>
      </c>
      <c r="G93" s="111">
        <f t="shared" si="21"/>
        <v>0.25</v>
      </c>
      <c r="H93" s="111">
        <f t="shared" si="21"/>
        <v>0.15</v>
      </c>
      <c r="I93" s="111">
        <f t="shared" si="21"/>
        <v>0.2</v>
      </c>
      <c r="J93" s="112">
        <f t="shared" si="21"/>
        <v>0.1</v>
      </c>
      <c r="K93" s="106"/>
    </row>
    <row r="94" spans="1:11" outlineLevel="1" x14ac:dyDescent="0.2">
      <c r="A94" s="12">
        <f t="shared" si="19"/>
        <v>3661</v>
      </c>
      <c r="B94" s="13" t="str">
        <f t="shared" si="19"/>
        <v>UTEP</v>
      </c>
      <c r="C94" s="110">
        <f t="shared" si="20"/>
        <v>1</v>
      </c>
      <c r="D94" s="111">
        <f t="shared" si="21"/>
        <v>0.05</v>
      </c>
      <c r="E94" s="111">
        <f t="shared" si="21"/>
        <v>0.25</v>
      </c>
      <c r="F94" s="111">
        <f t="shared" si="21"/>
        <v>0</v>
      </c>
      <c r="G94" s="111">
        <f t="shared" si="21"/>
        <v>0.25</v>
      </c>
      <c r="H94" s="111">
        <f t="shared" si="21"/>
        <v>0.1</v>
      </c>
      <c r="I94" s="111">
        <f t="shared" si="21"/>
        <v>0.2</v>
      </c>
      <c r="J94" s="112">
        <f t="shared" si="21"/>
        <v>0.15</v>
      </c>
      <c r="K94" s="106"/>
    </row>
    <row r="95" spans="1:11" outlineLevel="1" x14ac:dyDescent="0.2">
      <c r="A95" s="12">
        <f t="shared" si="19"/>
        <v>3599</v>
      </c>
      <c r="B95" s="13" t="str">
        <f t="shared" si="19"/>
        <v>UTPA</v>
      </c>
      <c r="C95" s="110">
        <f t="shared" si="20"/>
        <v>1</v>
      </c>
      <c r="D95" s="111">
        <f t="shared" si="21"/>
        <v>0.05</v>
      </c>
      <c r="E95" s="111">
        <f t="shared" si="21"/>
        <v>0.25</v>
      </c>
      <c r="F95" s="111">
        <f t="shared" si="21"/>
        <v>0</v>
      </c>
      <c r="G95" s="111">
        <f t="shared" si="21"/>
        <v>0.25</v>
      </c>
      <c r="H95" s="111">
        <f t="shared" si="21"/>
        <v>0.1</v>
      </c>
      <c r="I95" s="111">
        <f t="shared" si="21"/>
        <v>0.15</v>
      </c>
      <c r="J95" s="112">
        <f t="shared" si="21"/>
        <v>0.2</v>
      </c>
      <c r="K95" s="106"/>
    </row>
    <row r="96" spans="1:11" outlineLevel="1" x14ac:dyDescent="0.2">
      <c r="A96" s="12">
        <f t="shared" si="19"/>
        <v>30646</v>
      </c>
      <c r="B96" s="13" t="str">
        <f t="shared" si="19"/>
        <v>UTB</v>
      </c>
      <c r="C96" s="110">
        <f t="shared" si="20"/>
        <v>0.99999999999999989</v>
      </c>
      <c r="D96" s="111">
        <f t="shared" si="21"/>
        <v>0.1</v>
      </c>
      <c r="E96" s="111">
        <f t="shared" si="21"/>
        <v>0.25</v>
      </c>
      <c r="F96" s="111">
        <f t="shared" si="21"/>
        <v>0.05</v>
      </c>
      <c r="G96" s="111">
        <f t="shared" si="21"/>
        <v>0.25</v>
      </c>
      <c r="H96" s="111">
        <f t="shared" si="21"/>
        <v>0.2</v>
      </c>
      <c r="I96" s="111">
        <f t="shared" si="21"/>
        <v>0.15</v>
      </c>
      <c r="J96" s="112">
        <f t="shared" si="21"/>
        <v>0</v>
      </c>
      <c r="K96" s="106"/>
    </row>
    <row r="97" spans="1:11" outlineLevel="1" x14ac:dyDescent="0.2">
      <c r="A97" s="12">
        <f t="shared" si="19"/>
        <v>9930</v>
      </c>
      <c r="B97" s="13" t="str">
        <f t="shared" si="19"/>
        <v>UTPB</v>
      </c>
      <c r="C97" s="110">
        <f t="shared" si="20"/>
        <v>1.0000000000000002</v>
      </c>
      <c r="D97" s="111">
        <f t="shared" si="21"/>
        <v>0.05</v>
      </c>
      <c r="E97" s="111">
        <f t="shared" si="21"/>
        <v>0.25</v>
      </c>
      <c r="F97" s="111">
        <f t="shared" si="21"/>
        <v>0</v>
      </c>
      <c r="G97" s="111">
        <f t="shared" si="21"/>
        <v>0.25</v>
      </c>
      <c r="H97" s="111">
        <f t="shared" si="21"/>
        <v>0.15</v>
      </c>
      <c r="I97" s="111">
        <f t="shared" si="21"/>
        <v>0.2</v>
      </c>
      <c r="J97" s="112">
        <f t="shared" si="21"/>
        <v>0.1</v>
      </c>
      <c r="K97" s="106"/>
    </row>
    <row r="98" spans="1:11" outlineLevel="1" x14ac:dyDescent="0.2">
      <c r="A98" s="12">
        <f t="shared" si="19"/>
        <v>10115</v>
      </c>
      <c r="B98" s="13" t="str">
        <f t="shared" si="19"/>
        <v>UTSA</v>
      </c>
      <c r="C98" s="110">
        <f t="shared" si="20"/>
        <v>1</v>
      </c>
      <c r="D98" s="111">
        <f t="shared" si="21"/>
        <v>0.05</v>
      </c>
      <c r="E98" s="111">
        <f t="shared" si="21"/>
        <v>0.25</v>
      </c>
      <c r="F98" s="111">
        <f t="shared" si="21"/>
        <v>0</v>
      </c>
      <c r="G98" s="111">
        <f t="shared" si="21"/>
        <v>0.25</v>
      </c>
      <c r="H98" s="111">
        <f t="shared" si="21"/>
        <v>0.1</v>
      </c>
      <c r="I98" s="111">
        <f t="shared" si="21"/>
        <v>0.2</v>
      </c>
      <c r="J98" s="112">
        <f t="shared" si="21"/>
        <v>0.15</v>
      </c>
      <c r="K98" s="106"/>
    </row>
    <row r="99" spans="1:11" outlineLevel="1" x14ac:dyDescent="0.2">
      <c r="A99" s="12">
        <f t="shared" si="19"/>
        <v>11163</v>
      </c>
      <c r="B99" s="13" t="str">
        <f t="shared" si="19"/>
        <v>UTT</v>
      </c>
      <c r="C99" s="110">
        <f t="shared" si="20"/>
        <v>1.0000000000000002</v>
      </c>
      <c r="D99" s="111">
        <f t="shared" si="21"/>
        <v>0.05</v>
      </c>
      <c r="E99" s="111">
        <f t="shared" si="21"/>
        <v>0.25</v>
      </c>
      <c r="F99" s="111">
        <f t="shared" si="21"/>
        <v>0</v>
      </c>
      <c r="G99" s="111">
        <f t="shared" si="21"/>
        <v>0.25</v>
      </c>
      <c r="H99" s="111">
        <f t="shared" si="21"/>
        <v>0.15</v>
      </c>
      <c r="I99" s="111">
        <f t="shared" si="21"/>
        <v>0.2</v>
      </c>
      <c r="J99" s="112">
        <f t="shared" si="21"/>
        <v>0.1</v>
      </c>
      <c r="K99" s="106"/>
    </row>
    <row r="100" spans="1:11" outlineLevel="1" x14ac:dyDescent="0.2">
      <c r="A100" s="12">
        <f t="shared" si="19"/>
        <v>3632</v>
      </c>
      <c r="B100" s="13" t="str">
        <f t="shared" si="19"/>
        <v>TAMU</v>
      </c>
      <c r="C100" s="110">
        <f t="shared" si="20"/>
        <v>1</v>
      </c>
      <c r="D100" s="111">
        <f t="shared" si="21"/>
        <v>0.05</v>
      </c>
      <c r="E100" s="111">
        <f t="shared" si="21"/>
        <v>0.25</v>
      </c>
      <c r="F100" s="111">
        <f t="shared" si="21"/>
        <v>0</v>
      </c>
      <c r="G100" s="111">
        <f t="shared" si="21"/>
        <v>0.25</v>
      </c>
      <c r="H100" s="111">
        <f t="shared" si="21"/>
        <v>0.1</v>
      </c>
      <c r="I100" s="111">
        <f t="shared" si="21"/>
        <v>0.15</v>
      </c>
      <c r="J100" s="112">
        <f t="shared" si="21"/>
        <v>0.2</v>
      </c>
      <c r="K100" s="106"/>
    </row>
    <row r="101" spans="1:11" outlineLevel="1" x14ac:dyDescent="0.2">
      <c r="A101" s="12">
        <f t="shared" si="19"/>
        <v>10298</v>
      </c>
      <c r="B101" s="13" t="str">
        <f t="shared" si="19"/>
        <v>TAMUG</v>
      </c>
      <c r="C101" s="110">
        <f t="shared" si="20"/>
        <v>1</v>
      </c>
      <c r="D101" s="111">
        <f t="shared" si="21"/>
        <v>0</v>
      </c>
      <c r="E101" s="111">
        <f t="shared" si="21"/>
        <v>0.25</v>
      </c>
      <c r="F101" s="111">
        <f t="shared" si="21"/>
        <v>0.05</v>
      </c>
      <c r="G101" s="111">
        <f t="shared" si="21"/>
        <v>0.25</v>
      </c>
      <c r="H101" s="111">
        <f t="shared" si="21"/>
        <v>0.15</v>
      </c>
      <c r="I101" s="111">
        <f t="shared" si="21"/>
        <v>0.1</v>
      </c>
      <c r="J101" s="112">
        <f t="shared" si="21"/>
        <v>0.2</v>
      </c>
      <c r="K101" s="106"/>
    </row>
    <row r="102" spans="1:11" outlineLevel="1" x14ac:dyDescent="0.2">
      <c r="A102" s="12">
        <f t="shared" si="19"/>
        <v>3630</v>
      </c>
      <c r="B102" s="13" t="str">
        <f t="shared" si="19"/>
        <v>Prairie View</v>
      </c>
      <c r="C102" s="110">
        <f t="shared" si="20"/>
        <v>1</v>
      </c>
      <c r="D102" s="111">
        <f t="shared" si="21"/>
        <v>0.05</v>
      </c>
      <c r="E102" s="111">
        <f t="shared" si="21"/>
        <v>0.15</v>
      </c>
      <c r="F102" s="111">
        <f t="shared" si="21"/>
        <v>0</v>
      </c>
      <c r="G102" s="111">
        <f t="shared" si="21"/>
        <v>0.25</v>
      </c>
      <c r="H102" s="111">
        <f t="shared" si="21"/>
        <v>0.1</v>
      </c>
      <c r="I102" s="111">
        <f t="shared" si="21"/>
        <v>0.2</v>
      </c>
      <c r="J102" s="112">
        <f t="shared" si="21"/>
        <v>0.25</v>
      </c>
      <c r="K102" s="106"/>
    </row>
    <row r="103" spans="1:11" outlineLevel="1" x14ac:dyDescent="0.2">
      <c r="A103" s="12">
        <f t="shared" si="19"/>
        <v>3631</v>
      </c>
      <c r="B103" s="13" t="str">
        <f t="shared" si="19"/>
        <v>Tarleton</v>
      </c>
      <c r="C103" s="110">
        <f t="shared" si="20"/>
        <v>1</v>
      </c>
      <c r="D103" s="111">
        <f t="shared" si="21"/>
        <v>0.05</v>
      </c>
      <c r="E103" s="111">
        <f t="shared" si="21"/>
        <v>0.25</v>
      </c>
      <c r="F103" s="111">
        <f t="shared" si="21"/>
        <v>0</v>
      </c>
      <c r="G103" s="111">
        <f t="shared" si="21"/>
        <v>0.25</v>
      </c>
      <c r="H103" s="111">
        <f t="shared" si="21"/>
        <v>0.2</v>
      </c>
      <c r="I103" s="111">
        <f t="shared" si="21"/>
        <v>0.15</v>
      </c>
      <c r="J103" s="112">
        <f t="shared" si="21"/>
        <v>0.1</v>
      </c>
      <c r="K103" s="106"/>
    </row>
    <row r="104" spans="1:11" outlineLevel="1" x14ac:dyDescent="0.2">
      <c r="A104" s="34">
        <f t="shared" si="19"/>
        <v>103631</v>
      </c>
      <c r="B104" s="13" t="str">
        <f t="shared" si="19"/>
        <v>TAMUCT</v>
      </c>
      <c r="C104" s="110">
        <f t="shared" si="20"/>
        <v>1</v>
      </c>
      <c r="D104" s="111">
        <f t="shared" si="21"/>
        <v>0.1</v>
      </c>
      <c r="E104" s="111">
        <f t="shared" si="21"/>
        <v>0.2</v>
      </c>
      <c r="F104" s="111">
        <f t="shared" si="21"/>
        <v>0.25</v>
      </c>
      <c r="G104" s="111">
        <f t="shared" si="21"/>
        <v>0.25</v>
      </c>
      <c r="H104" s="111">
        <f t="shared" si="21"/>
        <v>0.15</v>
      </c>
      <c r="I104" s="111">
        <f t="shared" si="21"/>
        <v>0.05</v>
      </c>
      <c r="J104" s="112">
        <f t="shared" si="21"/>
        <v>0</v>
      </c>
      <c r="K104" s="106"/>
    </row>
    <row r="105" spans="1:11" outlineLevel="1" x14ac:dyDescent="0.2">
      <c r="A105" s="12">
        <f t="shared" si="19"/>
        <v>11161</v>
      </c>
      <c r="B105" s="13" t="str">
        <f t="shared" si="19"/>
        <v>TAMUCC</v>
      </c>
      <c r="C105" s="110">
        <f t="shared" si="20"/>
        <v>1</v>
      </c>
      <c r="D105" s="111">
        <f t="shared" si="21"/>
        <v>0.05</v>
      </c>
      <c r="E105" s="111">
        <f t="shared" si="21"/>
        <v>0.25</v>
      </c>
      <c r="F105" s="111">
        <f t="shared" si="21"/>
        <v>0</v>
      </c>
      <c r="G105" s="111">
        <f t="shared" si="21"/>
        <v>0.25</v>
      </c>
      <c r="H105" s="111">
        <f t="shared" si="21"/>
        <v>0.1</v>
      </c>
      <c r="I105" s="111">
        <f t="shared" si="21"/>
        <v>0.2</v>
      </c>
      <c r="J105" s="112">
        <f t="shared" si="21"/>
        <v>0.15</v>
      </c>
      <c r="K105" s="106"/>
    </row>
    <row r="106" spans="1:11" outlineLevel="1" x14ac:dyDescent="0.2">
      <c r="A106" s="12">
        <f t="shared" si="19"/>
        <v>3639</v>
      </c>
      <c r="B106" s="13" t="str">
        <f t="shared" si="19"/>
        <v>TAMUK</v>
      </c>
      <c r="C106" s="110">
        <f t="shared" si="20"/>
        <v>1</v>
      </c>
      <c r="D106" s="111">
        <f t="shared" si="21"/>
        <v>0.05</v>
      </c>
      <c r="E106" s="111">
        <f t="shared" si="21"/>
        <v>0.25</v>
      </c>
      <c r="F106" s="111">
        <f t="shared" si="21"/>
        <v>0</v>
      </c>
      <c r="G106" s="111">
        <f t="shared" si="21"/>
        <v>0.25</v>
      </c>
      <c r="H106" s="111">
        <f t="shared" si="21"/>
        <v>0.1</v>
      </c>
      <c r="I106" s="111">
        <f t="shared" si="21"/>
        <v>0.2</v>
      </c>
      <c r="J106" s="112">
        <f t="shared" si="21"/>
        <v>0.15</v>
      </c>
      <c r="K106" s="106"/>
    </row>
    <row r="107" spans="1:11" outlineLevel="1" x14ac:dyDescent="0.2">
      <c r="A107" s="34">
        <f t="shared" ref="A107:B122" si="22">A22</f>
        <v>103639</v>
      </c>
      <c r="B107" s="13" t="str">
        <f t="shared" si="22"/>
        <v>TAMUSA</v>
      </c>
      <c r="C107" s="110">
        <f t="shared" si="20"/>
        <v>1</v>
      </c>
      <c r="D107" s="111">
        <f t="shared" ref="D107:J122" si="23">HLOOKUP(D148,$D$171:$J$172,2,0)</f>
        <v>0.1</v>
      </c>
      <c r="E107" s="111">
        <f t="shared" si="23"/>
        <v>0.2</v>
      </c>
      <c r="F107" s="111">
        <f t="shared" si="23"/>
        <v>0.15</v>
      </c>
      <c r="G107" s="111">
        <f t="shared" si="23"/>
        <v>0.25</v>
      </c>
      <c r="H107" s="111">
        <f t="shared" si="23"/>
        <v>0.25</v>
      </c>
      <c r="I107" s="111">
        <f t="shared" si="23"/>
        <v>0.05</v>
      </c>
      <c r="J107" s="112">
        <f t="shared" si="23"/>
        <v>0</v>
      </c>
      <c r="K107" s="106"/>
    </row>
    <row r="108" spans="1:11" outlineLevel="1" x14ac:dyDescent="0.2">
      <c r="A108" s="12">
        <f t="shared" si="22"/>
        <v>9651</v>
      </c>
      <c r="B108" s="13" t="str">
        <f t="shared" si="22"/>
        <v>TAMI</v>
      </c>
      <c r="C108" s="110">
        <f t="shared" si="20"/>
        <v>1.0000000000000002</v>
      </c>
      <c r="D108" s="111">
        <f t="shared" si="23"/>
        <v>0.05</v>
      </c>
      <c r="E108" s="111">
        <f t="shared" si="23"/>
        <v>0.25</v>
      </c>
      <c r="F108" s="111">
        <f t="shared" si="23"/>
        <v>0</v>
      </c>
      <c r="G108" s="111">
        <f t="shared" si="23"/>
        <v>0.25</v>
      </c>
      <c r="H108" s="111">
        <f t="shared" si="23"/>
        <v>0.15</v>
      </c>
      <c r="I108" s="111">
        <f t="shared" si="23"/>
        <v>0.2</v>
      </c>
      <c r="J108" s="112">
        <f t="shared" si="23"/>
        <v>0.1</v>
      </c>
      <c r="K108" s="106"/>
    </row>
    <row r="109" spans="1:11" outlineLevel="1" x14ac:dyDescent="0.2">
      <c r="A109" s="12">
        <f t="shared" si="22"/>
        <v>3665</v>
      </c>
      <c r="B109" s="13" t="str">
        <f t="shared" si="22"/>
        <v>WTAMU</v>
      </c>
      <c r="C109" s="110">
        <f t="shared" si="20"/>
        <v>1</v>
      </c>
      <c r="D109" s="111">
        <f t="shared" si="23"/>
        <v>0.05</v>
      </c>
      <c r="E109" s="111">
        <f t="shared" si="23"/>
        <v>0.25</v>
      </c>
      <c r="F109" s="111">
        <f t="shared" si="23"/>
        <v>0</v>
      </c>
      <c r="G109" s="111">
        <f t="shared" si="23"/>
        <v>0.25</v>
      </c>
      <c r="H109" s="111">
        <f t="shared" si="23"/>
        <v>0.1</v>
      </c>
      <c r="I109" s="111">
        <f t="shared" si="23"/>
        <v>0.2</v>
      </c>
      <c r="J109" s="112">
        <f t="shared" si="23"/>
        <v>0.15</v>
      </c>
      <c r="K109" s="106"/>
    </row>
    <row r="110" spans="1:11" outlineLevel="1" x14ac:dyDescent="0.2">
      <c r="A110" s="12">
        <f t="shared" si="22"/>
        <v>3565</v>
      </c>
      <c r="B110" s="13" t="str">
        <f t="shared" si="22"/>
        <v>TAMUC</v>
      </c>
      <c r="C110" s="110">
        <f t="shared" si="20"/>
        <v>1.0000000000000002</v>
      </c>
      <c r="D110" s="111">
        <f t="shared" si="23"/>
        <v>0.05</v>
      </c>
      <c r="E110" s="111">
        <f t="shared" si="23"/>
        <v>0.25</v>
      </c>
      <c r="F110" s="111">
        <f t="shared" si="23"/>
        <v>0</v>
      </c>
      <c r="G110" s="111">
        <f t="shared" si="23"/>
        <v>0.25</v>
      </c>
      <c r="H110" s="111">
        <f t="shared" si="23"/>
        <v>0.15</v>
      </c>
      <c r="I110" s="111">
        <f t="shared" si="23"/>
        <v>0.2</v>
      </c>
      <c r="J110" s="112">
        <f t="shared" si="23"/>
        <v>0.1</v>
      </c>
      <c r="K110" s="106"/>
    </row>
    <row r="111" spans="1:11" outlineLevel="1" x14ac:dyDescent="0.2">
      <c r="A111" s="12">
        <f t="shared" si="22"/>
        <v>29269</v>
      </c>
      <c r="B111" s="13" t="str">
        <f t="shared" si="22"/>
        <v>TAMUT</v>
      </c>
      <c r="C111" s="110">
        <f t="shared" si="20"/>
        <v>1</v>
      </c>
      <c r="D111" s="111">
        <f t="shared" si="23"/>
        <v>0.05</v>
      </c>
      <c r="E111" s="111">
        <f t="shared" si="23"/>
        <v>0.25</v>
      </c>
      <c r="F111" s="111">
        <f t="shared" si="23"/>
        <v>0.2</v>
      </c>
      <c r="G111" s="111">
        <f t="shared" si="23"/>
        <v>0.25</v>
      </c>
      <c r="H111" s="111">
        <f t="shared" si="23"/>
        <v>0.15</v>
      </c>
      <c r="I111" s="111">
        <f t="shared" si="23"/>
        <v>0.1</v>
      </c>
      <c r="J111" s="112">
        <f t="shared" si="23"/>
        <v>0</v>
      </c>
      <c r="K111" s="106"/>
    </row>
    <row r="112" spans="1:11" outlineLevel="1" x14ac:dyDescent="0.2">
      <c r="A112" s="12">
        <f t="shared" si="22"/>
        <v>3652</v>
      </c>
      <c r="B112" s="13" t="str">
        <f t="shared" si="22"/>
        <v>UH</v>
      </c>
      <c r="C112" s="110">
        <f t="shared" si="20"/>
        <v>1</v>
      </c>
      <c r="D112" s="111">
        <f t="shared" si="23"/>
        <v>0.05</v>
      </c>
      <c r="E112" s="111">
        <f t="shared" si="23"/>
        <v>0.25</v>
      </c>
      <c r="F112" s="111">
        <f t="shared" si="23"/>
        <v>0</v>
      </c>
      <c r="G112" s="111">
        <f t="shared" si="23"/>
        <v>0.25</v>
      </c>
      <c r="H112" s="111">
        <f t="shared" si="23"/>
        <v>0.1</v>
      </c>
      <c r="I112" s="111">
        <f t="shared" si="23"/>
        <v>0.2</v>
      </c>
      <c r="J112" s="112">
        <f t="shared" si="23"/>
        <v>0.15</v>
      </c>
      <c r="K112" s="106"/>
    </row>
    <row r="113" spans="1:14" outlineLevel="1" x14ac:dyDescent="0.2">
      <c r="A113" s="12">
        <f t="shared" si="22"/>
        <v>11711</v>
      </c>
      <c r="B113" s="13" t="str">
        <f t="shared" si="22"/>
        <v>UHCL</v>
      </c>
      <c r="C113" s="110">
        <f t="shared" si="20"/>
        <v>1</v>
      </c>
      <c r="D113" s="111">
        <f t="shared" si="23"/>
        <v>0.1</v>
      </c>
      <c r="E113" s="111">
        <f t="shared" si="23"/>
        <v>0.25</v>
      </c>
      <c r="F113" s="111">
        <f t="shared" si="23"/>
        <v>0.05</v>
      </c>
      <c r="G113" s="111">
        <f t="shared" si="23"/>
        <v>0.25</v>
      </c>
      <c r="H113" s="111">
        <f t="shared" si="23"/>
        <v>0.15</v>
      </c>
      <c r="I113" s="111">
        <f t="shared" si="23"/>
        <v>0.2</v>
      </c>
      <c r="J113" s="112">
        <f t="shared" si="23"/>
        <v>0</v>
      </c>
      <c r="K113" s="106"/>
    </row>
    <row r="114" spans="1:14" outlineLevel="1" x14ac:dyDescent="0.2">
      <c r="A114" s="12">
        <f t="shared" si="22"/>
        <v>12826</v>
      </c>
      <c r="B114" s="13" t="str">
        <f t="shared" si="22"/>
        <v>UHD</v>
      </c>
      <c r="C114" s="110">
        <f t="shared" si="20"/>
        <v>1</v>
      </c>
      <c r="D114" s="111">
        <f t="shared" si="23"/>
        <v>0.1</v>
      </c>
      <c r="E114" s="111">
        <f t="shared" si="23"/>
        <v>0.15</v>
      </c>
      <c r="F114" s="111">
        <f t="shared" si="23"/>
        <v>0</v>
      </c>
      <c r="G114" s="111">
        <f t="shared" si="23"/>
        <v>0.25</v>
      </c>
      <c r="H114" s="111">
        <f t="shared" si="23"/>
        <v>0.25</v>
      </c>
      <c r="I114" s="111">
        <f t="shared" si="23"/>
        <v>0.2</v>
      </c>
      <c r="J114" s="112">
        <f t="shared" si="23"/>
        <v>0.05</v>
      </c>
      <c r="K114" s="106"/>
    </row>
    <row r="115" spans="1:14" outlineLevel="1" x14ac:dyDescent="0.2">
      <c r="A115" s="12">
        <f t="shared" si="22"/>
        <v>13231</v>
      </c>
      <c r="B115" s="13" t="str">
        <f t="shared" si="22"/>
        <v>UHV</v>
      </c>
      <c r="C115" s="110">
        <f t="shared" si="20"/>
        <v>0.99999999999999989</v>
      </c>
      <c r="D115" s="111">
        <f t="shared" si="23"/>
        <v>0.05</v>
      </c>
      <c r="E115" s="111">
        <f t="shared" si="23"/>
        <v>0.25</v>
      </c>
      <c r="F115" s="111">
        <f t="shared" si="23"/>
        <v>0.15</v>
      </c>
      <c r="G115" s="111">
        <f t="shared" si="23"/>
        <v>0.25</v>
      </c>
      <c r="H115" s="111">
        <f t="shared" si="23"/>
        <v>0.2</v>
      </c>
      <c r="I115" s="111">
        <f t="shared" si="23"/>
        <v>0.1</v>
      </c>
      <c r="J115" s="112">
        <f t="shared" si="23"/>
        <v>0</v>
      </c>
      <c r="K115" s="106"/>
    </row>
    <row r="116" spans="1:14" outlineLevel="1" x14ac:dyDescent="0.2">
      <c r="A116" s="12">
        <f t="shared" si="22"/>
        <v>3592</v>
      </c>
      <c r="B116" s="13" t="str">
        <f t="shared" si="22"/>
        <v>Midwestern</v>
      </c>
      <c r="C116" s="110">
        <f t="shared" si="20"/>
        <v>1</v>
      </c>
      <c r="D116" s="111">
        <f t="shared" si="23"/>
        <v>0.05</v>
      </c>
      <c r="E116" s="111">
        <f t="shared" si="23"/>
        <v>0.25</v>
      </c>
      <c r="F116" s="111">
        <f t="shared" si="23"/>
        <v>0</v>
      </c>
      <c r="G116" s="111">
        <f t="shared" si="23"/>
        <v>0.25</v>
      </c>
      <c r="H116" s="111">
        <f t="shared" si="23"/>
        <v>0.1</v>
      </c>
      <c r="I116" s="111">
        <f t="shared" si="23"/>
        <v>0.15</v>
      </c>
      <c r="J116" s="112">
        <f t="shared" si="23"/>
        <v>0.2</v>
      </c>
      <c r="K116" s="106"/>
    </row>
    <row r="117" spans="1:14" outlineLevel="1" x14ac:dyDescent="0.2">
      <c r="A117" s="12">
        <f t="shared" si="22"/>
        <v>3594</v>
      </c>
      <c r="B117" s="13" t="str">
        <f t="shared" si="22"/>
        <v>UNT</v>
      </c>
      <c r="C117" s="110">
        <f t="shared" si="20"/>
        <v>1</v>
      </c>
      <c r="D117" s="111">
        <f t="shared" si="23"/>
        <v>0.05</v>
      </c>
      <c r="E117" s="111">
        <f t="shared" si="23"/>
        <v>0.25</v>
      </c>
      <c r="F117" s="111">
        <f t="shared" si="23"/>
        <v>0</v>
      </c>
      <c r="G117" s="111">
        <f t="shared" si="23"/>
        <v>0.25</v>
      </c>
      <c r="H117" s="111">
        <f t="shared" si="23"/>
        <v>0.1</v>
      </c>
      <c r="I117" s="111">
        <f t="shared" si="23"/>
        <v>0.2</v>
      </c>
      <c r="J117" s="112">
        <f t="shared" si="23"/>
        <v>0.15</v>
      </c>
      <c r="K117" s="106"/>
      <c r="N117" s="113"/>
    </row>
    <row r="118" spans="1:14" outlineLevel="1" x14ac:dyDescent="0.2">
      <c r="A118" s="34">
        <f t="shared" si="22"/>
        <v>113594</v>
      </c>
      <c r="B118" s="13" t="str">
        <f t="shared" si="22"/>
        <v>UNTD</v>
      </c>
      <c r="C118" s="110">
        <f t="shared" si="20"/>
        <v>1</v>
      </c>
      <c r="D118" s="111">
        <f t="shared" si="23"/>
        <v>0.1</v>
      </c>
      <c r="E118" s="111">
        <f t="shared" si="23"/>
        <v>0.25</v>
      </c>
      <c r="F118" s="111">
        <f t="shared" si="23"/>
        <v>0.2</v>
      </c>
      <c r="G118" s="111">
        <f t="shared" si="23"/>
        <v>0.25</v>
      </c>
      <c r="H118" s="111">
        <f t="shared" si="23"/>
        <v>0.15</v>
      </c>
      <c r="I118" s="111">
        <f t="shared" si="23"/>
        <v>0.05</v>
      </c>
      <c r="J118" s="112">
        <f t="shared" si="23"/>
        <v>0</v>
      </c>
      <c r="K118" s="106"/>
    </row>
    <row r="119" spans="1:14" outlineLevel="1" x14ac:dyDescent="0.2">
      <c r="A119" s="12">
        <f t="shared" si="22"/>
        <v>3624</v>
      </c>
      <c r="B119" s="13" t="str">
        <f t="shared" si="22"/>
        <v>SFA</v>
      </c>
      <c r="C119" s="110">
        <f t="shared" si="20"/>
        <v>1</v>
      </c>
      <c r="D119" s="111">
        <f t="shared" si="23"/>
        <v>0.05</v>
      </c>
      <c r="E119" s="111">
        <f t="shared" si="23"/>
        <v>0.25</v>
      </c>
      <c r="F119" s="111">
        <f t="shared" si="23"/>
        <v>0</v>
      </c>
      <c r="G119" s="111">
        <f t="shared" si="23"/>
        <v>0.25</v>
      </c>
      <c r="H119" s="111">
        <f t="shared" si="23"/>
        <v>0.1</v>
      </c>
      <c r="I119" s="111">
        <f t="shared" si="23"/>
        <v>0.15</v>
      </c>
      <c r="J119" s="112">
        <f t="shared" si="23"/>
        <v>0.2</v>
      </c>
      <c r="K119" s="106"/>
    </row>
    <row r="120" spans="1:14" outlineLevel="1" x14ac:dyDescent="0.2">
      <c r="A120" s="12">
        <f t="shared" si="22"/>
        <v>3642</v>
      </c>
      <c r="B120" s="13" t="str">
        <f t="shared" si="22"/>
        <v>TSU</v>
      </c>
      <c r="C120" s="110">
        <f t="shared" si="20"/>
        <v>1</v>
      </c>
      <c r="D120" s="111">
        <f t="shared" si="23"/>
        <v>0.05</v>
      </c>
      <c r="E120" s="111">
        <f t="shared" si="23"/>
        <v>0.1</v>
      </c>
      <c r="F120" s="111">
        <f t="shared" si="23"/>
        <v>0</v>
      </c>
      <c r="G120" s="111">
        <f t="shared" si="23"/>
        <v>0.25</v>
      </c>
      <c r="H120" s="111">
        <f t="shared" si="23"/>
        <v>0.15</v>
      </c>
      <c r="I120" s="111">
        <f t="shared" si="23"/>
        <v>0.2</v>
      </c>
      <c r="J120" s="112">
        <f t="shared" si="23"/>
        <v>0.25</v>
      </c>
      <c r="K120" s="106"/>
    </row>
    <row r="121" spans="1:14" outlineLevel="1" x14ac:dyDescent="0.2">
      <c r="A121" s="12">
        <f t="shared" si="22"/>
        <v>3644</v>
      </c>
      <c r="B121" s="13" t="str">
        <f t="shared" si="22"/>
        <v>TTU</v>
      </c>
      <c r="C121" s="110">
        <f t="shared" si="20"/>
        <v>1</v>
      </c>
      <c r="D121" s="111">
        <f t="shared" si="23"/>
        <v>0.05</v>
      </c>
      <c r="E121" s="111">
        <f t="shared" si="23"/>
        <v>0.25</v>
      </c>
      <c r="F121" s="111">
        <f t="shared" si="23"/>
        <v>0</v>
      </c>
      <c r="G121" s="111">
        <f t="shared" si="23"/>
        <v>0.25</v>
      </c>
      <c r="H121" s="111">
        <f t="shared" si="23"/>
        <v>0.1</v>
      </c>
      <c r="I121" s="111">
        <f t="shared" si="23"/>
        <v>0.15</v>
      </c>
      <c r="J121" s="112">
        <f t="shared" si="23"/>
        <v>0.2</v>
      </c>
      <c r="K121" s="106"/>
    </row>
    <row r="122" spans="1:14" outlineLevel="1" x14ac:dyDescent="0.2">
      <c r="A122" s="12">
        <f t="shared" si="22"/>
        <v>3541</v>
      </c>
      <c r="B122" s="13" t="str">
        <f t="shared" si="22"/>
        <v>Angelo</v>
      </c>
      <c r="C122" s="110">
        <f t="shared" si="20"/>
        <v>1</v>
      </c>
      <c r="D122" s="111">
        <f t="shared" si="23"/>
        <v>0.05</v>
      </c>
      <c r="E122" s="111">
        <f t="shared" si="23"/>
        <v>0.25</v>
      </c>
      <c r="F122" s="111">
        <f t="shared" si="23"/>
        <v>0</v>
      </c>
      <c r="G122" s="111">
        <f t="shared" si="23"/>
        <v>0.25</v>
      </c>
      <c r="H122" s="111">
        <f t="shared" si="23"/>
        <v>0.1</v>
      </c>
      <c r="I122" s="111">
        <f t="shared" si="23"/>
        <v>0.15</v>
      </c>
      <c r="J122" s="112">
        <f t="shared" si="23"/>
        <v>0.2</v>
      </c>
      <c r="K122" s="106"/>
    </row>
    <row r="123" spans="1:14" outlineLevel="1" x14ac:dyDescent="0.2">
      <c r="A123" s="12">
        <f t="shared" ref="A123:B128" si="24">A38</f>
        <v>3646</v>
      </c>
      <c r="B123" s="13" t="str">
        <f t="shared" si="24"/>
        <v>TWU</v>
      </c>
      <c r="C123" s="110">
        <f t="shared" si="20"/>
        <v>1</v>
      </c>
      <c r="D123" s="111">
        <f t="shared" ref="D123:J128" si="25">HLOOKUP(D164,$D$171:$J$172,2,0)</f>
        <v>0.05</v>
      </c>
      <c r="E123" s="111">
        <f t="shared" si="25"/>
        <v>0.25</v>
      </c>
      <c r="F123" s="111">
        <f t="shared" si="25"/>
        <v>0</v>
      </c>
      <c r="G123" s="111">
        <f t="shared" si="25"/>
        <v>0.25</v>
      </c>
      <c r="H123" s="111">
        <f t="shared" si="25"/>
        <v>0.2</v>
      </c>
      <c r="I123" s="111">
        <f t="shared" si="25"/>
        <v>0.15</v>
      </c>
      <c r="J123" s="112">
        <f t="shared" si="25"/>
        <v>0.1</v>
      </c>
      <c r="K123" s="106"/>
    </row>
    <row r="124" spans="1:14" outlineLevel="1" x14ac:dyDescent="0.2">
      <c r="A124" s="12">
        <f t="shared" si="24"/>
        <v>3581</v>
      </c>
      <c r="B124" s="13" t="str">
        <f t="shared" si="24"/>
        <v>Lamar</v>
      </c>
      <c r="C124" s="110">
        <f t="shared" si="20"/>
        <v>1</v>
      </c>
      <c r="D124" s="111">
        <f t="shared" si="25"/>
        <v>0.05</v>
      </c>
      <c r="E124" s="111">
        <f t="shared" si="25"/>
        <v>0.15</v>
      </c>
      <c r="F124" s="111">
        <f t="shared" si="25"/>
        <v>0</v>
      </c>
      <c r="G124" s="111">
        <f t="shared" si="25"/>
        <v>0.25</v>
      </c>
      <c r="H124" s="111">
        <f t="shared" si="25"/>
        <v>0.1</v>
      </c>
      <c r="I124" s="111">
        <f t="shared" si="25"/>
        <v>0.2</v>
      </c>
      <c r="J124" s="112">
        <f t="shared" si="25"/>
        <v>0.25</v>
      </c>
      <c r="K124" s="106"/>
    </row>
    <row r="125" spans="1:14" outlineLevel="1" x14ac:dyDescent="0.2">
      <c r="A125" s="12">
        <f t="shared" si="24"/>
        <v>3606</v>
      </c>
      <c r="B125" s="13" t="str">
        <f t="shared" si="24"/>
        <v>SHSU</v>
      </c>
      <c r="C125" s="110">
        <f t="shared" si="20"/>
        <v>1</v>
      </c>
      <c r="D125" s="111">
        <f t="shared" si="25"/>
        <v>0.05</v>
      </c>
      <c r="E125" s="111">
        <f t="shared" si="25"/>
        <v>0.25</v>
      </c>
      <c r="F125" s="111">
        <f t="shared" si="25"/>
        <v>0</v>
      </c>
      <c r="G125" s="111">
        <f t="shared" si="25"/>
        <v>0.25</v>
      </c>
      <c r="H125" s="111">
        <f t="shared" si="25"/>
        <v>0.1</v>
      </c>
      <c r="I125" s="111">
        <f t="shared" si="25"/>
        <v>0.2</v>
      </c>
      <c r="J125" s="112">
        <f t="shared" si="25"/>
        <v>0.15</v>
      </c>
      <c r="K125" s="106"/>
    </row>
    <row r="126" spans="1:14" outlineLevel="1" x14ac:dyDescent="0.2">
      <c r="A126" s="12">
        <f t="shared" si="24"/>
        <v>3615</v>
      </c>
      <c r="B126" s="13" t="str">
        <f t="shared" si="24"/>
        <v>TXST</v>
      </c>
      <c r="C126" s="110">
        <f t="shared" si="20"/>
        <v>1</v>
      </c>
      <c r="D126" s="111">
        <f t="shared" si="25"/>
        <v>0.05</v>
      </c>
      <c r="E126" s="111">
        <f t="shared" si="25"/>
        <v>0.25</v>
      </c>
      <c r="F126" s="111">
        <f t="shared" si="25"/>
        <v>0</v>
      </c>
      <c r="G126" s="111">
        <f t="shared" si="25"/>
        <v>0.25</v>
      </c>
      <c r="H126" s="111">
        <f t="shared" si="25"/>
        <v>0.1</v>
      </c>
      <c r="I126" s="111">
        <f t="shared" si="25"/>
        <v>0.2</v>
      </c>
      <c r="J126" s="112">
        <f t="shared" si="25"/>
        <v>0.15</v>
      </c>
      <c r="K126" s="106"/>
    </row>
    <row r="127" spans="1:14" outlineLevel="1" x14ac:dyDescent="0.2">
      <c r="A127" s="12">
        <f t="shared" si="24"/>
        <v>3625</v>
      </c>
      <c r="B127" s="13" t="str">
        <f t="shared" si="24"/>
        <v>SRSU</v>
      </c>
      <c r="C127" s="110">
        <f t="shared" si="20"/>
        <v>1</v>
      </c>
      <c r="D127" s="111">
        <f t="shared" si="25"/>
        <v>0</v>
      </c>
      <c r="E127" s="111">
        <f t="shared" si="25"/>
        <v>0.05</v>
      </c>
      <c r="F127" s="111">
        <f t="shared" si="25"/>
        <v>0.15</v>
      </c>
      <c r="G127" s="111">
        <f t="shared" si="25"/>
        <v>0.25</v>
      </c>
      <c r="H127" s="111">
        <f t="shared" si="25"/>
        <v>0.1</v>
      </c>
      <c r="I127" s="111">
        <f t="shared" si="25"/>
        <v>0.2</v>
      </c>
      <c r="J127" s="112">
        <f t="shared" si="25"/>
        <v>0.25</v>
      </c>
      <c r="K127" s="106"/>
    </row>
    <row r="128" spans="1:14" ht="13.5" outlineLevel="1" thickBot="1" x14ac:dyDescent="0.25">
      <c r="A128" s="114">
        <f t="shared" si="24"/>
        <v>20</v>
      </c>
      <c r="B128" s="115" t="str">
        <f t="shared" si="24"/>
        <v>SRRG</v>
      </c>
      <c r="C128" s="116">
        <f t="shared" si="20"/>
        <v>1</v>
      </c>
      <c r="D128" s="117">
        <f t="shared" si="25"/>
        <v>0.05</v>
      </c>
      <c r="E128" s="117">
        <f t="shared" si="25"/>
        <v>0.2</v>
      </c>
      <c r="F128" s="117">
        <f t="shared" si="25"/>
        <v>0.25</v>
      </c>
      <c r="G128" s="117">
        <f t="shared" si="25"/>
        <v>0.25</v>
      </c>
      <c r="H128" s="117">
        <f t="shared" si="25"/>
        <v>0.15</v>
      </c>
      <c r="I128" s="117">
        <f t="shared" si="25"/>
        <v>0.1</v>
      </c>
      <c r="J128" s="118">
        <f t="shared" si="25"/>
        <v>0</v>
      </c>
      <c r="K128" s="106"/>
    </row>
    <row r="129" spans="1:11" ht="13.5" thickBot="1" x14ac:dyDescent="0.25">
      <c r="A129" s="119" t="s">
        <v>78</v>
      </c>
      <c r="B129" s="27"/>
      <c r="C129" s="120"/>
      <c r="D129" s="121"/>
      <c r="E129" s="121"/>
      <c r="F129" s="121"/>
      <c r="G129" s="121"/>
      <c r="H129" s="121"/>
      <c r="I129" s="121"/>
      <c r="J129" s="121"/>
      <c r="K129" s="106"/>
    </row>
    <row r="130" spans="1:11" ht="12.75" customHeight="1" outlineLevel="1" x14ac:dyDescent="0.2">
      <c r="A130" s="179" t="s">
        <v>0</v>
      </c>
      <c r="B130" s="181" t="s">
        <v>1</v>
      </c>
      <c r="C130" s="183" t="s">
        <v>2</v>
      </c>
      <c r="D130" s="178" t="s">
        <v>3</v>
      </c>
      <c r="E130" s="178"/>
      <c r="F130" s="178"/>
      <c r="G130" s="158" t="s">
        <v>4</v>
      </c>
      <c r="H130" s="160" t="s">
        <v>5</v>
      </c>
      <c r="I130" s="161"/>
      <c r="J130" s="162"/>
      <c r="K130" s="106"/>
    </row>
    <row r="131" spans="1:11" ht="51.75" customHeight="1" outlineLevel="1" thickBot="1" x14ac:dyDescent="0.25">
      <c r="A131" s="180"/>
      <c r="B131" s="182"/>
      <c r="C131" s="184"/>
      <c r="D131" s="122"/>
      <c r="E131" s="104" t="s">
        <v>6</v>
      </c>
      <c r="F131" s="104" t="s">
        <v>7</v>
      </c>
      <c r="G131" s="159"/>
      <c r="H131" s="70" t="s">
        <v>8</v>
      </c>
      <c r="I131" s="71" t="s">
        <v>9</v>
      </c>
      <c r="J131" s="72" t="s">
        <v>10</v>
      </c>
      <c r="K131" s="106"/>
    </row>
    <row r="132" spans="1:11" outlineLevel="1" x14ac:dyDescent="0.2">
      <c r="A132" s="12">
        <f t="shared" ref="A132:B147" si="26">A91</f>
        <v>3656</v>
      </c>
      <c r="B132" s="13" t="str">
        <f t="shared" si="26"/>
        <v>UTA</v>
      </c>
      <c r="C132" s="120"/>
      <c r="D132" s="123">
        <f t="shared" ref="D132:J147" si="27">RANK(D178,$D178:$J178)</f>
        <v>6</v>
      </c>
      <c r="E132" s="124">
        <f t="shared" si="27"/>
        <v>2</v>
      </c>
      <c r="F132" s="124">
        <f t="shared" si="27"/>
        <v>7</v>
      </c>
      <c r="G132" s="125">
        <f t="shared" si="27"/>
        <v>1</v>
      </c>
      <c r="H132" s="123">
        <f t="shared" si="27"/>
        <v>3</v>
      </c>
      <c r="I132" s="124">
        <f t="shared" si="27"/>
        <v>4</v>
      </c>
      <c r="J132" s="126">
        <f t="shared" si="27"/>
        <v>5</v>
      </c>
      <c r="K132" s="106"/>
    </row>
    <row r="133" spans="1:11" outlineLevel="1" x14ac:dyDescent="0.2">
      <c r="A133" s="12">
        <f t="shared" si="26"/>
        <v>3658</v>
      </c>
      <c r="B133" s="13" t="str">
        <f t="shared" si="26"/>
        <v>UT</v>
      </c>
      <c r="C133" s="120"/>
      <c r="D133" s="127">
        <f t="shared" si="27"/>
        <v>6</v>
      </c>
      <c r="E133" s="128">
        <f t="shared" si="27"/>
        <v>1</v>
      </c>
      <c r="F133" s="128">
        <f t="shared" si="27"/>
        <v>7</v>
      </c>
      <c r="G133" s="127">
        <f t="shared" si="27"/>
        <v>3</v>
      </c>
      <c r="H133" s="127">
        <f t="shared" si="27"/>
        <v>5</v>
      </c>
      <c r="I133" s="128">
        <f t="shared" si="27"/>
        <v>4</v>
      </c>
      <c r="J133" s="129">
        <f t="shared" si="27"/>
        <v>2</v>
      </c>
      <c r="K133" s="106"/>
    </row>
    <row r="134" spans="1:11" outlineLevel="1" x14ac:dyDescent="0.2">
      <c r="A134" s="12">
        <f t="shared" si="26"/>
        <v>9741</v>
      </c>
      <c r="B134" s="13" t="str">
        <f t="shared" si="26"/>
        <v>UTD</v>
      </c>
      <c r="C134" s="120"/>
      <c r="D134" s="127">
        <f t="shared" si="27"/>
        <v>6</v>
      </c>
      <c r="E134" s="128">
        <f t="shared" si="27"/>
        <v>1</v>
      </c>
      <c r="F134" s="128">
        <f t="shared" si="27"/>
        <v>7</v>
      </c>
      <c r="G134" s="127">
        <f t="shared" si="27"/>
        <v>2</v>
      </c>
      <c r="H134" s="127">
        <f t="shared" si="27"/>
        <v>4</v>
      </c>
      <c r="I134" s="128">
        <f t="shared" si="27"/>
        <v>3</v>
      </c>
      <c r="J134" s="129">
        <f t="shared" si="27"/>
        <v>5</v>
      </c>
      <c r="K134" s="106"/>
    </row>
    <row r="135" spans="1:11" outlineLevel="1" x14ac:dyDescent="0.2">
      <c r="A135" s="12">
        <f t="shared" si="26"/>
        <v>3661</v>
      </c>
      <c r="B135" s="13" t="str">
        <f t="shared" si="26"/>
        <v>UTEP</v>
      </c>
      <c r="C135" s="120"/>
      <c r="D135" s="127">
        <f t="shared" si="27"/>
        <v>6</v>
      </c>
      <c r="E135" s="128">
        <f t="shared" si="27"/>
        <v>2</v>
      </c>
      <c r="F135" s="128">
        <f t="shared" si="27"/>
        <v>7</v>
      </c>
      <c r="G135" s="127">
        <f t="shared" si="27"/>
        <v>1</v>
      </c>
      <c r="H135" s="127">
        <f t="shared" si="27"/>
        <v>5</v>
      </c>
      <c r="I135" s="128">
        <f t="shared" si="27"/>
        <v>3</v>
      </c>
      <c r="J135" s="129">
        <f t="shared" si="27"/>
        <v>4</v>
      </c>
      <c r="K135" s="106"/>
    </row>
    <row r="136" spans="1:11" outlineLevel="1" x14ac:dyDescent="0.2">
      <c r="A136" s="12">
        <f t="shared" si="26"/>
        <v>3599</v>
      </c>
      <c r="B136" s="13" t="str">
        <f t="shared" si="26"/>
        <v>UTPA</v>
      </c>
      <c r="C136" s="120"/>
      <c r="D136" s="127">
        <f t="shared" si="27"/>
        <v>6</v>
      </c>
      <c r="E136" s="128">
        <f t="shared" si="27"/>
        <v>2</v>
      </c>
      <c r="F136" s="128">
        <f t="shared" si="27"/>
        <v>7</v>
      </c>
      <c r="G136" s="127">
        <f t="shared" si="27"/>
        <v>1</v>
      </c>
      <c r="H136" s="127">
        <f t="shared" si="27"/>
        <v>5</v>
      </c>
      <c r="I136" s="128">
        <f t="shared" si="27"/>
        <v>4</v>
      </c>
      <c r="J136" s="129">
        <f t="shared" si="27"/>
        <v>3</v>
      </c>
      <c r="K136" s="106"/>
    </row>
    <row r="137" spans="1:11" outlineLevel="1" x14ac:dyDescent="0.2">
      <c r="A137" s="12">
        <f t="shared" si="26"/>
        <v>30646</v>
      </c>
      <c r="B137" s="13" t="str">
        <f t="shared" si="26"/>
        <v>UTB</v>
      </c>
      <c r="C137" s="120"/>
      <c r="D137" s="127">
        <f t="shared" si="27"/>
        <v>5</v>
      </c>
      <c r="E137" s="128">
        <f t="shared" si="27"/>
        <v>2</v>
      </c>
      <c r="F137" s="128">
        <f t="shared" si="27"/>
        <v>6</v>
      </c>
      <c r="G137" s="127">
        <f t="shared" si="27"/>
        <v>1</v>
      </c>
      <c r="H137" s="127">
        <f t="shared" si="27"/>
        <v>3</v>
      </c>
      <c r="I137" s="128">
        <f t="shared" si="27"/>
        <v>4</v>
      </c>
      <c r="J137" s="129">
        <f t="shared" si="27"/>
        <v>7</v>
      </c>
      <c r="K137" s="106"/>
    </row>
    <row r="138" spans="1:11" outlineLevel="1" x14ac:dyDescent="0.2">
      <c r="A138" s="12">
        <f t="shared" si="26"/>
        <v>9930</v>
      </c>
      <c r="B138" s="13" t="str">
        <f t="shared" si="26"/>
        <v>UTPB</v>
      </c>
      <c r="C138" s="120"/>
      <c r="D138" s="127">
        <f t="shared" si="27"/>
        <v>6</v>
      </c>
      <c r="E138" s="128">
        <f t="shared" si="27"/>
        <v>2</v>
      </c>
      <c r="F138" s="128">
        <f t="shared" si="27"/>
        <v>7</v>
      </c>
      <c r="G138" s="127">
        <f t="shared" si="27"/>
        <v>1</v>
      </c>
      <c r="H138" s="127">
        <f t="shared" si="27"/>
        <v>4</v>
      </c>
      <c r="I138" s="128">
        <f t="shared" si="27"/>
        <v>3</v>
      </c>
      <c r="J138" s="129">
        <f t="shared" si="27"/>
        <v>5</v>
      </c>
      <c r="K138" s="106"/>
    </row>
    <row r="139" spans="1:11" outlineLevel="1" x14ac:dyDescent="0.2">
      <c r="A139" s="12">
        <f t="shared" si="26"/>
        <v>10115</v>
      </c>
      <c r="B139" s="13" t="str">
        <f t="shared" si="26"/>
        <v>UTSA</v>
      </c>
      <c r="C139" s="120"/>
      <c r="D139" s="127">
        <f t="shared" si="27"/>
        <v>6</v>
      </c>
      <c r="E139" s="128">
        <f t="shared" si="27"/>
        <v>2</v>
      </c>
      <c r="F139" s="128">
        <f t="shared" si="27"/>
        <v>7</v>
      </c>
      <c r="G139" s="127">
        <f t="shared" si="27"/>
        <v>1</v>
      </c>
      <c r="H139" s="127">
        <f t="shared" si="27"/>
        <v>5</v>
      </c>
      <c r="I139" s="128">
        <f t="shared" si="27"/>
        <v>3</v>
      </c>
      <c r="J139" s="129">
        <f t="shared" si="27"/>
        <v>4</v>
      </c>
      <c r="K139" s="106"/>
    </row>
    <row r="140" spans="1:11" outlineLevel="1" x14ac:dyDescent="0.2">
      <c r="A140" s="12">
        <f t="shared" si="26"/>
        <v>11163</v>
      </c>
      <c r="B140" s="13" t="str">
        <f t="shared" si="26"/>
        <v>UTT</v>
      </c>
      <c r="C140" s="120"/>
      <c r="D140" s="127">
        <f t="shared" si="27"/>
        <v>6</v>
      </c>
      <c r="E140" s="128">
        <f t="shared" si="27"/>
        <v>2</v>
      </c>
      <c r="F140" s="128">
        <f t="shared" si="27"/>
        <v>7</v>
      </c>
      <c r="G140" s="127">
        <f t="shared" si="27"/>
        <v>1</v>
      </c>
      <c r="H140" s="127">
        <f t="shared" si="27"/>
        <v>4</v>
      </c>
      <c r="I140" s="128">
        <f t="shared" si="27"/>
        <v>3</v>
      </c>
      <c r="J140" s="129">
        <f t="shared" si="27"/>
        <v>5</v>
      </c>
      <c r="K140" s="106"/>
    </row>
    <row r="141" spans="1:11" outlineLevel="1" x14ac:dyDescent="0.2">
      <c r="A141" s="12">
        <f t="shared" si="26"/>
        <v>3632</v>
      </c>
      <c r="B141" s="13" t="str">
        <f t="shared" si="26"/>
        <v>TAMU</v>
      </c>
      <c r="C141" s="120"/>
      <c r="D141" s="127">
        <f t="shared" si="27"/>
        <v>6</v>
      </c>
      <c r="E141" s="128">
        <f t="shared" si="27"/>
        <v>1</v>
      </c>
      <c r="F141" s="128">
        <f t="shared" si="27"/>
        <v>7</v>
      </c>
      <c r="G141" s="127">
        <f t="shared" si="27"/>
        <v>2</v>
      </c>
      <c r="H141" s="127">
        <f t="shared" si="27"/>
        <v>5</v>
      </c>
      <c r="I141" s="128">
        <f t="shared" si="27"/>
        <v>4</v>
      </c>
      <c r="J141" s="129">
        <f t="shared" si="27"/>
        <v>3</v>
      </c>
      <c r="K141" s="106"/>
    </row>
    <row r="142" spans="1:11" outlineLevel="1" x14ac:dyDescent="0.2">
      <c r="A142" s="12">
        <f t="shared" si="26"/>
        <v>10298</v>
      </c>
      <c r="B142" s="13" t="str">
        <f t="shared" si="26"/>
        <v>TAMUG</v>
      </c>
      <c r="C142" s="120"/>
      <c r="D142" s="127">
        <f t="shared" si="27"/>
        <v>7</v>
      </c>
      <c r="E142" s="128">
        <f t="shared" si="27"/>
        <v>1</v>
      </c>
      <c r="F142" s="128">
        <f t="shared" si="27"/>
        <v>6</v>
      </c>
      <c r="G142" s="127">
        <f t="shared" si="27"/>
        <v>2</v>
      </c>
      <c r="H142" s="127">
        <f t="shared" si="27"/>
        <v>4</v>
      </c>
      <c r="I142" s="128">
        <f t="shared" si="27"/>
        <v>5</v>
      </c>
      <c r="J142" s="129">
        <f t="shared" si="27"/>
        <v>3</v>
      </c>
      <c r="K142" s="106"/>
    </row>
    <row r="143" spans="1:11" outlineLevel="1" x14ac:dyDescent="0.2">
      <c r="A143" s="12">
        <f t="shared" si="26"/>
        <v>3630</v>
      </c>
      <c r="B143" s="13" t="str">
        <f t="shared" si="26"/>
        <v>Prairie View</v>
      </c>
      <c r="C143" s="120"/>
      <c r="D143" s="127">
        <f t="shared" si="27"/>
        <v>6</v>
      </c>
      <c r="E143" s="128">
        <f t="shared" si="27"/>
        <v>4</v>
      </c>
      <c r="F143" s="128">
        <f t="shared" si="27"/>
        <v>7</v>
      </c>
      <c r="G143" s="127">
        <f t="shared" si="27"/>
        <v>1</v>
      </c>
      <c r="H143" s="127">
        <f t="shared" si="27"/>
        <v>5</v>
      </c>
      <c r="I143" s="128">
        <f t="shared" si="27"/>
        <v>3</v>
      </c>
      <c r="J143" s="129">
        <f t="shared" si="27"/>
        <v>2</v>
      </c>
      <c r="K143" s="106"/>
    </row>
    <row r="144" spans="1:11" outlineLevel="1" x14ac:dyDescent="0.2">
      <c r="A144" s="12">
        <f t="shared" si="26"/>
        <v>3631</v>
      </c>
      <c r="B144" s="13" t="str">
        <f t="shared" si="26"/>
        <v>Tarleton</v>
      </c>
      <c r="C144" s="120"/>
      <c r="D144" s="127">
        <f t="shared" si="27"/>
        <v>6</v>
      </c>
      <c r="E144" s="128">
        <f t="shared" si="27"/>
        <v>2</v>
      </c>
      <c r="F144" s="128">
        <f t="shared" si="27"/>
        <v>7</v>
      </c>
      <c r="G144" s="127">
        <f t="shared" si="27"/>
        <v>1</v>
      </c>
      <c r="H144" s="127">
        <f t="shared" si="27"/>
        <v>3</v>
      </c>
      <c r="I144" s="128">
        <f t="shared" si="27"/>
        <v>4</v>
      </c>
      <c r="J144" s="129">
        <f t="shared" si="27"/>
        <v>5</v>
      </c>
      <c r="K144" s="106"/>
    </row>
    <row r="145" spans="1:11" outlineLevel="1" x14ac:dyDescent="0.2">
      <c r="A145" s="34">
        <f t="shared" si="26"/>
        <v>103631</v>
      </c>
      <c r="B145" s="13" t="str">
        <f t="shared" si="26"/>
        <v>TAMUCT</v>
      </c>
      <c r="C145" s="120"/>
      <c r="D145" s="127">
        <f t="shared" si="27"/>
        <v>5</v>
      </c>
      <c r="E145" s="128">
        <f t="shared" si="27"/>
        <v>3</v>
      </c>
      <c r="F145" s="128">
        <f t="shared" si="27"/>
        <v>2</v>
      </c>
      <c r="G145" s="127">
        <f t="shared" si="27"/>
        <v>1</v>
      </c>
      <c r="H145" s="127">
        <f t="shared" si="27"/>
        <v>4</v>
      </c>
      <c r="I145" s="128">
        <f t="shared" si="27"/>
        <v>6</v>
      </c>
      <c r="J145" s="129">
        <f t="shared" si="27"/>
        <v>7</v>
      </c>
      <c r="K145" s="106"/>
    </row>
    <row r="146" spans="1:11" outlineLevel="1" x14ac:dyDescent="0.2">
      <c r="A146" s="12">
        <f t="shared" si="26"/>
        <v>11161</v>
      </c>
      <c r="B146" s="13" t="str">
        <f t="shared" si="26"/>
        <v>TAMUCC</v>
      </c>
      <c r="C146" s="120"/>
      <c r="D146" s="127">
        <f t="shared" si="27"/>
        <v>6</v>
      </c>
      <c r="E146" s="128">
        <f t="shared" si="27"/>
        <v>2</v>
      </c>
      <c r="F146" s="128">
        <f t="shared" si="27"/>
        <v>7</v>
      </c>
      <c r="G146" s="127">
        <f t="shared" si="27"/>
        <v>1</v>
      </c>
      <c r="H146" s="127">
        <f t="shared" si="27"/>
        <v>5</v>
      </c>
      <c r="I146" s="128">
        <f t="shared" si="27"/>
        <v>3</v>
      </c>
      <c r="J146" s="129">
        <f t="shared" si="27"/>
        <v>4</v>
      </c>
      <c r="K146" s="106"/>
    </row>
    <row r="147" spans="1:11" outlineLevel="1" x14ac:dyDescent="0.2">
      <c r="A147" s="12">
        <f t="shared" si="26"/>
        <v>3639</v>
      </c>
      <c r="B147" s="13" t="str">
        <f t="shared" si="26"/>
        <v>TAMUK</v>
      </c>
      <c r="C147" s="120"/>
      <c r="D147" s="127">
        <f t="shared" si="27"/>
        <v>6</v>
      </c>
      <c r="E147" s="128">
        <f t="shared" si="27"/>
        <v>2</v>
      </c>
      <c r="F147" s="128">
        <f t="shared" si="27"/>
        <v>7</v>
      </c>
      <c r="G147" s="127">
        <f t="shared" si="27"/>
        <v>1</v>
      </c>
      <c r="H147" s="127">
        <f t="shared" si="27"/>
        <v>5</v>
      </c>
      <c r="I147" s="128">
        <f t="shared" si="27"/>
        <v>3</v>
      </c>
      <c r="J147" s="129">
        <f t="shared" si="27"/>
        <v>4</v>
      </c>
      <c r="K147" s="106"/>
    </row>
    <row r="148" spans="1:11" outlineLevel="1" x14ac:dyDescent="0.2">
      <c r="A148" s="34">
        <f t="shared" ref="A148:B163" si="28">A107</f>
        <v>103639</v>
      </c>
      <c r="B148" s="13" t="str">
        <f t="shared" si="28"/>
        <v>TAMUSA</v>
      </c>
      <c r="C148" s="120"/>
      <c r="D148" s="127">
        <f t="shared" ref="D148:J163" si="29">RANK(D194,$D194:$J194)</f>
        <v>5</v>
      </c>
      <c r="E148" s="128">
        <f t="shared" si="29"/>
        <v>3</v>
      </c>
      <c r="F148" s="128">
        <f t="shared" si="29"/>
        <v>4</v>
      </c>
      <c r="G148" s="127">
        <f t="shared" si="29"/>
        <v>1</v>
      </c>
      <c r="H148" s="127">
        <f t="shared" si="29"/>
        <v>2</v>
      </c>
      <c r="I148" s="128">
        <f t="shared" si="29"/>
        <v>6</v>
      </c>
      <c r="J148" s="129">
        <f t="shared" si="29"/>
        <v>7</v>
      </c>
      <c r="K148" s="106"/>
    </row>
    <row r="149" spans="1:11" outlineLevel="1" x14ac:dyDescent="0.2">
      <c r="A149" s="12">
        <f t="shared" si="28"/>
        <v>9651</v>
      </c>
      <c r="B149" s="13" t="str">
        <f t="shared" si="28"/>
        <v>TAMI</v>
      </c>
      <c r="C149" s="120"/>
      <c r="D149" s="127">
        <f t="shared" si="29"/>
        <v>6</v>
      </c>
      <c r="E149" s="128">
        <f t="shared" si="29"/>
        <v>2</v>
      </c>
      <c r="F149" s="128">
        <f t="shared" si="29"/>
        <v>7</v>
      </c>
      <c r="G149" s="127">
        <f t="shared" si="29"/>
        <v>1</v>
      </c>
      <c r="H149" s="127">
        <f t="shared" si="29"/>
        <v>4</v>
      </c>
      <c r="I149" s="128">
        <f t="shared" si="29"/>
        <v>3</v>
      </c>
      <c r="J149" s="129">
        <f t="shared" si="29"/>
        <v>5</v>
      </c>
      <c r="K149" s="106"/>
    </row>
    <row r="150" spans="1:11" outlineLevel="1" x14ac:dyDescent="0.2">
      <c r="A150" s="12">
        <f t="shared" si="28"/>
        <v>3665</v>
      </c>
      <c r="B150" s="13" t="str">
        <f t="shared" si="28"/>
        <v>WTAMU</v>
      </c>
      <c r="C150" s="120"/>
      <c r="D150" s="127">
        <f t="shared" si="29"/>
        <v>6</v>
      </c>
      <c r="E150" s="128">
        <f t="shared" si="29"/>
        <v>2</v>
      </c>
      <c r="F150" s="128">
        <f t="shared" si="29"/>
        <v>7</v>
      </c>
      <c r="G150" s="127">
        <f t="shared" si="29"/>
        <v>1</v>
      </c>
      <c r="H150" s="127">
        <f t="shared" si="29"/>
        <v>5</v>
      </c>
      <c r="I150" s="128">
        <f t="shared" si="29"/>
        <v>3</v>
      </c>
      <c r="J150" s="129">
        <f t="shared" si="29"/>
        <v>4</v>
      </c>
      <c r="K150" s="106"/>
    </row>
    <row r="151" spans="1:11" outlineLevel="1" x14ac:dyDescent="0.2">
      <c r="A151" s="12">
        <f t="shared" si="28"/>
        <v>3565</v>
      </c>
      <c r="B151" s="13" t="str">
        <f t="shared" si="28"/>
        <v>TAMUC</v>
      </c>
      <c r="C151" s="120"/>
      <c r="D151" s="127">
        <f t="shared" si="29"/>
        <v>6</v>
      </c>
      <c r="E151" s="128">
        <f t="shared" si="29"/>
        <v>2</v>
      </c>
      <c r="F151" s="128">
        <f t="shared" si="29"/>
        <v>7</v>
      </c>
      <c r="G151" s="127">
        <f t="shared" si="29"/>
        <v>1</v>
      </c>
      <c r="H151" s="127">
        <f t="shared" si="29"/>
        <v>4</v>
      </c>
      <c r="I151" s="128">
        <f t="shared" si="29"/>
        <v>3</v>
      </c>
      <c r="J151" s="129">
        <f t="shared" si="29"/>
        <v>5</v>
      </c>
      <c r="K151" s="106"/>
    </row>
    <row r="152" spans="1:11" outlineLevel="1" x14ac:dyDescent="0.2">
      <c r="A152" s="12">
        <f t="shared" si="28"/>
        <v>29269</v>
      </c>
      <c r="B152" s="13" t="str">
        <f t="shared" si="28"/>
        <v>TAMUT</v>
      </c>
      <c r="C152" s="120"/>
      <c r="D152" s="127">
        <f t="shared" si="29"/>
        <v>6</v>
      </c>
      <c r="E152" s="128">
        <f t="shared" si="29"/>
        <v>2</v>
      </c>
      <c r="F152" s="128">
        <f t="shared" si="29"/>
        <v>3</v>
      </c>
      <c r="G152" s="127">
        <f t="shared" si="29"/>
        <v>1</v>
      </c>
      <c r="H152" s="127">
        <f t="shared" si="29"/>
        <v>4</v>
      </c>
      <c r="I152" s="128">
        <f t="shared" si="29"/>
        <v>5</v>
      </c>
      <c r="J152" s="129">
        <f t="shared" si="29"/>
        <v>7</v>
      </c>
      <c r="K152" s="106"/>
    </row>
    <row r="153" spans="1:11" outlineLevel="1" x14ac:dyDescent="0.2">
      <c r="A153" s="12">
        <f t="shared" si="28"/>
        <v>3652</v>
      </c>
      <c r="B153" s="13" t="str">
        <f t="shared" si="28"/>
        <v>UH</v>
      </c>
      <c r="C153" s="120"/>
      <c r="D153" s="127">
        <f t="shared" si="29"/>
        <v>6</v>
      </c>
      <c r="E153" s="128">
        <f t="shared" si="29"/>
        <v>2</v>
      </c>
      <c r="F153" s="128">
        <f t="shared" si="29"/>
        <v>7</v>
      </c>
      <c r="G153" s="127">
        <f t="shared" si="29"/>
        <v>1</v>
      </c>
      <c r="H153" s="127">
        <f t="shared" si="29"/>
        <v>5</v>
      </c>
      <c r="I153" s="128">
        <f t="shared" si="29"/>
        <v>3</v>
      </c>
      <c r="J153" s="129">
        <f t="shared" si="29"/>
        <v>4</v>
      </c>
      <c r="K153" s="106"/>
    </row>
    <row r="154" spans="1:11" outlineLevel="1" x14ac:dyDescent="0.2">
      <c r="A154" s="12">
        <f t="shared" si="28"/>
        <v>11711</v>
      </c>
      <c r="B154" s="13" t="str">
        <f t="shared" si="28"/>
        <v>UHCL</v>
      </c>
      <c r="C154" s="120"/>
      <c r="D154" s="127">
        <f t="shared" si="29"/>
        <v>5</v>
      </c>
      <c r="E154" s="128">
        <f t="shared" si="29"/>
        <v>2</v>
      </c>
      <c r="F154" s="128">
        <f t="shared" si="29"/>
        <v>6</v>
      </c>
      <c r="G154" s="127">
        <f t="shared" si="29"/>
        <v>1</v>
      </c>
      <c r="H154" s="127">
        <f t="shared" si="29"/>
        <v>4</v>
      </c>
      <c r="I154" s="128">
        <f t="shared" si="29"/>
        <v>3</v>
      </c>
      <c r="J154" s="129">
        <f t="shared" si="29"/>
        <v>7</v>
      </c>
      <c r="K154" s="106"/>
    </row>
    <row r="155" spans="1:11" outlineLevel="1" x14ac:dyDescent="0.2">
      <c r="A155" s="12">
        <f t="shared" si="28"/>
        <v>12826</v>
      </c>
      <c r="B155" s="13" t="str">
        <f t="shared" si="28"/>
        <v>UHD</v>
      </c>
      <c r="C155" s="120"/>
      <c r="D155" s="127">
        <f t="shared" si="29"/>
        <v>5</v>
      </c>
      <c r="E155" s="128">
        <f t="shared" si="29"/>
        <v>4</v>
      </c>
      <c r="F155" s="128">
        <f t="shared" si="29"/>
        <v>7</v>
      </c>
      <c r="G155" s="127">
        <f t="shared" si="29"/>
        <v>1</v>
      </c>
      <c r="H155" s="127">
        <f t="shared" si="29"/>
        <v>2</v>
      </c>
      <c r="I155" s="128">
        <f t="shared" si="29"/>
        <v>3</v>
      </c>
      <c r="J155" s="129">
        <f t="shared" si="29"/>
        <v>6</v>
      </c>
      <c r="K155" s="106"/>
    </row>
    <row r="156" spans="1:11" outlineLevel="1" x14ac:dyDescent="0.2">
      <c r="A156" s="12">
        <f t="shared" si="28"/>
        <v>13231</v>
      </c>
      <c r="B156" s="13" t="str">
        <f t="shared" si="28"/>
        <v>UHV</v>
      </c>
      <c r="C156" s="120"/>
      <c r="D156" s="127">
        <f t="shared" si="29"/>
        <v>6</v>
      </c>
      <c r="E156" s="128">
        <f t="shared" si="29"/>
        <v>2</v>
      </c>
      <c r="F156" s="128">
        <f t="shared" si="29"/>
        <v>4</v>
      </c>
      <c r="G156" s="127">
        <f t="shared" si="29"/>
        <v>1</v>
      </c>
      <c r="H156" s="127">
        <f t="shared" si="29"/>
        <v>3</v>
      </c>
      <c r="I156" s="128">
        <f t="shared" si="29"/>
        <v>5</v>
      </c>
      <c r="J156" s="129">
        <f t="shared" si="29"/>
        <v>7</v>
      </c>
      <c r="K156" s="106"/>
    </row>
    <row r="157" spans="1:11" outlineLevel="1" x14ac:dyDescent="0.2">
      <c r="A157" s="12">
        <f t="shared" si="28"/>
        <v>3592</v>
      </c>
      <c r="B157" s="13" t="str">
        <f t="shared" si="28"/>
        <v>Midwestern</v>
      </c>
      <c r="C157" s="120"/>
      <c r="D157" s="127">
        <f t="shared" si="29"/>
        <v>6</v>
      </c>
      <c r="E157" s="128">
        <f t="shared" si="29"/>
        <v>2</v>
      </c>
      <c r="F157" s="128">
        <f t="shared" si="29"/>
        <v>7</v>
      </c>
      <c r="G157" s="127">
        <f t="shared" si="29"/>
        <v>1</v>
      </c>
      <c r="H157" s="127">
        <f t="shared" si="29"/>
        <v>5</v>
      </c>
      <c r="I157" s="128">
        <f t="shared" si="29"/>
        <v>4</v>
      </c>
      <c r="J157" s="129">
        <f t="shared" si="29"/>
        <v>3</v>
      </c>
      <c r="K157" s="106"/>
    </row>
    <row r="158" spans="1:11" outlineLevel="1" x14ac:dyDescent="0.2">
      <c r="A158" s="12">
        <f t="shared" si="28"/>
        <v>3594</v>
      </c>
      <c r="B158" s="13" t="str">
        <f t="shared" si="28"/>
        <v>UNT</v>
      </c>
      <c r="C158" s="120"/>
      <c r="D158" s="127">
        <f t="shared" si="29"/>
        <v>6</v>
      </c>
      <c r="E158" s="128">
        <f t="shared" si="29"/>
        <v>2</v>
      </c>
      <c r="F158" s="128">
        <f t="shared" si="29"/>
        <v>7</v>
      </c>
      <c r="G158" s="127">
        <f t="shared" si="29"/>
        <v>1</v>
      </c>
      <c r="H158" s="127">
        <f t="shared" si="29"/>
        <v>5</v>
      </c>
      <c r="I158" s="128">
        <f t="shared" si="29"/>
        <v>3</v>
      </c>
      <c r="J158" s="129">
        <f t="shared" si="29"/>
        <v>4</v>
      </c>
      <c r="K158" s="106"/>
    </row>
    <row r="159" spans="1:11" outlineLevel="1" x14ac:dyDescent="0.2">
      <c r="A159" s="34">
        <f t="shared" si="28"/>
        <v>113594</v>
      </c>
      <c r="B159" s="13" t="str">
        <f t="shared" si="28"/>
        <v>UNTD</v>
      </c>
      <c r="C159" s="120"/>
      <c r="D159" s="127">
        <f t="shared" si="29"/>
        <v>5</v>
      </c>
      <c r="E159" s="128">
        <f t="shared" si="29"/>
        <v>2</v>
      </c>
      <c r="F159" s="128">
        <f t="shared" si="29"/>
        <v>3</v>
      </c>
      <c r="G159" s="127">
        <f t="shared" si="29"/>
        <v>1</v>
      </c>
      <c r="H159" s="127">
        <f t="shared" si="29"/>
        <v>4</v>
      </c>
      <c r="I159" s="128">
        <f t="shared" si="29"/>
        <v>6</v>
      </c>
      <c r="J159" s="129">
        <f t="shared" si="29"/>
        <v>7</v>
      </c>
      <c r="K159" s="106"/>
    </row>
    <row r="160" spans="1:11" outlineLevel="1" x14ac:dyDescent="0.2">
      <c r="A160" s="12">
        <f t="shared" si="28"/>
        <v>3624</v>
      </c>
      <c r="B160" s="13" t="str">
        <f t="shared" si="28"/>
        <v>SFA</v>
      </c>
      <c r="C160" s="120"/>
      <c r="D160" s="127">
        <f t="shared" si="29"/>
        <v>6</v>
      </c>
      <c r="E160" s="128">
        <f t="shared" si="29"/>
        <v>2</v>
      </c>
      <c r="F160" s="128">
        <f t="shared" si="29"/>
        <v>7</v>
      </c>
      <c r="G160" s="127">
        <f t="shared" si="29"/>
        <v>1</v>
      </c>
      <c r="H160" s="127">
        <f t="shared" si="29"/>
        <v>5</v>
      </c>
      <c r="I160" s="128">
        <f t="shared" si="29"/>
        <v>4</v>
      </c>
      <c r="J160" s="129">
        <f t="shared" si="29"/>
        <v>3</v>
      </c>
      <c r="K160" s="106"/>
    </row>
    <row r="161" spans="1:12" outlineLevel="1" x14ac:dyDescent="0.2">
      <c r="A161" s="12">
        <f t="shared" si="28"/>
        <v>3642</v>
      </c>
      <c r="B161" s="13" t="str">
        <f t="shared" si="28"/>
        <v>TSU</v>
      </c>
      <c r="C161" s="120"/>
      <c r="D161" s="127">
        <f t="shared" si="29"/>
        <v>6</v>
      </c>
      <c r="E161" s="128">
        <f t="shared" si="29"/>
        <v>5</v>
      </c>
      <c r="F161" s="128">
        <f t="shared" si="29"/>
        <v>7</v>
      </c>
      <c r="G161" s="127">
        <f t="shared" si="29"/>
        <v>1</v>
      </c>
      <c r="H161" s="127">
        <f t="shared" si="29"/>
        <v>4</v>
      </c>
      <c r="I161" s="128">
        <f t="shared" si="29"/>
        <v>3</v>
      </c>
      <c r="J161" s="129">
        <f t="shared" si="29"/>
        <v>2</v>
      </c>
      <c r="K161" s="106"/>
    </row>
    <row r="162" spans="1:12" outlineLevel="1" x14ac:dyDescent="0.2">
      <c r="A162" s="12">
        <f t="shared" si="28"/>
        <v>3644</v>
      </c>
      <c r="B162" s="13" t="str">
        <f t="shared" si="28"/>
        <v>TTU</v>
      </c>
      <c r="C162" s="120"/>
      <c r="D162" s="127">
        <f t="shared" si="29"/>
        <v>6</v>
      </c>
      <c r="E162" s="128">
        <f t="shared" si="29"/>
        <v>1</v>
      </c>
      <c r="F162" s="128">
        <f t="shared" si="29"/>
        <v>7</v>
      </c>
      <c r="G162" s="127">
        <f t="shared" si="29"/>
        <v>2</v>
      </c>
      <c r="H162" s="127">
        <f t="shared" si="29"/>
        <v>5</v>
      </c>
      <c r="I162" s="128">
        <f t="shared" si="29"/>
        <v>4</v>
      </c>
      <c r="J162" s="129">
        <f t="shared" si="29"/>
        <v>3</v>
      </c>
      <c r="K162" s="106"/>
    </row>
    <row r="163" spans="1:12" outlineLevel="1" x14ac:dyDescent="0.2">
      <c r="A163" s="12">
        <f t="shared" si="28"/>
        <v>3541</v>
      </c>
      <c r="B163" s="13" t="str">
        <f t="shared" si="28"/>
        <v>Angelo</v>
      </c>
      <c r="C163" s="120"/>
      <c r="D163" s="127">
        <f t="shared" si="29"/>
        <v>6</v>
      </c>
      <c r="E163" s="128">
        <f t="shared" si="29"/>
        <v>2</v>
      </c>
      <c r="F163" s="128">
        <f t="shared" si="29"/>
        <v>7</v>
      </c>
      <c r="G163" s="127">
        <f t="shared" si="29"/>
        <v>1</v>
      </c>
      <c r="H163" s="127">
        <f t="shared" si="29"/>
        <v>5</v>
      </c>
      <c r="I163" s="128">
        <f t="shared" si="29"/>
        <v>4</v>
      </c>
      <c r="J163" s="129">
        <f t="shared" si="29"/>
        <v>3</v>
      </c>
      <c r="K163" s="106"/>
    </row>
    <row r="164" spans="1:12" outlineLevel="1" x14ac:dyDescent="0.2">
      <c r="A164" s="12">
        <f t="shared" ref="A164:B169" si="30">A123</f>
        <v>3646</v>
      </c>
      <c r="B164" s="13" t="str">
        <f t="shared" si="30"/>
        <v>TWU</v>
      </c>
      <c r="C164" s="120"/>
      <c r="D164" s="127">
        <f t="shared" ref="D164:J169" si="31">RANK(D210,$D210:$J210)</f>
        <v>6</v>
      </c>
      <c r="E164" s="128">
        <f t="shared" si="31"/>
        <v>2</v>
      </c>
      <c r="F164" s="128">
        <f t="shared" si="31"/>
        <v>7</v>
      </c>
      <c r="G164" s="127">
        <f t="shared" si="31"/>
        <v>1</v>
      </c>
      <c r="H164" s="127">
        <f t="shared" si="31"/>
        <v>3</v>
      </c>
      <c r="I164" s="128">
        <f t="shared" si="31"/>
        <v>4</v>
      </c>
      <c r="J164" s="129">
        <f t="shared" si="31"/>
        <v>5</v>
      </c>
      <c r="K164" s="106"/>
    </row>
    <row r="165" spans="1:12" outlineLevel="1" x14ac:dyDescent="0.2">
      <c r="A165" s="12">
        <f t="shared" si="30"/>
        <v>3581</v>
      </c>
      <c r="B165" s="13" t="str">
        <f t="shared" si="30"/>
        <v>Lamar</v>
      </c>
      <c r="C165" s="120"/>
      <c r="D165" s="127">
        <f t="shared" si="31"/>
        <v>6</v>
      </c>
      <c r="E165" s="128">
        <f t="shared" si="31"/>
        <v>4</v>
      </c>
      <c r="F165" s="128">
        <f t="shared" si="31"/>
        <v>7</v>
      </c>
      <c r="G165" s="127">
        <f t="shared" si="31"/>
        <v>1</v>
      </c>
      <c r="H165" s="127">
        <f t="shared" si="31"/>
        <v>5</v>
      </c>
      <c r="I165" s="128">
        <f t="shared" si="31"/>
        <v>3</v>
      </c>
      <c r="J165" s="129">
        <f t="shared" si="31"/>
        <v>2</v>
      </c>
      <c r="K165" s="106"/>
    </row>
    <row r="166" spans="1:12" outlineLevel="1" x14ac:dyDescent="0.2">
      <c r="A166" s="12">
        <f t="shared" si="30"/>
        <v>3606</v>
      </c>
      <c r="B166" s="13" t="str">
        <f t="shared" si="30"/>
        <v>SHSU</v>
      </c>
      <c r="C166" s="120"/>
      <c r="D166" s="127">
        <f t="shared" si="31"/>
        <v>6</v>
      </c>
      <c r="E166" s="128">
        <f t="shared" si="31"/>
        <v>2</v>
      </c>
      <c r="F166" s="128">
        <f t="shared" si="31"/>
        <v>7</v>
      </c>
      <c r="G166" s="127">
        <f t="shared" si="31"/>
        <v>1</v>
      </c>
      <c r="H166" s="127">
        <f t="shared" si="31"/>
        <v>5</v>
      </c>
      <c r="I166" s="128">
        <f t="shared" si="31"/>
        <v>3</v>
      </c>
      <c r="J166" s="129">
        <f t="shared" si="31"/>
        <v>4</v>
      </c>
      <c r="K166" s="106"/>
    </row>
    <row r="167" spans="1:12" outlineLevel="1" x14ac:dyDescent="0.2">
      <c r="A167" s="12">
        <f t="shared" si="30"/>
        <v>3615</v>
      </c>
      <c r="B167" s="13" t="str">
        <f t="shared" si="30"/>
        <v>TXST</v>
      </c>
      <c r="C167" s="120"/>
      <c r="D167" s="127">
        <f t="shared" si="31"/>
        <v>6</v>
      </c>
      <c r="E167" s="128">
        <f t="shared" si="31"/>
        <v>2</v>
      </c>
      <c r="F167" s="128">
        <f t="shared" si="31"/>
        <v>7</v>
      </c>
      <c r="G167" s="127">
        <f t="shared" si="31"/>
        <v>1</v>
      </c>
      <c r="H167" s="127">
        <f t="shared" si="31"/>
        <v>5</v>
      </c>
      <c r="I167" s="128">
        <f t="shared" si="31"/>
        <v>3</v>
      </c>
      <c r="J167" s="129">
        <f t="shared" si="31"/>
        <v>4</v>
      </c>
      <c r="K167" s="106"/>
    </row>
    <row r="168" spans="1:12" outlineLevel="1" x14ac:dyDescent="0.2">
      <c r="A168" s="12">
        <f t="shared" si="30"/>
        <v>3625</v>
      </c>
      <c r="B168" s="13" t="str">
        <f t="shared" si="30"/>
        <v>SRSU</v>
      </c>
      <c r="C168" s="120"/>
      <c r="D168" s="127">
        <f t="shared" si="31"/>
        <v>7</v>
      </c>
      <c r="E168" s="128">
        <f t="shared" si="31"/>
        <v>6</v>
      </c>
      <c r="F168" s="128">
        <f t="shared" si="31"/>
        <v>4</v>
      </c>
      <c r="G168" s="127">
        <f t="shared" si="31"/>
        <v>1</v>
      </c>
      <c r="H168" s="127">
        <f t="shared" si="31"/>
        <v>5</v>
      </c>
      <c r="I168" s="128">
        <f t="shared" si="31"/>
        <v>3</v>
      </c>
      <c r="J168" s="129">
        <f t="shared" si="31"/>
        <v>2</v>
      </c>
      <c r="K168" s="106"/>
    </row>
    <row r="169" spans="1:12" ht="13.5" outlineLevel="1" thickBot="1" x14ac:dyDescent="0.25">
      <c r="A169" s="114">
        <f t="shared" si="30"/>
        <v>20</v>
      </c>
      <c r="B169" s="115" t="str">
        <f t="shared" si="30"/>
        <v>SRRG</v>
      </c>
      <c r="C169" s="130"/>
      <c r="D169" s="131">
        <f t="shared" si="31"/>
        <v>6</v>
      </c>
      <c r="E169" s="132">
        <f t="shared" si="31"/>
        <v>3</v>
      </c>
      <c r="F169" s="132">
        <f t="shared" si="31"/>
        <v>1</v>
      </c>
      <c r="G169" s="131">
        <f t="shared" si="31"/>
        <v>2</v>
      </c>
      <c r="H169" s="131">
        <f t="shared" si="31"/>
        <v>4</v>
      </c>
      <c r="I169" s="132">
        <f t="shared" si="31"/>
        <v>5</v>
      </c>
      <c r="J169" s="133">
        <f t="shared" si="31"/>
        <v>7</v>
      </c>
      <c r="K169" s="106"/>
    </row>
    <row r="170" spans="1:12" ht="13.5" thickBot="1" x14ac:dyDescent="0.25">
      <c r="C170" s="120"/>
      <c r="D170" s="134"/>
      <c r="E170" s="134"/>
      <c r="F170" s="134"/>
      <c r="G170" s="134"/>
      <c r="H170" s="134"/>
      <c r="I170" s="134"/>
      <c r="J170" s="134"/>
      <c r="K170" s="106"/>
    </row>
    <row r="171" spans="1:12" x14ac:dyDescent="0.2">
      <c r="C171" s="135" t="s">
        <v>48</v>
      </c>
      <c r="D171" s="136">
        <v>1</v>
      </c>
      <c r="E171" s="136">
        <v>2</v>
      </c>
      <c r="F171" s="136">
        <v>3</v>
      </c>
      <c r="G171" s="136">
        <v>4</v>
      </c>
      <c r="H171" s="136">
        <v>5</v>
      </c>
      <c r="I171" s="136">
        <v>6</v>
      </c>
      <c r="J171" s="137">
        <v>7</v>
      </c>
      <c r="L171" s="67"/>
    </row>
    <row r="172" spans="1:12" ht="13.5" thickBot="1" x14ac:dyDescent="0.25">
      <c r="C172" s="138">
        <f>SUM(D172:J172)</f>
        <v>1</v>
      </c>
      <c r="D172" s="139">
        <v>0.25</v>
      </c>
      <c r="E172" s="139">
        <v>0.25</v>
      </c>
      <c r="F172" s="140">
        <v>0.2</v>
      </c>
      <c r="G172" s="141">
        <v>0.15</v>
      </c>
      <c r="H172" s="142">
        <v>0.1</v>
      </c>
      <c r="I172" s="143">
        <v>0.05</v>
      </c>
      <c r="J172" s="144">
        <v>0</v>
      </c>
      <c r="L172" s="67"/>
    </row>
    <row r="173" spans="1:12" x14ac:dyDescent="0.2">
      <c r="C173" s="120"/>
      <c r="D173" s="134"/>
      <c r="E173" s="134"/>
      <c r="F173" s="134"/>
      <c r="G173" s="134"/>
      <c r="H173" s="134"/>
      <c r="I173" s="134"/>
      <c r="J173" s="134"/>
      <c r="K173" s="106"/>
    </row>
    <row r="174" spans="1:12" ht="13.5" thickBot="1" x14ac:dyDescent="0.25">
      <c r="A174" s="29" t="s">
        <v>79</v>
      </c>
    </row>
    <row r="175" spans="1:12" ht="12.75" customHeight="1" outlineLevel="1" x14ac:dyDescent="0.2">
      <c r="A175" s="163" t="s">
        <v>0</v>
      </c>
      <c r="B175" s="165" t="s">
        <v>1</v>
      </c>
      <c r="C175" s="167" t="s">
        <v>49</v>
      </c>
      <c r="D175" s="177" t="s">
        <v>3</v>
      </c>
      <c r="E175" s="178"/>
      <c r="F175" s="178"/>
      <c r="G175" s="158" t="s">
        <v>4</v>
      </c>
      <c r="H175" s="160" t="s">
        <v>5</v>
      </c>
      <c r="I175" s="161"/>
      <c r="J175" s="162"/>
      <c r="K175" s="173"/>
    </row>
    <row r="176" spans="1:12" ht="51.75" outlineLevel="1" thickBot="1" x14ac:dyDescent="0.25">
      <c r="A176" s="164"/>
      <c r="B176" s="166"/>
      <c r="C176" s="168"/>
      <c r="D176" s="103"/>
      <c r="E176" s="104" t="s">
        <v>6</v>
      </c>
      <c r="F176" s="104" t="s">
        <v>7</v>
      </c>
      <c r="G176" s="159"/>
      <c r="H176" s="70" t="s">
        <v>8</v>
      </c>
      <c r="I176" s="71" t="s">
        <v>9</v>
      </c>
      <c r="J176" s="72" t="s">
        <v>10</v>
      </c>
      <c r="K176" s="173"/>
    </row>
    <row r="177" spans="1:11" outlineLevel="1" x14ac:dyDescent="0.2">
      <c r="A177" s="174" t="s">
        <v>80</v>
      </c>
      <c r="B177" s="175"/>
      <c r="C177" s="176"/>
      <c r="D177" s="145">
        <v>1</v>
      </c>
      <c r="E177" s="146">
        <v>7</v>
      </c>
      <c r="F177" s="146">
        <v>25</v>
      </c>
      <c r="G177" s="147">
        <v>7</v>
      </c>
      <c r="H177" s="145">
        <v>1.5</v>
      </c>
      <c r="I177" s="146">
        <v>2.5</v>
      </c>
      <c r="J177" s="148">
        <v>4</v>
      </c>
    </row>
    <row r="178" spans="1:11" outlineLevel="1" x14ac:dyDescent="0.2">
      <c r="A178" s="12">
        <f t="shared" ref="A178:B193" si="32">A6</f>
        <v>3656</v>
      </c>
      <c r="B178" s="13" t="str">
        <f t="shared" si="32"/>
        <v>UTA</v>
      </c>
      <c r="C178" s="14">
        <f t="shared" ref="C178:C215" si="33">SUM(D178:J178)</f>
        <v>79758.283507982487</v>
      </c>
      <c r="D178" s="15">
        <f t="shared" ref="D178:J193" si="34">D220*D$177</f>
        <v>5739.666666666667</v>
      </c>
      <c r="E178" s="16">
        <f t="shared" si="34"/>
        <v>21026.312222222223</v>
      </c>
      <c r="F178" s="16">
        <f t="shared" si="34"/>
        <v>805.47128576026182</v>
      </c>
      <c r="G178" s="32">
        <f t="shared" si="34"/>
        <v>24425.333333333336</v>
      </c>
      <c r="H178" s="30">
        <f t="shared" si="34"/>
        <v>10512.5</v>
      </c>
      <c r="I178" s="33">
        <f t="shared" si="34"/>
        <v>9918.3333333333339</v>
      </c>
      <c r="J178" s="31">
        <f t="shared" si="34"/>
        <v>7330.666666666667</v>
      </c>
      <c r="K178" s="105"/>
    </row>
    <row r="179" spans="1:11" outlineLevel="1" x14ac:dyDescent="0.2">
      <c r="A179" s="12">
        <f t="shared" si="32"/>
        <v>3658</v>
      </c>
      <c r="B179" s="13" t="str">
        <f t="shared" si="32"/>
        <v>UT</v>
      </c>
      <c r="C179" s="14">
        <f t="shared" si="33"/>
        <v>151016.37071648991</v>
      </c>
      <c r="D179" s="15">
        <f t="shared" si="34"/>
        <v>9031.3333333333339</v>
      </c>
      <c r="E179" s="16">
        <f t="shared" si="34"/>
        <v>52387.754222222218</v>
      </c>
      <c r="F179" s="16">
        <f t="shared" si="34"/>
        <v>646.94982760102789</v>
      </c>
      <c r="G179" s="18">
        <f t="shared" si="34"/>
        <v>24985.333333333336</v>
      </c>
      <c r="H179" s="15">
        <f t="shared" si="34"/>
        <v>14812.5</v>
      </c>
      <c r="I179" s="16">
        <f t="shared" si="34"/>
        <v>21785.833333333336</v>
      </c>
      <c r="J179" s="17">
        <f t="shared" si="34"/>
        <v>27366.666666666668</v>
      </c>
      <c r="K179" s="106"/>
    </row>
    <row r="180" spans="1:11" outlineLevel="1" x14ac:dyDescent="0.2">
      <c r="A180" s="12">
        <f t="shared" si="32"/>
        <v>9741</v>
      </c>
      <c r="B180" s="13" t="str">
        <f t="shared" si="32"/>
        <v>UTD</v>
      </c>
      <c r="C180" s="14">
        <f t="shared" si="33"/>
        <v>41036.344413204199</v>
      </c>
      <c r="D180" s="15">
        <f t="shared" si="34"/>
        <v>2536.3333333333335</v>
      </c>
      <c r="E180" s="16">
        <f t="shared" si="34"/>
        <v>12410.278999999999</v>
      </c>
      <c r="F180" s="16">
        <f t="shared" si="34"/>
        <v>609.23207987086755</v>
      </c>
      <c r="G180" s="18">
        <f t="shared" si="34"/>
        <v>9956.3333333333321</v>
      </c>
      <c r="H180" s="15">
        <f t="shared" si="34"/>
        <v>5156</v>
      </c>
      <c r="I180" s="16">
        <f t="shared" si="34"/>
        <v>5864.1666666666661</v>
      </c>
      <c r="J180" s="17">
        <f t="shared" si="34"/>
        <v>4504</v>
      </c>
      <c r="K180" s="106"/>
    </row>
    <row r="181" spans="1:11" outlineLevel="1" x14ac:dyDescent="0.2">
      <c r="A181" s="12">
        <f t="shared" si="32"/>
        <v>3661</v>
      </c>
      <c r="B181" s="13" t="str">
        <f t="shared" si="32"/>
        <v>UTEP</v>
      </c>
      <c r="C181" s="14">
        <f t="shared" si="33"/>
        <v>52298.886331038484</v>
      </c>
      <c r="D181" s="15">
        <f t="shared" si="34"/>
        <v>3087.6666666666665</v>
      </c>
      <c r="E181" s="16">
        <f t="shared" si="34"/>
        <v>8854.3987777777784</v>
      </c>
      <c r="F181" s="16">
        <f t="shared" si="34"/>
        <v>546.82088659404315</v>
      </c>
      <c r="G181" s="18">
        <f t="shared" si="34"/>
        <v>17574.666666666664</v>
      </c>
      <c r="H181" s="15">
        <f t="shared" si="34"/>
        <v>6689.5</v>
      </c>
      <c r="I181" s="16">
        <f t="shared" si="34"/>
        <v>8185.8333333333339</v>
      </c>
      <c r="J181" s="17">
        <f t="shared" si="34"/>
        <v>7360</v>
      </c>
      <c r="K181" s="106"/>
    </row>
    <row r="182" spans="1:11" outlineLevel="1" x14ac:dyDescent="0.2">
      <c r="A182" s="12">
        <f t="shared" si="32"/>
        <v>3599</v>
      </c>
      <c r="B182" s="13" t="str">
        <f t="shared" si="32"/>
        <v>UTPA</v>
      </c>
      <c r="C182" s="14">
        <f t="shared" si="33"/>
        <v>49340.192192664799</v>
      </c>
      <c r="D182" s="15">
        <f t="shared" si="34"/>
        <v>2645.6666666666665</v>
      </c>
      <c r="E182" s="16">
        <f t="shared" si="34"/>
        <v>8302.983888888888</v>
      </c>
      <c r="F182" s="16">
        <f t="shared" si="34"/>
        <v>502.70830377591756</v>
      </c>
      <c r="G182" s="18">
        <f t="shared" si="34"/>
        <v>16825.666666666664</v>
      </c>
      <c r="H182" s="15">
        <f t="shared" si="34"/>
        <v>5826.5</v>
      </c>
      <c r="I182" s="16">
        <f t="shared" si="34"/>
        <v>7550</v>
      </c>
      <c r="J182" s="17">
        <f t="shared" si="34"/>
        <v>7686.666666666667</v>
      </c>
      <c r="K182" s="106"/>
    </row>
    <row r="183" spans="1:11" outlineLevel="1" x14ac:dyDescent="0.2">
      <c r="A183" s="12">
        <f t="shared" si="32"/>
        <v>30646</v>
      </c>
      <c r="B183" s="13" t="str">
        <f t="shared" si="32"/>
        <v>UTB</v>
      </c>
      <c r="C183" s="14">
        <f t="shared" si="33"/>
        <v>16404.584558935436</v>
      </c>
      <c r="D183" s="15">
        <f t="shared" si="34"/>
        <v>1078.6666666666667</v>
      </c>
      <c r="E183" s="16">
        <f t="shared" si="34"/>
        <v>3936.6096119461536</v>
      </c>
      <c r="F183" s="16">
        <f t="shared" si="34"/>
        <v>587.47494698928176</v>
      </c>
      <c r="G183" s="18">
        <f t="shared" si="34"/>
        <v>6423.6666666666661</v>
      </c>
      <c r="H183" s="15">
        <f t="shared" si="34"/>
        <v>2516</v>
      </c>
      <c r="I183" s="16">
        <f t="shared" si="34"/>
        <v>1394.1666666666665</v>
      </c>
      <c r="J183" s="17">
        <f t="shared" si="34"/>
        <v>468</v>
      </c>
      <c r="K183" s="106"/>
    </row>
    <row r="184" spans="1:11" outlineLevel="1" x14ac:dyDescent="0.2">
      <c r="A184" s="12">
        <f t="shared" si="32"/>
        <v>9930</v>
      </c>
      <c r="B184" s="13" t="str">
        <f t="shared" si="32"/>
        <v>UTPB</v>
      </c>
      <c r="C184" s="14">
        <f t="shared" si="33"/>
        <v>8972.875046184472</v>
      </c>
      <c r="D184" s="15">
        <f t="shared" si="34"/>
        <v>552</v>
      </c>
      <c r="E184" s="16">
        <f t="shared" si="34"/>
        <v>1619.0160000000001</v>
      </c>
      <c r="F184" s="16">
        <f t="shared" si="34"/>
        <v>547.02571285114027</v>
      </c>
      <c r="G184" s="18">
        <f t="shared" si="34"/>
        <v>2884</v>
      </c>
      <c r="H184" s="15">
        <f t="shared" si="34"/>
        <v>1229.5</v>
      </c>
      <c r="I184" s="16">
        <f t="shared" si="34"/>
        <v>1273.3333333333333</v>
      </c>
      <c r="J184" s="17">
        <f t="shared" si="34"/>
        <v>868</v>
      </c>
      <c r="K184" s="106"/>
    </row>
    <row r="185" spans="1:11" outlineLevel="1" x14ac:dyDescent="0.2">
      <c r="A185" s="12">
        <f t="shared" si="32"/>
        <v>10115</v>
      </c>
      <c r="B185" s="13" t="str">
        <f t="shared" si="32"/>
        <v>UTSA</v>
      </c>
      <c r="C185" s="14">
        <f t="shared" si="33"/>
        <v>73232.937609197164</v>
      </c>
      <c r="D185" s="15">
        <f t="shared" si="34"/>
        <v>4284</v>
      </c>
      <c r="E185" s="16">
        <f t="shared" si="34"/>
        <v>13164.732000000002</v>
      </c>
      <c r="F185" s="16">
        <f t="shared" si="34"/>
        <v>529.70560919717093</v>
      </c>
      <c r="G185" s="18">
        <f t="shared" si="34"/>
        <v>23123.333333333336</v>
      </c>
      <c r="H185" s="15">
        <f t="shared" si="34"/>
        <v>10194.5</v>
      </c>
      <c r="I185" s="16">
        <f t="shared" si="34"/>
        <v>11243.333333333332</v>
      </c>
      <c r="J185" s="17">
        <f t="shared" si="34"/>
        <v>10693.333333333334</v>
      </c>
      <c r="K185" s="106"/>
    </row>
    <row r="186" spans="1:11" outlineLevel="1" x14ac:dyDescent="0.2">
      <c r="A186" s="12">
        <f t="shared" si="32"/>
        <v>11163</v>
      </c>
      <c r="B186" s="13" t="str">
        <f t="shared" si="32"/>
        <v>UTT</v>
      </c>
      <c r="C186" s="14">
        <f t="shared" si="33"/>
        <v>18953.170880862668</v>
      </c>
      <c r="D186" s="15">
        <f t="shared" si="34"/>
        <v>1201</v>
      </c>
      <c r="E186" s="16">
        <f t="shared" si="34"/>
        <v>4579.0126666666656</v>
      </c>
      <c r="F186" s="16">
        <f t="shared" si="34"/>
        <v>711.99154752933862</v>
      </c>
      <c r="G186" s="18">
        <f t="shared" si="34"/>
        <v>6489</v>
      </c>
      <c r="H186" s="15">
        <f t="shared" si="34"/>
        <v>2201.5</v>
      </c>
      <c r="I186" s="16">
        <f t="shared" si="34"/>
        <v>2233.3333333333335</v>
      </c>
      <c r="J186" s="17">
        <f t="shared" si="34"/>
        <v>1537.3333333333333</v>
      </c>
      <c r="K186" s="106"/>
    </row>
    <row r="187" spans="1:11" outlineLevel="1" x14ac:dyDescent="0.2">
      <c r="A187" s="12">
        <f t="shared" si="32"/>
        <v>3632</v>
      </c>
      <c r="B187" s="13" t="str">
        <f t="shared" si="32"/>
        <v>TAMU</v>
      </c>
      <c r="C187" s="14">
        <f t="shared" si="33"/>
        <v>155872.64771456798</v>
      </c>
      <c r="D187" s="15">
        <f t="shared" si="34"/>
        <v>9009.6666666666661</v>
      </c>
      <c r="E187" s="16">
        <f t="shared" si="34"/>
        <v>53271.155777777763</v>
      </c>
      <c r="F187" s="16">
        <f t="shared" si="34"/>
        <v>631.49193679021687</v>
      </c>
      <c r="G187" s="18">
        <f t="shared" si="34"/>
        <v>27535.666666666664</v>
      </c>
      <c r="H187" s="15">
        <f t="shared" si="34"/>
        <v>15252</v>
      </c>
      <c r="I187" s="16">
        <f t="shared" si="34"/>
        <v>22810</v>
      </c>
      <c r="J187" s="17">
        <f t="shared" si="34"/>
        <v>27362.666666666668</v>
      </c>
      <c r="K187" s="106"/>
    </row>
    <row r="188" spans="1:11" outlineLevel="1" x14ac:dyDescent="0.2">
      <c r="A188" s="12">
        <f t="shared" si="32"/>
        <v>10298</v>
      </c>
      <c r="B188" s="13" t="str">
        <f t="shared" si="32"/>
        <v>TAMUG</v>
      </c>
      <c r="C188" s="14">
        <f t="shared" si="33"/>
        <v>5855.3974294248692</v>
      </c>
      <c r="D188" s="15">
        <f t="shared" si="34"/>
        <v>291</v>
      </c>
      <c r="E188" s="16">
        <f t="shared" si="34"/>
        <v>1272.4460000000001</v>
      </c>
      <c r="F188" s="16">
        <f t="shared" si="34"/>
        <v>407.45142942486962</v>
      </c>
      <c r="G188" s="18">
        <f t="shared" si="34"/>
        <v>1208.6666666666665</v>
      </c>
      <c r="H188" s="15">
        <f t="shared" si="34"/>
        <v>886.5</v>
      </c>
      <c r="I188" s="16">
        <f t="shared" si="34"/>
        <v>840</v>
      </c>
      <c r="J188" s="17">
        <f t="shared" si="34"/>
        <v>949.33333333333337</v>
      </c>
      <c r="K188" s="106"/>
    </row>
    <row r="189" spans="1:11" outlineLevel="1" x14ac:dyDescent="0.2">
      <c r="A189" s="12">
        <f t="shared" si="32"/>
        <v>3630</v>
      </c>
      <c r="B189" s="13" t="str">
        <f t="shared" si="32"/>
        <v>Prairie View</v>
      </c>
      <c r="C189" s="14">
        <f t="shared" si="33"/>
        <v>18973.622565897665</v>
      </c>
      <c r="D189" s="15">
        <f t="shared" si="34"/>
        <v>979.33333333333337</v>
      </c>
      <c r="E189" s="16">
        <f t="shared" si="34"/>
        <v>2689.5757777777781</v>
      </c>
      <c r="F189" s="16">
        <f t="shared" si="34"/>
        <v>415.04678811988612</v>
      </c>
      <c r="G189" s="18">
        <f t="shared" si="34"/>
        <v>5908</v>
      </c>
      <c r="H189" s="15">
        <f t="shared" si="34"/>
        <v>2529.5</v>
      </c>
      <c r="I189" s="16">
        <f t="shared" si="34"/>
        <v>2977.5</v>
      </c>
      <c r="J189" s="17">
        <f t="shared" si="34"/>
        <v>3474.6666666666665</v>
      </c>
      <c r="K189" s="106"/>
    </row>
    <row r="190" spans="1:11" outlineLevel="1" x14ac:dyDescent="0.2">
      <c r="A190" s="12">
        <f t="shared" si="32"/>
        <v>3631</v>
      </c>
      <c r="B190" s="13" t="str">
        <f t="shared" si="32"/>
        <v>Tarleton</v>
      </c>
      <c r="C190" s="14">
        <f t="shared" si="33"/>
        <v>27458.391889959817</v>
      </c>
      <c r="D190" s="15">
        <f t="shared" si="34"/>
        <v>1693.3333333333333</v>
      </c>
      <c r="E190" s="16">
        <f t="shared" si="34"/>
        <v>5867.3999999999987</v>
      </c>
      <c r="F190" s="16">
        <f t="shared" si="34"/>
        <v>586.99188995981956</v>
      </c>
      <c r="G190" s="18">
        <f t="shared" si="34"/>
        <v>9135</v>
      </c>
      <c r="H190" s="15">
        <f t="shared" si="34"/>
        <v>3417.5</v>
      </c>
      <c r="I190" s="16">
        <f t="shared" si="34"/>
        <v>3387.5</v>
      </c>
      <c r="J190" s="17">
        <f t="shared" si="34"/>
        <v>3370.6666666666665</v>
      </c>
      <c r="K190" s="106"/>
    </row>
    <row r="191" spans="1:11" outlineLevel="1" x14ac:dyDescent="0.2">
      <c r="A191" s="34">
        <f t="shared" si="32"/>
        <v>103631</v>
      </c>
      <c r="B191" s="13" t="str">
        <f t="shared" si="32"/>
        <v>TAMUCT</v>
      </c>
      <c r="C191" s="14">
        <f t="shared" si="33"/>
        <v>6591.0222457096161</v>
      </c>
      <c r="D191" s="15">
        <f t="shared" si="34"/>
        <v>470.33333333333331</v>
      </c>
      <c r="E191" s="16">
        <f t="shared" si="34"/>
        <v>1052.4492222222223</v>
      </c>
      <c r="F191" s="16">
        <f t="shared" si="34"/>
        <v>1519.906356820728</v>
      </c>
      <c r="G191" s="18">
        <f t="shared" si="34"/>
        <v>2331</v>
      </c>
      <c r="H191" s="15">
        <f t="shared" si="34"/>
        <v>833</v>
      </c>
      <c r="I191" s="16">
        <f t="shared" si="34"/>
        <v>288.33333333333331</v>
      </c>
      <c r="J191" s="17">
        <f t="shared" si="34"/>
        <v>96</v>
      </c>
      <c r="K191" s="106"/>
    </row>
    <row r="192" spans="1:11" outlineLevel="1" x14ac:dyDescent="0.2">
      <c r="A192" s="12">
        <f t="shared" si="32"/>
        <v>11161</v>
      </c>
      <c r="B192" s="13" t="str">
        <f t="shared" si="32"/>
        <v>TAMUCC</v>
      </c>
      <c r="C192" s="14">
        <f t="shared" si="33"/>
        <v>25191.205637383853</v>
      </c>
      <c r="D192" s="15">
        <f t="shared" si="34"/>
        <v>1431.3333333333333</v>
      </c>
      <c r="E192" s="16">
        <f t="shared" si="34"/>
        <v>5083.1417777777788</v>
      </c>
      <c r="F192" s="16">
        <f t="shared" si="34"/>
        <v>506.563859606074</v>
      </c>
      <c r="G192" s="18">
        <f t="shared" si="34"/>
        <v>7819</v>
      </c>
      <c r="H192" s="15">
        <f t="shared" si="34"/>
        <v>3064</v>
      </c>
      <c r="I192" s="16">
        <f t="shared" si="34"/>
        <v>3692.5</v>
      </c>
      <c r="J192" s="17">
        <f t="shared" si="34"/>
        <v>3594.6666666666665</v>
      </c>
      <c r="K192" s="106"/>
    </row>
    <row r="193" spans="1:11" outlineLevel="1" x14ac:dyDescent="0.2">
      <c r="A193" s="12">
        <f t="shared" si="32"/>
        <v>3639</v>
      </c>
      <c r="B193" s="13" t="str">
        <f t="shared" si="32"/>
        <v>TAMUK</v>
      </c>
      <c r="C193" s="14">
        <f t="shared" si="33"/>
        <v>15450.379420447352</v>
      </c>
      <c r="D193" s="15">
        <f t="shared" si="34"/>
        <v>863.66666666666663</v>
      </c>
      <c r="E193" s="16">
        <f t="shared" si="34"/>
        <v>2436.4036666666666</v>
      </c>
      <c r="F193" s="16">
        <f t="shared" si="34"/>
        <v>436.14242044735329</v>
      </c>
      <c r="G193" s="18">
        <f t="shared" si="34"/>
        <v>5184.6666666666661</v>
      </c>
      <c r="H193" s="15">
        <f t="shared" si="34"/>
        <v>1958.5</v>
      </c>
      <c r="I193" s="16">
        <f t="shared" si="34"/>
        <v>2288.3333333333335</v>
      </c>
      <c r="J193" s="17">
        <f t="shared" si="34"/>
        <v>2282.6666666666665</v>
      </c>
      <c r="K193" s="106"/>
    </row>
    <row r="194" spans="1:11" outlineLevel="1" x14ac:dyDescent="0.2">
      <c r="A194" s="34">
        <f t="shared" ref="A194:B209" si="35">A22</f>
        <v>103639</v>
      </c>
      <c r="B194" s="13" t="str">
        <f t="shared" si="35"/>
        <v>TAMUSA</v>
      </c>
      <c r="C194" s="14">
        <f t="shared" si="33"/>
        <v>8886.1783381421319</v>
      </c>
      <c r="D194" s="15">
        <f t="shared" ref="D194:J209" si="36">D236*D$177</f>
        <v>688</v>
      </c>
      <c r="E194" s="16">
        <f t="shared" si="36"/>
        <v>1268.2133333333334</v>
      </c>
      <c r="F194" s="16">
        <f t="shared" si="36"/>
        <v>904.13167147546358</v>
      </c>
      <c r="G194" s="18">
        <f t="shared" si="36"/>
        <v>4071.6666666666665</v>
      </c>
      <c r="H194" s="15">
        <f t="shared" si="36"/>
        <v>1459</v>
      </c>
      <c r="I194" s="16">
        <f t="shared" si="36"/>
        <v>485.83333333333337</v>
      </c>
      <c r="J194" s="17">
        <f t="shared" si="36"/>
        <v>9.3333333333333339</v>
      </c>
      <c r="K194" s="106"/>
    </row>
    <row r="195" spans="1:11" outlineLevel="1" x14ac:dyDescent="0.2">
      <c r="A195" s="12">
        <f t="shared" si="35"/>
        <v>9651</v>
      </c>
      <c r="B195" s="13" t="str">
        <f t="shared" si="35"/>
        <v>TAMI</v>
      </c>
      <c r="C195" s="14">
        <f t="shared" si="33"/>
        <v>15827.675044910711</v>
      </c>
      <c r="D195" s="15">
        <f t="shared" si="36"/>
        <v>802.33333333333337</v>
      </c>
      <c r="E195" s="16">
        <f t="shared" si="36"/>
        <v>2757.6196666666665</v>
      </c>
      <c r="F195" s="16">
        <f t="shared" si="36"/>
        <v>454.38871157737884</v>
      </c>
      <c r="G195" s="18">
        <f t="shared" si="36"/>
        <v>5105.3333333333339</v>
      </c>
      <c r="H195" s="15">
        <f t="shared" si="36"/>
        <v>2087.5</v>
      </c>
      <c r="I195" s="16">
        <f t="shared" si="36"/>
        <v>2565.833333333333</v>
      </c>
      <c r="J195" s="17">
        <f t="shared" si="36"/>
        <v>2054.6666666666665</v>
      </c>
      <c r="K195" s="106"/>
    </row>
    <row r="196" spans="1:11" outlineLevel="1" x14ac:dyDescent="0.2">
      <c r="A196" s="12">
        <f t="shared" si="35"/>
        <v>3665</v>
      </c>
      <c r="B196" s="13" t="str">
        <f t="shared" si="35"/>
        <v>WTAMU</v>
      </c>
      <c r="C196" s="14">
        <f t="shared" si="33"/>
        <v>21150.330847262787</v>
      </c>
      <c r="D196" s="15">
        <f t="shared" si="36"/>
        <v>1307.3333333333333</v>
      </c>
      <c r="E196" s="16">
        <f t="shared" si="36"/>
        <v>4328.5806666666667</v>
      </c>
      <c r="F196" s="16">
        <f t="shared" si="36"/>
        <v>577.41684726279095</v>
      </c>
      <c r="G196" s="18">
        <f t="shared" si="36"/>
        <v>6472.6666666666661</v>
      </c>
      <c r="H196" s="15">
        <f t="shared" si="36"/>
        <v>2625.5</v>
      </c>
      <c r="I196" s="16">
        <f t="shared" si="36"/>
        <v>3077.5</v>
      </c>
      <c r="J196" s="17">
        <f t="shared" si="36"/>
        <v>2761.3333333333335</v>
      </c>
      <c r="K196" s="106"/>
    </row>
    <row r="197" spans="1:11" outlineLevel="1" x14ac:dyDescent="0.2">
      <c r="A197" s="12">
        <f t="shared" si="35"/>
        <v>3565</v>
      </c>
      <c r="B197" s="13" t="str">
        <f t="shared" si="35"/>
        <v>TAMUC</v>
      </c>
      <c r="C197" s="14">
        <f t="shared" si="33"/>
        <v>22458.764068291053</v>
      </c>
      <c r="D197" s="15">
        <f t="shared" si="36"/>
        <v>1446</v>
      </c>
      <c r="E197" s="16">
        <f t="shared" si="36"/>
        <v>4672.9900000000007</v>
      </c>
      <c r="F197" s="16">
        <f t="shared" si="36"/>
        <v>692.10740162438367</v>
      </c>
      <c r="G197" s="18">
        <f t="shared" si="36"/>
        <v>7765.333333333333</v>
      </c>
      <c r="H197" s="15">
        <f t="shared" si="36"/>
        <v>2939</v>
      </c>
      <c r="I197" s="16">
        <f t="shared" si="36"/>
        <v>3056.666666666667</v>
      </c>
      <c r="J197" s="17">
        <f t="shared" si="36"/>
        <v>1886.6666666666667</v>
      </c>
      <c r="K197" s="106"/>
    </row>
    <row r="198" spans="1:11" outlineLevel="1" x14ac:dyDescent="0.2">
      <c r="A198" s="12">
        <f t="shared" si="35"/>
        <v>29269</v>
      </c>
      <c r="B198" s="13" t="str">
        <f t="shared" si="35"/>
        <v>TAMUT</v>
      </c>
      <c r="C198" s="14">
        <f t="shared" si="33"/>
        <v>5420.6341923184409</v>
      </c>
      <c r="D198" s="15">
        <f t="shared" si="36"/>
        <v>348.33333333333331</v>
      </c>
      <c r="E198" s="16">
        <f t="shared" si="36"/>
        <v>1255.8490937746258</v>
      </c>
      <c r="F198" s="16">
        <f t="shared" si="36"/>
        <v>826.61843187714896</v>
      </c>
      <c r="G198" s="18">
        <f t="shared" si="36"/>
        <v>1757</v>
      </c>
      <c r="H198" s="15">
        <f t="shared" si="36"/>
        <v>660.5</v>
      </c>
      <c r="I198" s="16">
        <f t="shared" si="36"/>
        <v>535</v>
      </c>
      <c r="J198" s="17">
        <f t="shared" si="36"/>
        <v>37.333333333333336</v>
      </c>
      <c r="K198" s="106"/>
    </row>
    <row r="199" spans="1:11" outlineLevel="1" x14ac:dyDescent="0.2">
      <c r="A199" s="12">
        <f t="shared" si="35"/>
        <v>3652</v>
      </c>
      <c r="B199" s="13" t="str">
        <f t="shared" si="35"/>
        <v>UH</v>
      </c>
      <c r="C199" s="14">
        <f t="shared" si="33"/>
        <v>92136.790455423339</v>
      </c>
      <c r="D199" s="15">
        <f t="shared" si="36"/>
        <v>5425</v>
      </c>
      <c r="E199" s="16">
        <f t="shared" si="36"/>
        <v>20607.76666666667</v>
      </c>
      <c r="F199" s="16">
        <f t="shared" si="36"/>
        <v>543.19045542333822</v>
      </c>
      <c r="G199" s="18">
        <f t="shared" si="36"/>
        <v>25811.333333333336</v>
      </c>
      <c r="H199" s="15">
        <f t="shared" si="36"/>
        <v>11801.5</v>
      </c>
      <c r="I199" s="16">
        <f t="shared" si="36"/>
        <v>14960</v>
      </c>
      <c r="J199" s="17">
        <f t="shared" si="36"/>
        <v>12988</v>
      </c>
      <c r="K199" s="106"/>
    </row>
    <row r="200" spans="1:11" outlineLevel="1" x14ac:dyDescent="0.2">
      <c r="A200" s="12">
        <f t="shared" si="35"/>
        <v>11711</v>
      </c>
      <c r="B200" s="13" t="str">
        <f t="shared" si="35"/>
        <v>UHCL</v>
      </c>
      <c r="C200" s="14">
        <f t="shared" si="33"/>
        <v>17095.481381632744</v>
      </c>
      <c r="D200" s="15">
        <f t="shared" si="36"/>
        <v>1217</v>
      </c>
      <c r="E200" s="16">
        <f t="shared" si="36"/>
        <v>4462.9194933111776</v>
      </c>
      <c r="F200" s="16">
        <f t="shared" si="36"/>
        <v>997.22855498823685</v>
      </c>
      <c r="G200" s="18">
        <f t="shared" si="36"/>
        <v>5653.6666666666661</v>
      </c>
      <c r="H200" s="15">
        <f t="shared" si="36"/>
        <v>2132</v>
      </c>
      <c r="I200" s="16">
        <f t="shared" si="36"/>
        <v>2503.3333333333335</v>
      </c>
      <c r="J200" s="17">
        <f t="shared" si="36"/>
        <v>129.33333333333334</v>
      </c>
      <c r="K200" s="106"/>
    </row>
    <row r="201" spans="1:11" outlineLevel="1" x14ac:dyDescent="0.2">
      <c r="A201" s="12">
        <f t="shared" si="35"/>
        <v>12826</v>
      </c>
      <c r="B201" s="13" t="str">
        <f t="shared" si="35"/>
        <v>UHD</v>
      </c>
      <c r="C201" s="14">
        <f t="shared" si="33"/>
        <v>30205.376166203409</v>
      </c>
      <c r="D201" s="15">
        <f t="shared" si="36"/>
        <v>2381</v>
      </c>
      <c r="E201" s="16">
        <f t="shared" si="36"/>
        <v>3433.402</v>
      </c>
      <c r="F201" s="16">
        <f t="shared" si="36"/>
        <v>712.47416620340948</v>
      </c>
      <c r="G201" s="18">
        <f t="shared" si="36"/>
        <v>12096</v>
      </c>
      <c r="H201" s="15">
        <f t="shared" si="36"/>
        <v>4634</v>
      </c>
      <c r="I201" s="16">
        <f t="shared" si="36"/>
        <v>4612.5</v>
      </c>
      <c r="J201" s="17">
        <f t="shared" si="36"/>
        <v>2336</v>
      </c>
      <c r="K201" s="106"/>
    </row>
    <row r="202" spans="1:11" outlineLevel="1" x14ac:dyDescent="0.2">
      <c r="A202" s="12">
        <f t="shared" si="35"/>
        <v>13231</v>
      </c>
      <c r="B202" s="13" t="str">
        <f t="shared" si="35"/>
        <v>UHV</v>
      </c>
      <c r="C202" s="14">
        <f t="shared" si="33"/>
        <v>8722.6181995956813</v>
      </c>
      <c r="D202" s="15">
        <f t="shared" si="36"/>
        <v>637</v>
      </c>
      <c r="E202" s="16">
        <f t="shared" si="36"/>
        <v>2206.2386971317451</v>
      </c>
      <c r="F202" s="16">
        <f t="shared" si="36"/>
        <v>895.54616913060306</v>
      </c>
      <c r="G202" s="18">
        <f t="shared" si="36"/>
        <v>2982</v>
      </c>
      <c r="H202" s="15">
        <f t="shared" si="36"/>
        <v>1111</v>
      </c>
      <c r="I202" s="16">
        <f t="shared" si="36"/>
        <v>850.83333333333326</v>
      </c>
      <c r="J202" s="17">
        <f t="shared" si="36"/>
        <v>40</v>
      </c>
      <c r="K202" s="106"/>
    </row>
    <row r="203" spans="1:11" outlineLevel="1" x14ac:dyDescent="0.2">
      <c r="A203" s="12">
        <f t="shared" si="35"/>
        <v>3592</v>
      </c>
      <c r="B203" s="13" t="str">
        <f t="shared" si="35"/>
        <v>Midwestern</v>
      </c>
      <c r="C203" s="14">
        <f t="shared" si="33"/>
        <v>17318.77645962996</v>
      </c>
      <c r="D203" s="15">
        <f t="shared" si="36"/>
        <v>1058</v>
      </c>
      <c r="E203" s="16">
        <f t="shared" si="36"/>
        <v>3456.1333333333332</v>
      </c>
      <c r="F203" s="16">
        <f t="shared" si="36"/>
        <v>657.30979296329224</v>
      </c>
      <c r="G203" s="18">
        <f t="shared" si="36"/>
        <v>4958.3333333333339</v>
      </c>
      <c r="H203" s="15">
        <f t="shared" si="36"/>
        <v>1993.5</v>
      </c>
      <c r="I203" s="16">
        <f t="shared" si="36"/>
        <v>2440.8333333333335</v>
      </c>
      <c r="J203" s="17">
        <f t="shared" si="36"/>
        <v>2754.6666666666665</v>
      </c>
      <c r="K203" s="106"/>
    </row>
    <row r="204" spans="1:11" outlineLevel="1" x14ac:dyDescent="0.2">
      <c r="A204" s="12">
        <f t="shared" si="35"/>
        <v>3594</v>
      </c>
      <c r="B204" s="13" t="str">
        <f t="shared" si="35"/>
        <v>UNT</v>
      </c>
      <c r="C204" s="14">
        <f t="shared" si="33"/>
        <v>95867.148403264306</v>
      </c>
      <c r="D204" s="15">
        <f t="shared" si="36"/>
        <v>5984</v>
      </c>
      <c r="E204" s="16">
        <f t="shared" si="36"/>
        <v>24239.189333333336</v>
      </c>
      <c r="F204" s="16">
        <f t="shared" si="36"/>
        <v>627.79240326429658</v>
      </c>
      <c r="G204" s="18">
        <f t="shared" si="36"/>
        <v>26964</v>
      </c>
      <c r="H204" s="15">
        <f t="shared" si="36"/>
        <v>11389.5</v>
      </c>
      <c r="I204" s="16">
        <f t="shared" si="36"/>
        <v>14086.666666666668</v>
      </c>
      <c r="J204" s="17">
        <f t="shared" si="36"/>
        <v>12576</v>
      </c>
      <c r="K204" s="106"/>
    </row>
    <row r="205" spans="1:11" outlineLevel="1" x14ac:dyDescent="0.2">
      <c r="A205" s="34">
        <f t="shared" si="35"/>
        <v>113594</v>
      </c>
      <c r="B205" s="13" t="str">
        <f t="shared" si="35"/>
        <v>UNTD</v>
      </c>
      <c r="C205" s="14">
        <f t="shared" si="33"/>
        <v>5383.7460270121164</v>
      </c>
      <c r="D205" s="15">
        <f t="shared" si="36"/>
        <v>384.33333333333331</v>
      </c>
      <c r="E205" s="16">
        <f t="shared" si="36"/>
        <v>1035.7783333333334</v>
      </c>
      <c r="F205" s="16">
        <f t="shared" si="36"/>
        <v>917.46769367878289</v>
      </c>
      <c r="G205" s="18">
        <f t="shared" si="36"/>
        <v>2083.666666666667</v>
      </c>
      <c r="H205" s="15">
        <f t="shared" si="36"/>
        <v>715.5</v>
      </c>
      <c r="I205" s="16">
        <f t="shared" si="36"/>
        <v>208.33333333333331</v>
      </c>
      <c r="J205" s="17">
        <f t="shared" si="36"/>
        <v>38.666666666666664</v>
      </c>
      <c r="K205" s="106"/>
    </row>
    <row r="206" spans="1:11" outlineLevel="1" x14ac:dyDescent="0.2">
      <c r="A206" s="12">
        <f t="shared" si="35"/>
        <v>3624</v>
      </c>
      <c r="B206" s="13" t="str">
        <f t="shared" si="35"/>
        <v>SFA</v>
      </c>
      <c r="C206" s="14">
        <f t="shared" si="33"/>
        <v>35829.219878182434</v>
      </c>
      <c r="D206" s="15">
        <f t="shared" si="36"/>
        <v>1983.3333333333333</v>
      </c>
      <c r="E206" s="16">
        <f t="shared" si="36"/>
        <v>7436.8388888888894</v>
      </c>
      <c r="F206" s="16">
        <f t="shared" si="36"/>
        <v>530.54765596020502</v>
      </c>
      <c r="G206" s="18">
        <f t="shared" si="36"/>
        <v>10560.666666666668</v>
      </c>
      <c r="H206" s="15">
        <f t="shared" si="36"/>
        <v>4188</v>
      </c>
      <c r="I206" s="16">
        <f t="shared" si="36"/>
        <v>5325.8333333333339</v>
      </c>
      <c r="J206" s="17">
        <f t="shared" si="36"/>
        <v>5804</v>
      </c>
      <c r="K206" s="106"/>
    </row>
    <row r="207" spans="1:11" outlineLevel="1" x14ac:dyDescent="0.2">
      <c r="A207" s="12">
        <f t="shared" si="35"/>
        <v>3642</v>
      </c>
      <c r="B207" s="13" t="str">
        <f t="shared" si="35"/>
        <v>TSU</v>
      </c>
      <c r="C207" s="14">
        <f t="shared" si="33"/>
        <v>14368.433363167518</v>
      </c>
      <c r="D207" s="15">
        <f t="shared" si="36"/>
        <v>742</v>
      </c>
      <c r="E207" s="16">
        <f t="shared" si="36"/>
        <v>772.17466666666655</v>
      </c>
      <c r="F207" s="16">
        <f t="shared" si="36"/>
        <v>321.59202983418601</v>
      </c>
      <c r="G207" s="18">
        <f t="shared" si="36"/>
        <v>4561.6666666666661</v>
      </c>
      <c r="H207" s="15">
        <f t="shared" si="36"/>
        <v>2209</v>
      </c>
      <c r="I207" s="16">
        <f t="shared" si="36"/>
        <v>2650</v>
      </c>
      <c r="J207" s="17">
        <f t="shared" si="36"/>
        <v>3112</v>
      </c>
      <c r="K207" s="106"/>
    </row>
    <row r="208" spans="1:11" outlineLevel="1" x14ac:dyDescent="0.2">
      <c r="A208" s="12">
        <f t="shared" si="35"/>
        <v>3644</v>
      </c>
      <c r="B208" s="13" t="str">
        <f t="shared" si="35"/>
        <v>TTU</v>
      </c>
      <c r="C208" s="14">
        <f t="shared" si="33"/>
        <v>90274.670335741219</v>
      </c>
      <c r="D208" s="15">
        <f t="shared" si="36"/>
        <v>4917.333333333333</v>
      </c>
      <c r="E208" s="16">
        <f t="shared" si="36"/>
        <v>24875.150222222223</v>
      </c>
      <c r="F208" s="16">
        <f t="shared" si="36"/>
        <v>537.35344685232496</v>
      </c>
      <c r="G208" s="18">
        <f t="shared" si="36"/>
        <v>20778.333333333336</v>
      </c>
      <c r="H208" s="15">
        <f t="shared" si="36"/>
        <v>9764.5</v>
      </c>
      <c r="I208" s="16">
        <f t="shared" si="36"/>
        <v>13356.666666666668</v>
      </c>
      <c r="J208" s="17">
        <f t="shared" si="36"/>
        <v>16045.333333333334</v>
      </c>
      <c r="K208" s="106"/>
    </row>
    <row r="209" spans="1:11" outlineLevel="1" x14ac:dyDescent="0.2">
      <c r="A209" s="12">
        <f t="shared" si="35"/>
        <v>3541</v>
      </c>
      <c r="B209" s="13" t="str">
        <f t="shared" si="35"/>
        <v>Angelo</v>
      </c>
      <c r="C209" s="14">
        <f t="shared" si="33"/>
        <v>17560.218918957849</v>
      </c>
      <c r="D209" s="15">
        <f t="shared" si="36"/>
        <v>1043.6666666666667</v>
      </c>
      <c r="E209" s="16">
        <f t="shared" si="36"/>
        <v>3022.1107777777784</v>
      </c>
      <c r="F209" s="16">
        <f t="shared" si="36"/>
        <v>538.77480784673639</v>
      </c>
      <c r="G209" s="18">
        <f t="shared" si="36"/>
        <v>5364.3333333333339</v>
      </c>
      <c r="H209" s="15">
        <f t="shared" si="36"/>
        <v>2067</v>
      </c>
      <c r="I209" s="16">
        <f t="shared" si="36"/>
        <v>2621.666666666667</v>
      </c>
      <c r="J209" s="17">
        <f t="shared" si="36"/>
        <v>2902.6666666666665</v>
      </c>
      <c r="K209" s="106"/>
    </row>
    <row r="210" spans="1:11" outlineLevel="1" x14ac:dyDescent="0.2">
      <c r="A210" s="12">
        <f t="shared" ref="A210:B215" si="37">A38</f>
        <v>3646</v>
      </c>
      <c r="B210" s="13" t="str">
        <f t="shared" si="37"/>
        <v>TWU</v>
      </c>
      <c r="C210" s="14">
        <f t="shared" si="33"/>
        <v>27510.84101260269</v>
      </c>
      <c r="D210" s="15">
        <f t="shared" ref="D210:J215" si="38">D252*D$177</f>
        <v>1859.3333333333333</v>
      </c>
      <c r="E210" s="16">
        <f t="shared" si="38"/>
        <v>6650.8353333333334</v>
      </c>
      <c r="F210" s="16">
        <f t="shared" si="38"/>
        <v>644.17234593602461</v>
      </c>
      <c r="G210" s="18">
        <f t="shared" si="38"/>
        <v>8988</v>
      </c>
      <c r="H210" s="15">
        <f t="shared" si="38"/>
        <v>3500</v>
      </c>
      <c r="I210" s="16">
        <f t="shared" si="38"/>
        <v>3332.5</v>
      </c>
      <c r="J210" s="17">
        <f t="shared" si="38"/>
        <v>2536</v>
      </c>
      <c r="K210" s="106"/>
    </row>
    <row r="211" spans="1:11" outlineLevel="1" x14ac:dyDescent="0.2">
      <c r="A211" s="12">
        <f t="shared" si="37"/>
        <v>3581</v>
      </c>
      <c r="B211" s="13" t="str">
        <f t="shared" si="37"/>
        <v>Lamar</v>
      </c>
      <c r="C211" s="14">
        <f t="shared" si="33"/>
        <v>23375.041486847134</v>
      </c>
      <c r="D211" s="15">
        <f t="shared" si="38"/>
        <v>1372</v>
      </c>
      <c r="E211" s="16">
        <f t="shared" si="38"/>
        <v>3534.2720000000004</v>
      </c>
      <c r="F211" s="16">
        <f t="shared" si="38"/>
        <v>479.76948684713585</v>
      </c>
      <c r="G211" s="18">
        <f t="shared" si="38"/>
        <v>6913.6666666666661</v>
      </c>
      <c r="H211" s="15">
        <f t="shared" si="38"/>
        <v>3305.5</v>
      </c>
      <c r="I211" s="16">
        <f t="shared" si="38"/>
        <v>3765.833333333333</v>
      </c>
      <c r="J211" s="17">
        <f t="shared" si="38"/>
        <v>4004</v>
      </c>
      <c r="K211" s="106"/>
    </row>
    <row r="212" spans="1:11" outlineLevel="1" x14ac:dyDescent="0.2">
      <c r="A212" s="12">
        <f t="shared" si="37"/>
        <v>3606</v>
      </c>
      <c r="B212" s="13" t="str">
        <f t="shared" si="37"/>
        <v>SHSU</v>
      </c>
      <c r="C212" s="14">
        <f t="shared" si="33"/>
        <v>52454.40978961291</v>
      </c>
      <c r="D212" s="15">
        <f t="shared" si="38"/>
        <v>3081</v>
      </c>
      <c r="E212" s="16">
        <f t="shared" si="38"/>
        <v>12767.664000000001</v>
      </c>
      <c r="F212" s="16">
        <f t="shared" si="38"/>
        <v>587.74578961290899</v>
      </c>
      <c r="G212" s="18">
        <f t="shared" si="38"/>
        <v>15645</v>
      </c>
      <c r="H212" s="15">
        <f t="shared" si="38"/>
        <v>5925.5</v>
      </c>
      <c r="I212" s="16">
        <f t="shared" si="38"/>
        <v>7514.1666666666661</v>
      </c>
      <c r="J212" s="17">
        <f t="shared" si="38"/>
        <v>6933.333333333333</v>
      </c>
      <c r="K212" s="106"/>
    </row>
    <row r="213" spans="1:11" outlineLevel="1" x14ac:dyDescent="0.2">
      <c r="A213" s="12">
        <f t="shared" si="37"/>
        <v>3615</v>
      </c>
      <c r="B213" s="13" t="str">
        <f t="shared" si="37"/>
        <v>TXST</v>
      </c>
      <c r="C213" s="14">
        <f t="shared" si="33"/>
        <v>96790.146179382558</v>
      </c>
      <c r="D213" s="15">
        <f t="shared" si="38"/>
        <v>5518</v>
      </c>
      <c r="E213" s="16">
        <f t="shared" si="38"/>
        <v>24411.632000000001</v>
      </c>
      <c r="F213" s="16">
        <f t="shared" si="38"/>
        <v>553.84751271589812</v>
      </c>
      <c r="G213" s="18">
        <f t="shared" si="38"/>
        <v>26966.333333333336</v>
      </c>
      <c r="H213" s="15">
        <f t="shared" si="38"/>
        <v>11474.5</v>
      </c>
      <c r="I213" s="16">
        <f t="shared" si="38"/>
        <v>14372.5</v>
      </c>
      <c r="J213" s="17">
        <f t="shared" si="38"/>
        <v>13493.333333333334</v>
      </c>
      <c r="K213" s="106"/>
    </row>
    <row r="214" spans="1:11" outlineLevel="1" x14ac:dyDescent="0.2">
      <c r="A214" s="12">
        <f t="shared" si="37"/>
        <v>3625</v>
      </c>
      <c r="B214" s="13" t="str">
        <f t="shared" si="37"/>
        <v>SRSU</v>
      </c>
      <c r="C214" s="14">
        <f t="shared" si="33"/>
        <v>3734.9429660846877</v>
      </c>
      <c r="D214" s="15">
        <f t="shared" si="38"/>
        <v>196.66666666666666</v>
      </c>
      <c r="E214" s="16">
        <f t="shared" si="38"/>
        <v>426.76666666666665</v>
      </c>
      <c r="F214" s="16">
        <f t="shared" si="38"/>
        <v>444.00963275135467</v>
      </c>
      <c r="G214" s="18">
        <f t="shared" si="38"/>
        <v>1185.3333333333335</v>
      </c>
      <c r="H214" s="15">
        <f t="shared" si="38"/>
        <v>444</v>
      </c>
      <c r="I214" s="16">
        <f t="shared" si="38"/>
        <v>494.16666666666663</v>
      </c>
      <c r="J214" s="17">
        <f t="shared" si="38"/>
        <v>544</v>
      </c>
      <c r="K214" s="106"/>
    </row>
    <row r="215" spans="1:11" outlineLevel="1" x14ac:dyDescent="0.2">
      <c r="A215" s="12">
        <f t="shared" si="37"/>
        <v>20</v>
      </c>
      <c r="B215" s="13" t="str">
        <f t="shared" si="37"/>
        <v>SRRG</v>
      </c>
      <c r="C215" s="14">
        <f t="shared" si="33"/>
        <v>2963.2426082256115</v>
      </c>
      <c r="D215" s="15">
        <f t="shared" si="38"/>
        <v>156</v>
      </c>
      <c r="E215" s="16">
        <f t="shared" si="38"/>
        <v>307.93474576271183</v>
      </c>
      <c r="F215" s="16">
        <f t="shared" si="38"/>
        <v>982.80786246289972</v>
      </c>
      <c r="G215" s="18">
        <f t="shared" si="38"/>
        <v>970.66666666666663</v>
      </c>
      <c r="H215" s="15">
        <f t="shared" si="38"/>
        <v>303</v>
      </c>
      <c r="I215" s="16">
        <f t="shared" si="38"/>
        <v>230.83333333333331</v>
      </c>
      <c r="J215" s="17">
        <f t="shared" si="38"/>
        <v>12</v>
      </c>
      <c r="K215" s="106"/>
    </row>
    <row r="216" spans="1:11" ht="13.5" outlineLevel="1" thickBot="1" x14ac:dyDescent="0.25">
      <c r="A216" s="21"/>
      <c r="B216" s="22" t="s">
        <v>48</v>
      </c>
      <c r="C216" s="35">
        <f t="shared" ref="C216:J216" si="39">SUM(C178:C215)</f>
        <v>1451740.9982824423</v>
      </c>
      <c r="D216" s="36">
        <f t="shared" si="39"/>
        <v>87442.666666666672</v>
      </c>
      <c r="E216" s="37">
        <f t="shared" si="39"/>
        <v>355883.73053081532</v>
      </c>
      <c r="F216" s="37">
        <f t="shared" si="39"/>
        <v>24417.267751626801</v>
      </c>
      <c r="G216" s="40">
        <f t="shared" si="39"/>
        <v>399464.33333333326</v>
      </c>
      <c r="H216" s="39">
        <f t="shared" si="39"/>
        <v>173809</v>
      </c>
      <c r="I216" s="41">
        <f t="shared" si="39"/>
        <v>208780</v>
      </c>
      <c r="J216" s="38">
        <f t="shared" si="39"/>
        <v>201944</v>
      </c>
      <c r="K216" s="149"/>
    </row>
    <row r="217" spans="1:11" ht="13.5" thickBot="1" x14ac:dyDescent="0.25">
      <c r="A217" s="1" t="s">
        <v>51</v>
      </c>
      <c r="B217" s="1"/>
      <c r="C217" s="150"/>
      <c r="D217" s="42"/>
      <c r="E217" s="42"/>
      <c r="F217" s="43"/>
      <c r="K217" s="149"/>
    </row>
    <row r="218" spans="1:11" ht="12.75" customHeight="1" outlineLevel="1" x14ac:dyDescent="0.2">
      <c r="A218" s="163" t="s">
        <v>0</v>
      </c>
      <c r="B218" s="165" t="s">
        <v>1</v>
      </c>
      <c r="C218" s="167"/>
      <c r="D218" s="169" t="s">
        <v>52</v>
      </c>
      <c r="E218" s="171" t="s">
        <v>53</v>
      </c>
      <c r="F218" s="165" t="s">
        <v>54</v>
      </c>
      <c r="G218" s="158" t="s">
        <v>4</v>
      </c>
      <c r="H218" s="160" t="s">
        <v>55</v>
      </c>
      <c r="I218" s="161"/>
      <c r="J218" s="162"/>
      <c r="K218" s="149"/>
    </row>
    <row r="219" spans="1:11" s="44" customFormat="1" ht="41.25" customHeight="1" outlineLevel="1" thickBot="1" x14ac:dyDescent="0.25">
      <c r="A219" s="164"/>
      <c r="B219" s="166"/>
      <c r="C219" s="168"/>
      <c r="D219" s="170"/>
      <c r="E219" s="172"/>
      <c r="F219" s="166"/>
      <c r="G219" s="159"/>
      <c r="H219" s="70" t="s">
        <v>8</v>
      </c>
      <c r="I219" s="71" t="s">
        <v>9</v>
      </c>
      <c r="J219" s="72" t="s">
        <v>10</v>
      </c>
      <c r="K219" s="149"/>
    </row>
    <row r="220" spans="1:11" outlineLevel="1" x14ac:dyDescent="0.2">
      <c r="A220" s="12">
        <f t="shared" ref="A220:B235" si="40">A178</f>
        <v>3656</v>
      </c>
      <c r="B220" s="13" t="str">
        <f t="shared" si="40"/>
        <v>UTA</v>
      </c>
      <c r="C220" s="45"/>
      <c r="D220" s="46">
        <f t="shared" ref="D220:D257" si="41">AVERAGE(D262,D304,D346)</f>
        <v>5739.666666666667</v>
      </c>
      <c r="E220" s="151">
        <f t="shared" ref="E220:E257" si="42">AVERAGE(E262,E304,E346)*D220</f>
        <v>3003.758888888889</v>
      </c>
      <c r="F220" s="48">
        <f t="shared" ref="F220:F257" si="43">D220/AVERAGE(F262,F304,F346)*100</f>
        <v>32.218851430410474</v>
      </c>
      <c r="G220" s="32">
        <f t="shared" ref="G220:J235" si="44">AVERAGE(G262,G304,G346)</f>
        <v>3489.3333333333335</v>
      </c>
      <c r="H220" s="46">
        <f t="shared" si="44"/>
        <v>7008.333333333333</v>
      </c>
      <c r="I220" s="48">
        <f t="shared" si="44"/>
        <v>3967.3333333333335</v>
      </c>
      <c r="J220" s="49">
        <f t="shared" si="44"/>
        <v>1832.6666666666667</v>
      </c>
      <c r="K220" s="149"/>
    </row>
    <row r="221" spans="1:11" outlineLevel="1" x14ac:dyDescent="0.2">
      <c r="A221" s="12">
        <f t="shared" si="40"/>
        <v>3658</v>
      </c>
      <c r="B221" s="13" t="str">
        <f t="shared" si="40"/>
        <v>UT</v>
      </c>
      <c r="C221" s="50"/>
      <c r="D221" s="15">
        <f t="shared" si="41"/>
        <v>9031.3333333333339</v>
      </c>
      <c r="E221" s="152">
        <f t="shared" si="42"/>
        <v>7483.9648888888887</v>
      </c>
      <c r="F221" s="16">
        <f t="shared" si="43"/>
        <v>25.877993104041114</v>
      </c>
      <c r="G221" s="18">
        <f t="shared" si="44"/>
        <v>3569.3333333333335</v>
      </c>
      <c r="H221" s="15">
        <f t="shared" si="44"/>
        <v>9875</v>
      </c>
      <c r="I221" s="16">
        <f t="shared" si="44"/>
        <v>8714.3333333333339</v>
      </c>
      <c r="J221" s="17">
        <f t="shared" si="44"/>
        <v>6841.666666666667</v>
      </c>
      <c r="K221" s="149"/>
    </row>
    <row r="222" spans="1:11" outlineLevel="1" x14ac:dyDescent="0.2">
      <c r="A222" s="12">
        <f t="shared" si="40"/>
        <v>9741</v>
      </c>
      <c r="B222" s="13" t="str">
        <f t="shared" si="40"/>
        <v>UTD</v>
      </c>
      <c r="C222" s="50"/>
      <c r="D222" s="15">
        <f t="shared" si="41"/>
        <v>2536.3333333333335</v>
      </c>
      <c r="E222" s="152">
        <f t="shared" si="42"/>
        <v>1772.8969999999999</v>
      </c>
      <c r="F222" s="16">
        <f t="shared" si="43"/>
        <v>24.369283194834701</v>
      </c>
      <c r="G222" s="18">
        <f t="shared" si="44"/>
        <v>1422.3333333333333</v>
      </c>
      <c r="H222" s="15">
        <f t="shared" si="44"/>
        <v>3437.3333333333335</v>
      </c>
      <c r="I222" s="16">
        <f t="shared" si="44"/>
        <v>2345.6666666666665</v>
      </c>
      <c r="J222" s="17">
        <f t="shared" si="44"/>
        <v>1126</v>
      </c>
      <c r="K222" s="149"/>
    </row>
    <row r="223" spans="1:11" outlineLevel="1" x14ac:dyDescent="0.2">
      <c r="A223" s="12">
        <f t="shared" si="40"/>
        <v>3661</v>
      </c>
      <c r="B223" s="13" t="str">
        <f t="shared" si="40"/>
        <v>UTEP</v>
      </c>
      <c r="C223" s="50"/>
      <c r="D223" s="15">
        <f t="shared" si="41"/>
        <v>3087.6666666666665</v>
      </c>
      <c r="E223" s="152">
        <f t="shared" si="42"/>
        <v>1264.9141111111112</v>
      </c>
      <c r="F223" s="16">
        <f t="shared" si="43"/>
        <v>21.872835463761724</v>
      </c>
      <c r="G223" s="18">
        <f t="shared" si="44"/>
        <v>2510.6666666666665</v>
      </c>
      <c r="H223" s="15">
        <f t="shared" si="44"/>
        <v>4459.666666666667</v>
      </c>
      <c r="I223" s="16">
        <f t="shared" si="44"/>
        <v>3274.3333333333335</v>
      </c>
      <c r="J223" s="17">
        <f t="shared" si="44"/>
        <v>1840</v>
      </c>
      <c r="K223" s="149"/>
    </row>
    <row r="224" spans="1:11" outlineLevel="1" x14ac:dyDescent="0.2">
      <c r="A224" s="12">
        <f t="shared" si="40"/>
        <v>3599</v>
      </c>
      <c r="B224" s="13" t="str">
        <f t="shared" si="40"/>
        <v>UTPA</v>
      </c>
      <c r="C224" s="50"/>
      <c r="D224" s="15">
        <f t="shared" si="41"/>
        <v>2645.6666666666665</v>
      </c>
      <c r="E224" s="152">
        <f t="shared" si="42"/>
        <v>1186.1405555555555</v>
      </c>
      <c r="F224" s="16">
        <f t="shared" si="43"/>
        <v>20.108332151036702</v>
      </c>
      <c r="G224" s="18">
        <f t="shared" si="44"/>
        <v>2403.6666666666665</v>
      </c>
      <c r="H224" s="15">
        <f t="shared" si="44"/>
        <v>3884.3333333333335</v>
      </c>
      <c r="I224" s="16">
        <f t="shared" si="44"/>
        <v>3020</v>
      </c>
      <c r="J224" s="17">
        <f t="shared" si="44"/>
        <v>1921.6666666666667</v>
      </c>
      <c r="K224" s="149"/>
    </row>
    <row r="225" spans="1:11" outlineLevel="1" x14ac:dyDescent="0.2">
      <c r="A225" s="12">
        <f t="shared" si="40"/>
        <v>30646</v>
      </c>
      <c r="B225" s="13" t="str">
        <f t="shared" si="40"/>
        <v>UTB</v>
      </c>
      <c r="C225" s="50"/>
      <c r="D225" s="15">
        <f t="shared" si="41"/>
        <v>1078.6666666666667</v>
      </c>
      <c r="E225" s="152">
        <f t="shared" si="42"/>
        <v>562.37280170659335</v>
      </c>
      <c r="F225" s="16">
        <f t="shared" si="43"/>
        <v>23.49899787957127</v>
      </c>
      <c r="G225" s="18">
        <f t="shared" si="44"/>
        <v>917.66666666666663</v>
      </c>
      <c r="H225" s="15">
        <f t="shared" si="44"/>
        <v>1677.3333333333333</v>
      </c>
      <c r="I225" s="16">
        <f t="shared" si="44"/>
        <v>557.66666666666663</v>
      </c>
      <c r="J225" s="17">
        <f t="shared" si="44"/>
        <v>117</v>
      </c>
      <c r="K225" s="149"/>
    </row>
    <row r="226" spans="1:11" outlineLevel="1" x14ac:dyDescent="0.2">
      <c r="A226" s="12">
        <f t="shared" si="40"/>
        <v>9930</v>
      </c>
      <c r="B226" s="13" t="str">
        <f t="shared" si="40"/>
        <v>UTPB</v>
      </c>
      <c r="C226" s="50"/>
      <c r="D226" s="15">
        <f t="shared" si="41"/>
        <v>552</v>
      </c>
      <c r="E226" s="152">
        <f t="shared" si="42"/>
        <v>231.28800000000001</v>
      </c>
      <c r="F226" s="16">
        <f t="shared" si="43"/>
        <v>21.88102851404561</v>
      </c>
      <c r="G226" s="18">
        <f t="shared" si="44"/>
        <v>412</v>
      </c>
      <c r="H226" s="15">
        <f t="shared" si="44"/>
        <v>819.66666666666663</v>
      </c>
      <c r="I226" s="16">
        <f t="shared" si="44"/>
        <v>509.33333333333331</v>
      </c>
      <c r="J226" s="17">
        <f t="shared" si="44"/>
        <v>217</v>
      </c>
      <c r="K226" s="149"/>
    </row>
    <row r="227" spans="1:11" outlineLevel="1" x14ac:dyDescent="0.2">
      <c r="A227" s="12">
        <f t="shared" si="40"/>
        <v>10115</v>
      </c>
      <c r="B227" s="13" t="str">
        <f t="shared" si="40"/>
        <v>UTSA</v>
      </c>
      <c r="C227" s="50"/>
      <c r="D227" s="15">
        <f t="shared" si="41"/>
        <v>4284</v>
      </c>
      <c r="E227" s="152">
        <f t="shared" si="42"/>
        <v>1880.6760000000002</v>
      </c>
      <c r="F227" s="16">
        <f t="shared" si="43"/>
        <v>21.188224367886839</v>
      </c>
      <c r="G227" s="18">
        <f t="shared" si="44"/>
        <v>3303.3333333333335</v>
      </c>
      <c r="H227" s="15">
        <f t="shared" si="44"/>
        <v>6796.333333333333</v>
      </c>
      <c r="I227" s="16">
        <f t="shared" si="44"/>
        <v>4497.333333333333</v>
      </c>
      <c r="J227" s="17">
        <f t="shared" si="44"/>
        <v>2673.3333333333335</v>
      </c>
      <c r="K227" s="149"/>
    </row>
    <row r="228" spans="1:11" outlineLevel="1" x14ac:dyDescent="0.2">
      <c r="A228" s="12">
        <f t="shared" si="40"/>
        <v>11163</v>
      </c>
      <c r="B228" s="13" t="str">
        <f t="shared" si="40"/>
        <v>UTT</v>
      </c>
      <c r="C228" s="50"/>
      <c r="D228" s="15">
        <f t="shared" si="41"/>
        <v>1201</v>
      </c>
      <c r="E228" s="152">
        <f t="shared" si="42"/>
        <v>654.14466666666658</v>
      </c>
      <c r="F228" s="16">
        <f t="shared" si="43"/>
        <v>28.479661901173543</v>
      </c>
      <c r="G228" s="18">
        <f t="shared" si="44"/>
        <v>927</v>
      </c>
      <c r="H228" s="15">
        <f t="shared" si="44"/>
        <v>1467.6666666666667</v>
      </c>
      <c r="I228" s="16">
        <f t="shared" si="44"/>
        <v>893.33333333333337</v>
      </c>
      <c r="J228" s="17">
        <f t="shared" si="44"/>
        <v>384.33333333333331</v>
      </c>
      <c r="K228" s="149"/>
    </row>
    <row r="229" spans="1:11" outlineLevel="1" x14ac:dyDescent="0.2">
      <c r="A229" s="12">
        <f t="shared" si="40"/>
        <v>3632</v>
      </c>
      <c r="B229" s="13" t="str">
        <f t="shared" si="40"/>
        <v>TAMU</v>
      </c>
      <c r="C229" s="50"/>
      <c r="D229" s="15">
        <f t="shared" si="41"/>
        <v>9009.6666666666661</v>
      </c>
      <c r="E229" s="152">
        <f t="shared" si="42"/>
        <v>7610.1651111111096</v>
      </c>
      <c r="F229" s="16">
        <f t="shared" si="43"/>
        <v>25.259677471608676</v>
      </c>
      <c r="G229" s="18">
        <f t="shared" si="44"/>
        <v>3933.6666666666665</v>
      </c>
      <c r="H229" s="15">
        <f t="shared" si="44"/>
        <v>10168</v>
      </c>
      <c r="I229" s="16">
        <f t="shared" si="44"/>
        <v>9124</v>
      </c>
      <c r="J229" s="17">
        <f t="shared" si="44"/>
        <v>6840.666666666667</v>
      </c>
      <c r="K229" s="149"/>
    </row>
    <row r="230" spans="1:11" outlineLevel="1" x14ac:dyDescent="0.2">
      <c r="A230" s="12">
        <f t="shared" si="40"/>
        <v>10298</v>
      </c>
      <c r="B230" s="13" t="str">
        <f t="shared" si="40"/>
        <v>TAMUG</v>
      </c>
      <c r="C230" s="50"/>
      <c r="D230" s="15">
        <f t="shared" si="41"/>
        <v>291</v>
      </c>
      <c r="E230" s="152">
        <f t="shared" si="42"/>
        <v>181.77800000000002</v>
      </c>
      <c r="F230" s="16">
        <f t="shared" si="43"/>
        <v>16.298057176994785</v>
      </c>
      <c r="G230" s="18">
        <f t="shared" si="44"/>
        <v>172.66666666666666</v>
      </c>
      <c r="H230" s="15">
        <f t="shared" si="44"/>
        <v>591</v>
      </c>
      <c r="I230" s="16">
        <f t="shared" si="44"/>
        <v>336</v>
      </c>
      <c r="J230" s="17">
        <f t="shared" si="44"/>
        <v>237.33333333333334</v>
      </c>
      <c r="K230" s="149"/>
    </row>
    <row r="231" spans="1:11" outlineLevel="1" x14ac:dyDescent="0.2">
      <c r="A231" s="12">
        <f t="shared" si="40"/>
        <v>3630</v>
      </c>
      <c r="B231" s="13" t="str">
        <f t="shared" si="40"/>
        <v>Prairie View</v>
      </c>
      <c r="C231" s="50"/>
      <c r="D231" s="15">
        <f t="shared" si="41"/>
        <v>979.33333333333337</v>
      </c>
      <c r="E231" s="152">
        <f t="shared" si="42"/>
        <v>384.22511111111118</v>
      </c>
      <c r="F231" s="16">
        <f t="shared" si="43"/>
        <v>16.601871524795445</v>
      </c>
      <c r="G231" s="18">
        <f t="shared" si="44"/>
        <v>844</v>
      </c>
      <c r="H231" s="15">
        <f t="shared" si="44"/>
        <v>1686.3333333333333</v>
      </c>
      <c r="I231" s="16">
        <f t="shared" si="44"/>
        <v>1191</v>
      </c>
      <c r="J231" s="17">
        <f t="shared" si="44"/>
        <v>868.66666666666663</v>
      </c>
      <c r="K231" s="149"/>
    </row>
    <row r="232" spans="1:11" outlineLevel="1" x14ac:dyDescent="0.2">
      <c r="A232" s="12">
        <f t="shared" si="40"/>
        <v>3631</v>
      </c>
      <c r="B232" s="13" t="str">
        <f t="shared" si="40"/>
        <v>Tarleton</v>
      </c>
      <c r="C232" s="50"/>
      <c r="D232" s="15">
        <f t="shared" si="41"/>
        <v>1693.3333333333333</v>
      </c>
      <c r="E232" s="152">
        <f t="shared" si="42"/>
        <v>838.19999999999982</v>
      </c>
      <c r="F232" s="16">
        <f t="shared" si="43"/>
        <v>23.479675598392781</v>
      </c>
      <c r="G232" s="18">
        <f t="shared" si="44"/>
        <v>1305</v>
      </c>
      <c r="H232" s="15">
        <f t="shared" si="44"/>
        <v>2278.3333333333335</v>
      </c>
      <c r="I232" s="16">
        <f t="shared" si="44"/>
        <v>1355</v>
      </c>
      <c r="J232" s="17">
        <f t="shared" si="44"/>
        <v>842.66666666666663</v>
      </c>
      <c r="K232" s="149"/>
    </row>
    <row r="233" spans="1:11" outlineLevel="1" x14ac:dyDescent="0.2">
      <c r="A233" s="34">
        <f t="shared" si="40"/>
        <v>103631</v>
      </c>
      <c r="B233" s="13" t="str">
        <f t="shared" si="40"/>
        <v>TAMUCT</v>
      </c>
      <c r="C233" s="50"/>
      <c r="D233" s="15">
        <f t="shared" si="41"/>
        <v>470.33333333333331</v>
      </c>
      <c r="E233" s="152">
        <f t="shared" si="42"/>
        <v>150.3498888888889</v>
      </c>
      <c r="F233" s="16">
        <f t="shared" si="43"/>
        <v>60.796254272829117</v>
      </c>
      <c r="G233" s="18">
        <f t="shared" si="44"/>
        <v>333</v>
      </c>
      <c r="H233" s="15">
        <f t="shared" si="44"/>
        <v>555.33333333333337</v>
      </c>
      <c r="I233" s="16">
        <f t="shared" si="44"/>
        <v>115.33333333333333</v>
      </c>
      <c r="J233" s="17">
        <f t="shared" si="44"/>
        <v>24</v>
      </c>
      <c r="K233" s="149"/>
    </row>
    <row r="234" spans="1:11" outlineLevel="1" x14ac:dyDescent="0.2">
      <c r="A234" s="12">
        <f t="shared" si="40"/>
        <v>11161</v>
      </c>
      <c r="B234" s="13" t="str">
        <f t="shared" si="40"/>
        <v>TAMUCC</v>
      </c>
      <c r="C234" s="50"/>
      <c r="D234" s="15">
        <f t="shared" si="41"/>
        <v>1431.3333333333333</v>
      </c>
      <c r="E234" s="152">
        <f t="shared" si="42"/>
        <v>726.16311111111122</v>
      </c>
      <c r="F234" s="16">
        <f t="shared" si="43"/>
        <v>20.262554384242961</v>
      </c>
      <c r="G234" s="18">
        <f t="shared" si="44"/>
        <v>1117</v>
      </c>
      <c r="H234" s="15">
        <f t="shared" si="44"/>
        <v>2042.6666666666667</v>
      </c>
      <c r="I234" s="16">
        <f t="shared" si="44"/>
        <v>1477</v>
      </c>
      <c r="J234" s="17">
        <f t="shared" si="44"/>
        <v>898.66666666666663</v>
      </c>
      <c r="K234" s="149"/>
    </row>
    <row r="235" spans="1:11" outlineLevel="1" x14ac:dyDescent="0.2">
      <c r="A235" s="12">
        <f t="shared" si="40"/>
        <v>3639</v>
      </c>
      <c r="B235" s="13" t="str">
        <f t="shared" si="40"/>
        <v>TAMUK</v>
      </c>
      <c r="C235" s="50"/>
      <c r="D235" s="15">
        <f t="shared" si="41"/>
        <v>863.66666666666663</v>
      </c>
      <c r="E235" s="152">
        <f t="shared" si="42"/>
        <v>348.05766666666665</v>
      </c>
      <c r="F235" s="16">
        <f t="shared" si="43"/>
        <v>17.445696817894131</v>
      </c>
      <c r="G235" s="18">
        <f t="shared" si="44"/>
        <v>740.66666666666663</v>
      </c>
      <c r="H235" s="15">
        <f t="shared" si="44"/>
        <v>1305.6666666666667</v>
      </c>
      <c r="I235" s="16">
        <f t="shared" si="44"/>
        <v>915.33333333333337</v>
      </c>
      <c r="J235" s="17">
        <f t="shared" si="44"/>
        <v>570.66666666666663</v>
      </c>
      <c r="K235" s="149"/>
    </row>
    <row r="236" spans="1:11" outlineLevel="1" x14ac:dyDescent="0.2">
      <c r="A236" s="34">
        <f t="shared" ref="A236:B251" si="45">A194</f>
        <v>103639</v>
      </c>
      <c r="B236" s="13" t="str">
        <f t="shared" si="45"/>
        <v>TAMUSA</v>
      </c>
      <c r="C236" s="50"/>
      <c r="D236" s="15">
        <f t="shared" si="41"/>
        <v>688</v>
      </c>
      <c r="E236" s="152">
        <f t="shared" si="42"/>
        <v>181.17333333333335</v>
      </c>
      <c r="F236" s="16">
        <f t="shared" si="43"/>
        <v>36.165266859018544</v>
      </c>
      <c r="G236" s="18">
        <f t="shared" ref="G236:J251" si="46">AVERAGE(G278,G320,G362)</f>
        <v>581.66666666666663</v>
      </c>
      <c r="H236" s="15">
        <f t="shared" si="46"/>
        <v>972.66666666666663</v>
      </c>
      <c r="I236" s="16">
        <f t="shared" si="46"/>
        <v>194.33333333333334</v>
      </c>
      <c r="J236" s="17">
        <f t="shared" si="46"/>
        <v>2.3333333333333335</v>
      </c>
      <c r="K236" s="149"/>
    </row>
    <row r="237" spans="1:11" outlineLevel="1" x14ac:dyDescent="0.2">
      <c r="A237" s="12">
        <f t="shared" si="45"/>
        <v>9651</v>
      </c>
      <c r="B237" s="13" t="str">
        <f t="shared" si="45"/>
        <v>TAMI</v>
      </c>
      <c r="C237" s="50"/>
      <c r="D237" s="15">
        <f t="shared" si="41"/>
        <v>802.33333333333337</v>
      </c>
      <c r="E237" s="152">
        <f t="shared" si="42"/>
        <v>393.94566666666663</v>
      </c>
      <c r="F237" s="16">
        <f t="shared" si="43"/>
        <v>18.175548463095154</v>
      </c>
      <c r="G237" s="18">
        <f t="shared" si="46"/>
        <v>729.33333333333337</v>
      </c>
      <c r="H237" s="15">
        <f t="shared" si="46"/>
        <v>1391.6666666666667</v>
      </c>
      <c r="I237" s="16">
        <f t="shared" si="46"/>
        <v>1026.3333333333333</v>
      </c>
      <c r="J237" s="17">
        <f t="shared" si="46"/>
        <v>513.66666666666663</v>
      </c>
      <c r="K237" s="149"/>
    </row>
    <row r="238" spans="1:11" outlineLevel="1" x14ac:dyDescent="0.2">
      <c r="A238" s="12">
        <f t="shared" si="45"/>
        <v>3665</v>
      </c>
      <c r="B238" s="13" t="str">
        <f t="shared" si="45"/>
        <v>WTAMU</v>
      </c>
      <c r="C238" s="50"/>
      <c r="D238" s="15">
        <f t="shared" si="41"/>
        <v>1307.3333333333333</v>
      </c>
      <c r="E238" s="152">
        <f t="shared" si="42"/>
        <v>618.36866666666663</v>
      </c>
      <c r="F238" s="16">
        <f t="shared" si="43"/>
        <v>23.096673890511639</v>
      </c>
      <c r="G238" s="18">
        <f t="shared" si="46"/>
        <v>924.66666666666663</v>
      </c>
      <c r="H238" s="15">
        <f t="shared" si="46"/>
        <v>1750.3333333333333</v>
      </c>
      <c r="I238" s="16">
        <f t="shared" si="46"/>
        <v>1231</v>
      </c>
      <c r="J238" s="17">
        <f t="shared" si="46"/>
        <v>690.33333333333337</v>
      </c>
      <c r="K238" s="149"/>
    </row>
    <row r="239" spans="1:11" outlineLevel="1" x14ac:dyDescent="0.2">
      <c r="A239" s="12">
        <f t="shared" si="45"/>
        <v>3565</v>
      </c>
      <c r="B239" s="13" t="str">
        <f t="shared" si="45"/>
        <v>TAMUC</v>
      </c>
      <c r="C239" s="50"/>
      <c r="D239" s="15">
        <f t="shared" si="41"/>
        <v>1446</v>
      </c>
      <c r="E239" s="152">
        <f t="shared" si="42"/>
        <v>667.57</v>
      </c>
      <c r="F239" s="16">
        <f t="shared" si="43"/>
        <v>27.684296064975346</v>
      </c>
      <c r="G239" s="18">
        <f t="shared" si="46"/>
        <v>1109.3333333333333</v>
      </c>
      <c r="H239" s="15">
        <f t="shared" si="46"/>
        <v>1959.3333333333333</v>
      </c>
      <c r="I239" s="16">
        <f t="shared" si="46"/>
        <v>1222.6666666666667</v>
      </c>
      <c r="J239" s="17">
        <f t="shared" si="46"/>
        <v>471.66666666666669</v>
      </c>
      <c r="K239" s="149"/>
    </row>
    <row r="240" spans="1:11" outlineLevel="1" x14ac:dyDescent="0.2">
      <c r="A240" s="12">
        <f t="shared" si="45"/>
        <v>29269</v>
      </c>
      <c r="B240" s="13" t="str">
        <f t="shared" si="45"/>
        <v>TAMUT</v>
      </c>
      <c r="C240" s="50"/>
      <c r="D240" s="15">
        <f t="shared" si="41"/>
        <v>348.33333333333331</v>
      </c>
      <c r="E240" s="152">
        <f t="shared" si="42"/>
        <v>179.40701339637511</v>
      </c>
      <c r="F240" s="16">
        <f t="shared" si="43"/>
        <v>33.06473727508596</v>
      </c>
      <c r="G240" s="18">
        <f t="shared" si="46"/>
        <v>251</v>
      </c>
      <c r="H240" s="15">
        <f t="shared" si="46"/>
        <v>440.33333333333331</v>
      </c>
      <c r="I240" s="16">
        <f t="shared" si="46"/>
        <v>214</v>
      </c>
      <c r="J240" s="17">
        <f t="shared" si="46"/>
        <v>9.3333333333333339</v>
      </c>
      <c r="K240" s="149"/>
    </row>
    <row r="241" spans="1:11" outlineLevel="1" x14ac:dyDescent="0.2">
      <c r="A241" s="12">
        <f t="shared" si="45"/>
        <v>3652</v>
      </c>
      <c r="B241" s="13" t="str">
        <f t="shared" si="45"/>
        <v>UH</v>
      </c>
      <c r="C241" s="50"/>
      <c r="D241" s="15">
        <f t="shared" si="41"/>
        <v>5425</v>
      </c>
      <c r="E241" s="152">
        <f t="shared" si="42"/>
        <v>2943.9666666666672</v>
      </c>
      <c r="F241" s="16">
        <f t="shared" si="43"/>
        <v>21.727618216933529</v>
      </c>
      <c r="G241" s="18">
        <f t="shared" si="46"/>
        <v>3687.3333333333335</v>
      </c>
      <c r="H241" s="15">
        <f t="shared" si="46"/>
        <v>7867.666666666667</v>
      </c>
      <c r="I241" s="16">
        <f t="shared" si="46"/>
        <v>5984</v>
      </c>
      <c r="J241" s="17">
        <f t="shared" si="46"/>
        <v>3247</v>
      </c>
      <c r="K241" s="149"/>
    </row>
    <row r="242" spans="1:11" outlineLevel="1" x14ac:dyDescent="0.2">
      <c r="A242" s="12">
        <f t="shared" si="45"/>
        <v>11711</v>
      </c>
      <c r="B242" s="13" t="str">
        <f t="shared" si="45"/>
        <v>UHCL</v>
      </c>
      <c r="C242" s="50"/>
      <c r="D242" s="15">
        <f t="shared" si="41"/>
        <v>1217</v>
      </c>
      <c r="E242" s="152">
        <f t="shared" si="42"/>
        <v>637.55992761588254</v>
      </c>
      <c r="F242" s="16">
        <f t="shared" si="43"/>
        <v>39.889142199529473</v>
      </c>
      <c r="G242" s="18">
        <f t="shared" si="46"/>
        <v>807.66666666666663</v>
      </c>
      <c r="H242" s="15">
        <f t="shared" si="46"/>
        <v>1421.3333333333333</v>
      </c>
      <c r="I242" s="16">
        <f t="shared" si="46"/>
        <v>1001.3333333333334</v>
      </c>
      <c r="J242" s="17">
        <f t="shared" si="46"/>
        <v>32.333333333333336</v>
      </c>
      <c r="K242" s="149"/>
    </row>
    <row r="243" spans="1:11" outlineLevel="1" x14ac:dyDescent="0.2">
      <c r="A243" s="12">
        <f t="shared" si="45"/>
        <v>12826</v>
      </c>
      <c r="B243" s="13" t="str">
        <f t="shared" si="45"/>
        <v>UHD</v>
      </c>
      <c r="C243" s="50"/>
      <c r="D243" s="15">
        <f t="shared" si="41"/>
        <v>2381</v>
      </c>
      <c r="E243" s="152">
        <f t="shared" si="42"/>
        <v>490.48599999999999</v>
      </c>
      <c r="F243" s="16">
        <f t="shared" si="43"/>
        <v>28.498966648136381</v>
      </c>
      <c r="G243" s="18">
        <f t="shared" si="46"/>
        <v>1728</v>
      </c>
      <c r="H243" s="15">
        <f t="shared" si="46"/>
        <v>3089.3333333333335</v>
      </c>
      <c r="I243" s="16">
        <f t="shared" si="46"/>
        <v>1845</v>
      </c>
      <c r="J243" s="17">
        <f t="shared" si="46"/>
        <v>584</v>
      </c>
      <c r="K243" s="149"/>
    </row>
    <row r="244" spans="1:11" outlineLevel="1" x14ac:dyDescent="0.2">
      <c r="A244" s="12">
        <f t="shared" si="45"/>
        <v>13231</v>
      </c>
      <c r="B244" s="13" t="str">
        <f t="shared" si="45"/>
        <v>UHV</v>
      </c>
      <c r="C244" s="50"/>
      <c r="D244" s="15">
        <f t="shared" si="41"/>
        <v>637</v>
      </c>
      <c r="E244" s="152">
        <f t="shared" si="42"/>
        <v>315.17695673310646</v>
      </c>
      <c r="F244" s="16">
        <f t="shared" si="43"/>
        <v>35.821846765224123</v>
      </c>
      <c r="G244" s="18">
        <f t="shared" si="46"/>
        <v>426</v>
      </c>
      <c r="H244" s="15">
        <f t="shared" si="46"/>
        <v>740.66666666666663</v>
      </c>
      <c r="I244" s="16">
        <f t="shared" si="46"/>
        <v>340.33333333333331</v>
      </c>
      <c r="J244" s="17">
        <f t="shared" si="46"/>
        <v>10</v>
      </c>
      <c r="K244" s="149"/>
    </row>
    <row r="245" spans="1:11" outlineLevel="1" x14ac:dyDescent="0.2">
      <c r="A245" s="12">
        <f t="shared" si="45"/>
        <v>3592</v>
      </c>
      <c r="B245" s="13" t="str">
        <f t="shared" si="45"/>
        <v>Midwestern</v>
      </c>
      <c r="C245" s="50"/>
      <c r="D245" s="15">
        <f t="shared" si="41"/>
        <v>1058</v>
      </c>
      <c r="E245" s="152">
        <f t="shared" si="42"/>
        <v>493.73333333333329</v>
      </c>
      <c r="F245" s="16">
        <f t="shared" si="43"/>
        <v>26.29239171853169</v>
      </c>
      <c r="G245" s="18">
        <f t="shared" si="46"/>
        <v>708.33333333333337</v>
      </c>
      <c r="H245" s="15">
        <f t="shared" si="46"/>
        <v>1329</v>
      </c>
      <c r="I245" s="16">
        <f t="shared" si="46"/>
        <v>976.33333333333337</v>
      </c>
      <c r="J245" s="17">
        <f t="shared" si="46"/>
        <v>688.66666666666663</v>
      </c>
      <c r="K245" s="149"/>
    </row>
    <row r="246" spans="1:11" outlineLevel="1" x14ac:dyDescent="0.2">
      <c r="A246" s="12">
        <f t="shared" si="45"/>
        <v>3594</v>
      </c>
      <c r="B246" s="13" t="str">
        <f t="shared" si="45"/>
        <v>UNT</v>
      </c>
      <c r="C246" s="50"/>
      <c r="D246" s="15">
        <f t="shared" si="41"/>
        <v>5984</v>
      </c>
      <c r="E246" s="152">
        <f t="shared" si="42"/>
        <v>3462.7413333333338</v>
      </c>
      <c r="F246" s="16">
        <f t="shared" si="43"/>
        <v>25.111696130571865</v>
      </c>
      <c r="G246" s="18">
        <f t="shared" si="46"/>
        <v>3852</v>
      </c>
      <c r="H246" s="15">
        <f t="shared" si="46"/>
        <v>7593</v>
      </c>
      <c r="I246" s="16">
        <f t="shared" si="46"/>
        <v>5634.666666666667</v>
      </c>
      <c r="J246" s="17">
        <f t="shared" si="46"/>
        <v>3144</v>
      </c>
      <c r="K246" s="149"/>
    </row>
    <row r="247" spans="1:11" outlineLevel="1" x14ac:dyDescent="0.2">
      <c r="A247" s="34">
        <f t="shared" si="45"/>
        <v>113594</v>
      </c>
      <c r="B247" s="13" t="str">
        <f t="shared" si="45"/>
        <v>UNTD</v>
      </c>
      <c r="C247" s="50"/>
      <c r="D247" s="15">
        <f t="shared" si="41"/>
        <v>384.33333333333331</v>
      </c>
      <c r="E247" s="152">
        <f t="shared" si="42"/>
        <v>147.96833333333333</v>
      </c>
      <c r="F247" s="16">
        <f t="shared" si="43"/>
        <v>36.698707747151317</v>
      </c>
      <c r="G247" s="18">
        <f t="shared" si="46"/>
        <v>297.66666666666669</v>
      </c>
      <c r="H247" s="15">
        <f t="shared" si="46"/>
        <v>477</v>
      </c>
      <c r="I247" s="16">
        <f t="shared" si="46"/>
        <v>83.333333333333329</v>
      </c>
      <c r="J247" s="17">
        <f t="shared" si="46"/>
        <v>9.6666666666666661</v>
      </c>
      <c r="K247" s="149"/>
    </row>
    <row r="248" spans="1:11" outlineLevel="1" x14ac:dyDescent="0.2">
      <c r="A248" s="12">
        <f t="shared" si="45"/>
        <v>3624</v>
      </c>
      <c r="B248" s="13" t="str">
        <f t="shared" si="45"/>
        <v>SFA</v>
      </c>
      <c r="C248" s="50"/>
      <c r="D248" s="15">
        <f t="shared" si="41"/>
        <v>1983.3333333333333</v>
      </c>
      <c r="E248" s="152">
        <f t="shared" si="42"/>
        <v>1062.4055555555556</v>
      </c>
      <c r="F248" s="16">
        <f t="shared" si="43"/>
        <v>21.221906238408202</v>
      </c>
      <c r="G248" s="18">
        <f t="shared" si="46"/>
        <v>1508.6666666666667</v>
      </c>
      <c r="H248" s="15">
        <f t="shared" si="46"/>
        <v>2792</v>
      </c>
      <c r="I248" s="16">
        <f t="shared" si="46"/>
        <v>2130.3333333333335</v>
      </c>
      <c r="J248" s="17">
        <f t="shared" si="46"/>
        <v>1451</v>
      </c>
      <c r="K248" s="149"/>
    </row>
    <row r="249" spans="1:11" outlineLevel="1" x14ac:dyDescent="0.2">
      <c r="A249" s="12">
        <f t="shared" si="45"/>
        <v>3642</v>
      </c>
      <c r="B249" s="13" t="str">
        <f t="shared" si="45"/>
        <v>TSU</v>
      </c>
      <c r="C249" s="50"/>
      <c r="D249" s="15">
        <f t="shared" si="41"/>
        <v>742</v>
      </c>
      <c r="E249" s="152">
        <f t="shared" si="42"/>
        <v>110.31066666666665</v>
      </c>
      <c r="F249" s="16">
        <f t="shared" si="43"/>
        <v>12.863681193367441</v>
      </c>
      <c r="G249" s="18">
        <f t="shared" si="46"/>
        <v>651.66666666666663</v>
      </c>
      <c r="H249" s="15">
        <f t="shared" si="46"/>
        <v>1472.6666666666667</v>
      </c>
      <c r="I249" s="16">
        <f t="shared" si="46"/>
        <v>1060</v>
      </c>
      <c r="J249" s="17">
        <f t="shared" si="46"/>
        <v>778</v>
      </c>
      <c r="K249" s="149"/>
    </row>
    <row r="250" spans="1:11" outlineLevel="1" x14ac:dyDescent="0.2">
      <c r="A250" s="12">
        <f t="shared" si="45"/>
        <v>3644</v>
      </c>
      <c r="B250" s="13" t="str">
        <f t="shared" si="45"/>
        <v>TTU</v>
      </c>
      <c r="C250" s="50"/>
      <c r="D250" s="15">
        <f t="shared" si="41"/>
        <v>4917.333333333333</v>
      </c>
      <c r="E250" s="152">
        <f t="shared" si="42"/>
        <v>3553.5928888888889</v>
      </c>
      <c r="F250" s="16">
        <f t="shared" si="43"/>
        <v>21.494137874092999</v>
      </c>
      <c r="G250" s="18">
        <f t="shared" si="46"/>
        <v>2968.3333333333335</v>
      </c>
      <c r="H250" s="15">
        <f t="shared" si="46"/>
        <v>6509.666666666667</v>
      </c>
      <c r="I250" s="16">
        <f t="shared" si="46"/>
        <v>5342.666666666667</v>
      </c>
      <c r="J250" s="17">
        <f t="shared" si="46"/>
        <v>4011.3333333333335</v>
      </c>
      <c r="K250" s="149"/>
    </row>
    <row r="251" spans="1:11" outlineLevel="1" x14ac:dyDescent="0.2">
      <c r="A251" s="12">
        <f t="shared" si="45"/>
        <v>3541</v>
      </c>
      <c r="B251" s="13" t="str">
        <f t="shared" si="45"/>
        <v>Angelo</v>
      </c>
      <c r="C251" s="50"/>
      <c r="D251" s="15">
        <f t="shared" si="41"/>
        <v>1043.6666666666667</v>
      </c>
      <c r="E251" s="152">
        <f t="shared" si="42"/>
        <v>431.73011111111117</v>
      </c>
      <c r="F251" s="16">
        <f t="shared" si="43"/>
        <v>21.550992313869454</v>
      </c>
      <c r="G251" s="18">
        <f t="shared" si="46"/>
        <v>766.33333333333337</v>
      </c>
      <c r="H251" s="15">
        <f t="shared" si="46"/>
        <v>1378</v>
      </c>
      <c r="I251" s="16">
        <f t="shared" si="46"/>
        <v>1048.6666666666667</v>
      </c>
      <c r="J251" s="17">
        <f t="shared" si="46"/>
        <v>725.66666666666663</v>
      </c>
      <c r="K251" s="149"/>
    </row>
    <row r="252" spans="1:11" outlineLevel="1" x14ac:dyDescent="0.2">
      <c r="A252" s="12">
        <f t="shared" ref="A252:B257" si="47">A210</f>
        <v>3646</v>
      </c>
      <c r="B252" s="13" t="str">
        <f t="shared" si="47"/>
        <v>TWU</v>
      </c>
      <c r="C252" s="50"/>
      <c r="D252" s="15">
        <f t="shared" si="41"/>
        <v>1859.3333333333333</v>
      </c>
      <c r="E252" s="152">
        <f t="shared" si="42"/>
        <v>950.11933333333332</v>
      </c>
      <c r="F252" s="16">
        <f t="shared" si="43"/>
        <v>25.766893837440985</v>
      </c>
      <c r="G252" s="18">
        <f t="shared" ref="G252:J257" si="48">AVERAGE(G294,G336,G378)</f>
        <v>1284</v>
      </c>
      <c r="H252" s="15">
        <f t="shared" si="48"/>
        <v>2333.3333333333335</v>
      </c>
      <c r="I252" s="16">
        <f t="shared" si="48"/>
        <v>1333</v>
      </c>
      <c r="J252" s="17">
        <f t="shared" si="48"/>
        <v>634</v>
      </c>
      <c r="K252" s="149"/>
    </row>
    <row r="253" spans="1:11" outlineLevel="1" x14ac:dyDescent="0.2">
      <c r="A253" s="12">
        <f t="shared" si="47"/>
        <v>3581</v>
      </c>
      <c r="B253" s="13" t="str">
        <f t="shared" si="47"/>
        <v>Lamar</v>
      </c>
      <c r="C253" s="50"/>
      <c r="D253" s="15">
        <f t="shared" si="41"/>
        <v>1372</v>
      </c>
      <c r="E253" s="152">
        <f t="shared" si="42"/>
        <v>504.89600000000007</v>
      </c>
      <c r="F253" s="16">
        <f t="shared" si="43"/>
        <v>19.190779473885435</v>
      </c>
      <c r="G253" s="18">
        <f t="shared" si="48"/>
        <v>987.66666666666663</v>
      </c>
      <c r="H253" s="15">
        <f t="shared" si="48"/>
        <v>2203.6666666666665</v>
      </c>
      <c r="I253" s="16">
        <f t="shared" si="48"/>
        <v>1506.3333333333333</v>
      </c>
      <c r="J253" s="17">
        <f t="shared" si="48"/>
        <v>1001</v>
      </c>
      <c r="K253" s="149"/>
    </row>
    <row r="254" spans="1:11" outlineLevel="1" x14ac:dyDescent="0.2">
      <c r="A254" s="12">
        <f t="shared" si="47"/>
        <v>3606</v>
      </c>
      <c r="B254" s="13" t="str">
        <f t="shared" si="47"/>
        <v>SHSU</v>
      </c>
      <c r="C254" s="50"/>
      <c r="D254" s="15">
        <f t="shared" si="41"/>
        <v>3081</v>
      </c>
      <c r="E254" s="152">
        <f t="shared" si="42"/>
        <v>1823.952</v>
      </c>
      <c r="F254" s="16">
        <f t="shared" si="43"/>
        <v>23.509831584516359</v>
      </c>
      <c r="G254" s="18">
        <f t="shared" si="48"/>
        <v>2235</v>
      </c>
      <c r="H254" s="15">
        <f t="shared" si="48"/>
        <v>3950.3333333333335</v>
      </c>
      <c r="I254" s="16">
        <f t="shared" si="48"/>
        <v>3005.6666666666665</v>
      </c>
      <c r="J254" s="17">
        <f t="shared" si="48"/>
        <v>1733.3333333333333</v>
      </c>
    </row>
    <row r="255" spans="1:11" outlineLevel="1" x14ac:dyDescent="0.2">
      <c r="A255" s="12">
        <f t="shared" si="47"/>
        <v>3615</v>
      </c>
      <c r="B255" s="13" t="str">
        <f t="shared" si="47"/>
        <v>TXST</v>
      </c>
      <c r="C255" s="50"/>
      <c r="D255" s="15">
        <f t="shared" si="41"/>
        <v>5518</v>
      </c>
      <c r="E255" s="152">
        <f t="shared" si="42"/>
        <v>3487.3760000000002</v>
      </c>
      <c r="F255" s="16">
        <f t="shared" si="43"/>
        <v>22.153900508635925</v>
      </c>
      <c r="G255" s="18">
        <f t="shared" si="48"/>
        <v>3852.3333333333335</v>
      </c>
      <c r="H255" s="15">
        <f t="shared" si="48"/>
        <v>7649.666666666667</v>
      </c>
      <c r="I255" s="16">
        <f t="shared" si="48"/>
        <v>5749</v>
      </c>
      <c r="J255" s="17">
        <f t="shared" si="48"/>
        <v>3373.3333333333335</v>
      </c>
    </row>
    <row r="256" spans="1:11" outlineLevel="1" x14ac:dyDescent="0.2">
      <c r="A256" s="12">
        <f t="shared" si="47"/>
        <v>3625</v>
      </c>
      <c r="B256" s="13" t="str">
        <f t="shared" si="47"/>
        <v>SRSU</v>
      </c>
      <c r="C256" s="50"/>
      <c r="D256" s="15">
        <f t="shared" si="41"/>
        <v>196.66666666666666</v>
      </c>
      <c r="E256" s="152">
        <f t="shared" si="42"/>
        <v>60.966666666666661</v>
      </c>
      <c r="F256" s="16">
        <f t="shared" si="43"/>
        <v>17.760385310054186</v>
      </c>
      <c r="G256" s="18">
        <f t="shared" si="48"/>
        <v>169.33333333333334</v>
      </c>
      <c r="H256" s="15">
        <f t="shared" si="48"/>
        <v>296</v>
      </c>
      <c r="I256" s="16">
        <f t="shared" si="48"/>
        <v>197.66666666666666</v>
      </c>
      <c r="J256" s="17">
        <f t="shared" si="48"/>
        <v>136</v>
      </c>
      <c r="K256" s="153"/>
    </row>
    <row r="257" spans="1:15" outlineLevel="1" x14ac:dyDescent="0.2">
      <c r="A257" s="12">
        <f t="shared" si="47"/>
        <v>20</v>
      </c>
      <c r="B257" s="13" t="str">
        <f t="shared" si="47"/>
        <v>SRRG</v>
      </c>
      <c r="C257" s="50"/>
      <c r="D257" s="15">
        <f t="shared" si="41"/>
        <v>156</v>
      </c>
      <c r="E257" s="152">
        <f t="shared" si="42"/>
        <v>43.990677966101693</v>
      </c>
      <c r="F257" s="16">
        <f t="shared" si="43"/>
        <v>39.312314498515988</v>
      </c>
      <c r="G257" s="18">
        <f t="shared" si="48"/>
        <v>138.66666666666666</v>
      </c>
      <c r="H257" s="15">
        <f t="shared" si="48"/>
        <v>202</v>
      </c>
      <c r="I257" s="16">
        <f t="shared" si="48"/>
        <v>92.333333333333329</v>
      </c>
      <c r="J257" s="17">
        <f t="shared" si="48"/>
        <v>3</v>
      </c>
    </row>
    <row r="258" spans="1:15" ht="13.5" outlineLevel="1" thickBot="1" x14ac:dyDescent="0.25">
      <c r="A258" s="21"/>
      <c r="B258" s="22" t="s">
        <v>48</v>
      </c>
      <c r="C258" s="52"/>
      <c r="D258" s="36">
        <f t="shared" ref="D258:J258" si="49">SUM(D220:D257)</f>
        <v>87442.666666666672</v>
      </c>
      <c r="E258" s="154">
        <f t="shared" si="49"/>
        <v>50840.532932973598</v>
      </c>
      <c r="F258" s="37">
        <f t="shared" si="49"/>
        <v>976.69071006507181</v>
      </c>
      <c r="G258" s="40">
        <f t="shared" si="49"/>
        <v>57066.333333333336</v>
      </c>
      <c r="H258" s="39">
        <f t="shared" si="49"/>
        <v>115872.66666666667</v>
      </c>
      <c r="I258" s="41">
        <f t="shared" si="49"/>
        <v>83512.000000000015</v>
      </c>
      <c r="J258" s="38">
        <f t="shared" si="49"/>
        <v>50486</v>
      </c>
    </row>
    <row r="259" spans="1:15" ht="13.5" thickBot="1" x14ac:dyDescent="0.25">
      <c r="A259" s="1" t="s">
        <v>81</v>
      </c>
      <c r="B259" s="1"/>
      <c r="C259" s="1"/>
      <c r="D259" s="42"/>
      <c r="F259" s="42"/>
      <c r="G259" s="42"/>
    </row>
    <row r="260" spans="1:15" ht="12.75" customHeight="1" outlineLevel="1" x14ac:dyDescent="0.2">
      <c r="A260" s="163" t="s">
        <v>0</v>
      </c>
      <c r="B260" s="165" t="s">
        <v>1</v>
      </c>
      <c r="C260" s="167"/>
      <c r="D260" s="169" t="s">
        <v>57</v>
      </c>
      <c r="E260" s="171" t="s">
        <v>53</v>
      </c>
      <c r="F260" s="165" t="s">
        <v>54</v>
      </c>
      <c r="G260" s="158" t="s">
        <v>4</v>
      </c>
      <c r="H260" s="160" t="s">
        <v>55</v>
      </c>
      <c r="I260" s="161"/>
      <c r="J260" s="162"/>
    </row>
    <row r="261" spans="1:15" s="44" customFormat="1" ht="36" customHeight="1" outlineLevel="1" thickBot="1" x14ac:dyDescent="0.25">
      <c r="A261" s="164"/>
      <c r="B261" s="166"/>
      <c r="C261" s="168"/>
      <c r="D261" s="170"/>
      <c r="E261" s="172"/>
      <c r="F261" s="166"/>
      <c r="G261" s="159"/>
      <c r="H261" s="70" t="s">
        <v>8</v>
      </c>
      <c r="I261" s="71" t="s">
        <v>9</v>
      </c>
      <c r="J261" s="72" t="s">
        <v>10</v>
      </c>
      <c r="K261" s="67"/>
    </row>
    <row r="262" spans="1:15" outlineLevel="1" x14ac:dyDescent="0.2">
      <c r="A262" s="5">
        <f t="shared" ref="A262:B277" si="50">A220</f>
        <v>3656</v>
      </c>
      <c r="B262" s="6" t="str">
        <f t="shared" si="50"/>
        <v>UTA</v>
      </c>
      <c r="C262" s="45"/>
      <c r="D262" s="46">
        <v>6343</v>
      </c>
      <c r="E262" s="47">
        <v>0.52200000000000002</v>
      </c>
      <c r="F262" s="48">
        <v>17722</v>
      </c>
      <c r="G262" s="32">
        <v>3782</v>
      </c>
      <c r="H262" s="55">
        <v>7148</v>
      </c>
      <c r="I262" s="56">
        <v>4038</v>
      </c>
      <c r="J262" s="54">
        <v>1872</v>
      </c>
      <c r="K262" s="155"/>
      <c r="L262" s="156"/>
      <c r="M262" s="157"/>
      <c r="N262" s="157"/>
      <c r="O262" s="157"/>
    </row>
    <row r="263" spans="1:15" outlineLevel="1" x14ac:dyDescent="0.2">
      <c r="A263" s="12">
        <f t="shared" si="50"/>
        <v>3658</v>
      </c>
      <c r="B263" s="13" t="str">
        <f t="shared" si="50"/>
        <v>UT</v>
      </c>
      <c r="C263" s="50"/>
      <c r="D263" s="15">
        <v>9207</v>
      </c>
      <c r="E263" s="51">
        <v>0.82799999999999996</v>
      </c>
      <c r="F263" s="16">
        <v>35401.466666666667</v>
      </c>
      <c r="G263" s="18">
        <v>3732</v>
      </c>
      <c r="H263" s="58">
        <v>10425</v>
      </c>
      <c r="I263" s="59">
        <v>8876</v>
      </c>
      <c r="J263" s="57">
        <v>6691</v>
      </c>
      <c r="K263" s="155"/>
      <c r="L263" s="156"/>
      <c r="M263" s="157"/>
      <c r="N263" s="157"/>
      <c r="O263" s="157"/>
    </row>
    <row r="264" spans="1:15" outlineLevel="1" x14ac:dyDescent="0.2">
      <c r="A264" s="12">
        <f t="shared" si="50"/>
        <v>9741</v>
      </c>
      <c r="B264" s="13" t="str">
        <f t="shared" si="50"/>
        <v>UTD</v>
      </c>
      <c r="C264" s="50"/>
      <c r="D264" s="15">
        <v>2785</v>
      </c>
      <c r="E264" s="51">
        <v>0.69499999999999995</v>
      </c>
      <c r="F264" s="16">
        <v>11191.8</v>
      </c>
      <c r="G264" s="18">
        <v>1563</v>
      </c>
      <c r="H264" s="58">
        <v>3448</v>
      </c>
      <c r="I264" s="59">
        <v>2585</v>
      </c>
      <c r="J264" s="57">
        <v>1237</v>
      </c>
      <c r="K264" s="155"/>
      <c r="L264" s="156"/>
      <c r="M264" s="157"/>
      <c r="N264" s="157"/>
      <c r="O264" s="157"/>
    </row>
    <row r="265" spans="1:15" outlineLevel="1" x14ac:dyDescent="0.2">
      <c r="A265" s="12">
        <f t="shared" si="50"/>
        <v>3661</v>
      </c>
      <c r="B265" s="13" t="str">
        <f t="shared" si="50"/>
        <v>UTEP</v>
      </c>
      <c r="C265" s="50"/>
      <c r="D265" s="15">
        <v>3123</v>
      </c>
      <c r="E265" s="51">
        <v>0.433</v>
      </c>
      <c r="F265" s="16">
        <v>14415.133333333333</v>
      </c>
      <c r="G265" s="18">
        <v>2560</v>
      </c>
      <c r="H265" s="58">
        <v>4600</v>
      </c>
      <c r="I265" s="59">
        <v>3232</v>
      </c>
      <c r="J265" s="57">
        <v>1703</v>
      </c>
      <c r="K265" s="155"/>
      <c r="L265" s="156"/>
      <c r="M265" s="157"/>
      <c r="N265" s="157"/>
      <c r="O265" s="157"/>
    </row>
    <row r="266" spans="1:15" outlineLevel="1" x14ac:dyDescent="0.2">
      <c r="A266" s="12">
        <f t="shared" si="50"/>
        <v>3599</v>
      </c>
      <c r="B266" s="13" t="str">
        <f t="shared" si="50"/>
        <v>UTPA</v>
      </c>
      <c r="C266" s="50"/>
      <c r="D266" s="15">
        <v>2817</v>
      </c>
      <c r="E266" s="51">
        <v>0.441</v>
      </c>
      <c r="F266" s="16">
        <v>13717.866666666667</v>
      </c>
      <c r="G266" s="18">
        <v>2537</v>
      </c>
      <c r="H266" s="58">
        <v>3785</v>
      </c>
      <c r="I266" s="59">
        <v>2907</v>
      </c>
      <c r="J266" s="57">
        <v>1873</v>
      </c>
      <c r="K266" s="155"/>
      <c r="L266" s="156"/>
      <c r="M266" s="157"/>
      <c r="N266" s="157"/>
      <c r="O266" s="157"/>
    </row>
    <row r="267" spans="1:15" outlineLevel="1" x14ac:dyDescent="0.2">
      <c r="A267" s="12">
        <f t="shared" si="50"/>
        <v>30646</v>
      </c>
      <c r="B267" s="13" t="str">
        <f t="shared" si="50"/>
        <v>UTB</v>
      </c>
      <c r="C267" s="50"/>
      <c r="D267" s="15">
        <v>1012</v>
      </c>
      <c r="E267" s="51">
        <v>0.48499999999999999</v>
      </c>
      <c r="F267" s="16">
        <v>5380</v>
      </c>
      <c r="G267" s="18">
        <v>859</v>
      </c>
      <c r="H267" s="58">
        <v>2432</v>
      </c>
      <c r="I267" s="59">
        <v>587</v>
      </c>
      <c r="J267" s="57">
        <v>119</v>
      </c>
      <c r="K267" s="155"/>
      <c r="L267" s="156"/>
      <c r="M267" s="157"/>
      <c r="N267" s="157"/>
      <c r="O267" s="157"/>
    </row>
    <row r="268" spans="1:15" outlineLevel="1" x14ac:dyDescent="0.2">
      <c r="A268" s="12">
        <f t="shared" si="50"/>
        <v>9930</v>
      </c>
      <c r="B268" s="13" t="str">
        <f t="shared" si="50"/>
        <v>UTPB</v>
      </c>
      <c r="C268" s="50"/>
      <c r="D268" s="15">
        <v>569</v>
      </c>
      <c r="E268" s="51">
        <v>0.371</v>
      </c>
      <c r="F268" s="16">
        <v>2800.6666666666665</v>
      </c>
      <c r="G268" s="18">
        <v>418</v>
      </c>
      <c r="H268" s="58">
        <v>810</v>
      </c>
      <c r="I268" s="59">
        <v>504</v>
      </c>
      <c r="J268" s="57">
        <v>252</v>
      </c>
      <c r="K268" s="155"/>
      <c r="L268" s="156"/>
      <c r="M268" s="157"/>
      <c r="N268" s="157"/>
      <c r="O268" s="157"/>
    </row>
    <row r="269" spans="1:15" outlineLevel="1" x14ac:dyDescent="0.2">
      <c r="A269" s="12">
        <f t="shared" si="50"/>
        <v>10115</v>
      </c>
      <c r="B269" s="13" t="str">
        <f t="shared" si="50"/>
        <v>UTSA</v>
      </c>
      <c r="C269" s="50"/>
      <c r="D269" s="15">
        <v>4461</v>
      </c>
      <c r="E269" s="51">
        <v>0.49199999999999999</v>
      </c>
      <c r="F269" s="16">
        <v>19242.599999999999</v>
      </c>
      <c r="G269" s="18">
        <v>3495</v>
      </c>
      <c r="H269" s="58">
        <v>6774</v>
      </c>
      <c r="I269" s="59">
        <v>4732</v>
      </c>
      <c r="J269" s="57">
        <v>2761</v>
      </c>
      <c r="K269" s="155"/>
      <c r="L269" s="156"/>
      <c r="M269" s="157"/>
      <c r="N269" s="157"/>
      <c r="O269" s="157"/>
    </row>
    <row r="270" spans="1:15" outlineLevel="1" x14ac:dyDescent="0.2">
      <c r="A270" s="12">
        <f t="shared" si="50"/>
        <v>11163</v>
      </c>
      <c r="B270" s="13" t="str">
        <f t="shared" si="50"/>
        <v>UTT</v>
      </c>
      <c r="C270" s="50"/>
      <c r="D270" s="15">
        <v>1271</v>
      </c>
      <c r="E270" s="51">
        <v>0.58299999999999996</v>
      </c>
      <c r="F270" s="16">
        <v>4305</v>
      </c>
      <c r="G270" s="18">
        <v>956</v>
      </c>
      <c r="H270" s="58">
        <v>1497</v>
      </c>
      <c r="I270" s="59">
        <v>930</v>
      </c>
      <c r="J270" s="57">
        <v>369</v>
      </c>
      <c r="K270" s="155"/>
      <c r="L270" s="156"/>
      <c r="M270" s="157"/>
      <c r="N270" s="157"/>
      <c r="O270" s="157"/>
    </row>
    <row r="271" spans="1:15" outlineLevel="1" x14ac:dyDescent="0.2">
      <c r="A271" s="12">
        <f t="shared" si="50"/>
        <v>3632</v>
      </c>
      <c r="B271" s="13" t="str">
        <f t="shared" si="50"/>
        <v>TAMU</v>
      </c>
      <c r="C271" s="50"/>
      <c r="D271" s="15">
        <v>9261</v>
      </c>
      <c r="E271" s="51">
        <v>0.84799999999999998</v>
      </c>
      <c r="F271" s="16">
        <v>36716.199999999997</v>
      </c>
      <c r="G271" s="18">
        <v>4159</v>
      </c>
      <c r="H271" s="58">
        <v>10335</v>
      </c>
      <c r="I271" s="59">
        <v>9488</v>
      </c>
      <c r="J271" s="57">
        <v>6761</v>
      </c>
      <c r="K271" s="155"/>
      <c r="L271" s="156"/>
      <c r="M271" s="157"/>
      <c r="N271" s="157"/>
      <c r="O271" s="157"/>
    </row>
    <row r="272" spans="1:15" outlineLevel="1" x14ac:dyDescent="0.2">
      <c r="A272" s="12">
        <f t="shared" si="50"/>
        <v>10298</v>
      </c>
      <c r="B272" s="13" t="str">
        <f t="shared" si="50"/>
        <v>TAMUG</v>
      </c>
      <c r="C272" s="50"/>
      <c r="D272" s="15">
        <v>309</v>
      </c>
      <c r="E272" s="51">
        <v>0.58399999999999996</v>
      </c>
      <c r="F272" s="16">
        <v>1862.5333333333333</v>
      </c>
      <c r="G272" s="18">
        <v>181</v>
      </c>
      <c r="H272" s="58">
        <v>566</v>
      </c>
      <c r="I272" s="59">
        <v>375</v>
      </c>
      <c r="J272" s="57">
        <v>215</v>
      </c>
      <c r="K272" s="155"/>
      <c r="L272" s="156"/>
      <c r="M272" s="157"/>
      <c r="N272" s="157"/>
      <c r="O272" s="157"/>
    </row>
    <row r="273" spans="1:15" outlineLevel="1" x14ac:dyDescent="0.2">
      <c r="A273" s="12">
        <f t="shared" si="50"/>
        <v>3630</v>
      </c>
      <c r="B273" s="13" t="str">
        <f t="shared" si="50"/>
        <v>Prairie View</v>
      </c>
      <c r="C273" s="50"/>
      <c r="D273" s="15">
        <v>1008</v>
      </c>
      <c r="E273" s="51">
        <v>0.40400000000000003</v>
      </c>
      <c r="F273" s="16">
        <v>5935.1333333333332</v>
      </c>
      <c r="G273" s="18">
        <v>880</v>
      </c>
      <c r="H273" s="58">
        <v>1700</v>
      </c>
      <c r="I273" s="59">
        <v>1204</v>
      </c>
      <c r="J273" s="57">
        <v>831</v>
      </c>
      <c r="K273" s="155"/>
      <c r="L273" s="156"/>
      <c r="M273" s="157"/>
      <c r="N273" s="157"/>
      <c r="O273" s="157"/>
    </row>
    <row r="274" spans="1:15" s="67" customFormat="1" outlineLevel="1" x14ac:dyDescent="0.2">
      <c r="A274" s="12">
        <f t="shared" si="50"/>
        <v>3631</v>
      </c>
      <c r="B274" s="13" t="str">
        <f t="shared" si="50"/>
        <v>Tarleton</v>
      </c>
      <c r="C274" s="50"/>
      <c r="D274" s="15">
        <v>1866</v>
      </c>
      <c r="E274" s="51">
        <v>0.52600000000000002</v>
      </c>
      <c r="F274" s="16">
        <v>7662.5333333333338</v>
      </c>
      <c r="G274" s="18">
        <v>1423</v>
      </c>
      <c r="H274" s="58">
        <v>2509</v>
      </c>
      <c r="I274" s="59">
        <v>1381</v>
      </c>
      <c r="J274" s="57">
        <v>839</v>
      </c>
      <c r="K274" s="155"/>
      <c r="L274" s="156"/>
      <c r="M274" s="157"/>
      <c r="N274" s="157"/>
      <c r="O274" s="157"/>
    </row>
    <row r="275" spans="1:15" s="67" customFormat="1" outlineLevel="1" x14ac:dyDescent="0.2">
      <c r="A275" s="34">
        <f t="shared" si="50"/>
        <v>103631</v>
      </c>
      <c r="B275" s="13" t="str">
        <f t="shared" si="50"/>
        <v>TAMUCT</v>
      </c>
      <c r="C275" s="50"/>
      <c r="D275" s="15">
        <v>480</v>
      </c>
      <c r="E275" s="51">
        <v>0</v>
      </c>
      <c r="F275" s="16">
        <v>866.8</v>
      </c>
      <c r="G275" s="18">
        <v>340</v>
      </c>
      <c r="H275" s="58">
        <v>561</v>
      </c>
      <c r="I275" s="59">
        <v>89</v>
      </c>
      <c r="J275" s="57">
        <v>5</v>
      </c>
      <c r="K275" s="155"/>
      <c r="L275" s="156"/>
      <c r="M275" s="157"/>
      <c r="N275" s="157"/>
      <c r="O275" s="157"/>
    </row>
    <row r="276" spans="1:15" s="67" customFormat="1" outlineLevel="1" x14ac:dyDescent="0.2">
      <c r="A276" s="12">
        <f t="shared" si="50"/>
        <v>11161</v>
      </c>
      <c r="B276" s="13" t="str">
        <f t="shared" si="50"/>
        <v>TAMUCC</v>
      </c>
      <c r="C276" s="50"/>
      <c r="D276" s="15">
        <v>1464</v>
      </c>
      <c r="E276" s="51">
        <v>0.501</v>
      </c>
      <c r="F276" s="16">
        <v>7326.4666666666662</v>
      </c>
      <c r="G276" s="18">
        <v>1135</v>
      </c>
      <c r="H276" s="58">
        <v>2047</v>
      </c>
      <c r="I276" s="59">
        <v>1383</v>
      </c>
      <c r="J276" s="57">
        <v>873</v>
      </c>
      <c r="K276" s="155"/>
      <c r="L276" s="156"/>
      <c r="M276" s="157"/>
      <c r="N276" s="157"/>
      <c r="O276" s="157"/>
    </row>
    <row r="277" spans="1:15" s="67" customFormat="1" outlineLevel="1" x14ac:dyDescent="0.2">
      <c r="A277" s="12">
        <f t="shared" si="50"/>
        <v>3639</v>
      </c>
      <c r="B277" s="13" t="str">
        <f t="shared" si="50"/>
        <v>TAMUK</v>
      </c>
      <c r="C277" s="50"/>
      <c r="D277" s="15">
        <v>998</v>
      </c>
      <c r="E277" s="51">
        <v>0.41899999999999998</v>
      </c>
      <c r="F277" s="16">
        <v>5334.1333333333332</v>
      </c>
      <c r="G277" s="18">
        <v>867</v>
      </c>
      <c r="H277" s="58">
        <v>1393</v>
      </c>
      <c r="I277" s="59">
        <v>959</v>
      </c>
      <c r="J277" s="57">
        <v>585</v>
      </c>
      <c r="K277" s="155"/>
      <c r="L277" s="156"/>
      <c r="M277" s="157"/>
      <c r="N277" s="157"/>
      <c r="O277" s="157"/>
    </row>
    <row r="278" spans="1:15" s="67" customFormat="1" outlineLevel="1" x14ac:dyDescent="0.2">
      <c r="A278" s="34">
        <f t="shared" ref="A278:B293" si="51">A236</f>
        <v>103639</v>
      </c>
      <c r="B278" s="13" t="str">
        <f t="shared" si="51"/>
        <v>TAMUSA</v>
      </c>
      <c r="C278" s="50"/>
      <c r="D278" s="15">
        <v>797</v>
      </c>
      <c r="E278" s="51">
        <v>0</v>
      </c>
      <c r="F278" s="16">
        <v>2105.6666666666665</v>
      </c>
      <c r="G278" s="18">
        <v>676</v>
      </c>
      <c r="H278" s="58">
        <v>1035</v>
      </c>
      <c r="I278" s="59">
        <v>356</v>
      </c>
      <c r="J278" s="57">
        <v>4</v>
      </c>
      <c r="K278" s="155"/>
      <c r="L278" s="156"/>
      <c r="M278" s="157"/>
      <c r="N278" s="157"/>
      <c r="O278" s="157"/>
    </row>
    <row r="279" spans="1:15" s="67" customFormat="1" outlineLevel="1" x14ac:dyDescent="0.2">
      <c r="A279" s="12">
        <f t="shared" si="51"/>
        <v>9651</v>
      </c>
      <c r="B279" s="13" t="str">
        <f t="shared" si="51"/>
        <v>TAMI</v>
      </c>
      <c r="C279" s="50"/>
      <c r="D279" s="15">
        <v>836</v>
      </c>
      <c r="E279" s="51">
        <v>0.51300000000000001</v>
      </c>
      <c r="F279" s="16">
        <v>4533.9333333333334</v>
      </c>
      <c r="G279" s="18">
        <v>763</v>
      </c>
      <c r="H279" s="58">
        <v>1368</v>
      </c>
      <c r="I279" s="59">
        <v>1013</v>
      </c>
      <c r="J279" s="57">
        <v>567</v>
      </c>
      <c r="K279" s="155"/>
      <c r="L279" s="156"/>
      <c r="M279" s="157"/>
      <c r="N279" s="157"/>
      <c r="O279" s="157"/>
    </row>
    <row r="280" spans="1:15" s="67" customFormat="1" outlineLevel="1" x14ac:dyDescent="0.2">
      <c r="A280" s="12">
        <f t="shared" si="51"/>
        <v>3665</v>
      </c>
      <c r="B280" s="13" t="str">
        <f t="shared" si="51"/>
        <v>WTAMU</v>
      </c>
      <c r="C280" s="50"/>
      <c r="D280" s="15">
        <v>1375</v>
      </c>
      <c r="E280" s="51">
        <v>0.46300000000000002</v>
      </c>
      <c r="F280" s="16">
        <v>5874.0666666666666</v>
      </c>
      <c r="G280" s="18">
        <v>959</v>
      </c>
      <c r="H280" s="58">
        <v>1747</v>
      </c>
      <c r="I280" s="59">
        <v>1215</v>
      </c>
      <c r="J280" s="57">
        <v>717</v>
      </c>
      <c r="K280" s="155"/>
      <c r="L280" s="156"/>
      <c r="M280" s="157"/>
      <c r="N280" s="157"/>
      <c r="O280" s="157"/>
    </row>
    <row r="281" spans="1:15" s="67" customFormat="1" outlineLevel="1" x14ac:dyDescent="0.2">
      <c r="A281" s="12">
        <f t="shared" si="51"/>
        <v>3565</v>
      </c>
      <c r="B281" s="13" t="str">
        <f t="shared" si="51"/>
        <v>TAMUC</v>
      </c>
      <c r="C281" s="50"/>
      <c r="D281" s="15">
        <v>1518</v>
      </c>
      <c r="E281" s="51">
        <v>0.51300000000000001</v>
      </c>
      <c r="F281" s="16">
        <v>5319.2</v>
      </c>
      <c r="G281" s="18">
        <v>1154</v>
      </c>
      <c r="H281" s="58">
        <v>1911</v>
      </c>
      <c r="I281" s="59">
        <v>1295</v>
      </c>
      <c r="J281" s="57">
        <v>481</v>
      </c>
      <c r="K281" s="155"/>
      <c r="L281" s="156"/>
      <c r="M281" s="157"/>
      <c r="N281" s="157"/>
      <c r="O281" s="157"/>
    </row>
    <row r="282" spans="1:15" s="67" customFormat="1" outlineLevel="1" x14ac:dyDescent="0.2">
      <c r="A282" s="12">
        <f t="shared" si="51"/>
        <v>29269</v>
      </c>
      <c r="B282" s="13" t="str">
        <f t="shared" si="51"/>
        <v>TAMUT</v>
      </c>
      <c r="C282" s="50"/>
      <c r="D282" s="15">
        <v>334</v>
      </c>
      <c r="E282" s="60">
        <f>E324</f>
        <v>0.49242424242424243</v>
      </c>
      <c r="F282" s="16">
        <v>982.6</v>
      </c>
      <c r="G282" s="18">
        <v>246</v>
      </c>
      <c r="H282" s="58">
        <v>425</v>
      </c>
      <c r="I282" s="59">
        <v>236</v>
      </c>
      <c r="J282" s="57">
        <v>26</v>
      </c>
      <c r="K282" s="155"/>
      <c r="L282" s="156"/>
      <c r="M282" s="157"/>
      <c r="N282" s="157"/>
      <c r="O282" s="157"/>
    </row>
    <row r="283" spans="1:15" s="67" customFormat="1" outlineLevel="1" x14ac:dyDescent="0.2">
      <c r="A283" s="12">
        <f t="shared" si="51"/>
        <v>3652</v>
      </c>
      <c r="B283" s="13" t="str">
        <f t="shared" si="51"/>
        <v>UH</v>
      </c>
      <c r="C283" s="50"/>
      <c r="D283" s="15">
        <v>5757</v>
      </c>
      <c r="E283" s="51">
        <v>0.55000000000000004</v>
      </c>
      <c r="F283" s="16">
        <v>24690.2</v>
      </c>
      <c r="G283" s="18">
        <v>4034</v>
      </c>
      <c r="H283" s="58">
        <v>8314</v>
      </c>
      <c r="I283" s="59">
        <v>6486</v>
      </c>
      <c r="J283" s="57">
        <v>3197</v>
      </c>
      <c r="K283" s="155"/>
      <c r="L283" s="156"/>
      <c r="M283" s="157"/>
      <c r="N283" s="157"/>
      <c r="O283" s="157"/>
    </row>
    <row r="284" spans="1:15" s="67" customFormat="1" outlineLevel="1" x14ac:dyDescent="0.2">
      <c r="A284" s="12">
        <f t="shared" si="51"/>
        <v>11711</v>
      </c>
      <c r="B284" s="13" t="str">
        <f t="shared" si="51"/>
        <v>UHCL</v>
      </c>
      <c r="C284" s="50"/>
      <c r="D284" s="15">
        <v>1203</v>
      </c>
      <c r="E284" s="60">
        <f>E326</f>
        <v>0.51671732522796354</v>
      </c>
      <c r="F284" s="16">
        <v>3050.1333333333332</v>
      </c>
      <c r="G284" s="18">
        <v>807</v>
      </c>
      <c r="H284" s="58">
        <v>1439</v>
      </c>
      <c r="I284" s="59">
        <v>1031</v>
      </c>
      <c r="J284" s="57">
        <v>7</v>
      </c>
      <c r="K284" s="155"/>
      <c r="L284" s="156"/>
      <c r="M284" s="157"/>
      <c r="N284" s="157"/>
      <c r="O284" s="157"/>
    </row>
    <row r="285" spans="1:15" s="67" customFormat="1" outlineLevel="1" x14ac:dyDescent="0.2">
      <c r="A285" s="12">
        <f t="shared" si="51"/>
        <v>12826</v>
      </c>
      <c r="B285" s="13" t="str">
        <f t="shared" si="51"/>
        <v>UHD</v>
      </c>
      <c r="C285" s="50"/>
      <c r="D285" s="15">
        <v>2355</v>
      </c>
      <c r="E285" s="51">
        <v>0.22900000000000001</v>
      </c>
      <c r="F285" s="16">
        <v>8405.3333333333339</v>
      </c>
      <c r="G285" s="18">
        <v>1760</v>
      </c>
      <c r="H285" s="58">
        <v>3035</v>
      </c>
      <c r="I285" s="59">
        <v>1822</v>
      </c>
      <c r="J285" s="57">
        <v>545</v>
      </c>
      <c r="K285" s="155"/>
      <c r="L285" s="156"/>
      <c r="M285" s="157"/>
      <c r="N285" s="157"/>
      <c r="O285" s="157"/>
    </row>
    <row r="286" spans="1:15" s="67" customFormat="1" outlineLevel="1" x14ac:dyDescent="0.2">
      <c r="A286" s="12">
        <f t="shared" si="51"/>
        <v>13231</v>
      </c>
      <c r="B286" s="13" t="str">
        <f t="shared" si="51"/>
        <v>UHV</v>
      </c>
      <c r="C286" s="50"/>
      <c r="D286" s="15">
        <v>696</v>
      </c>
      <c r="E286" s="60">
        <f>E328</f>
        <v>0.47520661157024796</v>
      </c>
      <c r="F286" s="16">
        <v>1914.9333333333334</v>
      </c>
      <c r="G286" s="18">
        <v>463</v>
      </c>
      <c r="H286" s="58">
        <v>729</v>
      </c>
      <c r="I286" s="59">
        <v>398</v>
      </c>
      <c r="J286" s="57">
        <v>18</v>
      </c>
      <c r="K286" s="155"/>
      <c r="L286" s="156"/>
      <c r="M286" s="157"/>
      <c r="N286" s="157"/>
      <c r="O286" s="157"/>
    </row>
    <row r="287" spans="1:15" s="67" customFormat="1" outlineLevel="1" x14ac:dyDescent="0.2">
      <c r="A287" s="12">
        <f t="shared" si="51"/>
        <v>3592</v>
      </c>
      <c r="B287" s="13" t="str">
        <f t="shared" si="51"/>
        <v>Midwestern</v>
      </c>
      <c r="C287" s="50"/>
      <c r="D287" s="15">
        <v>1081</v>
      </c>
      <c r="E287" s="51">
        <v>0.49399999999999999</v>
      </c>
      <c r="F287" s="16">
        <v>3975.4</v>
      </c>
      <c r="G287" s="18">
        <v>727</v>
      </c>
      <c r="H287" s="58">
        <v>1172</v>
      </c>
      <c r="I287" s="59">
        <v>880</v>
      </c>
      <c r="J287" s="57">
        <v>649</v>
      </c>
      <c r="K287" s="155"/>
      <c r="L287" s="156"/>
      <c r="M287" s="157"/>
      <c r="N287" s="157"/>
      <c r="O287" s="157"/>
    </row>
    <row r="288" spans="1:15" s="67" customFormat="1" outlineLevel="1" x14ac:dyDescent="0.2">
      <c r="A288" s="12">
        <f t="shared" si="51"/>
        <v>3594</v>
      </c>
      <c r="B288" s="13" t="str">
        <f t="shared" si="51"/>
        <v>UNT</v>
      </c>
      <c r="C288" s="50"/>
      <c r="D288" s="15">
        <v>5926</v>
      </c>
      <c r="E288" s="51">
        <v>0.58099999999999996</v>
      </c>
      <c r="F288" s="16">
        <v>24326.2</v>
      </c>
      <c r="G288" s="18">
        <v>3843</v>
      </c>
      <c r="H288" s="58">
        <v>7513</v>
      </c>
      <c r="I288" s="59">
        <v>5579</v>
      </c>
      <c r="J288" s="57">
        <v>3005</v>
      </c>
      <c r="K288" s="155"/>
      <c r="L288" s="156"/>
      <c r="M288" s="157"/>
      <c r="N288" s="157"/>
      <c r="O288" s="157"/>
    </row>
    <row r="289" spans="1:15" s="67" customFormat="1" outlineLevel="1" x14ac:dyDescent="0.2">
      <c r="A289" s="34">
        <f t="shared" si="51"/>
        <v>113594</v>
      </c>
      <c r="B289" s="13" t="str">
        <f t="shared" si="51"/>
        <v>UNTD</v>
      </c>
      <c r="C289" s="50"/>
      <c r="D289" s="15">
        <v>346</v>
      </c>
      <c r="E289" s="51">
        <v>0</v>
      </c>
      <c r="F289" s="16">
        <v>1080.5333333333333</v>
      </c>
      <c r="G289" s="18">
        <v>276</v>
      </c>
      <c r="H289" s="58">
        <v>475</v>
      </c>
      <c r="I289" s="59">
        <v>107</v>
      </c>
      <c r="J289" s="57">
        <v>7</v>
      </c>
      <c r="K289" s="155"/>
      <c r="L289" s="156"/>
      <c r="M289" s="157"/>
      <c r="N289" s="157"/>
      <c r="O289" s="157"/>
    </row>
    <row r="290" spans="1:15" outlineLevel="1" x14ac:dyDescent="0.2">
      <c r="A290" s="12">
        <f t="shared" si="51"/>
        <v>3624</v>
      </c>
      <c r="B290" s="13" t="str">
        <f t="shared" si="51"/>
        <v>SFA</v>
      </c>
      <c r="C290" s="50"/>
      <c r="D290" s="15">
        <v>2059</v>
      </c>
      <c r="E290" s="51">
        <v>0.51500000000000001</v>
      </c>
      <c r="F290" s="16">
        <v>9068.2666666666664</v>
      </c>
      <c r="G290" s="18">
        <v>1567</v>
      </c>
      <c r="H290" s="58">
        <v>2730</v>
      </c>
      <c r="I290" s="59">
        <v>2102</v>
      </c>
      <c r="J290" s="57">
        <v>1479</v>
      </c>
      <c r="K290" s="155"/>
      <c r="L290" s="156"/>
      <c r="M290" s="157"/>
      <c r="N290" s="157"/>
      <c r="O290" s="157"/>
    </row>
    <row r="291" spans="1:15" outlineLevel="1" x14ac:dyDescent="0.2">
      <c r="A291" s="12">
        <f t="shared" si="51"/>
        <v>3642</v>
      </c>
      <c r="B291" s="13" t="str">
        <f t="shared" si="51"/>
        <v>TSU</v>
      </c>
      <c r="C291" s="50"/>
      <c r="D291" s="15">
        <v>768</v>
      </c>
      <c r="E291" s="51">
        <v>0.16400000000000001</v>
      </c>
      <c r="F291" s="16">
        <v>5505.8</v>
      </c>
      <c r="G291" s="18">
        <v>679</v>
      </c>
      <c r="H291" s="58">
        <v>1378</v>
      </c>
      <c r="I291" s="59">
        <v>917</v>
      </c>
      <c r="J291" s="57">
        <v>703</v>
      </c>
      <c r="K291" s="155"/>
      <c r="L291" s="156"/>
      <c r="M291" s="157"/>
      <c r="N291" s="157"/>
      <c r="O291" s="157"/>
    </row>
    <row r="292" spans="1:15" outlineLevel="1" x14ac:dyDescent="0.2">
      <c r="A292" s="12">
        <f t="shared" si="51"/>
        <v>3644</v>
      </c>
      <c r="B292" s="13" t="str">
        <f t="shared" si="51"/>
        <v>TTU</v>
      </c>
      <c r="C292" s="50"/>
      <c r="D292" s="15">
        <v>5206</v>
      </c>
      <c r="E292" s="51">
        <v>0.7</v>
      </c>
      <c r="F292" s="16">
        <v>23138.866666666665</v>
      </c>
      <c r="G292" s="18">
        <v>3110</v>
      </c>
      <c r="H292" s="58">
        <v>6509</v>
      </c>
      <c r="I292" s="59">
        <v>5339</v>
      </c>
      <c r="J292" s="57">
        <v>4027</v>
      </c>
      <c r="K292" s="155"/>
      <c r="L292" s="156"/>
      <c r="M292" s="157"/>
      <c r="N292" s="157"/>
      <c r="O292" s="157"/>
    </row>
    <row r="293" spans="1:15" outlineLevel="1" x14ac:dyDescent="0.2">
      <c r="A293" s="12">
        <f t="shared" si="51"/>
        <v>3541</v>
      </c>
      <c r="B293" s="13" t="str">
        <f t="shared" si="51"/>
        <v>Angelo</v>
      </c>
      <c r="C293" s="50"/>
      <c r="D293" s="15">
        <v>1098</v>
      </c>
      <c r="E293" s="51">
        <v>0.39200000000000002</v>
      </c>
      <c r="F293" s="16">
        <v>4639.333333333333</v>
      </c>
      <c r="G293" s="18">
        <v>806</v>
      </c>
      <c r="H293" s="58">
        <v>1290</v>
      </c>
      <c r="I293" s="59">
        <v>1054</v>
      </c>
      <c r="J293" s="57">
        <v>763</v>
      </c>
      <c r="K293" s="155"/>
      <c r="L293" s="156"/>
      <c r="M293" s="157"/>
      <c r="N293" s="157"/>
      <c r="O293" s="157"/>
    </row>
    <row r="294" spans="1:15" outlineLevel="1" x14ac:dyDescent="0.2">
      <c r="A294" s="12">
        <f t="shared" ref="A294:B299" si="52">A252</f>
        <v>3646</v>
      </c>
      <c r="B294" s="13" t="str">
        <f t="shared" si="52"/>
        <v>TWU</v>
      </c>
      <c r="C294" s="50"/>
      <c r="D294" s="15">
        <v>1934</v>
      </c>
      <c r="E294" s="51">
        <v>0.50700000000000001</v>
      </c>
      <c r="F294" s="16">
        <v>7375.333333333333</v>
      </c>
      <c r="G294" s="18">
        <v>1325</v>
      </c>
      <c r="H294" s="58">
        <v>2453</v>
      </c>
      <c r="I294" s="59">
        <v>1493</v>
      </c>
      <c r="J294" s="57">
        <v>592</v>
      </c>
      <c r="K294" s="155"/>
      <c r="L294" s="156"/>
      <c r="M294" s="157"/>
      <c r="N294" s="157"/>
      <c r="O294" s="157"/>
    </row>
    <row r="295" spans="1:15" outlineLevel="1" x14ac:dyDescent="0.2">
      <c r="A295" s="12">
        <f t="shared" si="52"/>
        <v>3581</v>
      </c>
      <c r="B295" s="13" t="str">
        <f t="shared" si="52"/>
        <v>Lamar</v>
      </c>
      <c r="C295" s="50"/>
      <c r="D295" s="15">
        <v>1396</v>
      </c>
      <c r="E295" s="51">
        <v>0.39100000000000001</v>
      </c>
      <c r="F295" s="16">
        <v>6842.6</v>
      </c>
      <c r="G295" s="18">
        <v>1025</v>
      </c>
      <c r="H295" s="58">
        <v>2219</v>
      </c>
      <c r="I295" s="59">
        <v>1456</v>
      </c>
      <c r="J295" s="57">
        <v>1001</v>
      </c>
      <c r="K295" s="155"/>
      <c r="L295" s="156"/>
      <c r="M295" s="157"/>
      <c r="N295" s="157"/>
      <c r="O295" s="157"/>
    </row>
    <row r="296" spans="1:15" outlineLevel="1" x14ac:dyDescent="0.2">
      <c r="A296" s="12">
        <f t="shared" si="52"/>
        <v>3606</v>
      </c>
      <c r="B296" s="13" t="str">
        <f t="shared" si="52"/>
        <v>SHSU</v>
      </c>
      <c r="C296" s="50"/>
      <c r="D296" s="15">
        <v>3252</v>
      </c>
      <c r="E296" s="51">
        <v>0.59499999999999997</v>
      </c>
      <c r="F296" s="16">
        <v>13571.333333333334</v>
      </c>
      <c r="G296" s="18">
        <v>2382</v>
      </c>
      <c r="H296" s="58">
        <v>4016</v>
      </c>
      <c r="I296" s="59">
        <v>3130</v>
      </c>
      <c r="J296" s="57">
        <v>1781</v>
      </c>
      <c r="K296" s="155"/>
      <c r="L296" s="156"/>
      <c r="M296" s="157"/>
      <c r="N296" s="157"/>
      <c r="O296" s="157"/>
    </row>
    <row r="297" spans="1:15" outlineLevel="1" x14ac:dyDescent="0.2">
      <c r="A297" s="12">
        <f t="shared" si="52"/>
        <v>3615</v>
      </c>
      <c r="B297" s="13" t="str">
        <f t="shared" si="52"/>
        <v>TXST</v>
      </c>
      <c r="C297" s="50"/>
      <c r="D297" s="15">
        <v>5770</v>
      </c>
      <c r="E297" s="51">
        <v>0.64100000000000001</v>
      </c>
      <c r="F297" s="16">
        <v>25975</v>
      </c>
      <c r="G297" s="18">
        <v>4076</v>
      </c>
      <c r="H297" s="58">
        <v>7845</v>
      </c>
      <c r="I297" s="59">
        <v>5940</v>
      </c>
      <c r="J297" s="57">
        <v>3465</v>
      </c>
      <c r="K297" s="155"/>
      <c r="L297" s="156"/>
      <c r="M297" s="157"/>
      <c r="N297" s="157"/>
      <c r="O297" s="157"/>
    </row>
    <row r="298" spans="1:15" outlineLevel="1" x14ac:dyDescent="0.2">
      <c r="A298" s="12">
        <f t="shared" si="52"/>
        <v>3625</v>
      </c>
      <c r="B298" s="13" t="str">
        <f t="shared" si="52"/>
        <v>SRSU</v>
      </c>
      <c r="C298" s="50"/>
      <c r="D298" s="15">
        <v>203</v>
      </c>
      <c r="E298" s="51">
        <v>0.312</v>
      </c>
      <c r="F298" s="16">
        <v>1058.4666666666667</v>
      </c>
      <c r="G298" s="18">
        <v>175</v>
      </c>
      <c r="H298" s="58">
        <v>307</v>
      </c>
      <c r="I298" s="59">
        <v>189</v>
      </c>
      <c r="J298" s="57">
        <v>127</v>
      </c>
      <c r="K298" s="155"/>
      <c r="L298" s="156"/>
      <c r="M298" s="157"/>
      <c r="N298" s="157"/>
      <c r="O298" s="157"/>
    </row>
    <row r="299" spans="1:15" outlineLevel="1" x14ac:dyDescent="0.2">
      <c r="A299" s="12">
        <f t="shared" si="52"/>
        <v>20</v>
      </c>
      <c r="B299" s="13" t="str">
        <f t="shared" si="52"/>
        <v>SRRG</v>
      </c>
      <c r="C299" s="50"/>
      <c r="D299" s="15">
        <v>151</v>
      </c>
      <c r="E299" s="60">
        <f>E341</f>
        <v>0.25423728813559321</v>
      </c>
      <c r="F299" s="16">
        <v>349.6</v>
      </c>
      <c r="G299" s="18">
        <v>133</v>
      </c>
      <c r="H299" s="58">
        <v>166</v>
      </c>
      <c r="I299" s="59">
        <v>88</v>
      </c>
      <c r="J299" s="57">
        <v>2</v>
      </c>
      <c r="K299" s="155"/>
      <c r="L299" s="156"/>
      <c r="M299" s="157"/>
      <c r="N299" s="157"/>
      <c r="O299" s="157"/>
    </row>
    <row r="300" spans="1:15" ht="13.5" outlineLevel="1" thickBot="1" x14ac:dyDescent="0.25">
      <c r="A300" s="21"/>
      <c r="B300" s="22" t="s">
        <v>48</v>
      </c>
      <c r="C300" s="52"/>
      <c r="D300" s="36">
        <f>SUM(D262:D299)</f>
        <v>91035</v>
      </c>
      <c r="E300" s="53">
        <v>0.59699999999999998</v>
      </c>
      <c r="F300" s="37">
        <f t="shared" ref="F300:J300" si="53">SUM(F262:F299)</f>
        <v>373663.13333333319</v>
      </c>
      <c r="G300" s="40">
        <f t="shared" si="53"/>
        <v>59873</v>
      </c>
      <c r="H300" s="39">
        <f t="shared" si="53"/>
        <v>118106</v>
      </c>
      <c r="I300" s="41">
        <f t="shared" si="53"/>
        <v>85396</v>
      </c>
      <c r="J300" s="38">
        <f t="shared" si="53"/>
        <v>50149</v>
      </c>
      <c r="K300" s="155"/>
      <c r="L300" s="156"/>
      <c r="M300" s="157"/>
      <c r="N300" s="157"/>
      <c r="O300" s="157"/>
    </row>
    <row r="301" spans="1:15" ht="13.5" thickBot="1" x14ac:dyDescent="0.25">
      <c r="A301" s="1" t="s">
        <v>56</v>
      </c>
      <c r="B301" s="1"/>
      <c r="C301" s="1"/>
      <c r="D301" s="1"/>
      <c r="F301" s="1"/>
      <c r="G301" s="1"/>
    </row>
    <row r="302" spans="1:15" ht="12.75" customHeight="1" outlineLevel="1" x14ac:dyDescent="0.2">
      <c r="A302" s="163" t="s">
        <v>0</v>
      </c>
      <c r="B302" s="165" t="s">
        <v>1</v>
      </c>
      <c r="C302" s="167"/>
      <c r="D302" s="169" t="s">
        <v>57</v>
      </c>
      <c r="E302" s="171" t="s">
        <v>53</v>
      </c>
      <c r="F302" s="165" t="s">
        <v>54</v>
      </c>
      <c r="G302" s="158" t="s">
        <v>4</v>
      </c>
      <c r="H302" s="160" t="s">
        <v>55</v>
      </c>
      <c r="I302" s="161"/>
      <c r="J302" s="162"/>
    </row>
    <row r="303" spans="1:15" s="44" customFormat="1" ht="40.5" customHeight="1" outlineLevel="1" thickBot="1" x14ac:dyDescent="0.25">
      <c r="A303" s="164"/>
      <c r="B303" s="166"/>
      <c r="C303" s="168"/>
      <c r="D303" s="170"/>
      <c r="E303" s="172"/>
      <c r="F303" s="166"/>
      <c r="G303" s="159"/>
      <c r="H303" s="70" t="s">
        <v>8</v>
      </c>
      <c r="I303" s="71" t="s">
        <v>9</v>
      </c>
      <c r="J303" s="72" t="s">
        <v>10</v>
      </c>
      <c r="K303" s="67"/>
    </row>
    <row r="304" spans="1:15" outlineLevel="1" x14ac:dyDescent="0.2">
      <c r="A304" s="5">
        <f t="shared" ref="A304:B319" si="54">A262</f>
        <v>3656</v>
      </c>
      <c r="B304" s="6" t="str">
        <f t="shared" si="54"/>
        <v>UTA</v>
      </c>
      <c r="C304" s="45"/>
      <c r="D304" s="46">
        <v>5773</v>
      </c>
      <c r="E304" s="47">
        <v>0.55500000000000005</v>
      </c>
      <c r="F304" s="48">
        <v>17940.400000000001</v>
      </c>
      <c r="G304" s="32">
        <v>3528</v>
      </c>
      <c r="H304" s="46">
        <v>6894</v>
      </c>
      <c r="I304" s="48">
        <v>3963</v>
      </c>
      <c r="J304" s="49">
        <v>1893</v>
      </c>
    </row>
    <row r="305" spans="1:10" outlineLevel="1" x14ac:dyDescent="0.2">
      <c r="A305" s="12">
        <f t="shared" si="54"/>
        <v>3658</v>
      </c>
      <c r="B305" s="13" t="str">
        <f t="shared" si="54"/>
        <v>UT</v>
      </c>
      <c r="C305" s="50"/>
      <c r="D305" s="15">
        <v>8860</v>
      </c>
      <c r="E305" s="51">
        <v>0.82499999999999996</v>
      </c>
      <c r="F305" s="16">
        <v>35456.066666666666</v>
      </c>
      <c r="G305" s="18">
        <v>3501</v>
      </c>
      <c r="H305" s="15">
        <v>9260</v>
      </c>
      <c r="I305" s="16">
        <v>8373</v>
      </c>
      <c r="J305" s="17">
        <v>6349</v>
      </c>
    </row>
    <row r="306" spans="1:10" s="67" customFormat="1" outlineLevel="1" x14ac:dyDescent="0.2">
      <c r="A306" s="12">
        <f t="shared" si="54"/>
        <v>9741</v>
      </c>
      <c r="B306" s="13" t="str">
        <f t="shared" si="54"/>
        <v>UTD</v>
      </c>
      <c r="C306" s="50"/>
      <c r="D306" s="15">
        <v>2510</v>
      </c>
      <c r="E306" s="51">
        <v>0.71900000000000008</v>
      </c>
      <c r="F306" s="16">
        <v>10205.4</v>
      </c>
      <c r="G306" s="18">
        <v>1410</v>
      </c>
      <c r="H306" s="15">
        <v>3519</v>
      </c>
      <c r="I306" s="16">
        <v>2347</v>
      </c>
      <c r="J306" s="17">
        <v>1065</v>
      </c>
    </row>
    <row r="307" spans="1:10" s="67" customFormat="1" outlineLevel="1" x14ac:dyDescent="0.2">
      <c r="A307" s="12">
        <f t="shared" si="54"/>
        <v>3661</v>
      </c>
      <c r="B307" s="13" t="str">
        <f t="shared" si="54"/>
        <v>UTEP</v>
      </c>
      <c r="C307" s="50"/>
      <c r="D307" s="15">
        <v>3132</v>
      </c>
      <c r="E307" s="51">
        <v>0.41200000000000003</v>
      </c>
      <c r="F307" s="16">
        <v>14003.133333333333</v>
      </c>
      <c r="G307" s="18">
        <v>2564</v>
      </c>
      <c r="H307" s="15">
        <v>4297</v>
      </c>
      <c r="I307" s="16">
        <v>3193</v>
      </c>
      <c r="J307" s="17">
        <v>1913</v>
      </c>
    </row>
    <row r="308" spans="1:10" s="67" customFormat="1" outlineLevel="1" x14ac:dyDescent="0.2">
      <c r="A308" s="12">
        <f t="shared" si="54"/>
        <v>3599</v>
      </c>
      <c r="B308" s="13" t="str">
        <f t="shared" si="54"/>
        <v>UTPA</v>
      </c>
      <c r="C308" s="50"/>
      <c r="D308" s="15">
        <v>2462</v>
      </c>
      <c r="E308" s="51">
        <v>0.44</v>
      </c>
      <c r="F308" s="16">
        <v>13055</v>
      </c>
      <c r="G308" s="18">
        <v>2247</v>
      </c>
      <c r="H308" s="15">
        <v>3727</v>
      </c>
      <c r="I308" s="16">
        <v>2863</v>
      </c>
      <c r="J308" s="17">
        <v>1894</v>
      </c>
    </row>
    <row r="309" spans="1:10" s="67" customFormat="1" outlineLevel="1" x14ac:dyDescent="0.2">
      <c r="A309" s="12">
        <f t="shared" si="54"/>
        <v>30646</v>
      </c>
      <c r="B309" s="13" t="str">
        <f t="shared" si="54"/>
        <v>UTB</v>
      </c>
      <c r="C309" s="50"/>
      <c r="D309" s="15">
        <v>1149</v>
      </c>
      <c r="E309" s="60">
        <v>0.52783109404990403</v>
      </c>
      <c r="F309" s="16">
        <v>4990.2666666666664</v>
      </c>
      <c r="G309" s="18">
        <v>978</v>
      </c>
      <c r="H309" s="15">
        <v>1244</v>
      </c>
      <c r="I309" s="16">
        <v>486</v>
      </c>
      <c r="J309" s="17">
        <v>100</v>
      </c>
    </row>
    <row r="310" spans="1:10" s="67" customFormat="1" outlineLevel="1" x14ac:dyDescent="0.2">
      <c r="A310" s="12">
        <f t="shared" si="54"/>
        <v>9930</v>
      </c>
      <c r="B310" s="13" t="str">
        <f t="shared" si="54"/>
        <v>UTPB</v>
      </c>
      <c r="C310" s="50"/>
      <c r="D310" s="15">
        <v>546</v>
      </c>
      <c r="E310" s="51">
        <v>0.47899999999999998</v>
      </c>
      <c r="F310" s="16">
        <v>2424.2666666666669</v>
      </c>
      <c r="G310" s="18">
        <v>411</v>
      </c>
      <c r="H310" s="15">
        <v>738</v>
      </c>
      <c r="I310" s="16">
        <v>534</v>
      </c>
      <c r="J310" s="17">
        <v>209</v>
      </c>
    </row>
    <row r="311" spans="1:10" s="67" customFormat="1" outlineLevel="1" x14ac:dyDescent="0.2">
      <c r="A311" s="12">
        <f t="shared" si="54"/>
        <v>10115</v>
      </c>
      <c r="B311" s="13" t="str">
        <f t="shared" si="54"/>
        <v>UTSA</v>
      </c>
      <c r="C311" s="50"/>
      <c r="D311" s="15">
        <v>4243</v>
      </c>
      <c r="E311" s="51">
        <v>0.43099999999999999</v>
      </c>
      <c r="F311" s="16">
        <v>20346.866666666665</v>
      </c>
      <c r="G311" s="18">
        <v>3204</v>
      </c>
      <c r="H311" s="15">
        <v>6813</v>
      </c>
      <c r="I311" s="16">
        <v>4370</v>
      </c>
      <c r="J311" s="17">
        <v>2560</v>
      </c>
    </row>
    <row r="312" spans="1:10" s="67" customFormat="1" outlineLevel="1" x14ac:dyDescent="0.2">
      <c r="A312" s="12">
        <f t="shared" si="54"/>
        <v>11163</v>
      </c>
      <c r="B312" s="13" t="str">
        <f t="shared" si="54"/>
        <v>UTT</v>
      </c>
      <c r="C312" s="50"/>
      <c r="D312" s="15">
        <v>1144</v>
      </c>
      <c r="E312" s="51">
        <v>0.51800000000000002</v>
      </c>
      <c r="F312" s="16">
        <v>4259.3999999999996</v>
      </c>
      <c r="G312" s="18">
        <v>886</v>
      </c>
      <c r="H312" s="15">
        <v>1409</v>
      </c>
      <c r="I312" s="16">
        <v>844</v>
      </c>
      <c r="J312" s="17">
        <v>383</v>
      </c>
    </row>
    <row r="313" spans="1:10" s="67" customFormat="1" outlineLevel="1" x14ac:dyDescent="0.2">
      <c r="A313" s="12">
        <f t="shared" si="54"/>
        <v>3632</v>
      </c>
      <c r="B313" s="13" t="str">
        <f t="shared" si="54"/>
        <v>TAMU</v>
      </c>
      <c r="C313" s="50"/>
      <c r="D313" s="15">
        <v>9020</v>
      </c>
      <c r="E313" s="51">
        <v>0.84200000000000008</v>
      </c>
      <c r="F313" s="16">
        <v>35171.666666666664</v>
      </c>
      <c r="G313" s="18">
        <v>3915</v>
      </c>
      <c r="H313" s="15">
        <v>10547</v>
      </c>
      <c r="I313" s="16">
        <v>8924</v>
      </c>
      <c r="J313" s="17">
        <v>6937</v>
      </c>
    </row>
    <row r="314" spans="1:10" s="67" customFormat="1" outlineLevel="1" x14ac:dyDescent="0.2">
      <c r="A314" s="12">
        <f t="shared" si="54"/>
        <v>10298</v>
      </c>
      <c r="B314" s="13" t="str">
        <f t="shared" si="54"/>
        <v>TAMUG</v>
      </c>
      <c r="C314" s="50"/>
      <c r="D314" s="15">
        <v>314</v>
      </c>
      <c r="E314" s="51">
        <v>0.626</v>
      </c>
      <c r="F314" s="16">
        <v>1724.4666666666667</v>
      </c>
      <c r="G314" s="18">
        <v>186</v>
      </c>
      <c r="H314" s="15">
        <v>607</v>
      </c>
      <c r="I314" s="16">
        <v>296</v>
      </c>
      <c r="J314" s="17">
        <v>263</v>
      </c>
    </row>
    <row r="315" spans="1:10" s="67" customFormat="1" outlineLevel="1" x14ac:dyDescent="0.2">
      <c r="A315" s="12">
        <f t="shared" si="54"/>
        <v>3630</v>
      </c>
      <c r="B315" s="13" t="str">
        <f t="shared" si="54"/>
        <v>Prairie View</v>
      </c>
      <c r="C315" s="50"/>
      <c r="D315" s="15">
        <v>1026</v>
      </c>
      <c r="E315" s="51">
        <v>0.40299999999999997</v>
      </c>
      <c r="F315" s="61">
        <v>5938.8666666666668</v>
      </c>
      <c r="G315" s="18">
        <v>877</v>
      </c>
      <c r="H315" s="15">
        <v>1700</v>
      </c>
      <c r="I315" s="16">
        <v>1132</v>
      </c>
      <c r="J315" s="17">
        <v>871</v>
      </c>
    </row>
    <row r="316" spans="1:10" s="67" customFormat="1" outlineLevel="1" x14ac:dyDescent="0.2">
      <c r="A316" s="12">
        <f t="shared" si="54"/>
        <v>3631</v>
      </c>
      <c r="B316" s="13" t="str">
        <f t="shared" si="54"/>
        <v>Tarleton</v>
      </c>
      <c r="C316" s="50"/>
      <c r="D316" s="15">
        <v>1662</v>
      </c>
      <c r="E316" s="51">
        <v>0.47600000000000003</v>
      </c>
      <c r="F316" s="61">
        <v>7206.8</v>
      </c>
      <c r="G316" s="18">
        <v>1296</v>
      </c>
      <c r="H316" s="63">
        <v>2227</v>
      </c>
      <c r="I316" s="61">
        <v>1216</v>
      </c>
      <c r="J316" s="62">
        <v>846</v>
      </c>
    </row>
    <row r="317" spans="1:10" s="67" customFormat="1" outlineLevel="1" x14ac:dyDescent="0.2">
      <c r="A317" s="34">
        <f t="shared" si="54"/>
        <v>103631</v>
      </c>
      <c r="B317" s="13" t="str">
        <f t="shared" si="54"/>
        <v>TAMUCT</v>
      </c>
      <c r="C317" s="50"/>
      <c r="D317" s="15">
        <v>469</v>
      </c>
      <c r="E317" s="51">
        <v>0.47600000000000003</v>
      </c>
      <c r="F317" s="61">
        <v>769.93333333333328</v>
      </c>
      <c r="G317" s="18">
        <v>329</v>
      </c>
      <c r="H317" s="63">
        <v>552</v>
      </c>
      <c r="I317" s="61">
        <v>119</v>
      </c>
      <c r="J317" s="62">
        <v>4</v>
      </c>
    </row>
    <row r="318" spans="1:10" s="67" customFormat="1" outlineLevel="1" x14ac:dyDescent="0.2">
      <c r="A318" s="12">
        <f t="shared" si="54"/>
        <v>11161</v>
      </c>
      <c r="B318" s="13" t="str">
        <f t="shared" si="54"/>
        <v>TAMUCC</v>
      </c>
      <c r="C318" s="50"/>
      <c r="D318" s="15">
        <v>1515</v>
      </c>
      <c r="E318" s="51">
        <v>0.51</v>
      </c>
      <c r="F318" s="61">
        <v>7123.1333333333332</v>
      </c>
      <c r="G318" s="18">
        <v>1182</v>
      </c>
      <c r="H318" s="15">
        <v>1956</v>
      </c>
      <c r="I318" s="16">
        <v>1471</v>
      </c>
      <c r="J318" s="17">
        <v>958</v>
      </c>
    </row>
    <row r="319" spans="1:10" s="67" customFormat="1" outlineLevel="1" x14ac:dyDescent="0.2">
      <c r="A319" s="12">
        <f t="shared" si="54"/>
        <v>3639</v>
      </c>
      <c r="B319" s="13" t="str">
        <f t="shared" si="54"/>
        <v>TAMUK</v>
      </c>
      <c r="C319" s="50"/>
      <c r="D319" s="15">
        <v>855</v>
      </c>
      <c r="E319" s="51">
        <v>0.39200000000000002</v>
      </c>
      <c r="F319" s="61">
        <v>4940.1333333333332</v>
      </c>
      <c r="G319" s="18">
        <v>742</v>
      </c>
      <c r="H319" s="63">
        <v>1344</v>
      </c>
      <c r="I319" s="61">
        <v>908</v>
      </c>
      <c r="J319" s="62">
        <v>572</v>
      </c>
    </row>
    <row r="320" spans="1:10" s="67" customFormat="1" outlineLevel="1" x14ac:dyDescent="0.2">
      <c r="A320" s="34">
        <f t="shared" ref="A320:B335" si="55">A278</f>
        <v>103639</v>
      </c>
      <c r="B320" s="13" t="str">
        <f t="shared" si="55"/>
        <v>TAMUSA</v>
      </c>
      <c r="C320" s="50"/>
      <c r="D320" s="15">
        <v>647</v>
      </c>
      <c r="E320" s="51">
        <v>0.39200000000000002</v>
      </c>
      <c r="F320" s="61">
        <v>1928.4</v>
      </c>
      <c r="G320" s="18">
        <v>549</v>
      </c>
      <c r="H320" s="63">
        <v>887</v>
      </c>
      <c r="I320" s="61">
        <v>190</v>
      </c>
      <c r="J320" s="62">
        <v>1</v>
      </c>
    </row>
    <row r="321" spans="1:10" s="67" customFormat="1" outlineLevel="1" x14ac:dyDescent="0.2">
      <c r="A321" s="12">
        <f t="shared" si="55"/>
        <v>9651</v>
      </c>
      <c r="B321" s="13" t="str">
        <f t="shared" si="55"/>
        <v>TAMI</v>
      </c>
      <c r="C321" s="50"/>
      <c r="D321" s="15">
        <v>805</v>
      </c>
      <c r="E321" s="51">
        <v>0.45700000000000002</v>
      </c>
      <c r="F321" s="16">
        <v>4397</v>
      </c>
      <c r="G321" s="18">
        <v>737</v>
      </c>
      <c r="H321" s="15">
        <v>1292</v>
      </c>
      <c r="I321" s="16">
        <v>1039</v>
      </c>
      <c r="J321" s="17">
        <v>488</v>
      </c>
    </row>
    <row r="322" spans="1:10" s="67" customFormat="1" outlineLevel="1" x14ac:dyDescent="0.2">
      <c r="A322" s="12">
        <f t="shared" si="55"/>
        <v>3665</v>
      </c>
      <c r="B322" s="13" t="str">
        <f t="shared" si="55"/>
        <v>WTAMU</v>
      </c>
      <c r="C322" s="50"/>
      <c r="D322" s="15">
        <v>1253</v>
      </c>
      <c r="E322" s="51">
        <v>0.48200000000000004</v>
      </c>
      <c r="F322" s="16">
        <v>5583.5333333333338</v>
      </c>
      <c r="G322" s="18">
        <v>902</v>
      </c>
      <c r="H322" s="15">
        <v>1632</v>
      </c>
      <c r="I322" s="16">
        <v>1213</v>
      </c>
      <c r="J322" s="17">
        <v>689</v>
      </c>
    </row>
    <row r="323" spans="1:10" s="67" customFormat="1" outlineLevel="1" x14ac:dyDescent="0.2">
      <c r="A323" s="12">
        <f t="shared" si="55"/>
        <v>3565</v>
      </c>
      <c r="B323" s="13" t="str">
        <f t="shared" si="55"/>
        <v>TAMUC</v>
      </c>
      <c r="C323" s="50"/>
      <c r="D323" s="15">
        <v>1507</v>
      </c>
      <c r="E323" s="51">
        <v>0.44600000000000001</v>
      </c>
      <c r="F323" s="16">
        <v>5215.0666666666666</v>
      </c>
      <c r="G323" s="18">
        <v>1172</v>
      </c>
      <c r="H323" s="15">
        <v>2056</v>
      </c>
      <c r="I323" s="16">
        <v>1174</v>
      </c>
      <c r="J323" s="17">
        <v>457</v>
      </c>
    </row>
    <row r="324" spans="1:10" s="67" customFormat="1" outlineLevel="1" x14ac:dyDescent="0.2">
      <c r="A324" s="12">
        <f t="shared" si="55"/>
        <v>29269</v>
      </c>
      <c r="B324" s="13" t="str">
        <f t="shared" si="55"/>
        <v>TAMUT</v>
      </c>
      <c r="C324" s="50"/>
      <c r="D324" s="15">
        <v>376</v>
      </c>
      <c r="E324" s="60">
        <v>0.49242424242424243</v>
      </c>
      <c r="F324" s="16">
        <v>1076.5999999999999</v>
      </c>
      <c r="G324" s="18">
        <v>277</v>
      </c>
      <c r="H324" s="15">
        <v>485</v>
      </c>
      <c r="I324" s="16">
        <v>219</v>
      </c>
      <c r="J324" s="17">
        <v>1</v>
      </c>
    </row>
    <row r="325" spans="1:10" s="67" customFormat="1" outlineLevel="1" x14ac:dyDescent="0.2">
      <c r="A325" s="12">
        <f t="shared" si="55"/>
        <v>3652</v>
      </c>
      <c r="B325" s="13" t="str">
        <f t="shared" si="55"/>
        <v>UH</v>
      </c>
      <c r="C325" s="50"/>
      <c r="D325" s="15">
        <v>5426</v>
      </c>
      <c r="E325" s="51">
        <v>0.53600000000000003</v>
      </c>
      <c r="F325" s="16">
        <v>25454.066666666666</v>
      </c>
      <c r="G325" s="18">
        <v>3688</v>
      </c>
      <c r="H325" s="15">
        <v>7822</v>
      </c>
      <c r="I325" s="16">
        <v>5664</v>
      </c>
      <c r="J325" s="17">
        <v>3230</v>
      </c>
    </row>
    <row r="326" spans="1:10" s="67" customFormat="1" outlineLevel="1" x14ac:dyDescent="0.2">
      <c r="A326" s="12">
        <f t="shared" si="55"/>
        <v>11711</v>
      </c>
      <c r="B326" s="13" t="str">
        <f t="shared" si="55"/>
        <v>UHCL</v>
      </c>
      <c r="C326" s="50"/>
      <c r="D326" s="15">
        <v>1251</v>
      </c>
      <c r="E326" s="60">
        <v>0.51671732522796354</v>
      </c>
      <c r="F326" s="16">
        <v>3023.4666666666667</v>
      </c>
      <c r="G326" s="18">
        <v>839</v>
      </c>
      <c r="H326" s="15">
        <v>1391</v>
      </c>
      <c r="I326" s="16">
        <v>1014</v>
      </c>
      <c r="J326" s="17">
        <v>37</v>
      </c>
    </row>
    <row r="327" spans="1:10" s="67" customFormat="1" outlineLevel="1" x14ac:dyDescent="0.2">
      <c r="A327" s="12">
        <f t="shared" si="55"/>
        <v>12826</v>
      </c>
      <c r="B327" s="13" t="str">
        <f t="shared" si="55"/>
        <v>UHD</v>
      </c>
      <c r="C327" s="50"/>
      <c r="D327" s="15">
        <v>2351</v>
      </c>
      <c r="E327" s="51">
        <v>0.17399999999999999</v>
      </c>
      <c r="F327" s="16">
        <v>8614.9333333333325</v>
      </c>
      <c r="G327" s="18">
        <v>1694</v>
      </c>
      <c r="H327" s="15">
        <v>3009</v>
      </c>
      <c r="I327" s="16">
        <v>1819</v>
      </c>
      <c r="J327" s="17">
        <v>589</v>
      </c>
    </row>
    <row r="328" spans="1:10" s="67" customFormat="1" outlineLevel="1" x14ac:dyDescent="0.2">
      <c r="A328" s="12">
        <f t="shared" si="55"/>
        <v>13231</v>
      </c>
      <c r="B328" s="13" t="str">
        <f t="shared" si="55"/>
        <v>UHV</v>
      </c>
      <c r="C328" s="50"/>
      <c r="D328" s="15">
        <v>619</v>
      </c>
      <c r="E328" s="60">
        <v>0.47520661157024796</v>
      </c>
      <c r="F328" s="16">
        <v>1733.9333333333334</v>
      </c>
      <c r="G328" s="18">
        <v>418</v>
      </c>
      <c r="H328" s="15">
        <v>776</v>
      </c>
      <c r="I328" s="16">
        <v>335</v>
      </c>
      <c r="J328" s="17">
        <v>6</v>
      </c>
    </row>
    <row r="329" spans="1:10" s="67" customFormat="1" outlineLevel="1" x14ac:dyDescent="0.2">
      <c r="A329" s="12">
        <f t="shared" si="55"/>
        <v>3592</v>
      </c>
      <c r="B329" s="13" t="str">
        <f t="shared" si="55"/>
        <v>Midwestern</v>
      </c>
      <c r="C329" s="50"/>
      <c r="D329" s="15">
        <v>1066</v>
      </c>
      <c r="E329" s="51">
        <v>0.46299999999999997</v>
      </c>
      <c r="F329" s="16">
        <v>3948.8</v>
      </c>
      <c r="G329" s="18">
        <v>723</v>
      </c>
      <c r="H329" s="15">
        <v>1308</v>
      </c>
      <c r="I329" s="16">
        <v>972</v>
      </c>
      <c r="J329" s="17">
        <v>683</v>
      </c>
    </row>
    <row r="330" spans="1:10" s="67" customFormat="1" outlineLevel="1" x14ac:dyDescent="0.2">
      <c r="A330" s="12">
        <f t="shared" si="55"/>
        <v>3594</v>
      </c>
      <c r="B330" s="13" t="str">
        <f t="shared" si="55"/>
        <v>UNT</v>
      </c>
      <c r="C330" s="50"/>
      <c r="D330" s="15">
        <v>5843</v>
      </c>
      <c r="E330" s="51">
        <v>0.56799999999999995</v>
      </c>
      <c r="F330" s="16">
        <v>23948.933333333334</v>
      </c>
      <c r="G330" s="18">
        <v>3771</v>
      </c>
      <c r="H330" s="15">
        <v>7309</v>
      </c>
      <c r="I330" s="16">
        <v>5433</v>
      </c>
      <c r="J330" s="17">
        <v>3116</v>
      </c>
    </row>
    <row r="331" spans="1:10" s="67" customFormat="1" outlineLevel="1" x14ac:dyDescent="0.2">
      <c r="A331" s="34">
        <f t="shared" si="55"/>
        <v>113594</v>
      </c>
      <c r="B331" s="13" t="str">
        <f t="shared" si="55"/>
        <v>UNTD</v>
      </c>
      <c r="C331" s="50"/>
      <c r="D331" s="58">
        <v>419</v>
      </c>
      <c r="E331" s="64">
        <v>0.56799999999999995</v>
      </c>
      <c r="F331" s="59">
        <v>1077.8</v>
      </c>
      <c r="G331" s="65">
        <v>313</v>
      </c>
      <c r="H331" s="58">
        <v>469</v>
      </c>
      <c r="I331" s="59">
        <v>80</v>
      </c>
      <c r="J331" s="57">
        <v>4</v>
      </c>
    </row>
    <row r="332" spans="1:10" s="67" customFormat="1" outlineLevel="1" x14ac:dyDescent="0.2">
      <c r="A332" s="12">
        <f t="shared" si="55"/>
        <v>3624</v>
      </c>
      <c r="B332" s="13" t="str">
        <f t="shared" si="55"/>
        <v>SFA</v>
      </c>
      <c r="C332" s="50"/>
      <c r="D332" s="15">
        <v>2011</v>
      </c>
      <c r="E332" s="51">
        <v>0.55299999999999994</v>
      </c>
      <c r="F332" s="16">
        <v>9461.4666666666672</v>
      </c>
      <c r="G332" s="18">
        <v>1513</v>
      </c>
      <c r="H332" s="15">
        <v>2605</v>
      </c>
      <c r="I332" s="16">
        <v>2125</v>
      </c>
      <c r="J332" s="17">
        <v>1472</v>
      </c>
    </row>
    <row r="333" spans="1:10" s="67" customFormat="1" outlineLevel="1" x14ac:dyDescent="0.2">
      <c r="A333" s="12">
        <f t="shared" si="55"/>
        <v>3642</v>
      </c>
      <c r="B333" s="13" t="str">
        <f t="shared" si="55"/>
        <v>TSU</v>
      </c>
      <c r="C333" s="50"/>
      <c r="D333" s="15">
        <v>737</v>
      </c>
      <c r="E333" s="51">
        <v>0.14099999999999999</v>
      </c>
      <c r="F333" s="16">
        <v>6031.6</v>
      </c>
      <c r="G333" s="18">
        <v>641</v>
      </c>
      <c r="H333" s="15">
        <v>1348</v>
      </c>
      <c r="I333" s="16">
        <v>988</v>
      </c>
      <c r="J333" s="17">
        <v>760</v>
      </c>
    </row>
    <row r="334" spans="1:10" s="67" customFormat="1" outlineLevel="1" x14ac:dyDescent="0.2">
      <c r="A334" s="12">
        <f t="shared" si="55"/>
        <v>3644</v>
      </c>
      <c r="B334" s="13" t="str">
        <f t="shared" si="55"/>
        <v>TTU</v>
      </c>
      <c r="C334" s="50"/>
      <c r="D334" s="15">
        <v>4941</v>
      </c>
      <c r="E334" s="51">
        <v>0.73599999999999999</v>
      </c>
      <c r="F334" s="16">
        <v>22866.2</v>
      </c>
      <c r="G334" s="18">
        <v>3071</v>
      </c>
      <c r="H334" s="15">
        <v>6447</v>
      </c>
      <c r="I334" s="16">
        <v>5333</v>
      </c>
      <c r="J334" s="17">
        <v>4049</v>
      </c>
    </row>
    <row r="335" spans="1:10" s="67" customFormat="1" outlineLevel="1" x14ac:dyDescent="0.2">
      <c r="A335" s="12">
        <f t="shared" si="55"/>
        <v>3541</v>
      </c>
      <c r="B335" s="13" t="str">
        <f t="shared" si="55"/>
        <v>Angelo</v>
      </c>
      <c r="C335" s="50"/>
      <c r="D335" s="15">
        <v>1073</v>
      </c>
      <c r="E335" s="51">
        <v>0.40799999999999997</v>
      </c>
      <c r="F335" s="16">
        <v>4967.666666666667</v>
      </c>
      <c r="G335" s="18">
        <v>773</v>
      </c>
      <c r="H335" s="15">
        <v>1399</v>
      </c>
      <c r="I335" s="16">
        <v>1022</v>
      </c>
      <c r="J335" s="17">
        <v>707</v>
      </c>
    </row>
    <row r="336" spans="1:10" s="67" customFormat="1" outlineLevel="1" x14ac:dyDescent="0.2">
      <c r="A336" s="12">
        <f t="shared" ref="A336:B341" si="56">A294</f>
        <v>3646</v>
      </c>
      <c r="B336" s="13" t="str">
        <f t="shared" si="56"/>
        <v>TWU</v>
      </c>
      <c r="C336" s="50"/>
      <c r="D336" s="15">
        <v>1919</v>
      </c>
      <c r="E336" s="51">
        <v>0.54200000000000004</v>
      </c>
      <c r="F336" s="16">
        <v>7273.0666666666666</v>
      </c>
      <c r="G336" s="18">
        <v>1326</v>
      </c>
      <c r="H336" s="15">
        <v>2425</v>
      </c>
      <c r="I336" s="16">
        <v>1246</v>
      </c>
      <c r="J336" s="17">
        <v>703</v>
      </c>
    </row>
    <row r="337" spans="1:11" s="67" customFormat="1" outlineLevel="1" x14ac:dyDescent="0.2">
      <c r="A337" s="12">
        <f t="shared" si="56"/>
        <v>3581</v>
      </c>
      <c r="B337" s="13" t="str">
        <f t="shared" si="56"/>
        <v>Lamar</v>
      </c>
      <c r="C337" s="50"/>
      <c r="D337" s="15">
        <v>1380</v>
      </c>
      <c r="E337" s="51">
        <v>0.35899999999999999</v>
      </c>
      <c r="F337" s="16">
        <v>7200.7333333333336</v>
      </c>
      <c r="G337" s="18">
        <v>995</v>
      </c>
      <c r="H337" s="15">
        <v>2074</v>
      </c>
      <c r="I337" s="16">
        <v>1485</v>
      </c>
      <c r="J337" s="17">
        <v>1002</v>
      </c>
    </row>
    <row r="338" spans="1:11" outlineLevel="1" x14ac:dyDescent="0.2">
      <c r="A338" s="12">
        <f t="shared" si="56"/>
        <v>3606</v>
      </c>
      <c r="B338" s="13" t="str">
        <f t="shared" si="56"/>
        <v>SHSU</v>
      </c>
      <c r="C338" s="50"/>
      <c r="D338" s="15">
        <v>2978</v>
      </c>
      <c r="E338" s="51">
        <v>0.57799999999999996</v>
      </c>
      <c r="F338" s="16">
        <v>13169.666666666666</v>
      </c>
      <c r="G338" s="18">
        <v>2163</v>
      </c>
      <c r="H338" s="15">
        <v>3895</v>
      </c>
      <c r="I338" s="16">
        <v>2915</v>
      </c>
      <c r="J338" s="17">
        <v>1704</v>
      </c>
    </row>
    <row r="339" spans="1:11" outlineLevel="1" x14ac:dyDescent="0.2">
      <c r="A339" s="12">
        <f t="shared" si="56"/>
        <v>3615</v>
      </c>
      <c r="B339" s="13" t="str">
        <f t="shared" si="56"/>
        <v>TXST</v>
      </c>
      <c r="C339" s="50"/>
      <c r="D339" s="15">
        <v>5435</v>
      </c>
      <c r="E339" s="51">
        <v>0.61399999999999999</v>
      </c>
      <c r="F339" s="16">
        <v>24719.733333333334</v>
      </c>
      <c r="G339" s="18">
        <v>3816</v>
      </c>
      <c r="H339" s="15">
        <v>7424</v>
      </c>
      <c r="I339" s="16">
        <v>5560</v>
      </c>
      <c r="J339" s="17">
        <v>3334</v>
      </c>
    </row>
    <row r="340" spans="1:11" outlineLevel="1" x14ac:dyDescent="0.2">
      <c r="A340" s="12">
        <f t="shared" si="56"/>
        <v>3625</v>
      </c>
      <c r="B340" s="13" t="str">
        <f t="shared" si="56"/>
        <v>SRSU</v>
      </c>
      <c r="C340" s="50"/>
      <c r="D340" s="15">
        <v>191</v>
      </c>
      <c r="E340" s="51">
        <v>0.32600000000000001</v>
      </c>
      <c r="F340" s="16">
        <v>1034.5333333333333</v>
      </c>
      <c r="G340" s="18">
        <v>167</v>
      </c>
      <c r="H340" s="15">
        <v>283</v>
      </c>
      <c r="I340" s="16">
        <v>188</v>
      </c>
      <c r="J340" s="17">
        <v>145</v>
      </c>
      <c r="K340" s="153"/>
    </row>
    <row r="341" spans="1:11" outlineLevel="1" x14ac:dyDescent="0.2">
      <c r="A341" s="12">
        <f t="shared" si="56"/>
        <v>20</v>
      </c>
      <c r="B341" s="13" t="str">
        <f t="shared" si="56"/>
        <v>SRRG</v>
      </c>
      <c r="C341" s="50"/>
      <c r="D341" s="15">
        <v>154</v>
      </c>
      <c r="E341" s="60">
        <v>0.25423728813559321</v>
      </c>
      <c r="F341" s="16">
        <v>404.06666666666666</v>
      </c>
      <c r="G341" s="18">
        <v>138</v>
      </c>
      <c r="H341" s="15">
        <v>216</v>
      </c>
      <c r="I341" s="16">
        <v>91</v>
      </c>
      <c r="J341" s="17">
        <v>5</v>
      </c>
    </row>
    <row r="342" spans="1:11" ht="13.5" outlineLevel="1" thickBot="1" x14ac:dyDescent="0.25">
      <c r="A342" s="21"/>
      <c r="B342" s="22" t="s">
        <v>48</v>
      </c>
      <c r="C342" s="52"/>
      <c r="D342" s="36">
        <f>SUM(D304:D341)</f>
        <v>87062</v>
      </c>
      <c r="E342" s="53">
        <v>0.58700000000000008</v>
      </c>
      <c r="F342" s="37">
        <f t="shared" ref="F342:J342" si="57">SUM(F304:F341)</f>
        <v>368687.06666666659</v>
      </c>
      <c r="G342" s="40">
        <f t="shared" si="57"/>
        <v>56942</v>
      </c>
      <c r="H342" s="39">
        <f t="shared" si="57"/>
        <v>113386</v>
      </c>
      <c r="I342" s="41">
        <f t="shared" si="57"/>
        <v>81144</v>
      </c>
      <c r="J342" s="38">
        <f t="shared" si="57"/>
        <v>49999</v>
      </c>
    </row>
    <row r="343" spans="1:11" ht="13.5" thickBot="1" x14ac:dyDescent="0.25">
      <c r="A343" s="1" t="s">
        <v>58</v>
      </c>
      <c r="B343" s="1"/>
      <c r="C343" s="1"/>
      <c r="D343" s="1"/>
      <c r="F343" s="1"/>
      <c r="G343" s="1"/>
    </row>
    <row r="344" spans="1:11" ht="12.75" customHeight="1" outlineLevel="1" x14ac:dyDescent="0.2">
      <c r="A344" s="163" t="s">
        <v>0</v>
      </c>
      <c r="B344" s="165" t="s">
        <v>1</v>
      </c>
      <c r="C344" s="167"/>
      <c r="D344" s="169" t="s">
        <v>57</v>
      </c>
      <c r="E344" s="171" t="s">
        <v>53</v>
      </c>
      <c r="F344" s="165" t="s">
        <v>54</v>
      </c>
      <c r="G344" s="158" t="s">
        <v>4</v>
      </c>
      <c r="H344" s="160" t="s">
        <v>55</v>
      </c>
      <c r="I344" s="161"/>
      <c r="J344" s="162"/>
    </row>
    <row r="345" spans="1:11" s="44" customFormat="1" ht="39.75" customHeight="1" outlineLevel="1" thickBot="1" x14ac:dyDescent="0.25">
      <c r="A345" s="164"/>
      <c r="B345" s="166"/>
      <c r="C345" s="168"/>
      <c r="D345" s="170"/>
      <c r="E345" s="172"/>
      <c r="F345" s="166"/>
      <c r="G345" s="159"/>
      <c r="H345" s="70" t="s">
        <v>8</v>
      </c>
      <c r="I345" s="71" t="s">
        <v>9</v>
      </c>
      <c r="J345" s="72" t="s">
        <v>10</v>
      </c>
      <c r="K345" s="67"/>
    </row>
    <row r="346" spans="1:11" outlineLevel="1" x14ac:dyDescent="0.2">
      <c r="A346" s="5">
        <f t="shared" ref="A346:B361" si="58">A304</f>
        <v>3656</v>
      </c>
      <c r="B346" s="6" t="str">
        <f t="shared" si="58"/>
        <v>UTA</v>
      </c>
      <c r="C346" s="45"/>
      <c r="D346" s="46">
        <v>5103</v>
      </c>
      <c r="E346" s="47">
        <v>0.49299999999999999</v>
      </c>
      <c r="F346" s="48">
        <v>17781.466666666667</v>
      </c>
      <c r="G346" s="32">
        <v>3158</v>
      </c>
      <c r="H346" s="46">
        <v>6983</v>
      </c>
      <c r="I346" s="48">
        <v>3901</v>
      </c>
      <c r="J346" s="49">
        <v>1733</v>
      </c>
    </row>
    <row r="347" spans="1:11" outlineLevel="1" x14ac:dyDescent="0.2">
      <c r="A347" s="12">
        <f t="shared" si="58"/>
        <v>3658</v>
      </c>
      <c r="B347" s="13" t="str">
        <f t="shared" si="58"/>
        <v>UT</v>
      </c>
      <c r="C347" s="50"/>
      <c r="D347" s="15">
        <v>9027</v>
      </c>
      <c r="E347" s="51">
        <v>0.83299999999999996</v>
      </c>
      <c r="F347" s="16">
        <v>33841.466666666667</v>
      </c>
      <c r="G347" s="18">
        <v>3475</v>
      </c>
      <c r="H347" s="15">
        <v>9940</v>
      </c>
      <c r="I347" s="16">
        <v>8894</v>
      </c>
      <c r="J347" s="17">
        <v>7485</v>
      </c>
    </row>
    <row r="348" spans="1:11" outlineLevel="1" x14ac:dyDescent="0.2">
      <c r="A348" s="12">
        <f t="shared" si="58"/>
        <v>9741</v>
      </c>
      <c r="B348" s="13" t="str">
        <f t="shared" si="58"/>
        <v>UTD</v>
      </c>
      <c r="C348" s="50"/>
      <c r="D348" s="15">
        <v>2314</v>
      </c>
      <c r="E348" s="51">
        <v>0.68299999999999994</v>
      </c>
      <c r="F348" s="16">
        <v>9826.5333333333328</v>
      </c>
      <c r="G348" s="18">
        <v>1294</v>
      </c>
      <c r="H348" s="15">
        <v>3345</v>
      </c>
      <c r="I348" s="16">
        <v>2105</v>
      </c>
      <c r="J348" s="17">
        <v>1076</v>
      </c>
    </row>
    <row r="349" spans="1:11" outlineLevel="1" x14ac:dyDescent="0.2">
      <c r="A349" s="12">
        <f t="shared" si="58"/>
        <v>3661</v>
      </c>
      <c r="B349" s="13" t="str">
        <f t="shared" si="58"/>
        <v>UTEP</v>
      </c>
      <c r="C349" s="50"/>
      <c r="D349" s="15">
        <v>3008</v>
      </c>
      <c r="E349" s="51">
        <v>0.38400000000000001</v>
      </c>
      <c r="F349" s="16">
        <v>13931.066666666668</v>
      </c>
      <c r="G349" s="18">
        <v>2408</v>
      </c>
      <c r="H349" s="15">
        <v>4482</v>
      </c>
      <c r="I349" s="16">
        <v>3398</v>
      </c>
      <c r="J349" s="17">
        <v>1904</v>
      </c>
    </row>
    <row r="350" spans="1:11" outlineLevel="1" x14ac:dyDescent="0.2">
      <c r="A350" s="12">
        <f t="shared" si="58"/>
        <v>3599</v>
      </c>
      <c r="B350" s="13" t="str">
        <f t="shared" si="58"/>
        <v>UTPA</v>
      </c>
      <c r="C350" s="50"/>
      <c r="D350" s="15">
        <v>2658</v>
      </c>
      <c r="E350" s="51">
        <v>0.46399999999999997</v>
      </c>
      <c r="F350" s="16">
        <v>12698.333333333334</v>
      </c>
      <c r="G350" s="18">
        <v>2427</v>
      </c>
      <c r="H350" s="15">
        <v>4141</v>
      </c>
      <c r="I350" s="16">
        <v>3290</v>
      </c>
      <c r="J350" s="17">
        <v>1998</v>
      </c>
    </row>
    <row r="351" spans="1:11" outlineLevel="1" x14ac:dyDescent="0.2">
      <c r="A351" s="12">
        <f t="shared" si="58"/>
        <v>30646</v>
      </c>
      <c r="B351" s="13" t="str">
        <f t="shared" si="58"/>
        <v>UTB</v>
      </c>
      <c r="C351" s="50"/>
      <c r="D351" s="15">
        <v>1075</v>
      </c>
      <c r="E351" s="60">
        <v>0.55124653739612184</v>
      </c>
      <c r="F351" s="16">
        <v>3400.5333333333333</v>
      </c>
      <c r="G351" s="18">
        <v>916</v>
      </c>
      <c r="H351" s="15">
        <v>1356</v>
      </c>
      <c r="I351" s="16">
        <v>600</v>
      </c>
      <c r="J351" s="17">
        <v>132</v>
      </c>
    </row>
    <row r="352" spans="1:11" outlineLevel="1" x14ac:dyDescent="0.2">
      <c r="A352" s="12">
        <f t="shared" si="58"/>
        <v>9930</v>
      </c>
      <c r="B352" s="13" t="str">
        <f t="shared" si="58"/>
        <v>UTPB</v>
      </c>
      <c r="C352" s="50"/>
      <c r="D352" s="15">
        <v>541</v>
      </c>
      <c r="E352" s="51">
        <v>0.40700000000000003</v>
      </c>
      <c r="F352" s="16">
        <v>2343.2666666666669</v>
      </c>
      <c r="G352" s="18">
        <v>407</v>
      </c>
      <c r="H352" s="15">
        <v>911</v>
      </c>
      <c r="I352" s="16">
        <v>490</v>
      </c>
      <c r="J352" s="17">
        <v>190</v>
      </c>
    </row>
    <row r="353" spans="1:10" outlineLevel="1" x14ac:dyDescent="0.2">
      <c r="A353" s="12">
        <f t="shared" si="58"/>
        <v>10115</v>
      </c>
      <c r="B353" s="13" t="str">
        <f t="shared" si="58"/>
        <v>UTSA</v>
      </c>
      <c r="C353" s="50"/>
      <c r="D353" s="15">
        <v>4148</v>
      </c>
      <c r="E353" s="51">
        <v>0.39400000000000002</v>
      </c>
      <c r="F353" s="16">
        <v>21066.866666666665</v>
      </c>
      <c r="G353" s="18">
        <v>3211</v>
      </c>
      <c r="H353" s="15">
        <v>6802</v>
      </c>
      <c r="I353" s="16">
        <v>4390</v>
      </c>
      <c r="J353" s="17">
        <v>2699</v>
      </c>
    </row>
    <row r="354" spans="1:10" outlineLevel="1" x14ac:dyDescent="0.2">
      <c r="A354" s="12">
        <f t="shared" si="58"/>
        <v>11163</v>
      </c>
      <c r="B354" s="13" t="str">
        <f t="shared" si="58"/>
        <v>UTT</v>
      </c>
      <c r="C354" s="50"/>
      <c r="D354" s="15">
        <v>1188</v>
      </c>
      <c r="E354" s="51">
        <v>0.53300000000000003</v>
      </c>
      <c r="F354" s="16">
        <v>4086.7333333333331</v>
      </c>
      <c r="G354" s="18">
        <v>939</v>
      </c>
      <c r="H354" s="15">
        <v>1497</v>
      </c>
      <c r="I354" s="16">
        <v>906</v>
      </c>
      <c r="J354" s="17">
        <v>401</v>
      </c>
    </row>
    <row r="355" spans="1:10" outlineLevel="1" x14ac:dyDescent="0.2">
      <c r="A355" s="12">
        <f t="shared" si="58"/>
        <v>3632</v>
      </c>
      <c r="B355" s="13" t="str">
        <f t="shared" si="58"/>
        <v>TAMU</v>
      </c>
      <c r="C355" s="50"/>
      <c r="D355" s="15">
        <v>8748</v>
      </c>
      <c r="E355" s="51">
        <v>0.84399999999999997</v>
      </c>
      <c r="F355" s="16">
        <v>35116.666666666664</v>
      </c>
      <c r="G355" s="18">
        <v>3727</v>
      </c>
      <c r="H355" s="15">
        <v>9622</v>
      </c>
      <c r="I355" s="16">
        <v>8960</v>
      </c>
      <c r="J355" s="17">
        <v>6824</v>
      </c>
    </row>
    <row r="356" spans="1:10" outlineLevel="1" x14ac:dyDescent="0.2">
      <c r="A356" s="12">
        <f t="shared" si="58"/>
        <v>10298</v>
      </c>
      <c r="B356" s="13" t="str">
        <f t="shared" si="58"/>
        <v>TAMUG</v>
      </c>
      <c r="C356" s="50"/>
      <c r="D356" s="15">
        <v>250</v>
      </c>
      <c r="E356" s="51">
        <v>0.66400000000000003</v>
      </c>
      <c r="F356" s="16">
        <v>1769.4666666666667</v>
      </c>
      <c r="G356" s="18">
        <v>151</v>
      </c>
      <c r="H356" s="15">
        <v>600</v>
      </c>
      <c r="I356" s="16">
        <v>337</v>
      </c>
      <c r="J356" s="17">
        <v>234</v>
      </c>
    </row>
    <row r="357" spans="1:10" outlineLevel="1" x14ac:dyDescent="0.2">
      <c r="A357" s="12">
        <f t="shared" si="58"/>
        <v>3630</v>
      </c>
      <c r="B357" s="13" t="str">
        <f t="shared" si="58"/>
        <v>Prairie View</v>
      </c>
      <c r="C357" s="50"/>
      <c r="D357" s="15">
        <v>904</v>
      </c>
      <c r="E357" s="51">
        <v>0.37</v>
      </c>
      <c r="F357" s="16">
        <v>5822.8</v>
      </c>
      <c r="G357" s="18">
        <v>775</v>
      </c>
      <c r="H357" s="15">
        <v>1659</v>
      </c>
      <c r="I357" s="16">
        <v>1237</v>
      </c>
      <c r="J357" s="17">
        <v>904</v>
      </c>
    </row>
    <row r="358" spans="1:10" outlineLevel="1" x14ac:dyDescent="0.2">
      <c r="A358" s="12">
        <f t="shared" si="58"/>
        <v>3631</v>
      </c>
      <c r="B358" s="13" t="str">
        <f t="shared" si="58"/>
        <v>Tarleton</v>
      </c>
      <c r="C358" s="50"/>
      <c r="D358" s="15">
        <v>1552</v>
      </c>
      <c r="E358" s="51">
        <v>0.48299999999999998</v>
      </c>
      <c r="F358" s="16">
        <v>6766.4</v>
      </c>
      <c r="G358" s="18">
        <v>1196</v>
      </c>
      <c r="H358" s="15">
        <v>2099</v>
      </c>
      <c r="I358" s="16">
        <v>1468</v>
      </c>
      <c r="J358" s="17">
        <v>843</v>
      </c>
    </row>
    <row r="359" spans="1:10" outlineLevel="1" x14ac:dyDescent="0.2">
      <c r="A359" s="34">
        <f t="shared" si="58"/>
        <v>103631</v>
      </c>
      <c r="B359" s="13" t="str">
        <f t="shared" si="58"/>
        <v>TAMUCT</v>
      </c>
      <c r="C359" s="50"/>
      <c r="D359" s="15">
        <v>462</v>
      </c>
      <c r="E359" s="51">
        <v>0.48299999999999998</v>
      </c>
      <c r="F359" s="16">
        <v>684.13333333333333</v>
      </c>
      <c r="G359" s="18">
        <v>330</v>
      </c>
      <c r="H359" s="15">
        <v>553</v>
      </c>
      <c r="I359" s="16">
        <v>138</v>
      </c>
      <c r="J359" s="17">
        <v>63</v>
      </c>
    </row>
    <row r="360" spans="1:10" outlineLevel="1" x14ac:dyDescent="0.2">
      <c r="A360" s="12">
        <f t="shared" si="58"/>
        <v>11161</v>
      </c>
      <c r="B360" s="13" t="str">
        <f t="shared" si="58"/>
        <v>TAMUCC</v>
      </c>
      <c r="C360" s="50"/>
      <c r="D360" s="15">
        <v>1315</v>
      </c>
      <c r="E360" s="51">
        <v>0.51100000000000001</v>
      </c>
      <c r="F360" s="16">
        <v>6742.2</v>
      </c>
      <c r="G360" s="18">
        <v>1034</v>
      </c>
      <c r="H360" s="15">
        <v>2125</v>
      </c>
      <c r="I360" s="16">
        <v>1577</v>
      </c>
      <c r="J360" s="17">
        <v>865</v>
      </c>
    </row>
    <row r="361" spans="1:10" outlineLevel="1" x14ac:dyDescent="0.2">
      <c r="A361" s="12">
        <f t="shared" si="58"/>
        <v>3639</v>
      </c>
      <c r="B361" s="13" t="str">
        <f t="shared" si="58"/>
        <v>TAMUK</v>
      </c>
      <c r="C361" s="50"/>
      <c r="D361" s="15">
        <v>738</v>
      </c>
      <c r="E361" s="51">
        <v>0.39799999999999996</v>
      </c>
      <c r="F361" s="16">
        <v>4577.5333333333338</v>
      </c>
      <c r="G361" s="18">
        <v>613</v>
      </c>
      <c r="H361" s="15">
        <v>1180</v>
      </c>
      <c r="I361" s="16">
        <v>879</v>
      </c>
      <c r="J361" s="17">
        <v>555</v>
      </c>
    </row>
    <row r="362" spans="1:10" outlineLevel="1" x14ac:dyDescent="0.2">
      <c r="A362" s="34">
        <f t="shared" ref="A362:B377" si="59">A320</f>
        <v>103639</v>
      </c>
      <c r="B362" s="13" t="str">
        <f t="shared" si="59"/>
        <v>TAMUSA</v>
      </c>
      <c r="C362" s="50"/>
      <c r="D362" s="15">
        <v>620</v>
      </c>
      <c r="E362" s="51">
        <v>0.39799999999999996</v>
      </c>
      <c r="F362" s="16">
        <v>1673.0666666666666</v>
      </c>
      <c r="G362" s="18">
        <v>520</v>
      </c>
      <c r="H362" s="15">
        <v>996</v>
      </c>
      <c r="I362" s="16">
        <v>37</v>
      </c>
      <c r="J362" s="17">
        <v>2</v>
      </c>
    </row>
    <row r="363" spans="1:10" outlineLevel="1" x14ac:dyDescent="0.2">
      <c r="A363" s="12">
        <f t="shared" si="59"/>
        <v>9651</v>
      </c>
      <c r="B363" s="13" t="str">
        <f t="shared" si="59"/>
        <v>TAMI</v>
      </c>
      <c r="C363" s="50"/>
      <c r="D363" s="15">
        <v>766</v>
      </c>
      <c r="E363" s="51">
        <v>0.503</v>
      </c>
      <c r="F363" s="16">
        <v>4312.1333333333332</v>
      </c>
      <c r="G363" s="18">
        <v>688</v>
      </c>
      <c r="H363" s="15">
        <v>1515</v>
      </c>
      <c r="I363" s="16">
        <v>1027</v>
      </c>
      <c r="J363" s="17">
        <v>486</v>
      </c>
    </row>
    <row r="364" spans="1:10" outlineLevel="1" x14ac:dyDescent="0.2">
      <c r="A364" s="12">
        <f t="shared" si="59"/>
        <v>3665</v>
      </c>
      <c r="B364" s="13" t="str">
        <f t="shared" si="59"/>
        <v>WTAMU</v>
      </c>
      <c r="C364" s="50"/>
      <c r="D364" s="15">
        <v>1294</v>
      </c>
      <c r="E364" s="51">
        <v>0.47399999999999998</v>
      </c>
      <c r="F364" s="16">
        <v>5523.2</v>
      </c>
      <c r="G364" s="18">
        <v>913</v>
      </c>
      <c r="H364" s="15">
        <v>1872</v>
      </c>
      <c r="I364" s="16">
        <v>1265</v>
      </c>
      <c r="J364" s="17">
        <v>665</v>
      </c>
    </row>
    <row r="365" spans="1:10" outlineLevel="1" x14ac:dyDescent="0.2">
      <c r="A365" s="12">
        <f t="shared" si="59"/>
        <v>3565</v>
      </c>
      <c r="B365" s="13" t="str">
        <f t="shared" si="59"/>
        <v>TAMUC</v>
      </c>
      <c r="C365" s="50"/>
      <c r="D365" s="15">
        <v>1313</v>
      </c>
      <c r="E365" s="51">
        <v>0.42600000000000005</v>
      </c>
      <c r="F365" s="16">
        <v>5135.2666666666664</v>
      </c>
      <c r="G365" s="18">
        <v>1002</v>
      </c>
      <c r="H365" s="15">
        <v>1911</v>
      </c>
      <c r="I365" s="16">
        <v>1199</v>
      </c>
      <c r="J365" s="17">
        <v>477</v>
      </c>
    </row>
    <row r="366" spans="1:10" outlineLevel="1" x14ac:dyDescent="0.2">
      <c r="A366" s="12">
        <f t="shared" si="59"/>
        <v>29269</v>
      </c>
      <c r="B366" s="13" t="str">
        <f t="shared" si="59"/>
        <v>TAMUT</v>
      </c>
      <c r="C366" s="50"/>
      <c r="D366" s="15">
        <v>335</v>
      </c>
      <c r="E366" s="60">
        <v>0.56028368794326244</v>
      </c>
      <c r="F366" s="16">
        <v>1101.2666666666667</v>
      </c>
      <c r="G366" s="18">
        <v>230</v>
      </c>
      <c r="H366" s="15">
        <v>411</v>
      </c>
      <c r="I366" s="16">
        <v>187</v>
      </c>
      <c r="J366" s="17">
        <v>1</v>
      </c>
    </row>
    <row r="367" spans="1:10" outlineLevel="1" x14ac:dyDescent="0.2">
      <c r="A367" s="12">
        <f t="shared" si="59"/>
        <v>3652</v>
      </c>
      <c r="B367" s="13" t="str">
        <f t="shared" si="59"/>
        <v>UH</v>
      </c>
      <c r="C367" s="50"/>
      <c r="D367" s="15">
        <v>5092</v>
      </c>
      <c r="E367" s="51">
        <v>0.54200000000000004</v>
      </c>
      <c r="F367" s="16">
        <v>24760.400000000001</v>
      </c>
      <c r="G367" s="18">
        <v>3340</v>
      </c>
      <c r="H367" s="15">
        <v>7467</v>
      </c>
      <c r="I367" s="16">
        <v>5802</v>
      </c>
      <c r="J367" s="17">
        <v>3314</v>
      </c>
    </row>
    <row r="368" spans="1:10" outlineLevel="1" x14ac:dyDescent="0.2">
      <c r="A368" s="12">
        <f t="shared" si="59"/>
        <v>11711</v>
      </c>
      <c r="B368" s="13" t="str">
        <f t="shared" si="59"/>
        <v>UHCL</v>
      </c>
      <c r="C368" s="50"/>
      <c r="D368" s="15">
        <v>1197</v>
      </c>
      <c r="E368" s="60">
        <v>0.53820033955857383</v>
      </c>
      <c r="F368" s="16">
        <v>3079.2666666666669</v>
      </c>
      <c r="G368" s="18">
        <v>777</v>
      </c>
      <c r="H368" s="15">
        <v>1434</v>
      </c>
      <c r="I368" s="16">
        <v>959</v>
      </c>
      <c r="J368" s="17">
        <v>53</v>
      </c>
    </row>
    <row r="369" spans="1:12" outlineLevel="1" x14ac:dyDescent="0.2">
      <c r="A369" s="12">
        <f t="shared" si="59"/>
        <v>12826</v>
      </c>
      <c r="B369" s="13" t="str">
        <f t="shared" si="59"/>
        <v>UHD</v>
      </c>
      <c r="C369" s="50"/>
      <c r="D369" s="15">
        <v>2437</v>
      </c>
      <c r="E369" s="51">
        <v>0.215</v>
      </c>
      <c r="F369" s="16">
        <v>8043.8</v>
      </c>
      <c r="G369" s="18">
        <v>1730</v>
      </c>
      <c r="H369" s="15">
        <v>3224</v>
      </c>
      <c r="I369" s="16">
        <v>1894</v>
      </c>
      <c r="J369" s="17">
        <v>618</v>
      </c>
    </row>
    <row r="370" spans="1:12" outlineLevel="1" x14ac:dyDescent="0.2">
      <c r="A370" s="12">
        <f t="shared" si="59"/>
        <v>13231</v>
      </c>
      <c r="B370" s="13" t="str">
        <f t="shared" si="59"/>
        <v>UHV</v>
      </c>
      <c r="C370" s="50"/>
      <c r="D370" s="15">
        <v>596</v>
      </c>
      <c r="E370" s="60">
        <v>0.5339366515837104</v>
      </c>
      <c r="F370" s="16">
        <v>1685.8666666666666</v>
      </c>
      <c r="G370" s="18">
        <v>397</v>
      </c>
      <c r="H370" s="15">
        <v>717</v>
      </c>
      <c r="I370" s="16">
        <v>288</v>
      </c>
      <c r="J370" s="17">
        <v>6</v>
      </c>
    </row>
    <row r="371" spans="1:12" outlineLevel="1" x14ac:dyDescent="0.2">
      <c r="A371" s="12">
        <f t="shared" si="59"/>
        <v>3592</v>
      </c>
      <c r="B371" s="13" t="str">
        <f t="shared" si="59"/>
        <v>Midwestern</v>
      </c>
      <c r="C371" s="50"/>
      <c r="D371" s="15">
        <v>1027</v>
      </c>
      <c r="E371" s="51">
        <v>0.443</v>
      </c>
      <c r="F371" s="16">
        <v>4147.7333333333336</v>
      </c>
      <c r="G371" s="18">
        <v>675</v>
      </c>
      <c r="H371" s="15">
        <v>1507</v>
      </c>
      <c r="I371" s="16">
        <v>1077</v>
      </c>
      <c r="J371" s="17">
        <v>734</v>
      </c>
    </row>
    <row r="372" spans="1:12" outlineLevel="1" x14ac:dyDescent="0.2">
      <c r="A372" s="12">
        <f t="shared" si="59"/>
        <v>3594</v>
      </c>
      <c r="B372" s="13" t="str">
        <f t="shared" si="59"/>
        <v>UNT</v>
      </c>
      <c r="C372" s="50"/>
      <c r="D372" s="15">
        <v>6183</v>
      </c>
      <c r="E372" s="51">
        <v>0.58700000000000008</v>
      </c>
      <c r="F372" s="16">
        <v>23213.466666666667</v>
      </c>
      <c r="G372" s="18">
        <v>3942</v>
      </c>
      <c r="H372" s="58">
        <v>7957</v>
      </c>
      <c r="I372" s="59">
        <v>5892</v>
      </c>
      <c r="J372" s="57">
        <v>3311</v>
      </c>
    </row>
    <row r="373" spans="1:12" outlineLevel="1" x14ac:dyDescent="0.2">
      <c r="A373" s="34">
        <f t="shared" si="59"/>
        <v>113594</v>
      </c>
      <c r="B373" s="13" t="str">
        <f t="shared" si="59"/>
        <v>UNTD</v>
      </c>
      <c r="C373" s="50"/>
      <c r="D373" s="58">
        <v>388</v>
      </c>
      <c r="E373" s="64">
        <v>0.58700000000000008</v>
      </c>
      <c r="F373" s="59">
        <v>983.4666666666667</v>
      </c>
      <c r="G373" s="65">
        <v>304</v>
      </c>
      <c r="H373" s="58">
        <v>487</v>
      </c>
      <c r="I373" s="59">
        <v>63</v>
      </c>
      <c r="J373" s="57">
        <v>18</v>
      </c>
    </row>
    <row r="374" spans="1:12" outlineLevel="1" x14ac:dyDescent="0.2">
      <c r="A374" s="12">
        <f t="shared" si="59"/>
        <v>3624</v>
      </c>
      <c r="B374" s="13" t="str">
        <f t="shared" si="59"/>
        <v>SFA</v>
      </c>
      <c r="C374" s="50"/>
      <c r="D374" s="15">
        <v>1880</v>
      </c>
      <c r="E374" s="51">
        <v>0.53900000000000003</v>
      </c>
      <c r="F374" s="16">
        <v>9507.3333333333339</v>
      </c>
      <c r="G374" s="18">
        <v>1446</v>
      </c>
      <c r="H374" s="15">
        <v>3041</v>
      </c>
      <c r="I374" s="16">
        <v>2164</v>
      </c>
      <c r="J374" s="17">
        <v>1402</v>
      </c>
    </row>
    <row r="375" spans="1:12" outlineLevel="1" x14ac:dyDescent="0.2">
      <c r="A375" s="12">
        <f t="shared" si="59"/>
        <v>3642</v>
      </c>
      <c r="B375" s="13" t="str">
        <f t="shared" si="59"/>
        <v>TSU</v>
      </c>
      <c r="C375" s="50"/>
      <c r="D375" s="15">
        <v>721</v>
      </c>
      <c r="E375" s="51">
        <v>0.14099999999999999</v>
      </c>
      <c r="F375" s="16">
        <v>5767.1333333333332</v>
      </c>
      <c r="G375" s="18">
        <v>635</v>
      </c>
      <c r="H375" s="15">
        <v>1692</v>
      </c>
      <c r="I375" s="16">
        <v>1275</v>
      </c>
      <c r="J375" s="17">
        <v>871</v>
      </c>
    </row>
    <row r="376" spans="1:12" outlineLevel="1" x14ac:dyDescent="0.2">
      <c r="A376" s="12">
        <f t="shared" si="59"/>
        <v>3644</v>
      </c>
      <c r="B376" s="13" t="str">
        <f t="shared" si="59"/>
        <v>TTU</v>
      </c>
      <c r="C376" s="50"/>
      <c r="D376" s="15">
        <v>4605</v>
      </c>
      <c r="E376" s="51">
        <v>0.7320000000000001</v>
      </c>
      <c r="F376" s="16">
        <v>22627.599999999999</v>
      </c>
      <c r="G376" s="18">
        <v>2724</v>
      </c>
      <c r="H376" s="15">
        <v>6573</v>
      </c>
      <c r="I376" s="16">
        <v>5356</v>
      </c>
      <c r="J376" s="17">
        <v>3958</v>
      </c>
    </row>
    <row r="377" spans="1:12" outlineLevel="1" x14ac:dyDescent="0.2">
      <c r="A377" s="12">
        <f t="shared" si="59"/>
        <v>3541</v>
      </c>
      <c r="B377" s="13" t="str">
        <f t="shared" si="59"/>
        <v>Angelo</v>
      </c>
      <c r="C377" s="50"/>
      <c r="D377" s="15">
        <v>960</v>
      </c>
      <c r="E377" s="51">
        <v>0.441</v>
      </c>
      <c r="F377" s="16">
        <v>4921.333333333333</v>
      </c>
      <c r="G377" s="18">
        <v>720</v>
      </c>
      <c r="H377" s="15">
        <v>1445</v>
      </c>
      <c r="I377" s="16">
        <v>1070</v>
      </c>
      <c r="J377" s="17">
        <v>707</v>
      </c>
    </row>
    <row r="378" spans="1:12" outlineLevel="1" x14ac:dyDescent="0.2">
      <c r="A378" s="12">
        <f t="shared" ref="A378:B383" si="60">A336</f>
        <v>3646</v>
      </c>
      <c r="B378" s="13" t="str">
        <f t="shared" si="60"/>
        <v>TWU</v>
      </c>
      <c r="C378" s="50"/>
      <c r="D378" s="15">
        <v>1725</v>
      </c>
      <c r="E378" s="51">
        <v>0.48399999999999999</v>
      </c>
      <c r="F378" s="16">
        <v>6999.5333333333338</v>
      </c>
      <c r="G378" s="18">
        <v>1201</v>
      </c>
      <c r="H378" s="15">
        <v>2122</v>
      </c>
      <c r="I378" s="16">
        <v>1260</v>
      </c>
      <c r="J378" s="17">
        <v>607</v>
      </c>
    </row>
    <row r="379" spans="1:12" outlineLevel="1" x14ac:dyDescent="0.2">
      <c r="A379" s="12">
        <f t="shared" si="60"/>
        <v>3581</v>
      </c>
      <c r="B379" s="13" t="str">
        <f t="shared" si="60"/>
        <v>Lamar</v>
      </c>
      <c r="C379" s="50"/>
      <c r="D379" s="15">
        <v>1340</v>
      </c>
      <c r="E379" s="51">
        <v>0.35399999999999998</v>
      </c>
      <c r="F379" s="16">
        <v>7404.4666666666662</v>
      </c>
      <c r="G379" s="18">
        <v>943</v>
      </c>
      <c r="H379" s="15">
        <v>2318</v>
      </c>
      <c r="I379" s="16">
        <v>1578</v>
      </c>
      <c r="J379" s="17">
        <v>1000</v>
      </c>
    </row>
    <row r="380" spans="1:12" outlineLevel="1" x14ac:dyDescent="0.2">
      <c r="A380" s="12">
        <f t="shared" si="60"/>
        <v>3606</v>
      </c>
      <c r="B380" s="13" t="str">
        <f t="shared" si="60"/>
        <v>SHSU</v>
      </c>
      <c r="C380" s="50"/>
      <c r="D380" s="15">
        <v>3013</v>
      </c>
      <c r="E380" s="51">
        <v>0.60299999999999998</v>
      </c>
      <c r="F380" s="16">
        <v>12574.466666666667</v>
      </c>
      <c r="G380" s="18">
        <v>2160</v>
      </c>
      <c r="H380" s="15">
        <v>3940</v>
      </c>
      <c r="I380" s="16">
        <v>2972</v>
      </c>
      <c r="J380" s="17">
        <v>1715</v>
      </c>
    </row>
    <row r="381" spans="1:12" outlineLevel="1" x14ac:dyDescent="0.2">
      <c r="A381" s="12">
        <f t="shared" si="60"/>
        <v>3615</v>
      </c>
      <c r="B381" s="13" t="str">
        <f t="shared" si="60"/>
        <v>TXST</v>
      </c>
      <c r="C381" s="50"/>
      <c r="D381" s="15">
        <v>5349</v>
      </c>
      <c r="E381" s="51">
        <v>0.6409999999999999</v>
      </c>
      <c r="F381" s="16">
        <v>24028</v>
      </c>
      <c r="G381" s="18">
        <v>3665</v>
      </c>
      <c r="H381" s="15">
        <v>7680</v>
      </c>
      <c r="I381" s="16">
        <v>5747</v>
      </c>
      <c r="J381" s="17">
        <v>3321</v>
      </c>
    </row>
    <row r="382" spans="1:12" outlineLevel="1" x14ac:dyDescent="0.2">
      <c r="A382" s="12">
        <f t="shared" si="60"/>
        <v>3625</v>
      </c>
      <c r="B382" s="13" t="str">
        <f t="shared" si="60"/>
        <v>SRSU</v>
      </c>
      <c r="C382" s="50"/>
      <c r="D382" s="15">
        <v>196</v>
      </c>
      <c r="E382" s="51">
        <v>0.29199999999999998</v>
      </c>
      <c r="F382" s="16">
        <v>1229</v>
      </c>
      <c r="G382" s="18">
        <v>166</v>
      </c>
      <c r="H382" s="15">
        <v>298</v>
      </c>
      <c r="I382" s="16">
        <v>216</v>
      </c>
      <c r="J382" s="17">
        <v>136</v>
      </c>
    </row>
    <row r="383" spans="1:12" outlineLevel="1" x14ac:dyDescent="0.2">
      <c r="A383" s="12">
        <f t="shared" si="60"/>
        <v>20</v>
      </c>
      <c r="B383" s="13" t="str">
        <f t="shared" si="60"/>
        <v>SRRG</v>
      </c>
      <c r="C383" s="50"/>
      <c r="D383" s="15">
        <v>163</v>
      </c>
      <c r="E383" s="60">
        <v>0.33750000000000002</v>
      </c>
      <c r="F383" s="16">
        <v>436.8</v>
      </c>
      <c r="G383" s="18">
        <v>145</v>
      </c>
      <c r="H383" s="15">
        <v>224</v>
      </c>
      <c r="I383" s="16">
        <v>98</v>
      </c>
      <c r="J383" s="17">
        <v>2</v>
      </c>
    </row>
    <row r="384" spans="1:12" ht="13.5" outlineLevel="1" thickBot="1" x14ac:dyDescent="0.25">
      <c r="A384" s="21"/>
      <c r="B384" s="22" t="s">
        <v>48</v>
      </c>
      <c r="C384" s="52"/>
      <c r="D384" s="36">
        <f>SUM(D346:D383)</f>
        <v>84231</v>
      </c>
      <c r="E384" s="53">
        <v>0.58399999999999996</v>
      </c>
      <c r="F384" s="37">
        <f t="shared" ref="F384:J384" si="61">SUM(F346:F383)</f>
        <v>359610.06666666665</v>
      </c>
      <c r="G384" s="40">
        <f t="shared" si="61"/>
        <v>54384</v>
      </c>
      <c r="H384" s="39">
        <f t="shared" si="61"/>
        <v>116126</v>
      </c>
      <c r="I384" s="41">
        <f t="shared" si="61"/>
        <v>83996</v>
      </c>
      <c r="J384" s="38">
        <f t="shared" si="61"/>
        <v>51310</v>
      </c>
      <c r="L384" s="66"/>
    </row>
    <row r="385" spans="1:12" x14ac:dyDescent="0.2">
      <c r="L385" s="66"/>
    </row>
    <row r="387" spans="1:12" x14ac:dyDescent="0.2">
      <c r="A387" s="2" t="s">
        <v>59</v>
      </c>
    </row>
    <row r="388" spans="1:12" x14ac:dyDescent="0.2">
      <c r="A388" s="2" t="s">
        <v>60</v>
      </c>
    </row>
    <row r="389" spans="1:12" x14ac:dyDescent="0.2">
      <c r="A389" s="2" t="s">
        <v>61</v>
      </c>
    </row>
    <row r="390" spans="1:12" x14ac:dyDescent="0.2">
      <c r="A390" s="2" t="s">
        <v>62</v>
      </c>
    </row>
    <row r="391" spans="1:12" x14ac:dyDescent="0.2">
      <c r="A391" s="2" t="s">
        <v>63</v>
      </c>
    </row>
    <row r="392" spans="1:12" x14ac:dyDescent="0.2">
      <c r="A392" s="2" t="s">
        <v>64</v>
      </c>
    </row>
    <row r="393" spans="1:12" x14ac:dyDescent="0.2">
      <c r="A393" s="2" t="s">
        <v>65</v>
      </c>
    </row>
    <row r="394" spans="1:12" x14ac:dyDescent="0.2">
      <c r="A394" s="2" t="s">
        <v>66</v>
      </c>
    </row>
  </sheetData>
  <mergeCells count="68">
    <mergeCell ref="A2:J2"/>
    <mergeCell ref="A4:A5"/>
    <mergeCell ref="B4:B5"/>
    <mergeCell ref="C4:C5"/>
    <mergeCell ref="D4:F4"/>
    <mergeCell ref="G4:G5"/>
    <mergeCell ref="H4:J4"/>
    <mergeCell ref="L4:N4"/>
    <mergeCell ref="A47:A48"/>
    <mergeCell ref="B47:B48"/>
    <mergeCell ref="C47:C48"/>
    <mergeCell ref="D47:F47"/>
    <mergeCell ref="G47:G48"/>
    <mergeCell ref="H47:J47"/>
    <mergeCell ref="K47:K48"/>
    <mergeCell ref="K89:K90"/>
    <mergeCell ref="A130:A131"/>
    <mergeCell ref="B130:B131"/>
    <mergeCell ref="C130:C131"/>
    <mergeCell ref="D130:F130"/>
    <mergeCell ref="G130:G131"/>
    <mergeCell ref="H130:J130"/>
    <mergeCell ref="A89:A90"/>
    <mergeCell ref="B89:B90"/>
    <mergeCell ref="C89:C90"/>
    <mergeCell ref="D89:F89"/>
    <mergeCell ref="G89:G90"/>
    <mergeCell ref="H89:J89"/>
    <mergeCell ref="K175:K176"/>
    <mergeCell ref="A177:C177"/>
    <mergeCell ref="A218:A219"/>
    <mergeCell ref="B218:B219"/>
    <mergeCell ref="C218:C219"/>
    <mergeCell ref="D218:D219"/>
    <mergeCell ref="E218:E219"/>
    <mergeCell ref="F218:F219"/>
    <mergeCell ref="G218:G219"/>
    <mergeCell ref="H218:J218"/>
    <mergeCell ref="A175:A176"/>
    <mergeCell ref="B175:B176"/>
    <mergeCell ref="C175:C176"/>
    <mergeCell ref="D175:F175"/>
    <mergeCell ref="G175:G176"/>
    <mergeCell ref="H175:J175"/>
    <mergeCell ref="G260:G261"/>
    <mergeCell ref="H260:J260"/>
    <mergeCell ref="A302:A303"/>
    <mergeCell ref="B302:B303"/>
    <mergeCell ref="C302:C303"/>
    <mergeCell ref="D302:D303"/>
    <mergeCell ref="E302:E303"/>
    <mergeCell ref="F302:F303"/>
    <mergeCell ref="G302:G303"/>
    <mergeCell ref="H302:J302"/>
    <mergeCell ref="A260:A261"/>
    <mergeCell ref="B260:B261"/>
    <mergeCell ref="C260:C261"/>
    <mergeCell ref="D260:D261"/>
    <mergeCell ref="E260:E261"/>
    <mergeCell ref="F260:F261"/>
    <mergeCell ref="G344:G345"/>
    <mergeCell ref="H344:J344"/>
    <mergeCell ref="A344:A345"/>
    <mergeCell ref="B344:B345"/>
    <mergeCell ref="C344:C345"/>
    <mergeCell ref="D344:D345"/>
    <mergeCell ref="E344:E345"/>
    <mergeCell ref="F344:F345"/>
  </mergeCells>
  <conditionalFormatting sqref="Q6:Q43">
    <cfRule type="top10" dxfId="12" priority="3" bottom="1" rank="5"/>
    <cfRule type="top10" dxfId="11" priority="4" rank="5"/>
  </conditionalFormatting>
  <conditionalFormatting sqref="R6:R43">
    <cfRule type="top10" dxfId="10" priority="1" bottom="1" rank="5"/>
    <cfRule type="top10" dxfId="9" priority="2" rank="5"/>
  </conditionalFormatting>
  <conditionalFormatting sqref="D129:J129">
    <cfRule type="colorScale" priority="5">
      <colorScale>
        <cfvo type="min"/>
        <cfvo type="max"/>
        <color theme="6" tint="0.79998168889431442"/>
        <color theme="6" tint="-0.499984740745262"/>
      </colorScale>
    </cfRule>
  </conditionalFormatting>
  <conditionalFormatting sqref="D91:J128">
    <cfRule type="cellIs" dxfId="8" priority="6" operator="equal">
      <formula>$D$172</formula>
    </cfRule>
    <cfRule type="cellIs" dxfId="7" priority="7" operator="equal">
      <formula>$E$172</formula>
    </cfRule>
    <cfRule type="cellIs" dxfId="6" priority="8" operator="equal">
      <formula>$F$172</formula>
    </cfRule>
    <cfRule type="cellIs" dxfId="5" priority="9" operator="equal">
      <formula>#REF!</formula>
    </cfRule>
    <cfRule type="cellIs" dxfId="4" priority="10" operator="equal">
      <formula>$G$172</formula>
    </cfRule>
    <cfRule type="cellIs" dxfId="3" priority="11" operator="equal">
      <formula>$H$172</formula>
    </cfRule>
    <cfRule type="cellIs" dxfId="2" priority="12" operator="equal">
      <formula>$I$172</formula>
    </cfRule>
    <cfRule type="cellIs" dxfId="1" priority="13" operator="equal">
      <formula>$J$172</formula>
    </cfRule>
    <cfRule type="cellIs" dxfId="0" priority="14" operator="equal">
      <formula>#REF!</formula>
    </cfRule>
  </conditionalFormatting>
  <pageMargins left="0.25" right="0.25" top="0.5" bottom="0.25" header="0.3" footer="0.3"/>
  <pageSetup scale="65" orientation="landscape" r:id="rId1"/>
  <rowBreaks count="9" manualBreakCount="9">
    <brk id="45" max="16383" man="1"/>
    <brk id="87" max="16383" man="1"/>
    <brk id="128" max="16383" man="1"/>
    <brk id="173" max="16383" man="1"/>
    <brk id="216" max="16383" man="1"/>
    <brk id="258" max="16383" man="1"/>
    <brk id="300" max="16383" man="1"/>
    <brk id="342" max="16383" man="1"/>
    <brk id="384"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2016-2017 Proposed</vt:lpstr>
    </vt:vector>
  </TitlesOfParts>
  <Company>THECB</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Turcotte</dc:creator>
  <cp:lastModifiedBy>Paul Turcotte</cp:lastModifiedBy>
  <dcterms:created xsi:type="dcterms:W3CDTF">2014-03-10T21:30:46Z</dcterms:created>
  <dcterms:modified xsi:type="dcterms:W3CDTF">2014-03-10T21:46:35Z</dcterms:modified>
</cp:coreProperties>
</file>