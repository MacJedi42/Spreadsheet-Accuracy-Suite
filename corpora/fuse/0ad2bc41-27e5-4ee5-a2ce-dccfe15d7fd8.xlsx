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480" yWindow="120" windowWidth="12120" windowHeight="9120"/>
  </bookViews>
  <sheets>
    <sheet name="Grade Enrollment Summary" sheetId="1" r:id="rId1"/>
    <sheet name="Sheet3" sheetId="3" r:id="rId2"/>
  </sheets>
  <calcPr calcId="125725"/>
</workbook>
</file>

<file path=xl/calcChain.xml><?xml version="1.0" encoding="utf-8"?>
<calcChain xmlns="http://schemas.openxmlformats.org/spreadsheetml/2006/main">
  <c r="C132" i="1"/>
  <c r="C131"/>
  <c r="D131"/>
  <c r="D132" s="1"/>
  <c r="A131"/>
  <c r="C130"/>
  <c r="D130"/>
  <c r="E130"/>
  <c r="F130"/>
  <c r="G130"/>
  <c r="H130"/>
  <c r="I130"/>
  <c r="J130"/>
  <c r="K130"/>
  <c r="L130"/>
  <c r="M130"/>
  <c r="N130"/>
  <c r="O130"/>
  <c r="B47"/>
  <c r="B130" s="1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B78"/>
  <c r="B79"/>
  <c r="B80"/>
  <c r="B81"/>
  <c r="B82"/>
  <c r="B83"/>
  <c r="B84"/>
  <c r="B85"/>
  <c r="B86"/>
  <c r="B87"/>
  <c r="B88"/>
  <c r="B89"/>
  <c r="B90"/>
  <c r="B91"/>
  <c r="B92"/>
  <c r="B93"/>
  <c r="B94"/>
  <c r="B95"/>
  <c r="B96"/>
  <c r="B97"/>
  <c r="B98"/>
  <c r="B99"/>
  <c r="B100"/>
  <c r="B101"/>
  <c r="B102"/>
  <c r="B103"/>
  <c r="B104"/>
  <c r="B105"/>
  <c r="B106"/>
  <c r="B107"/>
  <c r="B108"/>
  <c r="B109"/>
  <c r="B110"/>
  <c r="B111"/>
  <c r="B112"/>
  <c r="B113"/>
  <c r="B114"/>
  <c r="B115"/>
  <c r="B116"/>
  <c r="B117"/>
  <c r="B118"/>
  <c r="B119"/>
  <c r="B120"/>
  <c r="B121"/>
  <c r="B122"/>
  <c r="B123"/>
  <c r="B124"/>
  <c r="B125"/>
  <c r="B126"/>
  <c r="B127"/>
  <c r="B128"/>
  <c r="B129"/>
  <c r="B46"/>
  <c r="B3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2"/>
  <c r="B43" s="1"/>
  <c r="B131" s="1"/>
  <c r="E43"/>
  <c r="E131" s="1"/>
  <c r="E132" s="1"/>
  <c r="F43"/>
  <c r="F131" s="1"/>
  <c r="F132" s="1"/>
  <c r="G43"/>
  <c r="G131" s="1"/>
  <c r="G132" s="1"/>
  <c r="H43"/>
  <c r="H131" s="1"/>
  <c r="H132" s="1"/>
  <c r="I43"/>
  <c r="I131" s="1"/>
  <c r="I132" s="1"/>
  <c r="J43"/>
  <c r="J131" s="1"/>
  <c r="K43"/>
  <c r="K131" s="1"/>
  <c r="K132" s="1"/>
  <c r="L43"/>
  <c r="L131" s="1"/>
  <c r="L132" s="1"/>
  <c r="M43"/>
  <c r="M131" s="1"/>
  <c r="M132" s="1"/>
  <c r="N43"/>
  <c r="N131" s="1"/>
  <c r="N132" s="1"/>
  <c r="O43"/>
  <c r="O131" s="1"/>
  <c r="O132" s="1"/>
  <c r="D43"/>
  <c r="C43"/>
  <c r="B132" l="1"/>
  <c r="J132"/>
</calcChain>
</file>

<file path=xl/sharedStrings.xml><?xml version="1.0" encoding="utf-8"?>
<sst xmlns="http://schemas.openxmlformats.org/spreadsheetml/2006/main" count="133" uniqueCount="132">
  <si>
    <t>Total K-12</t>
  </si>
  <si>
    <t>K</t>
  </si>
  <si>
    <t>District</t>
  </si>
  <si>
    <t>District Total</t>
  </si>
  <si>
    <t>Charter</t>
  </si>
  <si>
    <t>Alpine District</t>
  </si>
  <si>
    <t>Beaver District</t>
  </si>
  <si>
    <t>Box Elder District</t>
  </si>
  <si>
    <t>Cache District</t>
  </si>
  <si>
    <t>Canyons District</t>
  </si>
  <si>
    <t>Carbon District</t>
  </si>
  <si>
    <t>Daggett District</t>
  </si>
  <si>
    <t>Davis District</t>
  </si>
  <si>
    <t>Duchesne District</t>
  </si>
  <si>
    <t>Emery District</t>
  </si>
  <si>
    <t>Garfield District</t>
  </si>
  <si>
    <t>Grand District</t>
  </si>
  <si>
    <t>Granite District</t>
  </si>
  <si>
    <t>Iron District</t>
  </si>
  <si>
    <t>Jordan District</t>
  </si>
  <si>
    <t>Juab District</t>
  </si>
  <si>
    <t>Kane District</t>
  </si>
  <si>
    <t>Logan City District</t>
  </si>
  <si>
    <t>Millard District</t>
  </si>
  <si>
    <t>Morgan District</t>
  </si>
  <si>
    <t>Murray District</t>
  </si>
  <si>
    <t>Nebo District</t>
  </si>
  <si>
    <t>North Sanpete District</t>
  </si>
  <si>
    <t>North Summit District</t>
  </si>
  <si>
    <t>Ogden City District</t>
  </si>
  <si>
    <t>Park City District</t>
  </si>
  <si>
    <t>Piute District</t>
  </si>
  <si>
    <t>Provo District</t>
  </si>
  <si>
    <t>Rich District</t>
  </si>
  <si>
    <t>Salt Lake District</t>
  </si>
  <si>
    <t>San Juan District</t>
  </si>
  <si>
    <t>Sevier District</t>
  </si>
  <si>
    <t>South Sanpete District</t>
  </si>
  <si>
    <t>South Summit District</t>
  </si>
  <si>
    <t>Tintic District</t>
  </si>
  <si>
    <t>Tooele District</t>
  </si>
  <si>
    <t>Uintah District</t>
  </si>
  <si>
    <t>Wasatch District</t>
  </si>
  <si>
    <t>Washington District</t>
  </si>
  <si>
    <t>Wayne District</t>
  </si>
  <si>
    <t>Weber District</t>
  </si>
  <si>
    <t>Alianza Academy</t>
  </si>
  <si>
    <t>American Leadership Academy</t>
  </si>
  <si>
    <t>Aristotle Academy</t>
  </si>
  <si>
    <t>Bear River Charter School</t>
  </si>
  <si>
    <t>Canyon Rim Academy</t>
  </si>
  <si>
    <t>Channing Hall</t>
  </si>
  <si>
    <t>City Academy</t>
  </si>
  <si>
    <t>Dual Immersion Academy</t>
  </si>
  <si>
    <t>East Hollywood High</t>
  </si>
  <si>
    <t>Edith Bowen Laboratory School</t>
  </si>
  <si>
    <t>Endeavor Hall</t>
  </si>
  <si>
    <t>Entheos Academy</t>
  </si>
  <si>
    <t>Excelsior Academy</t>
  </si>
  <si>
    <t>Fast Forward High</t>
  </si>
  <si>
    <t>Freedom Academy</t>
  </si>
  <si>
    <t>Gateway Preparatory Academy</t>
  </si>
  <si>
    <t>George Washington Academy</t>
  </si>
  <si>
    <t>Good Foundation Academy</t>
  </si>
  <si>
    <t>Guadalupe School</t>
  </si>
  <si>
    <t>Hawthorn Academy</t>
  </si>
  <si>
    <t>Highmark Charter School</t>
  </si>
  <si>
    <t>Intech Collegiate High School</t>
  </si>
  <si>
    <t>Itineris Early College High</t>
  </si>
  <si>
    <t>John Hancock Charter School</t>
  </si>
  <si>
    <t>Lakeview Academy</t>
  </si>
  <si>
    <t>Legacy Preparatory Academy</t>
  </si>
  <si>
    <t>Liberty Academy</t>
  </si>
  <si>
    <t>Lincoln Academy</t>
  </si>
  <si>
    <t>Maria Montessori Academy</t>
  </si>
  <si>
    <t>Merit College Preparatory Academy</t>
  </si>
  <si>
    <t>Moab Charter School</t>
  </si>
  <si>
    <t>Monticello Academy</t>
  </si>
  <si>
    <t>Mountainville Academy</t>
  </si>
  <si>
    <t>Navigator Pointe Academy</t>
  </si>
  <si>
    <t>Noah Webster Academy</t>
  </si>
  <si>
    <t>North Davis Preparatory Academy</t>
  </si>
  <si>
    <t>North Star Academy</t>
  </si>
  <si>
    <t>Odyssey Charter School</t>
  </si>
  <si>
    <t>Ogden Preparatory Academy</t>
  </si>
  <si>
    <t>Open Classroom</t>
  </si>
  <si>
    <t>Oquirrh Mountain Charter School</t>
  </si>
  <si>
    <t>Pacific Heritage Academy</t>
  </si>
  <si>
    <t>Paradigm High School</t>
  </si>
  <si>
    <t>Pinnacle Canyon Academy</t>
  </si>
  <si>
    <t>Providence Hall</t>
  </si>
  <si>
    <t>Quail Run Primary School</t>
  </si>
  <si>
    <t>Quest Academy</t>
  </si>
  <si>
    <t>Ranches Academy</t>
  </si>
  <si>
    <t>Reagan Academy</t>
  </si>
  <si>
    <t>Renaissance Academy</t>
  </si>
  <si>
    <t>Rockwell Charter High School</t>
  </si>
  <si>
    <t>Salt Lake Arts Academy</t>
  </si>
  <si>
    <t>Soldier Hollow Charter School</t>
  </si>
  <si>
    <t>Spectrum Academy</t>
  </si>
  <si>
    <t>Success Academy</t>
  </si>
  <si>
    <t>Summit Academy</t>
  </si>
  <si>
    <t>Summit Academy High School</t>
  </si>
  <si>
    <t>Syracuse Arts Academy</t>
  </si>
  <si>
    <t>Timpanogos Academy</t>
  </si>
  <si>
    <t>Uintah River High</t>
  </si>
  <si>
    <t>Utah Connections Academy</t>
  </si>
  <si>
    <t>Utah Virtual Academy</t>
  </si>
  <si>
    <t>Valley Academy</t>
  </si>
  <si>
    <t>Venture Academy</t>
  </si>
  <si>
    <t>Wasatch Peak Academy</t>
  </si>
  <si>
    <t>Weilenmann School Of Discovery</t>
  </si>
  <si>
    <t>Charter School Total</t>
  </si>
  <si>
    <t>Total</t>
  </si>
  <si>
    <t>Walden School of Liberal Arts</t>
  </si>
  <si>
    <t>Vista at Entrada School of Performing Arts and Tech.</t>
  </si>
  <si>
    <t>Utah County Academy of Science (UCAS)</t>
  </si>
  <si>
    <t>Tuacahn High School for the Performing Arts</t>
  </si>
  <si>
    <t>Thomas Edison - LEA</t>
  </si>
  <si>
    <t>Salt Lake School for the Performing Arts</t>
  </si>
  <si>
    <t>Salt Lake Center for Science Education</t>
  </si>
  <si>
    <t>Promontory School of Expeditionary Learning</t>
  </si>
  <si>
    <t>Pioneer High School for the Performing Arts</t>
  </si>
  <si>
    <t>Open High School of Utah</t>
  </si>
  <si>
    <t>No. Ut Acad. for Math, Engineering &amp; Sci. (NUAMES)</t>
  </si>
  <si>
    <t>Karl G. Maeser Preparatory Academy</t>
  </si>
  <si>
    <t>Early Light Academy at Daybreak</t>
  </si>
  <si>
    <t>C.S. Lewis Academy</t>
  </si>
  <si>
    <t>DaVinci Academy</t>
  </si>
  <si>
    <t>Beehive Science &amp; Technology Academy (BSTA)</t>
  </si>
  <si>
    <t>Academy For Math Engineering &amp; Science (AMES)</t>
  </si>
  <si>
    <t>American Preparatory Academy--LEA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</si>
</sst>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7" xfId="0" applyFont="1" applyFill="1" applyBorder="1" applyAlignment="1">
      <alignment vertical="center"/>
    </xf>
    <xf numFmtId="0" fontId="3" fillId="0" borderId="8" xfId="0" applyFont="1" applyFill="1" applyBorder="1" applyAlignment="1">
      <alignment vertical="center"/>
    </xf>
    <xf numFmtId="0" fontId="2" fillId="0" borderId="0" xfId="0" applyFont="1" applyFill="1" applyBorder="1"/>
    <xf numFmtId="0" fontId="3" fillId="0" borderId="9" xfId="0" applyFont="1" applyFill="1" applyBorder="1" applyAlignment="1">
      <alignment vertical="center"/>
    </xf>
    <xf numFmtId="164" fontId="2" fillId="0" borderId="0" xfId="1" applyNumberFormat="1" applyFont="1" applyFill="1" applyBorder="1"/>
    <xf numFmtId="164" fontId="4" fillId="0" borderId="10" xfId="1" applyNumberFormat="1" applyFont="1" applyFill="1" applyBorder="1" applyAlignment="1">
      <alignment vertical="center"/>
    </xf>
    <xf numFmtId="164" fontId="4" fillId="0" borderId="11" xfId="1" applyNumberFormat="1" applyFont="1" applyFill="1" applyBorder="1" applyAlignment="1">
      <alignment vertical="center"/>
    </xf>
    <xf numFmtId="164" fontId="4" fillId="0" borderId="12" xfId="1" applyNumberFormat="1" applyFont="1" applyFill="1" applyBorder="1" applyAlignment="1">
      <alignment vertical="center"/>
    </xf>
    <xf numFmtId="164" fontId="3" fillId="0" borderId="13" xfId="1" applyNumberFormat="1" applyFont="1" applyFill="1" applyBorder="1" applyAlignment="1">
      <alignment vertical="center"/>
    </xf>
    <xf numFmtId="164" fontId="4" fillId="0" borderId="14" xfId="1" applyNumberFormat="1" applyFont="1" applyFill="1" applyBorder="1" applyAlignment="1">
      <alignment vertical="center"/>
    </xf>
    <xf numFmtId="164" fontId="4" fillId="0" borderId="15" xfId="1" applyNumberFormat="1" applyFont="1" applyFill="1" applyBorder="1" applyAlignment="1">
      <alignment vertical="center"/>
    </xf>
    <xf numFmtId="164" fontId="4" fillId="0" borderId="16" xfId="1" applyNumberFormat="1" applyFont="1" applyFill="1" applyBorder="1" applyAlignment="1">
      <alignment vertical="center"/>
    </xf>
    <xf numFmtId="164" fontId="3" fillId="0" borderId="17" xfId="1" applyNumberFormat="1" applyFont="1" applyFill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32"/>
  <sheetViews>
    <sheetView tabSelected="1" view="pageLayout" topLeftCell="A45" zoomScaleNormal="100" workbookViewId="0">
      <selection activeCell="A49" sqref="A49"/>
    </sheetView>
  </sheetViews>
  <sheetFormatPr defaultRowHeight="15"/>
  <cols>
    <col min="1" max="1" width="36.28515625" customWidth="1"/>
    <col min="2" max="2" width="9" bestFit="1" customWidth="1"/>
    <col min="3" max="15" width="6.5703125" customWidth="1"/>
  </cols>
  <sheetData>
    <row r="1" spans="1:15" ht="21" customHeight="1">
      <c r="A1" s="1" t="s">
        <v>2</v>
      </c>
      <c r="B1" s="4" t="s">
        <v>0</v>
      </c>
      <c r="C1" s="2" t="s">
        <v>1</v>
      </c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3">
        <v>12</v>
      </c>
    </row>
    <row r="2" spans="1:15" ht="11.25" customHeight="1">
      <c r="A2" s="5" t="s">
        <v>5</v>
      </c>
      <c r="B2" s="12">
        <f>SUM(C2:O2)</f>
        <v>70811</v>
      </c>
      <c r="C2" s="12">
        <v>6095</v>
      </c>
      <c r="D2" s="12">
        <v>5984</v>
      </c>
      <c r="E2" s="12">
        <v>5800</v>
      </c>
      <c r="F2" s="12">
        <v>5824</v>
      </c>
      <c r="G2" s="12">
        <v>5762</v>
      </c>
      <c r="H2" s="12">
        <v>5427</v>
      </c>
      <c r="I2" s="12">
        <v>5507</v>
      </c>
      <c r="J2" s="12">
        <v>5383</v>
      </c>
      <c r="K2" s="12">
        <v>5429</v>
      </c>
      <c r="L2" s="12">
        <v>5088</v>
      </c>
      <c r="M2" s="12">
        <v>4949</v>
      </c>
      <c r="N2" s="12">
        <v>4733</v>
      </c>
      <c r="O2" s="16">
        <v>4830</v>
      </c>
    </row>
    <row r="3" spans="1:15" ht="11.25" customHeight="1">
      <c r="A3" s="6" t="s">
        <v>6</v>
      </c>
      <c r="B3" s="13">
        <f t="shared" ref="B3:B42" si="0">SUM(C3:O3)</f>
        <v>1544</v>
      </c>
      <c r="C3" s="13">
        <v>106</v>
      </c>
      <c r="D3" s="13">
        <v>107</v>
      </c>
      <c r="E3" s="13">
        <v>129</v>
      </c>
      <c r="F3" s="13">
        <v>127</v>
      </c>
      <c r="G3" s="13">
        <v>136</v>
      </c>
      <c r="H3" s="13">
        <v>111</v>
      </c>
      <c r="I3" s="13">
        <v>106</v>
      </c>
      <c r="J3" s="13">
        <v>132</v>
      </c>
      <c r="K3" s="13">
        <v>113</v>
      </c>
      <c r="L3" s="13">
        <v>131</v>
      </c>
      <c r="M3" s="13">
        <v>125</v>
      </c>
      <c r="N3" s="13">
        <v>118</v>
      </c>
      <c r="O3" s="17">
        <v>103</v>
      </c>
    </row>
    <row r="4" spans="1:15" ht="11.25" customHeight="1">
      <c r="A4" s="6" t="s">
        <v>7</v>
      </c>
      <c r="B4" s="13">
        <f t="shared" si="0"/>
        <v>11001</v>
      </c>
      <c r="C4" s="13">
        <v>900</v>
      </c>
      <c r="D4" s="13">
        <v>922</v>
      </c>
      <c r="E4" s="13">
        <v>843</v>
      </c>
      <c r="F4" s="13">
        <v>877</v>
      </c>
      <c r="G4" s="13">
        <v>862</v>
      </c>
      <c r="H4" s="13">
        <v>817</v>
      </c>
      <c r="I4" s="13">
        <v>845</v>
      </c>
      <c r="J4" s="13">
        <v>807</v>
      </c>
      <c r="K4" s="13">
        <v>860</v>
      </c>
      <c r="L4" s="13">
        <v>831</v>
      </c>
      <c r="M4" s="13">
        <v>841</v>
      </c>
      <c r="N4" s="13">
        <v>810</v>
      </c>
      <c r="O4" s="17">
        <v>786</v>
      </c>
    </row>
    <row r="5" spans="1:15" ht="11.25" customHeight="1">
      <c r="A5" s="6" t="s">
        <v>8</v>
      </c>
      <c r="B5" s="13">
        <f t="shared" si="0"/>
        <v>15890</v>
      </c>
      <c r="C5" s="13">
        <v>1265</v>
      </c>
      <c r="D5" s="13">
        <v>1280</v>
      </c>
      <c r="E5" s="13">
        <v>1239</v>
      </c>
      <c r="F5" s="13">
        <v>1362</v>
      </c>
      <c r="G5" s="13">
        <v>1221</v>
      </c>
      <c r="H5" s="13">
        <v>1293</v>
      </c>
      <c r="I5" s="13">
        <v>1196</v>
      </c>
      <c r="J5" s="13">
        <v>1283</v>
      </c>
      <c r="K5" s="13">
        <v>1165</v>
      </c>
      <c r="L5" s="13">
        <v>1180</v>
      </c>
      <c r="M5" s="13">
        <v>1175</v>
      </c>
      <c r="N5" s="13">
        <v>1113</v>
      </c>
      <c r="O5" s="17">
        <v>1118</v>
      </c>
    </row>
    <row r="6" spans="1:15" ht="11.25" customHeight="1">
      <c r="A6" s="7" t="s">
        <v>9</v>
      </c>
      <c r="B6" s="14">
        <f t="shared" si="0"/>
        <v>33528</v>
      </c>
      <c r="C6" s="14">
        <v>2548</v>
      </c>
      <c r="D6" s="14">
        <v>2632</v>
      </c>
      <c r="E6" s="14">
        <v>2608</v>
      </c>
      <c r="F6" s="14">
        <v>2672</v>
      </c>
      <c r="G6" s="14">
        <v>2606</v>
      </c>
      <c r="H6" s="14">
        <v>2665</v>
      </c>
      <c r="I6" s="14">
        <v>2602</v>
      </c>
      <c r="J6" s="14">
        <v>2601</v>
      </c>
      <c r="K6" s="14">
        <v>2453</v>
      </c>
      <c r="L6" s="14">
        <v>2459</v>
      </c>
      <c r="M6" s="14">
        <v>2621</v>
      </c>
      <c r="N6" s="14">
        <v>2439</v>
      </c>
      <c r="O6" s="18">
        <v>2622</v>
      </c>
    </row>
    <row r="7" spans="1:15" ht="11.25" customHeight="1">
      <c r="A7" s="6" t="s">
        <v>10</v>
      </c>
      <c r="B7" s="13">
        <f t="shared" si="0"/>
        <v>3435</v>
      </c>
      <c r="C7" s="13">
        <v>367</v>
      </c>
      <c r="D7" s="13">
        <v>268</v>
      </c>
      <c r="E7" s="13">
        <v>275</v>
      </c>
      <c r="F7" s="13">
        <v>318</v>
      </c>
      <c r="G7" s="13">
        <v>265</v>
      </c>
      <c r="H7" s="13">
        <v>272</v>
      </c>
      <c r="I7" s="13">
        <v>267</v>
      </c>
      <c r="J7" s="13">
        <v>255</v>
      </c>
      <c r="K7" s="13">
        <v>247</v>
      </c>
      <c r="L7" s="13">
        <v>214</v>
      </c>
      <c r="M7" s="13">
        <v>238</v>
      </c>
      <c r="N7" s="13">
        <v>209</v>
      </c>
      <c r="O7" s="17">
        <v>240</v>
      </c>
    </row>
    <row r="8" spans="1:15" ht="11.25" customHeight="1">
      <c r="A8" s="6" t="s">
        <v>11</v>
      </c>
      <c r="B8" s="13">
        <f t="shared" si="0"/>
        <v>181</v>
      </c>
      <c r="C8" s="13">
        <v>22</v>
      </c>
      <c r="D8" s="13">
        <v>13</v>
      </c>
      <c r="E8" s="13">
        <v>19</v>
      </c>
      <c r="F8" s="13">
        <v>15</v>
      </c>
      <c r="G8" s="13">
        <v>19</v>
      </c>
      <c r="H8" s="13">
        <v>11</v>
      </c>
      <c r="I8" s="13">
        <v>9</v>
      </c>
      <c r="J8" s="13">
        <v>11</v>
      </c>
      <c r="K8" s="13">
        <v>19</v>
      </c>
      <c r="L8" s="13">
        <v>11</v>
      </c>
      <c r="M8" s="13">
        <v>12</v>
      </c>
      <c r="N8" s="13">
        <v>10</v>
      </c>
      <c r="O8" s="17">
        <v>10</v>
      </c>
    </row>
    <row r="9" spans="1:15" ht="11.25" customHeight="1">
      <c r="A9" s="6" t="s">
        <v>12</v>
      </c>
      <c r="B9" s="13">
        <f t="shared" si="0"/>
        <v>68342</v>
      </c>
      <c r="C9" s="13">
        <v>5660</v>
      </c>
      <c r="D9" s="13">
        <v>5622</v>
      </c>
      <c r="E9" s="13">
        <v>5511</v>
      </c>
      <c r="F9" s="13">
        <v>5568</v>
      </c>
      <c r="G9" s="13">
        <v>5316</v>
      </c>
      <c r="H9" s="13">
        <v>5324</v>
      </c>
      <c r="I9" s="13">
        <v>5235</v>
      </c>
      <c r="J9" s="13">
        <v>5193</v>
      </c>
      <c r="K9" s="13">
        <v>5234</v>
      </c>
      <c r="L9" s="13">
        <v>4978</v>
      </c>
      <c r="M9" s="13">
        <v>4964</v>
      </c>
      <c r="N9" s="13">
        <v>4792</v>
      </c>
      <c r="O9" s="17">
        <v>4945</v>
      </c>
    </row>
    <row r="10" spans="1:15" ht="11.25" customHeight="1">
      <c r="A10" s="6" t="s">
        <v>13</v>
      </c>
      <c r="B10" s="13">
        <f t="shared" si="0"/>
        <v>4829</v>
      </c>
      <c r="C10" s="13">
        <v>443</v>
      </c>
      <c r="D10" s="13">
        <v>425</v>
      </c>
      <c r="E10" s="13">
        <v>382</v>
      </c>
      <c r="F10" s="13">
        <v>396</v>
      </c>
      <c r="G10" s="13">
        <v>382</v>
      </c>
      <c r="H10" s="13">
        <v>371</v>
      </c>
      <c r="I10" s="13">
        <v>389</v>
      </c>
      <c r="J10" s="13">
        <v>372</v>
      </c>
      <c r="K10" s="13">
        <v>401</v>
      </c>
      <c r="L10" s="13">
        <v>356</v>
      </c>
      <c r="M10" s="13">
        <v>312</v>
      </c>
      <c r="N10" s="13">
        <v>317</v>
      </c>
      <c r="O10" s="17">
        <v>283</v>
      </c>
    </row>
    <row r="11" spans="1:15" ht="11.25" customHeight="1">
      <c r="A11" s="6" t="s">
        <v>14</v>
      </c>
      <c r="B11" s="13">
        <f t="shared" si="0"/>
        <v>2311</v>
      </c>
      <c r="C11" s="13">
        <v>200</v>
      </c>
      <c r="D11" s="13">
        <v>195</v>
      </c>
      <c r="E11" s="13">
        <v>180</v>
      </c>
      <c r="F11" s="13">
        <v>177</v>
      </c>
      <c r="G11" s="13">
        <v>210</v>
      </c>
      <c r="H11" s="13">
        <v>181</v>
      </c>
      <c r="I11" s="13">
        <v>176</v>
      </c>
      <c r="J11" s="13">
        <v>162</v>
      </c>
      <c r="K11" s="13">
        <v>169</v>
      </c>
      <c r="L11" s="13">
        <v>179</v>
      </c>
      <c r="M11" s="13">
        <v>175</v>
      </c>
      <c r="N11" s="13">
        <v>143</v>
      </c>
      <c r="O11" s="17">
        <v>164</v>
      </c>
    </row>
    <row r="12" spans="1:15" ht="11.25" customHeight="1">
      <c r="A12" s="5" t="s">
        <v>15</v>
      </c>
      <c r="B12" s="12">
        <f t="shared" si="0"/>
        <v>948</v>
      </c>
      <c r="C12" s="12">
        <v>91</v>
      </c>
      <c r="D12" s="12">
        <v>70</v>
      </c>
      <c r="E12" s="12">
        <v>73</v>
      </c>
      <c r="F12" s="12">
        <v>80</v>
      </c>
      <c r="G12" s="12">
        <v>65</v>
      </c>
      <c r="H12" s="12">
        <v>73</v>
      </c>
      <c r="I12" s="12">
        <v>66</v>
      </c>
      <c r="J12" s="12">
        <v>70</v>
      </c>
      <c r="K12" s="12">
        <v>75</v>
      </c>
      <c r="L12" s="12">
        <v>81</v>
      </c>
      <c r="M12" s="12">
        <v>67</v>
      </c>
      <c r="N12" s="12">
        <v>70</v>
      </c>
      <c r="O12" s="16">
        <v>67</v>
      </c>
    </row>
    <row r="13" spans="1:15" ht="11.25" customHeight="1">
      <c r="A13" s="6" t="s">
        <v>16</v>
      </c>
      <c r="B13" s="13">
        <f t="shared" si="0"/>
        <v>1441</v>
      </c>
      <c r="C13" s="13">
        <v>98</v>
      </c>
      <c r="D13" s="13">
        <v>83</v>
      </c>
      <c r="E13" s="13">
        <v>121</v>
      </c>
      <c r="F13" s="13">
        <v>104</v>
      </c>
      <c r="G13" s="13">
        <v>116</v>
      </c>
      <c r="H13" s="13">
        <v>116</v>
      </c>
      <c r="I13" s="13">
        <v>119</v>
      </c>
      <c r="J13" s="13">
        <v>114</v>
      </c>
      <c r="K13" s="13">
        <v>109</v>
      </c>
      <c r="L13" s="13">
        <v>125</v>
      </c>
      <c r="M13" s="13">
        <v>105</v>
      </c>
      <c r="N13" s="13">
        <v>135</v>
      </c>
      <c r="O13" s="17">
        <v>96</v>
      </c>
    </row>
    <row r="14" spans="1:15" ht="11.25" customHeight="1">
      <c r="A14" s="6" t="s">
        <v>17</v>
      </c>
      <c r="B14" s="13">
        <f t="shared" si="0"/>
        <v>67600</v>
      </c>
      <c r="C14" s="13">
        <v>5714</v>
      </c>
      <c r="D14" s="13">
        <v>5675</v>
      </c>
      <c r="E14" s="13">
        <v>5592</v>
      </c>
      <c r="F14" s="13">
        <v>5414</v>
      </c>
      <c r="G14" s="13">
        <v>5424</v>
      </c>
      <c r="H14" s="13">
        <v>5098</v>
      </c>
      <c r="I14" s="13">
        <v>5215</v>
      </c>
      <c r="J14" s="13">
        <v>5230</v>
      </c>
      <c r="K14" s="13">
        <v>5111</v>
      </c>
      <c r="L14" s="13">
        <v>4946</v>
      </c>
      <c r="M14" s="13">
        <v>4881</v>
      </c>
      <c r="N14" s="13">
        <v>4792</v>
      </c>
      <c r="O14" s="17">
        <v>4508</v>
      </c>
    </row>
    <row r="15" spans="1:15" ht="11.25" customHeight="1">
      <c r="A15" s="6" t="s">
        <v>18</v>
      </c>
      <c r="B15" s="13">
        <f t="shared" si="0"/>
        <v>8519</v>
      </c>
      <c r="C15" s="13">
        <v>727</v>
      </c>
      <c r="D15" s="13">
        <v>715</v>
      </c>
      <c r="E15" s="13">
        <v>701</v>
      </c>
      <c r="F15" s="13">
        <v>677</v>
      </c>
      <c r="G15" s="13">
        <v>666</v>
      </c>
      <c r="H15" s="13">
        <v>665</v>
      </c>
      <c r="I15" s="13">
        <v>615</v>
      </c>
      <c r="J15" s="13">
        <v>670</v>
      </c>
      <c r="K15" s="13">
        <v>680</v>
      </c>
      <c r="L15" s="13">
        <v>643</v>
      </c>
      <c r="M15" s="13">
        <v>576</v>
      </c>
      <c r="N15" s="13">
        <v>601</v>
      </c>
      <c r="O15" s="17">
        <v>583</v>
      </c>
    </row>
    <row r="16" spans="1:15" ht="11.25" customHeight="1">
      <c r="A16" s="7" t="s">
        <v>19</v>
      </c>
      <c r="B16" s="14">
        <f t="shared" si="0"/>
        <v>52043</v>
      </c>
      <c r="C16" s="14">
        <v>4146</v>
      </c>
      <c r="D16" s="14">
        <v>4258</v>
      </c>
      <c r="E16" s="14">
        <v>4132</v>
      </c>
      <c r="F16" s="14">
        <v>4166</v>
      </c>
      <c r="G16" s="14">
        <v>4234</v>
      </c>
      <c r="H16" s="14">
        <v>4106</v>
      </c>
      <c r="I16" s="14">
        <v>4036</v>
      </c>
      <c r="J16" s="14">
        <v>3985</v>
      </c>
      <c r="K16" s="14">
        <v>3815</v>
      </c>
      <c r="L16" s="14">
        <v>3736</v>
      </c>
      <c r="M16" s="14">
        <v>3897</v>
      </c>
      <c r="N16" s="14">
        <v>3770</v>
      </c>
      <c r="O16" s="18">
        <v>3762</v>
      </c>
    </row>
    <row r="17" spans="1:15" ht="11.25" customHeight="1">
      <c r="A17" s="6" t="s">
        <v>20</v>
      </c>
      <c r="B17" s="13">
        <f t="shared" si="0"/>
        <v>2283</v>
      </c>
      <c r="C17" s="13">
        <v>160</v>
      </c>
      <c r="D17" s="13">
        <v>188</v>
      </c>
      <c r="E17" s="13">
        <v>179</v>
      </c>
      <c r="F17" s="13">
        <v>164</v>
      </c>
      <c r="G17" s="13">
        <v>188</v>
      </c>
      <c r="H17" s="13">
        <v>181</v>
      </c>
      <c r="I17" s="13">
        <v>169</v>
      </c>
      <c r="J17" s="13">
        <v>182</v>
      </c>
      <c r="K17" s="13">
        <v>190</v>
      </c>
      <c r="L17" s="13">
        <v>173</v>
      </c>
      <c r="M17" s="13">
        <v>166</v>
      </c>
      <c r="N17" s="13">
        <v>183</v>
      </c>
      <c r="O17" s="17">
        <v>160</v>
      </c>
    </row>
    <row r="18" spans="1:15" ht="11.25" customHeight="1">
      <c r="A18" s="6" t="s">
        <v>21</v>
      </c>
      <c r="B18" s="13">
        <f t="shared" si="0"/>
        <v>1209</v>
      </c>
      <c r="C18" s="13">
        <v>100</v>
      </c>
      <c r="D18" s="13">
        <v>93</v>
      </c>
      <c r="E18" s="13">
        <v>111</v>
      </c>
      <c r="F18" s="13">
        <v>92</v>
      </c>
      <c r="G18" s="13">
        <v>101</v>
      </c>
      <c r="H18" s="13">
        <v>92</v>
      </c>
      <c r="I18" s="13">
        <v>76</v>
      </c>
      <c r="J18" s="13">
        <v>87</v>
      </c>
      <c r="K18" s="13">
        <v>99</v>
      </c>
      <c r="L18" s="13">
        <v>86</v>
      </c>
      <c r="M18" s="13">
        <v>82</v>
      </c>
      <c r="N18" s="13">
        <v>98</v>
      </c>
      <c r="O18" s="17">
        <v>92</v>
      </c>
    </row>
    <row r="19" spans="1:15" ht="11.25" customHeight="1">
      <c r="A19" s="6" t="s">
        <v>22</v>
      </c>
      <c r="B19" s="13">
        <f t="shared" si="0"/>
        <v>6063</v>
      </c>
      <c r="C19" s="13">
        <v>572</v>
      </c>
      <c r="D19" s="13">
        <v>578</v>
      </c>
      <c r="E19" s="13">
        <v>487</v>
      </c>
      <c r="F19" s="13">
        <v>496</v>
      </c>
      <c r="G19" s="13">
        <v>496</v>
      </c>
      <c r="H19" s="13">
        <v>423</v>
      </c>
      <c r="I19" s="13">
        <v>458</v>
      </c>
      <c r="J19" s="13">
        <v>410</v>
      </c>
      <c r="K19" s="13">
        <v>431</v>
      </c>
      <c r="L19" s="13">
        <v>447</v>
      </c>
      <c r="M19" s="13">
        <v>442</v>
      </c>
      <c r="N19" s="13">
        <v>417</v>
      </c>
      <c r="O19" s="17">
        <v>406</v>
      </c>
    </row>
    <row r="20" spans="1:15" ht="11.25" customHeight="1">
      <c r="A20" s="6" t="s">
        <v>23</v>
      </c>
      <c r="B20" s="13">
        <f t="shared" si="0"/>
        <v>2782</v>
      </c>
      <c r="C20" s="13">
        <v>208</v>
      </c>
      <c r="D20" s="13">
        <v>225</v>
      </c>
      <c r="E20" s="13">
        <v>202</v>
      </c>
      <c r="F20" s="13">
        <v>218</v>
      </c>
      <c r="G20" s="13">
        <v>210</v>
      </c>
      <c r="H20" s="13">
        <v>206</v>
      </c>
      <c r="I20" s="13">
        <v>217</v>
      </c>
      <c r="J20" s="13">
        <v>208</v>
      </c>
      <c r="K20" s="13">
        <v>213</v>
      </c>
      <c r="L20" s="13">
        <v>223</v>
      </c>
      <c r="M20" s="13">
        <v>239</v>
      </c>
      <c r="N20" s="13">
        <v>193</v>
      </c>
      <c r="O20" s="17">
        <v>220</v>
      </c>
    </row>
    <row r="21" spans="1:15" ht="11.25" customHeight="1">
      <c r="A21" s="6" t="s">
        <v>24</v>
      </c>
      <c r="B21" s="13">
        <f t="shared" si="0"/>
        <v>2531</v>
      </c>
      <c r="C21" s="13">
        <v>222</v>
      </c>
      <c r="D21" s="13">
        <v>186</v>
      </c>
      <c r="E21" s="13">
        <v>202</v>
      </c>
      <c r="F21" s="13">
        <v>205</v>
      </c>
      <c r="G21" s="13">
        <v>197</v>
      </c>
      <c r="H21" s="13">
        <v>192</v>
      </c>
      <c r="I21" s="13">
        <v>180</v>
      </c>
      <c r="J21" s="13">
        <v>202</v>
      </c>
      <c r="K21" s="13">
        <v>188</v>
      </c>
      <c r="L21" s="13">
        <v>200</v>
      </c>
      <c r="M21" s="13">
        <v>182</v>
      </c>
      <c r="N21" s="13">
        <v>197</v>
      </c>
      <c r="O21" s="17">
        <v>178</v>
      </c>
    </row>
    <row r="22" spans="1:15" ht="11.25" customHeight="1">
      <c r="A22" s="5" t="s">
        <v>25</v>
      </c>
      <c r="B22" s="12">
        <f t="shared" si="0"/>
        <v>6428</v>
      </c>
      <c r="C22" s="12">
        <v>534</v>
      </c>
      <c r="D22" s="12">
        <v>495</v>
      </c>
      <c r="E22" s="12">
        <v>494</v>
      </c>
      <c r="F22" s="12">
        <v>491</v>
      </c>
      <c r="G22" s="12">
        <v>460</v>
      </c>
      <c r="H22" s="12">
        <v>486</v>
      </c>
      <c r="I22" s="12">
        <v>472</v>
      </c>
      <c r="J22" s="12">
        <v>502</v>
      </c>
      <c r="K22" s="12">
        <v>524</v>
      </c>
      <c r="L22" s="12">
        <v>498</v>
      </c>
      <c r="M22" s="12">
        <v>499</v>
      </c>
      <c r="N22" s="12">
        <v>493</v>
      </c>
      <c r="O22" s="16">
        <v>480</v>
      </c>
    </row>
    <row r="23" spans="1:15" ht="11.25" customHeight="1">
      <c r="A23" s="6" t="s">
        <v>26</v>
      </c>
      <c r="B23" s="13">
        <f t="shared" si="0"/>
        <v>30494</v>
      </c>
      <c r="C23" s="13">
        <v>2579</v>
      </c>
      <c r="D23" s="13">
        <v>2503</v>
      </c>
      <c r="E23" s="13">
        <v>2477</v>
      </c>
      <c r="F23" s="13">
        <v>2383</v>
      </c>
      <c r="G23" s="13">
        <v>2495</v>
      </c>
      <c r="H23" s="13">
        <v>2382</v>
      </c>
      <c r="I23" s="13">
        <v>2383</v>
      </c>
      <c r="J23" s="13">
        <v>2265</v>
      </c>
      <c r="K23" s="13">
        <v>2361</v>
      </c>
      <c r="L23" s="13">
        <v>2254</v>
      </c>
      <c r="M23" s="13">
        <v>2206</v>
      </c>
      <c r="N23" s="13">
        <v>2174</v>
      </c>
      <c r="O23" s="17">
        <v>2032</v>
      </c>
    </row>
    <row r="24" spans="1:15" ht="11.25" customHeight="1">
      <c r="A24" s="6" t="s">
        <v>27</v>
      </c>
      <c r="B24" s="13">
        <f t="shared" si="0"/>
        <v>2377</v>
      </c>
      <c r="C24" s="13">
        <v>187</v>
      </c>
      <c r="D24" s="13">
        <v>201</v>
      </c>
      <c r="E24" s="13">
        <v>208</v>
      </c>
      <c r="F24" s="13">
        <v>183</v>
      </c>
      <c r="G24" s="13">
        <v>167</v>
      </c>
      <c r="H24" s="13">
        <v>173</v>
      </c>
      <c r="I24" s="13">
        <v>189</v>
      </c>
      <c r="J24" s="13">
        <v>173</v>
      </c>
      <c r="K24" s="13">
        <v>183</v>
      </c>
      <c r="L24" s="13">
        <v>160</v>
      </c>
      <c r="M24" s="13">
        <v>198</v>
      </c>
      <c r="N24" s="13">
        <v>174</v>
      </c>
      <c r="O24" s="17">
        <v>181</v>
      </c>
    </row>
    <row r="25" spans="1:15" ht="11.25" customHeight="1">
      <c r="A25" s="6" t="s">
        <v>28</v>
      </c>
      <c r="B25" s="13">
        <f t="shared" si="0"/>
        <v>977</v>
      </c>
      <c r="C25" s="13">
        <v>74</v>
      </c>
      <c r="D25" s="13">
        <v>75</v>
      </c>
      <c r="E25" s="13">
        <v>72</v>
      </c>
      <c r="F25" s="13">
        <v>88</v>
      </c>
      <c r="G25" s="13">
        <v>84</v>
      </c>
      <c r="H25" s="13">
        <v>76</v>
      </c>
      <c r="I25" s="13">
        <v>84</v>
      </c>
      <c r="J25" s="13">
        <v>74</v>
      </c>
      <c r="K25" s="13">
        <v>72</v>
      </c>
      <c r="L25" s="13">
        <v>79</v>
      </c>
      <c r="M25" s="13">
        <v>66</v>
      </c>
      <c r="N25" s="13">
        <v>65</v>
      </c>
      <c r="O25" s="17">
        <v>68</v>
      </c>
    </row>
    <row r="26" spans="1:15" ht="11.25" customHeight="1">
      <c r="A26" s="7" t="s">
        <v>29</v>
      </c>
      <c r="B26" s="14">
        <f t="shared" si="0"/>
        <v>12570</v>
      </c>
      <c r="C26" s="14">
        <v>1182</v>
      </c>
      <c r="D26" s="14">
        <v>1107</v>
      </c>
      <c r="E26" s="14">
        <v>1060</v>
      </c>
      <c r="F26" s="14">
        <v>1011</v>
      </c>
      <c r="G26" s="14">
        <v>1027</v>
      </c>
      <c r="H26" s="14">
        <v>1007</v>
      </c>
      <c r="I26" s="14">
        <v>922</v>
      </c>
      <c r="J26" s="14">
        <v>875</v>
      </c>
      <c r="K26" s="14">
        <v>853</v>
      </c>
      <c r="L26" s="14">
        <v>884</v>
      </c>
      <c r="M26" s="14">
        <v>910</v>
      </c>
      <c r="N26" s="14">
        <v>833</v>
      </c>
      <c r="O26" s="18">
        <v>899</v>
      </c>
    </row>
    <row r="27" spans="1:15" ht="11.25" customHeight="1">
      <c r="A27" s="6" t="s">
        <v>30</v>
      </c>
      <c r="B27" s="13">
        <f t="shared" si="0"/>
        <v>4421</v>
      </c>
      <c r="C27" s="13">
        <v>303</v>
      </c>
      <c r="D27" s="13">
        <v>312</v>
      </c>
      <c r="E27" s="13">
        <v>317</v>
      </c>
      <c r="F27" s="13">
        <v>337</v>
      </c>
      <c r="G27" s="13">
        <v>342</v>
      </c>
      <c r="H27" s="13">
        <v>336</v>
      </c>
      <c r="I27" s="13">
        <v>322</v>
      </c>
      <c r="J27" s="13">
        <v>359</v>
      </c>
      <c r="K27" s="13">
        <v>370</v>
      </c>
      <c r="L27" s="13">
        <v>340</v>
      </c>
      <c r="M27" s="13">
        <v>368</v>
      </c>
      <c r="N27" s="13">
        <v>374</v>
      </c>
      <c r="O27" s="17">
        <v>341</v>
      </c>
    </row>
    <row r="28" spans="1:15" ht="11.25" customHeight="1">
      <c r="A28" s="6" t="s">
        <v>31</v>
      </c>
      <c r="B28" s="13">
        <f t="shared" si="0"/>
        <v>308</v>
      </c>
      <c r="C28" s="13">
        <v>22</v>
      </c>
      <c r="D28" s="13">
        <v>21</v>
      </c>
      <c r="E28" s="13">
        <v>19</v>
      </c>
      <c r="F28" s="13">
        <v>21</v>
      </c>
      <c r="G28" s="13">
        <v>24</v>
      </c>
      <c r="H28" s="13">
        <v>21</v>
      </c>
      <c r="I28" s="13">
        <v>20</v>
      </c>
      <c r="J28" s="13">
        <v>30</v>
      </c>
      <c r="K28" s="13">
        <v>24</v>
      </c>
      <c r="L28" s="13">
        <v>22</v>
      </c>
      <c r="M28" s="13">
        <v>36</v>
      </c>
      <c r="N28" s="13">
        <v>24</v>
      </c>
      <c r="O28" s="17">
        <v>24</v>
      </c>
    </row>
    <row r="29" spans="1:15" ht="11.25" customHeight="1">
      <c r="A29" s="6" t="s">
        <v>32</v>
      </c>
      <c r="B29" s="13">
        <f t="shared" si="0"/>
        <v>14202</v>
      </c>
      <c r="C29" s="13">
        <v>1318</v>
      </c>
      <c r="D29" s="13">
        <v>1270</v>
      </c>
      <c r="E29" s="13">
        <v>1188</v>
      </c>
      <c r="F29" s="13">
        <v>1123</v>
      </c>
      <c r="G29" s="13">
        <v>1149</v>
      </c>
      <c r="H29" s="13">
        <v>1014</v>
      </c>
      <c r="I29" s="13">
        <v>1054</v>
      </c>
      <c r="J29" s="13">
        <v>1039</v>
      </c>
      <c r="K29" s="13">
        <v>1009</v>
      </c>
      <c r="L29" s="13">
        <v>1060</v>
      </c>
      <c r="M29" s="13">
        <v>989</v>
      </c>
      <c r="N29" s="13">
        <v>965</v>
      </c>
      <c r="O29" s="17">
        <v>1024</v>
      </c>
    </row>
    <row r="30" spans="1:15" ht="11.25" customHeight="1">
      <c r="A30" s="6" t="s">
        <v>33</v>
      </c>
      <c r="B30" s="13">
        <f t="shared" si="0"/>
        <v>481</v>
      </c>
      <c r="C30" s="13">
        <v>44</v>
      </c>
      <c r="D30" s="13">
        <v>42</v>
      </c>
      <c r="E30" s="13">
        <v>38</v>
      </c>
      <c r="F30" s="13">
        <v>43</v>
      </c>
      <c r="G30" s="13">
        <v>47</v>
      </c>
      <c r="H30" s="13">
        <v>30</v>
      </c>
      <c r="I30" s="13">
        <v>34</v>
      </c>
      <c r="J30" s="13">
        <v>40</v>
      </c>
      <c r="K30" s="13">
        <v>40</v>
      </c>
      <c r="L30" s="13">
        <v>32</v>
      </c>
      <c r="M30" s="13">
        <v>32</v>
      </c>
      <c r="N30" s="13">
        <v>32</v>
      </c>
      <c r="O30" s="17">
        <v>27</v>
      </c>
    </row>
    <row r="31" spans="1:15" ht="11.25" customHeight="1">
      <c r="A31" s="6" t="s">
        <v>34</v>
      </c>
      <c r="B31" s="13">
        <f t="shared" si="0"/>
        <v>23759</v>
      </c>
      <c r="C31" s="13">
        <v>2159</v>
      </c>
      <c r="D31" s="13">
        <v>2140</v>
      </c>
      <c r="E31" s="13">
        <v>2037</v>
      </c>
      <c r="F31" s="13">
        <v>1999</v>
      </c>
      <c r="G31" s="13">
        <v>2026</v>
      </c>
      <c r="H31" s="13">
        <v>1836</v>
      </c>
      <c r="I31" s="13">
        <v>1716</v>
      </c>
      <c r="J31" s="13">
        <v>1680</v>
      </c>
      <c r="K31" s="13">
        <v>1482</v>
      </c>
      <c r="L31" s="13">
        <v>1715</v>
      </c>
      <c r="M31" s="13">
        <v>1639</v>
      </c>
      <c r="N31" s="13">
        <v>1662</v>
      </c>
      <c r="O31" s="17">
        <v>1668</v>
      </c>
    </row>
    <row r="32" spans="1:15" ht="11.25" customHeight="1">
      <c r="A32" s="5" t="s">
        <v>35</v>
      </c>
      <c r="B32" s="12">
        <f t="shared" si="0"/>
        <v>3064</v>
      </c>
      <c r="C32" s="12">
        <v>251</v>
      </c>
      <c r="D32" s="12">
        <v>231</v>
      </c>
      <c r="E32" s="12">
        <v>226</v>
      </c>
      <c r="F32" s="12">
        <v>205</v>
      </c>
      <c r="G32" s="12">
        <v>263</v>
      </c>
      <c r="H32" s="12">
        <v>217</v>
      </c>
      <c r="I32" s="12">
        <v>210</v>
      </c>
      <c r="J32" s="12">
        <v>246</v>
      </c>
      <c r="K32" s="12">
        <v>248</v>
      </c>
      <c r="L32" s="12">
        <v>249</v>
      </c>
      <c r="M32" s="12">
        <v>245</v>
      </c>
      <c r="N32" s="12">
        <v>226</v>
      </c>
      <c r="O32" s="16">
        <v>247</v>
      </c>
    </row>
    <row r="33" spans="1:15" ht="11.25" customHeight="1">
      <c r="A33" s="6" t="s">
        <v>36</v>
      </c>
      <c r="B33" s="13">
        <f t="shared" si="0"/>
        <v>4629</v>
      </c>
      <c r="C33" s="13">
        <v>392</v>
      </c>
      <c r="D33" s="13">
        <v>367</v>
      </c>
      <c r="E33" s="13">
        <v>361</v>
      </c>
      <c r="F33" s="13">
        <v>375</v>
      </c>
      <c r="G33" s="13">
        <v>370</v>
      </c>
      <c r="H33" s="13">
        <v>389</v>
      </c>
      <c r="I33" s="13">
        <v>340</v>
      </c>
      <c r="J33" s="13">
        <v>348</v>
      </c>
      <c r="K33" s="13">
        <v>333</v>
      </c>
      <c r="L33" s="13">
        <v>363</v>
      </c>
      <c r="M33" s="13">
        <v>363</v>
      </c>
      <c r="N33" s="13">
        <v>319</v>
      </c>
      <c r="O33" s="17">
        <v>309</v>
      </c>
    </row>
    <row r="34" spans="1:15" ht="11.25" customHeight="1">
      <c r="A34" s="6" t="s">
        <v>37</v>
      </c>
      <c r="B34" s="13">
        <f t="shared" si="0"/>
        <v>3189</v>
      </c>
      <c r="C34" s="13">
        <v>272</v>
      </c>
      <c r="D34" s="13">
        <v>246</v>
      </c>
      <c r="E34" s="13">
        <v>252</v>
      </c>
      <c r="F34" s="13">
        <v>239</v>
      </c>
      <c r="G34" s="13">
        <v>255</v>
      </c>
      <c r="H34" s="13">
        <v>239</v>
      </c>
      <c r="I34" s="13">
        <v>243</v>
      </c>
      <c r="J34" s="13">
        <v>252</v>
      </c>
      <c r="K34" s="13">
        <v>233</v>
      </c>
      <c r="L34" s="13">
        <v>235</v>
      </c>
      <c r="M34" s="13">
        <v>260</v>
      </c>
      <c r="N34" s="13">
        <v>222</v>
      </c>
      <c r="O34" s="17">
        <v>241</v>
      </c>
    </row>
    <row r="35" spans="1:15" ht="11.25" customHeight="1">
      <c r="A35" s="6" t="s">
        <v>38</v>
      </c>
      <c r="B35" s="13">
        <f t="shared" si="0"/>
        <v>1468</v>
      </c>
      <c r="C35" s="13">
        <v>118</v>
      </c>
      <c r="D35" s="13">
        <v>115</v>
      </c>
      <c r="E35" s="13">
        <v>115</v>
      </c>
      <c r="F35" s="13">
        <v>119</v>
      </c>
      <c r="G35" s="13">
        <v>115</v>
      </c>
      <c r="H35" s="13">
        <v>126</v>
      </c>
      <c r="I35" s="13">
        <v>92</v>
      </c>
      <c r="J35" s="13">
        <v>117</v>
      </c>
      <c r="K35" s="13">
        <v>108</v>
      </c>
      <c r="L35" s="13">
        <v>110</v>
      </c>
      <c r="M35" s="13">
        <v>121</v>
      </c>
      <c r="N35" s="13">
        <v>111</v>
      </c>
      <c r="O35" s="17">
        <v>101</v>
      </c>
    </row>
    <row r="36" spans="1:15" ht="11.25" customHeight="1">
      <c r="A36" s="7" t="s">
        <v>39</v>
      </c>
      <c r="B36" s="14">
        <f t="shared" si="0"/>
        <v>228</v>
      </c>
      <c r="C36" s="14">
        <v>12</v>
      </c>
      <c r="D36" s="14">
        <v>16</v>
      </c>
      <c r="E36" s="14">
        <v>10</v>
      </c>
      <c r="F36" s="14">
        <v>15</v>
      </c>
      <c r="G36" s="14">
        <v>12</v>
      </c>
      <c r="H36" s="14">
        <v>16</v>
      </c>
      <c r="I36" s="14">
        <v>12</v>
      </c>
      <c r="J36" s="14">
        <v>29</v>
      </c>
      <c r="K36" s="14">
        <v>23</v>
      </c>
      <c r="L36" s="14">
        <v>29</v>
      </c>
      <c r="M36" s="14">
        <v>24</v>
      </c>
      <c r="N36" s="14">
        <v>15</v>
      </c>
      <c r="O36" s="18">
        <v>15</v>
      </c>
    </row>
    <row r="37" spans="1:15" ht="11.25" customHeight="1">
      <c r="A37" s="5" t="s">
        <v>40</v>
      </c>
      <c r="B37" s="12">
        <f t="shared" si="0"/>
        <v>14034</v>
      </c>
      <c r="C37" s="12">
        <v>1159</v>
      </c>
      <c r="D37" s="12">
        <v>1106</v>
      </c>
      <c r="E37" s="12">
        <v>1082</v>
      </c>
      <c r="F37" s="12">
        <v>1128</v>
      </c>
      <c r="G37" s="12">
        <v>1114</v>
      </c>
      <c r="H37" s="12">
        <v>1067</v>
      </c>
      <c r="I37" s="12">
        <v>1129</v>
      </c>
      <c r="J37" s="12">
        <v>1109</v>
      </c>
      <c r="K37" s="12">
        <v>1056</v>
      </c>
      <c r="L37" s="12">
        <v>1089</v>
      </c>
      <c r="M37" s="12">
        <v>1070</v>
      </c>
      <c r="N37" s="12">
        <v>988</v>
      </c>
      <c r="O37" s="16">
        <v>937</v>
      </c>
    </row>
    <row r="38" spans="1:15" ht="11.25" customHeight="1">
      <c r="A38" s="6" t="s">
        <v>41</v>
      </c>
      <c r="B38" s="13">
        <f t="shared" si="0"/>
        <v>7291</v>
      </c>
      <c r="C38" s="13">
        <v>712</v>
      </c>
      <c r="D38" s="13">
        <v>763</v>
      </c>
      <c r="E38" s="13">
        <v>652</v>
      </c>
      <c r="F38" s="13">
        <v>650</v>
      </c>
      <c r="G38" s="13">
        <v>645</v>
      </c>
      <c r="H38" s="13">
        <v>593</v>
      </c>
      <c r="I38" s="13">
        <v>562</v>
      </c>
      <c r="J38" s="13">
        <v>516</v>
      </c>
      <c r="K38" s="13">
        <v>524</v>
      </c>
      <c r="L38" s="13">
        <v>484</v>
      </c>
      <c r="M38" s="13">
        <v>418</v>
      </c>
      <c r="N38" s="13">
        <v>403</v>
      </c>
      <c r="O38" s="17">
        <v>369</v>
      </c>
    </row>
    <row r="39" spans="1:15" ht="11.25" customHeight="1">
      <c r="A39" s="6" t="s">
        <v>42</v>
      </c>
      <c r="B39" s="13">
        <f t="shared" si="0"/>
        <v>5585</v>
      </c>
      <c r="C39" s="13">
        <v>482</v>
      </c>
      <c r="D39" s="13">
        <v>418</v>
      </c>
      <c r="E39" s="13">
        <v>435</v>
      </c>
      <c r="F39" s="13">
        <v>471</v>
      </c>
      <c r="G39" s="13">
        <v>412</v>
      </c>
      <c r="H39" s="13">
        <v>434</v>
      </c>
      <c r="I39" s="13">
        <v>418</v>
      </c>
      <c r="J39" s="13">
        <v>446</v>
      </c>
      <c r="K39" s="13">
        <v>407</v>
      </c>
      <c r="L39" s="13">
        <v>468</v>
      </c>
      <c r="M39" s="13">
        <v>392</v>
      </c>
      <c r="N39" s="13">
        <v>420</v>
      </c>
      <c r="O39" s="17">
        <v>382</v>
      </c>
    </row>
    <row r="40" spans="1:15" ht="11.25" customHeight="1">
      <c r="A40" s="6" t="s">
        <v>43</v>
      </c>
      <c r="B40" s="13">
        <f t="shared" si="0"/>
        <v>26131</v>
      </c>
      <c r="C40" s="13">
        <v>2098</v>
      </c>
      <c r="D40" s="13">
        <v>2167</v>
      </c>
      <c r="E40" s="13">
        <v>2003</v>
      </c>
      <c r="F40" s="13">
        <v>2113</v>
      </c>
      <c r="G40" s="13">
        <v>2038</v>
      </c>
      <c r="H40" s="13">
        <v>2034</v>
      </c>
      <c r="I40" s="13">
        <v>1949</v>
      </c>
      <c r="J40" s="13">
        <v>2039</v>
      </c>
      <c r="K40" s="13">
        <v>2128</v>
      </c>
      <c r="L40" s="13">
        <v>2069</v>
      </c>
      <c r="M40" s="13">
        <v>1894</v>
      </c>
      <c r="N40" s="13">
        <v>1871</v>
      </c>
      <c r="O40" s="17">
        <v>1728</v>
      </c>
    </row>
    <row r="41" spans="1:15" ht="11.25" customHeight="1">
      <c r="A41" s="6" t="s">
        <v>44</v>
      </c>
      <c r="B41" s="13">
        <f t="shared" si="0"/>
        <v>525</v>
      </c>
      <c r="C41" s="13">
        <v>40</v>
      </c>
      <c r="D41" s="13">
        <v>39</v>
      </c>
      <c r="E41" s="13">
        <v>42</v>
      </c>
      <c r="F41" s="13">
        <v>42</v>
      </c>
      <c r="G41" s="13">
        <v>45</v>
      </c>
      <c r="H41" s="13">
        <v>38</v>
      </c>
      <c r="I41" s="13">
        <v>39</v>
      </c>
      <c r="J41" s="13">
        <v>39</v>
      </c>
      <c r="K41" s="13">
        <v>44</v>
      </c>
      <c r="L41" s="13">
        <v>44</v>
      </c>
      <c r="M41" s="13">
        <v>38</v>
      </c>
      <c r="N41" s="13">
        <v>40</v>
      </c>
      <c r="O41" s="17">
        <v>35</v>
      </c>
    </row>
    <row r="42" spans="1:15" ht="11.25" customHeight="1">
      <c r="A42" s="7" t="s">
        <v>45</v>
      </c>
      <c r="B42" s="14">
        <f t="shared" si="0"/>
        <v>30732</v>
      </c>
      <c r="C42" s="14">
        <v>2363</v>
      </c>
      <c r="D42" s="14">
        <v>2319</v>
      </c>
      <c r="E42" s="14">
        <v>2350</v>
      </c>
      <c r="F42" s="14">
        <v>2369</v>
      </c>
      <c r="G42" s="14">
        <v>2347</v>
      </c>
      <c r="H42" s="14">
        <v>2330</v>
      </c>
      <c r="I42" s="14">
        <v>2314</v>
      </c>
      <c r="J42" s="14">
        <v>2522</v>
      </c>
      <c r="K42" s="14">
        <v>2413</v>
      </c>
      <c r="L42" s="14">
        <v>2474</v>
      </c>
      <c r="M42" s="14">
        <v>2345</v>
      </c>
      <c r="N42" s="14">
        <v>2222</v>
      </c>
      <c r="O42" s="18">
        <v>2364</v>
      </c>
    </row>
    <row r="43" spans="1:15" ht="15" customHeight="1" thickBot="1">
      <c r="A43" s="10" t="s">
        <v>3</v>
      </c>
      <c r="B43" s="15">
        <f t="shared" ref="B43:C43" si="1">SUM(B2:B42)</f>
        <v>550184</v>
      </c>
      <c r="C43" s="15">
        <f t="shared" si="1"/>
        <v>45945</v>
      </c>
      <c r="D43" s="15">
        <f>SUM(D2:D42)</f>
        <v>45472</v>
      </c>
      <c r="E43" s="15">
        <f>SUM(E2:E42)</f>
        <v>44224</v>
      </c>
      <c r="F43" s="15">
        <f t="shared" ref="F43:O43" si="2">SUM(F2:F42)</f>
        <v>44357</v>
      </c>
      <c r="G43" s="15">
        <f t="shared" si="2"/>
        <v>43913</v>
      </c>
      <c r="H43" s="15">
        <f t="shared" si="2"/>
        <v>42468</v>
      </c>
      <c r="I43" s="15">
        <f t="shared" si="2"/>
        <v>41987</v>
      </c>
      <c r="J43" s="15">
        <f t="shared" si="2"/>
        <v>42057</v>
      </c>
      <c r="K43" s="15">
        <f t="shared" si="2"/>
        <v>41436</v>
      </c>
      <c r="L43" s="15">
        <f t="shared" si="2"/>
        <v>40745</v>
      </c>
      <c r="M43" s="15">
        <f t="shared" si="2"/>
        <v>40162</v>
      </c>
      <c r="N43" s="15">
        <f t="shared" si="2"/>
        <v>38773</v>
      </c>
      <c r="O43" s="19">
        <f t="shared" si="2"/>
        <v>38645</v>
      </c>
    </row>
    <row r="44" spans="1:15" ht="15.75" thickBot="1">
      <c r="A44" s="9"/>
      <c r="B44" s="9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</row>
    <row r="45" spans="1:15">
      <c r="A45" s="1" t="s">
        <v>4</v>
      </c>
      <c r="B45" s="4"/>
      <c r="C45" s="2" t="s">
        <v>1</v>
      </c>
      <c r="D45" s="2">
        <v>1</v>
      </c>
      <c r="E45" s="2">
        <v>2</v>
      </c>
      <c r="F45" s="2">
        <v>3</v>
      </c>
      <c r="G45" s="2">
        <v>4</v>
      </c>
      <c r="H45" s="2">
        <v>5</v>
      </c>
      <c r="I45" s="2">
        <v>6</v>
      </c>
      <c r="J45" s="2">
        <v>7</v>
      </c>
      <c r="K45" s="2">
        <v>8</v>
      </c>
      <c r="L45" s="2">
        <v>9</v>
      </c>
      <c r="M45" s="2">
        <v>10</v>
      </c>
      <c r="N45" s="2">
        <v>11</v>
      </c>
      <c r="O45" s="3">
        <v>12</v>
      </c>
    </row>
    <row r="46" spans="1:15" ht="11.25" customHeight="1">
      <c r="A46" s="5" t="s">
        <v>130</v>
      </c>
      <c r="B46" s="12">
        <f t="shared" ref="B46:B109" si="3">SUM(C46:O46)</f>
        <v>489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128</v>
      </c>
      <c r="M46" s="12">
        <v>133</v>
      </c>
      <c r="N46" s="12">
        <v>118</v>
      </c>
      <c r="O46" s="16">
        <v>110</v>
      </c>
    </row>
    <row r="47" spans="1:15" ht="11.25" customHeight="1">
      <c r="A47" s="6" t="s">
        <v>46</v>
      </c>
      <c r="B47" s="13">
        <f t="shared" si="3"/>
        <v>502</v>
      </c>
      <c r="C47" s="13">
        <v>59</v>
      </c>
      <c r="D47" s="13">
        <v>69</v>
      </c>
      <c r="E47" s="13">
        <v>63</v>
      </c>
      <c r="F47" s="13">
        <v>54</v>
      </c>
      <c r="G47" s="13">
        <v>52</v>
      </c>
      <c r="H47" s="13">
        <v>51</v>
      </c>
      <c r="I47" s="13">
        <v>66</v>
      </c>
      <c r="J47" s="13">
        <v>53</v>
      </c>
      <c r="K47" s="13">
        <v>35</v>
      </c>
      <c r="L47" s="13">
        <v>0</v>
      </c>
      <c r="M47" s="13">
        <v>0</v>
      </c>
      <c r="N47" s="13">
        <v>0</v>
      </c>
      <c r="O47" s="17">
        <v>0</v>
      </c>
    </row>
    <row r="48" spans="1:15" ht="11.25" customHeight="1">
      <c r="A48" s="6" t="s">
        <v>47</v>
      </c>
      <c r="B48" s="13">
        <f t="shared" si="3"/>
        <v>1741</v>
      </c>
      <c r="C48" s="13">
        <v>112</v>
      </c>
      <c r="D48" s="13">
        <v>121</v>
      </c>
      <c r="E48" s="13">
        <v>107</v>
      </c>
      <c r="F48" s="13">
        <v>113</v>
      </c>
      <c r="G48" s="13">
        <v>111</v>
      </c>
      <c r="H48" s="13">
        <v>131</v>
      </c>
      <c r="I48" s="13">
        <v>127</v>
      </c>
      <c r="J48" s="13">
        <v>168</v>
      </c>
      <c r="K48" s="13">
        <v>181</v>
      </c>
      <c r="L48" s="13">
        <v>179</v>
      </c>
      <c r="M48" s="13">
        <v>156</v>
      </c>
      <c r="N48" s="13">
        <v>126</v>
      </c>
      <c r="O48" s="17">
        <v>109</v>
      </c>
    </row>
    <row r="49" spans="1:15" ht="11.25" customHeight="1">
      <c r="A49" s="6" t="s">
        <v>131</v>
      </c>
      <c r="B49" s="13">
        <f t="shared" si="3"/>
        <v>2322</v>
      </c>
      <c r="C49" s="13">
        <v>180</v>
      </c>
      <c r="D49" s="13">
        <v>204</v>
      </c>
      <c r="E49" s="13">
        <v>210</v>
      </c>
      <c r="F49" s="13">
        <v>211</v>
      </c>
      <c r="G49" s="13">
        <v>217</v>
      </c>
      <c r="H49" s="13">
        <v>215</v>
      </c>
      <c r="I49" s="13">
        <v>221</v>
      </c>
      <c r="J49" s="13">
        <v>293</v>
      </c>
      <c r="K49" s="13">
        <v>241</v>
      </c>
      <c r="L49" s="13">
        <v>194</v>
      </c>
      <c r="M49" s="13">
        <v>92</v>
      </c>
      <c r="N49" s="13">
        <v>44</v>
      </c>
      <c r="O49" s="17">
        <v>0</v>
      </c>
    </row>
    <row r="50" spans="1:15" ht="11.25" customHeight="1">
      <c r="A50" s="7" t="s">
        <v>48</v>
      </c>
      <c r="B50" s="14">
        <f t="shared" si="3"/>
        <v>258</v>
      </c>
      <c r="C50" s="14">
        <v>49</v>
      </c>
      <c r="D50" s="14">
        <v>32</v>
      </c>
      <c r="E50" s="14">
        <v>43</v>
      </c>
      <c r="F50" s="14">
        <v>31</v>
      </c>
      <c r="G50" s="14">
        <v>32</v>
      </c>
      <c r="H50" s="14">
        <v>29</v>
      </c>
      <c r="I50" s="14">
        <v>21</v>
      </c>
      <c r="J50" s="14">
        <v>19</v>
      </c>
      <c r="K50" s="14">
        <v>2</v>
      </c>
      <c r="L50" s="14">
        <v>0</v>
      </c>
      <c r="M50" s="14">
        <v>0</v>
      </c>
      <c r="N50" s="14">
        <v>0</v>
      </c>
      <c r="O50" s="18">
        <v>0</v>
      </c>
    </row>
    <row r="51" spans="1:15" ht="11.25" customHeight="1">
      <c r="A51" s="6" t="s">
        <v>49</v>
      </c>
      <c r="B51" s="13">
        <f t="shared" si="3"/>
        <v>180</v>
      </c>
      <c r="C51" s="13">
        <v>20</v>
      </c>
      <c r="D51" s="13">
        <v>20</v>
      </c>
      <c r="E51" s="13">
        <v>21</v>
      </c>
      <c r="F51" s="13">
        <v>21</v>
      </c>
      <c r="G51" s="13">
        <v>18</v>
      </c>
      <c r="H51" s="13">
        <v>20</v>
      </c>
      <c r="I51" s="13">
        <v>20</v>
      </c>
      <c r="J51" s="13">
        <v>20</v>
      </c>
      <c r="K51" s="13">
        <v>20</v>
      </c>
      <c r="L51" s="13">
        <v>0</v>
      </c>
      <c r="M51" s="13">
        <v>0</v>
      </c>
      <c r="N51" s="13">
        <v>0</v>
      </c>
      <c r="O51" s="17">
        <v>0</v>
      </c>
    </row>
    <row r="52" spans="1:15" ht="11.25" customHeight="1">
      <c r="A52" s="6" t="s">
        <v>129</v>
      </c>
      <c r="B52" s="13">
        <f t="shared" si="3"/>
        <v>230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78</v>
      </c>
      <c r="K52" s="13">
        <v>55</v>
      </c>
      <c r="L52" s="13">
        <v>47</v>
      </c>
      <c r="M52" s="13">
        <v>26</v>
      </c>
      <c r="N52" s="13">
        <v>16</v>
      </c>
      <c r="O52" s="17">
        <v>8</v>
      </c>
    </row>
    <row r="53" spans="1:15" ht="11.25" customHeight="1">
      <c r="A53" s="6" t="s">
        <v>50</v>
      </c>
      <c r="B53" s="13">
        <f t="shared" si="3"/>
        <v>530</v>
      </c>
      <c r="C53" s="13">
        <v>80</v>
      </c>
      <c r="D53" s="13">
        <v>75</v>
      </c>
      <c r="E53" s="13">
        <v>75</v>
      </c>
      <c r="F53" s="13">
        <v>75</v>
      </c>
      <c r="G53" s="13">
        <v>75</v>
      </c>
      <c r="H53" s="13">
        <v>75</v>
      </c>
      <c r="I53" s="13">
        <v>75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7">
        <v>0</v>
      </c>
    </row>
    <row r="54" spans="1:15" ht="11.25" customHeight="1">
      <c r="A54" s="6" t="s">
        <v>51</v>
      </c>
      <c r="B54" s="13">
        <f t="shared" si="3"/>
        <v>675</v>
      </c>
      <c r="C54" s="13">
        <v>78</v>
      </c>
      <c r="D54" s="13">
        <v>78</v>
      </c>
      <c r="E54" s="13">
        <v>77</v>
      </c>
      <c r="F54" s="13">
        <v>78</v>
      </c>
      <c r="G54" s="13">
        <v>78</v>
      </c>
      <c r="H54" s="13">
        <v>78</v>
      </c>
      <c r="I54" s="13">
        <v>78</v>
      </c>
      <c r="J54" s="13">
        <v>71</v>
      </c>
      <c r="K54" s="13">
        <v>59</v>
      </c>
      <c r="L54" s="13">
        <v>0</v>
      </c>
      <c r="M54" s="13">
        <v>0</v>
      </c>
      <c r="N54" s="13">
        <v>0</v>
      </c>
      <c r="O54" s="17">
        <v>0</v>
      </c>
    </row>
    <row r="55" spans="1:15" ht="11.25" customHeight="1">
      <c r="A55" s="6" t="s">
        <v>52</v>
      </c>
      <c r="B55" s="13">
        <f t="shared" si="3"/>
        <v>218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25</v>
      </c>
      <c r="L55" s="13">
        <v>59</v>
      </c>
      <c r="M55" s="13">
        <v>46</v>
      </c>
      <c r="N55" s="13">
        <v>48</v>
      </c>
      <c r="O55" s="17">
        <v>40</v>
      </c>
    </row>
    <row r="56" spans="1:15" ht="11.25" customHeight="1">
      <c r="A56" s="5" t="s">
        <v>127</v>
      </c>
      <c r="B56" s="12">
        <f t="shared" si="3"/>
        <v>456</v>
      </c>
      <c r="C56" s="12">
        <v>37</v>
      </c>
      <c r="D56" s="12">
        <v>98</v>
      </c>
      <c r="E56" s="12">
        <v>83</v>
      </c>
      <c r="F56" s="12">
        <v>60</v>
      </c>
      <c r="G56" s="12">
        <v>71</v>
      </c>
      <c r="H56" s="12">
        <v>64</v>
      </c>
      <c r="I56" s="12">
        <v>43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6">
        <v>0</v>
      </c>
    </row>
    <row r="57" spans="1:15" ht="11.25" customHeight="1">
      <c r="A57" s="6" t="s">
        <v>128</v>
      </c>
      <c r="B57" s="13">
        <f t="shared" si="3"/>
        <v>1094</v>
      </c>
      <c r="C57" s="13">
        <v>0</v>
      </c>
      <c r="D57" s="13">
        <v>147</v>
      </c>
      <c r="E57" s="13">
        <v>144</v>
      </c>
      <c r="F57" s="13">
        <v>135</v>
      </c>
      <c r="G57" s="13">
        <v>83</v>
      </c>
      <c r="H57" s="13">
        <v>91</v>
      </c>
      <c r="I57" s="13">
        <v>109</v>
      </c>
      <c r="J57" s="13">
        <v>48</v>
      </c>
      <c r="K57" s="13">
        <v>81</v>
      </c>
      <c r="L57" s="13">
        <v>82</v>
      </c>
      <c r="M57" s="13">
        <v>72</v>
      </c>
      <c r="N57" s="13">
        <v>60</v>
      </c>
      <c r="O57" s="17">
        <v>42</v>
      </c>
    </row>
    <row r="58" spans="1:15" ht="11.25" customHeight="1">
      <c r="A58" s="6" t="s">
        <v>53</v>
      </c>
      <c r="B58" s="13">
        <f t="shared" si="3"/>
        <v>425</v>
      </c>
      <c r="C58" s="13">
        <v>79</v>
      </c>
      <c r="D58" s="13">
        <v>71</v>
      </c>
      <c r="E58" s="13">
        <v>51</v>
      </c>
      <c r="F58" s="13">
        <v>55</v>
      </c>
      <c r="G58" s="13">
        <v>50</v>
      </c>
      <c r="H58" s="13">
        <v>37</v>
      </c>
      <c r="I58" s="13">
        <v>38</v>
      </c>
      <c r="J58" s="13">
        <v>20</v>
      </c>
      <c r="K58" s="13">
        <v>24</v>
      </c>
      <c r="L58" s="13">
        <v>0</v>
      </c>
      <c r="M58" s="13">
        <v>0</v>
      </c>
      <c r="N58" s="13">
        <v>0</v>
      </c>
      <c r="O58" s="17">
        <v>0</v>
      </c>
    </row>
    <row r="59" spans="1:15" ht="11.25" customHeight="1">
      <c r="A59" s="6" t="s">
        <v>126</v>
      </c>
      <c r="B59" s="13">
        <f t="shared" si="3"/>
        <v>750</v>
      </c>
      <c r="C59" s="13">
        <v>72</v>
      </c>
      <c r="D59" s="13">
        <v>76</v>
      </c>
      <c r="E59" s="13">
        <v>75</v>
      </c>
      <c r="F59" s="13">
        <v>75</v>
      </c>
      <c r="G59" s="13">
        <v>75</v>
      </c>
      <c r="H59" s="13">
        <v>77</v>
      </c>
      <c r="I59" s="13">
        <v>75</v>
      </c>
      <c r="J59" s="13">
        <v>78</v>
      </c>
      <c r="K59" s="13">
        <v>77</v>
      </c>
      <c r="L59" s="13">
        <v>70</v>
      </c>
      <c r="M59" s="13">
        <v>0</v>
      </c>
      <c r="N59" s="13">
        <v>0</v>
      </c>
      <c r="O59" s="17">
        <v>0</v>
      </c>
    </row>
    <row r="60" spans="1:15" ht="11.25" customHeight="1">
      <c r="A60" s="7" t="s">
        <v>54</v>
      </c>
      <c r="B60" s="14">
        <f t="shared" si="3"/>
        <v>325</v>
      </c>
      <c r="C60" s="14">
        <v>0</v>
      </c>
      <c r="D60" s="14">
        <v>0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57</v>
      </c>
      <c r="M60" s="14">
        <v>89</v>
      </c>
      <c r="N60" s="14">
        <v>83</v>
      </c>
      <c r="O60" s="18">
        <v>96</v>
      </c>
    </row>
    <row r="61" spans="1:15" ht="11.25" customHeight="1">
      <c r="A61" s="6" t="s">
        <v>55</v>
      </c>
      <c r="B61" s="13">
        <f t="shared" si="3"/>
        <v>304</v>
      </c>
      <c r="C61" s="13">
        <v>48</v>
      </c>
      <c r="D61" s="13">
        <v>48</v>
      </c>
      <c r="E61" s="13">
        <v>49</v>
      </c>
      <c r="F61" s="13">
        <v>52</v>
      </c>
      <c r="G61" s="13">
        <v>52</v>
      </c>
      <c r="H61" s="13">
        <v>55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7">
        <v>0</v>
      </c>
    </row>
    <row r="62" spans="1:15" ht="11.25" customHeight="1">
      <c r="A62" s="6" t="s">
        <v>56</v>
      </c>
      <c r="B62" s="13">
        <f t="shared" si="3"/>
        <v>579</v>
      </c>
      <c r="C62" s="13">
        <v>79</v>
      </c>
      <c r="D62" s="13">
        <v>78</v>
      </c>
      <c r="E62" s="13">
        <v>80</v>
      </c>
      <c r="F62" s="13">
        <v>78</v>
      </c>
      <c r="G62" s="13">
        <v>76</v>
      </c>
      <c r="H62" s="13">
        <v>72</v>
      </c>
      <c r="I62" s="13">
        <v>70</v>
      </c>
      <c r="J62" s="13">
        <v>46</v>
      </c>
      <c r="K62" s="13">
        <v>0</v>
      </c>
      <c r="L62" s="13">
        <v>0</v>
      </c>
      <c r="M62" s="13">
        <v>0</v>
      </c>
      <c r="N62" s="13">
        <v>0</v>
      </c>
      <c r="O62" s="17">
        <v>0</v>
      </c>
    </row>
    <row r="63" spans="1:15" ht="11.25" customHeight="1">
      <c r="A63" s="6" t="s">
        <v>57</v>
      </c>
      <c r="B63" s="13">
        <f t="shared" si="3"/>
        <v>1012</v>
      </c>
      <c r="C63" s="13">
        <v>104</v>
      </c>
      <c r="D63" s="13">
        <v>104</v>
      </c>
      <c r="E63" s="13">
        <v>104</v>
      </c>
      <c r="F63" s="13">
        <v>105</v>
      </c>
      <c r="G63" s="13">
        <v>106</v>
      </c>
      <c r="H63" s="13">
        <v>106</v>
      </c>
      <c r="I63" s="13">
        <v>106</v>
      </c>
      <c r="J63" s="13">
        <v>113</v>
      </c>
      <c r="K63" s="13">
        <v>96</v>
      </c>
      <c r="L63" s="13">
        <v>68</v>
      </c>
      <c r="M63" s="13">
        <v>0</v>
      </c>
      <c r="N63" s="13">
        <v>0</v>
      </c>
      <c r="O63" s="17">
        <v>0</v>
      </c>
    </row>
    <row r="64" spans="1:15" ht="11.25" customHeight="1">
      <c r="A64" s="6" t="s">
        <v>58</v>
      </c>
      <c r="B64" s="13">
        <f t="shared" si="3"/>
        <v>678</v>
      </c>
      <c r="C64" s="13">
        <v>79</v>
      </c>
      <c r="D64" s="13">
        <v>79</v>
      </c>
      <c r="E64" s="13">
        <v>80</v>
      </c>
      <c r="F64" s="13">
        <v>77</v>
      </c>
      <c r="G64" s="13">
        <v>79</v>
      </c>
      <c r="H64" s="13">
        <v>76</v>
      </c>
      <c r="I64" s="13">
        <v>78</v>
      </c>
      <c r="J64" s="13">
        <v>72</v>
      </c>
      <c r="K64" s="13">
        <v>58</v>
      </c>
      <c r="L64" s="13">
        <v>0</v>
      </c>
      <c r="M64" s="13">
        <v>0</v>
      </c>
      <c r="N64" s="13">
        <v>0</v>
      </c>
      <c r="O64" s="17">
        <v>0</v>
      </c>
    </row>
    <row r="65" spans="1:15" ht="11.25" customHeight="1">
      <c r="A65" s="6" t="s">
        <v>59</v>
      </c>
      <c r="B65" s="13">
        <f t="shared" si="3"/>
        <v>229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29</v>
      </c>
      <c r="M65" s="13">
        <v>52</v>
      </c>
      <c r="N65" s="13">
        <v>62</v>
      </c>
      <c r="O65" s="17">
        <v>86</v>
      </c>
    </row>
    <row r="66" spans="1:15" ht="11.25" customHeight="1">
      <c r="A66" s="5" t="s">
        <v>60</v>
      </c>
      <c r="B66" s="12">
        <f t="shared" si="3"/>
        <v>768</v>
      </c>
      <c r="C66" s="12">
        <v>82</v>
      </c>
      <c r="D66" s="12">
        <v>104</v>
      </c>
      <c r="E66" s="12">
        <v>80</v>
      </c>
      <c r="F66" s="12">
        <v>78</v>
      </c>
      <c r="G66" s="12">
        <v>79</v>
      </c>
      <c r="H66" s="12">
        <v>79</v>
      </c>
      <c r="I66" s="12">
        <v>76</v>
      </c>
      <c r="J66" s="12">
        <v>72</v>
      </c>
      <c r="K66" s="12">
        <v>79</v>
      </c>
      <c r="L66" s="12">
        <v>39</v>
      </c>
      <c r="M66" s="12">
        <v>0</v>
      </c>
      <c r="N66" s="12">
        <v>0</v>
      </c>
      <c r="O66" s="16">
        <v>0</v>
      </c>
    </row>
    <row r="67" spans="1:15" ht="11.25" customHeight="1">
      <c r="A67" s="6" t="s">
        <v>61</v>
      </c>
      <c r="B67" s="13">
        <f t="shared" si="3"/>
        <v>674</v>
      </c>
      <c r="C67" s="13">
        <v>72</v>
      </c>
      <c r="D67" s="13">
        <v>88</v>
      </c>
      <c r="E67" s="13">
        <v>92</v>
      </c>
      <c r="F67" s="13">
        <v>84</v>
      </c>
      <c r="G67" s="13">
        <v>100</v>
      </c>
      <c r="H67" s="13">
        <v>78</v>
      </c>
      <c r="I67" s="13">
        <v>88</v>
      </c>
      <c r="J67" s="13">
        <v>36</v>
      </c>
      <c r="K67" s="13">
        <v>36</v>
      </c>
      <c r="L67" s="13">
        <v>0</v>
      </c>
      <c r="M67" s="13">
        <v>0</v>
      </c>
      <c r="N67" s="13">
        <v>0</v>
      </c>
      <c r="O67" s="17">
        <v>0</v>
      </c>
    </row>
    <row r="68" spans="1:15" ht="11.25" customHeight="1">
      <c r="A68" s="6" t="s">
        <v>62</v>
      </c>
      <c r="B68" s="13">
        <f t="shared" si="3"/>
        <v>985</v>
      </c>
      <c r="C68" s="13">
        <v>130</v>
      </c>
      <c r="D68" s="13">
        <v>130</v>
      </c>
      <c r="E68" s="13">
        <v>156</v>
      </c>
      <c r="F68" s="13">
        <v>130</v>
      </c>
      <c r="G68" s="13">
        <v>114</v>
      </c>
      <c r="H68" s="13">
        <v>130</v>
      </c>
      <c r="I68" s="13">
        <v>92</v>
      </c>
      <c r="J68" s="13">
        <v>63</v>
      </c>
      <c r="K68" s="13">
        <v>40</v>
      </c>
      <c r="L68" s="13">
        <v>0</v>
      </c>
      <c r="M68" s="13">
        <v>0</v>
      </c>
      <c r="N68" s="13">
        <v>0</v>
      </c>
      <c r="O68" s="17">
        <v>0</v>
      </c>
    </row>
    <row r="69" spans="1:15" ht="11.25" customHeight="1">
      <c r="A69" s="6" t="s">
        <v>63</v>
      </c>
      <c r="B69" s="13">
        <f t="shared" si="3"/>
        <v>447</v>
      </c>
      <c r="C69" s="13">
        <v>64</v>
      </c>
      <c r="D69" s="13">
        <v>72</v>
      </c>
      <c r="E69" s="13">
        <v>73</v>
      </c>
      <c r="F69" s="13">
        <v>72</v>
      </c>
      <c r="G69" s="13">
        <v>62</v>
      </c>
      <c r="H69" s="13">
        <v>63</v>
      </c>
      <c r="I69" s="13">
        <v>41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7">
        <v>0</v>
      </c>
    </row>
    <row r="70" spans="1:15" ht="11.25" customHeight="1">
      <c r="A70" s="7" t="s">
        <v>64</v>
      </c>
      <c r="B70" s="14">
        <f t="shared" si="3"/>
        <v>127</v>
      </c>
      <c r="C70" s="14">
        <v>26</v>
      </c>
      <c r="D70" s="14">
        <v>25</v>
      </c>
      <c r="E70" s="14">
        <v>25</v>
      </c>
      <c r="F70" s="14">
        <v>27</v>
      </c>
      <c r="G70" s="14">
        <v>24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8">
        <v>0</v>
      </c>
    </row>
    <row r="71" spans="1:15" ht="11.25" customHeight="1">
      <c r="A71" s="6" t="s">
        <v>65</v>
      </c>
      <c r="B71" s="13">
        <f t="shared" si="3"/>
        <v>813</v>
      </c>
      <c r="C71" s="13">
        <v>78</v>
      </c>
      <c r="D71" s="13">
        <v>78</v>
      </c>
      <c r="E71" s="13">
        <v>78</v>
      </c>
      <c r="F71" s="13">
        <v>78</v>
      </c>
      <c r="G71" s="13">
        <v>78</v>
      </c>
      <c r="H71" s="13">
        <v>78</v>
      </c>
      <c r="I71" s="13">
        <v>104</v>
      </c>
      <c r="J71" s="13">
        <v>94</v>
      </c>
      <c r="K71" s="13">
        <v>84</v>
      </c>
      <c r="L71" s="13">
        <v>63</v>
      </c>
      <c r="M71" s="13">
        <v>0</v>
      </c>
      <c r="N71" s="13">
        <v>0</v>
      </c>
      <c r="O71" s="17">
        <v>0</v>
      </c>
    </row>
    <row r="72" spans="1:15" ht="11.25" customHeight="1">
      <c r="A72" s="6" t="s">
        <v>66</v>
      </c>
      <c r="B72" s="13">
        <f t="shared" si="3"/>
        <v>567</v>
      </c>
      <c r="C72" s="13">
        <v>53</v>
      </c>
      <c r="D72" s="13">
        <v>73</v>
      </c>
      <c r="E72" s="13">
        <v>49</v>
      </c>
      <c r="F72" s="13">
        <v>72</v>
      </c>
      <c r="G72" s="13">
        <v>53</v>
      </c>
      <c r="H72" s="13">
        <v>51</v>
      </c>
      <c r="I72" s="13">
        <v>56</v>
      </c>
      <c r="J72" s="13">
        <v>86</v>
      </c>
      <c r="K72" s="13">
        <v>74</v>
      </c>
      <c r="L72" s="13">
        <v>0</v>
      </c>
      <c r="M72" s="13">
        <v>0</v>
      </c>
      <c r="N72" s="13">
        <v>0</v>
      </c>
      <c r="O72" s="17">
        <v>0</v>
      </c>
    </row>
    <row r="73" spans="1:15" ht="11.25" customHeight="1">
      <c r="A73" s="6" t="s">
        <v>67</v>
      </c>
      <c r="B73" s="13">
        <f t="shared" si="3"/>
        <v>155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55</v>
      </c>
      <c r="M73" s="13">
        <v>43</v>
      </c>
      <c r="N73" s="13">
        <v>33</v>
      </c>
      <c r="O73" s="17">
        <v>24</v>
      </c>
    </row>
    <row r="74" spans="1:15" ht="11.25" customHeight="1">
      <c r="A74" s="6" t="s">
        <v>68</v>
      </c>
      <c r="B74" s="13">
        <f t="shared" si="3"/>
        <v>238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118</v>
      </c>
      <c r="O74" s="17">
        <v>120</v>
      </c>
    </row>
    <row r="75" spans="1:15" ht="11.25" customHeight="1">
      <c r="A75" s="6" t="s">
        <v>69</v>
      </c>
      <c r="B75" s="13">
        <f t="shared" si="3"/>
        <v>184</v>
      </c>
      <c r="C75" s="13">
        <v>20</v>
      </c>
      <c r="D75" s="13">
        <v>20</v>
      </c>
      <c r="E75" s="13">
        <v>21</v>
      </c>
      <c r="F75" s="13">
        <v>22</v>
      </c>
      <c r="G75" s="13">
        <v>22</v>
      </c>
      <c r="H75" s="13">
        <v>21</v>
      </c>
      <c r="I75" s="13">
        <v>22</v>
      </c>
      <c r="J75" s="13">
        <v>22</v>
      </c>
      <c r="K75" s="13">
        <v>14</v>
      </c>
      <c r="L75" s="13">
        <v>0</v>
      </c>
      <c r="M75" s="13">
        <v>0</v>
      </c>
      <c r="N75" s="13">
        <v>0</v>
      </c>
      <c r="O75" s="17">
        <v>0</v>
      </c>
    </row>
    <row r="76" spans="1:15" ht="11.25" customHeight="1">
      <c r="A76" s="5" t="s">
        <v>125</v>
      </c>
      <c r="B76" s="12">
        <f t="shared" si="3"/>
        <v>614</v>
      </c>
      <c r="C76" s="12">
        <v>0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104</v>
      </c>
      <c r="K76" s="12">
        <v>103</v>
      </c>
      <c r="L76" s="12">
        <v>128</v>
      </c>
      <c r="M76" s="12">
        <v>110</v>
      </c>
      <c r="N76" s="12">
        <v>96</v>
      </c>
      <c r="O76" s="16">
        <v>73</v>
      </c>
    </row>
    <row r="77" spans="1:15" ht="11.25" customHeight="1">
      <c r="A77" s="6" t="s">
        <v>70</v>
      </c>
      <c r="B77" s="13">
        <f t="shared" si="3"/>
        <v>841</v>
      </c>
      <c r="C77" s="13">
        <v>100</v>
      </c>
      <c r="D77" s="13">
        <v>75</v>
      </c>
      <c r="E77" s="13">
        <v>101</v>
      </c>
      <c r="F77" s="13">
        <v>100</v>
      </c>
      <c r="G77" s="13">
        <v>101</v>
      </c>
      <c r="H77" s="13">
        <v>100</v>
      </c>
      <c r="I77" s="13">
        <v>102</v>
      </c>
      <c r="J77" s="13">
        <v>77</v>
      </c>
      <c r="K77" s="13">
        <v>58</v>
      </c>
      <c r="L77" s="13">
        <v>27</v>
      </c>
      <c r="M77" s="13">
        <v>0</v>
      </c>
      <c r="N77" s="13">
        <v>0</v>
      </c>
      <c r="O77" s="17">
        <v>0</v>
      </c>
    </row>
    <row r="78" spans="1:15" ht="11.25" customHeight="1">
      <c r="A78" s="6" t="s">
        <v>71</v>
      </c>
      <c r="B78" s="13">
        <f t="shared" si="3"/>
        <v>1092</v>
      </c>
      <c r="C78" s="13">
        <v>108</v>
      </c>
      <c r="D78" s="13">
        <v>108</v>
      </c>
      <c r="E78" s="13">
        <v>81</v>
      </c>
      <c r="F78" s="13">
        <v>81</v>
      </c>
      <c r="G78" s="13">
        <v>81</v>
      </c>
      <c r="H78" s="13">
        <v>81</v>
      </c>
      <c r="I78" s="13">
        <v>76</v>
      </c>
      <c r="J78" s="13">
        <v>131</v>
      </c>
      <c r="K78" s="13">
        <v>107</v>
      </c>
      <c r="L78" s="13">
        <v>105</v>
      </c>
      <c r="M78" s="13">
        <v>44</v>
      </c>
      <c r="N78" s="13">
        <v>54</v>
      </c>
      <c r="O78" s="17">
        <v>35</v>
      </c>
    </row>
    <row r="79" spans="1:15" ht="11.25" customHeight="1">
      <c r="A79" s="6" t="s">
        <v>72</v>
      </c>
      <c r="B79" s="13">
        <f t="shared" si="3"/>
        <v>423</v>
      </c>
      <c r="C79" s="13">
        <v>55</v>
      </c>
      <c r="D79" s="13">
        <v>51</v>
      </c>
      <c r="E79" s="13">
        <v>41</v>
      </c>
      <c r="F79" s="13">
        <v>52</v>
      </c>
      <c r="G79" s="13">
        <v>44</v>
      </c>
      <c r="H79" s="13">
        <v>41</v>
      </c>
      <c r="I79" s="13">
        <v>43</v>
      </c>
      <c r="J79" s="13">
        <v>30</v>
      </c>
      <c r="K79" s="13">
        <v>21</v>
      </c>
      <c r="L79" s="13">
        <v>16</v>
      </c>
      <c r="M79" s="13">
        <v>10</v>
      </c>
      <c r="N79" s="13">
        <v>7</v>
      </c>
      <c r="O79" s="17">
        <v>12</v>
      </c>
    </row>
    <row r="80" spans="1:15" ht="11.25" customHeight="1">
      <c r="A80" s="7" t="s">
        <v>73</v>
      </c>
      <c r="B80" s="14">
        <f t="shared" si="3"/>
        <v>645</v>
      </c>
      <c r="C80" s="14">
        <v>46</v>
      </c>
      <c r="D80" s="14">
        <v>48</v>
      </c>
      <c r="E80" s="14">
        <v>53</v>
      </c>
      <c r="F80" s="14">
        <v>52</v>
      </c>
      <c r="G80" s="14">
        <v>52</v>
      </c>
      <c r="H80" s="14">
        <v>79</v>
      </c>
      <c r="I80" s="14">
        <v>81</v>
      </c>
      <c r="J80" s="14">
        <v>91</v>
      </c>
      <c r="K80" s="14">
        <v>81</v>
      </c>
      <c r="L80" s="14">
        <v>62</v>
      </c>
      <c r="M80" s="14">
        <v>0</v>
      </c>
      <c r="N80" s="14">
        <v>0</v>
      </c>
      <c r="O80" s="18">
        <v>0</v>
      </c>
    </row>
    <row r="81" spans="1:15" ht="11.25" customHeight="1">
      <c r="A81" s="5" t="s">
        <v>74</v>
      </c>
      <c r="B81" s="12">
        <f t="shared" si="3"/>
        <v>491</v>
      </c>
      <c r="C81" s="12">
        <v>79</v>
      </c>
      <c r="D81" s="12">
        <v>71</v>
      </c>
      <c r="E81" s="12">
        <v>70</v>
      </c>
      <c r="F81" s="12">
        <v>74</v>
      </c>
      <c r="G81" s="12">
        <v>68</v>
      </c>
      <c r="H81" s="12">
        <v>63</v>
      </c>
      <c r="I81" s="12">
        <v>66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6">
        <v>0</v>
      </c>
    </row>
    <row r="82" spans="1:15" ht="11.25" customHeight="1">
      <c r="A82" s="6" t="s">
        <v>75</v>
      </c>
      <c r="B82" s="13">
        <f t="shared" si="3"/>
        <v>597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94</v>
      </c>
      <c r="K82" s="13">
        <v>83</v>
      </c>
      <c r="L82" s="13">
        <v>120</v>
      </c>
      <c r="M82" s="13">
        <v>116</v>
      </c>
      <c r="N82" s="13">
        <v>106</v>
      </c>
      <c r="O82" s="17">
        <v>78</v>
      </c>
    </row>
    <row r="83" spans="1:15" ht="11.25" customHeight="1">
      <c r="A83" s="6" t="s">
        <v>76</v>
      </c>
      <c r="B83" s="13">
        <f t="shared" si="3"/>
        <v>105</v>
      </c>
      <c r="C83" s="13">
        <v>21</v>
      </c>
      <c r="D83" s="13">
        <v>20</v>
      </c>
      <c r="E83" s="13">
        <v>19</v>
      </c>
      <c r="F83" s="13">
        <v>20</v>
      </c>
      <c r="G83" s="13">
        <v>9</v>
      </c>
      <c r="H83" s="13">
        <v>8</v>
      </c>
      <c r="I83" s="13">
        <v>8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7">
        <v>0</v>
      </c>
    </row>
    <row r="84" spans="1:15" ht="11.25" customHeight="1">
      <c r="A84" s="6" t="s">
        <v>77</v>
      </c>
      <c r="B84" s="13">
        <f t="shared" si="3"/>
        <v>751</v>
      </c>
      <c r="C84" s="13">
        <v>75</v>
      </c>
      <c r="D84" s="13">
        <v>76</v>
      </c>
      <c r="E84" s="13">
        <v>75</v>
      </c>
      <c r="F84" s="13">
        <v>75</v>
      </c>
      <c r="G84" s="13">
        <v>75</v>
      </c>
      <c r="H84" s="13">
        <v>75</v>
      </c>
      <c r="I84" s="13">
        <v>78</v>
      </c>
      <c r="J84" s="13">
        <v>78</v>
      </c>
      <c r="K84" s="13">
        <v>77</v>
      </c>
      <c r="L84" s="13">
        <v>67</v>
      </c>
      <c r="M84" s="13">
        <v>0</v>
      </c>
      <c r="N84" s="13">
        <v>0</v>
      </c>
      <c r="O84" s="17">
        <v>0</v>
      </c>
    </row>
    <row r="85" spans="1:15" ht="11.25" customHeight="1">
      <c r="A85" s="7" t="s">
        <v>78</v>
      </c>
      <c r="B85" s="14">
        <f t="shared" si="3"/>
        <v>749</v>
      </c>
      <c r="C85" s="14">
        <v>74</v>
      </c>
      <c r="D85" s="14">
        <v>77</v>
      </c>
      <c r="E85" s="14">
        <v>81</v>
      </c>
      <c r="F85" s="14">
        <v>83</v>
      </c>
      <c r="G85" s="14">
        <v>83</v>
      </c>
      <c r="H85" s="14">
        <v>103</v>
      </c>
      <c r="I85" s="14">
        <v>100</v>
      </c>
      <c r="J85" s="14">
        <v>57</v>
      </c>
      <c r="K85" s="14">
        <v>56</v>
      </c>
      <c r="L85" s="14">
        <v>35</v>
      </c>
      <c r="M85" s="14">
        <v>0</v>
      </c>
      <c r="N85" s="14">
        <v>0</v>
      </c>
      <c r="O85" s="18">
        <v>0</v>
      </c>
    </row>
    <row r="86" spans="1:15" ht="11.25" customHeight="1">
      <c r="A86" s="6" t="s">
        <v>79</v>
      </c>
      <c r="B86" s="13">
        <f t="shared" si="3"/>
        <v>525</v>
      </c>
      <c r="C86" s="13">
        <v>55</v>
      </c>
      <c r="D86" s="13">
        <v>55</v>
      </c>
      <c r="E86" s="13">
        <v>56</v>
      </c>
      <c r="F86" s="13">
        <v>71</v>
      </c>
      <c r="G86" s="13">
        <v>53</v>
      </c>
      <c r="H86" s="13">
        <v>54</v>
      </c>
      <c r="I86" s="13">
        <v>52</v>
      </c>
      <c r="J86" s="13">
        <v>53</v>
      </c>
      <c r="K86" s="13">
        <v>49</v>
      </c>
      <c r="L86" s="13">
        <v>27</v>
      </c>
      <c r="M86" s="13">
        <v>0</v>
      </c>
      <c r="N86" s="13">
        <v>0</v>
      </c>
      <c r="O86" s="17">
        <v>0</v>
      </c>
    </row>
    <row r="87" spans="1:15" ht="11.25" customHeight="1">
      <c r="A87" s="6" t="s">
        <v>124</v>
      </c>
      <c r="B87" s="13">
        <f t="shared" si="3"/>
        <v>502</v>
      </c>
      <c r="C87" s="13">
        <v>0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214</v>
      </c>
      <c r="N87" s="13">
        <v>155</v>
      </c>
      <c r="O87" s="17">
        <v>133</v>
      </c>
    </row>
    <row r="88" spans="1:15" ht="11.25" customHeight="1">
      <c r="A88" s="6" t="s">
        <v>80</v>
      </c>
      <c r="B88" s="13">
        <f t="shared" si="3"/>
        <v>598</v>
      </c>
      <c r="C88" s="13">
        <v>89</v>
      </c>
      <c r="D88" s="13">
        <v>87</v>
      </c>
      <c r="E88" s="13">
        <v>87</v>
      </c>
      <c r="F88" s="13">
        <v>86</v>
      </c>
      <c r="G88" s="13">
        <v>85</v>
      </c>
      <c r="H88" s="13">
        <v>85</v>
      </c>
      <c r="I88" s="13">
        <v>79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7">
        <v>0</v>
      </c>
    </row>
    <row r="89" spans="1:15" ht="11.25" customHeight="1">
      <c r="A89" s="6" t="s">
        <v>81</v>
      </c>
      <c r="B89" s="13">
        <f t="shared" si="3"/>
        <v>1018</v>
      </c>
      <c r="C89" s="13">
        <v>102</v>
      </c>
      <c r="D89" s="13">
        <v>107</v>
      </c>
      <c r="E89" s="13">
        <v>113</v>
      </c>
      <c r="F89" s="13">
        <v>112</v>
      </c>
      <c r="G89" s="13">
        <v>111</v>
      </c>
      <c r="H89" s="13">
        <v>111</v>
      </c>
      <c r="I89" s="13">
        <v>112</v>
      </c>
      <c r="J89" s="13">
        <v>96</v>
      </c>
      <c r="K89" s="13">
        <v>97</v>
      </c>
      <c r="L89" s="13">
        <v>57</v>
      </c>
      <c r="M89" s="13">
        <v>0</v>
      </c>
      <c r="N89" s="13">
        <v>0</v>
      </c>
      <c r="O89" s="17">
        <v>0</v>
      </c>
    </row>
    <row r="90" spans="1:15" ht="11.25" customHeight="1">
      <c r="A90" s="6" t="s">
        <v>82</v>
      </c>
      <c r="B90" s="13">
        <f t="shared" si="3"/>
        <v>510</v>
      </c>
      <c r="C90" s="13">
        <v>50</v>
      </c>
      <c r="D90" s="13">
        <v>51</v>
      </c>
      <c r="E90" s="13">
        <v>50</v>
      </c>
      <c r="F90" s="13">
        <v>52</v>
      </c>
      <c r="G90" s="13">
        <v>52</v>
      </c>
      <c r="H90" s="13">
        <v>52</v>
      </c>
      <c r="I90" s="13">
        <v>52</v>
      </c>
      <c r="J90" s="13">
        <v>54</v>
      </c>
      <c r="K90" s="13">
        <v>54</v>
      </c>
      <c r="L90" s="13">
        <v>43</v>
      </c>
      <c r="M90" s="13">
        <v>0</v>
      </c>
      <c r="N90" s="13">
        <v>0</v>
      </c>
      <c r="O90" s="17">
        <v>0</v>
      </c>
    </row>
    <row r="91" spans="1:15" ht="11.25" customHeight="1">
      <c r="A91" s="5" t="s">
        <v>83</v>
      </c>
      <c r="B91" s="12">
        <f t="shared" si="3"/>
        <v>537</v>
      </c>
      <c r="C91" s="12">
        <v>101</v>
      </c>
      <c r="D91" s="12">
        <v>101</v>
      </c>
      <c r="E91" s="12">
        <v>98</v>
      </c>
      <c r="F91" s="12">
        <v>79</v>
      </c>
      <c r="G91" s="12">
        <v>51</v>
      </c>
      <c r="H91" s="12">
        <v>64</v>
      </c>
      <c r="I91" s="12">
        <v>43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6">
        <v>0</v>
      </c>
    </row>
    <row r="92" spans="1:15" ht="11.25" customHeight="1">
      <c r="A92" s="6" t="s">
        <v>84</v>
      </c>
      <c r="B92" s="13">
        <f t="shared" si="3"/>
        <v>1025</v>
      </c>
      <c r="C92" s="13">
        <v>103</v>
      </c>
      <c r="D92" s="13">
        <v>106</v>
      </c>
      <c r="E92" s="13">
        <v>104</v>
      </c>
      <c r="F92" s="13">
        <v>104</v>
      </c>
      <c r="G92" s="13">
        <v>104</v>
      </c>
      <c r="H92" s="13">
        <v>110</v>
      </c>
      <c r="I92" s="13">
        <v>105</v>
      </c>
      <c r="J92" s="13">
        <v>98</v>
      </c>
      <c r="K92" s="13">
        <v>95</v>
      </c>
      <c r="L92" s="13">
        <v>96</v>
      </c>
      <c r="M92" s="13">
        <v>0</v>
      </c>
      <c r="N92" s="13">
        <v>0</v>
      </c>
      <c r="O92" s="17">
        <v>0</v>
      </c>
    </row>
    <row r="93" spans="1:15" ht="11.25" customHeight="1">
      <c r="A93" s="6" t="s">
        <v>85</v>
      </c>
      <c r="B93" s="13">
        <f t="shared" si="3"/>
        <v>380</v>
      </c>
      <c r="C93" s="13">
        <v>39</v>
      </c>
      <c r="D93" s="13">
        <v>48</v>
      </c>
      <c r="E93" s="13">
        <v>64</v>
      </c>
      <c r="F93" s="13">
        <v>42</v>
      </c>
      <c r="G93" s="13">
        <v>63</v>
      </c>
      <c r="H93" s="13">
        <v>35</v>
      </c>
      <c r="I93" s="13">
        <v>29</v>
      </c>
      <c r="J93" s="13">
        <v>36</v>
      </c>
      <c r="K93" s="13">
        <v>24</v>
      </c>
      <c r="L93" s="13">
        <v>0</v>
      </c>
      <c r="M93" s="13">
        <v>0</v>
      </c>
      <c r="N93" s="13">
        <v>0</v>
      </c>
      <c r="O93" s="17">
        <v>0</v>
      </c>
    </row>
    <row r="94" spans="1:15" ht="11.25" customHeight="1">
      <c r="A94" s="6" t="s">
        <v>123</v>
      </c>
      <c r="B94" s="13">
        <f t="shared" si="3"/>
        <v>334</v>
      </c>
      <c r="C94" s="13">
        <v>0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58</v>
      </c>
      <c r="M94" s="13">
        <v>84</v>
      </c>
      <c r="N94" s="13">
        <v>98</v>
      </c>
      <c r="O94" s="17">
        <v>94</v>
      </c>
    </row>
    <row r="95" spans="1:15" ht="11.25" customHeight="1">
      <c r="A95" s="7" t="s">
        <v>86</v>
      </c>
      <c r="B95" s="14">
        <f t="shared" si="3"/>
        <v>783</v>
      </c>
      <c r="C95" s="14">
        <v>83</v>
      </c>
      <c r="D95" s="14">
        <v>106</v>
      </c>
      <c r="E95" s="14">
        <v>103</v>
      </c>
      <c r="F95" s="14">
        <v>107</v>
      </c>
      <c r="G95" s="14">
        <v>102</v>
      </c>
      <c r="H95" s="14">
        <v>98</v>
      </c>
      <c r="I95" s="14">
        <v>71</v>
      </c>
      <c r="J95" s="14">
        <v>50</v>
      </c>
      <c r="K95" s="14">
        <v>44</v>
      </c>
      <c r="L95" s="14">
        <v>19</v>
      </c>
      <c r="M95" s="14">
        <v>0</v>
      </c>
      <c r="N95" s="14">
        <v>0</v>
      </c>
      <c r="O95" s="18">
        <v>0</v>
      </c>
    </row>
    <row r="96" spans="1:15" ht="11.25" customHeight="1">
      <c r="A96" s="6" t="s">
        <v>87</v>
      </c>
      <c r="B96" s="13">
        <f t="shared" si="3"/>
        <v>451</v>
      </c>
      <c r="C96" s="13">
        <v>42</v>
      </c>
      <c r="D96" s="13">
        <v>66</v>
      </c>
      <c r="E96" s="13">
        <v>53</v>
      </c>
      <c r="F96" s="13">
        <v>46</v>
      </c>
      <c r="G96" s="13">
        <v>65</v>
      </c>
      <c r="H96" s="13">
        <v>41</v>
      </c>
      <c r="I96" s="13">
        <v>56</v>
      </c>
      <c r="J96" s="13">
        <v>46</v>
      </c>
      <c r="K96" s="13">
        <v>36</v>
      </c>
      <c r="L96" s="13">
        <v>0</v>
      </c>
      <c r="M96" s="13">
        <v>0</v>
      </c>
      <c r="N96" s="13">
        <v>0</v>
      </c>
      <c r="O96" s="17">
        <v>0</v>
      </c>
    </row>
    <row r="97" spans="1:15" ht="11.25" customHeight="1">
      <c r="A97" s="6" t="s">
        <v>88</v>
      </c>
      <c r="B97" s="13">
        <f t="shared" si="3"/>
        <v>523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  <c r="J97" s="13">
        <v>0</v>
      </c>
      <c r="K97" s="13">
        <v>0</v>
      </c>
      <c r="L97" s="13">
        <v>123</v>
      </c>
      <c r="M97" s="13">
        <v>156</v>
      </c>
      <c r="N97" s="13">
        <v>115</v>
      </c>
      <c r="O97" s="17">
        <v>129</v>
      </c>
    </row>
    <row r="98" spans="1:15" ht="11.25" customHeight="1">
      <c r="A98" s="6" t="s">
        <v>89</v>
      </c>
      <c r="B98" s="13">
        <f t="shared" si="3"/>
        <v>526</v>
      </c>
      <c r="C98" s="13">
        <v>21</v>
      </c>
      <c r="D98" s="13">
        <v>33</v>
      </c>
      <c r="E98" s="13">
        <v>29</v>
      </c>
      <c r="F98" s="13">
        <v>43</v>
      </c>
      <c r="G98" s="13">
        <v>31</v>
      </c>
      <c r="H98" s="13">
        <v>46</v>
      </c>
      <c r="I98" s="13">
        <v>33</v>
      </c>
      <c r="J98" s="13">
        <v>42</v>
      </c>
      <c r="K98" s="13">
        <v>61</v>
      </c>
      <c r="L98" s="13">
        <v>63</v>
      </c>
      <c r="M98" s="13">
        <v>39</v>
      </c>
      <c r="N98" s="13">
        <v>43</v>
      </c>
      <c r="O98" s="17">
        <v>42</v>
      </c>
    </row>
    <row r="99" spans="1:15" ht="11.25" customHeight="1">
      <c r="A99" s="6" t="s">
        <v>122</v>
      </c>
      <c r="B99" s="13">
        <f t="shared" si="3"/>
        <v>208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88</v>
      </c>
      <c r="M99" s="13">
        <v>52</v>
      </c>
      <c r="N99" s="13">
        <v>41</v>
      </c>
      <c r="O99" s="17">
        <v>27</v>
      </c>
    </row>
    <row r="100" spans="1:15" ht="11.25" customHeight="1">
      <c r="A100" s="6" t="s">
        <v>121</v>
      </c>
      <c r="B100" s="13">
        <f t="shared" si="3"/>
        <v>452</v>
      </c>
      <c r="C100" s="13">
        <v>50</v>
      </c>
      <c r="D100" s="13">
        <v>50</v>
      </c>
      <c r="E100" s="13">
        <v>50</v>
      </c>
      <c r="F100" s="13">
        <v>50</v>
      </c>
      <c r="G100" s="13">
        <v>50</v>
      </c>
      <c r="H100" s="13">
        <v>51</v>
      </c>
      <c r="I100" s="13">
        <v>50</v>
      </c>
      <c r="J100" s="13">
        <v>50</v>
      </c>
      <c r="K100" s="13">
        <v>51</v>
      </c>
      <c r="L100" s="13">
        <v>0</v>
      </c>
      <c r="M100" s="13">
        <v>0</v>
      </c>
      <c r="N100" s="13">
        <v>0</v>
      </c>
      <c r="O100" s="17">
        <v>0</v>
      </c>
    </row>
    <row r="101" spans="1:15" ht="11.25" customHeight="1">
      <c r="A101" s="5" t="s">
        <v>90</v>
      </c>
      <c r="B101" s="12">
        <f t="shared" si="3"/>
        <v>1465</v>
      </c>
      <c r="C101" s="12">
        <v>125</v>
      </c>
      <c r="D101" s="12">
        <v>126</v>
      </c>
      <c r="E101" s="12">
        <v>125</v>
      </c>
      <c r="F101" s="12">
        <v>126</v>
      </c>
      <c r="G101" s="12">
        <v>126</v>
      </c>
      <c r="H101" s="12">
        <v>126</v>
      </c>
      <c r="I101" s="12">
        <v>168</v>
      </c>
      <c r="J101" s="12">
        <v>211</v>
      </c>
      <c r="K101" s="12">
        <v>208</v>
      </c>
      <c r="L101" s="12">
        <v>124</v>
      </c>
      <c r="M101" s="12">
        <v>0</v>
      </c>
      <c r="N101" s="12">
        <v>0</v>
      </c>
      <c r="O101" s="16">
        <v>0</v>
      </c>
    </row>
    <row r="102" spans="1:15" ht="11.25" customHeight="1">
      <c r="A102" s="6" t="s">
        <v>91</v>
      </c>
      <c r="B102" s="13">
        <f t="shared" si="3"/>
        <v>339</v>
      </c>
      <c r="C102" s="13">
        <v>46</v>
      </c>
      <c r="D102" s="13">
        <v>48</v>
      </c>
      <c r="E102" s="13">
        <v>37</v>
      </c>
      <c r="F102" s="13">
        <v>49</v>
      </c>
      <c r="G102" s="13">
        <v>44</v>
      </c>
      <c r="H102" s="13">
        <v>22</v>
      </c>
      <c r="I102" s="13">
        <v>36</v>
      </c>
      <c r="J102" s="13">
        <v>19</v>
      </c>
      <c r="K102" s="13">
        <v>18</v>
      </c>
      <c r="L102" s="13">
        <v>20</v>
      </c>
      <c r="M102" s="13">
        <v>0</v>
      </c>
      <c r="N102" s="13">
        <v>0</v>
      </c>
      <c r="O102" s="17">
        <v>0</v>
      </c>
    </row>
    <row r="103" spans="1:15" ht="11.25" customHeight="1">
      <c r="A103" s="6" t="s">
        <v>92</v>
      </c>
      <c r="B103" s="13">
        <f t="shared" si="3"/>
        <v>902</v>
      </c>
      <c r="C103" s="13">
        <v>108</v>
      </c>
      <c r="D103" s="13">
        <v>108</v>
      </c>
      <c r="E103" s="13">
        <v>109</v>
      </c>
      <c r="F103" s="13">
        <v>121</v>
      </c>
      <c r="G103" s="13">
        <v>121</v>
      </c>
      <c r="H103" s="13">
        <v>113</v>
      </c>
      <c r="I103" s="13">
        <v>112</v>
      </c>
      <c r="J103" s="13">
        <v>58</v>
      </c>
      <c r="K103" s="13">
        <v>34</v>
      </c>
      <c r="L103" s="13">
        <v>18</v>
      </c>
      <c r="M103" s="13">
        <v>0</v>
      </c>
      <c r="N103" s="13">
        <v>0</v>
      </c>
      <c r="O103" s="17">
        <v>0</v>
      </c>
    </row>
    <row r="104" spans="1:15" ht="11.25" customHeight="1">
      <c r="A104" s="6" t="s">
        <v>93</v>
      </c>
      <c r="B104" s="13">
        <f t="shared" si="3"/>
        <v>364</v>
      </c>
      <c r="C104" s="13">
        <v>52</v>
      </c>
      <c r="D104" s="13">
        <v>52</v>
      </c>
      <c r="E104" s="13">
        <v>52</v>
      </c>
      <c r="F104" s="13">
        <v>52</v>
      </c>
      <c r="G104" s="13">
        <v>52</v>
      </c>
      <c r="H104" s="13">
        <v>52</v>
      </c>
      <c r="I104" s="13">
        <v>52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7">
        <v>0</v>
      </c>
    </row>
    <row r="105" spans="1:15" ht="11.25" customHeight="1">
      <c r="A105" s="7" t="s">
        <v>94</v>
      </c>
      <c r="B105" s="14">
        <f t="shared" si="3"/>
        <v>675</v>
      </c>
      <c r="C105" s="14">
        <v>80</v>
      </c>
      <c r="D105" s="14">
        <v>78</v>
      </c>
      <c r="E105" s="14">
        <v>79</v>
      </c>
      <c r="F105" s="14">
        <v>78</v>
      </c>
      <c r="G105" s="14">
        <v>79</v>
      </c>
      <c r="H105" s="14">
        <v>76</v>
      </c>
      <c r="I105" s="14">
        <v>78</v>
      </c>
      <c r="J105" s="14">
        <v>72</v>
      </c>
      <c r="K105" s="14">
        <v>55</v>
      </c>
      <c r="L105" s="14">
        <v>0</v>
      </c>
      <c r="M105" s="14">
        <v>0</v>
      </c>
      <c r="N105" s="14">
        <v>0</v>
      </c>
      <c r="O105" s="18">
        <v>0</v>
      </c>
    </row>
    <row r="106" spans="1:15" ht="11.25" customHeight="1">
      <c r="A106" s="6" t="s">
        <v>95</v>
      </c>
      <c r="B106" s="13">
        <f t="shared" si="3"/>
        <v>678</v>
      </c>
      <c r="C106" s="13">
        <v>96</v>
      </c>
      <c r="D106" s="13">
        <v>103</v>
      </c>
      <c r="E106" s="13">
        <v>79</v>
      </c>
      <c r="F106" s="13">
        <v>84</v>
      </c>
      <c r="G106" s="13">
        <v>75</v>
      </c>
      <c r="H106" s="13">
        <v>73</v>
      </c>
      <c r="I106" s="13">
        <v>69</v>
      </c>
      <c r="J106" s="13">
        <v>47</v>
      </c>
      <c r="K106" s="13">
        <v>38</v>
      </c>
      <c r="L106" s="13">
        <v>14</v>
      </c>
      <c r="M106" s="13">
        <v>0</v>
      </c>
      <c r="N106" s="13">
        <v>0</v>
      </c>
      <c r="O106" s="17">
        <v>0</v>
      </c>
    </row>
    <row r="107" spans="1:15" ht="11.25" customHeight="1">
      <c r="A107" s="6" t="s">
        <v>96</v>
      </c>
      <c r="B107" s="13">
        <f t="shared" si="3"/>
        <v>698</v>
      </c>
      <c r="C107" s="13">
        <v>0</v>
      </c>
      <c r="D107" s="13">
        <v>0</v>
      </c>
      <c r="E107" s="13">
        <v>0</v>
      </c>
      <c r="F107" s="13">
        <v>0</v>
      </c>
      <c r="G107" s="13">
        <v>0</v>
      </c>
      <c r="H107" s="13">
        <v>0</v>
      </c>
      <c r="I107" s="13">
        <v>0</v>
      </c>
      <c r="J107" s="13">
        <v>148</v>
      </c>
      <c r="K107" s="13">
        <v>163</v>
      </c>
      <c r="L107" s="13">
        <v>135</v>
      </c>
      <c r="M107" s="13">
        <v>104</v>
      </c>
      <c r="N107" s="13">
        <v>88</v>
      </c>
      <c r="O107" s="17">
        <v>60</v>
      </c>
    </row>
    <row r="108" spans="1:15" ht="11.25" customHeight="1">
      <c r="A108" s="6" t="s">
        <v>97</v>
      </c>
      <c r="B108" s="13">
        <f t="shared" si="3"/>
        <v>300</v>
      </c>
      <c r="C108" s="13">
        <v>0</v>
      </c>
      <c r="D108" s="13">
        <v>0</v>
      </c>
      <c r="E108" s="13">
        <v>0</v>
      </c>
      <c r="F108" s="13">
        <v>0</v>
      </c>
      <c r="G108" s="13">
        <v>0</v>
      </c>
      <c r="H108" s="13">
        <v>75</v>
      </c>
      <c r="I108" s="13">
        <v>73</v>
      </c>
      <c r="J108" s="13">
        <v>74</v>
      </c>
      <c r="K108" s="13">
        <v>78</v>
      </c>
      <c r="L108" s="13">
        <v>0</v>
      </c>
      <c r="M108" s="13">
        <v>0</v>
      </c>
      <c r="N108" s="13">
        <v>0</v>
      </c>
      <c r="O108" s="17">
        <v>0</v>
      </c>
    </row>
    <row r="109" spans="1:15" ht="11.25" customHeight="1">
      <c r="A109" s="6" t="s">
        <v>120</v>
      </c>
      <c r="B109" s="13">
        <f t="shared" si="3"/>
        <v>348</v>
      </c>
      <c r="C109" s="13">
        <v>0</v>
      </c>
      <c r="D109" s="13">
        <v>0</v>
      </c>
      <c r="E109" s="13">
        <v>0</v>
      </c>
      <c r="F109" s="13">
        <v>0</v>
      </c>
      <c r="G109" s="13">
        <v>0</v>
      </c>
      <c r="H109" s="13">
        <v>0</v>
      </c>
      <c r="I109" s="13">
        <v>62</v>
      </c>
      <c r="J109" s="13">
        <v>62</v>
      </c>
      <c r="K109" s="13">
        <v>64</v>
      </c>
      <c r="L109" s="13">
        <v>54</v>
      </c>
      <c r="M109" s="13">
        <v>45</v>
      </c>
      <c r="N109" s="13">
        <v>45</v>
      </c>
      <c r="O109" s="17">
        <v>16</v>
      </c>
    </row>
    <row r="110" spans="1:15" ht="11.25" customHeight="1">
      <c r="A110" s="6" t="s">
        <v>119</v>
      </c>
      <c r="B110" s="13">
        <f t="shared" ref="B110:B129" si="4">SUM(C110:O110)</f>
        <v>236</v>
      </c>
      <c r="C110" s="13">
        <v>0</v>
      </c>
      <c r="D110" s="13">
        <v>0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86</v>
      </c>
      <c r="M110" s="13">
        <v>61</v>
      </c>
      <c r="N110" s="13">
        <v>50</v>
      </c>
      <c r="O110" s="17">
        <v>39</v>
      </c>
    </row>
    <row r="111" spans="1:15" ht="11.25" customHeight="1">
      <c r="A111" s="5" t="s">
        <v>98</v>
      </c>
      <c r="B111" s="12">
        <f t="shared" si="4"/>
        <v>289</v>
      </c>
      <c r="C111" s="12">
        <v>43</v>
      </c>
      <c r="D111" s="12">
        <v>36</v>
      </c>
      <c r="E111" s="12">
        <v>41</v>
      </c>
      <c r="F111" s="12">
        <v>42</v>
      </c>
      <c r="G111" s="12">
        <v>28</v>
      </c>
      <c r="H111" s="12">
        <v>38</v>
      </c>
      <c r="I111" s="12">
        <v>34</v>
      </c>
      <c r="J111" s="12">
        <v>19</v>
      </c>
      <c r="K111" s="12">
        <v>8</v>
      </c>
      <c r="L111" s="12">
        <v>0</v>
      </c>
      <c r="M111" s="12">
        <v>0</v>
      </c>
      <c r="N111" s="12">
        <v>0</v>
      </c>
      <c r="O111" s="16">
        <v>0</v>
      </c>
    </row>
    <row r="112" spans="1:15" ht="11.25" customHeight="1">
      <c r="A112" s="6" t="s">
        <v>99</v>
      </c>
      <c r="B112" s="13">
        <f t="shared" si="4"/>
        <v>488</v>
      </c>
      <c r="C112" s="13">
        <v>29</v>
      </c>
      <c r="D112" s="13">
        <v>40</v>
      </c>
      <c r="E112" s="13">
        <v>31</v>
      </c>
      <c r="F112" s="13">
        <v>32</v>
      </c>
      <c r="G112" s="13">
        <v>33</v>
      </c>
      <c r="H112" s="13">
        <v>35</v>
      </c>
      <c r="I112" s="13">
        <v>55</v>
      </c>
      <c r="J112" s="13">
        <v>55</v>
      </c>
      <c r="K112" s="13">
        <v>43</v>
      </c>
      <c r="L112" s="13">
        <v>48</v>
      </c>
      <c r="M112" s="13">
        <v>33</v>
      </c>
      <c r="N112" s="13">
        <v>30</v>
      </c>
      <c r="O112" s="17">
        <v>24</v>
      </c>
    </row>
    <row r="113" spans="1:15" ht="11.25" customHeight="1">
      <c r="A113" s="6" t="s">
        <v>100</v>
      </c>
      <c r="B113" s="13">
        <f t="shared" si="4"/>
        <v>370</v>
      </c>
      <c r="C113" s="13">
        <v>0</v>
      </c>
      <c r="D113" s="13">
        <v>0</v>
      </c>
      <c r="E113" s="13">
        <v>0</v>
      </c>
      <c r="F113" s="13">
        <v>0</v>
      </c>
      <c r="G113" s="13">
        <v>0</v>
      </c>
      <c r="H113" s="13">
        <v>0</v>
      </c>
      <c r="I113" s="13">
        <v>0</v>
      </c>
      <c r="J113" s="13">
        <v>0</v>
      </c>
      <c r="K113" s="13">
        <v>0</v>
      </c>
      <c r="L113" s="13">
        <v>65</v>
      </c>
      <c r="M113" s="13">
        <v>105</v>
      </c>
      <c r="N113" s="13">
        <v>105</v>
      </c>
      <c r="O113" s="17">
        <v>95</v>
      </c>
    </row>
    <row r="114" spans="1:15" ht="11.25" customHeight="1">
      <c r="A114" s="6" t="s">
        <v>101</v>
      </c>
      <c r="B114" s="13">
        <f t="shared" si="4"/>
        <v>1001</v>
      </c>
      <c r="C114" s="13">
        <v>100</v>
      </c>
      <c r="D114" s="13">
        <v>102</v>
      </c>
      <c r="E114" s="13">
        <v>103</v>
      </c>
      <c r="F114" s="13">
        <v>104</v>
      </c>
      <c r="G114" s="13">
        <v>104</v>
      </c>
      <c r="H114" s="13">
        <v>104</v>
      </c>
      <c r="I114" s="13">
        <v>130</v>
      </c>
      <c r="J114" s="13">
        <v>126</v>
      </c>
      <c r="K114" s="13">
        <v>128</v>
      </c>
      <c r="L114" s="13">
        <v>0</v>
      </c>
      <c r="M114" s="13">
        <v>0</v>
      </c>
      <c r="N114" s="13">
        <v>0</v>
      </c>
      <c r="O114" s="17">
        <v>0</v>
      </c>
    </row>
    <row r="115" spans="1:15" ht="11.25" customHeight="1">
      <c r="A115" s="7" t="s">
        <v>102</v>
      </c>
      <c r="B115" s="14">
        <f t="shared" si="4"/>
        <v>615</v>
      </c>
      <c r="C115" s="14">
        <v>0</v>
      </c>
      <c r="D115" s="14">
        <v>0</v>
      </c>
      <c r="E115" s="14">
        <v>0</v>
      </c>
      <c r="F115" s="14">
        <v>0</v>
      </c>
      <c r="G115" s="14">
        <v>0</v>
      </c>
      <c r="H115" s="14">
        <v>0</v>
      </c>
      <c r="I115" s="14">
        <v>0</v>
      </c>
      <c r="J115" s="14">
        <v>0</v>
      </c>
      <c r="K115" s="14">
        <v>0</v>
      </c>
      <c r="L115" s="14">
        <v>271</v>
      </c>
      <c r="M115" s="14">
        <v>190</v>
      </c>
      <c r="N115" s="14">
        <v>98</v>
      </c>
      <c r="O115" s="18">
        <v>56</v>
      </c>
    </row>
    <row r="116" spans="1:15" ht="11.25" customHeight="1">
      <c r="A116" s="5" t="s">
        <v>103</v>
      </c>
      <c r="B116" s="12">
        <f t="shared" si="4"/>
        <v>1024</v>
      </c>
      <c r="C116" s="12">
        <v>110</v>
      </c>
      <c r="D116" s="12">
        <v>107</v>
      </c>
      <c r="E116" s="12">
        <v>108</v>
      </c>
      <c r="F116" s="12">
        <v>108</v>
      </c>
      <c r="G116" s="12">
        <v>108</v>
      </c>
      <c r="H116" s="12">
        <v>109</v>
      </c>
      <c r="I116" s="12">
        <v>108</v>
      </c>
      <c r="J116" s="12">
        <v>97</v>
      </c>
      <c r="K116" s="12">
        <v>87</v>
      </c>
      <c r="L116" s="12">
        <v>82</v>
      </c>
      <c r="M116" s="12">
        <v>0</v>
      </c>
      <c r="N116" s="12">
        <v>0</v>
      </c>
      <c r="O116" s="16">
        <v>0</v>
      </c>
    </row>
    <row r="117" spans="1:15" ht="11.25" customHeight="1">
      <c r="A117" s="6" t="s">
        <v>118</v>
      </c>
      <c r="B117" s="13">
        <f t="shared" si="4"/>
        <v>1220</v>
      </c>
      <c r="C117" s="13">
        <v>156</v>
      </c>
      <c r="D117" s="13">
        <v>146</v>
      </c>
      <c r="E117" s="13">
        <v>152</v>
      </c>
      <c r="F117" s="13">
        <v>132</v>
      </c>
      <c r="G117" s="13">
        <v>139</v>
      </c>
      <c r="H117" s="13">
        <v>113</v>
      </c>
      <c r="I117" s="13">
        <v>145</v>
      </c>
      <c r="J117" s="13">
        <v>107</v>
      </c>
      <c r="K117" s="13">
        <v>105</v>
      </c>
      <c r="L117" s="13">
        <v>25</v>
      </c>
      <c r="M117" s="13">
        <v>0</v>
      </c>
      <c r="N117" s="13">
        <v>0</v>
      </c>
      <c r="O117" s="17">
        <v>0</v>
      </c>
    </row>
    <row r="118" spans="1:15" ht="11.25" customHeight="1">
      <c r="A118" s="6" t="s">
        <v>104</v>
      </c>
      <c r="B118" s="13">
        <f t="shared" si="4"/>
        <v>447</v>
      </c>
      <c r="C118" s="13">
        <v>50</v>
      </c>
      <c r="D118" s="13">
        <v>50</v>
      </c>
      <c r="E118" s="13">
        <v>51</v>
      </c>
      <c r="F118" s="13">
        <v>50</v>
      </c>
      <c r="G118" s="13">
        <v>50</v>
      </c>
      <c r="H118" s="13">
        <v>50</v>
      </c>
      <c r="I118" s="13">
        <v>60</v>
      </c>
      <c r="J118" s="13">
        <v>40</v>
      </c>
      <c r="K118" s="13">
        <v>46</v>
      </c>
      <c r="L118" s="13">
        <v>0</v>
      </c>
      <c r="M118" s="13">
        <v>0</v>
      </c>
      <c r="N118" s="13">
        <v>0</v>
      </c>
      <c r="O118" s="17">
        <v>0</v>
      </c>
    </row>
    <row r="119" spans="1:15" ht="11.25" customHeight="1">
      <c r="A119" s="6" t="s">
        <v>117</v>
      </c>
      <c r="B119" s="13">
        <f t="shared" si="4"/>
        <v>365</v>
      </c>
      <c r="C119" s="13">
        <v>0</v>
      </c>
      <c r="D119" s="13">
        <v>0</v>
      </c>
      <c r="E119" s="13">
        <v>0</v>
      </c>
      <c r="F119" s="13">
        <v>0</v>
      </c>
      <c r="G119" s="13">
        <v>0</v>
      </c>
      <c r="H119" s="13">
        <v>0</v>
      </c>
      <c r="I119" s="13">
        <v>0</v>
      </c>
      <c r="J119" s="13">
        <v>0</v>
      </c>
      <c r="K119" s="13">
        <v>0</v>
      </c>
      <c r="L119" s="13">
        <v>104</v>
      </c>
      <c r="M119" s="13">
        <v>99</v>
      </c>
      <c r="N119" s="13">
        <v>80</v>
      </c>
      <c r="O119" s="17">
        <v>82</v>
      </c>
    </row>
    <row r="120" spans="1:15" ht="11.25" customHeight="1">
      <c r="A120" s="7" t="s">
        <v>105</v>
      </c>
      <c r="B120" s="14">
        <f t="shared" si="4"/>
        <v>65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16</v>
      </c>
      <c r="M120" s="14">
        <v>18</v>
      </c>
      <c r="N120" s="14">
        <v>17</v>
      </c>
      <c r="O120" s="18">
        <v>14</v>
      </c>
    </row>
    <row r="121" spans="1:15" ht="11.25" customHeight="1">
      <c r="A121" s="6" t="s">
        <v>106</v>
      </c>
      <c r="B121" s="13">
        <f t="shared" si="4"/>
        <v>449</v>
      </c>
      <c r="C121" s="13">
        <v>19</v>
      </c>
      <c r="D121" s="13">
        <v>13</v>
      </c>
      <c r="E121" s="13">
        <v>26</v>
      </c>
      <c r="F121" s="13">
        <v>22</v>
      </c>
      <c r="G121" s="13">
        <v>30</v>
      </c>
      <c r="H121" s="13">
        <v>35</v>
      </c>
      <c r="I121" s="13">
        <v>32</v>
      </c>
      <c r="J121" s="13">
        <v>54</v>
      </c>
      <c r="K121" s="13">
        <v>62</v>
      </c>
      <c r="L121" s="13">
        <v>76</v>
      </c>
      <c r="M121" s="13">
        <v>41</v>
      </c>
      <c r="N121" s="13">
        <v>27</v>
      </c>
      <c r="O121" s="17">
        <v>12</v>
      </c>
    </row>
    <row r="122" spans="1:15" ht="11.25" customHeight="1">
      <c r="A122" s="6" t="s">
        <v>116</v>
      </c>
      <c r="B122" s="13">
        <f t="shared" si="4"/>
        <v>397</v>
      </c>
      <c r="C122" s="13">
        <v>0</v>
      </c>
      <c r="D122" s="13">
        <v>0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142</v>
      </c>
      <c r="N122" s="13">
        <v>135</v>
      </c>
      <c r="O122" s="17">
        <v>120</v>
      </c>
    </row>
    <row r="123" spans="1:15" ht="11.25" customHeight="1">
      <c r="A123" s="6" t="s">
        <v>107</v>
      </c>
      <c r="B123" s="13">
        <f t="shared" si="4"/>
        <v>2051</v>
      </c>
      <c r="C123" s="13">
        <v>120</v>
      </c>
      <c r="D123" s="13">
        <v>123</v>
      </c>
      <c r="E123" s="13">
        <v>133</v>
      </c>
      <c r="F123" s="13">
        <v>124</v>
      </c>
      <c r="G123" s="13">
        <v>118</v>
      </c>
      <c r="H123" s="13">
        <v>171</v>
      </c>
      <c r="I123" s="13">
        <v>175</v>
      </c>
      <c r="J123" s="13">
        <v>192</v>
      </c>
      <c r="K123" s="13">
        <v>284</v>
      </c>
      <c r="L123" s="13">
        <v>231</v>
      </c>
      <c r="M123" s="13">
        <v>153</v>
      </c>
      <c r="N123" s="13">
        <v>130</v>
      </c>
      <c r="O123" s="17">
        <v>97</v>
      </c>
    </row>
    <row r="124" spans="1:15" ht="11.25" customHeight="1">
      <c r="A124" s="6" t="s">
        <v>108</v>
      </c>
      <c r="B124" s="13">
        <f t="shared" si="4"/>
        <v>440</v>
      </c>
      <c r="C124" s="13">
        <v>76</v>
      </c>
      <c r="D124" s="13">
        <v>46</v>
      </c>
      <c r="E124" s="13">
        <v>49</v>
      </c>
      <c r="F124" s="13">
        <v>56</v>
      </c>
      <c r="G124" s="13">
        <v>60</v>
      </c>
      <c r="H124" s="13">
        <v>49</v>
      </c>
      <c r="I124" s="13">
        <v>52</v>
      </c>
      <c r="J124" s="13">
        <v>52</v>
      </c>
      <c r="K124" s="13">
        <v>0</v>
      </c>
      <c r="L124" s="13">
        <v>0</v>
      </c>
      <c r="M124" s="13">
        <v>0</v>
      </c>
      <c r="N124" s="13">
        <v>0</v>
      </c>
      <c r="O124" s="17">
        <v>0</v>
      </c>
    </row>
    <row r="125" spans="1:15" ht="11.25" customHeight="1">
      <c r="A125" s="6" t="s">
        <v>109</v>
      </c>
      <c r="B125" s="13">
        <f t="shared" si="4"/>
        <v>598</v>
      </c>
      <c r="C125" s="13">
        <v>50</v>
      </c>
      <c r="D125" s="13">
        <v>48</v>
      </c>
      <c r="E125" s="13">
        <v>52</v>
      </c>
      <c r="F125" s="13">
        <v>48</v>
      </c>
      <c r="G125" s="13">
        <v>53</v>
      </c>
      <c r="H125" s="13">
        <v>52</v>
      </c>
      <c r="I125" s="13">
        <v>53</v>
      </c>
      <c r="J125" s="13">
        <v>53</v>
      </c>
      <c r="K125" s="13">
        <v>47</v>
      </c>
      <c r="L125" s="13">
        <v>80</v>
      </c>
      <c r="M125" s="13">
        <v>62</v>
      </c>
      <c r="N125" s="13">
        <v>0</v>
      </c>
      <c r="O125" s="17">
        <v>0</v>
      </c>
    </row>
    <row r="126" spans="1:15" ht="11.25" customHeight="1">
      <c r="A126" s="5" t="s">
        <v>115</v>
      </c>
      <c r="B126" s="12">
        <f t="shared" si="4"/>
        <v>843</v>
      </c>
      <c r="C126" s="12">
        <v>96</v>
      </c>
      <c r="D126" s="12">
        <v>101</v>
      </c>
      <c r="E126" s="12">
        <v>102</v>
      </c>
      <c r="F126" s="12">
        <v>103</v>
      </c>
      <c r="G126" s="12">
        <v>89</v>
      </c>
      <c r="H126" s="12">
        <v>93</v>
      </c>
      <c r="I126" s="12">
        <v>92</v>
      </c>
      <c r="J126" s="12">
        <v>91</v>
      </c>
      <c r="K126" s="12">
        <v>76</v>
      </c>
      <c r="L126" s="12">
        <v>0</v>
      </c>
      <c r="M126" s="12">
        <v>0</v>
      </c>
      <c r="N126" s="12">
        <v>0</v>
      </c>
      <c r="O126" s="16">
        <v>0</v>
      </c>
    </row>
    <row r="127" spans="1:15" ht="11.25" customHeight="1">
      <c r="A127" s="6" t="s">
        <v>114</v>
      </c>
      <c r="B127" s="13">
        <f t="shared" si="4"/>
        <v>537</v>
      </c>
      <c r="C127" s="13">
        <v>78</v>
      </c>
      <c r="D127" s="13">
        <v>61</v>
      </c>
      <c r="E127" s="13">
        <v>61</v>
      </c>
      <c r="F127" s="13">
        <v>49</v>
      </c>
      <c r="G127" s="13">
        <v>53</v>
      </c>
      <c r="H127" s="13">
        <v>38</v>
      </c>
      <c r="I127" s="13">
        <v>53</v>
      </c>
      <c r="J127" s="13">
        <v>20</v>
      </c>
      <c r="K127" s="13">
        <v>24</v>
      </c>
      <c r="L127" s="13">
        <v>24</v>
      </c>
      <c r="M127" s="13">
        <v>27</v>
      </c>
      <c r="N127" s="13">
        <v>22</v>
      </c>
      <c r="O127" s="17">
        <v>27</v>
      </c>
    </row>
    <row r="128" spans="1:15" ht="11.25" customHeight="1">
      <c r="A128" s="6" t="s">
        <v>110</v>
      </c>
      <c r="B128" s="13">
        <f t="shared" si="4"/>
        <v>375</v>
      </c>
      <c r="C128" s="13">
        <v>50</v>
      </c>
      <c r="D128" s="13">
        <v>74</v>
      </c>
      <c r="E128" s="13">
        <v>51</v>
      </c>
      <c r="F128" s="13">
        <v>51</v>
      </c>
      <c r="G128" s="13">
        <v>50</v>
      </c>
      <c r="H128" s="13">
        <v>50</v>
      </c>
      <c r="I128" s="13">
        <v>49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7">
        <v>0</v>
      </c>
    </row>
    <row r="129" spans="1:15" ht="11.25" customHeight="1">
      <c r="A129" s="7" t="s">
        <v>111</v>
      </c>
      <c r="B129" s="14">
        <f t="shared" si="4"/>
        <v>587</v>
      </c>
      <c r="C129" s="14">
        <v>65</v>
      </c>
      <c r="D129" s="14">
        <v>60</v>
      </c>
      <c r="E129" s="14">
        <v>76</v>
      </c>
      <c r="F129" s="14">
        <v>70</v>
      </c>
      <c r="G129" s="14">
        <v>78</v>
      </c>
      <c r="H129" s="14">
        <v>73</v>
      </c>
      <c r="I129" s="14">
        <v>64</v>
      </c>
      <c r="J129" s="14">
        <v>54</v>
      </c>
      <c r="K129" s="14">
        <v>47</v>
      </c>
      <c r="L129" s="14">
        <v>0</v>
      </c>
      <c r="M129" s="14">
        <v>0</v>
      </c>
      <c r="N129" s="14">
        <v>0</v>
      </c>
      <c r="O129" s="18">
        <v>0</v>
      </c>
    </row>
    <row r="130" spans="1:15" ht="15.75" thickBot="1">
      <c r="A130" s="8" t="s">
        <v>112</v>
      </c>
      <c r="B130" s="15">
        <f>SUM(B46:B129)</f>
        <v>50801</v>
      </c>
      <c r="C130" s="15">
        <f t="shared" ref="C130:O130" si="5">SUM(C46:C129)</f>
        <v>4443</v>
      </c>
      <c r="D130" s="15">
        <f t="shared" si="5"/>
        <v>4748</v>
      </c>
      <c r="E130" s="15">
        <f t="shared" si="5"/>
        <v>4681</v>
      </c>
      <c r="F130" s="15">
        <f t="shared" si="5"/>
        <v>4613</v>
      </c>
      <c r="G130" s="15">
        <f t="shared" si="5"/>
        <v>4477</v>
      </c>
      <c r="H130" s="15">
        <f t="shared" si="5"/>
        <v>4521</v>
      </c>
      <c r="I130" s="15">
        <f t="shared" si="5"/>
        <v>4594</v>
      </c>
      <c r="J130" s="15">
        <f t="shared" si="5"/>
        <v>4290</v>
      </c>
      <c r="K130" s="15">
        <f t="shared" si="5"/>
        <v>3993</v>
      </c>
      <c r="L130" s="15">
        <f t="shared" si="5"/>
        <v>3677</v>
      </c>
      <c r="M130" s="15">
        <f t="shared" si="5"/>
        <v>2614</v>
      </c>
      <c r="N130" s="15">
        <f t="shared" si="5"/>
        <v>2250</v>
      </c>
      <c r="O130" s="19">
        <f t="shared" si="5"/>
        <v>1900</v>
      </c>
    </row>
    <row r="131" spans="1:15" ht="15.75" thickBot="1">
      <c r="A131" s="8" t="str">
        <f>A43</f>
        <v>District Total</v>
      </c>
      <c r="B131" s="15">
        <f t="shared" ref="B131:O131" si="6">B43</f>
        <v>550184</v>
      </c>
      <c r="C131" s="15">
        <f t="shared" si="6"/>
        <v>45945</v>
      </c>
      <c r="D131" s="15">
        <f t="shared" si="6"/>
        <v>45472</v>
      </c>
      <c r="E131" s="15">
        <f t="shared" si="6"/>
        <v>44224</v>
      </c>
      <c r="F131" s="15">
        <f t="shared" si="6"/>
        <v>44357</v>
      </c>
      <c r="G131" s="15">
        <f t="shared" si="6"/>
        <v>43913</v>
      </c>
      <c r="H131" s="15">
        <f t="shared" si="6"/>
        <v>42468</v>
      </c>
      <c r="I131" s="15">
        <f t="shared" si="6"/>
        <v>41987</v>
      </c>
      <c r="J131" s="15">
        <f t="shared" si="6"/>
        <v>42057</v>
      </c>
      <c r="K131" s="15">
        <f t="shared" si="6"/>
        <v>41436</v>
      </c>
      <c r="L131" s="15">
        <f t="shared" si="6"/>
        <v>40745</v>
      </c>
      <c r="M131" s="15">
        <f t="shared" si="6"/>
        <v>40162</v>
      </c>
      <c r="N131" s="15">
        <f t="shared" si="6"/>
        <v>38773</v>
      </c>
      <c r="O131" s="19">
        <f t="shared" si="6"/>
        <v>38645</v>
      </c>
    </row>
    <row r="132" spans="1:15" ht="15.75" thickBot="1">
      <c r="A132" s="8" t="s">
        <v>113</v>
      </c>
      <c r="B132" s="15">
        <f>SUM(B130:B131)</f>
        <v>600985</v>
      </c>
      <c r="C132" s="15">
        <f t="shared" ref="C132:O132" si="7">SUM(C130:C131)</f>
        <v>50388</v>
      </c>
      <c r="D132" s="15">
        <f t="shared" si="7"/>
        <v>50220</v>
      </c>
      <c r="E132" s="15">
        <f t="shared" si="7"/>
        <v>48905</v>
      </c>
      <c r="F132" s="15">
        <f t="shared" si="7"/>
        <v>48970</v>
      </c>
      <c r="G132" s="15">
        <f t="shared" si="7"/>
        <v>48390</v>
      </c>
      <c r="H132" s="15">
        <f t="shared" si="7"/>
        <v>46989</v>
      </c>
      <c r="I132" s="15">
        <f t="shared" si="7"/>
        <v>46581</v>
      </c>
      <c r="J132" s="15">
        <f t="shared" si="7"/>
        <v>46347</v>
      </c>
      <c r="K132" s="15">
        <f t="shared" si="7"/>
        <v>45429</v>
      </c>
      <c r="L132" s="15">
        <f t="shared" si="7"/>
        <v>44422</v>
      </c>
      <c r="M132" s="15">
        <f t="shared" si="7"/>
        <v>42776</v>
      </c>
      <c r="N132" s="15">
        <f t="shared" si="7"/>
        <v>41023</v>
      </c>
      <c r="O132" s="19">
        <f t="shared" si="7"/>
        <v>40545</v>
      </c>
    </row>
  </sheetData>
  <sortState ref="A2:O42">
    <sortCondition ref="A2"/>
  </sortState>
  <pageMargins left="0.25" right="0.25" top="0.75" bottom="0.75" header="0.3" footer="0.3"/>
  <pageSetup orientation="landscape" r:id="rId1"/>
  <headerFooter>
    <oddHeader>&amp;C&amp;"-,Bold"&amp;12Fall Enrollment Summary by Grade
October 2012</oddHeader>
    <oddFooter>&amp;L&amp;"Arial,Regular"&amp;6Compliler: USOE/Data and Statistics
Source: October 2012 UTREx</oddFooter>
  </headerFooter>
  <ignoredErrors>
    <ignoredError sqref="D4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Grade Enrollment Summary</vt:lpstr>
      <vt:lpstr>Sheet3</vt:lpstr>
    </vt:vector>
  </TitlesOfParts>
  <Company>Utah State Office of Education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Brough, Aaron</dc:creator>
  <cp:lastModifiedBy>Valued Computer Owner</cp:lastModifiedBy>
  <cp:lastPrinted>2012-12-11T21:01:32Z</cp:lastPrinted>
  <dcterms:created xsi:type="dcterms:W3CDTF">2012-12-11T19:27:51Z</dcterms:created>
  <dcterms:modified xsi:type="dcterms:W3CDTF">2012-12-17T21:55:47Z</dcterms:modified>
</cp:coreProperties>
</file>