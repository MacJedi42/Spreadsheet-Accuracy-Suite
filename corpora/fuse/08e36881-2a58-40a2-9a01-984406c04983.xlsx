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heme/themeOverride1.xml" ContentType="application/vnd.openxmlformats-officedocument.themeOverrid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hidePivotFieldList="1" showPivotChartFilter="1" defaultThemeVersion="124226"/>
  <bookViews>
    <workbookView xWindow="105" yWindow="15" windowWidth="16845" windowHeight="12300"/>
  </bookViews>
  <sheets>
    <sheet name="Chart1" sheetId="8" r:id="rId1"/>
    <sheet name="Natural Gas" sheetId="6" r:id="rId2"/>
    <sheet name="Temperature Data" sheetId="1" r:id="rId3"/>
  </sheets>
  <definedNames>
    <definedName name="_xlnm.Print_Area" localSheetId="2">'Temperature Data'!$1:$1048576</definedName>
  </definedNames>
  <calcPr calcId="125725"/>
</workbook>
</file>

<file path=xl/calcChain.xml><?xml version="1.0" encoding="utf-8"?>
<calcChain xmlns="http://schemas.openxmlformats.org/spreadsheetml/2006/main">
  <c r="B45" i="6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9"/>
  <c r="A29" l="1"/>
  <c r="E29" s="1"/>
  <c r="A30"/>
  <c r="A31"/>
  <c r="E31" s="1"/>
  <c r="A32"/>
  <c r="E32" s="1"/>
  <c r="A33"/>
  <c r="E33" s="1"/>
  <c r="A34"/>
  <c r="E34" s="1"/>
  <c r="A35"/>
  <c r="A36"/>
  <c r="E36" s="1"/>
  <c r="A37"/>
  <c r="E37" s="1"/>
  <c r="A38"/>
  <c r="A39"/>
  <c r="E39" s="1"/>
  <c r="A40"/>
  <c r="E40" s="1"/>
  <c r="A41"/>
  <c r="E41" s="1"/>
  <c r="A42"/>
  <c r="E42" s="1"/>
  <c r="A43"/>
  <c r="E43" s="1"/>
  <c r="A44"/>
  <c r="E44" s="1"/>
  <c r="D40"/>
  <c r="F40" s="1"/>
  <c r="G40" s="1"/>
  <c r="D36"/>
  <c r="F36" s="1"/>
  <c r="G36" s="1"/>
  <c r="D32"/>
  <c r="F32" s="1"/>
  <c r="G32" s="1"/>
  <c r="A10"/>
  <c r="E10" s="1"/>
  <c r="A11"/>
  <c r="E11" s="1"/>
  <c r="A12"/>
  <c r="E12" s="1"/>
  <c r="A13"/>
  <c r="E13" s="1"/>
  <c r="A14"/>
  <c r="E14" s="1"/>
  <c r="A15"/>
  <c r="E15" s="1"/>
  <c r="A16"/>
  <c r="E16" s="1"/>
  <c r="A17"/>
  <c r="E17" s="1"/>
  <c r="A18"/>
  <c r="E18" s="1"/>
  <c r="A19"/>
  <c r="E19" s="1"/>
  <c r="A20"/>
  <c r="E20" s="1"/>
  <c r="A21"/>
  <c r="A22"/>
  <c r="E22" s="1"/>
  <c r="A23"/>
  <c r="E23" s="1"/>
  <c r="A24"/>
  <c r="E24" s="1"/>
  <c r="A25"/>
  <c r="E25" s="1"/>
  <c r="A26"/>
  <c r="E26" s="1"/>
  <c r="A27"/>
  <c r="E27" s="1"/>
  <c r="A28"/>
  <c r="E28" s="1"/>
  <c r="A45"/>
  <c r="A9"/>
  <c r="E9" s="1"/>
  <c r="D43" l="1"/>
  <c r="F43" s="1"/>
  <c r="G43" s="1"/>
  <c r="D44"/>
  <c r="F44" s="1"/>
  <c r="G44" s="1"/>
  <c r="D39"/>
  <c r="F39" s="1"/>
  <c r="G39" s="1"/>
  <c r="D21"/>
  <c r="F21" s="1"/>
  <c r="G21" s="1"/>
  <c r="E21"/>
  <c r="D38"/>
  <c r="F38" s="1"/>
  <c r="G38" s="1"/>
  <c r="E38"/>
  <c r="D30"/>
  <c r="F30" s="1"/>
  <c r="G30" s="1"/>
  <c r="E30"/>
  <c r="D35"/>
  <c r="F35" s="1"/>
  <c r="G35" s="1"/>
  <c r="E35"/>
  <c r="D37"/>
  <c r="F37" s="1"/>
  <c r="G37" s="1"/>
  <c r="D33"/>
  <c r="F33" s="1"/>
  <c r="G33" s="1"/>
  <c r="D41"/>
  <c r="F41" s="1"/>
  <c r="G41" s="1"/>
  <c r="D34"/>
  <c r="F34" s="1"/>
  <c r="G34" s="1"/>
  <c r="D42"/>
  <c r="F42" s="1"/>
  <c r="G42" s="1"/>
  <c r="D10"/>
  <c r="F10" s="1"/>
  <c r="G10" s="1"/>
  <c r="D11"/>
  <c r="F11" s="1"/>
  <c r="G11" s="1"/>
  <c r="D12"/>
  <c r="F12" s="1"/>
  <c r="G12" s="1"/>
  <c r="D13"/>
  <c r="F13" s="1"/>
  <c r="G13" s="1"/>
  <c r="D14"/>
  <c r="F14" s="1"/>
  <c r="G14" s="1"/>
  <c r="D15"/>
  <c r="F15" s="1"/>
  <c r="G15" s="1"/>
  <c r="D16"/>
  <c r="F16" s="1"/>
  <c r="G16" s="1"/>
  <c r="D17"/>
  <c r="F17" s="1"/>
  <c r="G17" s="1"/>
  <c r="D18"/>
  <c r="F18" s="1"/>
  <c r="G18" s="1"/>
  <c r="D19"/>
  <c r="F19" s="1"/>
  <c r="G19" s="1"/>
  <c r="D20"/>
  <c r="F20" s="1"/>
  <c r="G20" s="1"/>
  <c r="D22"/>
  <c r="F22" s="1"/>
  <c r="G22" s="1"/>
  <c r="D23"/>
  <c r="F23" s="1"/>
  <c r="G23" s="1"/>
  <c r="D24"/>
  <c r="F24" s="1"/>
  <c r="G24" s="1"/>
  <c r="D25"/>
  <c r="F25" s="1"/>
  <c r="G25" s="1"/>
  <c r="D26"/>
  <c r="F26" s="1"/>
  <c r="G26" s="1"/>
  <c r="D27"/>
  <c r="F27" s="1"/>
  <c r="G27" s="1"/>
  <c r="D28"/>
  <c r="F28" s="1"/>
  <c r="G28" s="1"/>
  <c r="D29"/>
  <c r="F29" s="1"/>
  <c r="G29" s="1"/>
  <c r="D9"/>
  <c r="F9" s="1"/>
  <c r="G9" s="1"/>
  <c r="D31" l="1"/>
  <c r="F31" s="1"/>
  <c r="G31" s="1"/>
</calcChain>
</file>

<file path=xl/sharedStrings.xml><?xml version="1.0" encoding="utf-8"?>
<sst xmlns="http://schemas.openxmlformats.org/spreadsheetml/2006/main" count="13" uniqueCount="13">
  <si>
    <t>WEATHER AND PRECIPITATION</t>
  </si>
  <si>
    <t>DATE</t>
  </si>
  <si>
    <t>AVG</t>
  </si>
  <si>
    <t>Meter Read Dates</t>
  </si>
  <si>
    <t>From Date</t>
  </si>
  <si>
    <t>To Date</t>
  </si>
  <si>
    <t>Average Temp</t>
  </si>
  <si>
    <t>Days</t>
  </si>
  <si>
    <t>Calculated Values</t>
  </si>
  <si>
    <t>Natural Gas Bill Information</t>
  </si>
  <si>
    <t>Therms /Month</t>
  </si>
  <si>
    <t>Average BTU/Hr</t>
  </si>
  <si>
    <t>Avg. Watts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</si>
</sst>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mm/dd/yy"/>
    <numFmt numFmtId="165" formatCode="0.0"/>
    <numFmt numFmtId="166" formatCode="_(* #,##0.0_);_(* \(#,##0.0\);_(* &quot;-&quot;??_);_(@_)"/>
    <numFmt numFmtId="167" formatCode="m/d/yy;@"/>
    <numFmt numFmtId="168" formatCode="_(* #,##0.000_);_(* \(#,##0.000\);_(* &quot;-&quot;??_);_(@_)"/>
  </numFmts>
  <fonts count="10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name val="Courier New"/>
      <family val="3"/>
    </font>
    <font>
      <b/>
      <sz val="10"/>
      <color theme="1"/>
      <name val="Courier New"/>
      <family val="3"/>
    </font>
    <font>
      <sz val="10"/>
      <name val="Courier New"/>
      <family val="3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0" applyNumberFormat="1" applyFont="1"/>
    <xf numFmtId="0" fontId="3" fillId="0" borderId="0" xfId="0" applyFont="1"/>
    <xf numFmtId="165" fontId="3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4" fillId="0" borderId="0" xfId="0" applyFont="1" applyAlignment="1">
      <alignment wrapText="1"/>
    </xf>
    <xf numFmtId="14" fontId="7" fillId="0" borderId="5" xfId="0" applyNumberFormat="1" applyFont="1" applyFill="1" applyBorder="1" applyAlignment="1">
      <alignment horizontal="center" wrapText="1"/>
    </xf>
    <xf numFmtId="14" fontId="7" fillId="0" borderId="1" xfId="0" applyNumberFormat="1" applyFont="1" applyFill="1" applyBorder="1" applyAlignment="1">
      <alignment horizontal="center" wrapText="1"/>
    </xf>
    <xf numFmtId="14" fontId="7" fillId="0" borderId="6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8" fillId="0" borderId="5" xfId="1" applyNumberFormat="1" applyFont="1" applyBorder="1" applyAlignment="1">
      <alignment horizontal="center"/>
    </xf>
    <xf numFmtId="166" fontId="8" fillId="0" borderId="1" xfId="1" applyNumberFormat="1" applyFont="1" applyBorder="1"/>
    <xf numFmtId="2" fontId="8" fillId="0" borderId="1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0" fontId="8" fillId="0" borderId="7" xfId="1" applyNumberFormat="1" applyFont="1" applyBorder="1" applyAlignment="1">
      <alignment horizontal="center"/>
    </xf>
    <xf numFmtId="167" fontId="8" fillId="2" borderId="5" xfId="0" applyNumberFormat="1" applyFont="1" applyFill="1" applyBorder="1" applyAlignment="1">
      <alignment horizontal="center"/>
    </xf>
    <xf numFmtId="167" fontId="9" fillId="2" borderId="5" xfId="0" applyNumberFormat="1" applyFont="1" applyFill="1" applyBorder="1" applyAlignment="1">
      <alignment horizontal="center"/>
    </xf>
    <xf numFmtId="14" fontId="0" fillId="0" borderId="0" xfId="0" applyNumberFormat="1"/>
    <xf numFmtId="168" fontId="9" fillId="2" borderId="6" xfId="0" applyNumberFormat="1" applyFont="1" applyFill="1" applyBorder="1"/>
    <xf numFmtId="168" fontId="9" fillId="2" borderId="8" xfId="0" applyNumberFormat="1" applyFont="1" applyFill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Monthly Natural Gas Usage</a:t>
            </a:r>
          </a:p>
          <a:p>
            <a:pPr>
              <a:defRPr/>
            </a:pPr>
            <a:r>
              <a:rPr lang="en-US"/>
              <a:t>Average BTU/Hr vs. Avg. Monthly Temperature</a:t>
            </a:r>
          </a:p>
        </c:rich>
      </c:tx>
      <c:layout>
        <c:manualLayout>
          <c:xMode val="edge"/>
          <c:yMode val="edge"/>
          <c:x val="0.22520493479785311"/>
          <c:y val="8.08299517613849E-3"/>
        </c:manualLayout>
      </c:layout>
    </c:title>
    <c:plotArea>
      <c:layout/>
      <c:scatterChart>
        <c:scatterStyle val="smoothMarker"/>
        <c:ser>
          <c:idx val="2"/>
          <c:order val="0"/>
          <c:tx>
            <c:v>2011</c:v>
          </c:tx>
          <c:xVal>
            <c:numRef>
              <c:f>'Natural Gas'!$E$34:$E$44</c:f>
              <c:numCache>
                <c:formatCode>_(* #,##0.0_);_(* \(#,##0.0\);_(* "-"??_);_(@_)</c:formatCode>
                <c:ptCount val="11"/>
                <c:pt idx="0">
                  <c:v>43.205882352941174</c:v>
                </c:pt>
                <c:pt idx="1">
                  <c:v>47.303030303030305</c:v>
                </c:pt>
                <c:pt idx="2">
                  <c:v>59.689655172413794</c:v>
                </c:pt>
                <c:pt idx="3">
                  <c:v>71.034482758620683</c:v>
                </c:pt>
                <c:pt idx="4">
                  <c:v>85.15625</c:v>
                </c:pt>
                <c:pt idx="5">
                  <c:v>90.41379310344827</c:v>
                </c:pt>
                <c:pt idx="6">
                  <c:v>86.63333333333334</c:v>
                </c:pt>
                <c:pt idx="7">
                  <c:v>74.375</c:v>
                </c:pt>
                <c:pt idx="8">
                  <c:v>64.266666666666666</c:v>
                </c:pt>
                <c:pt idx="9">
                  <c:v>58.74074074074074</c:v>
                </c:pt>
                <c:pt idx="10">
                  <c:v>53.178571428571431</c:v>
                </c:pt>
              </c:numCache>
            </c:numRef>
          </c:xVal>
          <c:yVal>
            <c:numRef>
              <c:f>'Natural Gas'!$F$34:$F$44</c:f>
              <c:numCache>
                <c:formatCode>0.00</c:formatCode>
                <c:ptCount val="11"/>
                <c:pt idx="0">
                  <c:v>1334.9747474747476</c:v>
                </c:pt>
                <c:pt idx="1">
                  <c:v>904.42708333333337</c:v>
                </c:pt>
                <c:pt idx="2">
                  <c:v>382.73809523809524</c:v>
                </c:pt>
                <c:pt idx="3">
                  <c:v>183.33333333333334</c:v>
                </c:pt>
                <c:pt idx="4">
                  <c:v>105.51075268817205</c:v>
                </c:pt>
                <c:pt idx="5">
                  <c:v>133.18452380952382</c:v>
                </c:pt>
                <c:pt idx="6">
                  <c:v>193.39080459770116</c:v>
                </c:pt>
                <c:pt idx="7">
                  <c:v>165.86021505376343</c:v>
                </c:pt>
                <c:pt idx="8">
                  <c:v>305.60344827586204</c:v>
                </c:pt>
                <c:pt idx="9">
                  <c:v>646.31410256410265</c:v>
                </c:pt>
                <c:pt idx="10">
                  <c:v>875.37878787878788</c:v>
                </c:pt>
              </c:numCache>
            </c:numRef>
          </c:yVal>
          <c:smooth val="1"/>
        </c:ser>
        <c:ser>
          <c:idx val="3"/>
          <c:order val="1"/>
          <c:tx>
            <c:v>2012</c:v>
          </c:tx>
          <c:xVal>
            <c:numRef>
              <c:f>'Natural Gas'!$E$22:$E$34</c:f>
              <c:numCache>
                <c:formatCode>_(* #,##0.0_);_(* \(#,##0.0\);_(* "-"??_);_(@_)</c:formatCode>
                <c:ptCount val="13"/>
                <c:pt idx="0">
                  <c:v>39.810810810810814</c:v>
                </c:pt>
                <c:pt idx="1">
                  <c:v>54.068965517241381</c:v>
                </c:pt>
                <c:pt idx="2">
                  <c:v>61.178571428571431</c:v>
                </c:pt>
                <c:pt idx="3">
                  <c:v>67.6875</c:v>
                </c:pt>
                <c:pt idx="4">
                  <c:v>82.266666666666666</c:v>
                </c:pt>
                <c:pt idx="5">
                  <c:v>89.290322580645167</c:v>
                </c:pt>
                <c:pt idx="6">
                  <c:v>82.41935483870968</c:v>
                </c:pt>
                <c:pt idx="7">
                  <c:v>71.969696969696969</c:v>
                </c:pt>
                <c:pt idx="8">
                  <c:v>68.310344827586206</c:v>
                </c:pt>
                <c:pt idx="9">
                  <c:v>63.827586206896555</c:v>
                </c:pt>
                <c:pt idx="10">
                  <c:v>48.310344827586206</c:v>
                </c:pt>
                <c:pt idx="11">
                  <c:v>43.793103448275865</c:v>
                </c:pt>
                <c:pt idx="12">
                  <c:v>43.205882352941174</c:v>
                </c:pt>
              </c:numCache>
            </c:numRef>
          </c:xVal>
          <c:yVal>
            <c:numRef>
              <c:f>'Natural Gas'!$F$22:$F$34</c:f>
              <c:numCache>
                <c:formatCode>0.00</c:formatCode>
                <c:ptCount val="13"/>
                <c:pt idx="0">
                  <c:v>1275.8101851851852</c:v>
                </c:pt>
                <c:pt idx="1">
                  <c:v>518.89880952380952</c:v>
                </c:pt>
                <c:pt idx="2">
                  <c:v>330.40123456790121</c:v>
                </c:pt>
                <c:pt idx="3">
                  <c:v>259.27419354838713</c:v>
                </c:pt>
                <c:pt idx="4">
                  <c:v>146.69540229885055</c:v>
                </c:pt>
                <c:pt idx="5">
                  <c:v>141.80555555555554</c:v>
                </c:pt>
                <c:pt idx="6">
                  <c:v>141.38888888888889</c:v>
                </c:pt>
                <c:pt idx="7">
                  <c:v>161.19791666666666</c:v>
                </c:pt>
                <c:pt idx="8">
                  <c:v>210.34482758620689</c:v>
                </c:pt>
                <c:pt idx="9">
                  <c:v>323.85057471264366</c:v>
                </c:pt>
                <c:pt idx="10">
                  <c:v>1009.0773809523808</c:v>
                </c:pt>
                <c:pt idx="11">
                  <c:v>1358.3333333333333</c:v>
                </c:pt>
                <c:pt idx="12">
                  <c:v>1334.9747474747476</c:v>
                </c:pt>
              </c:numCache>
            </c:numRef>
          </c:yVal>
          <c:smooth val="1"/>
        </c:ser>
        <c:ser>
          <c:idx val="4"/>
          <c:order val="2"/>
          <c:tx>
            <c:v>2013</c:v>
          </c:tx>
          <c:xVal>
            <c:numRef>
              <c:f>'Natural Gas'!$E$10:$E$22</c:f>
              <c:numCache>
                <c:formatCode>_(* #,##0.0_);_(* \(#,##0.0\);_(* "-"??_);_(@_)</c:formatCode>
                <c:ptCount val="13"/>
                <c:pt idx="0">
                  <c:v>38.411764705882355</c:v>
                </c:pt>
                <c:pt idx="1">
                  <c:v>42</c:v>
                </c:pt>
                <c:pt idx="2">
                  <c:v>58.828571428571429</c:v>
                </c:pt>
                <c:pt idx="3">
                  <c:v>74.821428571428569</c:v>
                </c:pt>
                <c:pt idx="4">
                  <c:v>80.827586206896555</c:v>
                </c:pt>
                <c:pt idx="5">
                  <c:v>83.064516129032256</c:v>
                </c:pt>
                <c:pt idx="6">
                  <c:v>81.36666666666666</c:v>
                </c:pt>
                <c:pt idx="7">
                  <c:v>71.3</c:v>
                </c:pt>
                <c:pt idx="8">
                  <c:v>57.8</c:v>
                </c:pt>
                <c:pt idx="9">
                  <c:v>51.892857142857146</c:v>
                </c:pt>
                <c:pt idx="10">
                  <c:v>43.393939393939391</c:v>
                </c:pt>
                <c:pt idx="11">
                  <c:v>43.888888888888886</c:v>
                </c:pt>
                <c:pt idx="12">
                  <c:v>39.810810810810814</c:v>
                </c:pt>
              </c:numCache>
            </c:numRef>
          </c:xVal>
          <c:yVal>
            <c:numRef>
              <c:f>'Natural Gas'!$F$10:$F$22</c:f>
              <c:numCache>
                <c:formatCode>0.00</c:formatCode>
                <c:ptCount val="13"/>
                <c:pt idx="0">
                  <c:v>1398.4848484848483</c:v>
                </c:pt>
                <c:pt idx="1">
                  <c:v>1178.4722222222222</c:v>
                </c:pt>
                <c:pt idx="2">
                  <c:v>568.99509803921569</c:v>
                </c:pt>
                <c:pt idx="3">
                  <c:v>227.16049382716051</c:v>
                </c:pt>
                <c:pt idx="4">
                  <c:v>202.38095238095238</c:v>
                </c:pt>
                <c:pt idx="5">
                  <c:v>188.19444444444446</c:v>
                </c:pt>
                <c:pt idx="6">
                  <c:v>210.63218390804596</c:v>
                </c:pt>
                <c:pt idx="7">
                  <c:v>194.10919540229884</c:v>
                </c:pt>
                <c:pt idx="8">
                  <c:v>662.64367816091954</c:v>
                </c:pt>
                <c:pt idx="9">
                  <c:v>902.62345679012344</c:v>
                </c:pt>
                <c:pt idx="10">
                  <c:v>1261.9791666666667</c:v>
                </c:pt>
                <c:pt idx="11">
                  <c:v>1266.6666666666667</c:v>
                </c:pt>
                <c:pt idx="12">
                  <c:v>1275.8101851851852</c:v>
                </c:pt>
              </c:numCache>
            </c:numRef>
          </c:yVal>
          <c:smooth val="1"/>
        </c:ser>
        <c:ser>
          <c:idx val="1"/>
          <c:order val="3"/>
          <c:tx>
            <c:v>2014</c:v>
          </c:tx>
          <c:xVal>
            <c:numRef>
              <c:f>'Natural Gas'!$E$9:$E$10</c:f>
              <c:numCache>
                <c:formatCode>_(* #,##0.0_);_(* \(#,##0.0\);_(* "-"??_);_(@_)</c:formatCode>
                <c:ptCount val="2"/>
                <c:pt idx="0">
                  <c:v>34.275862068965516</c:v>
                </c:pt>
                <c:pt idx="1">
                  <c:v>38.411764705882355</c:v>
                </c:pt>
              </c:numCache>
            </c:numRef>
          </c:xVal>
          <c:yVal>
            <c:numRef>
              <c:f>'Natural Gas'!$F$9:$F$10</c:f>
              <c:numCache>
                <c:formatCode>0.00</c:formatCode>
                <c:ptCount val="2"/>
                <c:pt idx="0">
                  <c:v>1919.1964285714284</c:v>
                </c:pt>
                <c:pt idx="1">
                  <c:v>1398.4848484848483</c:v>
                </c:pt>
              </c:numCache>
            </c:numRef>
          </c:yVal>
          <c:smooth val="1"/>
        </c:ser>
        <c:axId val="99705216"/>
        <c:axId val="99708288"/>
      </c:scatterChart>
      <c:valAx>
        <c:axId val="99705216"/>
        <c:scaling>
          <c:orientation val="minMax"/>
          <c:max val="90"/>
          <c:min val="30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/>
                  <a:t>Average Monthly Temperature</a:t>
                </a:r>
              </a:p>
            </c:rich>
          </c:tx>
          <c:layout>
            <c:manualLayout>
              <c:xMode val="edge"/>
              <c:yMode val="edge"/>
              <c:x val="0.4233848666214563"/>
              <c:y val="0.94614704463897803"/>
            </c:manualLayout>
          </c:layout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9708288"/>
        <c:crosses val="autoZero"/>
        <c:crossBetween val="midCat"/>
      </c:valAx>
      <c:valAx>
        <c:axId val="99708288"/>
        <c:scaling>
          <c:orientation val="minMax"/>
          <c:max val="20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/>
                  <a:t>Average BTU/Hr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97052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9387362106999394"/>
          <c:y val="0.28171465785938421"/>
          <c:w val="0.10158770161581129"/>
          <c:h val="0.15764704646878919"/>
        </c:manualLayout>
      </c:layout>
      <c:overlay val="1"/>
      <c:txPr>
        <a:bodyPr/>
        <a:lstStyle/>
        <a:p>
          <a:pPr>
            <a:defRPr sz="1200"/>
          </a:pPr>
          <a:endParaRPr lang="en-US"/>
        </a:p>
      </c:txPr>
    </c:legend>
    <c:plotVisOnly val="1"/>
  </c:chart>
  <c:userShapes r:id="rId2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8479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0.1639</cdr:x>
      <cdr:y>0.14358</cdr:y>
    </cdr:from>
    <cdr:to>
      <cdr:x>0.29888</cdr:x>
      <cdr:y>0.18479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20394" y="902368"/>
          <a:ext cx="1169737" cy="259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Feb. 11, 2014 </a:t>
          </a:r>
        </a:p>
      </cdr:txBody>
    </cdr:sp>
  </cdr:relSizeAnchor>
  <cdr:relSizeAnchor xmlns:cdr="http://schemas.openxmlformats.org/drawingml/2006/chartDrawing">
    <cdr:from>
      <cdr:x>0.11377</cdr:x>
      <cdr:y>0.32438</cdr:y>
    </cdr:from>
    <cdr:to>
      <cdr:x>0.24875</cdr:x>
      <cdr:y>0.3656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985921" y="2038684"/>
          <a:ext cx="1169737" cy="259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Jan. 13, 2014 </a:t>
          </a:r>
        </a:p>
      </cdr:txBody>
    </cdr:sp>
  </cdr:relSizeAnchor>
  <cdr:relSizeAnchor xmlns:cdr="http://schemas.openxmlformats.org/drawingml/2006/chartDrawing">
    <cdr:from>
      <cdr:x>0.14366</cdr:x>
      <cdr:y>0.44669</cdr:y>
    </cdr:from>
    <cdr:to>
      <cdr:x>0.27864</cdr:x>
      <cdr:y>0.4879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244934" y="2807370"/>
          <a:ext cx="1169737" cy="259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Dec.</a:t>
          </a:r>
          <a:r>
            <a:rPr lang="en-US" sz="1100" baseline="0"/>
            <a:t> 10, 2013</a:t>
          </a:r>
          <a:endParaRPr lang="en-US" sz="1100"/>
        </a:p>
      </cdr:txBody>
    </cdr:sp>
  </cdr:relSizeAnchor>
  <cdr:relSizeAnchor xmlns:cdr="http://schemas.openxmlformats.org/drawingml/2006/chartDrawing">
    <cdr:from>
      <cdr:x>0.55245</cdr:x>
      <cdr:y>0.62351</cdr:y>
    </cdr:from>
    <cdr:to>
      <cdr:x>0.68743</cdr:x>
      <cdr:y>0.66472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787566" y="3918618"/>
          <a:ext cx="1169737" cy="259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Nov. 9, 2013</a:t>
          </a:r>
        </a:p>
      </cdr:txBody>
    </cdr:sp>
  </cdr:relSizeAnchor>
  <cdr:relSizeAnchor xmlns:cdr="http://schemas.openxmlformats.org/drawingml/2006/chartDrawing">
    <cdr:from>
      <cdr:x>0.8388</cdr:x>
      <cdr:y>0.73518</cdr:y>
    </cdr:from>
    <cdr:to>
      <cdr:x>0.97378</cdr:x>
      <cdr:y>0.77639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7269078" y="4620461"/>
          <a:ext cx="1169737" cy="259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Sep. 7, 2013 </a:t>
          </a:r>
        </a:p>
      </cdr:txBody>
    </cdr:sp>
  </cdr:relSizeAnchor>
  <cdr:relSizeAnchor xmlns:cdr="http://schemas.openxmlformats.org/drawingml/2006/chartDrawing">
    <cdr:from>
      <cdr:x>0.25357</cdr:x>
      <cdr:y>0.45334</cdr:y>
    </cdr:from>
    <cdr:to>
      <cdr:x>0.26899</cdr:x>
      <cdr:y>0.4653</cdr:y>
    </cdr:to>
    <cdr:sp macro="" textlink="">
      <cdr:nvSpPr>
        <cdr:cNvPr id="8" name="Straight Arrow Connector 7"/>
        <cdr:cNvSpPr/>
      </cdr:nvSpPr>
      <cdr:spPr>
        <a:xfrm xmlns:a="http://schemas.openxmlformats.org/drawingml/2006/main" flipV="1">
          <a:off x="2197434" y="2849145"/>
          <a:ext cx="133684" cy="7519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0.52642</cdr:x>
      <cdr:y>0.64411</cdr:y>
    </cdr:from>
    <cdr:to>
      <cdr:x>0.55245</cdr:x>
      <cdr:y>0.6727</cdr:y>
    </cdr:to>
    <cdr:sp macro="" textlink="">
      <cdr:nvSpPr>
        <cdr:cNvPr id="10" name="Straight Arrow Connector 9"/>
        <cdr:cNvSpPr/>
      </cdr:nvSpPr>
      <cdr:spPr>
        <a:xfrm xmlns:a="http://schemas.openxmlformats.org/drawingml/2006/main" flipH="1">
          <a:off x="4561974" y="4048125"/>
          <a:ext cx="225592" cy="17963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0.84844</cdr:x>
      <cdr:y>0.77373</cdr:y>
    </cdr:from>
    <cdr:to>
      <cdr:x>0.87737</cdr:x>
      <cdr:y>0.81096</cdr:y>
    </cdr:to>
    <cdr:sp macro="" textlink="">
      <cdr:nvSpPr>
        <cdr:cNvPr id="12" name="Straight Arrow Connector 11"/>
        <cdr:cNvSpPr/>
      </cdr:nvSpPr>
      <cdr:spPr>
        <a:xfrm xmlns:a="http://schemas.openxmlformats.org/drawingml/2006/main" flipH="1">
          <a:off x="7352632" y="4862763"/>
          <a:ext cx="250657" cy="23394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workbookViewId="0">
      <selection activeCell="K29" sqref="K29"/>
    </sheetView>
  </sheetViews>
  <sheetFormatPr defaultRowHeight="12.75"/>
  <cols>
    <col min="1" max="1" width="13.28515625" customWidth="1"/>
    <col min="2" max="2" width="12" customWidth="1"/>
    <col min="3" max="3" width="10.140625" customWidth="1"/>
  </cols>
  <sheetData>
    <row r="1" spans="1:12" ht="13.5" thickBot="1">
      <c r="A1" s="9" t="s">
        <v>3</v>
      </c>
    </row>
    <row r="2" spans="1:12" ht="13.5">
      <c r="A2" s="25" t="s">
        <v>9</v>
      </c>
      <c r="B2" s="26"/>
      <c r="C2" s="27"/>
      <c r="D2" s="25" t="s">
        <v>8</v>
      </c>
      <c r="E2" s="26"/>
      <c r="F2" s="26"/>
      <c r="G2" s="27"/>
    </row>
    <row r="3" spans="1:12" s="10" customFormat="1" ht="27">
      <c r="A3" s="11" t="s">
        <v>4</v>
      </c>
      <c r="B3" s="12" t="s">
        <v>5</v>
      </c>
      <c r="C3" s="13" t="s">
        <v>10</v>
      </c>
      <c r="D3" s="11" t="s">
        <v>7</v>
      </c>
      <c r="E3" s="14" t="s">
        <v>6</v>
      </c>
      <c r="F3" s="12" t="s">
        <v>11</v>
      </c>
      <c r="G3" s="13" t="s">
        <v>12</v>
      </c>
    </row>
    <row r="4" spans="1:12" s="10" customFormat="1" ht="1.5" customHeight="1">
      <c r="A4" s="11"/>
      <c r="B4" s="12"/>
      <c r="C4" s="13"/>
      <c r="D4" s="11"/>
      <c r="E4" s="14"/>
      <c r="F4" s="12"/>
      <c r="G4" s="13"/>
    </row>
    <row r="5" spans="1:12" s="10" customFormat="1" ht="1.5" customHeight="1">
      <c r="A5" s="11"/>
      <c r="B5" s="12"/>
      <c r="C5" s="13"/>
      <c r="D5" s="11"/>
      <c r="E5" s="14"/>
      <c r="F5" s="12"/>
      <c r="G5" s="13"/>
    </row>
    <row r="6" spans="1:12" s="10" customFormat="1" ht="1.5" customHeight="1">
      <c r="A6" s="11"/>
      <c r="B6" s="12"/>
      <c r="C6" s="13"/>
      <c r="D6" s="11"/>
      <c r="E6" s="14"/>
      <c r="F6" s="12"/>
      <c r="G6" s="13"/>
    </row>
    <row r="7" spans="1:12" s="10" customFormat="1" ht="1.5" customHeight="1">
      <c r="A7" s="11"/>
      <c r="B7" s="12"/>
      <c r="C7" s="13"/>
      <c r="D7" s="11"/>
      <c r="E7" s="14"/>
      <c r="F7" s="12"/>
      <c r="G7" s="13"/>
    </row>
    <row r="8" spans="1:12" s="10" customFormat="1" ht="1.5" customHeight="1">
      <c r="A8" s="11"/>
      <c r="B8" s="12"/>
      <c r="C8" s="13"/>
      <c r="D8" s="11"/>
      <c r="E8" s="14"/>
      <c r="F8" s="12"/>
      <c r="G8" s="13"/>
    </row>
    <row r="9" spans="1:12" ht="13.5">
      <c r="A9" s="20">
        <f>B10+1</f>
        <v>41653</v>
      </c>
      <c r="B9" s="20">
        <f>L9-K9</f>
        <v>41681</v>
      </c>
      <c r="C9" s="23">
        <v>12.897</v>
      </c>
      <c r="D9" s="15">
        <f>B9-A9</f>
        <v>28</v>
      </c>
      <c r="E9" s="16">
        <f>AVERAGEIFS('Temperature Data'!B$4:B$2116,'Temperature Data'!A$4:A$2116,"&gt;="&amp;A9,'Temperature Data'!A$4:A$2116,"&lt;="&amp;B9)</f>
        <v>34.275862068965516</v>
      </c>
      <c r="F9" s="17">
        <f>C9*100000/D9/24</f>
        <v>1919.1964285714284</v>
      </c>
      <c r="G9" s="18">
        <f>F9/3.413</f>
        <v>562.31949269599431</v>
      </c>
      <c r="K9" s="10">
        <v>2</v>
      </c>
      <c r="L9" s="20">
        <v>41683</v>
      </c>
    </row>
    <row r="10" spans="1:12" ht="13.5">
      <c r="A10" s="20">
        <f t="shared" ref="A10:A44" si="0">B11+1</f>
        <v>41619</v>
      </c>
      <c r="B10" s="20">
        <f t="shared" ref="B10:B44" si="1">L10-K10</f>
        <v>41652</v>
      </c>
      <c r="C10" s="23">
        <v>11.076000000000001</v>
      </c>
      <c r="D10" s="15">
        <f t="shared" ref="D10:D29" si="2">B10-A10</f>
        <v>33</v>
      </c>
      <c r="E10" s="16">
        <f>AVERAGEIFS('Temperature Data'!B$4:B$2116,'Temperature Data'!A$4:A$2116,"&gt;="&amp;A10,'Temperature Data'!A$4:A$2116,"&lt;="&amp;B10)</f>
        <v>38.411764705882355</v>
      </c>
      <c r="F10" s="17">
        <f t="shared" ref="F10:F31" si="3">C10*100000/D10/24</f>
        <v>1398.4848484848483</v>
      </c>
      <c r="G10" s="18">
        <f t="shared" ref="G10:G44" si="4">F10/3.413</f>
        <v>409.75237283470506</v>
      </c>
      <c r="K10" s="10">
        <v>2</v>
      </c>
      <c r="L10" s="21">
        <v>41654</v>
      </c>
    </row>
    <row r="11" spans="1:12" ht="13.5">
      <c r="A11" s="20">
        <f t="shared" si="0"/>
        <v>41588</v>
      </c>
      <c r="B11" s="20">
        <f t="shared" si="1"/>
        <v>41618</v>
      </c>
      <c r="C11" s="23">
        <v>8.4849999999999994</v>
      </c>
      <c r="D11" s="15">
        <f t="shared" si="2"/>
        <v>30</v>
      </c>
      <c r="E11" s="16">
        <f>AVERAGEIFS('Temperature Data'!B$4:B$2116,'Temperature Data'!A$4:A$2116,"&gt;="&amp;A11,'Temperature Data'!A$4:A$2116,"&lt;="&amp;B11)</f>
        <v>42</v>
      </c>
      <c r="F11" s="17">
        <f t="shared" si="3"/>
        <v>1178.4722222222222</v>
      </c>
      <c r="G11" s="18">
        <f t="shared" si="4"/>
        <v>345.28925350782953</v>
      </c>
      <c r="K11" s="10">
        <v>2</v>
      </c>
      <c r="L11" s="21">
        <v>41620</v>
      </c>
    </row>
    <row r="12" spans="1:12" ht="13.5">
      <c r="A12" s="20">
        <f t="shared" si="0"/>
        <v>41553</v>
      </c>
      <c r="B12" s="20">
        <f t="shared" si="1"/>
        <v>41587</v>
      </c>
      <c r="C12" s="23">
        <v>4.6429999999999998</v>
      </c>
      <c r="D12" s="15">
        <f t="shared" si="2"/>
        <v>34</v>
      </c>
      <c r="E12" s="16">
        <f>AVERAGEIFS('Temperature Data'!B$4:B$2116,'Temperature Data'!A$4:A$2116,"&gt;="&amp;A12,'Temperature Data'!A$4:A$2116,"&lt;="&amp;B12)</f>
        <v>58.828571428571429</v>
      </c>
      <c r="F12" s="17">
        <f t="shared" si="3"/>
        <v>568.99509803921569</v>
      </c>
      <c r="G12" s="18">
        <f t="shared" si="4"/>
        <v>166.71406329892051</v>
      </c>
      <c r="K12" s="10">
        <v>2</v>
      </c>
      <c r="L12" s="21">
        <v>41589</v>
      </c>
    </row>
    <row r="13" spans="1:12" ht="13.5">
      <c r="A13" s="20">
        <f t="shared" si="0"/>
        <v>41525</v>
      </c>
      <c r="B13" s="20">
        <f t="shared" si="1"/>
        <v>41552</v>
      </c>
      <c r="C13" s="23">
        <v>1.472</v>
      </c>
      <c r="D13" s="15">
        <f t="shared" si="2"/>
        <v>27</v>
      </c>
      <c r="E13" s="16">
        <f>AVERAGEIFS('Temperature Data'!B$4:B$2116,'Temperature Data'!A$4:A$2116,"&gt;="&amp;A13,'Temperature Data'!A$4:A$2116,"&lt;="&amp;B13)</f>
        <v>74.821428571428569</v>
      </c>
      <c r="F13" s="17">
        <f t="shared" si="3"/>
        <v>227.16049382716051</v>
      </c>
      <c r="G13" s="18">
        <f t="shared" si="4"/>
        <v>66.557425674526968</v>
      </c>
      <c r="K13" s="10">
        <v>5</v>
      </c>
      <c r="L13" s="21">
        <v>41557</v>
      </c>
    </row>
    <row r="14" spans="1:12" ht="13.5">
      <c r="A14" s="20">
        <f t="shared" si="0"/>
        <v>41496</v>
      </c>
      <c r="B14" s="20">
        <f t="shared" si="1"/>
        <v>41524</v>
      </c>
      <c r="C14" s="23">
        <v>1.36</v>
      </c>
      <c r="D14" s="15">
        <f t="shared" si="2"/>
        <v>28</v>
      </c>
      <c r="E14" s="16">
        <f>AVERAGEIFS('Temperature Data'!B$4:B$2116,'Temperature Data'!A$4:A$2116,"&gt;="&amp;A14,'Temperature Data'!A$4:A$2116,"&lt;="&amp;B14)</f>
        <v>80.827586206896555</v>
      </c>
      <c r="F14" s="17">
        <f t="shared" si="3"/>
        <v>202.38095238095238</v>
      </c>
      <c r="G14" s="18">
        <f t="shared" si="4"/>
        <v>59.297085373850685</v>
      </c>
      <c r="K14" s="10">
        <v>4</v>
      </c>
      <c r="L14" s="21">
        <v>41528</v>
      </c>
    </row>
    <row r="15" spans="1:12" ht="13.5">
      <c r="A15" s="20">
        <f t="shared" si="0"/>
        <v>41465</v>
      </c>
      <c r="B15" s="20">
        <f t="shared" si="1"/>
        <v>41495</v>
      </c>
      <c r="C15" s="23">
        <v>1.355</v>
      </c>
      <c r="D15" s="15">
        <f t="shared" si="2"/>
        <v>30</v>
      </c>
      <c r="E15" s="16">
        <f>AVERAGEIFS('Temperature Data'!B$4:B$2116,'Temperature Data'!A$4:A$2116,"&gt;="&amp;A15,'Temperature Data'!A$4:A$2116,"&lt;="&amp;B15)</f>
        <v>83.064516129032256</v>
      </c>
      <c r="F15" s="17">
        <f t="shared" si="3"/>
        <v>188.19444444444446</v>
      </c>
      <c r="G15" s="18">
        <f t="shared" si="4"/>
        <v>55.140475957938605</v>
      </c>
      <c r="K15" s="10">
        <v>3</v>
      </c>
      <c r="L15" s="21">
        <v>41498</v>
      </c>
    </row>
    <row r="16" spans="1:12" ht="13.5">
      <c r="A16" s="20">
        <f t="shared" si="0"/>
        <v>41435</v>
      </c>
      <c r="B16" s="20">
        <f t="shared" si="1"/>
        <v>41464</v>
      </c>
      <c r="C16" s="23">
        <v>1.466</v>
      </c>
      <c r="D16" s="15">
        <f t="shared" si="2"/>
        <v>29</v>
      </c>
      <c r="E16" s="16">
        <f>AVERAGEIFS('Temperature Data'!B$4:B$2116,'Temperature Data'!A$4:A$2116,"&gt;="&amp;A16,'Temperature Data'!A$4:A$2116,"&lt;="&amp;B16)</f>
        <v>81.36666666666666</v>
      </c>
      <c r="F16" s="17">
        <f t="shared" si="3"/>
        <v>210.63218390804596</v>
      </c>
      <c r="G16" s="18">
        <f t="shared" si="4"/>
        <v>61.714674452987396</v>
      </c>
      <c r="K16" s="10">
        <v>3</v>
      </c>
      <c r="L16" s="21">
        <v>41467</v>
      </c>
    </row>
    <row r="17" spans="1:12" ht="13.5">
      <c r="A17" s="20">
        <f t="shared" si="0"/>
        <v>41405</v>
      </c>
      <c r="B17" s="20">
        <f t="shared" si="1"/>
        <v>41434</v>
      </c>
      <c r="C17" s="23">
        <v>1.351</v>
      </c>
      <c r="D17" s="15">
        <f t="shared" si="2"/>
        <v>29</v>
      </c>
      <c r="E17" s="16">
        <f>AVERAGEIFS('Temperature Data'!B$4:B$2116,'Temperature Data'!A$4:A$2116,"&gt;="&amp;A17,'Temperature Data'!A$4:A$2116,"&lt;="&amp;B17)</f>
        <v>71.3</v>
      </c>
      <c r="F17" s="17">
        <f t="shared" si="3"/>
        <v>194.10919540229884</v>
      </c>
      <c r="G17" s="18">
        <f t="shared" si="4"/>
        <v>56.873482391532036</v>
      </c>
      <c r="K17" s="10">
        <v>3</v>
      </c>
      <c r="L17" s="21">
        <v>41437</v>
      </c>
    </row>
    <row r="18" spans="1:12" ht="13.5">
      <c r="A18" s="20">
        <f t="shared" si="0"/>
        <v>41375</v>
      </c>
      <c r="B18" s="20">
        <f t="shared" si="1"/>
        <v>41404</v>
      </c>
      <c r="C18" s="23">
        <v>4.6120000000000001</v>
      </c>
      <c r="D18" s="15">
        <f t="shared" si="2"/>
        <v>29</v>
      </c>
      <c r="E18" s="16">
        <f>AVERAGEIFS('Temperature Data'!B$4:B$2116,'Temperature Data'!A$4:A$2116,"&gt;="&amp;A18,'Temperature Data'!A$4:A$2116,"&lt;="&amp;B18)</f>
        <v>57.8</v>
      </c>
      <c r="F18" s="17">
        <f t="shared" si="3"/>
        <v>662.64367816091954</v>
      </c>
      <c r="G18" s="18">
        <f t="shared" si="4"/>
        <v>194.1528503254965</v>
      </c>
      <c r="K18" s="10">
        <v>3</v>
      </c>
      <c r="L18" s="21">
        <v>41407</v>
      </c>
    </row>
    <row r="19" spans="1:12" ht="13.5">
      <c r="A19" s="20">
        <f t="shared" si="0"/>
        <v>41347</v>
      </c>
      <c r="B19" s="20">
        <f t="shared" si="1"/>
        <v>41374</v>
      </c>
      <c r="C19" s="23">
        <v>5.8490000000000002</v>
      </c>
      <c r="D19" s="15">
        <f t="shared" si="2"/>
        <v>27</v>
      </c>
      <c r="E19" s="16">
        <f>AVERAGEIFS('Temperature Data'!B$4:B$2116,'Temperature Data'!A$4:A$2116,"&gt;="&amp;A19,'Temperature Data'!A$4:A$2116,"&lt;="&amp;B19)</f>
        <v>51.892857142857146</v>
      </c>
      <c r="F19" s="17">
        <f t="shared" si="3"/>
        <v>902.62345679012344</v>
      </c>
      <c r="G19" s="18">
        <f t="shared" si="4"/>
        <v>264.46629264287242</v>
      </c>
      <c r="K19" s="10">
        <v>2</v>
      </c>
      <c r="L19" s="21">
        <v>41376</v>
      </c>
    </row>
    <row r="20" spans="1:12" ht="13.5">
      <c r="A20" s="20">
        <f t="shared" si="0"/>
        <v>41314</v>
      </c>
      <c r="B20" s="20">
        <f t="shared" si="1"/>
        <v>41346</v>
      </c>
      <c r="C20" s="23">
        <v>9.6920000000000002</v>
      </c>
      <c r="D20" s="15">
        <f t="shared" si="2"/>
        <v>32</v>
      </c>
      <c r="E20" s="16">
        <f>AVERAGEIFS('Temperature Data'!B$4:B$2116,'Temperature Data'!A$4:A$2116,"&gt;="&amp;A20,'Temperature Data'!A$4:A$2116,"&lt;="&amp;B20)</f>
        <v>43.393939393939391</v>
      </c>
      <c r="F20" s="17">
        <f t="shared" si="3"/>
        <v>1261.9791666666667</v>
      </c>
      <c r="G20" s="18">
        <f t="shared" si="4"/>
        <v>369.75656802422117</v>
      </c>
      <c r="K20" s="10">
        <v>1</v>
      </c>
      <c r="L20" s="21">
        <v>41347</v>
      </c>
    </row>
    <row r="21" spans="1:12" ht="13.5">
      <c r="A21" s="20">
        <f t="shared" si="0"/>
        <v>41287</v>
      </c>
      <c r="B21" s="20">
        <f t="shared" si="1"/>
        <v>41313</v>
      </c>
      <c r="C21" s="23">
        <v>7.9039999999999999</v>
      </c>
      <c r="D21" s="15">
        <f t="shared" si="2"/>
        <v>26</v>
      </c>
      <c r="E21" s="16">
        <f>AVERAGEIFS('Temperature Data'!B$4:B$2116,'Temperature Data'!A$4:A$2116,"&gt;="&amp;A21,'Temperature Data'!A$4:A$2116,"&lt;="&amp;B21)</f>
        <v>43.888888888888886</v>
      </c>
      <c r="F21" s="17">
        <f t="shared" si="3"/>
        <v>1266.6666666666667</v>
      </c>
      <c r="G21" s="18">
        <f t="shared" si="4"/>
        <v>371.12999316339489</v>
      </c>
      <c r="K21" s="10">
        <v>5</v>
      </c>
      <c r="L21" s="21">
        <v>41318</v>
      </c>
    </row>
    <row r="22" spans="1:12" ht="13.5">
      <c r="A22" s="20">
        <f t="shared" si="0"/>
        <v>41250</v>
      </c>
      <c r="B22" s="20">
        <f t="shared" si="1"/>
        <v>41286</v>
      </c>
      <c r="C22" s="23">
        <v>11.023</v>
      </c>
      <c r="D22" s="15">
        <f t="shared" si="2"/>
        <v>36</v>
      </c>
      <c r="E22" s="16">
        <f>AVERAGEIFS('Temperature Data'!B$4:B$2116,'Temperature Data'!A$4:A$2116,"&gt;="&amp;A22,'Temperature Data'!A$4:A$2116,"&lt;="&amp;B22)</f>
        <v>39.810810810810814</v>
      </c>
      <c r="F22" s="17">
        <f t="shared" si="3"/>
        <v>1275.8101851851852</v>
      </c>
      <c r="G22" s="18">
        <f t="shared" si="4"/>
        <v>373.8090199780795</v>
      </c>
      <c r="K22" s="10">
        <v>3</v>
      </c>
      <c r="L22" s="21">
        <v>41289</v>
      </c>
    </row>
    <row r="23" spans="1:12" ht="13.5">
      <c r="A23" s="20">
        <f t="shared" si="0"/>
        <v>41221</v>
      </c>
      <c r="B23" s="20">
        <f t="shared" si="1"/>
        <v>41249</v>
      </c>
      <c r="C23" s="23">
        <v>3.4870000000000001</v>
      </c>
      <c r="D23" s="15">
        <f t="shared" si="2"/>
        <v>28</v>
      </c>
      <c r="E23" s="16">
        <f>AVERAGEIFS('Temperature Data'!B$4:B$2116,'Temperature Data'!A$4:A$2116,"&gt;="&amp;A23,'Temperature Data'!A$4:A$2116,"&lt;="&amp;B23)</f>
        <v>54.068965517241381</v>
      </c>
      <c r="F23" s="17">
        <f t="shared" si="3"/>
        <v>518.89880952380952</v>
      </c>
      <c r="G23" s="18">
        <f t="shared" si="4"/>
        <v>152.03598286663041</v>
      </c>
      <c r="K23" s="10">
        <v>6</v>
      </c>
      <c r="L23" s="21">
        <v>41255</v>
      </c>
    </row>
    <row r="24" spans="1:12" ht="13.5">
      <c r="A24" s="20">
        <f t="shared" si="0"/>
        <v>41193</v>
      </c>
      <c r="B24" s="20">
        <f t="shared" si="1"/>
        <v>41220</v>
      </c>
      <c r="C24" s="23">
        <v>2.141</v>
      </c>
      <c r="D24" s="15">
        <f t="shared" si="2"/>
        <v>27</v>
      </c>
      <c r="E24" s="16">
        <f>AVERAGEIFS('Temperature Data'!B$4:B$2116,'Temperature Data'!A$4:A$2116,"&gt;="&amp;A24,'Temperature Data'!A$4:A$2116,"&lt;="&amp;B24)</f>
        <v>61.178571428571431</v>
      </c>
      <c r="F24" s="17">
        <f t="shared" si="3"/>
        <v>330.40123456790121</v>
      </c>
      <c r="G24" s="18">
        <f t="shared" si="4"/>
        <v>96.806690468180847</v>
      </c>
      <c r="K24" s="10">
        <v>2</v>
      </c>
      <c r="L24" s="21">
        <v>41222</v>
      </c>
    </row>
    <row r="25" spans="1:12" ht="13.5">
      <c r="A25" s="20">
        <f t="shared" si="0"/>
        <v>41161</v>
      </c>
      <c r="B25" s="20">
        <f t="shared" si="1"/>
        <v>41192</v>
      </c>
      <c r="C25" s="23">
        <v>1.929</v>
      </c>
      <c r="D25" s="15">
        <f t="shared" si="2"/>
        <v>31</v>
      </c>
      <c r="E25" s="16">
        <f>AVERAGEIFS('Temperature Data'!B$4:B$2116,'Temperature Data'!A$4:A$2116,"&gt;="&amp;A25,'Temperature Data'!A$4:A$2116,"&lt;="&amp;B25)</f>
        <v>67.6875</v>
      </c>
      <c r="F25" s="17">
        <f t="shared" si="3"/>
        <v>259.27419354838713</v>
      </c>
      <c r="G25" s="18">
        <f t="shared" si="4"/>
        <v>75.966655009782343</v>
      </c>
      <c r="K25" s="10">
        <v>1</v>
      </c>
      <c r="L25" s="21">
        <v>41193</v>
      </c>
    </row>
    <row r="26" spans="1:12" ht="13.5">
      <c r="A26" s="20">
        <f t="shared" si="0"/>
        <v>41131</v>
      </c>
      <c r="B26" s="20">
        <f t="shared" si="1"/>
        <v>41160</v>
      </c>
      <c r="C26" s="23">
        <v>1.0209999999999999</v>
      </c>
      <c r="D26" s="15">
        <f t="shared" si="2"/>
        <v>29</v>
      </c>
      <c r="E26" s="16">
        <f>AVERAGEIFS('Temperature Data'!B$4:B$2116,'Temperature Data'!A$4:A$2116,"&gt;="&amp;A26,'Temperature Data'!A$4:A$2116,"&lt;="&amp;B26)</f>
        <v>82.266666666666666</v>
      </c>
      <c r="F26" s="17">
        <f t="shared" si="3"/>
        <v>146.69540229885055</v>
      </c>
      <c r="G26" s="18">
        <f t="shared" si="4"/>
        <v>42.981366041268842</v>
      </c>
      <c r="K26" s="10">
        <v>4</v>
      </c>
      <c r="L26" s="21">
        <v>41164</v>
      </c>
    </row>
    <row r="27" spans="1:12" ht="13.5">
      <c r="A27" s="20">
        <f t="shared" si="0"/>
        <v>41100</v>
      </c>
      <c r="B27" s="20">
        <f t="shared" si="1"/>
        <v>41130</v>
      </c>
      <c r="C27" s="23">
        <v>1.0209999999999999</v>
      </c>
      <c r="D27" s="15">
        <f t="shared" si="2"/>
        <v>30</v>
      </c>
      <c r="E27" s="16">
        <f>AVERAGEIFS('Temperature Data'!B$4:B$2116,'Temperature Data'!A$4:A$2116,"&gt;="&amp;A27,'Temperature Data'!A$4:A$2116,"&lt;="&amp;B27)</f>
        <v>89.290322580645167</v>
      </c>
      <c r="F27" s="17">
        <f t="shared" si="3"/>
        <v>141.80555555555554</v>
      </c>
      <c r="G27" s="18">
        <f t="shared" si="4"/>
        <v>41.54865383989322</v>
      </c>
      <c r="K27" s="10">
        <v>4</v>
      </c>
      <c r="L27" s="21">
        <v>41134</v>
      </c>
    </row>
    <row r="28" spans="1:12" ht="13.5">
      <c r="A28" s="20">
        <f t="shared" si="0"/>
        <v>41069</v>
      </c>
      <c r="B28" s="20">
        <f t="shared" si="1"/>
        <v>41099</v>
      </c>
      <c r="C28" s="23">
        <v>1.018</v>
      </c>
      <c r="D28" s="15">
        <f t="shared" si="2"/>
        <v>30</v>
      </c>
      <c r="E28" s="16">
        <f>AVERAGEIFS('Temperature Data'!B$4:B$2116,'Temperature Data'!A$4:A$2116,"&gt;="&amp;A28,'Temperature Data'!A$4:A$2116,"&lt;="&amp;B28)</f>
        <v>82.41935483870968</v>
      </c>
      <c r="F28" s="17">
        <f t="shared" si="3"/>
        <v>141.38888888888889</v>
      </c>
      <c r="G28" s="18">
        <f t="shared" si="4"/>
        <v>41.426571605299998</v>
      </c>
      <c r="K28" s="10">
        <v>4</v>
      </c>
      <c r="L28" s="21">
        <v>41103</v>
      </c>
    </row>
    <row r="29" spans="1:12" ht="14.25" thickBot="1">
      <c r="A29" s="20">
        <f t="shared" si="0"/>
        <v>41036</v>
      </c>
      <c r="B29" s="20">
        <f t="shared" si="1"/>
        <v>41068</v>
      </c>
      <c r="C29" s="24">
        <v>1.238</v>
      </c>
      <c r="D29" s="15">
        <f t="shared" si="2"/>
        <v>32</v>
      </c>
      <c r="E29" s="16">
        <f>AVERAGEIFS('Temperature Data'!B$4:B$2116,'Temperature Data'!A$4:A$2116,"&gt;="&amp;A29,'Temperature Data'!A$4:A$2116,"&lt;="&amp;B29)</f>
        <v>71.969696969696969</v>
      </c>
      <c r="F29" s="17">
        <f t="shared" si="3"/>
        <v>161.19791666666666</v>
      </c>
      <c r="G29" s="18">
        <f t="shared" si="4"/>
        <v>47.230564508252762</v>
      </c>
      <c r="K29" s="10">
        <v>4</v>
      </c>
      <c r="L29" s="21">
        <v>41072</v>
      </c>
    </row>
    <row r="30" spans="1:12" ht="14.25" thickBot="1">
      <c r="A30" s="20">
        <f t="shared" si="0"/>
        <v>41007</v>
      </c>
      <c r="B30" s="20">
        <f t="shared" si="1"/>
        <v>41035</v>
      </c>
      <c r="C30" s="24">
        <v>1.464</v>
      </c>
      <c r="D30" s="19">
        <f>COUNTIFS('Temperature Data'!A3:A1120,"&gt;="&amp;A30,'Temperature Data'!A3:A1120,"&lt;="&amp;B30)</f>
        <v>29</v>
      </c>
      <c r="E30" s="16">
        <f>AVERAGEIFS('Temperature Data'!B$4:B$2116,'Temperature Data'!A$4:A$2116,"&gt;="&amp;A30,'Temperature Data'!A$4:A$2116,"&lt;="&amp;B30)</f>
        <v>68.310344827586206</v>
      </c>
      <c r="F30" s="17">
        <f t="shared" ref="F30" si="5">C30*100000/D30/24</f>
        <v>210.34482758620689</v>
      </c>
      <c r="G30" s="18">
        <f t="shared" si="4"/>
        <v>61.630479808440349</v>
      </c>
      <c r="K30" s="10">
        <v>4</v>
      </c>
      <c r="L30" s="21">
        <v>41039</v>
      </c>
    </row>
    <row r="31" spans="1:12" ht="14.25" thickBot="1">
      <c r="A31" s="20">
        <f t="shared" si="0"/>
        <v>40978</v>
      </c>
      <c r="B31" s="20">
        <f t="shared" si="1"/>
        <v>41006</v>
      </c>
      <c r="C31" s="24">
        <v>2.254</v>
      </c>
      <c r="D31" s="19">
        <f>COUNTIFS('Temperature Data'!A42:A1120,"&gt;="&amp;A31,'Temperature Data'!A42:A1120,"&lt;="&amp;B31)</f>
        <v>29</v>
      </c>
      <c r="E31" s="16">
        <f>AVERAGEIFS('Temperature Data'!B$4:B$2116,'Temperature Data'!A$4:A$2116,"&gt;="&amp;A31,'Temperature Data'!A$4:A$2116,"&lt;="&amp;B31)</f>
        <v>63.827586206896555</v>
      </c>
      <c r="F31" s="17">
        <f t="shared" si="3"/>
        <v>323.85057471264366</v>
      </c>
      <c r="G31" s="18">
        <f t="shared" si="4"/>
        <v>94.887364404524959</v>
      </c>
      <c r="K31" s="10">
        <v>4</v>
      </c>
      <c r="L31" s="21">
        <v>41010</v>
      </c>
    </row>
    <row r="32" spans="1:12" ht="13.5">
      <c r="A32" s="20">
        <f t="shared" si="0"/>
        <v>40949</v>
      </c>
      <c r="B32" s="20">
        <f t="shared" si="1"/>
        <v>40977</v>
      </c>
      <c r="C32" s="23">
        <v>6.7809999999999997</v>
      </c>
      <c r="D32" s="15">
        <f t="shared" ref="D32:D44" si="6">B32-A32</f>
        <v>28</v>
      </c>
      <c r="E32" s="16">
        <f>AVERAGEIFS('Temperature Data'!B$4:B$2116,'Temperature Data'!A$4:A$2116,"&gt;="&amp;A32,'Temperature Data'!A$4:A$2116,"&lt;="&amp;B32)</f>
        <v>48.310344827586206</v>
      </c>
      <c r="F32" s="17">
        <f t="shared" ref="F32:F44" si="7">C32*100000/D32/24</f>
        <v>1009.0773809523808</v>
      </c>
      <c r="G32" s="18">
        <f t="shared" si="4"/>
        <v>295.65701170594224</v>
      </c>
      <c r="K32" s="10">
        <v>4</v>
      </c>
      <c r="L32" s="21">
        <v>40981</v>
      </c>
    </row>
    <row r="33" spans="1:12" ht="13.5">
      <c r="A33" s="20">
        <f t="shared" si="0"/>
        <v>40920</v>
      </c>
      <c r="B33" s="20">
        <f t="shared" si="1"/>
        <v>40948</v>
      </c>
      <c r="C33" s="23">
        <v>9.1280000000000001</v>
      </c>
      <c r="D33" s="15">
        <f t="shared" si="6"/>
        <v>28</v>
      </c>
      <c r="E33" s="16">
        <f>AVERAGEIFS('Temperature Data'!B$4:B$2116,'Temperature Data'!A$4:A$2116,"&gt;="&amp;A33,'Temperature Data'!A$4:A$2116,"&lt;="&amp;B33)</f>
        <v>43.793103448275865</v>
      </c>
      <c r="F33" s="17">
        <f t="shared" si="7"/>
        <v>1358.3333333333333</v>
      </c>
      <c r="G33" s="18">
        <f t="shared" si="4"/>
        <v>397.98808477390372</v>
      </c>
      <c r="K33" s="10">
        <v>4</v>
      </c>
      <c r="L33" s="21">
        <v>40952</v>
      </c>
    </row>
    <row r="34" spans="1:12" ht="13.5">
      <c r="A34" s="20">
        <f t="shared" si="0"/>
        <v>40886</v>
      </c>
      <c r="B34" s="20">
        <f t="shared" si="1"/>
        <v>40919</v>
      </c>
      <c r="C34" s="23">
        <v>10.573</v>
      </c>
      <c r="D34" s="15">
        <f t="shared" si="6"/>
        <v>33</v>
      </c>
      <c r="E34" s="16">
        <f>AVERAGEIFS('Temperature Data'!B$4:B$2116,'Temperature Data'!A$4:A$2116,"&gt;="&amp;A34,'Temperature Data'!A$4:A$2116,"&lt;="&amp;B34)</f>
        <v>43.205882352941174</v>
      </c>
      <c r="F34" s="17">
        <f t="shared" si="7"/>
        <v>1334.9747474747476</v>
      </c>
      <c r="G34" s="18">
        <f t="shared" si="4"/>
        <v>391.14408071337465</v>
      </c>
      <c r="K34" s="10">
        <v>2</v>
      </c>
      <c r="L34" s="21">
        <v>40921</v>
      </c>
    </row>
    <row r="35" spans="1:12" ht="13.5">
      <c r="A35" s="20">
        <f t="shared" si="0"/>
        <v>40853</v>
      </c>
      <c r="B35" s="20">
        <f t="shared" si="1"/>
        <v>40885</v>
      </c>
      <c r="C35" s="23">
        <v>6.9459999999999997</v>
      </c>
      <c r="D35" s="15">
        <f t="shared" si="6"/>
        <v>32</v>
      </c>
      <c r="E35" s="16">
        <f>AVERAGEIFS('Temperature Data'!B$4:B$2116,'Temperature Data'!A$4:A$2116,"&gt;="&amp;A35,'Temperature Data'!A$4:A$2116,"&lt;="&amp;B35)</f>
        <v>47.303030303030305</v>
      </c>
      <c r="F35" s="17">
        <f t="shared" si="7"/>
        <v>904.42708333333337</v>
      </c>
      <c r="G35" s="18">
        <f t="shared" si="4"/>
        <v>264.99475046391251</v>
      </c>
      <c r="K35" s="10">
        <v>4</v>
      </c>
      <c r="L35" s="21">
        <v>40889</v>
      </c>
    </row>
    <row r="36" spans="1:12" ht="13.5">
      <c r="A36" s="20">
        <f t="shared" si="0"/>
        <v>40824</v>
      </c>
      <c r="B36" s="20">
        <f t="shared" si="1"/>
        <v>40852</v>
      </c>
      <c r="C36" s="23">
        <v>2.5720000000000001</v>
      </c>
      <c r="D36" s="15">
        <f t="shared" si="6"/>
        <v>28</v>
      </c>
      <c r="E36" s="16">
        <f>AVERAGEIFS('Temperature Data'!B$4:B$2116,'Temperature Data'!A$4:A$2116,"&gt;="&amp;A36,'Temperature Data'!A$4:A$2116,"&lt;="&amp;B36)</f>
        <v>59.689655172413794</v>
      </c>
      <c r="F36" s="17">
        <f t="shared" si="7"/>
        <v>382.73809523809524</v>
      </c>
      <c r="G36" s="18">
        <f t="shared" si="4"/>
        <v>112.14125263348821</v>
      </c>
      <c r="K36" s="10">
        <v>4</v>
      </c>
      <c r="L36" s="21">
        <v>40856</v>
      </c>
    </row>
    <row r="37" spans="1:12" ht="13.5">
      <c r="A37" s="20">
        <f t="shared" si="0"/>
        <v>40795</v>
      </c>
      <c r="B37" s="20">
        <f t="shared" si="1"/>
        <v>40823</v>
      </c>
      <c r="C37" s="23">
        <v>1.232</v>
      </c>
      <c r="D37" s="15">
        <f t="shared" si="6"/>
        <v>28</v>
      </c>
      <c r="E37" s="16">
        <f>AVERAGEIFS('Temperature Data'!B$4:B$2116,'Temperature Data'!A$4:A$2116,"&gt;="&amp;A37,'Temperature Data'!A$4:A$2116,"&lt;="&amp;B37)</f>
        <v>71.034482758620683</v>
      </c>
      <c r="F37" s="17">
        <f t="shared" si="7"/>
        <v>183.33333333333334</v>
      </c>
      <c r="G37" s="18">
        <f t="shared" si="4"/>
        <v>53.71618322101768</v>
      </c>
      <c r="K37" s="10">
        <v>4</v>
      </c>
      <c r="L37" s="21">
        <v>40827</v>
      </c>
    </row>
    <row r="38" spans="1:12" ht="13.5">
      <c r="A38" s="20">
        <f t="shared" si="0"/>
        <v>40763</v>
      </c>
      <c r="B38" s="20">
        <f t="shared" si="1"/>
        <v>40794</v>
      </c>
      <c r="C38" s="23">
        <v>0.78500000000000003</v>
      </c>
      <c r="D38" s="15">
        <f t="shared" si="6"/>
        <v>31</v>
      </c>
      <c r="E38" s="16">
        <f>AVERAGEIFS('Temperature Data'!B$4:B$2116,'Temperature Data'!A$4:A$2116,"&gt;="&amp;A38,'Temperature Data'!A$4:A$2116,"&lt;="&amp;B38)</f>
        <v>85.15625</v>
      </c>
      <c r="F38" s="17">
        <f t="shared" si="7"/>
        <v>105.51075268817205</v>
      </c>
      <c r="G38" s="18">
        <f t="shared" si="4"/>
        <v>30.914372308283639</v>
      </c>
      <c r="K38" s="10">
        <v>4</v>
      </c>
      <c r="L38" s="21">
        <v>40798</v>
      </c>
    </row>
    <row r="39" spans="1:12" ht="13.5">
      <c r="A39" s="20">
        <f t="shared" si="0"/>
        <v>40734</v>
      </c>
      <c r="B39" s="20">
        <f t="shared" si="1"/>
        <v>40762</v>
      </c>
      <c r="C39" s="23">
        <v>0.89500000000000002</v>
      </c>
      <c r="D39" s="15">
        <f t="shared" si="6"/>
        <v>28</v>
      </c>
      <c r="E39" s="16">
        <f>AVERAGEIFS('Temperature Data'!B$4:B$2116,'Temperature Data'!A$4:A$2116,"&gt;="&amp;A39,'Temperature Data'!A$4:A$2116,"&lt;="&amp;B39)</f>
        <v>90.41379310344827</v>
      </c>
      <c r="F39" s="17">
        <f t="shared" si="7"/>
        <v>133.18452380952382</v>
      </c>
      <c r="G39" s="18">
        <f t="shared" si="4"/>
        <v>39.022714271762034</v>
      </c>
      <c r="K39" s="10">
        <v>4</v>
      </c>
      <c r="L39" s="21">
        <v>40766</v>
      </c>
    </row>
    <row r="40" spans="1:12" ht="13.5">
      <c r="A40" s="20">
        <f t="shared" si="0"/>
        <v>40704</v>
      </c>
      <c r="B40" s="20">
        <f t="shared" si="1"/>
        <v>40733</v>
      </c>
      <c r="C40" s="23">
        <v>1.3460000000000001</v>
      </c>
      <c r="D40" s="15">
        <f t="shared" si="6"/>
        <v>29</v>
      </c>
      <c r="E40" s="16">
        <f>AVERAGEIFS('Temperature Data'!B$4:B$2116,'Temperature Data'!A$4:A$2116,"&gt;="&amp;A40,'Temperature Data'!A$4:A$2116,"&lt;="&amp;B40)</f>
        <v>86.63333333333334</v>
      </c>
      <c r="F40" s="17">
        <f t="shared" si="7"/>
        <v>193.39080459770116</v>
      </c>
      <c r="G40" s="18">
        <f t="shared" si="4"/>
        <v>56.662995780164422</v>
      </c>
      <c r="K40" s="10">
        <v>4</v>
      </c>
      <c r="L40" s="21">
        <v>40737</v>
      </c>
    </row>
    <row r="41" spans="1:12" ht="13.5">
      <c r="A41" s="20">
        <f t="shared" si="0"/>
        <v>40672</v>
      </c>
      <c r="B41" s="20">
        <f t="shared" si="1"/>
        <v>40703</v>
      </c>
      <c r="C41" s="23">
        <v>1.234</v>
      </c>
      <c r="D41" s="15">
        <f t="shared" si="6"/>
        <v>31</v>
      </c>
      <c r="E41" s="16">
        <f>AVERAGEIFS('Temperature Data'!B$4:B$2116,'Temperature Data'!A$4:A$2116,"&gt;="&amp;A41,'Temperature Data'!A$4:A$2116,"&lt;="&amp;B41)</f>
        <v>74.375</v>
      </c>
      <c r="F41" s="17">
        <f t="shared" si="7"/>
        <v>165.86021505376343</v>
      </c>
      <c r="G41" s="18">
        <f t="shared" si="4"/>
        <v>48.596605641301913</v>
      </c>
      <c r="K41" s="10">
        <v>4</v>
      </c>
      <c r="L41" s="21">
        <v>40707</v>
      </c>
    </row>
    <row r="42" spans="1:12" ht="13.5">
      <c r="A42" s="20">
        <f t="shared" si="0"/>
        <v>40642</v>
      </c>
      <c r="B42" s="20">
        <f t="shared" si="1"/>
        <v>40671</v>
      </c>
      <c r="C42" s="23">
        <v>2.1269999999999998</v>
      </c>
      <c r="D42" s="15">
        <f t="shared" si="6"/>
        <v>29</v>
      </c>
      <c r="E42" s="16">
        <f>AVERAGEIFS('Temperature Data'!B$4:B$2116,'Temperature Data'!A$4:A$2116,"&gt;="&amp;A42,'Temperature Data'!A$4:A$2116,"&lt;="&amp;B42)</f>
        <v>64.266666666666666</v>
      </c>
      <c r="F42" s="17">
        <f t="shared" si="7"/>
        <v>305.60344827586204</v>
      </c>
      <c r="G42" s="18">
        <f t="shared" si="4"/>
        <v>89.541004475787304</v>
      </c>
      <c r="K42" s="10">
        <v>4</v>
      </c>
      <c r="L42" s="21">
        <v>40675</v>
      </c>
    </row>
    <row r="43" spans="1:12" ht="13.5">
      <c r="A43" s="20">
        <f t="shared" si="0"/>
        <v>40615</v>
      </c>
      <c r="B43" s="20">
        <f t="shared" si="1"/>
        <v>40641</v>
      </c>
      <c r="C43" s="23">
        <v>4.0330000000000004</v>
      </c>
      <c r="D43" s="15">
        <f t="shared" si="6"/>
        <v>26</v>
      </c>
      <c r="E43" s="16">
        <f>AVERAGEIFS('Temperature Data'!B$4:B$2116,'Temperature Data'!A$4:A$2116,"&gt;="&amp;A43,'Temperature Data'!A$4:A$2116,"&lt;="&amp;B43)</f>
        <v>58.74074074074074</v>
      </c>
      <c r="F43" s="17">
        <f t="shared" si="7"/>
        <v>646.31410256410265</v>
      </c>
      <c r="G43" s="18">
        <f t="shared" si="4"/>
        <v>189.36832773633247</v>
      </c>
      <c r="K43" s="10">
        <v>4</v>
      </c>
      <c r="L43" s="21">
        <v>40645</v>
      </c>
    </row>
    <row r="44" spans="1:12" ht="13.5">
      <c r="A44" s="20">
        <f t="shared" si="0"/>
        <v>40581</v>
      </c>
      <c r="B44" s="20">
        <f t="shared" si="1"/>
        <v>40614</v>
      </c>
      <c r="C44" s="23">
        <v>6.9329999999999998</v>
      </c>
      <c r="D44" s="15">
        <f t="shared" si="6"/>
        <v>33</v>
      </c>
      <c r="E44" s="16">
        <f>AVERAGEIFS('Temperature Data'!B$4:B$2116,'Temperature Data'!A$4:A$2116,"&gt;="&amp;A44,'Temperature Data'!A$4:A$2116,"&lt;="&amp;B44)</f>
        <v>53.178571428571431</v>
      </c>
      <c r="F44" s="17">
        <f t="shared" si="7"/>
        <v>875.37878787878788</v>
      </c>
      <c r="G44" s="18">
        <f t="shared" si="4"/>
        <v>256.48367649539642</v>
      </c>
      <c r="K44" s="10">
        <v>2</v>
      </c>
      <c r="L44" s="21">
        <v>40616</v>
      </c>
    </row>
    <row r="45" spans="1:12" ht="13.5">
      <c r="A45" s="20" t="e">
        <f>#REF!+1</f>
        <v>#REF!</v>
      </c>
      <c r="B45" s="20">
        <f>L45-K45</f>
        <v>40580</v>
      </c>
      <c r="K45" s="10">
        <v>7</v>
      </c>
      <c r="L45" s="22">
        <v>40587</v>
      </c>
    </row>
  </sheetData>
  <mergeCells count="2">
    <mergeCell ref="A2:C2"/>
    <mergeCell ref="D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121" sqref="A1121:XFD1134"/>
    </sheetView>
  </sheetViews>
  <sheetFormatPr defaultRowHeight="12.75"/>
  <cols>
    <col min="1" max="1" width="10.140625" style="7" customWidth="1"/>
    <col min="2" max="2" width="7.7109375" style="8" customWidth="1"/>
    <col min="5" max="5" width="11.140625" customWidth="1"/>
    <col min="6" max="8" width="12.28515625" customWidth="1"/>
    <col min="9" max="9" width="10.140625" bestFit="1" customWidth="1"/>
    <col min="10" max="10" width="10" customWidth="1"/>
  </cols>
  <sheetData>
    <row r="1" spans="1:4" s="2" customFormat="1" ht="15.75">
      <c r="A1" s="1" t="s">
        <v>0</v>
      </c>
      <c r="B1" s="3"/>
    </row>
    <row r="2" spans="1:4" s="5" customFormat="1">
      <c r="A2" s="4"/>
      <c r="B2" s="6"/>
    </row>
    <row r="3" spans="1:4" s="5" customFormat="1">
      <c r="A3" s="4" t="s">
        <v>1</v>
      </c>
      <c r="B3" s="6" t="s">
        <v>2</v>
      </c>
    </row>
    <row r="4" spans="1:4">
      <c r="A4" s="22">
        <v>40587</v>
      </c>
      <c r="B4">
        <v>50</v>
      </c>
      <c r="D4">
        <v>50</v>
      </c>
    </row>
    <row r="5" spans="1:4">
      <c r="A5" s="22">
        <v>40588</v>
      </c>
      <c r="B5">
        <v>53</v>
      </c>
      <c r="D5">
        <v>53</v>
      </c>
    </row>
    <row r="6" spans="1:4">
      <c r="A6" s="22">
        <v>40589</v>
      </c>
      <c r="B6">
        <v>57</v>
      </c>
      <c r="D6">
        <v>57</v>
      </c>
    </row>
    <row r="7" spans="1:4">
      <c r="A7" s="22">
        <v>40590</v>
      </c>
      <c r="B7">
        <v>57</v>
      </c>
      <c r="D7">
        <v>57</v>
      </c>
    </row>
    <row r="8" spans="1:4">
      <c r="A8" s="22">
        <v>40591</v>
      </c>
      <c r="B8">
        <v>69</v>
      </c>
      <c r="D8">
        <v>69</v>
      </c>
    </row>
    <row r="9" spans="1:4">
      <c r="A9" s="22">
        <v>40592</v>
      </c>
      <c r="B9">
        <v>61</v>
      </c>
      <c r="D9">
        <v>61</v>
      </c>
    </row>
    <row r="10" spans="1:4">
      <c r="A10" s="22">
        <v>40593</v>
      </c>
      <c r="B10">
        <v>67</v>
      </c>
      <c r="D10">
        <v>67</v>
      </c>
    </row>
    <row r="11" spans="1:4">
      <c r="A11" s="22">
        <v>40594</v>
      </c>
      <c r="B11">
        <v>67</v>
      </c>
      <c r="D11">
        <v>67</v>
      </c>
    </row>
    <row r="12" spans="1:4">
      <c r="A12" s="22">
        <v>40595</v>
      </c>
      <c r="B12">
        <v>50</v>
      </c>
      <c r="D12">
        <v>50</v>
      </c>
    </row>
    <row r="13" spans="1:4">
      <c r="A13" s="22">
        <v>40596</v>
      </c>
      <c r="B13">
        <v>43</v>
      </c>
      <c r="D13">
        <v>43</v>
      </c>
    </row>
    <row r="14" spans="1:4">
      <c r="A14" s="22">
        <v>40597</v>
      </c>
      <c r="B14">
        <v>65</v>
      </c>
      <c r="D14">
        <v>65</v>
      </c>
    </row>
    <row r="15" spans="1:4">
      <c r="A15" s="22">
        <v>40598</v>
      </c>
      <c r="B15">
        <v>49</v>
      </c>
      <c r="D15">
        <v>49</v>
      </c>
    </row>
    <row r="16" spans="1:4">
      <c r="A16" s="22">
        <v>40599</v>
      </c>
      <c r="B16">
        <v>33</v>
      </c>
      <c r="D16">
        <v>33</v>
      </c>
    </row>
    <row r="17" spans="1:4">
      <c r="A17" s="22">
        <v>40600</v>
      </c>
      <c r="B17">
        <v>50</v>
      </c>
      <c r="D17">
        <v>50</v>
      </c>
    </row>
    <row r="18" spans="1:4">
      <c r="A18" s="22">
        <v>40601</v>
      </c>
      <c r="B18">
        <v>62</v>
      </c>
      <c r="D18">
        <v>62</v>
      </c>
    </row>
    <row r="19" spans="1:4">
      <c r="A19" s="22">
        <v>40602</v>
      </c>
      <c r="B19">
        <v>44</v>
      </c>
      <c r="D19">
        <v>44</v>
      </c>
    </row>
    <row r="20" spans="1:4">
      <c r="A20" s="22">
        <v>40603</v>
      </c>
      <c r="B20">
        <v>51</v>
      </c>
      <c r="D20">
        <v>51</v>
      </c>
    </row>
    <row r="21" spans="1:4">
      <c r="A21" s="22">
        <v>40604</v>
      </c>
      <c r="B21">
        <v>54</v>
      </c>
      <c r="D21">
        <v>54</v>
      </c>
    </row>
    <row r="22" spans="1:4">
      <c r="A22" s="22">
        <v>40605</v>
      </c>
      <c r="B22">
        <v>61</v>
      </c>
      <c r="D22">
        <v>61</v>
      </c>
    </row>
    <row r="23" spans="1:4">
      <c r="A23" s="22">
        <v>40606</v>
      </c>
      <c r="B23">
        <v>51</v>
      </c>
      <c r="D23">
        <v>51</v>
      </c>
    </row>
    <row r="24" spans="1:4">
      <c r="A24" s="22">
        <v>40607</v>
      </c>
      <c r="B24">
        <v>39</v>
      </c>
      <c r="D24">
        <v>39</v>
      </c>
    </row>
    <row r="25" spans="1:4">
      <c r="A25" s="22">
        <v>40608</v>
      </c>
      <c r="B25">
        <v>43</v>
      </c>
      <c r="D25">
        <v>43</v>
      </c>
    </row>
    <row r="26" spans="1:4">
      <c r="A26" s="22">
        <v>40609</v>
      </c>
      <c r="B26">
        <v>52</v>
      </c>
      <c r="D26">
        <v>52</v>
      </c>
    </row>
    <row r="27" spans="1:4">
      <c r="A27" s="22">
        <v>40610</v>
      </c>
      <c r="B27">
        <v>46</v>
      </c>
      <c r="D27">
        <v>46</v>
      </c>
    </row>
    <row r="28" spans="1:4">
      <c r="A28" s="22">
        <v>40611</v>
      </c>
      <c r="B28">
        <v>48</v>
      </c>
      <c r="D28">
        <v>48</v>
      </c>
    </row>
    <row r="29" spans="1:4">
      <c r="A29" s="22">
        <v>40612</v>
      </c>
      <c r="B29">
        <v>48</v>
      </c>
      <c r="D29">
        <v>48</v>
      </c>
    </row>
    <row r="30" spans="1:4">
      <c r="A30" s="22">
        <v>40613</v>
      </c>
      <c r="B30">
        <v>59</v>
      </c>
      <c r="D30">
        <v>59</v>
      </c>
    </row>
    <row r="31" spans="1:4">
      <c r="A31" s="22">
        <v>40614</v>
      </c>
      <c r="B31">
        <v>60</v>
      </c>
      <c r="D31">
        <v>60</v>
      </c>
    </row>
    <row r="32" spans="1:4">
      <c r="A32" s="22">
        <v>40615</v>
      </c>
      <c r="B32">
        <v>50</v>
      </c>
      <c r="D32">
        <v>50</v>
      </c>
    </row>
    <row r="33" spans="1:4">
      <c r="A33" s="22">
        <v>40616</v>
      </c>
      <c r="B33">
        <v>42</v>
      </c>
      <c r="D33">
        <v>42</v>
      </c>
    </row>
    <row r="34" spans="1:4">
      <c r="A34" s="22">
        <v>40617</v>
      </c>
      <c r="B34">
        <v>45</v>
      </c>
      <c r="D34">
        <v>45</v>
      </c>
    </row>
    <row r="35" spans="1:4">
      <c r="A35" s="22">
        <v>40618</v>
      </c>
      <c r="B35">
        <v>59</v>
      </c>
      <c r="D35">
        <v>59</v>
      </c>
    </row>
    <row r="36" spans="1:4">
      <c r="A36" s="22">
        <v>40619</v>
      </c>
      <c r="B36">
        <v>75</v>
      </c>
      <c r="D36">
        <v>75</v>
      </c>
    </row>
    <row r="37" spans="1:4">
      <c r="A37" s="22">
        <v>40620</v>
      </c>
      <c r="B37">
        <v>60</v>
      </c>
      <c r="D37">
        <v>60</v>
      </c>
    </row>
    <row r="38" spans="1:4">
      <c r="A38" s="22">
        <v>40621</v>
      </c>
      <c r="B38">
        <v>65</v>
      </c>
      <c r="D38">
        <v>65</v>
      </c>
    </row>
    <row r="39" spans="1:4">
      <c r="A39" s="22">
        <v>40622</v>
      </c>
      <c r="B39">
        <v>72</v>
      </c>
      <c r="D39">
        <v>72</v>
      </c>
    </row>
    <row r="40" spans="1:4">
      <c r="A40" s="22">
        <v>40623</v>
      </c>
      <c r="B40">
        <v>70</v>
      </c>
      <c r="D40">
        <v>70</v>
      </c>
    </row>
    <row r="41" spans="1:4">
      <c r="A41" s="22">
        <v>40624</v>
      </c>
      <c r="B41">
        <v>76</v>
      </c>
      <c r="D41">
        <v>76</v>
      </c>
    </row>
    <row r="42" spans="1:4">
      <c r="A42" s="22">
        <v>40625</v>
      </c>
      <c r="B42">
        <v>59</v>
      </c>
      <c r="D42">
        <v>59</v>
      </c>
    </row>
    <row r="43" spans="1:4">
      <c r="A43" s="22">
        <v>40626</v>
      </c>
      <c r="B43">
        <v>53</v>
      </c>
      <c r="D43">
        <v>53</v>
      </c>
    </row>
    <row r="44" spans="1:4">
      <c r="A44" s="22">
        <v>40627</v>
      </c>
      <c r="B44">
        <v>60</v>
      </c>
      <c r="D44">
        <v>60</v>
      </c>
    </row>
    <row r="45" spans="1:4">
      <c r="A45" s="22">
        <v>40628</v>
      </c>
      <c r="B45">
        <v>49</v>
      </c>
      <c r="D45">
        <v>49</v>
      </c>
    </row>
    <row r="46" spans="1:4">
      <c r="A46" s="22">
        <v>40629</v>
      </c>
      <c r="B46">
        <v>38</v>
      </c>
      <c r="D46">
        <v>38</v>
      </c>
    </row>
    <row r="47" spans="1:4">
      <c r="A47" s="22">
        <v>40630</v>
      </c>
      <c r="B47">
        <v>44</v>
      </c>
      <c r="D47">
        <v>44</v>
      </c>
    </row>
    <row r="48" spans="1:4">
      <c r="A48" s="22">
        <v>40631</v>
      </c>
      <c r="B48">
        <v>44</v>
      </c>
      <c r="D48">
        <v>44</v>
      </c>
    </row>
    <row r="49" spans="1:4">
      <c r="A49" s="22">
        <v>40632</v>
      </c>
      <c r="B49">
        <v>41</v>
      </c>
      <c r="D49">
        <v>41</v>
      </c>
    </row>
    <row r="50" spans="1:4">
      <c r="A50" s="22">
        <v>40633</v>
      </c>
      <c r="B50">
        <v>54</v>
      </c>
      <c r="D50">
        <v>54</v>
      </c>
    </row>
    <row r="51" spans="1:4">
      <c r="A51" s="22">
        <v>40634</v>
      </c>
      <c r="B51">
        <v>64</v>
      </c>
      <c r="D51">
        <v>64</v>
      </c>
    </row>
    <row r="52" spans="1:4">
      <c r="A52" s="22">
        <v>40635</v>
      </c>
      <c r="B52">
        <v>67</v>
      </c>
      <c r="D52">
        <v>67</v>
      </c>
    </row>
    <row r="53" spans="1:4">
      <c r="A53" s="22">
        <v>40636</v>
      </c>
      <c r="B53">
        <v>76</v>
      </c>
      <c r="D53">
        <v>76</v>
      </c>
    </row>
    <row r="54" spans="1:4">
      <c r="A54" s="22">
        <v>40637</v>
      </c>
      <c r="B54">
        <v>49</v>
      </c>
      <c r="D54">
        <v>49</v>
      </c>
    </row>
    <row r="55" spans="1:4">
      <c r="A55" s="22">
        <v>40638</v>
      </c>
      <c r="B55">
        <v>55</v>
      </c>
      <c r="D55">
        <v>55</v>
      </c>
    </row>
    <row r="56" spans="1:4">
      <c r="A56" s="22">
        <v>40639</v>
      </c>
      <c r="B56">
        <v>73</v>
      </c>
      <c r="D56">
        <v>73</v>
      </c>
    </row>
    <row r="57" spans="1:4">
      <c r="A57" s="22">
        <v>40640</v>
      </c>
      <c r="B57">
        <v>72</v>
      </c>
      <c r="D57">
        <v>72</v>
      </c>
    </row>
    <row r="58" spans="1:4">
      <c r="A58" s="22">
        <v>40641</v>
      </c>
      <c r="B58">
        <v>74</v>
      </c>
      <c r="D58">
        <v>74</v>
      </c>
    </row>
    <row r="59" spans="1:4">
      <c r="A59" s="22">
        <v>40642</v>
      </c>
      <c r="B59">
        <v>80</v>
      </c>
      <c r="D59">
        <v>80</v>
      </c>
    </row>
    <row r="60" spans="1:4">
      <c r="A60" s="22">
        <v>40643</v>
      </c>
      <c r="B60">
        <v>74</v>
      </c>
      <c r="D60">
        <v>74</v>
      </c>
    </row>
    <row r="61" spans="1:4">
      <c r="A61" s="22">
        <v>40644</v>
      </c>
      <c r="B61">
        <v>63</v>
      </c>
      <c r="D61">
        <v>63</v>
      </c>
    </row>
    <row r="62" spans="1:4">
      <c r="A62" s="22">
        <v>40645</v>
      </c>
      <c r="B62">
        <v>61</v>
      </c>
      <c r="D62">
        <v>61</v>
      </c>
    </row>
    <row r="63" spans="1:4">
      <c r="A63" s="22">
        <v>40646</v>
      </c>
      <c r="B63">
        <v>68</v>
      </c>
      <c r="D63">
        <v>68</v>
      </c>
    </row>
    <row r="64" spans="1:4">
      <c r="A64" s="22">
        <v>40647</v>
      </c>
      <c r="B64">
        <v>71</v>
      </c>
      <c r="D64">
        <v>71</v>
      </c>
    </row>
    <row r="65" spans="1:4">
      <c r="A65" s="22">
        <v>40648</v>
      </c>
      <c r="B65">
        <v>55</v>
      </c>
      <c r="D65">
        <v>55</v>
      </c>
    </row>
    <row r="66" spans="1:4">
      <c r="A66" s="22">
        <v>40649</v>
      </c>
      <c r="B66">
        <v>56</v>
      </c>
      <c r="D66">
        <v>56</v>
      </c>
    </row>
    <row r="67" spans="1:4">
      <c r="A67" s="22">
        <v>40650</v>
      </c>
      <c r="B67">
        <v>65</v>
      </c>
      <c r="D67">
        <v>65</v>
      </c>
    </row>
    <row r="68" spans="1:4">
      <c r="A68" s="22">
        <v>40651</v>
      </c>
      <c r="B68">
        <v>78</v>
      </c>
      <c r="D68">
        <v>78</v>
      </c>
    </row>
    <row r="69" spans="1:4">
      <c r="A69" s="22">
        <v>40652</v>
      </c>
      <c r="B69">
        <v>68</v>
      </c>
      <c r="D69">
        <v>68</v>
      </c>
    </row>
    <row r="70" spans="1:4">
      <c r="A70" s="22">
        <v>40653</v>
      </c>
      <c r="B70">
        <v>57</v>
      </c>
      <c r="D70">
        <v>57</v>
      </c>
    </row>
    <row r="71" spans="1:4">
      <c r="A71" s="22">
        <v>40654</v>
      </c>
      <c r="B71">
        <v>59</v>
      </c>
      <c r="D71">
        <v>59</v>
      </c>
    </row>
    <row r="72" spans="1:4">
      <c r="A72" s="22">
        <v>40655</v>
      </c>
      <c r="B72">
        <v>79</v>
      </c>
      <c r="D72">
        <v>79</v>
      </c>
    </row>
    <row r="73" spans="1:4">
      <c r="A73" s="22">
        <v>40656</v>
      </c>
      <c r="B73">
        <v>65</v>
      </c>
      <c r="D73">
        <v>65</v>
      </c>
    </row>
    <row r="74" spans="1:4">
      <c r="A74" s="22">
        <v>40657</v>
      </c>
      <c r="B74">
        <v>56</v>
      </c>
      <c r="D74">
        <v>56</v>
      </c>
    </row>
    <row r="75" spans="1:4">
      <c r="A75" s="22">
        <v>40658</v>
      </c>
      <c r="B75">
        <v>61</v>
      </c>
      <c r="D75">
        <v>61</v>
      </c>
    </row>
    <row r="76" spans="1:4">
      <c r="A76" s="22">
        <v>40659</v>
      </c>
      <c r="B76">
        <v>54</v>
      </c>
      <c r="D76">
        <v>54</v>
      </c>
    </row>
    <row r="77" spans="1:4">
      <c r="A77" s="22">
        <v>40660</v>
      </c>
      <c r="B77">
        <v>51</v>
      </c>
      <c r="D77">
        <v>51</v>
      </c>
    </row>
    <row r="78" spans="1:4">
      <c r="A78" s="22">
        <v>40661</v>
      </c>
      <c r="B78">
        <v>59</v>
      </c>
      <c r="D78">
        <v>59</v>
      </c>
    </row>
    <row r="79" spans="1:4">
      <c r="A79" s="22">
        <v>40662</v>
      </c>
      <c r="B79">
        <v>66</v>
      </c>
      <c r="D79">
        <v>66</v>
      </c>
    </row>
    <row r="80" spans="1:4">
      <c r="A80" s="22">
        <v>40663</v>
      </c>
      <c r="B80">
        <v>67</v>
      </c>
      <c r="D80">
        <v>67</v>
      </c>
    </row>
    <row r="81" spans="1:4">
      <c r="A81" s="22">
        <v>40664</v>
      </c>
      <c r="B81">
        <v>53</v>
      </c>
      <c r="D81">
        <v>53</v>
      </c>
    </row>
    <row r="82" spans="1:4">
      <c r="A82" s="22">
        <v>40665</v>
      </c>
      <c r="B82">
        <v>51</v>
      </c>
      <c r="D82">
        <v>51</v>
      </c>
    </row>
    <row r="83" spans="1:4">
      <c r="A83" s="22">
        <v>40666</v>
      </c>
      <c r="B83">
        <v>54</v>
      </c>
      <c r="D83">
        <v>54</v>
      </c>
    </row>
    <row r="84" spans="1:4">
      <c r="A84" s="22">
        <v>40667</v>
      </c>
      <c r="B84">
        <v>68</v>
      </c>
      <c r="D84">
        <v>68</v>
      </c>
    </row>
    <row r="85" spans="1:4">
      <c r="A85" s="22">
        <v>40668</v>
      </c>
      <c r="B85">
        <v>65</v>
      </c>
      <c r="D85">
        <v>65</v>
      </c>
    </row>
    <row r="86" spans="1:4">
      <c r="A86" s="22">
        <v>40669</v>
      </c>
      <c r="B86">
        <v>65</v>
      </c>
      <c r="D86">
        <v>65</v>
      </c>
    </row>
    <row r="87" spans="1:4">
      <c r="A87" s="22">
        <v>40670</v>
      </c>
      <c r="B87">
        <v>79</v>
      </c>
      <c r="D87">
        <v>79</v>
      </c>
    </row>
    <row r="88" spans="1:4">
      <c r="A88" s="22">
        <v>40671</v>
      </c>
      <c r="B88">
        <v>80</v>
      </c>
      <c r="D88">
        <v>80</v>
      </c>
    </row>
    <row r="89" spans="1:4">
      <c r="A89" s="22">
        <v>40672</v>
      </c>
      <c r="B89">
        <v>83</v>
      </c>
      <c r="D89">
        <v>83</v>
      </c>
    </row>
    <row r="90" spans="1:4">
      <c r="A90" s="22">
        <v>40673</v>
      </c>
      <c r="B90">
        <v>78</v>
      </c>
      <c r="D90">
        <v>78</v>
      </c>
    </row>
    <row r="91" spans="1:4">
      <c r="A91" s="22">
        <v>40674</v>
      </c>
      <c r="B91">
        <v>68</v>
      </c>
      <c r="D91">
        <v>68</v>
      </c>
    </row>
    <row r="92" spans="1:4">
      <c r="A92" s="22">
        <v>40675</v>
      </c>
      <c r="B92">
        <v>70</v>
      </c>
      <c r="D92">
        <v>70</v>
      </c>
    </row>
    <row r="93" spans="1:4">
      <c r="A93" s="22">
        <v>40676</v>
      </c>
      <c r="B93">
        <v>59</v>
      </c>
      <c r="D93">
        <v>59</v>
      </c>
    </row>
    <row r="94" spans="1:4">
      <c r="A94" s="22">
        <v>40677</v>
      </c>
      <c r="B94">
        <v>57</v>
      </c>
      <c r="D94">
        <v>57</v>
      </c>
    </row>
    <row r="95" spans="1:4">
      <c r="A95" s="22">
        <v>40678</v>
      </c>
      <c r="B95">
        <v>59</v>
      </c>
      <c r="D95">
        <v>59</v>
      </c>
    </row>
    <row r="96" spans="1:4">
      <c r="A96" s="22">
        <v>40679</v>
      </c>
      <c r="B96">
        <v>60</v>
      </c>
      <c r="D96">
        <v>60</v>
      </c>
    </row>
    <row r="97" spans="1:4">
      <c r="A97" s="22">
        <v>40680</v>
      </c>
      <c r="B97">
        <v>64</v>
      </c>
      <c r="D97">
        <v>64</v>
      </c>
    </row>
    <row r="98" spans="1:4">
      <c r="A98" s="22">
        <v>40681</v>
      </c>
      <c r="B98">
        <v>70</v>
      </c>
      <c r="D98">
        <v>70</v>
      </c>
    </row>
    <row r="99" spans="1:4">
      <c r="A99" s="22">
        <v>40682</v>
      </c>
      <c r="B99">
        <v>71</v>
      </c>
      <c r="D99">
        <v>71</v>
      </c>
    </row>
    <row r="100" spans="1:4">
      <c r="A100" s="22">
        <v>40683</v>
      </c>
      <c r="B100">
        <v>65</v>
      </c>
      <c r="D100">
        <v>65</v>
      </c>
    </row>
    <row r="101" spans="1:4">
      <c r="A101" s="22">
        <v>40684</v>
      </c>
      <c r="B101">
        <v>73</v>
      </c>
      <c r="D101">
        <v>73</v>
      </c>
    </row>
    <row r="102" spans="1:4">
      <c r="A102" s="22">
        <v>40685</v>
      </c>
      <c r="B102">
        <v>81</v>
      </c>
      <c r="D102">
        <v>81</v>
      </c>
    </row>
    <row r="103" spans="1:4">
      <c r="A103" s="22">
        <v>40686</v>
      </c>
      <c r="B103">
        <v>79</v>
      </c>
      <c r="D103">
        <v>79</v>
      </c>
    </row>
    <row r="104" spans="1:4">
      <c r="A104" s="22">
        <v>40687</v>
      </c>
      <c r="B104">
        <v>73</v>
      </c>
      <c r="D104">
        <v>73</v>
      </c>
    </row>
    <row r="105" spans="1:4">
      <c r="A105" s="22">
        <v>40688</v>
      </c>
      <c r="B105">
        <v>67</v>
      </c>
      <c r="D105">
        <v>67</v>
      </c>
    </row>
    <row r="106" spans="1:4">
      <c r="A106" s="22">
        <v>40689</v>
      </c>
      <c r="B106">
        <v>66</v>
      </c>
      <c r="D106">
        <v>66</v>
      </c>
    </row>
    <row r="107" spans="1:4">
      <c r="A107" s="22">
        <v>40690</v>
      </c>
      <c r="B107">
        <v>74</v>
      </c>
      <c r="D107">
        <v>74</v>
      </c>
    </row>
    <row r="108" spans="1:4">
      <c r="A108" s="22">
        <v>40691</v>
      </c>
      <c r="B108">
        <v>81</v>
      </c>
      <c r="D108">
        <v>81</v>
      </c>
    </row>
    <row r="109" spans="1:4">
      <c r="A109" s="22">
        <v>40692</v>
      </c>
      <c r="B109">
        <v>82</v>
      </c>
      <c r="D109">
        <v>82</v>
      </c>
    </row>
    <row r="110" spans="1:4">
      <c r="A110" s="22">
        <v>40693</v>
      </c>
      <c r="B110">
        <v>81</v>
      </c>
      <c r="D110">
        <v>81</v>
      </c>
    </row>
    <row r="111" spans="1:4">
      <c r="A111" s="22">
        <v>40694</v>
      </c>
      <c r="B111">
        <v>81</v>
      </c>
      <c r="D111">
        <v>81</v>
      </c>
    </row>
    <row r="112" spans="1:4">
      <c r="A112" s="22">
        <v>40695</v>
      </c>
      <c r="B112">
        <v>82</v>
      </c>
      <c r="D112">
        <v>82</v>
      </c>
    </row>
    <row r="113" spans="1:4">
      <c r="A113" s="22">
        <v>40696</v>
      </c>
      <c r="B113">
        <v>80</v>
      </c>
      <c r="D113">
        <v>80</v>
      </c>
    </row>
    <row r="114" spans="1:4">
      <c r="A114" s="22">
        <v>40697</v>
      </c>
      <c r="B114">
        <v>82</v>
      </c>
      <c r="D114">
        <v>82</v>
      </c>
    </row>
    <row r="115" spans="1:4">
      <c r="A115" s="22">
        <v>40698</v>
      </c>
      <c r="B115">
        <v>79</v>
      </c>
      <c r="D115">
        <v>79</v>
      </c>
    </row>
    <row r="116" spans="1:4">
      <c r="A116" s="22">
        <v>40699</v>
      </c>
      <c r="B116">
        <v>81</v>
      </c>
      <c r="D116">
        <v>81</v>
      </c>
    </row>
    <row r="117" spans="1:4">
      <c r="A117" s="22">
        <v>40700</v>
      </c>
      <c r="B117">
        <v>81</v>
      </c>
      <c r="D117">
        <v>81</v>
      </c>
    </row>
    <row r="118" spans="1:4">
      <c r="A118" s="22">
        <v>40701</v>
      </c>
      <c r="B118">
        <v>84</v>
      </c>
      <c r="D118">
        <v>84</v>
      </c>
    </row>
    <row r="119" spans="1:4">
      <c r="A119" s="22">
        <v>40702</v>
      </c>
      <c r="B119">
        <v>85</v>
      </c>
      <c r="D119">
        <v>85</v>
      </c>
    </row>
    <row r="120" spans="1:4">
      <c r="A120" s="22">
        <v>40703</v>
      </c>
      <c r="B120">
        <v>84</v>
      </c>
      <c r="D120">
        <v>84</v>
      </c>
    </row>
    <row r="121" spans="1:4">
      <c r="A121" s="22">
        <v>40704</v>
      </c>
      <c r="B121">
        <v>82</v>
      </c>
      <c r="D121">
        <v>82</v>
      </c>
    </row>
    <row r="122" spans="1:4">
      <c r="A122" s="22">
        <v>40705</v>
      </c>
      <c r="B122">
        <v>79</v>
      </c>
      <c r="D122">
        <v>79</v>
      </c>
    </row>
    <row r="123" spans="1:4">
      <c r="A123" s="22">
        <v>40706</v>
      </c>
      <c r="B123">
        <v>80</v>
      </c>
      <c r="D123">
        <v>80</v>
      </c>
    </row>
    <row r="124" spans="1:4">
      <c r="A124" s="22">
        <v>40707</v>
      </c>
      <c r="B124">
        <v>87</v>
      </c>
      <c r="D124">
        <v>87</v>
      </c>
    </row>
    <row r="125" spans="1:4">
      <c r="A125" s="22">
        <v>40708</v>
      </c>
      <c r="B125">
        <v>86</v>
      </c>
      <c r="D125">
        <v>86</v>
      </c>
    </row>
    <row r="126" spans="1:4">
      <c r="A126" s="22">
        <v>40709</v>
      </c>
      <c r="B126">
        <v>80</v>
      </c>
      <c r="D126">
        <v>80</v>
      </c>
    </row>
    <row r="127" spans="1:4">
      <c r="A127" s="22">
        <v>40710</v>
      </c>
      <c r="B127">
        <v>86</v>
      </c>
      <c r="D127">
        <v>86</v>
      </c>
    </row>
    <row r="128" spans="1:4">
      <c r="A128" s="22">
        <v>40711</v>
      </c>
      <c r="B128">
        <v>91</v>
      </c>
      <c r="D128">
        <v>91</v>
      </c>
    </row>
    <row r="129" spans="1:4">
      <c r="A129" s="22">
        <v>40712</v>
      </c>
      <c r="B129">
        <v>92</v>
      </c>
      <c r="D129">
        <v>92</v>
      </c>
    </row>
    <row r="130" spans="1:4">
      <c r="A130" s="22">
        <v>40713</v>
      </c>
      <c r="B130">
        <v>87</v>
      </c>
      <c r="D130">
        <v>87</v>
      </c>
    </row>
    <row r="131" spans="1:4">
      <c r="A131" s="22">
        <v>40714</v>
      </c>
      <c r="B131">
        <v>85</v>
      </c>
      <c r="D131">
        <v>85</v>
      </c>
    </row>
    <row r="132" spans="1:4">
      <c r="A132" s="22">
        <v>40715</v>
      </c>
      <c r="B132">
        <v>79</v>
      </c>
      <c r="D132">
        <v>79</v>
      </c>
    </row>
    <row r="133" spans="1:4">
      <c r="A133" s="22">
        <v>40716</v>
      </c>
      <c r="B133">
        <v>82</v>
      </c>
      <c r="D133">
        <v>82</v>
      </c>
    </row>
    <row r="134" spans="1:4">
      <c r="A134" s="22">
        <v>40717</v>
      </c>
      <c r="B134">
        <v>84</v>
      </c>
      <c r="D134">
        <v>84</v>
      </c>
    </row>
    <row r="135" spans="1:4">
      <c r="A135" s="22">
        <v>40718</v>
      </c>
      <c r="B135">
        <v>86</v>
      </c>
      <c r="D135">
        <v>86</v>
      </c>
    </row>
    <row r="136" spans="1:4">
      <c r="A136" s="22">
        <v>40719</v>
      </c>
      <c r="B136">
        <v>89</v>
      </c>
      <c r="D136">
        <v>89</v>
      </c>
    </row>
    <row r="137" spans="1:4">
      <c r="A137" s="22">
        <v>40720</v>
      </c>
      <c r="B137">
        <v>90</v>
      </c>
      <c r="D137">
        <v>90</v>
      </c>
    </row>
    <row r="138" spans="1:4">
      <c r="A138" s="22">
        <v>40721</v>
      </c>
      <c r="B138">
        <v>92</v>
      </c>
      <c r="D138">
        <v>92</v>
      </c>
    </row>
    <row r="139" spans="1:4">
      <c r="A139" s="22">
        <v>40722</v>
      </c>
      <c r="B139">
        <v>83</v>
      </c>
      <c r="D139">
        <v>83</v>
      </c>
    </row>
    <row r="140" spans="1:4">
      <c r="A140" s="22">
        <v>40723</v>
      </c>
      <c r="B140">
        <v>85</v>
      </c>
      <c r="D140">
        <v>85</v>
      </c>
    </row>
    <row r="141" spans="1:4">
      <c r="A141" s="22">
        <v>40724</v>
      </c>
      <c r="B141">
        <v>88</v>
      </c>
      <c r="D141">
        <v>88</v>
      </c>
    </row>
    <row r="142" spans="1:4">
      <c r="A142" s="22">
        <v>40725</v>
      </c>
      <c r="B142">
        <v>87</v>
      </c>
      <c r="D142">
        <v>87</v>
      </c>
    </row>
    <row r="143" spans="1:4">
      <c r="A143" s="22">
        <v>40726</v>
      </c>
      <c r="B143">
        <v>87</v>
      </c>
      <c r="D143">
        <v>87</v>
      </c>
    </row>
    <row r="144" spans="1:4">
      <c r="A144" s="22">
        <v>40727</v>
      </c>
      <c r="B144">
        <v>89</v>
      </c>
      <c r="D144">
        <v>89</v>
      </c>
    </row>
    <row r="145" spans="1:4">
      <c r="A145" s="22">
        <v>40728</v>
      </c>
      <c r="B145">
        <v>88</v>
      </c>
      <c r="D145">
        <v>88</v>
      </c>
    </row>
    <row r="146" spans="1:4">
      <c r="A146" s="22">
        <v>40729</v>
      </c>
      <c r="B146">
        <v>88</v>
      </c>
      <c r="D146">
        <v>88</v>
      </c>
    </row>
    <row r="147" spans="1:4">
      <c r="A147" s="22">
        <v>40730</v>
      </c>
      <c r="B147">
        <v>90</v>
      </c>
      <c r="D147">
        <v>90</v>
      </c>
    </row>
    <row r="148" spans="1:4">
      <c r="A148" s="22">
        <v>40731</v>
      </c>
      <c r="B148">
        <v>94</v>
      </c>
      <c r="D148">
        <v>94</v>
      </c>
    </row>
    <row r="149" spans="1:4">
      <c r="A149" s="22">
        <v>40732</v>
      </c>
      <c r="B149">
        <v>90</v>
      </c>
      <c r="D149">
        <v>90</v>
      </c>
    </row>
    <row r="150" spans="1:4">
      <c r="A150" s="22">
        <v>40733</v>
      </c>
      <c r="B150">
        <v>93</v>
      </c>
      <c r="D150">
        <v>93</v>
      </c>
    </row>
    <row r="151" spans="1:4">
      <c r="A151" s="22">
        <v>40734</v>
      </c>
      <c r="B151">
        <v>93</v>
      </c>
      <c r="D151">
        <v>93</v>
      </c>
    </row>
    <row r="152" spans="1:4">
      <c r="A152" s="22">
        <v>40735</v>
      </c>
      <c r="B152">
        <v>90</v>
      </c>
      <c r="D152">
        <v>90</v>
      </c>
    </row>
    <row r="153" spans="1:4">
      <c r="A153" s="22">
        <v>40736</v>
      </c>
      <c r="B153">
        <v>85</v>
      </c>
      <c r="D153">
        <v>85</v>
      </c>
    </row>
    <row r="154" spans="1:4">
      <c r="A154" s="22">
        <v>40737</v>
      </c>
      <c r="B154">
        <v>88</v>
      </c>
      <c r="D154">
        <v>88</v>
      </c>
    </row>
    <row r="155" spans="1:4">
      <c r="A155" s="22">
        <v>40738</v>
      </c>
      <c r="B155">
        <v>89</v>
      </c>
      <c r="D155">
        <v>89</v>
      </c>
    </row>
    <row r="156" spans="1:4">
      <c r="A156" s="22">
        <v>40739</v>
      </c>
      <c r="B156">
        <v>91</v>
      </c>
      <c r="D156">
        <v>91</v>
      </c>
    </row>
    <row r="157" spans="1:4">
      <c r="A157" s="22">
        <v>40740</v>
      </c>
      <c r="B157">
        <v>91</v>
      </c>
      <c r="D157">
        <v>91</v>
      </c>
    </row>
    <row r="158" spans="1:4">
      <c r="A158" s="22">
        <v>40741</v>
      </c>
      <c r="B158">
        <v>89</v>
      </c>
      <c r="D158">
        <v>89</v>
      </c>
    </row>
    <row r="159" spans="1:4">
      <c r="A159" s="22">
        <v>40742</v>
      </c>
      <c r="B159">
        <v>90</v>
      </c>
      <c r="D159">
        <v>90</v>
      </c>
    </row>
    <row r="160" spans="1:4">
      <c r="A160" s="22">
        <v>40743</v>
      </c>
      <c r="B160">
        <v>87</v>
      </c>
      <c r="D160">
        <v>87</v>
      </c>
    </row>
    <row r="161" spans="1:4">
      <c r="A161" s="22">
        <v>40744</v>
      </c>
      <c r="B161">
        <v>89</v>
      </c>
      <c r="D161">
        <v>89</v>
      </c>
    </row>
    <row r="162" spans="1:4">
      <c r="A162" s="22">
        <v>40745</v>
      </c>
      <c r="B162">
        <v>87</v>
      </c>
      <c r="D162">
        <v>87</v>
      </c>
    </row>
    <row r="163" spans="1:4">
      <c r="A163" s="22">
        <v>40746</v>
      </c>
      <c r="B163">
        <v>88</v>
      </c>
      <c r="D163">
        <v>88</v>
      </c>
    </row>
    <row r="164" spans="1:4">
      <c r="A164" s="22">
        <v>40747</v>
      </c>
      <c r="B164">
        <v>89</v>
      </c>
      <c r="D164">
        <v>89</v>
      </c>
    </row>
    <row r="165" spans="1:4">
      <c r="A165" s="22">
        <v>40748</v>
      </c>
      <c r="B165">
        <v>91</v>
      </c>
      <c r="D165">
        <v>91</v>
      </c>
    </row>
    <row r="166" spans="1:4">
      <c r="A166" s="22">
        <v>40749</v>
      </c>
      <c r="B166">
        <v>86</v>
      </c>
      <c r="D166">
        <v>86</v>
      </c>
    </row>
    <row r="167" spans="1:4">
      <c r="A167" s="22">
        <v>40750</v>
      </c>
      <c r="B167">
        <v>91</v>
      </c>
      <c r="D167">
        <v>91</v>
      </c>
    </row>
    <row r="168" spans="1:4">
      <c r="A168" s="22">
        <v>40751</v>
      </c>
      <c r="B168">
        <v>94</v>
      </c>
      <c r="D168">
        <v>94</v>
      </c>
    </row>
    <row r="169" spans="1:4">
      <c r="A169" s="22">
        <v>40752</v>
      </c>
      <c r="B169">
        <v>90</v>
      </c>
      <c r="D169">
        <v>90</v>
      </c>
    </row>
    <row r="170" spans="1:4">
      <c r="A170" s="22">
        <v>40753</v>
      </c>
      <c r="B170">
        <v>89</v>
      </c>
      <c r="D170">
        <v>89</v>
      </c>
    </row>
    <row r="171" spans="1:4">
      <c r="A171" s="22">
        <v>40754</v>
      </c>
      <c r="B171">
        <v>91</v>
      </c>
      <c r="D171">
        <v>91</v>
      </c>
    </row>
    <row r="172" spans="1:4">
      <c r="A172" s="22">
        <v>40755</v>
      </c>
      <c r="B172">
        <v>90</v>
      </c>
      <c r="D172">
        <v>90</v>
      </c>
    </row>
    <row r="173" spans="1:4">
      <c r="A173" s="22">
        <v>40756</v>
      </c>
      <c r="B173">
        <v>93</v>
      </c>
      <c r="D173">
        <v>93</v>
      </c>
    </row>
    <row r="174" spans="1:4">
      <c r="A174" s="22">
        <v>40757</v>
      </c>
      <c r="B174">
        <v>94</v>
      </c>
      <c r="D174">
        <v>94</v>
      </c>
    </row>
    <row r="175" spans="1:4">
      <c r="A175" s="22">
        <v>40758</v>
      </c>
      <c r="B175">
        <v>95</v>
      </c>
      <c r="D175">
        <v>95</v>
      </c>
    </row>
    <row r="176" spans="1:4">
      <c r="A176" s="22">
        <v>40759</v>
      </c>
      <c r="B176">
        <v>95</v>
      </c>
      <c r="D176">
        <v>95</v>
      </c>
    </row>
    <row r="177" spans="1:4">
      <c r="A177" s="22">
        <v>40760</v>
      </c>
      <c r="B177">
        <v>94</v>
      </c>
      <c r="D177">
        <v>94</v>
      </c>
    </row>
    <row r="178" spans="1:4">
      <c r="A178" s="22">
        <v>40761</v>
      </c>
      <c r="B178">
        <v>96</v>
      </c>
      <c r="D178">
        <v>96</v>
      </c>
    </row>
    <row r="179" spans="1:4">
      <c r="A179" s="22">
        <v>40762</v>
      </c>
      <c r="B179">
        <v>87</v>
      </c>
      <c r="D179">
        <v>87</v>
      </c>
    </row>
    <row r="180" spans="1:4">
      <c r="A180" s="22">
        <v>40763</v>
      </c>
      <c r="B180">
        <v>94</v>
      </c>
      <c r="D180">
        <v>94</v>
      </c>
    </row>
    <row r="181" spans="1:4">
      <c r="A181" s="22">
        <v>40764</v>
      </c>
      <c r="B181">
        <v>88</v>
      </c>
      <c r="D181">
        <v>88</v>
      </c>
    </row>
    <row r="182" spans="1:4">
      <c r="A182" s="22">
        <v>40765</v>
      </c>
      <c r="B182">
        <v>84</v>
      </c>
      <c r="D182">
        <v>84</v>
      </c>
    </row>
    <row r="183" spans="1:4">
      <c r="A183" s="22">
        <v>40766</v>
      </c>
      <c r="B183">
        <v>75</v>
      </c>
      <c r="D183">
        <v>75</v>
      </c>
    </row>
    <row r="184" spans="1:4">
      <c r="A184" s="22">
        <v>40767</v>
      </c>
      <c r="B184">
        <v>85</v>
      </c>
      <c r="D184">
        <v>85</v>
      </c>
    </row>
    <row r="185" spans="1:4">
      <c r="A185" s="22">
        <v>40768</v>
      </c>
      <c r="B185">
        <v>81</v>
      </c>
      <c r="D185">
        <v>81</v>
      </c>
    </row>
    <row r="186" spans="1:4">
      <c r="A186" s="22">
        <v>40769</v>
      </c>
      <c r="B186">
        <v>84</v>
      </c>
      <c r="D186">
        <v>84</v>
      </c>
    </row>
    <row r="187" spans="1:4">
      <c r="A187" s="22">
        <v>40770</v>
      </c>
      <c r="B187">
        <v>86</v>
      </c>
      <c r="D187">
        <v>86</v>
      </c>
    </row>
    <row r="188" spans="1:4">
      <c r="A188" s="22">
        <v>40771</v>
      </c>
      <c r="B188">
        <v>90</v>
      </c>
      <c r="D188">
        <v>90</v>
      </c>
    </row>
    <row r="189" spans="1:4">
      <c r="A189" s="22">
        <v>40772</v>
      </c>
      <c r="B189">
        <v>86</v>
      </c>
      <c r="D189">
        <v>86</v>
      </c>
    </row>
    <row r="190" spans="1:4">
      <c r="A190" s="22">
        <v>40773</v>
      </c>
      <c r="B190">
        <v>88</v>
      </c>
      <c r="D190">
        <v>88</v>
      </c>
    </row>
    <row r="191" spans="1:4">
      <c r="A191" s="22">
        <v>40774</v>
      </c>
      <c r="B191">
        <v>88</v>
      </c>
      <c r="D191">
        <v>88</v>
      </c>
    </row>
    <row r="192" spans="1:4">
      <c r="A192" s="22">
        <v>40775</v>
      </c>
      <c r="B192">
        <v>90</v>
      </c>
      <c r="D192">
        <v>90</v>
      </c>
    </row>
    <row r="193" spans="1:4">
      <c r="A193" s="22">
        <v>40776</v>
      </c>
      <c r="B193">
        <v>89</v>
      </c>
      <c r="D193">
        <v>89</v>
      </c>
    </row>
    <row r="194" spans="1:4">
      <c r="A194" s="22">
        <v>40777</v>
      </c>
      <c r="B194">
        <v>89</v>
      </c>
      <c r="D194">
        <v>89</v>
      </c>
    </row>
    <row r="195" spans="1:4">
      <c r="A195" s="22">
        <v>40778</v>
      </c>
      <c r="B195">
        <v>93</v>
      </c>
      <c r="D195">
        <v>93</v>
      </c>
    </row>
    <row r="196" spans="1:4">
      <c r="A196" s="22">
        <v>40779</v>
      </c>
      <c r="B196">
        <v>93</v>
      </c>
      <c r="D196">
        <v>93</v>
      </c>
    </row>
    <row r="197" spans="1:4">
      <c r="A197" s="22">
        <v>40780</v>
      </c>
      <c r="B197">
        <v>87</v>
      </c>
      <c r="D197">
        <v>87</v>
      </c>
    </row>
    <row r="198" spans="1:4">
      <c r="A198" s="22">
        <v>40781</v>
      </c>
      <c r="B198">
        <v>87</v>
      </c>
      <c r="D198">
        <v>87</v>
      </c>
    </row>
    <row r="199" spans="1:4">
      <c r="A199" s="22">
        <v>40782</v>
      </c>
      <c r="B199">
        <v>90</v>
      </c>
      <c r="D199">
        <v>90</v>
      </c>
    </row>
    <row r="200" spans="1:4">
      <c r="A200" s="22">
        <v>40783</v>
      </c>
      <c r="B200">
        <v>94</v>
      </c>
      <c r="D200">
        <v>94</v>
      </c>
    </row>
    <row r="201" spans="1:4">
      <c r="A201" s="22">
        <v>40784</v>
      </c>
      <c r="B201">
        <v>87</v>
      </c>
      <c r="D201">
        <v>87</v>
      </c>
    </row>
    <row r="202" spans="1:4">
      <c r="A202" s="22">
        <v>40785</v>
      </c>
      <c r="B202">
        <v>92</v>
      </c>
      <c r="D202">
        <v>92</v>
      </c>
    </row>
    <row r="203" spans="1:4">
      <c r="A203" s="22">
        <v>40786</v>
      </c>
      <c r="B203">
        <v>91</v>
      </c>
      <c r="D203">
        <v>91</v>
      </c>
    </row>
    <row r="204" spans="1:4">
      <c r="A204" s="22">
        <v>40787</v>
      </c>
      <c r="B204">
        <v>88</v>
      </c>
      <c r="D204">
        <v>88</v>
      </c>
    </row>
    <row r="205" spans="1:4">
      <c r="A205" s="22">
        <v>40788</v>
      </c>
      <c r="B205">
        <v>86</v>
      </c>
      <c r="D205">
        <v>86</v>
      </c>
    </row>
    <row r="206" spans="1:4">
      <c r="A206" s="22">
        <v>40789</v>
      </c>
      <c r="B206">
        <v>86</v>
      </c>
      <c r="D206">
        <v>86</v>
      </c>
    </row>
    <row r="207" spans="1:4">
      <c r="A207" s="22">
        <v>40790</v>
      </c>
      <c r="B207">
        <v>75</v>
      </c>
      <c r="D207">
        <v>75</v>
      </c>
    </row>
    <row r="208" spans="1:4">
      <c r="A208" s="22">
        <v>40791</v>
      </c>
      <c r="B208">
        <v>69</v>
      </c>
      <c r="D208">
        <v>69</v>
      </c>
    </row>
    <row r="209" spans="1:4">
      <c r="A209" s="22">
        <v>40792</v>
      </c>
      <c r="B209">
        <v>69</v>
      </c>
      <c r="D209">
        <v>69</v>
      </c>
    </row>
    <row r="210" spans="1:4">
      <c r="A210" s="22">
        <v>40793</v>
      </c>
      <c r="B210">
        <v>69</v>
      </c>
      <c r="D210">
        <v>69</v>
      </c>
    </row>
    <row r="211" spans="1:4">
      <c r="A211" s="22">
        <v>40794</v>
      </c>
      <c r="B211">
        <v>72</v>
      </c>
      <c r="D211">
        <v>72</v>
      </c>
    </row>
    <row r="212" spans="1:4">
      <c r="A212" s="22">
        <v>40795</v>
      </c>
      <c r="B212">
        <v>69</v>
      </c>
      <c r="D212">
        <v>69</v>
      </c>
    </row>
    <row r="213" spans="1:4">
      <c r="A213" s="22">
        <v>40796</v>
      </c>
      <c r="B213">
        <v>75</v>
      </c>
      <c r="D213">
        <v>75</v>
      </c>
    </row>
    <row r="214" spans="1:4">
      <c r="A214" s="22">
        <v>40797</v>
      </c>
      <c r="B214">
        <v>73</v>
      </c>
      <c r="D214">
        <v>73</v>
      </c>
    </row>
    <row r="215" spans="1:4">
      <c r="A215" s="22">
        <v>40798</v>
      </c>
      <c r="B215">
        <v>79</v>
      </c>
      <c r="D215">
        <v>79</v>
      </c>
    </row>
    <row r="216" spans="1:4">
      <c r="A216" s="22">
        <v>40799</v>
      </c>
      <c r="B216">
        <v>87</v>
      </c>
      <c r="D216">
        <v>87</v>
      </c>
    </row>
    <row r="217" spans="1:4">
      <c r="A217" s="22">
        <v>40800</v>
      </c>
      <c r="B217">
        <v>75</v>
      </c>
      <c r="D217">
        <v>75</v>
      </c>
    </row>
    <row r="218" spans="1:4">
      <c r="A218" s="22">
        <v>40801</v>
      </c>
      <c r="B218">
        <v>59</v>
      </c>
      <c r="D218">
        <v>59</v>
      </c>
    </row>
    <row r="219" spans="1:4">
      <c r="A219" s="22">
        <v>40802</v>
      </c>
      <c r="B219">
        <v>57</v>
      </c>
      <c r="D219">
        <v>57</v>
      </c>
    </row>
    <row r="220" spans="1:4">
      <c r="A220" s="22">
        <v>40803</v>
      </c>
      <c r="B220">
        <v>75</v>
      </c>
      <c r="D220">
        <v>75</v>
      </c>
    </row>
    <row r="221" spans="1:4">
      <c r="A221" s="22">
        <v>40804</v>
      </c>
      <c r="B221">
        <v>76</v>
      </c>
      <c r="D221">
        <v>76</v>
      </c>
    </row>
    <row r="222" spans="1:4">
      <c r="A222" s="22">
        <v>40805</v>
      </c>
      <c r="B222">
        <v>72</v>
      </c>
      <c r="D222">
        <v>72</v>
      </c>
    </row>
    <row r="223" spans="1:4">
      <c r="A223" s="22">
        <v>40806</v>
      </c>
      <c r="B223">
        <v>71</v>
      </c>
      <c r="D223">
        <v>71</v>
      </c>
    </row>
    <row r="224" spans="1:4">
      <c r="A224" s="22">
        <v>40807</v>
      </c>
      <c r="B224">
        <v>72</v>
      </c>
      <c r="D224">
        <v>72</v>
      </c>
    </row>
    <row r="225" spans="1:4">
      <c r="A225" s="22">
        <v>40808</v>
      </c>
      <c r="B225">
        <v>61</v>
      </c>
      <c r="D225">
        <v>61</v>
      </c>
    </row>
    <row r="226" spans="1:4">
      <c r="A226" s="22">
        <v>40809</v>
      </c>
      <c r="B226">
        <v>65</v>
      </c>
      <c r="D226">
        <v>65</v>
      </c>
    </row>
    <row r="227" spans="1:4">
      <c r="A227" s="22">
        <v>40810</v>
      </c>
      <c r="B227">
        <v>73</v>
      </c>
      <c r="D227">
        <v>73</v>
      </c>
    </row>
    <row r="228" spans="1:4">
      <c r="A228" s="22">
        <v>40811</v>
      </c>
      <c r="B228">
        <v>68</v>
      </c>
      <c r="D228">
        <v>68</v>
      </c>
    </row>
    <row r="229" spans="1:4">
      <c r="A229" s="22">
        <v>40812</v>
      </c>
      <c r="B229">
        <v>67</v>
      </c>
      <c r="D229">
        <v>67</v>
      </c>
    </row>
    <row r="230" spans="1:4">
      <c r="A230" s="22">
        <v>40813</v>
      </c>
      <c r="B230">
        <v>72</v>
      </c>
      <c r="D230">
        <v>72</v>
      </c>
    </row>
    <row r="231" spans="1:4">
      <c r="A231" s="22">
        <v>40814</v>
      </c>
      <c r="B231">
        <v>75</v>
      </c>
      <c r="D231">
        <v>75</v>
      </c>
    </row>
    <row r="232" spans="1:4">
      <c r="A232" s="22">
        <v>40815</v>
      </c>
      <c r="B232">
        <v>78</v>
      </c>
      <c r="D232">
        <v>78</v>
      </c>
    </row>
    <row r="233" spans="1:4">
      <c r="A233" s="22">
        <v>40816</v>
      </c>
      <c r="B233">
        <v>65</v>
      </c>
      <c r="D233">
        <v>65</v>
      </c>
    </row>
    <row r="234" spans="1:4">
      <c r="A234" s="22">
        <v>40817</v>
      </c>
      <c r="B234">
        <v>67</v>
      </c>
      <c r="D234">
        <v>67</v>
      </c>
    </row>
    <row r="235" spans="1:4">
      <c r="A235" s="22">
        <v>40818</v>
      </c>
      <c r="B235">
        <v>66</v>
      </c>
      <c r="D235">
        <v>66</v>
      </c>
    </row>
    <row r="236" spans="1:4">
      <c r="A236" s="22">
        <v>40819</v>
      </c>
      <c r="B236">
        <v>70</v>
      </c>
      <c r="D236">
        <v>70</v>
      </c>
    </row>
    <row r="237" spans="1:4">
      <c r="A237" s="22">
        <v>40820</v>
      </c>
      <c r="B237">
        <v>71</v>
      </c>
      <c r="D237">
        <v>71</v>
      </c>
    </row>
    <row r="238" spans="1:4">
      <c r="A238" s="22">
        <v>40821</v>
      </c>
      <c r="B238">
        <v>68</v>
      </c>
      <c r="D238">
        <v>68</v>
      </c>
    </row>
    <row r="239" spans="1:4">
      <c r="A239" s="22">
        <v>40822</v>
      </c>
      <c r="B239">
        <v>76</v>
      </c>
      <c r="D239">
        <v>76</v>
      </c>
    </row>
    <row r="240" spans="1:4">
      <c r="A240" s="22">
        <v>40823</v>
      </c>
      <c r="B240">
        <v>78</v>
      </c>
      <c r="D240">
        <v>78</v>
      </c>
    </row>
    <row r="241" spans="1:4">
      <c r="A241" s="22">
        <v>40824</v>
      </c>
      <c r="B241">
        <v>72</v>
      </c>
      <c r="D241">
        <v>72</v>
      </c>
    </row>
    <row r="242" spans="1:4">
      <c r="A242" s="22">
        <v>40825</v>
      </c>
      <c r="B242">
        <v>60</v>
      </c>
      <c r="D242">
        <v>60</v>
      </c>
    </row>
    <row r="243" spans="1:4">
      <c r="A243" s="22">
        <v>40826</v>
      </c>
      <c r="B243">
        <v>64</v>
      </c>
      <c r="D243">
        <v>64</v>
      </c>
    </row>
    <row r="244" spans="1:4">
      <c r="A244" s="22">
        <v>40827</v>
      </c>
      <c r="B244">
        <v>65</v>
      </c>
      <c r="D244">
        <v>65</v>
      </c>
    </row>
    <row r="245" spans="1:4">
      <c r="A245" s="22">
        <v>40828</v>
      </c>
      <c r="B245">
        <v>72</v>
      </c>
      <c r="D245">
        <v>72</v>
      </c>
    </row>
    <row r="246" spans="1:4">
      <c r="A246" s="22">
        <v>40829</v>
      </c>
      <c r="B246">
        <v>64</v>
      </c>
      <c r="D246">
        <v>64</v>
      </c>
    </row>
    <row r="247" spans="1:4">
      <c r="A247" s="22">
        <v>40830</v>
      </c>
      <c r="B247">
        <v>67</v>
      </c>
      <c r="D247">
        <v>67</v>
      </c>
    </row>
    <row r="248" spans="1:4">
      <c r="A248" s="22">
        <v>40831</v>
      </c>
      <c r="B248">
        <v>70</v>
      </c>
      <c r="D248">
        <v>70</v>
      </c>
    </row>
    <row r="249" spans="1:4">
      <c r="A249" s="22">
        <v>40832</v>
      </c>
      <c r="B249">
        <v>72</v>
      </c>
      <c r="D249">
        <v>72</v>
      </c>
    </row>
    <row r="250" spans="1:4">
      <c r="A250" s="22">
        <v>40833</v>
      </c>
      <c r="B250">
        <v>68</v>
      </c>
      <c r="D250">
        <v>68</v>
      </c>
    </row>
    <row r="251" spans="1:4">
      <c r="A251" s="22">
        <v>40834</v>
      </c>
      <c r="B251">
        <v>56</v>
      </c>
      <c r="D251">
        <v>56</v>
      </c>
    </row>
    <row r="252" spans="1:4">
      <c r="A252" s="22">
        <v>40835</v>
      </c>
      <c r="B252">
        <v>50</v>
      </c>
      <c r="D252">
        <v>50</v>
      </c>
    </row>
    <row r="253" spans="1:4">
      <c r="A253" s="22">
        <v>40836</v>
      </c>
      <c r="B253">
        <v>51</v>
      </c>
      <c r="D253">
        <v>51</v>
      </c>
    </row>
    <row r="254" spans="1:4">
      <c r="A254" s="22">
        <v>40837</v>
      </c>
      <c r="B254">
        <v>59</v>
      </c>
      <c r="D254">
        <v>59</v>
      </c>
    </row>
    <row r="255" spans="1:4">
      <c r="A255" s="22">
        <v>40838</v>
      </c>
      <c r="B255">
        <v>64</v>
      </c>
      <c r="D255">
        <v>64</v>
      </c>
    </row>
    <row r="256" spans="1:4">
      <c r="A256" s="22">
        <v>40839</v>
      </c>
      <c r="B256">
        <v>65</v>
      </c>
      <c r="D256">
        <v>65</v>
      </c>
    </row>
    <row r="257" spans="1:4">
      <c r="A257" s="22">
        <v>40840</v>
      </c>
      <c r="B257">
        <v>66</v>
      </c>
      <c r="D257">
        <v>66</v>
      </c>
    </row>
    <row r="258" spans="1:4">
      <c r="A258" s="22">
        <v>40841</v>
      </c>
      <c r="B258">
        <v>72</v>
      </c>
      <c r="D258">
        <v>72</v>
      </c>
    </row>
    <row r="259" spans="1:4">
      <c r="A259" s="22">
        <v>40842</v>
      </c>
      <c r="B259">
        <v>60</v>
      </c>
      <c r="D259">
        <v>60</v>
      </c>
    </row>
    <row r="260" spans="1:4">
      <c r="A260" s="22">
        <v>40843</v>
      </c>
      <c r="B260">
        <v>48</v>
      </c>
      <c r="D260">
        <v>48</v>
      </c>
    </row>
    <row r="261" spans="1:4">
      <c r="A261" s="22">
        <v>40844</v>
      </c>
      <c r="B261">
        <v>49</v>
      </c>
      <c r="D261">
        <v>49</v>
      </c>
    </row>
    <row r="262" spans="1:4">
      <c r="A262" s="22">
        <v>40845</v>
      </c>
      <c r="B262">
        <v>50</v>
      </c>
      <c r="D262">
        <v>50</v>
      </c>
    </row>
    <row r="263" spans="1:4">
      <c r="A263" s="22">
        <v>40846</v>
      </c>
      <c r="B263">
        <v>54</v>
      </c>
      <c r="D263">
        <v>54</v>
      </c>
    </row>
    <row r="264" spans="1:4">
      <c r="A264" s="22">
        <v>40847</v>
      </c>
      <c r="B264">
        <v>55</v>
      </c>
      <c r="D264">
        <v>55</v>
      </c>
    </row>
    <row r="265" spans="1:4">
      <c r="A265" s="22">
        <v>40848</v>
      </c>
      <c r="B265">
        <v>64</v>
      </c>
      <c r="D265">
        <v>64</v>
      </c>
    </row>
    <row r="266" spans="1:4">
      <c r="A266" s="22">
        <v>40849</v>
      </c>
      <c r="B266">
        <v>53</v>
      </c>
      <c r="D266">
        <v>53</v>
      </c>
    </row>
    <row r="267" spans="1:4">
      <c r="A267" s="22">
        <v>40850</v>
      </c>
      <c r="B267">
        <v>45</v>
      </c>
      <c r="D267">
        <v>45</v>
      </c>
    </row>
    <row r="268" spans="1:4">
      <c r="A268" s="22">
        <v>40851</v>
      </c>
      <c r="B268">
        <v>44</v>
      </c>
      <c r="D268">
        <v>44</v>
      </c>
    </row>
    <row r="269" spans="1:4">
      <c r="A269" s="22">
        <v>40852</v>
      </c>
      <c r="B269">
        <v>52</v>
      </c>
      <c r="D269">
        <v>52</v>
      </c>
    </row>
    <row r="270" spans="1:4">
      <c r="A270" s="22">
        <v>40853</v>
      </c>
      <c r="B270">
        <v>64</v>
      </c>
      <c r="D270">
        <v>64</v>
      </c>
    </row>
    <row r="271" spans="1:4">
      <c r="A271" s="22">
        <v>40854</v>
      </c>
      <c r="B271">
        <v>67</v>
      </c>
      <c r="D271">
        <v>67</v>
      </c>
    </row>
    <row r="272" spans="1:4">
      <c r="A272" s="22">
        <v>40855</v>
      </c>
      <c r="B272">
        <v>52</v>
      </c>
      <c r="D272">
        <v>52</v>
      </c>
    </row>
    <row r="273" spans="1:4">
      <c r="A273" s="22">
        <v>40856</v>
      </c>
      <c r="B273">
        <v>48</v>
      </c>
      <c r="D273">
        <v>48</v>
      </c>
    </row>
    <row r="274" spans="1:4">
      <c r="A274" s="22">
        <v>40857</v>
      </c>
      <c r="B274">
        <v>49</v>
      </c>
      <c r="D274">
        <v>49</v>
      </c>
    </row>
    <row r="275" spans="1:4">
      <c r="A275" s="22">
        <v>40858</v>
      </c>
      <c r="B275">
        <v>52</v>
      </c>
      <c r="D275">
        <v>52</v>
      </c>
    </row>
    <row r="276" spans="1:4">
      <c r="A276" s="22">
        <v>40859</v>
      </c>
      <c r="B276">
        <v>58</v>
      </c>
      <c r="D276">
        <v>58</v>
      </c>
    </row>
    <row r="277" spans="1:4">
      <c r="A277" s="22">
        <v>40860</v>
      </c>
      <c r="B277">
        <v>68</v>
      </c>
      <c r="D277">
        <v>68</v>
      </c>
    </row>
    <row r="278" spans="1:4">
      <c r="A278" s="22">
        <v>40861</v>
      </c>
      <c r="B278">
        <v>60</v>
      </c>
      <c r="D278">
        <v>60</v>
      </c>
    </row>
    <row r="279" spans="1:4">
      <c r="A279" s="22">
        <v>40862</v>
      </c>
      <c r="B279">
        <v>58</v>
      </c>
      <c r="D279">
        <v>58</v>
      </c>
    </row>
    <row r="280" spans="1:4">
      <c r="A280" s="22">
        <v>40863</v>
      </c>
      <c r="B280">
        <v>44</v>
      </c>
      <c r="D280">
        <v>44</v>
      </c>
    </row>
    <row r="281" spans="1:4">
      <c r="A281" s="22">
        <v>40864</v>
      </c>
      <c r="B281">
        <v>39</v>
      </c>
      <c r="D281">
        <v>39</v>
      </c>
    </row>
    <row r="282" spans="1:4">
      <c r="A282" s="22">
        <v>40865</v>
      </c>
      <c r="B282">
        <v>51</v>
      </c>
      <c r="D282">
        <v>51</v>
      </c>
    </row>
    <row r="283" spans="1:4">
      <c r="A283" s="22">
        <v>40866</v>
      </c>
      <c r="B283">
        <v>60</v>
      </c>
      <c r="D283">
        <v>60</v>
      </c>
    </row>
    <row r="284" spans="1:4">
      <c r="A284" s="22">
        <v>40867</v>
      </c>
      <c r="B284">
        <v>39</v>
      </c>
      <c r="D284">
        <v>39</v>
      </c>
    </row>
    <row r="285" spans="1:4">
      <c r="A285" s="22">
        <v>40868</v>
      </c>
      <c r="B285">
        <v>40</v>
      </c>
      <c r="D285">
        <v>40</v>
      </c>
    </row>
    <row r="286" spans="1:4">
      <c r="A286" s="22">
        <v>40869</v>
      </c>
      <c r="B286">
        <v>43</v>
      </c>
      <c r="D286">
        <v>43</v>
      </c>
    </row>
    <row r="287" spans="1:4">
      <c r="A287" s="22">
        <v>40870</v>
      </c>
      <c r="B287">
        <v>51</v>
      </c>
      <c r="D287">
        <v>51</v>
      </c>
    </row>
    <row r="288" spans="1:4">
      <c r="A288" s="22">
        <v>40871</v>
      </c>
      <c r="B288">
        <v>52</v>
      </c>
      <c r="D288">
        <v>52</v>
      </c>
    </row>
    <row r="289" spans="1:4">
      <c r="A289" s="22">
        <v>40872</v>
      </c>
      <c r="B289">
        <v>55</v>
      </c>
      <c r="D289">
        <v>55</v>
      </c>
    </row>
    <row r="290" spans="1:4">
      <c r="A290" s="22">
        <v>40873</v>
      </c>
      <c r="B290">
        <v>49</v>
      </c>
      <c r="D290">
        <v>49</v>
      </c>
    </row>
    <row r="291" spans="1:4">
      <c r="A291" s="22">
        <v>40874</v>
      </c>
      <c r="B291">
        <v>38</v>
      </c>
      <c r="D291">
        <v>38</v>
      </c>
    </row>
    <row r="292" spans="1:4">
      <c r="A292" s="22">
        <v>40875</v>
      </c>
      <c r="B292">
        <v>40</v>
      </c>
      <c r="D292">
        <v>40</v>
      </c>
    </row>
    <row r="293" spans="1:4">
      <c r="A293" s="22">
        <v>40876</v>
      </c>
      <c r="B293">
        <v>44</v>
      </c>
      <c r="D293">
        <v>44</v>
      </c>
    </row>
    <row r="294" spans="1:4">
      <c r="A294" s="22">
        <v>40877</v>
      </c>
      <c r="B294">
        <v>40</v>
      </c>
      <c r="D294">
        <v>40</v>
      </c>
    </row>
    <row r="295" spans="1:4">
      <c r="A295" s="22">
        <v>40878</v>
      </c>
      <c r="B295">
        <v>49</v>
      </c>
      <c r="D295">
        <v>49</v>
      </c>
    </row>
    <row r="296" spans="1:4">
      <c r="A296" s="22">
        <v>40879</v>
      </c>
      <c r="B296">
        <v>40</v>
      </c>
      <c r="D296">
        <v>40</v>
      </c>
    </row>
    <row r="297" spans="1:4">
      <c r="A297" s="22">
        <v>40880</v>
      </c>
      <c r="B297">
        <v>47</v>
      </c>
      <c r="D297">
        <v>47</v>
      </c>
    </row>
    <row r="298" spans="1:4">
      <c r="A298" s="22">
        <v>40881</v>
      </c>
      <c r="B298">
        <v>40</v>
      </c>
      <c r="D298">
        <v>40</v>
      </c>
    </row>
    <row r="299" spans="1:4">
      <c r="A299" s="22">
        <v>40882</v>
      </c>
      <c r="B299">
        <v>31</v>
      </c>
      <c r="D299">
        <v>31</v>
      </c>
    </row>
    <row r="300" spans="1:4">
      <c r="A300" s="22">
        <v>40883</v>
      </c>
      <c r="B300">
        <v>24</v>
      </c>
      <c r="D300">
        <v>24</v>
      </c>
    </row>
    <row r="301" spans="1:4">
      <c r="A301" s="22">
        <v>40884</v>
      </c>
      <c r="B301">
        <v>30</v>
      </c>
      <c r="D301">
        <v>30</v>
      </c>
    </row>
    <row r="302" spans="1:4">
      <c r="A302" s="22">
        <v>40885</v>
      </c>
      <c r="B302">
        <v>39</v>
      </c>
      <c r="D302">
        <v>39</v>
      </c>
    </row>
    <row r="303" spans="1:4">
      <c r="A303" s="22">
        <v>40886</v>
      </c>
      <c r="B303">
        <v>35</v>
      </c>
      <c r="D303">
        <v>35</v>
      </c>
    </row>
    <row r="304" spans="1:4">
      <c r="A304" s="22">
        <v>40887</v>
      </c>
      <c r="B304">
        <v>34</v>
      </c>
      <c r="D304">
        <v>34</v>
      </c>
    </row>
    <row r="305" spans="1:4">
      <c r="A305" s="22">
        <v>40888</v>
      </c>
      <c r="B305">
        <v>36</v>
      </c>
      <c r="D305">
        <v>36</v>
      </c>
    </row>
    <row r="306" spans="1:4">
      <c r="A306" s="22">
        <v>40889</v>
      </c>
      <c r="B306">
        <v>42</v>
      </c>
      <c r="D306">
        <v>42</v>
      </c>
    </row>
    <row r="307" spans="1:4">
      <c r="A307" s="22">
        <v>40890</v>
      </c>
      <c r="B307">
        <v>48</v>
      </c>
      <c r="D307">
        <v>48</v>
      </c>
    </row>
    <row r="308" spans="1:4">
      <c r="A308" s="22">
        <v>40891</v>
      </c>
      <c r="B308">
        <v>57</v>
      </c>
      <c r="D308">
        <v>57</v>
      </c>
    </row>
    <row r="309" spans="1:4">
      <c r="A309" s="22">
        <v>40892</v>
      </c>
      <c r="B309">
        <v>44</v>
      </c>
      <c r="D309">
        <v>44</v>
      </c>
    </row>
    <row r="310" spans="1:4">
      <c r="A310" s="22">
        <v>40893</v>
      </c>
      <c r="B310">
        <v>40</v>
      </c>
      <c r="D310">
        <v>40</v>
      </c>
    </row>
    <row r="311" spans="1:4">
      <c r="A311" s="22">
        <v>40894</v>
      </c>
      <c r="B311">
        <v>41</v>
      </c>
      <c r="D311">
        <v>41</v>
      </c>
    </row>
    <row r="312" spans="1:4">
      <c r="A312" s="22">
        <v>40895</v>
      </c>
      <c r="B312">
        <v>47</v>
      </c>
      <c r="D312">
        <v>47</v>
      </c>
    </row>
    <row r="313" spans="1:4">
      <c r="A313" s="22">
        <v>40896</v>
      </c>
      <c r="B313">
        <v>51</v>
      </c>
      <c r="D313">
        <v>51</v>
      </c>
    </row>
    <row r="314" spans="1:4">
      <c r="A314" s="22">
        <v>40897</v>
      </c>
      <c r="B314">
        <v>43</v>
      </c>
      <c r="D314">
        <v>43</v>
      </c>
    </row>
    <row r="315" spans="1:4">
      <c r="A315" s="22">
        <v>40898</v>
      </c>
      <c r="B315">
        <v>40</v>
      </c>
      <c r="D315">
        <v>40</v>
      </c>
    </row>
    <row r="316" spans="1:4">
      <c r="A316" s="22">
        <v>40899</v>
      </c>
      <c r="B316">
        <v>37</v>
      </c>
      <c r="D316">
        <v>37</v>
      </c>
    </row>
    <row r="317" spans="1:4">
      <c r="A317" s="22">
        <v>40900</v>
      </c>
      <c r="B317">
        <v>33</v>
      </c>
      <c r="D317">
        <v>33</v>
      </c>
    </row>
    <row r="318" spans="1:4">
      <c r="A318" s="22">
        <v>40901</v>
      </c>
      <c r="B318">
        <v>37</v>
      </c>
      <c r="D318">
        <v>37</v>
      </c>
    </row>
    <row r="319" spans="1:4">
      <c r="A319" s="22">
        <v>40902</v>
      </c>
      <c r="B319">
        <v>40</v>
      </c>
      <c r="D319">
        <v>40</v>
      </c>
    </row>
    <row r="320" spans="1:4">
      <c r="A320" s="22">
        <v>40903</v>
      </c>
      <c r="B320">
        <v>41</v>
      </c>
      <c r="D320">
        <v>41</v>
      </c>
    </row>
    <row r="321" spans="1:4">
      <c r="A321" s="22">
        <v>40904</v>
      </c>
      <c r="B321">
        <v>41</v>
      </c>
      <c r="D321">
        <v>41</v>
      </c>
    </row>
    <row r="322" spans="1:4">
      <c r="A322" s="22">
        <v>40905</v>
      </c>
      <c r="B322">
        <v>44</v>
      </c>
      <c r="D322">
        <v>44</v>
      </c>
    </row>
    <row r="323" spans="1:4">
      <c r="A323" s="22">
        <v>40906</v>
      </c>
      <c r="B323">
        <v>48</v>
      </c>
      <c r="D323">
        <v>48</v>
      </c>
    </row>
    <row r="324" spans="1:4">
      <c r="A324" s="22">
        <v>40907</v>
      </c>
      <c r="B324">
        <v>49</v>
      </c>
      <c r="D324">
        <v>49</v>
      </c>
    </row>
    <row r="325" spans="1:4">
      <c r="A325" s="22">
        <v>40908</v>
      </c>
      <c r="B325">
        <v>53</v>
      </c>
      <c r="D325">
        <v>53</v>
      </c>
    </row>
    <row r="326" spans="1:4">
      <c r="A326" s="22">
        <v>40909</v>
      </c>
      <c r="B326">
        <v>42</v>
      </c>
      <c r="D326">
        <v>42</v>
      </c>
    </row>
    <row r="327" spans="1:4">
      <c r="A327" s="22">
        <v>40910</v>
      </c>
      <c r="B327">
        <v>36</v>
      </c>
      <c r="D327">
        <v>36</v>
      </c>
    </row>
    <row r="328" spans="1:4">
      <c r="A328" s="22">
        <v>40911</v>
      </c>
      <c r="B328">
        <v>42</v>
      </c>
      <c r="D328">
        <v>42</v>
      </c>
    </row>
    <row r="329" spans="1:4">
      <c r="A329" s="22">
        <v>40912</v>
      </c>
      <c r="B329">
        <v>45</v>
      </c>
      <c r="D329">
        <v>45</v>
      </c>
    </row>
    <row r="330" spans="1:4">
      <c r="A330" s="22">
        <v>40913</v>
      </c>
      <c r="B330">
        <v>48</v>
      </c>
      <c r="D330">
        <v>48</v>
      </c>
    </row>
    <row r="331" spans="1:4">
      <c r="A331" s="22">
        <v>40914</v>
      </c>
      <c r="B331">
        <v>52</v>
      </c>
      <c r="D331">
        <v>52</v>
      </c>
    </row>
    <row r="332" spans="1:4">
      <c r="A332" s="22">
        <v>40915</v>
      </c>
      <c r="B332">
        <v>49</v>
      </c>
      <c r="D332">
        <v>49</v>
      </c>
    </row>
    <row r="333" spans="1:4">
      <c r="A333" s="22">
        <v>40916</v>
      </c>
      <c r="B333">
        <v>47</v>
      </c>
      <c r="D333">
        <v>47</v>
      </c>
    </row>
    <row r="334" spans="1:4">
      <c r="A334" s="22">
        <v>40917</v>
      </c>
      <c r="B334">
        <v>42</v>
      </c>
      <c r="D334">
        <v>42</v>
      </c>
    </row>
    <row r="335" spans="1:4">
      <c r="A335" s="22">
        <v>40918</v>
      </c>
      <c r="B335">
        <v>42</v>
      </c>
      <c r="D335">
        <v>42</v>
      </c>
    </row>
    <row r="336" spans="1:4">
      <c r="A336" s="22">
        <v>40919</v>
      </c>
      <c r="B336">
        <v>43</v>
      </c>
      <c r="D336">
        <v>43</v>
      </c>
    </row>
    <row r="337" spans="1:4">
      <c r="A337" s="22">
        <v>40920</v>
      </c>
      <c r="B337">
        <v>28</v>
      </c>
      <c r="D337">
        <v>28</v>
      </c>
    </row>
    <row r="338" spans="1:4">
      <c r="A338" s="22">
        <v>40921</v>
      </c>
      <c r="B338">
        <v>35</v>
      </c>
      <c r="D338">
        <v>35</v>
      </c>
    </row>
    <row r="339" spans="1:4">
      <c r="A339" s="22">
        <v>40922</v>
      </c>
      <c r="B339">
        <v>44</v>
      </c>
      <c r="D339">
        <v>44</v>
      </c>
    </row>
    <row r="340" spans="1:4">
      <c r="A340" s="22">
        <v>40923</v>
      </c>
      <c r="B340">
        <v>45</v>
      </c>
      <c r="D340">
        <v>45</v>
      </c>
    </row>
    <row r="341" spans="1:4">
      <c r="A341" s="22">
        <v>40924</v>
      </c>
      <c r="B341">
        <v>61</v>
      </c>
      <c r="D341">
        <v>61</v>
      </c>
    </row>
    <row r="342" spans="1:4">
      <c r="A342" s="22">
        <v>40925</v>
      </c>
      <c r="B342">
        <v>44</v>
      </c>
      <c r="D342">
        <v>44</v>
      </c>
    </row>
    <row r="343" spans="1:4">
      <c r="A343" s="22">
        <v>40926</v>
      </c>
      <c r="B343">
        <v>32</v>
      </c>
      <c r="D343">
        <v>32</v>
      </c>
    </row>
    <row r="344" spans="1:4">
      <c r="A344" s="22">
        <v>40927</v>
      </c>
      <c r="B344">
        <v>42</v>
      </c>
      <c r="D344">
        <v>42</v>
      </c>
    </row>
    <row r="345" spans="1:4">
      <c r="A345" s="22">
        <v>40928</v>
      </c>
      <c r="B345">
        <v>38</v>
      </c>
      <c r="D345">
        <v>38</v>
      </c>
    </row>
    <row r="346" spans="1:4">
      <c r="A346" s="22">
        <v>40929</v>
      </c>
      <c r="B346">
        <v>32</v>
      </c>
      <c r="D346">
        <v>32</v>
      </c>
    </row>
    <row r="347" spans="1:4">
      <c r="A347" s="22">
        <v>40930</v>
      </c>
      <c r="B347">
        <v>52</v>
      </c>
      <c r="D347">
        <v>52</v>
      </c>
    </row>
    <row r="348" spans="1:4">
      <c r="A348" s="22">
        <v>40931</v>
      </c>
      <c r="B348">
        <v>46</v>
      </c>
      <c r="D348">
        <v>46</v>
      </c>
    </row>
    <row r="349" spans="1:4">
      <c r="A349" s="22">
        <v>40932</v>
      </c>
      <c r="B349">
        <v>50</v>
      </c>
      <c r="C349">
        <v>38</v>
      </c>
      <c r="D349">
        <v>50</v>
      </c>
    </row>
    <row r="350" spans="1:4">
      <c r="A350" s="22">
        <v>40933</v>
      </c>
      <c r="B350">
        <v>45</v>
      </c>
      <c r="C350">
        <v>55</v>
      </c>
      <c r="D350">
        <v>45</v>
      </c>
    </row>
    <row r="351" spans="1:4">
      <c r="A351" s="22">
        <v>40934</v>
      </c>
      <c r="B351">
        <v>44</v>
      </c>
      <c r="C351">
        <v>48</v>
      </c>
      <c r="D351">
        <v>44</v>
      </c>
    </row>
    <row r="352" spans="1:4">
      <c r="A352" s="22">
        <v>40935</v>
      </c>
      <c r="B352">
        <v>49</v>
      </c>
      <c r="C352">
        <v>48</v>
      </c>
      <c r="D352">
        <v>49</v>
      </c>
    </row>
    <row r="353" spans="1:4">
      <c r="A353" s="22">
        <v>40936</v>
      </c>
      <c r="B353">
        <v>39</v>
      </c>
      <c r="C353">
        <v>43</v>
      </c>
      <c r="D353">
        <v>39</v>
      </c>
    </row>
    <row r="354" spans="1:4">
      <c r="A354" s="22">
        <v>40937</v>
      </c>
      <c r="B354">
        <v>43</v>
      </c>
      <c r="C354">
        <v>44</v>
      </c>
      <c r="D354">
        <v>43</v>
      </c>
    </row>
    <row r="355" spans="1:4">
      <c r="A355" s="22">
        <v>40938</v>
      </c>
      <c r="B355">
        <v>50</v>
      </c>
      <c r="C355">
        <v>50</v>
      </c>
      <c r="D355">
        <v>50</v>
      </c>
    </row>
    <row r="356" spans="1:4">
      <c r="A356" s="22">
        <v>40939</v>
      </c>
      <c r="B356">
        <v>55</v>
      </c>
      <c r="C356">
        <v>47</v>
      </c>
      <c r="D356">
        <v>55</v>
      </c>
    </row>
    <row r="357" spans="1:4">
      <c r="A357" s="22">
        <v>40940</v>
      </c>
      <c r="B357">
        <v>51</v>
      </c>
      <c r="C357">
        <v>54</v>
      </c>
      <c r="D357">
        <v>51</v>
      </c>
    </row>
    <row r="358" spans="1:4">
      <c r="A358" s="22">
        <v>40941</v>
      </c>
      <c r="B358">
        <v>52</v>
      </c>
      <c r="C358">
        <v>55</v>
      </c>
      <c r="D358">
        <v>52</v>
      </c>
    </row>
    <row r="359" spans="1:4">
      <c r="A359" s="22">
        <v>40942</v>
      </c>
      <c r="B359">
        <v>55</v>
      </c>
      <c r="C359">
        <v>43</v>
      </c>
      <c r="D359">
        <v>55</v>
      </c>
    </row>
    <row r="360" spans="1:4">
      <c r="A360" s="22">
        <v>40943</v>
      </c>
      <c r="B360">
        <v>41</v>
      </c>
      <c r="C360">
        <v>45</v>
      </c>
      <c r="D360">
        <v>41</v>
      </c>
    </row>
    <row r="361" spans="1:4">
      <c r="A361" s="22">
        <v>40944</v>
      </c>
      <c r="B361">
        <v>43</v>
      </c>
      <c r="C361">
        <v>52</v>
      </c>
      <c r="D361">
        <v>43</v>
      </c>
    </row>
    <row r="362" spans="1:4">
      <c r="A362" s="22">
        <v>40945</v>
      </c>
      <c r="B362">
        <v>41</v>
      </c>
      <c r="C362">
        <v>56</v>
      </c>
      <c r="D362">
        <v>41</v>
      </c>
    </row>
    <row r="363" spans="1:4">
      <c r="A363" s="22">
        <v>40946</v>
      </c>
      <c r="B363">
        <v>45</v>
      </c>
      <c r="C363">
        <v>61</v>
      </c>
      <c r="D363">
        <v>45</v>
      </c>
    </row>
    <row r="364" spans="1:4">
      <c r="A364" s="22">
        <v>40947</v>
      </c>
      <c r="B364">
        <v>33</v>
      </c>
      <c r="C364">
        <v>52</v>
      </c>
      <c r="D364">
        <v>33</v>
      </c>
    </row>
    <row r="365" spans="1:4">
      <c r="A365" s="22">
        <v>40948</v>
      </c>
      <c r="B365">
        <v>35</v>
      </c>
      <c r="C365">
        <v>58</v>
      </c>
      <c r="D365">
        <v>35</v>
      </c>
    </row>
    <row r="366" spans="1:4">
      <c r="A366" s="22">
        <v>40949</v>
      </c>
      <c r="B366">
        <v>34</v>
      </c>
      <c r="C366">
        <v>52</v>
      </c>
      <c r="D366">
        <v>34</v>
      </c>
    </row>
    <row r="367" spans="1:4">
      <c r="A367" s="22">
        <v>40950</v>
      </c>
      <c r="B367">
        <v>24</v>
      </c>
      <c r="C367">
        <v>45</v>
      </c>
      <c r="D367">
        <v>24</v>
      </c>
    </row>
    <row r="368" spans="1:4">
      <c r="A368" s="22">
        <v>40951</v>
      </c>
      <c r="B368">
        <v>27</v>
      </c>
      <c r="C368">
        <v>50</v>
      </c>
      <c r="D368">
        <v>27</v>
      </c>
    </row>
    <row r="369" spans="1:4">
      <c r="A369" s="22">
        <v>40952</v>
      </c>
      <c r="B369">
        <v>33</v>
      </c>
      <c r="C369">
        <v>59</v>
      </c>
      <c r="D369">
        <v>33</v>
      </c>
    </row>
    <row r="370" spans="1:4">
      <c r="A370" s="22">
        <v>40953</v>
      </c>
      <c r="B370">
        <v>38</v>
      </c>
      <c r="C370">
        <v>62</v>
      </c>
      <c r="D370">
        <v>38</v>
      </c>
    </row>
    <row r="371" spans="1:4">
      <c r="A371" s="22">
        <v>40954</v>
      </c>
      <c r="B371">
        <v>55</v>
      </c>
      <c r="C371">
        <v>67</v>
      </c>
      <c r="D371">
        <v>55</v>
      </c>
    </row>
    <row r="372" spans="1:4">
      <c r="A372" s="22">
        <v>40955</v>
      </c>
      <c r="B372">
        <v>48</v>
      </c>
      <c r="C372">
        <v>51</v>
      </c>
      <c r="D372">
        <v>48</v>
      </c>
    </row>
    <row r="373" spans="1:4">
      <c r="A373" s="22">
        <v>40956</v>
      </c>
      <c r="B373">
        <v>48</v>
      </c>
      <c r="C373">
        <v>48</v>
      </c>
      <c r="D373">
        <v>48</v>
      </c>
    </row>
    <row r="374" spans="1:4">
      <c r="A374" s="22">
        <v>40957</v>
      </c>
      <c r="B374">
        <v>43</v>
      </c>
      <c r="C374">
        <v>50</v>
      </c>
      <c r="D374">
        <v>43</v>
      </c>
    </row>
    <row r="375" spans="1:4">
      <c r="A375" s="22">
        <v>40958</v>
      </c>
      <c r="B375">
        <v>44</v>
      </c>
      <c r="C375">
        <v>52</v>
      </c>
      <c r="D375">
        <v>44</v>
      </c>
    </row>
    <row r="376" spans="1:4">
      <c r="A376" s="22">
        <v>40959</v>
      </c>
      <c r="B376">
        <v>50</v>
      </c>
      <c r="C376">
        <v>63</v>
      </c>
      <c r="D376">
        <v>50</v>
      </c>
    </row>
    <row r="377" spans="1:4">
      <c r="A377" s="22">
        <v>40960</v>
      </c>
      <c r="B377">
        <v>47</v>
      </c>
      <c r="C377">
        <v>66</v>
      </c>
      <c r="D377">
        <v>47</v>
      </c>
    </row>
    <row r="378" spans="1:4">
      <c r="A378" s="22">
        <v>40961</v>
      </c>
      <c r="B378">
        <v>54</v>
      </c>
      <c r="D378">
        <v>54</v>
      </c>
    </row>
    <row r="379" spans="1:4">
      <c r="A379" s="22">
        <v>40962</v>
      </c>
      <c r="B379">
        <v>55</v>
      </c>
      <c r="D379">
        <v>55</v>
      </c>
    </row>
    <row r="380" spans="1:4">
      <c r="A380" s="22">
        <v>40963</v>
      </c>
      <c r="B380">
        <v>43</v>
      </c>
      <c r="D380">
        <v>43</v>
      </c>
    </row>
    <row r="381" spans="1:4">
      <c r="A381" s="22">
        <v>40964</v>
      </c>
      <c r="B381">
        <v>45</v>
      </c>
      <c r="D381">
        <v>45</v>
      </c>
    </row>
    <row r="382" spans="1:4">
      <c r="A382" s="22">
        <v>40965</v>
      </c>
      <c r="B382">
        <v>52</v>
      </c>
      <c r="D382">
        <v>52</v>
      </c>
    </row>
    <row r="383" spans="1:4">
      <c r="A383" s="22">
        <v>40966</v>
      </c>
      <c r="B383">
        <v>56</v>
      </c>
      <c r="D383">
        <v>56</v>
      </c>
    </row>
    <row r="384" spans="1:4">
      <c r="A384" s="22">
        <v>40967</v>
      </c>
      <c r="B384">
        <v>61</v>
      </c>
      <c r="D384">
        <v>61</v>
      </c>
    </row>
    <row r="385" spans="1:4">
      <c r="A385" s="22">
        <v>40968</v>
      </c>
      <c r="B385">
        <v>52</v>
      </c>
      <c r="D385">
        <v>52</v>
      </c>
    </row>
    <row r="386" spans="1:4">
      <c r="A386" s="22">
        <v>40969</v>
      </c>
      <c r="B386">
        <v>58</v>
      </c>
      <c r="D386">
        <v>58</v>
      </c>
    </row>
    <row r="387" spans="1:4">
      <c r="A387" s="22">
        <v>40970</v>
      </c>
      <c r="B387">
        <v>52</v>
      </c>
      <c r="D387">
        <v>52</v>
      </c>
    </row>
    <row r="388" spans="1:4">
      <c r="A388" s="22">
        <v>40971</v>
      </c>
      <c r="B388">
        <v>45</v>
      </c>
      <c r="D388">
        <v>45</v>
      </c>
    </row>
    <row r="389" spans="1:4">
      <c r="A389" s="22">
        <v>40972</v>
      </c>
      <c r="B389">
        <v>50</v>
      </c>
      <c r="D389">
        <v>50</v>
      </c>
    </row>
    <row r="390" spans="1:4">
      <c r="A390" s="22">
        <v>40973</v>
      </c>
      <c r="B390">
        <v>59</v>
      </c>
      <c r="D390">
        <v>59</v>
      </c>
    </row>
    <row r="391" spans="1:4">
      <c r="A391" s="22">
        <v>40974</v>
      </c>
      <c r="B391">
        <v>62</v>
      </c>
      <c r="D391">
        <v>62</v>
      </c>
    </row>
    <row r="392" spans="1:4">
      <c r="A392" s="22">
        <v>40975</v>
      </c>
      <c r="B392">
        <v>67</v>
      </c>
      <c r="D392">
        <v>67</v>
      </c>
    </row>
    <row r="393" spans="1:4">
      <c r="A393" s="22">
        <v>40976</v>
      </c>
      <c r="B393">
        <v>51</v>
      </c>
      <c r="D393">
        <v>51</v>
      </c>
    </row>
    <row r="394" spans="1:4">
      <c r="A394" s="22">
        <v>40977</v>
      </c>
      <c r="B394">
        <v>48</v>
      </c>
      <c r="D394">
        <v>48</v>
      </c>
    </row>
    <row r="395" spans="1:4">
      <c r="A395" s="22">
        <v>40978</v>
      </c>
      <c r="B395">
        <v>50</v>
      </c>
      <c r="D395">
        <v>50</v>
      </c>
    </row>
    <row r="396" spans="1:4">
      <c r="A396" s="22">
        <v>40979</v>
      </c>
      <c r="B396">
        <v>52</v>
      </c>
      <c r="D396">
        <v>52</v>
      </c>
    </row>
    <row r="397" spans="1:4">
      <c r="A397" s="22">
        <v>40980</v>
      </c>
      <c r="B397">
        <v>63</v>
      </c>
      <c r="D397">
        <v>63</v>
      </c>
    </row>
    <row r="398" spans="1:4">
      <c r="A398" s="22">
        <v>40981</v>
      </c>
      <c r="B398">
        <v>66</v>
      </c>
      <c r="D398">
        <v>66</v>
      </c>
    </row>
    <row r="399" spans="1:4">
      <c r="A399" s="22">
        <v>40982</v>
      </c>
      <c r="B399">
        <v>70</v>
      </c>
      <c r="D399">
        <v>70</v>
      </c>
    </row>
    <row r="400" spans="1:4">
      <c r="A400" s="22">
        <v>40983</v>
      </c>
      <c r="B400">
        <v>71</v>
      </c>
      <c r="D400">
        <v>71</v>
      </c>
    </row>
    <row r="401" spans="1:4">
      <c r="A401" s="22">
        <v>40984</v>
      </c>
      <c r="B401">
        <v>68</v>
      </c>
      <c r="D401">
        <v>68</v>
      </c>
    </row>
    <row r="402" spans="1:4">
      <c r="A402" s="22">
        <v>40985</v>
      </c>
      <c r="B402">
        <v>71</v>
      </c>
    </row>
    <row r="403" spans="1:4">
      <c r="A403" s="22">
        <v>40986</v>
      </c>
      <c r="B403">
        <v>68</v>
      </c>
    </row>
    <row r="404" spans="1:4">
      <c r="A404" s="22">
        <v>40987</v>
      </c>
      <c r="B404">
        <v>61</v>
      </c>
    </row>
    <row r="405" spans="1:4">
      <c r="A405" s="22">
        <v>40988</v>
      </c>
      <c r="B405">
        <v>55</v>
      </c>
    </row>
    <row r="406" spans="1:4">
      <c r="A406" s="22">
        <v>40989</v>
      </c>
      <c r="B406">
        <v>55</v>
      </c>
    </row>
    <row r="407" spans="1:4">
      <c r="A407" s="22">
        <v>40990</v>
      </c>
      <c r="B407">
        <v>51</v>
      </c>
    </row>
    <row r="408" spans="1:4">
      <c r="A408" s="22">
        <v>40991</v>
      </c>
      <c r="B408">
        <v>56</v>
      </c>
    </row>
    <row r="409" spans="1:4">
      <c r="A409" s="22">
        <v>40992</v>
      </c>
      <c r="B409">
        <v>63</v>
      </c>
    </row>
    <row r="410" spans="1:4">
      <c r="A410" s="22">
        <v>40993</v>
      </c>
      <c r="B410">
        <v>64</v>
      </c>
    </row>
    <row r="411" spans="1:4">
      <c r="A411" s="22">
        <v>40994</v>
      </c>
      <c r="B411">
        <v>68</v>
      </c>
    </row>
    <row r="412" spans="1:4">
      <c r="A412" s="22">
        <v>40995</v>
      </c>
      <c r="B412">
        <v>69</v>
      </c>
    </row>
    <row r="413" spans="1:4">
      <c r="A413" s="22">
        <v>40996</v>
      </c>
      <c r="B413">
        <v>68</v>
      </c>
    </row>
    <row r="414" spans="1:4">
      <c r="A414" s="22">
        <v>40997</v>
      </c>
      <c r="B414">
        <v>70</v>
      </c>
    </row>
    <row r="415" spans="1:4">
      <c r="A415" s="22">
        <v>40998</v>
      </c>
      <c r="B415">
        <v>70</v>
      </c>
    </row>
    <row r="416" spans="1:4">
      <c r="A416" s="22">
        <v>40999</v>
      </c>
      <c r="B416">
        <v>71</v>
      </c>
    </row>
    <row r="417" spans="1:2">
      <c r="A417" s="22">
        <v>41000</v>
      </c>
      <c r="B417">
        <v>76</v>
      </c>
    </row>
    <row r="418" spans="1:2">
      <c r="A418" s="22">
        <v>41001</v>
      </c>
      <c r="B418">
        <v>74</v>
      </c>
    </row>
    <row r="419" spans="1:2">
      <c r="A419" s="22">
        <v>41002</v>
      </c>
      <c r="B419">
        <v>60</v>
      </c>
    </row>
    <row r="420" spans="1:2">
      <c r="A420" s="22">
        <v>41003</v>
      </c>
      <c r="B420">
        <v>59</v>
      </c>
    </row>
    <row r="421" spans="1:2">
      <c r="A421" s="22">
        <v>41004</v>
      </c>
      <c r="B421">
        <v>57</v>
      </c>
    </row>
    <row r="422" spans="1:2">
      <c r="A422" s="22">
        <v>41005</v>
      </c>
      <c r="B422">
        <v>60</v>
      </c>
    </row>
    <row r="423" spans="1:2">
      <c r="A423" s="22">
        <v>41006</v>
      </c>
      <c r="B423">
        <v>65</v>
      </c>
    </row>
    <row r="424" spans="1:2">
      <c r="A424" s="22">
        <v>41007</v>
      </c>
      <c r="B424">
        <v>60</v>
      </c>
    </row>
    <row r="425" spans="1:2">
      <c r="A425" s="22">
        <v>41008</v>
      </c>
      <c r="B425">
        <v>65</v>
      </c>
    </row>
    <row r="426" spans="1:2">
      <c r="A426" s="22">
        <v>41009</v>
      </c>
      <c r="B426">
        <v>67</v>
      </c>
    </row>
    <row r="427" spans="1:2">
      <c r="A427" s="22">
        <v>41010</v>
      </c>
      <c r="B427">
        <v>62</v>
      </c>
    </row>
    <row r="428" spans="1:2">
      <c r="A428" s="22">
        <v>41011</v>
      </c>
      <c r="B428">
        <v>64</v>
      </c>
    </row>
    <row r="429" spans="1:2">
      <c r="A429" s="22">
        <v>41012</v>
      </c>
      <c r="B429">
        <v>68</v>
      </c>
    </row>
    <row r="430" spans="1:2">
      <c r="A430" s="22">
        <v>41013</v>
      </c>
      <c r="B430">
        <v>70</v>
      </c>
    </row>
    <row r="431" spans="1:2">
      <c r="A431" s="22">
        <v>41014</v>
      </c>
      <c r="B431">
        <v>62</v>
      </c>
    </row>
    <row r="432" spans="1:2">
      <c r="A432" s="22">
        <v>41015</v>
      </c>
      <c r="B432">
        <v>59</v>
      </c>
    </row>
    <row r="433" spans="1:2">
      <c r="A433" s="22">
        <v>41016</v>
      </c>
      <c r="B433">
        <v>61</v>
      </c>
    </row>
    <row r="434" spans="1:2">
      <c r="A434" s="22">
        <v>41017</v>
      </c>
      <c r="B434">
        <v>65</v>
      </c>
    </row>
    <row r="435" spans="1:2">
      <c r="A435" s="22">
        <v>41018</v>
      </c>
      <c r="B435">
        <v>68</v>
      </c>
    </row>
    <row r="436" spans="1:2">
      <c r="A436" s="22">
        <v>41019</v>
      </c>
      <c r="B436">
        <v>57</v>
      </c>
    </row>
    <row r="437" spans="1:2">
      <c r="A437" s="22">
        <v>41020</v>
      </c>
      <c r="B437">
        <v>59</v>
      </c>
    </row>
    <row r="438" spans="1:2">
      <c r="A438" s="22">
        <v>41021</v>
      </c>
      <c r="B438">
        <v>62</v>
      </c>
    </row>
    <row r="439" spans="1:2">
      <c r="A439" s="22">
        <v>41022</v>
      </c>
      <c r="B439">
        <v>59</v>
      </c>
    </row>
    <row r="440" spans="1:2">
      <c r="A440" s="22">
        <v>41023</v>
      </c>
      <c r="B440">
        <v>66</v>
      </c>
    </row>
    <row r="441" spans="1:2">
      <c r="A441" s="22">
        <v>41024</v>
      </c>
      <c r="B441">
        <v>77</v>
      </c>
    </row>
    <row r="442" spans="1:2">
      <c r="A442" s="22">
        <v>41025</v>
      </c>
      <c r="B442">
        <v>75</v>
      </c>
    </row>
    <row r="443" spans="1:2">
      <c r="A443" s="22">
        <v>41026</v>
      </c>
      <c r="B443">
        <v>79</v>
      </c>
    </row>
    <row r="444" spans="1:2">
      <c r="A444" s="22">
        <v>41027</v>
      </c>
      <c r="B444">
        <v>72</v>
      </c>
    </row>
    <row r="445" spans="1:2">
      <c r="A445" s="22">
        <v>41028</v>
      </c>
      <c r="B445">
        <v>73</v>
      </c>
    </row>
    <row r="446" spans="1:2">
      <c r="A446" s="22">
        <v>41029</v>
      </c>
      <c r="B446">
        <v>72</v>
      </c>
    </row>
    <row r="447" spans="1:2">
      <c r="A447" s="22">
        <v>41030</v>
      </c>
      <c r="B447">
        <v>73</v>
      </c>
    </row>
    <row r="448" spans="1:2">
      <c r="A448" s="22">
        <v>41031</v>
      </c>
      <c r="B448">
        <v>76</v>
      </c>
    </row>
    <row r="449" spans="1:2">
      <c r="A449" s="22">
        <v>41032</v>
      </c>
      <c r="B449">
        <v>80</v>
      </c>
    </row>
    <row r="450" spans="1:2">
      <c r="A450" s="22">
        <v>41033</v>
      </c>
      <c r="B450">
        <v>76</v>
      </c>
    </row>
    <row r="451" spans="1:2">
      <c r="A451" s="22">
        <v>41034</v>
      </c>
      <c r="B451">
        <v>76</v>
      </c>
    </row>
    <row r="452" spans="1:2">
      <c r="A452" s="22">
        <v>41035</v>
      </c>
      <c r="B452">
        <v>78</v>
      </c>
    </row>
    <row r="453" spans="1:2">
      <c r="A453" s="22">
        <v>41036</v>
      </c>
      <c r="B453">
        <v>66</v>
      </c>
    </row>
    <row r="454" spans="1:2">
      <c r="A454" s="22">
        <v>41037</v>
      </c>
      <c r="B454">
        <v>64</v>
      </c>
    </row>
    <row r="455" spans="1:2">
      <c r="A455" s="22">
        <v>41038</v>
      </c>
      <c r="B455">
        <v>65</v>
      </c>
    </row>
    <row r="456" spans="1:2">
      <c r="A456" s="22">
        <v>41039</v>
      </c>
      <c r="B456">
        <v>66</v>
      </c>
    </row>
    <row r="457" spans="1:2">
      <c r="A457" s="22">
        <v>41040</v>
      </c>
      <c r="B457">
        <v>62</v>
      </c>
    </row>
    <row r="458" spans="1:2">
      <c r="A458" s="22">
        <v>41041</v>
      </c>
      <c r="B458">
        <v>65</v>
      </c>
    </row>
    <row r="459" spans="1:2">
      <c r="A459" s="22">
        <v>41042</v>
      </c>
      <c r="B459">
        <v>66</v>
      </c>
    </row>
    <row r="460" spans="1:2">
      <c r="A460" s="22">
        <v>41043</v>
      </c>
      <c r="B460">
        <v>69</v>
      </c>
    </row>
    <row r="461" spans="1:2">
      <c r="A461" s="22">
        <v>41044</v>
      </c>
      <c r="B461">
        <v>71</v>
      </c>
    </row>
    <row r="462" spans="1:2">
      <c r="A462" s="22">
        <v>41045</v>
      </c>
      <c r="B462">
        <v>71</v>
      </c>
    </row>
    <row r="463" spans="1:2">
      <c r="A463" s="22">
        <v>41046</v>
      </c>
      <c r="B463">
        <v>72</v>
      </c>
    </row>
    <row r="464" spans="1:2">
      <c r="A464" s="22">
        <v>41047</v>
      </c>
      <c r="B464">
        <v>75</v>
      </c>
    </row>
    <row r="465" spans="1:2">
      <c r="A465" s="22">
        <v>41048</v>
      </c>
      <c r="B465">
        <v>78</v>
      </c>
    </row>
    <row r="466" spans="1:2">
      <c r="A466" s="22">
        <v>41049</v>
      </c>
      <c r="B466">
        <v>66</v>
      </c>
    </row>
    <row r="467" spans="1:2">
      <c r="A467" s="22">
        <v>41050</v>
      </c>
      <c r="B467">
        <v>70</v>
      </c>
    </row>
    <row r="468" spans="1:2">
      <c r="A468" s="22">
        <v>41051</v>
      </c>
      <c r="B468">
        <v>69</v>
      </c>
    </row>
    <row r="469" spans="1:2">
      <c r="A469" s="22">
        <v>41052</v>
      </c>
      <c r="B469">
        <v>78</v>
      </c>
    </row>
    <row r="470" spans="1:2">
      <c r="A470" s="22">
        <v>41053</v>
      </c>
      <c r="B470">
        <v>81</v>
      </c>
    </row>
    <row r="471" spans="1:2">
      <c r="A471" s="22">
        <v>41054</v>
      </c>
      <c r="B471">
        <v>80</v>
      </c>
    </row>
    <row r="472" spans="1:2">
      <c r="A472" s="22">
        <v>41055</v>
      </c>
      <c r="B472">
        <v>81</v>
      </c>
    </row>
    <row r="473" spans="1:2">
      <c r="A473" s="22">
        <v>41056</v>
      </c>
      <c r="B473">
        <v>78</v>
      </c>
    </row>
    <row r="474" spans="1:2">
      <c r="A474" s="22">
        <v>41057</v>
      </c>
      <c r="B474">
        <v>79</v>
      </c>
    </row>
    <row r="475" spans="1:2">
      <c r="A475" s="22">
        <v>41058</v>
      </c>
      <c r="B475">
        <v>76</v>
      </c>
    </row>
    <row r="476" spans="1:2">
      <c r="A476" s="22">
        <v>41059</v>
      </c>
      <c r="B476">
        <v>74</v>
      </c>
    </row>
    <row r="477" spans="1:2">
      <c r="A477" s="22">
        <v>41060</v>
      </c>
      <c r="B477">
        <v>70</v>
      </c>
    </row>
    <row r="478" spans="1:2">
      <c r="A478" s="22">
        <v>41061</v>
      </c>
      <c r="B478">
        <v>60</v>
      </c>
    </row>
    <row r="479" spans="1:2">
      <c r="A479" s="22">
        <v>41062</v>
      </c>
      <c r="B479">
        <v>70</v>
      </c>
    </row>
    <row r="480" spans="1:2">
      <c r="A480" s="22">
        <v>41063</v>
      </c>
      <c r="B480">
        <v>77</v>
      </c>
    </row>
    <row r="481" spans="1:2">
      <c r="A481" s="22">
        <v>41064</v>
      </c>
      <c r="B481">
        <v>81</v>
      </c>
    </row>
    <row r="482" spans="1:2">
      <c r="A482" s="22">
        <v>41065</v>
      </c>
      <c r="B482">
        <v>79</v>
      </c>
    </row>
    <row r="483" spans="1:2">
      <c r="A483" s="22">
        <v>41066</v>
      </c>
      <c r="B483">
        <v>72</v>
      </c>
    </row>
    <row r="484" spans="1:2">
      <c r="A484" s="22">
        <v>41067</v>
      </c>
      <c r="B484">
        <v>71</v>
      </c>
    </row>
    <row r="485" spans="1:2">
      <c r="A485" s="22">
        <v>41068</v>
      </c>
      <c r="B485">
        <v>73</v>
      </c>
    </row>
    <row r="486" spans="1:2">
      <c r="A486" s="22">
        <v>41069</v>
      </c>
      <c r="B486">
        <v>75</v>
      </c>
    </row>
    <row r="487" spans="1:2">
      <c r="A487" s="22">
        <v>41070</v>
      </c>
      <c r="B487">
        <v>81</v>
      </c>
    </row>
    <row r="488" spans="1:2">
      <c r="A488" s="22">
        <v>41071</v>
      </c>
      <c r="B488">
        <v>81</v>
      </c>
    </row>
    <row r="489" spans="1:2">
      <c r="A489" s="22">
        <v>41072</v>
      </c>
      <c r="B489">
        <v>76</v>
      </c>
    </row>
    <row r="490" spans="1:2">
      <c r="A490" s="22">
        <v>41073</v>
      </c>
      <c r="B490">
        <v>75</v>
      </c>
    </row>
    <row r="491" spans="1:2">
      <c r="A491" s="22">
        <v>41074</v>
      </c>
      <c r="B491">
        <v>80</v>
      </c>
    </row>
    <row r="492" spans="1:2">
      <c r="A492" s="22">
        <v>41075</v>
      </c>
      <c r="B492">
        <v>76</v>
      </c>
    </row>
    <row r="493" spans="1:2">
      <c r="A493" s="22">
        <v>41076</v>
      </c>
      <c r="B493">
        <v>81</v>
      </c>
    </row>
    <row r="494" spans="1:2">
      <c r="A494" s="22">
        <v>41077</v>
      </c>
      <c r="B494">
        <v>81</v>
      </c>
    </row>
    <row r="495" spans="1:2">
      <c r="A495" s="22">
        <v>41078</v>
      </c>
      <c r="B495">
        <v>81</v>
      </c>
    </row>
    <row r="496" spans="1:2">
      <c r="A496" s="22">
        <v>41079</v>
      </c>
      <c r="B496">
        <v>81</v>
      </c>
    </row>
    <row r="497" spans="1:2">
      <c r="A497" s="22">
        <v>41080</v>
      </c>
      <c r="B497">
        <v>82</v>
      </c>
    </row>
    <row r="498" spans="1:2">
      <c r="A498" s="22">
        <v>41081</v>
      </c>
      <c r="B498">
        <v>76</v>
      </c>
    </row>
    <row r="499" spans="1:2">
      <c r="A499" s="22">
        <v>41082</v>
      </c>
      <c r="B499">
        <v>81</v>
      </c>
    </row>
    <row r="500" spans="1:2">
      <c r="A500" s="22">
        <v>41083</v>
      </c>
      <c r="B500">
        <v>84</v>
      </c>
    </row>
    <row r="501" spans="1:2">
      <c r="A501" s="22">
        <v>41084</v>
      </c>
      <c r="B501">
        <v>83</v>
      </c>
    </row>
    <row r="502" spans="1:2">
      <c r="A502" s="22">
        <v>41085</v>
      </c>
      <c r="B502">
        <v>86</v>
      </c>
    </row>
    <row r="503" spans="1:2">
      <c r="A503" s="22">
        <v>41086</v>
      </c>
      <c r="B503">
        <v>88</v>
      </c>
    </row>
    <row r="504" spans="1:2">
      <c r="A504" s="22">
        <v>41087</v>
      </c>
      <c r="B504">
        <v>88</v>
      </c>
    </row>
    <row r="505" spans="1:2">
      <c r="A505" s="22">
        <v>41088</v>
      </c>
      <c r="B505">
        <v>85</v>
      </c>
    </row>
    <row r="506" spans="1:2">
      <c r="A506" s="22">
        <v>41089</v>
      </c>
      <c r="B506">
        <v>84</v>
      </c>
    </row>
    <row r="507" spans="1:2">
      <c r="A507" s="22">
        <v>41090</v>
      </c>
      <c r="B507">
        <v>84</v>
      </c>
    </row>
    <row r="508" spans="1:2">
      <c r="A508" s="22">
        <v>41091</v>
      </c>
      <c r="B508">
        <v>82</v>
      </c>
    </row>
    <row r="509" spans="1:2">
      <c r="A509" s="22">
        <v>41092</v>
      </c>
      <c r="B509">
        <v>84</v>
      </c>
    </row>
    <row r="510" spans="1:2">
      <c r="A510" s="22">
        <v>41093</v>
      </c>
      <c r="B510">
        <v>87</v>
      </c>
    </row>
    <row r="511" spans="1:2">
      <c r="A511" s="22">
        <v>41094</v>
      </c>
      <c r="B511">
        <v>86</v>
      </c>
    </row>
    <row r="512" spans="1:2">
      <c r="A512" s="22">
        <v>41095</v>
      </c>
      <c r="B512">
        <v>85</v>
      </c>
    </row>
    <row r="513" spans="1:2">
      <c r="A513" s="22">
        <v>41096</v>
      </c>
      <c r="B513">
        <v>85</v>
      </c>
    </row>
    <row r="514" spans="1:2">
      <c r="A514" s="22">
        <v>41097</v>
      </c>
      <c r="B514">
        <v>86</v>
      </c>
    </row>
    <row r="515" spans="1:2">
      <c r="A515" s="22">
        <v>41098</v>
      </c>
      <c r="B515">
        <v>84</v>
      </c>
    </row>
    <row r="516" spans="1:2">
      <c r="A516" s="22">
        <v>41099</v>
      </c>
      <c r="B516">
        <v>87</v>
      </c>
    </row>
    <row r="517" spans="1:2">
      <c r="A517" s="22">
        <v>41100</v>
      </c>
      <c r="B517">
        <v>83</v>
      </c>
    </row>
    <row r="518" spans="1:2">
      <c r="A518" s="22">
        <v>41101</v>
      </c>
      <c r="B518">
        <v>83</v>
      </c>
    </row>
    <row r="519" spans="1:2">
      <c r="A519" s="22">
        <v>41102</v>
      </c>
      <c r="B519">
        <v>83</v>
      </c>
    </row>
    <row r="520" spans="1:2">
      <c r="A520" s="22">
        <v>41103</v>
      </c>
      <c r="B520">
        <v>83</v>
      </c>
    </row>
    <row r="521" spans="1:2">
      <c r="A521" s="22">
        <v>41104</v>
      </c>
      <c r="B521">
        <v>85</v>
      </c>
    </row>
    <row r="522" spans="1:2">
      <c r="A522" s="22">
        <v>41105</v>
      </c>
      <c r="B522">
        <v>80</v>
      </c>
    </row>
    <row r="523" spans="1:2">
      <c r="A523" s="22">
        <v>41106</v>
      </c>
      <c r="B523">
        <v>83</v>
      </c>
    </row>
    <row r="524" spans="1:2">
      <c r="A524" s="22">
        <v>41107</v>
      </c>
      <c r="B524">
        <v>85</v>
      </c>
    </row>
    <row r="525" spans="1:2">
      <c r="A525" s="22">
        <v>41108</v>
      </c>
      <c r="B525">
        <v>88</v>
      </c>
    </row>
    <row r="526" spans="1:2">
      <c r="A526" s="22">
        <v>41109</v>
      </c>
      <c r="B526">
        <v>91</v>
      </c>
    </row>
    <row r="527" spans="1:2">
      <c r="A527" s="22">
        <v>41110</v>
      </c>
      <c r="B527">
        <v>94</v>
      </c>
    </row>
    <row r="528" spans="1:2">
      <c r="A528" s="22">
        <v>41111</v>
      </c>
      <c r="B528">
        <v>92</v>
      </c>
    </row>
    <row r="529" spans="1:2">
      <c r="A529" s="22">
        <v>41112</v>
      </c>
      <c r="B529">
        <v>91</v>
      </c>
    </row>
    <row r="530" spans="1:2">
      <c r="A530" s="22">
        <v>41113</v>
      </c>
      <c r="B530">
        <v>88</v>
      </c>
    </row>
    <row r="531" spans="1:2">
      <c r="A531" s="22">
        <v>41114</v>
      </c>
      <c r="B531">
        <v>89</v>
      </c>
    </row>
    <row r="532" spans="1:2">
      <c r="A532" s="22">
        <v>41115</v>
      </c>
      <c r="B532">
        <v>92</v>
      </c>
    </row>
    <row r="533" spans="1:2">
      <c r="A533" s="22">
        <v>41116</v>
      </c>
      <c r="B533">
        <v>90</v>
      </c>
    </row>
    <row r="534" spans="1:2">
      <c r="A534" s="22">
        <v>41117</v>
      </c>
      <c r="B534">
        <v>87</v>
      </c>
    </row>
    <row r="535" spans="1:2">
      <c r="A535" s="22">
        <v>41118</v>
      </c>
      <c r="B535">
        <v>89</v>
      </c>
    </row>
    <row r="536" spans="1:2">
      <c r="A536" s="22">
        <v>41119</v>
      </c>
      <c r="B536">
        <v>92</v>
      </c>
    </row>
    <row r="537" spans="1:2">
      <c r="A537" s="22">
        <v>41120</v>
      </c>
      <c r="B537">
        <v>93</v>
      </c>
    </row>
    <row r="538" spans="1:2">
      <c r="A538" s="22">
        <v>41121</v>
      </c>
      <c r="B538">
        <v>94</v>
      </c>
    </row>
    <row r="539" spans="1:2">
      <c r="A539" s="22">
        <v>41122</v>
      </c>
      <c r="B539">
        <v>96</v>
      </c>
    </row>
    <row r="540" spans="1:2">
      <c r="A540" s="22">
        <v>41123</v>
      </c>
      <c r="B540">
        <v>97</v>
      </c>
    </row>
    <row r="541" spans="1:2">
      <c r="A541" s="22">
        <v>41124</v>
      </c>
      <c r="B541">
        <v>99</v>
      </c>
    </row>
    <row r="542" spans="1:2">
      <c r="A542" s="22">
        <v>41125</v>
      </c>
      <c r="B542">
        <v>95</v>
      </c>
    </row>
    <row r="543" spans="1:2">
      <c r="A543" s="22">
        <v>41126</v>
      </c>
      <c r="B543">
        <v>88</v>
      </c>
    </row>
    <row r="544" spans="1:2">
      <c r="A544" s="22">
        <v>41127</v>
      </c>
      <c r="B544">
        <v>91</v>
      </c>
    </row>
    <row r="545" spans="1:2">
      <c r="A545" s="22">
        <v>41128</v>
      </c>
      <c r="B545">
        <v>91</v>
      </c>
    </row>
    <row r="546" spans="1:2">
      <c r="A546" s="22">
        <v>41129</v>
      </c>
      <c r="B546">
        <v>89</v>
      </c>
    </row>
    <row r="547" spans="1:2">
      <c r="A547" s="22">
        <v>41130</v>
      </c>
      <c r="B547">
        <v>87</v>
      </c>
    </row>
    <row r="548" spans="1:2">
      <c r="A548" s="22">
        <v>41131</v>
      </c>
      <c r="B548">
        <v>84</v>
      </c>
    </row>
    <row r="549" spans="1:2">
      <c r="A549" s="22">
        <v>41132</v>
      </c>
      <c r="B549">
        <v>81</v>
      </c>
    </row>
    <row r="550" spans="1:2">
      <c r="A550" s="22">
        <v>41133</v>
      </c>
      <c r="B550">
        <v>87</v>
      </c>
    </row>
    <row r="551" spans="1:2">
      <c r="A551" s="22">
        <v>41134</v>
      </c>
      <c r="B551">
        <v>82</v>
      </c>
    </row>
    <row r="552" spans="1:2">
      <c r="A552" s="22">
        <v>41135</v>
      </c>
      <c r="B552">
        <v>80</v>
      </c>
    </row>
    <row r="553" spans="1:2">
      <c r="A553" s="22">
        <v>41136</v>
      </c>
      <c r="B553">
        <v>85</v>
      </c>
    </row>
    <row r="554" spans="1:2">
      <c r="A554" s="22">
        <v>41137</v>
      </c>
      <c r="B554">
        <v>86</v>
      </c>
    </row>
    <row r="555" spans="1:2">
      <c r="A555" s="22">
        <v>41138</v>
      </c>
      <c r="B555">
        <v>81</v>
      </c>
    </row>
    <row r="556" spans="1:2">
      <c r="A556" s="22">
        <v>41139</v>
      </c>
      <c r="B556">
        <v>72</v>
      </c>
    </row>
    <row r="557" spans="1:2">
      <c r="A557" s="22">
        <v>41140</v>
      </c>
      <c r="B557">
        <v>74</v>
      </c>
    </row>
    <row r="558" spans="1:2">
      <c r="A558" s="22">
        <v>41141</v>
      </c>
      <c r="B558">
        <v>75</v>
      </c>
    </row>
    <row r="559" spans="1:2">
      <c r="A559" s="22">
        <v>41142</v>
      </c>
      <c r="B559">
        <v>79</v>
      </c>
    </row>
    <row r="560" spans="1:2">
      <c r="A560" s="22">
        <v>41143</v>
      </c>
      <c r="B560">
        <v>77</v>
      </c>
    </row>
    <row r="561" spans="1:2">
      <c r="A561" s="22">
        <v>41144</v>
      </c>
      <c r="B561">
        <v>79</v>
      </c>
    </row>
    <row r="562" spans="1:2">
      <c r="A562" s="22">
        <v>41145</v>
      </c>
      <c r="B562">
        <v>81</v>
      </c>
    </row>
    <row r="563" spans="1:2">
      <c r="A563" s="22">
        <v>41146</v>
      </c>
      <c r="B563">
        <v>82</v>
      </c>
    </row>
    <row r="564" spans="1:2">
      <c r="A564" s="22">
        <v>41147</v>
      </c>
      <c r="B564">
        <v>81</v>
      </c>
    </row>
    <row r="565" spans="1:2">
      <c r="A565" s="22">
        <v>41148</v>
      </c>
      <c r="B565">
        <v>83</v>
      </c>
    </row>
    <row r="566" spans="1:2">
      <c r="A566" s="22">
        <v>41149</v>
      </c>
      <c r="B566">
        <v>83</v>
      </c>
    </row>
    <row r="567" spans="1:2">
      <c r="A567" s="22">
        <v>41150</v>
      </c>
      <c r="B567">
        <v>80</v>
      </c>
    </row>
    <row r="568" spans="1:2">
      <c r="A568" s="22">
        <v>41151</v>
      </c>
      <c r="B568">
        <v>83</v>
      </c>
    </row>
    <row r="569" spans="1:2">
      <c r="A569" s="22">
        <v>41152</v>
      </c>
      <c r="B569">
        <v>83</v>
      </c>
    </row>
    <row r="570" spans="1:2">
      <c r="A570" s="22">
        <v>41153</v>
      </c>
      <c r="B570">
        <v>86</v>
      </c>
    </row>
    <row r="571" spans="1:2">
      <c r="A571" s="22">
        <v>41154</v>
      </c>
      <c r="B571">
        <v>88</v>
      </c>
    </row>
    <row r="572" spans="1:2">
      <c r="A572" s="22">
        <v>41155</v>
      </c>
      <c r="B572">
        <v>92</v>
      </c>
    </row>
    <row r="573" spans="1:2">
      <c r="A573" s="22">
        <v>41156</v>
      </c>
      <c r="B573">
        <v>91</v>
      </c>
    </row>
    <row r="574" spans="1:2">
      <c r="A574" s="22">
        <v>41157</v>
      </c>
      <c r="B574">
        <v>89</v>
      </c>
    </row>
    <row r="575" spans="1:2">
      <c r="A575" s="22">
        <v>41158</v>
      </c>
      <c r="B575">
        <v>88</v>
      </c>
    </row>
    <row r="576" spans="1:2">
      <c r="A576" s="22">
        <v>41159</v>
      </c>
      <c r="B576">
        <v>85</v>
      </c>
    </row>
    <row r="577" spans="1:2">
      <c r="A577" s="22">
        <v>41160</v>
      </c>
      <c r="B577">
        <v>71</v>
      </c>
    </row>
    <row r="578" spans="1:2">
      <c r="A578" s="22">
        <v>41161</v>
      </c>
      <c r="B578">
        <v>71</v>
      </c>
    </row>
    <row r="579" spans="1:2">
      <c r="A579" s="22">
        <v>41162</v>
      </c>
      <c r="B579">
        <v>76</v>
      </c>
    </row>
    <row r="580" spans="1:2">
      <c r="A580" s="22">
        <v>41163</v>
      </c>
      <c r="B580">
        <v>75</v>
      </c>
    </row>
    <row r="581" spans="1:2">
      <c r="A581" s="22">
        <v>41164</v>
      </c>
      <c r="B581">
        <v>80</v>
      </c>
    </row>
    <row r="582" spans="1:2">
      <c r="A582" s="22">
        <v>41165</v>
      </c>
      <c r="B582">
        <v>68</v>
      </c>
    </row>
    <row r="583" spans="1:2">
      <c r="A583" s="22">
        <v>41166</v>
      </c>
      <c r="B583">
        <v>59</v>
      </c>
    </row>
    <row r="584" spans="1:2">
      <c r="A584" s="22">
        <v>41167</v>
      </c>
      <c r="B584">
        <v>63</v>
      </c>
    </row>
    <row r="585" spans="1:2">
      <c r="A585" s="22">
        <v>41168</v>
      </c>
      <c r="B585">
        <v>68</v>
      </c>
    </row>
    <row r="586" spans="1:2">
      <c r="A586" s="22">
        <v>41169</v>
      </c>
      <c r="B586">
        <v>70</v>
      </c>
    </row>
    <row r="587" spans="1:2">
      <c r="A587" s="22">
        <v>41170</v>
      </c>
      <c r="B587">
        <v>68</v>
      </c>
    </row>
    <row r="588" spans="1:2">
      <c r="A588" s="22">
        <v>41171</v>
      </c>
      <c r="B588">
        <v>71</v>
      </c>
    </row>
    <row r="589" spans="1:2">
      <c r="A589" s="22">
        <v>41172</v>
      </c>
      <c r="B589">
        <v>76</v>
      </c>
    </row>
    <row r="590" spans="1:2">
      <c r="A590" s="22">
        <v>41173</v>
      </c>
      <c r="B590">
        <v>81</v>
      </c>
    </row>
    <row r="591" spans="1:2">
      <c r="A591" s="22">
        <v>41174</v>
      </c>
      <c r="B591">
        <v>80</v>
      </c>
    </row>
    <row r="592" spans="1:2">
      <c r="A592" s="22">
        <v>41175</v>
      </c>
      <c r="B592">
        <v>73</v>
      </c>
    </row>
    <row r="593" spans="1:2">
      <c r="A593" s="22">
        <v>41176</v>
      </c>
      <c r="B593">
        <v>79</v>
      </c>
    </row>
    <row r="594" spans="1:2">
      <c r="A594" s="22">
        <v>41177</v>
      </c>
      <c r="B594">
        <v>79</v>
      </c>
    </row>
    <row r="595" spans="1:2">
      <c r="A595" s="22">
        <v>41178</v>
      </c>
      <c r="B595">
        <v>78</v>
      </c>
    </row>
    <row r="596" spans="1:2">
      <c r="A596" s="22">
        <v>41179</v>
      </c>
      <c r="B596">
        <v>67</v>
      </c>
    </row>
    <row r="597" spans="1:2">
      <c r="A597" s="22">
        <v>41180</v>
      </c>
      <c r="B597">
        <v>71</v>
      </c>
    </row>
    <row r="598" spans="1:2">
      <c r="A598" s="22">
        <v>41181</v>
      </c>
      <c r="B598">
        <v>70</v>
      </c>
    </row>
    <row r="599" spans="1:2">
      <c r="A599" s="22">
        <v>41182</v>
      </c>
      <c r="B599">
        <v>68</v>
      </c>
    </row>
    <row r="600" spans="1:2">
      <c r="A600" s="22">
        <v>41183</v>
      </c>
      <c r="B600">
        <v>68</v>
      </c>
    </row>
    <row r="601" spans="1:2">
      <c r="A601" s="22">
        <v>41184</v>
      </c>
      <c r="B601">
        <v>66</v>
      </c>
    </row>
    <row r="602" spans="1:2">
      <c r="A602" s="22">
        <v>41185</v>
      </c>
      <c r="B602">
        <v>65</v>
      </c>
    </row>
    <row r="603" spans="1:2">
      <c r="A603" s="22">
        <v>41186</v>
      </c>
      <c r="B603">
        <v>64</v>
      </c>
    </row>
    <row r="604" spans="1:2">
      <c r="A604" s="22">
        <v>41187</v>
      </c>
      <c r="B604">
        <v>53</v>
      </c>
    </row>
    <row r="605" spans="1:2">
      <c r="A605" s="22">
        <v>41188</v>
      </c>
      <c r="B605">
        <v>46</v>
      </c>
    </row>
    <row r="606" spans="1:2">
      <c r="A606" s="22">
        <v>41189</v>
      </c>
      <c r="B606">
        <v>44</v>
      </c>
    </row>
    <row r="607" spans="1:2">
      <c r="A607" s="22">
        <v>41190</v>
      </c>
      <c r="B607">
        <v>48</v>
      </c>
    </row>
    <row r="608" spans="1:2">
      <c r="A608" s="22">
        <v>41191</v>
      </c>
      <c r="B608">
        <v>62</v>
      </c>
    </row>
    <row r="609" spans="1:2">
      <c r="A609" s="22">
        <v>41192</v>
      </c>
      <c r="B609">
        <v>59</v>
      </c>
    </row>
    <row r="610" spans="1:2">
      <c r="A610" s="22">
        <v>41193</v>
      </c>
      <c r="B610">
        <v>70</v>
      </c>
    </row>
    <row r="611" spans="1:2">
      <c r="A611" s="22">
        <v>41194</v>
      </c>
      <c r="B611">
        <v>71</v>
      </c>
    </row>
    <row r="612" spans="1:2">
      <c r="A612" s="22">
        <v>41195</v>
      </c>
      <c r="B612">
        <v>68</v>
      </c>
    </row>
    <row r="613" spans="1:2">
      <c r="A613" s="22">
        <v>41196</v>
      </c>
      <c r="B613">
        <v>67</v>
      </c>
    </row>
    <row r="614" spans="1:2">
      <c r="A614" s="22">
        <v>41197</v>
      </c>
      <c r="B614">
        <v>67</v>
      </c>
    </row>
    <row r="615" spans="1:2">
      <c r="A615" s="22">
        <v>41198</v>
      </c>
      <c r="B615">
        <v>67</v>
      </c>
    </row>
    <row r="616" spans="1:2">
      <c r="A616" s="22">
        <v>41199</v>
      </c>
      <c r="B616">
        <v>65</v>
      </c>
    </row>
    <row r="617" spans="1:2">
      <c r="A617" s="22">
        <v>41200</v>
      </c>
      <c r="B617">
        <v>58</v>
      </c>
    </row>
    <row r="618" spans="1:2">
      <c r="A618" s="22">
        <v>41201</v>
      </c>
      <c r="B618">
        <v>61</v>
      </c>
    </row>
    <row r="619" spans="1:2">
      <c r="A619" s="22">
        <v>41202</v>
      </c>
      <c r="B619">
        <v>64</v>
      </c>
    </row>
    <row r="620" spans="1:2">
      <c r="A620" s="22">
        <v>41203</v>
      </c>
      <c r="B620">
        <v>77</v>
      </c>
    </row>
    <row r="621" spans="1:2">
      <c r="A621" s="22">
        <v>41204</v>
      </c>
      <c r="B621">
        <v>74</v>
      </c>
    </row>
    <row r="622" spans="1:2">
      <c r="A622" s="22">
        <v>41205</v>
      </c>
      <c r="B622">
        <v>75</v>
      </c>
    </row>
    <row r="623" spans="1:2">
      <c r="A623" s="22">
        <v>41206</v>
      </c>
      <c r="B623">
        <v>70</v>
      </c>
    </row>
    <row r="624" spans="1:2">
      <c r="A624" s="22">
        <v>41207</v>
      </c>
      <c r="B624">
        <v>58</v>
      </c>
    </row>
    <row r="625" spans="1:2">
      <c r="A625" s="22">
        <v>41208</v>
      </c>
      <c r="B625">
        <v>44</v>
      </c>
    </row>
    <row r="626" spans="1:2">
      <c r="A626" s="22">
        <v>41209</v>
      </c>
      <c r="B626">
        <v>43</v>
      </c>
    </row>
    <row r="627" spans="1:2">
      <c r="A627" s="22">
        <v>41210</v>
      </c>
      <c r="B627">
        <v>45</v>
      </c>
    </row>
    <row r="628" spans="1:2">
      <c r="A628" s="22">
        <v>41211</v>
      </c>
      <c r="B628">
        <v>50</v>
      </c>
    </row>
    <row r="629" spans="1:2">
      <c r="A629" s="22">
        <v>41212</v>
      </c>
      <c r="B629">
        <v>59</v>
      </c>
    </row>
    <row r="630" spans="1:2">
      <c r="A630" s="22">
        <v>41213</v>
      </c>
      <c r="B630">
        <v>58</v>
      </c>
    </row>
    <row r="631" spans="1:2">
      <c r="A631" s="22">
        <v>41214</v>
      </c>
      <c r="B631">
        <v>63</v>
      </c>
    </row>
    <row r="632" spans="1:2">
      <c r="A632" s="22">
        <v>41215</v>
      </c>
      <c r="B632">
        <v>67</v>
      </c>
    </row>
    <row r="633" spans="1:2">
      <c r="A633" s="22">
        <v>41216</v>
      </c>
      <c r="B633">
        <v>57</v>
      </c>
    </row>
    <row r="634" spans="1:2">
      <c r="A634" s="22">
        <v>41217</v>
      </c>
      <c r="B634">
        <v>56</v>
      </c>
    </row>
    <row r="635" spans="1:2">
      <c r="A635" s="22">
        <v>41218</v>
      </c>
      <c r="B635">
        <v>53</v>
      </c>
    </row>
    <row r="636" spans="1:2">
      <c r="A636" s="22">
        <v>41219</v>
      </c>
      <c r="B636">
        <v>53</v>
      </c>
    </row>
    <row r="637" spans="1:2">
      <c r="A637" s="22">
        <v>41220</v>
      </c>
      <c r="B637">
        <v>53</v>
      </c>
    </row>
    <row r="638" spans="1:2">
      <c r="A638" s="22">
        <v>41221</v>
      </c>
      <c r="B638">
        <v>63</v>
      </c>
    </row>
    <row r="639" spans="1:2">
      <c r="A639" s="22">
        <v>41222</v>
      </c>
      <c r="B639">
        <v>71</v>
      </c>
    </row>
    <row r="640" spans="1:2">
      <c r="A640" s="22">
        <v>41223</v>
      </c>
      <c r="B640">
        <v>70</v>
      </c>
    </row>
    <row r="641" spans="1:2">
      <c r="A641" s="22">
        <v>41224</v>
      </c>
      <c r="B641">
        <v>53</v>
      </c>
    </row>
    <row r="642" spans="1:2">
      <c r="A642" s="22">
        <v>41225</v>
      </c>
      <c r="B642">
        <v>37</v>
      </c>
    </row>
    <row r="643" spans="1:2">
      <c r="A643" s="22">
        <v>41226</v>
      </c>
      <c r="B643">
        <v>43</v>
      </c>
    </row>
    <row r="644" spans="1:2">
      <c r="A644" s="22">
        <v>41227</v>
      </c>
      <c r="B644">
        <v>47</v>
      </c>
    </row>
    <row r="645" spans="1:2">
      <c r="A645" s="22">
        <v>41228</v>
      </c>
      <c r="B645">
        <v>48</v>
      </c>
    </row>
    <row r="646" spans="1:2">
      <c r="A646" s="22">
        <v>41229</v>
      </c>
      <c r="B646">
        <v>51</v>
      </c>
    </row>
    <row r="647" spans="1:2">
      <c r="A647" s="22">
        <v>41230</v>
      </c>
      <c r="B647">
        <v>48</v>
      </c>
    </row>
    <row r="648" spans="1:2">
      <c r="A648" s="22">
        <v>41231</v>
      </c>
      <c r="B648">
        <v>54</v>
      </c>
    </row>
    <row r="649" spans="1:2">
      <c r="A649" s="22">
        <v>41232</v>
      </c>
      <c r="B649">
        <v>62</v>
      </c>
    </row>
    <row r="650" spans="1:2">
      <c r="A650" s="22">
        <v>41233</v>
      </c>
      <c r="B650">
        <v>59</v>
      </c>
    </row>
    <row r="651" spans="1:2">
      <c r="A651" s="22">
        <v>41234</v>
      </c>
      <c r="B651">
        <v>60</v>
      </c>
    </row>
    <row r="652" spans="1:2">
      <c r="A652" s="22">
        <v>41235</v>
      </c>
      <c r="B652">
        <v>66</v>
      </c>
    </row>
    <row r="653" spans="1:2">
      <c r="A653" s="22">
        <v>41236</v>
      </c>
      <c r="B653">
        <v>46</v>
      </c>
    </row>
    <row r="654" spans="1:2">
      <c r="A654" s="22">
        <v>41237</v>
      </c>
      <c r="B654">
        <v>43</v>
      </c>
    </row>
    <row r="655" spans="1:2">
      <c r="A655" s="22">
        <v>41238</v>
      </c>
      <c r="B655">
        <v>52</v>
      </c>
    </row>
    <row r="656" spans="1:2">
      <c r="A656" s="22">
        <v>41239</v>
      </c>
      <c r="B656">
        <v>45</v>
      </c>
    </row>
    <row r="657" spans="1:2">
      <c r="A657" s="22">
        <v>41240</v>
      </c>
      <c r="B657">
        <v>39</v>
      </c>
    </row>
    <row r="658" spans="1:2">
      <c r="A658" s="22">
        <v>41241</v>
      </c>
      <c r="B658">
        <v>46</v>
      </c>
    </row>
    <row r="659" spans="1:2">
      <c r="A659" s="22">
        <v>41242</v>
      </c>
      <c r="B659">
        <v>56</v>
      </c>
    </row>
    <row r="660" spans="1:2">
      <c r="A660" s="22">
        <v>41243</v>
      </c>
      <c r="B660">
        <v>58</v>
      </c>
    </row>
    <row r="661" spans="1:2">
      <c r="A661" s="22">
        <v>41244</v>
      </c>
      <c r="B661">
        <v>63</v>
      </c>
    </row>
    <row r="662" spans="1:2">
      <c r="A662" s="22">
        <v>41245</v>
      </c>
      <c r="B662">
        <v>56</v>
      </c>
    </row>
    <row r="663" spans="1:2">
      <c r="A663" s="22">
        <v>41246</v>
      </c>
      <c r="B663">
        <v>67</v>
      </c>
    </row>
    <row r="664" spans="1:2">
      <c r="A664" s="22">
        <v>41247</v>
      </c>
      <c r="B664">
        <v>56</v>
      </c>
    </row>
    <row r="665" spans="1:2">
      <c r="A665" s="22">
        <v>41248</v>
      </c>
      <c r="B665">
        <v>51</v>
      </c>
    </row>
    <row r="666" spans="1:2">
      <c r="A666" s="22">
        <v>41249</v>
      </c>
      <c r="B666">
        <v>58</v>
      </c>
    </row>
    <row r="667" spans="1:2">
      <c r="A667" s="22">
        <v>41250</v>
      </c>
      <c r="B667">
        <v>46</v>
      </c>
    </row>
    <row r="668" spans="1:2">
      <c r="A668" s="22">
        <v>41251</v>
      </c>
      <c r="B668">
        <v>48</v>
      </c>
    </row>
    <row r="669" spans="1:2">
      <c r="A669" s="22">
        <v>41252</v>
      </c>
      <c r="B669">
        <v>43</v>
      </c>
    </row>
    <row r="670" spans="1:2">
      <c r="A670" s="22">
        <v>41253</v>
      </c>
      <c r="B670">
        <v>28</v>
      </c>
    </row>
    <row r="671" spans="1:2">
      <c r="A671" s="22">
        <v>41254</v>
      </c>
      <c r="B671">
        <v>34</v>
      </c>
    </row>
    <row r="672" spans="1:2">
      <c r="A672" s="22">
        <v>41255</v>
      </c>
      <c r="B672">
        <v>38</v>
      </c>
    </row>
    <row r="673" spans="1:2">
      <c r="A673" s="22">
        <v>41256</v>
      </c>
      <c r="B673">
        <v>49</v>
      </c>
    </row>
    <row r="674" spans="1:2">
      <c r="A674" s="22">
        <v>41257</v>
      </c>
      <c r="B674">
        <v>50</v>
      </c>
    </row>
    <row r="675" spans="1:2">
      <c r="A675" s="22">
        <v>41258</v>
      </c>
      <c r="B675">
        <v>53</v>
      </c>
    </row>
    <row r="676" spans="1:2">
      <c r="A676" s="22">
        <v>41259</v>
      </c>
      <c r="B676">
        <v>51</v>
      </c>
    </row>
    <row r="677" spans="1:2">
      <c r="A677" s="22">
        <v>41260</v>
      </c>
      <c r="B677">
        <v>44</v>
      </c>
    </row>
    <row r="678" spans="1:2">
      <c r="A678" s="22">
        <v>41261</v>
      </c>
      <c r="B678">
        <v>48</v>
      </c>
    </row>
    <row r="679" spans="1:2">
      <c r="A679" s="22">
        <v>41262</v>
      </c>
      <c r="B679">
        <v>53</v>
      </c>
    </row>
    <row r="680" spans="1:2">
      <c r="A680" s="22">
        <v>41263</v>
      </c>
      <c r="B680">
        <v>35</v>
      </c>
    </row>
    <row r="681" spans="1:2">
      <c r="A681" s="22">
        <v>41264</v>
      </c>
      <c r="B681">
        <v>44</v>
      </c>
    </row>
    <row r="682" spans="1:2">
      <c r="A682" s="22">
        <v>41265</v>
      </c>
      <c r="B682">
        <v>46</v>
      </c>
    </row>
    <row r="683" spans="1:2">
      <c r="A683" s="22">
        <v>41266</v>
      </c>
      <c r="B683">
        <v>38</v>
      </c>
    </row>
    <row r="684" spans="1:2">
      <c r="A684" s="22">
        <v>41267</v>
      </c>
      <c r="B684">
        <v>32</v>
      </c>
    </row>
    <row r="685" spans="1:2">
      <c r="A685" s="22">
        <v>41268</v>
      </c>
      <c r="B685">
        <v>27</v>
      </c>
    </row>
    <row r="686" spans="1:2">
      <c r="A686" s="22">
        <v>41269</v>
      </c>
      <c r="B686">
        <v>21</v>
      </c>
    </row>
    <row r="687" spans="1:2">
      <c r="A687" s="22">
        <v>41270</v>
      </c>
      <c r="B687">
        <v>28</v>
      </c>
    </row>
    <row r="688" spans="1:2">
      <c r="A688" s="22">
        <v>41271</v>
      </c>
      <c r="B688">
        <v>27</v>
      </c>
    </row>
    <row r="689" spans="1:2">
      <c r="A689" s="22">
        <v>41272</v>
      </c>
      <c r="B689">
        <v>31</v>
      </c>
    </row>
    <row r="690" spans="1:2">
      <c r="A690" s="22">
        <v>41273</v>
      </c>
      <c r="B690">
        <v>31</v>
      </c>
    </row>
    <row r="691" spans="1:2">
      <c r="A691" s="22">
        <v>41274</v>
      </c>
      <c r="B691">
        <v>38</v>
      </c>
    </row>
    <row r="692" spans="1:2">
      <c r="A692" s="22">
        <v>41275</v>
      </c>
      <c r="B692">
        <v>32</v>
      </c>
    </row>
    <row r="693" spans="1:2">
      <c r="A693" s="22">
        <v>41276</v>
      </c>
      <c r="B693">
        <v>35</v>
      </c>
    </row>
    <row r="694" spans="1:2">
      <c r="A694" s="22">
        <v>41277</v>
      </c>
      <c r="B694">
        <v>31</v>
      </c>
    </row>
    <row r="695" spans="1:2">
      <c r="A695" s="22">
        <v>41278</v>
      </c>
      <c r="B695">
        <v>35</v>
      </c>
    </row>
    <row r="696" spans="1:2">
      <c r="A696" s="22">
        <v>41279</v>
      </c>
      <c r="B696">
        <v>41</v>
      </c>
    </row>
    <row r="697" spans="1:2">
      <c r="A697" s="22">
        <v>41280</v>
      </c>
      <c r="B697">
        <v>39</v>
      </c>
    </row>
    <row r="698" spans="1:2">
      <c r="A698" s="22">
        <v>41281</v>
      </c>
      <c r="B698">
        <v>36</v>
      </c>
    </row>
    <row r="699" spans="1:2">
      <c r="A699" s="22">
        <v>41282</v>
      </c>
      <c r="B699">
        <v>42</v>
      </c>
    </row>
    <row r="700" spans="1:2">
      <c r="A700" s="22">
        <v>41283</v>
      </c>
      <c r="B700">
        <v>48</v>
      </c>
    </row>
    <row r="701" spans="1:2">
      <c r="A701" s="22">
        <v>41284</v>
      </c>
      <c r="B701">
        <v>52</v>
      </c>
    </row>
    <row r="702" spans="1:2">
      <c r="A702" s="22">
        <v>41285</v>
      </c>
      <c r="B702">
        <v>58</v>
      </c>
    </row>
    <row r="703" spans="1:2">
      <c r="A703" s="22">
        <v>41286</v>
      </c>
      <c r="B703">
        <v>41</v>
      </c>
    </row>
    <row r="704" spans="1:2">
      <c r="A704" s="22">
        <v>41287</v>
      </c>
      <c r="B704">
        <v>27</v>
      </c>
    </row>
    <row r="705" spans="1:2">
      <c r="A705" s="22">
        <v>41288</v>
      </c>
      <c r="B705">
        <v>30</v>
      </c>
    </row>
    <row r="706" spans="1:2">
      <c r="A706" s="22">
        <v>41289</v>
      </c>
      <c r="B706">
        <v>28</v>
      </c>
    </row>
    <row r="707" spans="1:2">
      <c r="A707" s="22">
        <v>41290</v>
      </c>
      <c r="B707">
        <v>32</v>
      </c>
    </row>
    <row r="708" spans="1:2">
      <c r="A708" s="22">
        <v>41291</v>
      </c>
      <c r="B708">
        <v>43</v>
      </c>
    </row>
    <row r="709" spans="1:2">
      <c r="A709" s="22">
        <v>41292</v>
      </c>
      <c r="B709">
        <v>43</v>
      </c>
    </row>
    <row r="710" spans="1:2">
      <c r="A710" s="22">
        <v>41293</v>
      </c>
      <c r="B710">
        <v>50</v>
      </c>
    </row>
    <row r="711" spans="1:2">
      <c r="A711" s="22">
        <v>41294</v>
      </c>
      <c r="B711">
        <v>51</v>
      </c>
    </row>
    <row r="712" spans="1:2">
      <c r="A712" s="22">
        <v>41295</v>
      </c>
      <c r="B712">
        <v>34</v>
      </c>
    </row>
    <row r="713" spans="1:2">
      <c r="A713" s="22">
        <v>41296</v>
      </c>
      <c r="B713">
        <v>40</v>
      </c>
    </row>
    <row r="714" spans="1:2">
      <c r="A714" s="22">
        <v>41297</v>
      </c>
      <c r="B714">
        <v>49</v>
      </c>
    </row>
    <row r="715" spans="1:2">
      <c r="A715" s="22">
        <v>41298</v>
      </c>
      <c r="B715">
        <v>41</v>
      </c>
    </row>
    <row r="716" spans="1:2">
      <c r="A716" s="22">
        <v>41299</v>
      </c>
      <c r="B716">
        <v>39</v>
      </c>
    </row>
    <row r="717" spans="1:2">
      <c r="A717" s="22">
        <v>41300</v>
      </c>
      <c r="B717">
        <v>38</v>
      </c>
    </row>
    <row r="718" spans="1:2">
      <c r="A718" s="22">
        <v>41301</v>
      </c>
      <c r="B718">
        <v>57</v>
      </c>
    </row>
    <row r="719" spans="1:2">
      <c r="A719" s="22">
        <v>41302</v>
      </c>
      <c r="B719">
        <v>67</v>
      </c>
    </row>
    <row r="720" spans="1:2">
      <c r="A720" s="22">
        <v>41303</v>
      </c>
      <c r="B720">
        <v>54</v>
      </c>
    </row>
    <row r="721" spans="1:2">
      <c r="A721" s="22">
        <v>41304</v>
      </c>
      <c r="B721">
        <v>37</v>
      </c>
    </row>
    <row r="722" spans="1:2">
      <c r="A722" s="22">
        <v>41305</v>
      </c>
      <c r="B722">
        <v>43</v>
      </c>
    </row>
    <row r="723" spans="1:2">
      <c r="A723" s="22">
        <v>41306</v>
      </c>
      <c r="B723">
        <v>35</v>
      </c>
    </row>
    <row r="724" spans="1:2">
      <c r="A724" s="22">
        <v>41307</v>
      </c>
      <c r="B724">
        <v>45</v>
      </c>
    </row>
    <row r="725" spans="1:2">
      <c r="A725" s="22">
        <v>41308</v>
      </c>
      <c r="B725">
        <v>47</v>
      </c>
    </row>
    <row r="726" spans="1:2">
      <c r="A726" s="22">
        <v>41309</v>
      </c>
      <c r="B726">
        <v>57</v>
      </c>
    </row>
    <row r="727" spans="1:2">
      <c r="A727" s="22">
        <v>41310</v>
      </c>
      <c r="B727">
        <v>51</v>
      </c>
    </row>
    <row r="728" spans="1:2">
      <c r="A728" s="22">
        <v>41311</v>
      </c>
      <c r="B728">
        <v>50</v>
      </c>
    </row>
    <row r="729" spans="1:2">
      <c r="A729" s="22">
        <v>41312</v>
      </c>
      <c r="B729">
        <v>54</v>
      </c>
    </row>
    <row r="730" spans="1:2">
      <c r="A730" s="22">
        <v>41313</v>
      </c>
      <c r="B730">
        <v>43</v>
      </c>
    </row>
    <row r="731" spans="1:2">
      <c r="A731" s="22">
        <v>41314</v>
      </c>
      <c r="B731">
        <v>41</v>
      </c>
    </row>
    <row r="732" spans="1:2">
      <c r="A732" s="22">
        <v>41315</v>
      </c>
      <c r="B732">
        <v>51</v>
      </c>
    </row>
    <row r="733" spans="1:2">
      <c r="A733" s="22">
        <v>41316</v>
      </c>
      <c r="B733">
        <v>45</v>
      </c>
    </row>
    <row r="734" spans="1:2">
      <c r="A734" s="22">
        <v>41317</v>
      </c>
      <c r="B734">
        <v>38</v>
      </c>
    </row>
    <row r="735" spans="1:2">
      <c r="A735" s="22">
        <v>41318</v>
      </c>
      <c r="B735">
        <v>43</v>
      </c>
    </row>
    <row r="736" spans="1:2">
      <c r="A736" s="22">
        <v>41319</v>
      </c>
      <c r="B736">
        <v>45</v>
      </c>
    </row>
    <row r="737" spans="1:2">
      <c r="A737" s="22">
        <v>41320</v>
      </c>
      <c r="B737">
        <v>37</v>
      </c>
    </row>
    <row r="738" spans="1:2">
      <c r="A738" s="22">
        <v>41321</v>
      </c>
      <c r="B738">
        <v>40</v>
      </c>
    </row>
    <row r="739" spans="1:2">
      <c r="A739" s="22">
        <v>41322</v>
      </c>
      <c r="B739">
        <v>52</v>
      </c>
    </row>
    <row r="740" spans="1:2">
      <c r="A740" s="22">
        <v>41323</v>
      </c>
      <c r="B740">
        <v>47</v>
      </c>
    </row>
    <row r="741" spans="1:2">
      <c r="A741" s="22">
        <v>41324</v>
      </c>
      <c r="B741">
        <v>43</v>
      </c>
    </row>
    <row r="742" spans="1:2">
      <c r="A742" s="22">
        <v>41325</v>
      </c>
      <c r="B742">
        <v>39</v>
      </c>
    </row>
    <row r="743" spans="1:2">
      <c r="A743" s="22">
        <v>41326</v>
      </c>
      <c r="B743">
        <v>31</v>
      </c>
    </row>
    <row r="744" spans="1:2">
      <c r="A744" s="22">
        <v>41327</v>
      </c>
      <c r="B744">
        <v>29</v>
      </c>
    </row>
    <row r="745" spans="1:2">
      <c r="A745" s="22">
        <v>41328</v>
      </c>
      <c r="B745">
        <v>35</v>
      </c>
    </row>
    <row r="746" spans="1:2">
      <c r="A746" s="22">
        <v>41329</v>
      </c>
      <c r="B746">
        <v>47</v>
      </c>
    </row>
    <row r="747" spans="1:2">
      <c r="A747" s="22">
        <v>41330</v>
      </c>
      <c r="B747">
        <v>42</v>
      </c>
    </row>
    <row r="748" spans="1:2">
      <c r="A748" s="22">
        <v>41331</v>
      </c>
      <c r="B748">
        <v>39</v>
      </c>
    </row>
    <row r="749" spans="1:2">
      <c r="A749" s="22">
        <v>41332</v>
      </c>
      <c r="B749">
        <v>37</v>
      </c>
    </row>
    <row r="750" spans="1:2">
      <c r="A750" s="22">
        <v>41333</v>
      </c>
      <c r="B750">
        <v>40</v>
      </c>
    </row>
    <row r="751" spans="1:2">
      <c r="A751" s="22">
        <v>41334</v>
      </c>
      <c r="B751">
        <v>34</v>
      </c>
    </row>
    <row r="752" spans="1:2">
      <c r="A752" s="22">
        <v>41335</v>
      </c>
      <c r="B752">
        <v>37</v>
      </c>
    </row>
    <row r="753" spans="1:2">
      <c r="A753" s="22">
        <v>41336</v>
      </c>
      <c r="B753">
        <v>51</v>
      </c>
    </row>
    <row r="754" spans="1:2">
      <c r="A754" s="22">
        <v>41337</v>
      </c>
      <c r="B754">
        <v>56</v>
      </c>
    </row>
    <row r="755" spans="1:2">
      <c r="A755" s="22">
        <v>41338</v>
      </c>
      <c r="B755">
        <v>42</v>
      </c>
    </row>
    <row r="756" spans="1:2">
      <c r="A756" s="22">
        <v>41339</v>
      </c>
      <c r="B756">
        <v>39</v>
      </c>
    </row>
    <row r="757" spans="1:2">
      <c r="A757" s="22">
        <v>41340</v>
      </c>
      <c r="B757">
        <v>54</v>
      </c>
    </row>
    <row r="758" spans="1:2">
      <c r="A758" s="22">
        <v>41341</v>
      </c>
      <c r="B758">
        <v>57</v>
      </c>
    </row>
    <row r="759" spans="1:2">
      <c r="A759" s="22">
        <v>41342</v>
      </c>
      <c r="B759">
        <v>55</v>
      </c>
    </row>
    <row r="760" spans="1:2">
      <c r="A760" s="22">
        <v>41343</v>
      </c>
      <c r="B760">
        <v>48</v>
      </c>
    </row>
    <row r="761" spans="1:2">
      <c r="A761" s="22">
        <v>41344</v>
      </c>
      <c r="B761">
        <v>42</v>
      </c>
    </row>
    <row r="762" spans="1:2">
      <c r="A762" s="22">
        <v>41345</v>
      </c>
      <c r="B762">
        <v>48</v>
      </c>
    </row>
    <row r="763" spans="1:2">
      <c r="A763" s="22">
        <v>41346</v>
      </c>
      <c r="B763">
        <v>48</v>
      </c>
    </row>
    <row r="764" spans="1:2">
      <c r="A764" s="22">
        <v>41347</v>
      </c>
      <c r="B764">
        <v>58</v>
      </c>
    </row>
    <row r="765" spans="1:2">
      <c r="A765" s="22">
        <v>41348</v>
      </c>
      <c r="B765">
        <v>65</v>
      </c>
    </row>
    <row r="766" spans="1:2">
      <c r="A766" s="22">
        <v>41349</v>
      </c>
      <c r="B766">
        <v>65</v>
      </c>
    </row>
    <row r="767" spans="1:2">
      <c r="A767" s="22">
        <v>41350</v>
      </c>
      <c r="B767">
        <v>44</v>
      </c>
    </row>
    <row r="768" spans="1:2">
      <c r="A768" s="22">
        <v>41351</v>
      </c>
      <c r="B768">
        <v>50</v>
      </c>
    </row>
    <row r="769" spans="1:2">
      <c r="A769" s="22">
        <v>41352</v>
      </c>
      <c r="B769">
        <v>49</v>
      </c>
    </row>
    <row r="770" spans="1:2">
      <c r="A770" s="22">
        <v>41353</v>
      </c>
      <c r="B770">
        <v>46</v>
      </c>
    </row>
    <row r="771" spans="1:2">
      <c r="A771" s="22">
        <v>41354</v>
      </c>
      <c r="B771">
        <v>51</v>
      </c>
    </row>
    <row r="772" spans="1:2">
      <c r="A772" s="22">
        <v>41355</v>
      </c>
      <c r="B772">
        <v>43</v>
      </c>
    </row>
    <row r="773" spans="1:2">
      <c r="A773" s="22">
        <v>41356</v>
      </c>
      <c r="B773">
        <v>40</v>
      </c>
    </row>
    <row r="774" spans="1:2">
      <c r="A774" s="22">
        <v>41357</v>
      </c>
      <c r="B774">
        <v>37</v>
      </c>
    </row>
    <row r="775" spans="1:2">
      <c r="A775" s="22">
        <v>41358</v>
      </c>
      <c r="B775">
        <v>37</v>
      </c>
    </row>
    <row r="776" spans="1:2">
      <c r="A776" s="22">
        <v>41359</v>
      </c>
      <c r="B776">
        <v>37</v>
      </c>
    </row>
    <row r="777" spans="1:2">
      <c r="A777" s="22">
        <v>41360</v>
      </c>
      <c r="B777">
        <v>55</v>
      </c>
    </row>
    <row r="778" spans="1:2">
      <c r="A778" s="22">
        <v>41361</v>
      </c>
      <c r="B778">
        <v>61</v>
      </c>
    </row>
    <row r="779" spans="1:2">
      <c r="A779" s="22">
        <v>41362</v>
      </c>
      <c r="B779">
        <v>65</v>
      </c>
    </row>
    <row r="780" spans="1:2">
      <c r="A780" s="22">
        <v>41363</v>
      </c>
      <c r="B780">
        <v>67</v>
      </c>
    </row>
    <row r="781" spans="1:2">
      <c r="A781" s="22">
        <v>41364</v>
      </c>
      <c r="B781">
        <v>60</v>
      </c>
    </row>
    <row r="782" spans="1:2">
      <c r="A782" s="22">
        <v>41365</v>
      </c>
      <c r="B782">
        <v>57</v>
      </c>
    </row>
    <row r="783" spans="1:2">
      <c r="A783" s="22">
        <v>41366</v>
      </c>
      <c r="B783">
        <v>41</v>
      </c>
    </row>
    <row r="784" spans="1:2">
      <c r="A784" s="22">
        <v>41367</v>
      </c>
      <c r="B784">
        <v>39</v>
      </c>
    </row>
    <row r="785" spans="1:2">
      <c r="A785" s="22">
        <v>41368</v>
      </c>
      <c r="B785">
        <v>45</v>
      </c>
    </row>
    <row r="786" spans="1:2">
      <c r="A786" s="22">
        <v>41369</v>
      </c>
      <c r="B786">
        <v>50</v>
      </c>
    </row>
    <row r="787" spans="1:2">
      <c r="A787" s="22">
        <v>41370</v>
      </c>
      <c r="B787">
        <v>64</v>
      </c>
    </row>
    <row r="788" spans="1:2">
      <c r="A788" s="22">
        <v>41371</v>
      </c>
      <c r="B788">
        <v>62</v>
      </c>
    </row>
    <row r="789" spans="1:2">
      <c r="A789" s="22">
        <v>41372</v>
      </c>
      <c r="B789">
        <v>71</v>
      </c>
    </row>
    <row r="790" spans="1:2">
      <c r="A790" s="22">
        <v>41373</v>
      </c>
      <c r="B790">
        <v>58</v>
      </c>
    </row>
    <row r="791" spans="1:2">
      <c r="A791" s="22">
        <v>41374</v>
      </c>
      <c r="B791">
        <v>36</v>
      </c>
    </row>
    <row r="792" spans="1:2">
      <c r="A792" s="22">
        <v>41375</v>
      </c>
      <c r="B792">
        <v>43</v>
      </c>
    </row>
    <row r="793" spans="1:2">
      <c r="A793" s="22">
        <v>41376</v>
      </c>
      <c r="B793">
        <v>51</v>
      </c>
    </row>
    <row r="794" spans="1:2">
      <c r="A794" s="22">
        <v>41377</v>
      </c>
      <c r="B794">
        <v>61</v>
      </c>
    </row>
    <row r="795" spans="1:2">
      <c r="A795" s="22">
        <v>41378</v>
      </c>
      <c r="B795">
        <v>68</v>
      </c>
    </row>
    <row r="796" spans="1:2">
      <c r="A796" s="22">
        <v>41379</v>
      </c>
      <c r="B796">
        <v>66</v>
      </c>
    </row>
    <row r="797" spans="1:2">
      <c r="A797" s="22">
        <v>41380</v>
      </c>
      <c r="B797">
        <v>52</v>
      </c>
    </row>
    <row r="798" spans="1:2">
      <c r="A798" s="22">
        <v>41381</v>
      </c>
      <c r="B798">
        <v>62</v>
      </c>
    </row>
    <row r="799" spans="1:2">
      <c r="A799" s="22">
        <v>41382</v>
      </c>
      <c r="B799">
        <v>42</v>
      </c>
    </row>
    <row r="800" spans="1:2">
      <c r="A800" s="22">
        <v>41383</v>
      </c>
      <c r="B800">
        <v>49</v>
      </c>
    </row>
    <row r="801" spans="1:2">
      <c r="A801" s="22">
        <v>41384</v>
      </c>
      <c r="B801">
        <v>56</v>
      </c>
    </row>
    <row r="802" spans="1:2">
      <c r="A802" s="22">
        <v>41385</v>
      </c>
      <c r="B802">
        <v>61</v>
      </c>
    </row>
    <row r="803" spans="1:2">
      <c r="A803" s="22">
        <v>41386</v>
      </c>
      <c r="B803">
        <v>63</v>
      </c>
    </row>
    <row r="804" spans="1:2">
      <c r="A804" s="22">
        <v>41387</v>
      </c>
      <c r="B804">
        <v>50</v>
      </c>
    </row>
    <row r="805" spans="1:2">
      <c r="A805" s="22">
        <v>41388</v>
      </c>
      <c r="B805">
        <v>45</v>
      </c>
    </row>
    <row r="806" spans="1:2">
      <c r="A806" s="22">
        <v>41389</v>
      </c>
      <c r="B806">
        <v>53</v>
      </c>
    </row>
    <row r="807" spans="1:2">
      <c r="A807" s="22">
        <v>41390</v>
      </c>
      <c r="B807">
        <v>63</v>
      </c>
    </row>
    <row r="808" spans="1:2">
      <c r="A808" s="22">
        <v>41391</v>
      </c>
      <c r="B808">
        <v>58</v>
      </c>
    </row>
    <row r="809" spans="1:2">
      <c r="A809" s="22">
        <v>41392</v>
      </c>
      <c r="B809">
        <v>63</v>
      </c>
    </row>
    <row r="810" spans="1:2">
      <c r="A810" s="22">
        <v>41393</v>
      </c>
      <c r="B810">
        <v>72</v>
      </c>
    </row>
    <row r="811" spans="1:2">
      <c r="A811" s="22">
        <v>41394</v>
      </c>
      <c r="B811">
        <v>72</v>
      </c>
    </row>
    <row r="812" spans="1:2">
      <c r="A812" s="22">
        <v>41395</v>
      </c>
      <c r="B812">
        <v>63</v>
      </c>
    </row>
    <row r="813" spans="1:2">
      <c r="A813" s="22">
        <v>41396</v>
      </c>
      <c r="B813">
        <v>43</v>
      </c>
    </row>
    <row r="814" spans="1:2">
      <c r="A814" s="22">
        <v>41397</v>
      </c>
      <c r="B814">
        <v>49</v>
      </c>
    </row>
    <row r="815" spans="1:2">
      <c r="A815" s="22">
        <v>41398</v>
      </c>
      <c r="B815">
        <v>48</v>
      </c>
    </row>
    <row r="816" spans="1:2">
      <c r="A816" s="22">
        <v>41399</v>
      </c>
      <c r="B816">
        <v>55</v>
      </c>
    </row>
    <row r="817" spans="1:2">
      <c r="A817" s="22">
        <v>41400</v>
      </c>
      <c r="B817">
        <v>59</v>
      </c>
    </row>
    <row r="818" spans="1:2">
      <c r="A818" s="22">
        <v>41401</v>
      </c>
      <c r="B818">
        <v>67</v>
      </c>
    </row>
    <row r="819" spans="1:2">
      <c r="A819" s="22">
        <v>41402</v>
      </c>
      <c r="B819">
        <v>71</v>
      </c>
    </row>
    <row r="820" spans="1:2">
      <c r="A820" s="22">
        <v>41403</v>
      </c>
      <c r="B820">
        <v>64</v>
      </c>
    </row>
    <row r="821" spans="1:2">
      <c r="A821" s="22">
        <v>41404</v>
      </c>
      <c r="B821">
        <v>65</v>
      </c>
    </row>
    <row r="822" spans="1:2">
      <c r="A822" s="22">
        <v>41405</v>
      </c>
      <c r="B822">
        <v>65</v>
      </c>
    </row>
    <row r="823" spans="1:2">
      <c r="A823" s="22">
        <v>41406</v>
      </c>
      <c r="B823">
        <v>60</v>
      </c>
    </row>
    <row r="824" spans="1:2">
      <c r="A824" s="22">
        <v>41407</v>
      </c>
      <c r="B824">
        <v>72</v>
      </c>
    </row>
    <row r="825" spans="1:2">
      <c r="A825" s="22">
        <v>41408</v>
      </c>
      <c r="B825">
        <v>76</v>
      </c>
    </row>
    <row r="826" spans="1:2">
      <c r="A826" s="22">
        <v>41409</v>
      </c>
      <c r="B826">
        <v>68</v>
      </c>
    </row>
    <row r="827" spans="1:2">
      <c r="A827" s="22">
        <v>41410</v>
      </c>
      <c r="B827">
        <v>67</v>
      </c>
    </row>
    <row r="828" spans="1:2">
      <c r="A828" s="22">
        <v>41411</v>
      </c>
      <c r="B828">
        <v>67</v>
      </c>
    </row>
    <row r="829" spans="1:2">
      <c r="A829" s="22">
        <v>41412</v>
      </c>
      <c r="B829">
        <v>77</v>
      </c>
    </row>
    <row r="830" spans="1:2">
      <c r="A830" s="22">
        <v>41413</v>
      </c>
      <c r="B830">
        <v>76</v>
      </c>
    </row>
    <row r="831" spans="1:2">
      <c r="A831" s="22">
        <v>41414</v>
      </c>
      <c r="B831">
        <v>77</v>
      </c>
    </row>
    <row r="832" spans="1:2">
      <c r="A832" s="22">
        <v>41415</v>
      </c>
      <c r="B832">
        <v>62</v>
      </c>
    </row>
    <row r="833" spans="1:2">
      <c r="A833" s="22">
        <v>41416</v>
      </c>
      <c r="B833">
        <v>66</v>
      </c>
    </row>
    <row r="834" spans="1:2">
      <c r="A834" s="22">
        <v>41417</v>
      </c>
      <c r="B834">
        <v>69</v>
      </c>
    </row>
    <row r="835" spans="1:2">
      <c r="A835" s="22">
        <v>41418</v>
      </c>
      <c r="B835">
        <v>72</v>
      </c>
    </row>
    <row r="836" spans="1:2">
      <c r="A836" s="22">
        <v>41419</v>
      </c>
      <c r="B836">
        <v>70</v>
      </c>
    </row>
    <row r="837" spans="1:2">
      <c r="A837" s="22">
        <v>41420</v>
      </c>
      <c r="B837">
        <v>75</v>
      </c>
    </row>
    <row r="838" spans="1:2">
      <c r="A838" s="22">
        <v>41421</v>
      </c>
      <c r="B838">
        <v>76</v>
      </c>
    </row>
    <row r="839" spans="1:2">
      <c r="A839" s="22">
        <v>41422</v>
      </c>
      <c r="B839">
        <v>75</v>
      </c>
    </row>
    <row r="840" spans="1:2">
      <c r="A840" s="22">
        <v>41423</v>
      </c>
      <c r="B840">
        <v>72</v>
      </c>
    </row>
    <row r="841" spans="1:2">
      <c r="A841" s="22">
        <v>41424</v>
      </c>
      <c r="B841">
        <v>77</v>
      </c>
    </row>
    <row r="842" spans="1:2">
      <c r="A842" s="22">
        <v>41425</v>
      </c>
      <c r="B842">
        <v>75</v>
      </c>
    </row>
    <row r="843" spans="1:2">
      <c r="A843" s="22">
        <v>41426</v>
      </c>
      <c r="B843">
        <v>72</v>
      </c>
    </row>
    <row r="844" spans="1:2">
      <c r="A844" s="22">
        <v>41427</v>
      </c>
      <c r="B844">
        <v>67</v>
      </c>
    </row>
    <row r="845" spans="1:2">
      <c r="A845" s="22">
        <v>41428</v>
      </c>
      <c r="B845">
        <v>68</v>
      </c>
    </row>
    <row r="846" spans="1:2">
      <c r="A846" s="22">
        <v>41429</v>
      </c>
      <c r="B846">
        <v>74</v>
      </c>
    </row>
    <row r="847" spans="1:2">
      <c r="A847" s="22">
        <v>41430</v>
      </c>
      <c r="B847">
        <v>75</v>
      </c>
    </row>
    <row r="848" spans="1:2">
      <c r="A848" s="22">
        <v>41431</v>
      </c>
      <c r="B848">
        <v>72</v>
      </c>
    </row>
    <row r="849" spans="1:2">
      <c r="A849" s="22">
        <v>41432</v>
      </c>
      <c r="B849">
        <v>70</v>
      </c>
    </row>
    <row r="850" spans="1:2">
      <c r="A850" s="22">
        <v>41433</v>
      </c>
      <c r="B850">
        <v>71</v>
      </c>
    </row>
    <row r="851" spans="1:2">
      <c r="A851" s="22">
        <v>41434</v>
      </c>
      <c r="B851">
        <v>76</v>
      </c>
    </row>
    <row r="852" spans="1:2">
      <c r="A852" s="22">
        <v>41435</v>
      </c>
      <c r="B852">
        <v>81</v>
      </c>
    </row>
    <row r="853" spans="1:2">
      <c r="A853" s="22">
        <v>41436</v>
      </c>
      <c r="B853">
        <v>80</v>
      </c>
    </row>
    <row r="854" spans="1:2">
      <c r="A854" s="22">
        <v>41437</v>
      </c>
      <c r="B854">
        <v>83</v>
      </c>
    </row>
    <row r="855" spans="1:2">
      <c r="A855" s="22">
        <v>41438</v>
      </c>
      <c r="B855">
        <v>83</v>
      </c>
    </row>
    <row r="856" spans="1:2">
      <c r="A856" s="22">
        <v>41439</v>
      </c>
      <c r="B856">
        <v>82</v>
      </c>
    </row>
    <row r="857" spans="1:2">
      <c r="A857" s="22">
        <v>41440</v>
      </c>
      <c r="B857">
        <v>79</v>
      </c>
    </row>
    <row r="858" spans="1:2">
      <c r="A858" s="22">
        <v>41441</v>
      </c>
      <c r="B858">
        <v>82</v>
      </c>
    </row>
    <row r="859" spans="1:2">
      <c r="A859" s="22">
        <v>41442</v>
      </c>
      <c r="B859">
        <v>75</v>
      </c>
    </row>
    <row r="860" spans="1:2">
      <c r="A860" s="22">
        <v>41443</v>
      </c>
      <c r="B860">
        <v>78</v>
      </c>
    </row>
    <row r="861" spans="1:2">
      <c r="A861" s="22">
        <v>41444</v>
      </c>
      <c r="B861">
        <v>75</v>
      </c>
    </row>
    <row r="862" spans="1:2">
      <c r="A862" s="22">
        <v>41445</v>
      </c>
      <c r="B862">
        <v>83</v>
      </c>
    </row>
    <row r="863" spans="1:2">
      <c r="A863" s="22">
        <v>41446</v>
      </c>
      <c r="B863">
        <v>82</v>
      </c>
    </row>
    <row r="864" spans="1:2">
      <c r="A864" s="22">
        <v>41447</v>
      </c>
      <c r="B864">
        <v>82</v>
      </c>
    </row>
    <row r="865" spans="1:2">
      <c r="A865" s="22">
        <v>41448</v>
      </c>
      <c r="B865">
        <v>83</v>
      </c>
    </row>
    <row r="866" spans="1:2">
      <c r="A866" s="22">
        <v>41449</v>
      </c>
      <c r="B866">
        <v>82</v>
      </c>
    </row>
    <row r="867" spans="1:2">
      <c r="A867" s="22">
        <v>41450</v>
      </c>
      <c r="B867">
        <v>83</v>
      </c>
    </row>
    <row r="868" spans="1:2">
      <c r="A868" s="22">
        <v>41451</v>
      </c>
      <c r="B868">
        <v>83</v>
      </c>
    </row>
    <row r="869" spans="1:2">
      <c r="A869" s="22">
        <v>41452</v>
      </c>
      <c r="B869">
        <v>86</v>
      </c>
    </row>
    <row r="870" spans="1:2">
      <c r="A870" s="22">
        <v>41453</v>
      </c>
      <c r="B870">
        <v>85</v>
      </c>
    </row>
    <row r="871" spans="1:2">
      <c r="A871" s="22">
        <v>41454</v>
      </c>
      <c r="B871">
        <v>85</v>
      </c>
    </row>
    <row r="872" spans="1:2">
      <c r="A872" s="22">
        <v>41455</v>
      </c>
      <c r="B872">
        <v>78</v>
      </c>
    </row>
    <row r="873" spans="1:2">
      <c r="A873" s="22">
        <v>41456</v>
      </c>
      <c r="B873">
        <v>75</v>
      </c>
    </row>
    <row r="874" spans="1:2">
      <c r="A874" s="22">
        <v>41457</v>
      </c>
      <c r="B874">
        <v>75</v>
      </c>
    </row>
    <row r="875" spans="1:2">
      <c r="A875" s="22">
        <v>41458</v>
      </c>
      <c r="B875">
        <v>76</v>
      </c>
    </row>
    <row r="876" spans="1:2">
      <c r="A876" s="22">
        <v>41459</v>
      </c>
      <c r="B876">
        <v>80</v>
      </c>
    </row>
    <row r="877" spans="1:2">
      <c r="A877" s="22">
        <v>41460</v>
      </c>
      <c r="B877">
        <v>82</v>
      </c>
    </row>
    <row r="878" spans="1:2">
      <c r="A878" s="22">
        <v>41461</v>
      </c>
      <c r="B878">
        <v>84</v>
      </c>
    </row>
    <row r="879" spans="1:2">
      <c r="A879" s="22">
        <v>41462</v>
      </c>
      <c r="B879">
        <v>85</v>
      </c>
    </row>
    <row r="880" spans="1:2">
      <c r="A880" s="22">
        <v>41463</v>
      </c>
      <c r="B880">
        <v>85</v>
      </c>
    </row>
    <row r="881" spans="1:2">
      <c r="A881" s="22">
        <v>41464</v>
      </c>
      <c r="B881">
        <v>89</v>
      </c>
    </row>
    <row r="882" spans="1:2">
      <c r="A882" s="22">
        <v>41465</v>
      </c>
      <c r="B882">
        <v>90</v>
      </c>
    </row>
    <row r="883" spans="1:2">
      <c r="A883" s="22">
        <v>41466</v>
      </c>
      <c r="B883">
        <v>89</v>
      </c>
    </row>
    <row r="884" spans="1:2">
      <c r="A884" s="22">
        <v>41467</v>
      </c>
      <c r="B884">
        <v>86</v>
      </c>
    </row>
    <row r="885" spans="1:2">
      <c r="A885" s="22">
        <v>41468</v>
      </c>
      <c r="B885">
        <v>88</v>
      </c>
    </row>
    <row r="886" spans="1:2">
      <c r="A886" s="22">
        <v>41469</v>
      </c>
      <c r="B886">
        <v>75</v>
      </c>
    </row>
    <row r="887" spans="1:2">
      <c r="A887" s="22">
        <v>41470</v>
      </c>
      <c r="B887">
        <v>72</v>
      </c>
    </row>
    <row r="888" spans="1:2">
      <c r="A888" s="22">
        <v>41471</v>
      </c>
      <c r="B888">
        <v>79</v>
      </c>
    </row>
    <row r="889" spans="1:2">
      <c r="A889" s="22">
        <v>41472</v>
      </c>
      <c r="B889">
        <v>80</v>
      </c>
    </row>
    <row r="890" spans="1:2">
      <c r="A890" s="22">
        <v>41473</v>
      </c>
      <c r="B890">
        <v>82</v>
      </c>
    </row>
    <row r="891" spans="1:2">
      <c r="A891" s="22">
        <v>41474</v>
      </c>
      <c r="B891">
        <v>83</v>
      </c>
    </row>
    <row r="892" spans="1:2">
      <c r="A892" s="22">
        <v>41475</v>
      </c>
      <c r="B892">
        <v>84</v>
      </c>
    </row>
    <row r="893" spans="1:2">
      <c r="A893" s="22">
        <v>41476</v>
      </c>
      <c r="B893">
        <v>85</v>
      </c>
    </row>
    <row r="894" spans="1:2">
      <c r="A894" s="22">
        <v>41477</v>
      </c>
      <c r="B894">
        <v>87</v>
      </c>
    </row>
    <row r="895" spans="1:2">
      <c r="A895" s="22">
        <v>41478</v>
      </c>
      <c r="B895">
        <v>87</v>
      </c>
    </row>
    <row r="896" spans="1:2">
      <c r="A896" s="22">
        <v>41479</v>
      </c>
      <c r="B896">
        <v>79</v>
      </c>
    </row>
    <row r="897" spans="1:2">
      <c r="A897" s="22">
        <v>41480</v>
      </c>
      <c r="B897">
        <v>80</v>
      </c>
    </row>
    <row r="898" spans="1:2">
      <c r="A898" s="22">
        <v>41481</v>
      </c>
      <c r="B898">
        <v>78</v>
      </c>
    </row>
    <row r="899" spans="1:2">
      <c r="A899" s="22">
        <v>41482</v>
      </c>
      <c r="B899">
        <v>79</v>
      </c>
    </row>
    <row r="900" spans="1:2">
      <c r="A900" s="22">
        <v>41483</v>
      </c>
      <c r="B900">
        <v>79</v>
      </c>
    </row>
    <row r="901" spans="1:2">
      <c r="A901" s="22">
        <v>41484</v>
      </c>
      <c r="B901">
        <v>82</v>
      </c>
    </row>
    <row r="902" spans="1:2">
      <c r="A902" s="22">
        <v>41485</v>
      </c>
      <c r="B902">
        <v>82</v>
      </c>
    </row>
    <row r="903" spans="1:2">
      <c r="A903" s="22">
        <v>41486</v>
      </c>
      <c r="B903">
        <v>85</v>
      </c>
    </row>
    <row r="904" spans="1:2">
      <c r="A904" s="22">
        <v>41487</v>
      </c>
      <c r="B904">
        <v>84</v>
      </c>
    </row>
    <row r="905" spans="1:2">
      <c r="A905" s="22">
        <v>41488</v>
      </c>
      <c r="B905">
        <v>87</v>
      </c>
    </row>
    <row r="906" spans="1:2">
      <c r="A906" s="22">
        <v>41489</v>
      </c>
      <c r="B906">
        <v>86</v>
      </c>
    </row>
    <row r="907" spans="1:2">
      <c r="A907" s="22">
        <v>41490</v>
      </c>
      <c r="B907">
        <v>86</v>
      </c>
    </row>
    <row r="908" spans="1:2">
      <c r="A908" s="22">
        <v>41491</v>
      </c>
      <c r="B908">
        <v>86</v>
      </c>
    </row>
    <row r="909" spans="1:2">
      <c r="A909" s="22">
        <v>41492</v>
      </c>
      <c r="B909">
        <v>89</v>
      </c>
    </row>
    <row r="910" spans="1:2">
      <c r="A910" s="22">
        <v>41493</v>
      </c>
      <c r="B910">
        <v>85</v>
      </c>
    </row>
    <row r="911" spans="1:2">
      <c r="A911" s="22">
        <v>41494</v>
      </c>
      <c r="B911">
        <v>81</v>
      </c>
    </row>
    <row r="912" spans="1:2">
      <c r="A912" s="22">
        <v>41495</v>
      </c>
      <c r="B912">
        <v>80</v>
      </c>
    </row>
    <row r="913" spans="1:2">
      <c r="A913" s="22">
        <v>41496</v>
      </c>
      <c r="B913">
        <v>78</v>
      </c>
    </row>
    <row r="914" spans="1:2">
      <c r="A914" s="22">
        <v>41497</v>
      </c>
      <c r="B914">
        <v>81</v>
      </c>
    </row>
    <row r="915" spans="1:2">
      <c r="A915" s="22">
        <v>41498</v>
      </c>
      <c r="B915">
        <v>83</v>
      </c>
    </row>
    <row r="916" spans="1:2">
      <c r="A916" s="22">
        <v>41499</v>
      </c>
      <c r="B916">
        <v>79</v>
      </c>
    </row>
    <row r="917" spans="1:2">
      <c r="A917" s="22">
        <v>41500</v>
      </c>
      <c r="B917">
        <v>78</v>
      </c>
    </row>
    <row r="918" spans="1:2">
      <c r="A918" s="22">
        <v>41501</v>
      </c>
      <c r="B918">
        <v>75</v>
      </c>
    </row>
    <row r="919" spans="1:2">
      <c r="A919" s="22">
        <v>41502</v>
      </c>
      <c r="B919">
        <v>74</v>
      </c>
    </row>
    <row r="920" spans="1:2">
      <c r="A920" s="22">
        <v>41503</v>
      </c>
      <c r="B920">
        <v>74</v>
      </c>
    </row>
    <row r="921" spans="1:2">
      <c r="A921" s="22">
        <v>41504</v>
      </c>
      <c r="B921">
        <v>75</v>
      </c>
    </row>
    <row r="922" spans="1:2">
      <c r="A922" s="22">
        <v>41505</v>
      </c>
      <c r="B922">
        <v>79</v>
      </c>
    </row>
    <row r="923" spans="1:2">
      <c r="A923" s="22">
        <v>41506</v>
      </c>
      <c r="B923">
        <v>80</v>
      </c>
    </row>
    <row r="924" spans="1:2">
      <c r="A924" s="22">
        <v>41507</v>
      </c>
      <c r="B924">
        <v>80</v>
      </c>
    </row>
    <row r="925" spans="1:2">
      <c r="A925" s="22">
        <v>41508</v>
      </c>
      <c r="B925">
        <v>81</v>
      </c>
    </row>
    <row r="926" spans="1:2">
      <c r="A926" s="22">
        <v>41509</v>
      </c>
      <c r="B926">
        <v>84</v>
      </c>
    </row>
    <row r="927" spans="1:2">
      <c r="A927" s="22">
        <v>41510</v>
      </c>
      <c r="B927">
        <v>84</v>
      </c>
    </row>
    <row r="928" spans="1:2">
      <c r="A928" s="22">
        <v>41511</v>
      </c>
      <c r="B928">
        <v>84</v>
      </c>
    </row>
    <row r="929" spans="1:2">
      <c r="A929" s="22">
        <v>41512</v>
      </c>
      <c r="B929">
        <v>82</v>
      </c>
    </row>
    <row r="930" spans="1:2">
      <c r="A930" s="22">
        <v>41513</v>
      </c>
      <c r="B930">
        <v>78</v>
      </c>
    </row>
    <row r="931" spans="1:2">
      <c r="A931" s="22">
        <v>41514</v>
      </c>
      <c r="B931">
        <v>82</v>
      </c>
    </row>
    <row r="932" spans="1:2">
      <c r="A932" s="22">
        <v>41515</v>
      </c>
      <c r="B932">
        <v>85</v>
      </c>
    </row>
    <row r="933" spans="1:2">
      <c r="A933" s="22">
        <v>41516</v>
      </c>
      <c r="B933">
        <v>86</v>
      </c>
    </row>
    <row r="934" spans="1:2">
      <c r="A934" s="22">
        <v>41517</v>
      </c>
      <c r="B934">
        <v>87</v>
      </c>
    </row>
    <row r="935" spans="1:2">
      <c r="A935" s="22">
        <v>41518</v>
      </c>
      <c r="B935">
        <v>85</v>
      </c>
    </row>
    <row r="936" spans="1:2">
      <c r="A936" s="22">
        <v>41519</v>
      </c>
      <c r="B936">
        <v>82</v>
      </c>
    </row>
    <row r="937" spans="1:2">
      <c r="A937" s="22">
        <v>41520</v>
      </c>
      <c r="B937">
        <v>78</v>
      </c>
    </row>
    <row r="938" spans="1:2">
      <c r="A938" s="22">
        <v>41521</v>
      </c>
      <c r="B938">
        <v>81</v>
      </c>
    </row>
    <row r="939" spans="1:2">
      <c r="A939" s="22">
        <v>41522</v>
      </c>
      <c r="B939">
        <v>82</v>
      </c>
    </row>
    <row r="940" spans="1:2">
      <c r="A940" s="22">
        <v>41523</v>
      </c>
      <c r="B940">
        <v>83</v>
      </c>
    </row>
    <row r="941" spans="1:2">
      <c r="A941" s="22">
        <v>41524</v>
      </c>
      <c r="B941">
        <v>84</v>
      </c>
    </row>
    <row r="942" spans="1:2">
      <c r="A942" s="22">
        <v>41525</v>
      </c>
      <c r="B942">
        <v>84</v>
      </c>
    </row>
    <row r="943" spans="1:2">
      <c r="A943" s="22">
        <v>41526</v>
      </c>
      <c r="B943">
        <v>82</v>
      </c>
    </row>
    <row r="944" spans="1:2">
      <c r="A944" s="22">
        <v>41527</v>
      </c>
      <c r="B944">
        <v>80</v>
      </c>
    </row>
    <row r="945" spans="1:2">
      <c r="A945" s="22">
        <v>41528</v>
      </c>
      <c r="B945">
        <v>79</v>
      </c>
    </row>
    <row r="946" spans="1:2">
      <c r="A946" s="22">
        <v>41529</v>
      </c>
      <c r="B946">
        <v>82</v>
      </c>
    </row>
    <row r="947" spans="1:2">
      <c r="A947" s="22">
        <v>41530</v>
      </c>
      <c r="B947">
        <v>77</v>
      </c>
    </row>
    <row r="948" spans="1:2">
      <c r="A948" s="22">
        <v>41531</v>
      </c>
      <c r="B948">
        <v>76</v>
      </c>
    </row>
    <row r="949" spans="1:2">
      <c r="A949" s="22">
        <v>41532</v>
      </c>
      <c r="B949">
        <v>81</v>
      </c>
    </row>
    <row r="950" spans="1:2">
      <c r="A950" s="22">
        <v>41533</v>
      </c>
      <c r="B950">
        <v>81</v>
      </c>
    </row>
    <row r="951" spans="1:2">
      <c r="A951" s="22">
        <v>41534</v>
      </c>
      <c r="B951">
        <v>81</v>
      </c>
    </row>
    <row r="952" spans="1:2">
      <c r="A952" s="22">
        <v>41535</v>
      </c>
      <c r="B952">
        <v>83</v>
      </c>
    </row>
    <row r="953" spans="1:2">
      <c r="A953" s="22">
        <v>41536</v>
      </c>
      <c r="B953">
        <v>80</v>
      </c>
    </row>
    <row r="954" spans="1:2">
      <c r="A954" s="22">
        <v>41537</v>
      </c>
      <c r="B954">
        <v>65</v>
      </c>
    </row>
    <row r="955" spans="1:2">
      <c r="A955" s="22">
        <v>41538</v>
      </c>
      <c r="B955">
        <v>68</v>
      </c>
    </row>
    <row r="956" spans="1:2">
      <c r="A956" s="22">
        <v>41539</v>
      </c>
      <c r="B956">
        <v>68</v>
      </c>
    </row>
    <row r="957" spans="1:2">
      <c r="A957" s="22">
        <v>41540</v>
      </c>
      <c r="B957">
        <v>70</v>
      </c>
    </row>
    <row r="958" spans="1:2">
      <c r="A958" s="22">
        <v>41541</v>
      </c>
      <c r="B958">
        <v>74</v>
      </c>
    </row>
    <row r="959" spans="1:2">
      <c r="A959" s="22">
        <v>41542</v>
      </c>
      <c r="B959">
        <v>71</v>
      </c>
    </row>
    <row r="960" spans="1:2">
      <c r="A960" s="22">
        <v>41543</v>
      </c>
      <c r="B960">
        <v>78</v>
      </c>
    </row>
    <row r="961" spans="1:2">
      <c r="A961" s="22">
        <v>41544</v>
      </c>
      <c r="B961">
        <v>77</v>
      </c>
    </row>
    <row r="962" spans="1:2">
      <c r="A962" s="22">
        <v>41545</v>
      </c>
      <c r="B962">
        <v>67</v>
      </c>
    </row>
    <row r="963" spans="1:2">
      <c r="A963" s="22">
        <v>41546</v>
      </c>
      <c r="B963">
        <v>62</v>
      </c>
    </row>
    <row r="964" spans="1:2">
      <c r="A964" s="22">
        <v>41547</v>
      </c>
      <c r="B964">
        <v>68</v>
      </c>
    </row>
    <row r="965" spans="1:2">
      <c r="A965" s="22">
        <v>41548</v>
      </c>
      <c r="B965">
        <v>72</v>
      </c>
    </row>
    <row r="966" spans="1:2">
      <c r="A966" s="22">
        <v>41549</v>
      </c>
      <c r="B966">
        <v>78</v>
      </c>
    </row>
    <row r="967" spans="1:2">
      <c r="A967" s="22">
        <v>41550</v>
      </c>
      <c r="B967">
        <v>81</v>
      </c>
    </row>
    <row r="968" spans="1:2">
      <c r="A968" s="22">
        <v>41551</v>
      </c>
      <c r="B968">
        <v>73</v>
      </c>
    </row>
    <row r="969" spans="1:2">
      <c r="A969" s="22">
        <v>41552</v>
      </c>
      <c r="B969">
        <v>57</v>
      </c>
    </row>
    <row r="970" spans="1:2">
      <c r="A970" s="22">
        <v>41553</v>
      </c>
      <c r="B970">
        <v>59</v>
      </c>
    </row>
    <row r="971" spans="1:2">
      <c r="A971" s="22">
        <v>41554</v>
      </c>
      <c r="B971">
        <v>63</v>
      </c>
    </row>
    <row r="972" spans="1:2">
      <c r="A972" s="22">
        <v>41555</v>
      </c>
      <c r="B972">
        <v>63</v>
      </c>
    </row>
    <row r="973" spans="1:2">
      <c r="A973" s="22">
        <v>41556</v>
      </c>
      <c r="B973">
        <v>69</v>
      </c>
    </row>
    <row r="974" spans="1:2">
      <c r="A974" s="22">
        <v>41557</v>
      </c>
      <c r="B974">
        <v>70</v>
      </c>
    </row>
    <row r="975" spans="1:2">
      <c r="A975" s="22">
        <v>41558</v>
      </c>
      <c r="B975">
        <v>75</v>
      </c>
    </row>
    <row r="976" spans="1:2">
      <c r="A976" s="22">
        <v>41559</v>
      </c>
      <c r="B976">
        <v>68</v>
      </c>
    </row>
    <row r="977" spans="1:2">
      <c r="A977" s="22">
        <v>41560</v>
      </c>
      <c r="B977">
        <v>68</v>
      </c>
    </row>
    <row r="978" spans="1:2">
      <c r="A978" s="22">
        <v>41561</v>
      </c>
      <c r="B978">
        <v>67</v>
      </c>
    </row>
    <row r="979" spans="1:2">
      <c r="A979" s="22">
        <v>41562</v>
      </c>
      <c r="B979">
        <v>59</v>
      </c>
    </row>
    <row r="980" spans="1:2">
      <c r="A980" s="22">
        <v>41563</v>
      </c>
      <c r="B980">
        <v>50</v>
      </c>
    </row>
    <row r="981" spans="1:2">
      <c r="A981" s="22">
        <v>41564</v>
      </c>
      <c r="B981">
        <v>55</v>
      </c>
    </row>
    <row r="982" spans="1:2">
      <c r="A982" s="22">
        <v>41565</v>
      </c>
      <c r="B982">
        <v>47</v>
      </c>
    </row>
    <row r="983" spans="1:2">
      <c r="A983" s="22">
        <v>41566</v>
      </c>
      <c r="B983">
        <v>50</v>
      </c>
    </row>
    <row r="984" spans="1:2">
      <c r="A984" s="22">
        <v>41567</v>
      </c>
      <c r="B984">
        <v>57</v>
      </c>
    </row>
    <row r="985" spans="1:2">
      <c r="A985" s="22">
        <v>41568</v>
      </c>
      <c r="B985">
        <v>54</v>
      </c>
    </row>
    <row r="986" spans="1:2">
      <c r="A986" s="22">
        <v>41569</v>
      </c>
      <c r="B986">
        <v>58</v>
      </c>
    </row>
    <row r="987" spans="1:2">
      <c r="A987" s="22">
        <v>41570</v>
      </c>
      <c r="B987">
        <v>62</v>
      </c>
    </row>
    <row r="988" spans="1:2">
      <c r="A988" s="22">
        <v>41571</v>
      </c>
      <c r="B988">
        <v>54</v>
      </c>
    </row>
    <row r="989" spans="1:2">
      <c r="A989" s="22">
        <v>41572</v>
      </c>
      <c r="B989">
        <v>53</v>
      </c>
    </row>
    <row r="990" spans="1:2">
      <c r="A990" s="22">
        <v>41573</v>
      </c>
      <c r="B990">
        <v>57</v>
      </c>
    </row>
    <row r="991" spans="1:2">
      <c r="A991" s="22">
        <v>41574</v>
      </c>
      <c r="B991">
        <v>56</v>
      </c>
    </row>
    <row r="992" spans="1:2">
      <c r="A992" s="22">
        <v>41575</v>
      </c>
      <c r="B992">
        <v>62</v>
      </c>
    </row>
    <row r="993" spans="1:2">
      <c r="A993" s="22">
        <v>41576</v>
      </c>
      <c r="B993">
        <v>72</v>
      </c>
    </row>
    <row r="994" spans="1:2">
      <c r="A994" s="22">
        <v>41577</v>
      </c>
      <c r="B994">
        <v>71</v>
      </c>
    </row>
    <row r="995" spans="1:2">
      <c r="A995" s="22">
        <v>41578</v>
      </c>
      <c r="B995">
        <v>58</v>
      </c>
    </row>
    <row r="996" spans="1:2">
      <c r="A996" s="22">
        <v>41579</v>
      </c>
      <c r="B996">
        <v>57</v>
      </c>
    </row>
    <row r="997" spans="1:2">
      <c r="A997" s="22">
        <v>41580</v>
      </c>
      <c r="B997">
        <v>53</v>
      </c>
    </row>
    <row r="998" spans="1:2">
      <c r="A998" s="22">
        <v>41581</v>
      </c>
      <c r="B998">
        <v>50</v>
      </c>
    </row>
    <row r="999" spans="1:2">
      <c r="A999" s="22">
        <v>41582</v>
      </c>
      <c r="B999">
        <v>58</v>
      </c>
    </row>
    <row r="1000" spans="1:2">
      <c r="A1000" s="22">
        <v>41583</v>
      </c>
      <c r="B1000">
        <v>57</v>
      </c>
    </row>
    <row r="1001" spans="1:2">
      <c r="A1001" s="22">
        <v>41584</v>
      </c>
      <c r="B1001">
        <v>45</v>
      </c>
    </row>
    <row r="1002" spans="1:2">
      <c r="A1002" s="22">
        <v>41585</v>
      </c>
      <c r="B1002">
        <v>51</v>
      </c>
    </row>
    <row r="1003" spans="1:2">
      <c r="A1003" s="22">
        <v>41586</v>
      </c>
      <c r="B1003">
        <v>54</v>
      </c>
    </row>
    <row r="1004" spans="1:2">
      <c r="A1004" s="22">
        <v>41587</v>
      </c>
      <c r="B1004">
        <v>57</v>
      </c>
    </row>
    <row r="1005" spans="1:2">
      <c r="A1005" s="22">
        <v>41588</v>
      </c>
      <c r="B1005">
        <v>57</v>
      </c>
    </row>
    <row r="1006" spans="1:2">
      <c r="A1006" s="22">
        <v>41589</v>
      </c>
      <c r="B1006">
        <v>58</v>
      </c>
    </row>
    <row r="1007" spans="1:2">
      <c r="A1007" s="22">
        <v>41590</v>
      </c>
      <c r="B1007">
        <v>36</v>
      </c>
    </row>
    <row r="1008" spans="1:2">
      <c r="A1008" s="22">
        <v>41591</v>
      </c>
      <c r="B1008">
        <v>36</v>
      </c>
    </row>
    <row r="1009" spans="1:2">
      <c r="A1009" s="22">
        <v>41592</v>
      </c>
      <c r="B1009">
        <v>45</v>
      </c>
    </row>
    <row r="1010" spans="1:2">
      <c r="A1010" s="22">
        <v>41593</v>
      </c>
      <c r="B1010">
        <v>53</v>
      </c>
    </row>
    <row r="1011" spans="1:2">
      <c r="A1011" s="22">
        <v>41594</v>
      </c>
      <c r="B1011">
        <v>68</v>
      </c>
    </row>
    <row r="1012" spans="1:2">
      <c r="A1012" s="22">
        <v>41595</v>
      </c>
      <c r="B1012">
        <v>64</v>
      </c>
    </row>
    <row r="1013" spans="1:2">
      <c r="A1013" s="22">
        <v>41596</v>
      </c>
      <c r="B1013">
        <v>54</v>
      </c>
    </row>
    <row r="1014" spans="1:2">
      <c r="A1014" s="22">
        <v>41597</v>
      </c>
      <c r="B1014">
        <v>58</v>
      </c>
    </row>
    <row r="1015" spans="1:2">
      <c r="A1015" s="22">
        <v>41598</v>
      </c>
      <c r="B1015">
        <v>57</v>
      </c>
    </row>
    <row r="1016" spans="1:2">
      <c r="A1016" s="22">
        <v>41599</v>
      </c>
      <c r="B1016">
        <v>51</v>
      </c>
    </row>
    <row r="1017" spans="1:2">
      <c r="A1017" s="22">
        <v>41600</v>
      </c>
      <c r="B1017">
        <v>31</v>
      </c>
    </row>
    <row r="1018" spans="1:2">
      <c r="A1018" s="22">
        <v>41601</v>
      </c>
      <c r="B1018">
        <v>37</v>
      </c>
    </row>
    <row r="1019" spans="1:2">
      <c r="A1019" s="22">
        <v>41602</v>
      </c>
      <c r="B1019">
        <v>28</v>
      </c>
    </row>
    <row r="1020" spans="1:2">
      <c r="A1020" s="22">
        <v>41603</v>
      </c>
      <c r="B1020">
        <v>32</v>
      </c>
    </row>
    <row r="1021" spans="1:2">
      <c r="A1021" s="22">
        <v>41604</v>
      </c>
      <c r="B1021">
        <v>39</v>
      </c>
    </row>
    <row r="1022" spans="1:2">
      <c r="A1022" s="22">
        <v>41605</v>
      </c>
      <c r="B1022">
        <v>31</v>
      </c>
    </row>
    <row r="1023" spans="1:2">
      <c r="A1023" s="22">
        <v>41606</v>
      </c>
      <c r="B1023">
        <v>45</v>
      </c>
    </row>
    <row r="1024" spans="1:2">
      <c r="A1024" s="22">
        <v>41607</v>
      </c>
      <c r="B1024">
        <v>43</v>
      </c>
    </row>
    <row r="1025" spans="1:2">
      <c r="A1025" s="22">
        <v>41608</v>
      </c>
      <c r="B1025">
        <v>52</v>
      </c>
    </row>
    <row r="1026" spans="1:2">
      <c r="A1026" s="22">
        <v>41609</v>
      </c>
      <c r="B1026">
        <v>51</v>
      </c>
    </row>
    <row r="1027" spans="1:2">
      <c r="A1027" s="22">
        <v>41610</v>
      </c>
      <c r="B1027">
        <v>51</v>
      </c>
    </row>
    <row r="1028" spans="1:2">
      <c r="A1028" s="22">
        <v>41611</v>
      </c>
      <c r="B1028">
        <v>53</v>
      </c>
    </row>
    <row r="1029" spans="1:2">
      <c r="A1029" s="22">
        <v>41612</v>
      </c>
      <c r="B1029">
        <v>40</v>
      </c>
    </row>
    <row r="1030" spans="1:2">
      <c r="A1030" s="22">
        <v>41613</v>
      </c>
      <c r="B1030">
        <v>26</v>
      </c>
    </row>
    <row r="1031" spans="1:2">
      <c r="A1031" s="22">
        <v>41614</v>
      </c>
      <c r="B1031">
        <v>21</v>
      </c>
    </row>
    <row r="1032" spans="1:2">
      <c r="A1032" s="22">
        <v>41615</v>
      </c>
      <c r="B1032">
        <v>16</v>
      </c>
    </row>
    <row r="1033" spans="1:2">
      <c r="A1033" s="22">
        <v>41616</v>
      </c>
      <c r="B1033">
        <v>25</v>
      </c>
    </row>
    <row r="1034" spans="1:2">
      <c r="A1034" s="22">
        <v>41617</v>
      </c>
      <c r="B1034">
        <v>22</v>
      </c>
    </row>
    <row r="1035" spans="1:2">
      <c r="A1035" s="22">
        <v>41618</v>
      </c>
      <c r="B1035">
        <v>22</v>
      </c>
    </row>
    <row r="1036" spans="1:2">
      <c r="A1036" s="22">
        <v>41619</v>
      </c>
      <c r="B1036">
        <v>31</v>
      </c>
    </row>
    <row r="1037" spans="1:2">
      <c r="A1037" s="22">
        <v>41620</v>
      </c>
      <c r="B1037">
        <v>29</v>
      </c>
    </row>
    <row r="1038" spans="1:2">
      <c r="A1038" s="22">
        <v>41621</v>
      </c>
      <c r="B1038">
        <v>46</v>
      </c>
    </row>
    <row r="1039" spans="1:2">
      <c r="A1039" s="22">
        <v>41622</v>
      </c>
      <c r="B1039">
        <v>34</v>
      </c>
    </row>
    <row r="1040" spans="1:2">
      <c r="A1040" s="22">
        <v>41623</v>
      </c>
      <c r="B1040">
        <v>44</v>
      </c>
    </row>
    <row r="1041" spans="1:2">
      <c r="A1041" s="22">
        <v>41624</v>
      </c>
      <c r="B1041">
        <v>50</v>
      </c>
    </row>
    <row r="1042" spans="1:2">
      <c r="A1042" s="22">
        <v>41625</v>
      </c>
      <c r="B1042">
        <v>51</v>
      </c>
    </row>
    <row r="1043" spans="1:2">
      <c r="A1043" s="22">
        <v>41626</v>
      </c>
      <c r="B1043">
        <v>51</v>
      </c>
    </row>
    <row r="1044" spans="1:2">
      <c r="A1044" s="22">
        <v>41627</v>
      </c>
      <c r="B1044">
        <v>61</v>
      </c>
    </row>
    <row r="1045" spans="1:2">
      <c r="A1045" s="22">
        <v>41628</v>
      </c>
      <c r="B1045">
        <v>44</v>
      </c>
    </row>
    <row r="1046" spans="1:2">
      <c r="A1046" s="22">
        <v>41629</v>
      </c>
      <c r="B1046">
        <v>32</v>
      </c>
    </row>
    <row r="1047" spans="1:2">
      <c r="A1047" s="22">
        <v>41630</v>
      </c>
      <c r="B1047">
        <v>25</v>
      </c>
    </row>
    <row r="1048" spans="1:2">
      <c r="A1048" s="22">
        <v>41631</v>
      </c>
      <c r="B1048">
        <v>23</v>
      </c>
    </row>
    <row r="1049" spans="1:2">
      <c r="A1049" s="22">
        <v>41632</v>
      </c>
      <c r="B1049">
        <v>33</v>
      </c>
    </row>
    <row r="1050" spans="1:2">
      <c r="A1050" s="22">
        <v>41633</v>
      </c>
      <c r="B1050">
        <v>37</v>
      </c>
    </row>
    <row r="1051" spans="1:2">
      <c r="A1051" s="22">
        <v>41634</v>
      </c>
      <c r="B1051">
        <v>39</v>
      </c>
    </row>
    <row r="1052" spans="1:2">
      <c r="A1052" s="22">
        <v>41635</v>
      </c>
      <c r="B1052">
        <v>45</v>
      </c>
    </row>
    <row r="1053" spans="1:2">
      <c r="A1053" s="22">
        <v>41636</v>
      </c>
      <c r="B1053">
        <v>46</v>
      </c>
    </row>
    <row r="1054" spans="1:2">
      <c r="A1054" s="22">
        <v>41637</v>
      </c>
      <c r="B1054">
        <v>32</v>
      </c>
    </row>
    <row r="1055" spans="1:2">
      <c r="A1055" s="22">
        <v>41638</v>
      </c>
      <c r="B1055">
        <v>28</v>
      </c>
    </row>
    <row r="1056" spans="1:2">
      <c r="A1056" s="22">
        <v>41639</v>
      </c>
      <c r="B1056">
        <v>39</v>
      </c>
    </row>
    <row r="1057" spans="1:2">
      <c r="A1057" s="22">
        <v>41640</v>
      </c>
      <c r="B1057">
        <v>38</v>
      </c>
    </row>
    <row r="1058" spans="1:2">
      <c r="A1058" s="22">
        <v>41641</v>
      </c>
      <c r="B1058">
        <v>28</v>
      </c>
    </row>
    <row r="1059" spans="1:2">
      <c r="A1059" s="22">
        <v>41642</v>
      </c>
      <c r="B1059">
        <v>36</v>
      </c>
    </row>
    <row r="1060" spans="1:2">
      <c r="A1060" s="22">
        <v>41643</v>
      </c>
      <c r="B1060">
        <v>42</v>
      </c>
    </row>
    <row r="1061" spans="1:2">
      <c r="A1061" s="22">
        <v>41644</v>
      </c>
      <c r="B1061">
        <v>19</v>
      </c>
    </row>
    <row r="1062" spans="1:2">
      <c r="A1062" s="22">
        <v>41645</v>
      </c>
      <c r="B1062">
        <v>17</v>
      </c>
    </row>
    <row r="1063" spans="1:2">
      <c r="A1063" s="22">
        <v>41646</v>
      </c>
      <c r="B1063">
        <v>34</v>
      </c>
    </row>
    <row r="1064" spans="1:2">
      <c r="A1064" s="22">
        <v>41647</v>
      </c>
      <c r="B1064">
        <v>36</v>
      </c>
    </row>
    <row r="1065" spans="1:2">
      <c r="A1065" s="22">
        <v>41648</v>
      </c>
      <c r="B1065">
        <v>36</v>
      </c>
    </row>
    <row r="1066" spans="1:2">
      <c r="A1066" s="22">
        <v>41649</v>
      </c>
      <c r="B1066">
        <v>47</v>
      </c>
    </row>
    <row r="1067" spans="1:2">
      <c r="A1067" s="22">
        <v>41650</v>
      </c>
      <c r="B1067">
        <v>49</v>
      </c>
    </row>
    <row r="1068" spans="1:2">
      <c r="A1068" s="22">
        <v>41651</v>
      </c>
      <c r="B1068">
        <v>56</v>
      </c>
    </row>
    <row r="1069" spans="1:2">
      <c r="A1069" s="22">
        <v>41652</v>
      </c>
      <c r="B1069">
        <v>48</v>
      </c>
    </row>
    <row r="1070" spans="1:2">
      <c r="A1070" s="22">
        <v>41653</v>
      </c>
      <c r="B1070">
        <v>44</v>
      </c>
    </row>
    <row r="1071" spans="1:2">
      <c r="A1071" s="22">
        <v>41654</v>
      </c>
      <c r="B1071">
        <v>41</v>
      </c>
    </row>
    <row r="1072" spans="1:2">
      <c r="A1072" s="22">
        <v>41655</v>
      </c>
      <c r="B1072">
        <v>49</v>
      </c>
    </row>
    <row r="1073" spans="1:2">
      <c r="A1073" s="22">
        <v>41656</v>
      </c>
      <c r="B1073">
        <v>39</v>
      </c>
    </row>
    <row r="1074" spans="1:2">
      <c r="A1074" s="22">
        <v>41657</v>
      </c>
      <c r="B1074">
        <v>50</v>
      </c>
    </row>
    <row r="1075" spans="1:2">
      <c r="A1075" s="22">
        <v>41658</v>
      </c>
      <c r="B1075">
        <v>44</v>
      </c>
    </row>
    <row r="1076" spans="1:2">
      <c r="A1076" s="22">
        <v>41659</v>
      </c>
      <c r="B1076">
        <v>50</v>
      </c>
    </row>
    <row r="1077" spans="1:2">
      <c r="A1077" s="22">
        <v>41660</v>
      </c>
      <c r="B1077">
        <v>33</v>
      </c>
    </row>
    <row r="1078" spans="1:2">
      <c r="A1078" s="22">
        <v>41661</v>
      </c>
      <c r="B1078">
        <v>37</v>
      </c>
    </row>
    <row r="1079" spans="1:2">
      <c r="A1079" s="22">
        <v>41662</v>
      </c>
      <c r="B1079">
        <v>25</v>
      </c>
    </row>
    <row r="1080" spans="1:2">
      <c r="A1080" s="22">
        <v>41663</v>
      </c>
      <c r="B1080">
        <v>25</v>
      </c>
    </row>
    <row r="1081" spans="1:2">
      <c r="A1081" s="22">
        <v>41664</v>
      </c>
      <c r="B1081">
        <v>51</v>
      </c>
    </row>
    <row r="1082" spans="1:2">
      <c r="A1082" s="22">
        <v>41665</v>
      </c>
      <c r="B1082">
        <v>50</v>
      </c>
    </row>
    <row r="1083" spans="1:2">
      <c r="A1083" s="22">
        <v>41666</v>
      </c>
      <c r="B1083">
        <v>30</v>
      </c>
    </row>
    <row r="1084" spans="1:2">
      <c r="A1084" s="22">
        <v>41667</v>
      </c>
      <c r="B1084">
        <v>23</v>
      </c>
    </row>
    <row r="1085" spans="1:2">
      <c r="A1085" s="22">
        <v>41668</v>
      </c>
      <c r="B1085">
        <v>31</v>
      </c>
    </row>
    <row r="1086" spans="1:2">
      <c r="A1086" s="22">
        <v>41669</v>
      </c>
      <c r="B1086">
        <v>45</v>
      </c>
    </row>
    <row r="1087" spans="1:2">
      <c r="A1087" s="22">
        <v>41670</v>
      </c>
      <c r="B1087">
        <v>40</v>
      </c>
    </row>
    <row r="1088" spans="1:2">
      <c r="A1088" s="22">
        <v>41671</v>
      </c>
      <c r="B1088">
        <v>34</v>
      </c>
    </row>
    <row r="1089" spans="1:2">
      <c r="A1089" s="22">
        <v>41672</v>
      </c>
      <c r="B1089">
        <v>27</v>
      </c>
    </row>
    <row r="1090" spans="1:2">
      <c r="A1090" s="22">
        <v>41673</v>
      </c>
      <c r="B1090">
        <v>27</v>
      </c>
    </row>
    <row r="1091" spans="1:2">
      <c r="A1091" s="22">
        <v>41674</v>
      </c>
      <c r="B1091">
        <v>30</v>
      </c>
    </row>
    <row r="1092" spans="1:2">
      <c r="A1092" s="22">
        <v>41675</v>
      </c>
      <c r="B1092">
        <v>18</v>
      </c>
    </row>
    <row r="1093" spans="1:2">
      <c r="A1093" s="22">
        <v>41676</v>
      </c>
      <c r="B1093">
        <v>14</v>
      </c>
    </row>
    <row r="1094" spans="1:2">
      <c r="A1094" s="22">
        <v>41677</v>
      </c>
      <c r="B1094">
        <v>22</v>
      </c>
    </row>
    <row r="1095" spans="1:2">
      <c r="A1095" s="22">
        <v>41678</v>
      </c>
      <c r="B1095">
        <v>30</v>
      </c>
    </row>
    <row r="1096" spans="1:2">
      <c r="A1096" s="22">
        <v>41679</v>
      </c>
      <c r="B1096">
        <v>31</v>
      </c>
    </row>
    <row r="1097" spans="1:2">
      <c r="A1097" s="22">
        <v>41680</v>
      </c>
      <c r="B1097">
        <v>25</v>
      </c>
    </row>
    <row r="1098" spans="1:2">
      <c r="A1098" s="22">
        <v>41681</v>
      </c>
      <c r="B1098">
        <v>29</v>
      </c>
    </row>
    <row r="1099" spans="1:2">
      <c r="A1099" s="22">
        <v>41682</v>
      </c>
      <c r="B1099">
        <v>36</v>
      </c>
    </row>
    <row r="1100" spans="1:2">
      <c r="A1100" s="22">
        <v>41683</v>
      </c>
      <c r="B1100">
        <v>43</v>
      </c>
    </row>
    <row r="1101" spans="1:2">
      <c r="A1101" s="22">
        <v>41684</v>
      </c>
      <c r="B1101">
        <v>50</v>
      </c>
    </row>
    <row r="1102" spans="1:2">
      <c r="A1102" s="22">
        <v>41685</v>
      </c>
      <c r="B1102">
        <v>48</v>
      </c>
    </row>
    <row r="1103" spans="1:2">
      <c r="A1103" s="22">
        <v>41686</v>
      </c>
      <c r="B1103">
        <v>57</v>
      </c>
    </row>
    <row r="1104" spans="1:2">
      <c r="A1104" s="22">
        <v>41687</v>
      </c>
      <c r="B1104">
        <v>53</v>
      </c>
    </row>
    <row r="1105" spans="1:2">
      <c r="A1105" s="22">
        <v>41688</v>
      </c>
      <c r="B1105">
        <v>54</v>
      </c>
    </row>
    <row r="1106" spans="1:2">
      <c r="A1106" s="22">
        <v>41689</v>
      </c>
      <c r="B1106">
        <v>57</v>
      </c>
    </row>
    <row r="1107" spans="1:2">
      <c r="A1107" s="22">
        <v>41690</v>
      </c>
      <c r="B1107">
        <v>48</v>
      </c>
    </row>
    <row r="1108" spans="1:2">
      <c r="A1108" s="22">
        <v>41691</v>
      </c>
      <c r="B1108">
        <v>46</v>
      </c>
    </row>
    <row r="1109" spans="1:2">
      <c r="A1109" s="22">
        <v>41692</v>
      </c>
      <c r="B1109">
        <v>55</v>
      </c>
    </row>
    <row r="1110" spans="1:2">
      <c r="A1110" s="22">
        <v>41693</v>
      </c>
      <c r="B1110">
        <v>47</v>
      </c>
    </row>
    <row r="1111" spans="1:2">
      <c r="A1111" s="22">
        <v>41694</v>
      </c>
      <c r="B1111">
        <v>40</v>
      </c>
    </row>
    <row r="1112" spans="1:2">
      <c r="A1112" s="22">
        <v>41695</v>
      </c>
      <c r="B1112">
        <v>37</v>
      </c>
    </row>
    <row r="1113" spans="1:2">
      <c r="A1113" s="22">
        <v>41696</v>
      </c>
      <c r="B1113">
        <v>28</v>
      </c>
    </row>
    <row r="1114" spans="1:2">
      <c r="A1114" s="22">
        <v>41697</v>
      </c>
      <c r="B1114">
        <v>39</v>
      </c>
    </row>
    <row r="1115" spans="1:2">
      <c r="A1115" s="22">
        <v>41698</v>
      </c>
      <c r="B1115">
        <v>54</v>
      </c>
    </row>
    <row r="1116" spans="1:2">
      <c r="A1116" s="22">
        <v>41699</v>
      </c>
      <c r="B1116">
        <v>34</v>
      </c>
    </row>
    <row r="1117" spans="1:2">
      <c r="A1117" s="22">
        <v>41700</v>
      </c>
      <c r="B1117">
        <v>16</v>
      </c>
    </row>
    <row r="1118" spans="1:2">
      <c r="A1118" s="22">
        <v>41701</v>
      </c>
      <c r="B1118">
        <v>15</v>
      </c>
    </row>
    <row r="1119" spans="1:2">
      <c r="A1119" s="22">
        <v>41702</v>
      </c>
      <c r="B1119">
        <v>32</v>
      </c>
    </row>
    <row r="1120" spans="1:2">
      <c r="A1120" s="22">
        <v>41703</v>
      </c>
      <c r="B1120">
        <v>40</v>
      </c>
    </row>
  </sheetData>
  <printOptions gridLines="1" gridLinesSet="0"/>
  <pageMargins left="0" right="0" top="1" bottom="1" header="0.5" footer="0.5"/>
  <pageSetup orientation="portrait" blackAndWhite="1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Natural Gas</vt:lpstr>
      <vt:lpstr>Temperature Data</vt:lpstr>
      <vt:lpstr>Chart1</vt:lpstr>
      <vt:lpstr>'Temperature Data'!Print_Area</vt:lpstr>
    </vt:vector>
  </TitlesOfParts>
  <Company>Chelan County PUD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James A.</dc:creator>
  <cp:lastModifiedBy>jamesa</cp:lastModifiedBy>
  <cp:lastPrinted>2014-03-10T16:59:31Z</cp:lastPrinted>
  <dcterms:created xsi:type="dcterms:W3CDTF">2012-02-16T21:42:39Z</dcterms:created>
  <dcterms:modified xsi:type="dcterms:W3CDTF">2014-03-10T17:05:28Z</dcterms:modified>
</cp:coreProperties>
</file>