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oush\AppData\Local\Microsoft\Windows\Temporary Internet Files\Content.IE5\KL2TSTNK\"/>
    </mc:Choice>
  </mc:AlternateContent>
  <bookViews>
    <workbookView xWindow="10305" yWindow="-15" windowWidth="5055" windowHeight="8160"/>
  </bookViews>
  <sheets>
    <sheet name="Main" sheetId="1" r:id="rId1"/>
    <sheet name="Survey" sheetId="5" r:id="rId2"/>
  </sheets>
  <definedNames>
    <definedName name="_xlnm._FilterDatabase" localSheetId="1" hidden="1">Survey!$A$1:$M$30</definedName>
    <definedName name="freqLN">#REF!</definedName>
    <definedName name="_xlnm.Print_Area" localSheetId="0">Main!$A$4:$E$86</definedName>
    <definedName name="range1">#REF!</definedName>
    <definedName name="range2">#REF!</definedName>
    <definedName name="total">#REF!</definedName>
  </definedNames>
  <calcPr calcId="152511" calcMode="manual" refMode="R1C1"/>
</workbook>
</file>

<file path=xl/calcChain.xml><?xml version="1.0" encoding="utf-8"?>
<calcChain xmlns="http://schemas.openxmlformats.org/spreadsheetml/2006/main">
  <c r="C73" i="1" l="1"/>
  <c r="C74" i="1"/>
  <c r="C75" i="1"/>
  <c r="C83" i="1"/>
  <c r="C84" i="1" s="1"/>
  <c r="C85" i="1"/>
  <c r="C86" i="1"/>
  <c r="F11" i="5" l="1"/>
  <c r="P4" i="5"/>
  <c r="P3" i="5"/>
  <c r="C25" i="1"/>
  <c r="C27" i="1"/>
  <c r="M30" i="5" l="1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F30" i="5" l="1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0" i="5"/>
  <c r="F9" i="5"/>
  <c r="F8" i="5"/>
  <c r="F7" i="5"/>
  <c r="F5" i="5"/>
  <c r="F4" i="5"/>
  <c r="F3" i="5"/>
  <c r="F2" i="5"/>
  <c r="F6" i="5"/>
  <c r="P5" i="5"/>
  <c r="P7" i="5" l="1"/>
  <c r="P6" i="5"/>
  <c r="D9" i="1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P9" i="5" l="1"/>
  <c r="P8" i="5"/>
  <c r="C30" i="5" l="1"/>
  <c r="C29" i="5"/>
  <c r="C28" i="5"/>
  <c r="C27" i="5"/>
  <c r="C26" i="5"/>
  <c r="C25" i="5"/>
  <c r="C24" i="5"/>
  <c r="C23" i="5"/>
  <c r="C22" i="5"/>
  <c r="D80" i="1" s="1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P2" i="5" l="1"/>
  <c r="P14" i="5" s="1"/>
  <c r="D81" i="1"/>
  <c r="P13" i="5"/>
  <c r="P15" i="5"/>
  <c r="C59" i="1" l="1"/>
  <c r="C60" i="1" s="1"/>
  <c r="C58" i="1"/>
</calcChain>
</file>

<file path=xl/sharedStrings.xml><?xml version="1.0" encoding="utf-8"?>
<sst xmlns="http://schemas.openxmlformats.org/spreadsheetml/2006/main" count="304" uniqueCount="192">
  <si>
    <t>Paste Special</t>
  </si>
  <si>
    <t>Formats</t>
  </si>
  <si>
    <t>Values</t>
  </si>
  <si>
    <t>1234</t>
  </si>
  <si>
    <t>Transpose</t>
  </si>
  <si>
    <t xml:space="preserve">Extra spaces        </t>
  </si>
  <si>
    <t>Bad CAPS</t>
  </si>
  <si>
    <t>LOWERCASE</t>
  </si>
  <si>
    <t>https://goat.law.upenn.edu/cf/lawdirectory/select.cfm?sort=name</t>
  </si>
  <si>
    <t>Smith</t>
  </si>
  <si>
    <t>Johnson</t>
  </si>
  <si>
    <t>Williams</t>
  </si>
  <si>
    <t>Jones</t>
  </si>
  <si>
    <t>Brown</t>
  </si>
  <si>
    <t>Davis</t>
  </si>
  <si>
    <t>Miller</t>
  </si>
  <si>
    <t>Wilson</t>
  </si>
  <si>
    <t>Moore</t>
  </si>
  <si>
    <t>Taylor</t>
  </si>
  <si>
    <t>Anderson</t>
  </si>
  <si>
    <t>Thomas</t>
  </si>
  <si>
    <t>Jackson</t>
  </si>
  <si>
    <t>White</t>
  </si>
  <si>
    <t>Harris</t>
  </si>
  <si>
    <t>Martin</t>
  </si>
  <si>
    <t>Thompson</t>
  </si>
  <si>
    <t>Garcia</t>
  </si>
  <si>
    <t>Martinez</t>
  </si>
  <si>
    <t>Robinson</t>
  </si>
  <si>
    <t>Clark</t>
  </si>
  <si>
    <t>Rodriguez</t>
  </si>
  <si>
    <t>Lewis</t>
  </si>
  <si>
    <t>Lee</t>
  </si>
  <si>
    <t>Walker</t>
  </si>
  <si>
    <t>Hall</t>
  </si>
  <si>
    <t>Allen</t>
  </si>
  <si>
    <t>Young</t>
  </si>
  <si>
    <t>Hernandez</t>
  </si>
  <si>
    <t>James</t>
  </si>
  <si>
    <t>1,015,800</t>
  </si>
  <si>
    <t>Page Layout Tab</t>
  </si>
  <si>
    <t>Page Layout View</t>
  </si>
  <si>
    <t>Headers and Footers</t>
  </si>
  <si>
    <t>Orientation</t>
  </si>
  <si>
    <t>Margins</t>
  </si>
  <si>
    <t>Scale (try 80%)</t>
  </si>
  <si>
    <t>Columns to print at left</t>
  </si>
  <si>
    <t>Center on Page Horizontally / Vertically</t>
  </si>
  <si>
    <t>Rows to print at top</t>
  </si>
  <si>
    <t>First Name</t>
  </si>
  <si>
    <t>Last Name</t>
  </si>
  <si>
    <t>George</t>
  </si>
  <si>
    <t>Gary</t>
  </si>
  <si>
    <t>Eric</t>
  </si>
  <si>
    <t>Robin</t>
  </si>
  <si>
    <t>Andrew</t>
  </si>
  <si>
    <t>Lorenzo</t>
  </si>
  <si>
    <t>Janet</t>
  </si>
  <si>
    <t>Dorothy</t>
  </si>
  <si>
    <t>Tamika</t>
  </si>
  <si>
    <t>Penn Law Directory</t>
  </si>
  <si>
    <t>Formulas</t>
  </si>
  <si>
    <t>Vlookup</t>
  </si>
  <si>
    <t>Index and Match</t>
  </si>
  <si>
    <t>Dates</t>
  </si>
  <si>
    <t>Week Number (of 52 weeks)</t>
  </si>
  <si>
    <t>Portion of year (today to june 30) / 365</t>
  </si>
  <si>
    <t>Picture</t>
  </si>
  <si>
    <t>Now + Today</t>
  </si>
  <si>
    <t>Number of days until June 30</t>
  </si>
  <si>
    <t xml:space="preserve">Select all </t>
  </si>
  <si>
    <t>Double-click column and row borders</t>
  </si>
  <si>
    <t>Ctrl + Shift + Arrow key</t>
  </si>
  <si>
    <t>Moving up and down quickly</t>
  </si>
  <si>
    <t>Ctrl + arrow key</t>
  </si>
  <si>
    <t>All excel keyboard shortcuts</t>
  </si>
  <si>
    <t>Combining text</t>
  </si>
  <si>
    <t>Combining text and formulas</t>
  </si>
  <si>
    <r>
      <t xml:space="preserve">Combining with </t>
    </r>
    <r>
      <rPr>
        <b/>
        <sz val="8"/>
        <color rgb="FFFF0000"/>
        <rFont val="Arial"/>
        <family val="2"/>
      </rPr>
      <t xml:space="preserve">Concatenate </t>
    </r>
    <r>
      <rPr>
        <sz val="8"/>
        <color theme="1"/>
        <rFont val="Arial"/>
        <family val="2"/>
      </rPr>
      <t>formula</t>
    </r>
  </si>
  <si>
    <r>
      <rPr>
        <b/>
        <sz val="8"/>
        <color theme="1"/>
        <rFont val="Arial"/>
        <family val="2"/>
      </rPr>
      <t xml:space="preserve">F2 </t>
    </r>
    <r>
      <rPr>
        <sz val="8"/>
        <color theme="1"/>
        <rFont val="Arial"/>
        <family val="2"/>
      </rPr>
      <t>key - numbers stored as text</t>
    </r>
  </si>
  <si>
    <r>
      <rPr>
        <b/>
        <sz val="8"/>
        <color theme="1"/>
        <rFont val="Arial"/>
        <family val="2"/>
      </rPr>
      <t>F2+ F9</t>
    </r>
    <r>
      <rPr>
        <sz val="8"/>
        <color theme="1"/>
        <rFont val="Arial"/>
        <family val="2"/>
      </rPr>
      <t xml:space="preserve"> - formula leaves just value</t>
    </r>
  </si>
  <si>
    <t>Removing duplicate records (key value)</t>
  </si>
  <si>
    <t>http://office.microsoft.com/en-us/excel-help/keyboard-shortcuts-in-excel-2010-HP010342494.aspx</t>
  </si>
  <si>
    <t xml:space="preserve">Page Break Preview - 100% zoom </t>
  </si>
  <si>
    <t>Text
then alt+enter
Other text</t>
  </si>
  <si>
    <t>y</t>
  </si>
  <si>
    <t>john</t>
  </si>
  <si>
    <t>Charlie</t>
  </si>
  <si>
    <t>Jack</t>
  </si>
  <si>
    <t>Kamala</t>
  </si>
  <si>
    <t>Steve</t>
  </si>
  <si>
    <t>Maria</t>
  </si>
  <si>
    <t>Sonia</t>
  </si>
  <si>
    <t>Louisa</t>
  </si>
  <si>
    <t>Lou</t>
  </si>
  <si>
    <t>Harper</t>
  </si>
  <si>
    <t>Arsenio</t>
  </si>
  <si>
    <t>n</t>
  </si>
  <si>
    <t xml:space="preserve">Mailing List Example  </t>
  </si>
  <si>
    <t>This Excel Sheet will be available on the ITS Online site after the demo</t>
  </si>
  <si>
    <t>Survey Example</t>
  </si>
  <si>
    <t>Split one column into two</t>
  </si>
  <si>
    <t>Erasmo</t>
  </si>
  <si>
    <t>Data --&gt; Text to Columns</t>
  </si>
  <si>
    <t>Data --&gt; Remove Duplicates</t>
  </si>
  <si>
    <t>Right click or Ctrl-K to edit</t>
  </si>
  <si>
    <t>Survey Responses Example</t>
  </si>
  <si>
    <t>Count the number of rows with responses, subtract 1 for header</t>
  </si>
  <si>
    <t>Average only if greater than zero</t>
  </si>
  <si>
    <t>Cleaning up a Worksheet You have Received</t>
  </si>
  <si>
    <t>Unmerge Cells</t>
  </si>
  <si>
    <t>Hyperlink to another sheet</t>
  </si>
  <si>
    <t>Tasks</t>
  </si>
  <si>
    <t>Drag wider and taller, then double click borders (if doesn't work 1st time)</t>
  </si>
  <si>
    <t>Other Tips</t>
  </si>
  <si>
    <t>Data Entry Time Saving Tips</t>
  </si>
  <si>
    <t>Other Formulas</t>
  </si>
  <si>
    <t>Home --&gt; Paste (click down arrow underneath)</t>
  </si>
  <si>
    <t>Where to find Paste Special</t>
  </si>
  <si>
    <t>Paste Special Preview</t>
  </si>
  <si>
    <t>Linked Picture</t>
  </si>
  <si>
    <t>for copying format into another cell</t>
  </si>
  <si>
    <t>for pasting values instead of formulas</t>
  </si>
  <si>
    <t>for converting numbers</t>
  </si>
  <si>
    <t>for a column of numbers stored as text</t>
  </si>
  <si>
    <t>Add</t>
  </si>
  <si>
    <t>Divide</t>
  </si>
  <si>
    <t>for maintaing formatting and staying updated (same file)</t>
  </si>
  <si>
    <t>for rotating your entire table 90 degrees</t>
  </si>
  <si>
    <t>Drag page borders, set custom borders</t>
  </si>
  <si>
    <t>Switch between sheets in same file</t>
  </si>
  <si>
    <t>Ctrl + PageUp</t>
  </si>
  <si>
    <t>Ctrl + PageDown</t>
  </si>
  <si>
    <t>Ctrl+A, Ctrl+A (TWICE!)</t>
  </si>
  <si>
    <t>Summary Stats</t>
  </si>
  <si>
    <t>Will</t>
  </si>
  <si>
    <t>Helen</t>
  </si>
  <si>
    <t>Mary</t>
  </si>
  <si>
    <t>Email Address</t>
  </si>
  <si>
    <t>Filtering, Sorting and Conditional Formatting</t>
  </si>
  <si>
    <t xml:space="preserve">Selecting ranges </t>
  </si>
  <si>
    <r>
      <rPr>
        <b/>
        <sz val="8"/>
        <color theme="1"/>
        <rFont val="Arial"/>
        <family val="2"/>
      </rPr>
      <t xml:space="preserve">F2 </t>
    </r>
    <r>
      <rPr>
        <sz val="8"/>
        <color theme="1"/>
        <rFont val="Arial"/>
        <family val="2"/>
      </rPr>
      <t>key twice - arrow keys</t>
    </r>
  </si>
  <si>
    <r>
      <rPr>
        <b/>
        <sz val="8"/>
        <color theme="1"/>
        <rFont val="Arial"/>
        <family val="2"/>
      </rPr>
      <t xml:space="preserve">F2 </t>
    </r>
    <r>
      <rPr>
        <sz val="8"/>
        <color theme="1"/>
        <rFont val="Arial"/>
        <family val="2"/>
      </rPr>
      <t xml:space="preserve">key - edit  active cell </t>
    </r>
  </si>
  <si>
    <t>do you like apples</t>
  </si>
  <si>
    <t>do you like green appls</t>
  </si>
  <si>
    <t>how many apples per week</t>
  </si>
  <si>
    <t>do you like citrus</t>
  </si>
  <si>
    <t>where do you buy</t>
  </si>
  <si>
    <t>how many citrus per week</t>
  </si>
  <si>
    <t>favorite citrus</t>
  </si>
  <si>
    <t>Favorite apple</t>
  </si>
  <si>
    <t>dislike grapefuit?</t>
  </si>
  <si>
    <t>Printing</t>
  </si>
  <si>
    <t>Likes apples</t>
  </si>
  <si>
    <t>Like apples and citrus</t>
  </si>
  <si>
    <t>Count the number of responses in one column</t>
  </si>
  <si>
    <t>Count the number of responses in more than one column</t>
  </si>
  <si>
    <t>=COUNTIF(E:E,"y")</t>
  </si>
  <si>
    <t>=COUNTA(C:C)-1</t>
  </si>
  <si>
    <t>Likes apples not green apples</t>
  </si>
  <si>
    <t>=AVERAGE(F:F)</t>
  </si>
  <si>
    <t>Count number of responses</t>
  </si>
  <si>
    <t>Citrus: sum of corner deli</t>
  </si>
  <si>
    <t>=SUMIF(L:L,"corner deli",M:M)</t>
  </si>
  <si>
    <t>View -&gt; Page Layout OR Bottom right corner</t>
  </si>
  <si>
    <t>Percentages</t>
  </si>
  <si>
    <t>="david " &amp; "likes " &amp; "excel "</t>
  </si>
  <si>
    <t>="the weather this winter was great " &amp; 95/100 &amp;"% of the time"</t>
  </si>
  <si>
    <t>=CONCATENATE("christine agrees that ",C60)</t>
  </si>
  <si>
    <t>=PROPER(B75)</t>
  </si>
  <si>
    <t>=LOWER(B76)</t>
  </si>
  <si>
    <t>=TRIM(B77)</t>
  </si>
  <si>
    <t>Change column and cell widths</t>
  </si>
  <si>
    <t>=NOW()</t>
  </si>
  <si>
    <t>="06/30/2013"-C88</t>
  </si>
  <si>
    <t>=("06/30/2013"-NOW())/365</t>
  </si>
  <si>
    <t>=WEEKNUM(NOW(),1)</t>
  </si>
  <si>
    <t>Apples: sum if Farmer's market</t>
  </si>
  <si>
    <t>Apples: average if greater zero</t>
  </si>
  <si>
    <t xml:space="preserve">Apples: average </t>
  </si>
  <si>
    <r>
      <t>=</t>
    </r>
    <r>
      <rPr>
        <b/>
        <sz val="8"/>
        <color rgb="FFFF0000"/>
        <rFont val="Arial"/>
        <family val="2"/>
      </rPr>
      <t>AVERAGEIF</t>
    </r>
    <r>
      <rPr>
        <sz val="8"/>
        <color theme="1"/>
        <rFont val="Arial"/>
        <family val="2"/>
      </rPr>
      <t>(F:F,"&gt;0")</t>
    </r>
  </si>
  <si>
    <r>
      <t>=</t>
    </r>
    <r>
      <rPr>
        <b/>
        <sz val="8"/>
        <color rgb="FFFF0000"/>
        <rFont val="Arial"/>
        <family val="2"/>
      </rPr>
      <t>COUNTIFS</t>
    </r>
    <r>
      <rPr>
        <sz val="8"/>
        <color theme="1"/>
        <rFont val="Arial"/>
        <family val="2"/>
      </rPr>
      <t>(D:D,"y",E:E,"n")</t>
    </r>
  </si>
  <si>
    <r>
      <t>=</t>
    </r>
    <r>
      <rPr>
        <b/>
        <sz val="8"/>
        <color rgb="FFFF0000"/>
        <rFont val="Arial"/>
        <family val="2"/>
      </rPr>
      <t>COUNTIFS</t>
    </r>
    <r>
      <rPr>
        <sz val="8"/>
        <color theme="1"/>
        <rFont val="Arial"/>
        <family val="2"/>
      </rPr>
      <t>(D:D,"y",I:I,"y")</t>
    </r>
  </si>
  <si>
    <r>
      <t>=</t>
    </r>
    <r>
      <rPr>
        <b/>
        <sz val="8"/>
        <color rgb="FFFF0000"/>
        <rFont val="Arial"/>
        <family val="2"/>
      </rPr>
      <t>SUMIF</t>
    </r>
    <r>
      <rPr>
        <sz val="8"/>
        <color theme="1"/>
        <rFont val="Arial"/>
        <family val="2"/>
      </rPr>
      <t>(H:H,"farmer's market",F:F)</t>
    </r>
  </si>
  <si>
    <t>=P3/P2</t>
  </si>
  <si>
    <t>=P4/P2</t>
  </si>
  <si>
    <t>=P5/P2</t>
  </si>
  <si>
    <t>for pasting into Outlook messages or Word docs</t>
  </si>
  <si>
    <t>force 
multiline cells</t>
  </si>
  <si>
    <t>lclark@yourserver.net</t>
  </si>
  <si>
    <t>=INDEX(Survey!A:C,MATCH(Main!C84,Survey!C:C,0),1)</t>
  </si>
  <si>
    <t>=VLOOKUP(C83,Survey!A:C,3,FALSE)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</si>
</sst>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\(0\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u/>
      <sz val="8"/>
      <color theme="10"/>
      <name val="Arial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b/>
      <sz val="8"/>
      <color rgb="FFFF0000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color rgb="FFC0000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31">
    <xf numFmtId="0" fontId="0" fillId="0" borderId="0" xfId="0"/>
    <xf numFmtId="0" fontId="2" fillId="0" borderId="0" xfId="0" applyFont="1"/>
    <xf numFmtId="0" fontId="2" fillId="0" borderId="0" xfId="0" quotePrefix="1" applyFont="1"/>
    <xf numFmtId="14" fontId="2" fillId="0" borderId="0" xfId="0" applyNumberFormat="1" applyFont="1"/>
    <xf numFmtId="9" fontId="2" fillId="0" borderId="0" xfId="0" applyNumberFormat="1" applyFont="1"/>
    <xf numFmtId="37" fontId="2" fillId="0" borderId="0" xfId="0" applyNumberFormat="1" applyFont="1"/>
    <xf numFmtId="0" fontId="2" fillId="0" borderId="0" xfId="0" applyFont="1" applyAlignment="1">
      <alignment horizontal="left" indent="1"/>
    </xf>
    <xf numFmtId="22" fontId="2" fillId="0" borderId="0" xfId="0" applyNumberFormat="1" applyFont="1"/>
    <xf numFmtId="0" fontId="2" fillId="0" borderId="0" xfId="0" applyFont="1" applyAlignment="1">
      <alignment horizontal="left" indent="2"/>
    </xf>
    <xf numFmtId="0" fontId="3" fillId="2" borderId="0" xfId="0" applyFont="1" applyFill="1"/>
    <xf numFmtId="0" fontId="8" fillId="4" borderId="1" xfId="0" applyFont="1" applyFill="1" applyBorder="1" applyAlignment="1">
      <alignment horizontal="center"/>
    </xf>
    <xf numFmtId="0" fontId="8" fillId="2" borderId="0" xfId="0" applyFont="1" applyFill="1" applyAlignment="1">
      <alignment horizontal="left" indent="1"/>
    </xf>
    <xf numFmtId="0" fontId="4" fillId="0" borderId="0" xfId="1" applyFont="1" applyAlignment="1">
      <alignment horizontal="left" indent="1"/>
    </xf>
    <xf numFmtId="0" fontId="2" fillId="0" borderId="0" xfId="0" applyFont="1" applyAlignment="1">
      <alignment horizontal="left" wrapText="1" indent="1"/>
    </xf>
    <xf numFmtId="39" fontId="2" fillId="0" borderId="0" xfId="0" applyNumberFormat="1" applyFont="1"/>
    <xf numFmtId="0" fontId="2" fillId="0" borderId="3" xfId="0" applyFont="1" applyFill="1" applyBorder="1"/>
    <xf numFmtId="0" fontId="2" fillId="0" borderId="0" xfId="0" applyFont="1" applyAlignment="1">
      <alignment wrapText="1"/>
    </xf>
    <xf numFmtId="164" fontId="2" fillId="0" borderId="0" xfId="0" applyNumberFormat="1" applyFont="1"/>
    <xf numFmtId="0" fontId="5" fillId="0" borderId="0" xfId="0" applyFont="1"/>
    <xf numFmtId="164" fontId="2" fillId="0" borderId="0" xfId="0" applyNumberFormat="1" applyFont="1" applyAlignment="1">
      <alignment horizontal="left" indent="1"/>
    </xf>
    <xf numFmtId="0" fontId="8" fillId="4" borderId="0" xfId="0" applyFont="1" applyFill="1" applyAlignment="1">
      <alignment horizontal="left" indent="1"/>
    </xf>
    <xf numFmtId="0" fontId="2" fillId="0" borderId="0" xfId="0" applyFont="1" applyAlignment="1">
      <alignment horizontal="center"/>
    </xf>
    <xf numFmtId="0" fontId="9" fillId="0" borderId="3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0" fillId="0" borderId="0" xfId="0" applyFont="1" applyAlignment="1">
      <alignment horizontal="left" indent="1"/>
    </xf>
    <xf numFmtId="37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left" indent="1"/>
    </xf>
    <xf numFmtId="14" fontId="2" fillId="0" borderId="0" xfId="0" quotePrefix="1" applyNumberFormat="1" applyFont="1"/>
    <xf numFmtId="0" fontId="11" fillId="0" borderId="0" xfId="0" applyFont="1" applyAlignment="1">
      <alignment horizontal="left" indent="1"/>
    </xf>
    <xf numFmtId="0" fontId="2" fillId="0" borderId="0" xfId="0" applyFont="1" applyAlignment="1">
      <alignment horizontal="left" vertical="center" wrapText="1" indent="1"/>
    </xf>
    <xf numFmtId="0" fontId="6" fillId="3" borderId="2" xfId="2" applyFont="1" applyFill="1" applyBorder="1" applyAlignment="1">
      <alignment horizontal="left" vertical="top" wrapText="1"/>
    </xf>
  </cellXfs>
  <cellStyles count="3">
    <cellStyle name="Hyperlink" xfId="1" builtinId="8" customBuiltin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ffice.microsoft.com/en-us/excel-help/keyboard-shortcuts-in-excel-2010-HP010342494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99"/>
  <sheetViews>
    <sheetView tabSelected="1" topLeftCell="A34" zoomScaleNormal="100" zoomScaleSheetLayoutView="100" workbookViewId="0">
      <selection activeCell="A39" sqref="A39"/>
    </sheetView>
  </sheetViews>
  <sheetFormatPr defaultRowHeight="11.25" x14ac:dyDescent="0.2"/>
  <cols>
    <col min="1" max="1" width="11" style="6" customWidth="1"/>
    <col min="2" max="2" width="30" style="1" customWidth="1"/>
    <col min="3" max="3" width="42.7109375" style="1" customWidth="1"/>
    <col min="4" max="4" width="15.7109375" style="1" customWidth="1"/>
    <col min="5" max="16384" width="9.140625" style="1"/>
  </cols>
  <sheetData>
    <row r="1" spans="1:5" x14ac:dyDescent="0.2">
      <c r="B1" s="21" t="s">
        <v>99</v>
      </c>
    </row>
    <row r="4" spans="1:5" x14ac:dyDescent="0.2">
      <c r="A4" s="11" t="s">
        <v>0</v>
      </c>
      <c r="B4" s="9"/>
      <c r="C4" s="9"/>
    </row>
    <row r="5" spans="1:5" x14ac:dyDescent="0.2">
      <c r="B5" s="6" t="s">
        <v>118</v>
      </c>
      <c r="C5" s="6" t="s">
        <v>117</v>
      </c>
    </row>
    <row r="6" spans="1:5" x14ac:dyDescent="0.2">
      <c r="B6" s="24" t="s">
        <v>119</v>
      </c>
      <c r="C6" s="28"/>
    </row>
    <row r="7" spans="1:5" x14ac:dyDescent="0.2">
      <c r="C7" s="6"/>
    </row>
    <row r="8" spans="1:5" x14ac:dyDescent="0.2">
      <c r="B8" s="10" t="s">
        <v>1</v>
      </c>
      <c r="C8" s="6" t="s">
        <v>121</v>
      </c>
    </row>
    <row r="9" spans="1:5" x14ac:dyDescent="0.2">
      <c r="B9" s="6" t="s">
        <v>2</v>
      </c>
      <c r="C9" s="6" t="s">
        <v>122</v>
      </c>
      <c r="D9" s="3">
        <f ca="1">TODAY()</f>
        <v>41327</v>
      </c>
      <c r="E9" s="3"/>
    </row>
    <row r="10" spans="1:5" x14ac:dyDescent="0.2">
      <c r="B10" s="6" t="s">
        <v>4</v>
      </c>
      <c r="C10" s="6" t="s">
        <v>128</v>
      </c>
    </row>
    <row r="11" spans="1:5" x14ac:dyDescent="0.2">
      <c r="B11" s="6" t="s">
        <v>67</v>
      </c>
      <c r="C11" s="6" t="s">
        <v>187</v>
      </c>
    </row>
    <row r="12" spans="1:5" x14ac:dyDescent="0.2">
      <c r="B12" s="6" t="s">
        <v>120</v>
      </c>
      <c r="C12" s="6" t="s">
        <v>127</v>
      </c>
    </row>
    <row r="13" spans="1:5" x14ac:dyDescent="0.2">
      <c r="B13" s="6" t="s">
        <v>126</v>
      </c>
      <c r="C13" s="6" t="s">
        <v>123</v>
      </c>
      <c r="D13" s="1">
        <v>95</v>
      </c>
      <c r="E13" s="1">
        <v>100</v>
      </c>
    </row>
    <row r="14" spans="1:5" x14ac:dyDescent="0.2">
      <c r="B14" s="6" t="s">
        <v>125</v>
      </c>
      <c r="C14" s="6" t="s">
        <v>124</v>
      </c>
      <c r="D14" s="2" t="s">
        <v>3</v>
      </c>
    </row>
    <row r="16" spans="1:5" x14ac:dyDescent="0.2">
      <c r="A16" s="11" t="s">
        <v>115</v>
      </c>
      <c r="B16" s="9"/>
      <c r="C16" s="9"/>
    </row>
    <row r="17" spans="1:3" x14ac:dyDescent="0.2">
      <c r="B17" s="6" t="s">
        <v>70</v>
      </c>
      <c r="C17" s="6" t="s">
        <v>133</v>
      </c>
    </row>
    <row r="18" spans="1:3" x14ac:dyDescent="0.2">
      <c r="B18" s="6" t="s">
        <v>172</v>
      </c>
      <c r="C18" s="19" t="s">
        <v>71</v>
      </c>
    </row>
    <row r="19" spans="1:3" x14ac:dyDescent="0.2">
      <c r="B19" s="6" t="s">
        <v>73</v>
      </c>
      <c r="C19" s="6" t="s">
        <v>74</v>
      </c>
    </row>
    <row r="20" spans="1:3" x14ac:dyDescent="0.2">
      <c r="B20" s="6" t="s">
        <v>140</v>
      </c>
      <c r="C20" s="6" t="s">
        <v>72</v>
      </c>
    </row>
    <row r="21" spans="1:3" x14ac:dyDescent="0.2">
      <c r="B21" s="6" t="s">
        <v>130</v>
      </c>
      <c r="C21" s="6" t="s">
        <v>131</v>
      </c>
    </row>
    <row r="22" spans="1:3" x14ac:dyDescent="0.2">
      <c r="C22" s="6" t="s">
        <v>132</v>
      </c>
    </row>
    <row r="23" spans="1:3" x14ac:dyDescent="0.2">
      <c r="B23" s="6"/>
      <c r="C23" s="12"/>
    </row>
    <row r="24" spans="1:3" x14ac:dyDescent="0.2">
      <c r="B24" s="6" t="s">
        <v>142</v>
      </c>
      <c r="C24" s="1" t="s">
        <v>8</v>
      </c>
    </row>
    <row r="25" spans="1:3" x14ac:dyDescent="0.2">
      <c r="B25" s="6" t="s">
        <v>141</v>
      </c>
      <c r="C25" s="5">
        <f>1+2</f>
        <v>3</v>
      </c>
    </row>
    <row r="26" spans="1:3" x14ac:dyDescent="0.2">
      <c r="B26" s="6" t="s">
        <v>79</v>
      </c>
      <c r="C26" s="30" t="s">
        <v>39</v>
      </c>
    </row>
    <row r="27" spans="1:3" x14ac:dyDescent="0.2">
      <c r="B27" s="6" t="s">
        <v>80</v>
      </c>
      <c r="C27" s="5">
        <f>900+400+300</f>
        <v>1600</v>
      </c>
    </row>
    <row r="28" spans="1:3" x14ac:dyDescent="0.2">
      <c r="B28" s="6"/>
      <c r="C28" s="6"/>
    </row>
    <row r="29" spans="1:3" x14ac:dyDescent="0.2">
      <c r="B29" s="6" t="s">
        <v>75</v>
      </c>
      <c r="C29" s="12" t="s">
        <v>82</v>
      </c>
    </row>
    <row r="30" spans="1:3" x14ac:dyDescent="0.2">
      <c r="B30" s="6"/>
      <c r="C30" s="12"/>
    </row>
    <row r="31" spans="1:3" x14ac:dyDescent="0.2">
      <c r="A31" s="11" t="s">
        <v>152</v>
      </c>
      <c r="B31" s="9"/>
      <c r="C31" s="9"/>
    </row>
    <row r="32" spans="1:3" x14ac:dyDescent="0.2">
      <c r="B32" s="6" t="s">
        <v>40</v>
      </c>
    </row>
    <row r="33" spans="1:3" x14ac:dyDescent="0.2">
      <c r="B33" s="6" t="s">
        <v>41</v>
      </c>
      <c r="C33" s="6" t="s">
        <v>164</v>
      </c>
    </row>
    <row r="34" spans="1:3" x14ac:dyDescent="0.2">
      <c r="B34" s="6" t="s">
        <v>42</v>
      </c>
    </row>
    <row r="35" spans="1:3" x14ac:dyDescent="0.2">
      <c r="B35" s="6" t="s">
        <v>83</v>
      </c>
      <c r="C35" s="6" t="s">
        <v>129</v>
      </c>
    </row>
    <row r="36" spans="1:3" x14ac:dyDescent="0.2">
      <c r="B36" s="6" t="s">
        <v>43</v>
      </c>
    </row>
    <row r="37" spans="1:3" x14ac:dyDescent="0.2">
      <c r="B37" s="6" t="s">
        <v>44</v>
      </c>
    </row>
    <row r="38" spans="1:3" x14ac:dyDescent="0.2">
      <c r="B38" s="6" t="s">
        <v>45</v>
      </c>
    </row>
    <row r="39" spans="1:3" x14ac:dyDescent="0.2">
      <c r="B39" s="6" t="s">
        <v>46</v>
      </c>
    </row>
    <row r="40" spans="1:3" x14ac:dyDescent="0.2">
      <c r="B40" s="6" t="s">
        <v>47</v>
      </c>
    </row>
    <row r="41" spans="1:3" x14ac:dyDescent="0.2">
      <c r="B41" s="6" t="s">
        <v>48</v>
      </c>
    </row>
    <row r="42" spans="1:3" x14ac:dyDescent="0.2">
      <c r="B42" s="6"/>
    </row>
    <row r="43" spans="1:3" x14ac:dyDescent="0.2">
      <c r="A43" s="11" t="s">
        <v>106</v>
      </c>
      <c r="B43" s="9"/>
      <c r="C43" s="9"/>
    </row>
    <row r="44" spans="1:3" x14ac:dyDescent="0.2">
      <c r="A44" s="20" t="s">
        <v>112</v>
      </c>
      <c r="B44" s="6"/>
      <c r="C44" s="6"/>
    </row>
    <row r="45" spans="1:3" x14ac:dyDescent="0.2">
      <c r="B45" s="19" t="s">
        <v>107</v>
      </c>
    </row>
    <row r="46" spans="1:3" x14ac:dyDescent="0.2">
      <c r="B46" s="19" t="s">
        <v>155</v>
      </c>
    </row>
    <row r="47" spans="1:3" x14ac:dyDescent="0.2">
      <c r="B47" s="19" t="s">
        <v>156</v>
      </c>
    </row>
    <row r="48" spans="1:3" x14ac:dyDescent="0.2">
      <c r="B48" s="19" t="s">
        <v>108</v>
      </c>
      <c r="C48" s="17"/>
    </row>
    <row r="49" spans="1:4" x14ac:dyDescent="0.2">
      <c r="B49" s="6" t="s">
        <v>139</v>
      </c>
    </row>
    <row r="51" spans="1:4" x14ac:dyDescent="0.2">
      <c r="B51" s="6"/>
    </row>
    <row r="52" spans="1:4" x14ac:dyDescent="0.2">
      <c r="A52" s="11" t="s">
        <v>98</v>
      </c>
      <c r="B52" s="9"/>
      <c r="C52" s="9"/>
    </row>
    <row r="53" spans="1:4" x14ac:dyDescent="0.2">
      <c r="B53" s="6" t="s">
        <v>111</v>
      </c>
      <c r="C53" s="12" t="s">
        <v>60</v>
      </c>
      <c r="D53" s="1" t="s">
        <v>105</v>
      </c>
    </row>
    <row r="54" spans="1:4" x14ac:dyDescent="0.2">
      <c r="B54" s="6"/>
      <c r="C54" s="12"/>
    </row>
    <row r="55" spans="1:4" x14ac:dyDescent="0.2">
      <c r="A55" s="20" t="s">
        <v>112</v>
      </c>
      <c r="B55" s="6"/>
      <c r="C55" s="12"/>
    </row>
    <row r="56" spans="1:4" x14ac:dyDescent="0.2">
      <c r="B56" s="6" t="s">
        <v>81</v>
      </c>
      <c r="C56" s="6" t="s">
        <v>104</v>
      </c>
    </row>
    <row r="57" spans="1:4" x14ac:dyDescent="0.2">
      <c r="B57" s="6" t="s">
        <v>101</v>
      </c>
      <c r="C57" s="6" t="s">
        <v>103</v>
      </c>
    </row>
    <row r="58" spans="1:4" x14ac:dyDescent="0.2">
      <c r="B58" s="6" t="s">
        <v>76</v>
      </c>
      <c r="C58" s="6" t="str">
        <f>"david " &amp; "likes " &amp; "excel "</f>
        <v xml:space="preserve">david likes excel </v>
      </c>
      <c r="D58" s="2" t="s">
        <v>166</v>
      </c>
    </row>
    <row r="59" spans="1:4" x14ac:dyDescent="0.2">
      <c r="B59" s="6" t="s">
        <v>77</v>
      </c>
      <c r="C59" s="6" t="str">
        <f>"the weather this winter was great " &amp; 95/100 &amp;"% of the time"</f>
        <v>the weather this winter was great 0.95% of the time</v>
      </c>
      <c r="D59" s="2" t="s">
        <v>167</v>
      </c>
    </row>
    <row r="60" spans="1:4" x14ac:dyDescent="0.2">
      <c r="B60" s="6" t="s">
        <v>78</v>
      </c>
      <c r="C60" s="6" t="str">
        <f>CONCATENATE("christine agrees that ",C59)</f>
        <v>christine agrees that the weather this winter was great 0.95% of the time</v>
      </c>
      <c r="D60" s="2" t="s">
        <v>168</v>
      </c>
    </row>
    <row r="61" spans="1:4" x14ac:dyDescent="0.2">
      <c r="B61" s="6"/>
      <c r="C61" s="6"/>
    </row>
    <row r="62" spans="1:4" x14ac:dyDescent="0.2">
      <c r="B62" s="6"/>
      <c r="C62" s="6"/>
    </row>
    <row r="63" spans="1:4" x14ac:dyDescent="0.2">
      <c r="B63" s="6"/>
      <c r="C63" s="6"/>
    </row>
    <row r="64" spans="1:4" x14ac:dyDescent="0.2">
      <c r="B64" s="6"/>
      <c r="C64" s="6"/>
    </row>
    <row r="65" spans="1:5" x14ac:dyDescent="0.2">
      <c r="C65" s="17"/>
    </row>
    <row r="66" spans="1:5" x14ac:dyDescent="0.2">
      <c r="A66" s="11" t="s">
        <v>109</v>
      </c>
      <c r="B66" s="9"/>
      <c r="C66" s="9"/>
    </row>
    <row r="68" spans="1:5" x14ac:dyDescent="0.2">
      <c r="A68" s="20" t="s">
        <v>112</v>
      </c>
      <c r="B68" s="6"/>
      <c r="C68" s="5"/>
      <c r="D68" s="6"/>
    </row>
    <row r="69" spans="1:5" x14ac:dyDescent="0.2">
      <c r="B69" s="1" t="s">
        <v>110</v>
      </c>
      <c r="C69" s="4"/>
    </row>
    <row r="70" spans="1:5" x14ac:dyDescent="0.2">
      <c r="B70" s="17" t="s">
        <v>71</v>
      </c>
    </row>
    <row r="71" spans="1:5" x14ac:dyDescent="0.2">
      <c r="B71" s="1" t="s">
        <v>113</v>
      </c>
    </row>
    <row r="72" spans="1:5" x14ac:dyDescent="0.2">
      <c r="A72" s="20" t="s">
        <v>114</v>
      </c>
    </row>
    <row r="73" spans="1:5" x14ac:dyDescent="0.2">
      <c r="B73" s="6" t="s">
        <v>6</v>
      </c>
      <c r="C73" s="6" t="str">
        <f>PROPER(B73)</f>
        <v>Bad Caps</v>
      </c>
      <c r="D73" s="26" t="s">
        <v>169</v>
      </c>
    </row>
    <row r="74" spans="1:5" x14ac:dyDescent="0.2">
      <c r="B74" s="6" t="s">
        <v>7</v>
      </c>
      <c r="C74" s="6" t="str">
        <f>LOWER(B74)</f>
        <v>lowercase</v>
      </c>
      <c r="D74" s="26" t="s">
        <v>170</v>
      </c>
    </row>
    <row r="75" spans="1:5" x14ac:dyDescent="0.2">
      <c r="B75" s="6" t="s">
        <v>5</v>
      </c>
      <c r="C75" s="6" t="str">
        <f>TRIM(B75)</f>
        <v>Extra spaces</v>
      </c>
      <c r="D75" s="26" t="s">
        <v>171</v>
      </c>
    </row>
    <row r="76" spans="1:5" ht="33.75" x14ac:dyDescent="0.2">
      <c r="B76" s="29" t="s">
        <v>188</v>
      </c>
      <c r="C76" s="13" t="s">
        <v>84</v>
      </c>
    </row>
    <row r="78" spans="1:5" x14ac:dyDescent="0.2">
      <c r="B78" s="6"/>
      <c r="C78" s="6"/>
    </row>
    <row r="79" spans="1:5" x14ac:dyDescent="0.2">
      <c r="A79" s="11" t="s">
        <v>116</v>
      </c>
      <c r="B79" s="9"/>
      <c r="C79" s="9"/>
    </row>
    <row r="80" spans="1:5" x14ac:dyDescent="0.2">
      <c r="B80" s="6" t="s">
        <v>62</v>
      </c>
      <c r="C80" s="6" t="s">
        <v>29</v>
      </c>
      <c r="D80" s="1" t="str">
        <f>VLOOKUP(C80,Survey!A:C,3,FALSE)</f>
        <v>lclark@yourserver.net</v>
      </c>
      <c r="E80" s="2" t="s">
        <v>191</v>
      </c>
    </row>
    <row r="81" spans="2:5" x14ac:dyDescent="0.2">
      <c r="B81" s="6" t="s">
        <v>63</v>
      </c>
      <c r="C81" s="6" t="s">
        <v>189</v>
      </c>
      <c r="D81" s="1" t="str">
        <f>INDEX(Survey!A:C,MATCH(Main!C81,Survey!C:C,0),1)</f>
        <v>Clark</v>
      </c>
      <c r="E81" s="2" t="s">
        <v>190</v>
      </c>
    </row>
    <row r="82" spans="2:5" x14ac:dyDescent="0.2">
      <c r="B82" s="6" t="s">
        <v>64</v>
      </c>
      <c r="C82" s="3"/>
    </row>
    <row r="83" spans="2:5" x14ac:dyDescent="0.2">
      <c r="B83" s="8" t="s">
        <v>68</v>
      </c>
      <c r="C83" s="7">
        <f ca="1">NOW()</f>
        <v>41327.71205185185</v>
      </c>
      <c r="D83" s="27" t="s">
        <v>173</v>
      </c>
    </row>
    <row r="84" spans="2:5" x14ac:dyDescent="0.2">
      <c r="B84" s="8" t="s">
        <v>69</v>
      </c>
      <c r="C84" s="5">
        <f ca="1">"06/30/2013"-C83</f>
        <v>127.28794814815046</v>
      </c>
      <c r="D84" s="27" t="s">
        <v>174</v>
      </c>
    </row>
    <row r="85" spans="2:5" x14ac:dyDescent="0.2">
      <c r="B85" s="8" t="s">
        <v>66</v>
      </c>
      <c r="C85" s="14">
        <f ca="1">("06/30/2013"-NOW())/365</f>
        <v>0.3487341045154807</v>
      </c>
      <c r="D85" s="27" t="s">
        <v>175</v>
      </c>
    </row>
    <row r="86" spans="2:5" x14ac:dyDescent="0.2">
      <c r="B86" s="8" t="s">
        <v>65</v>
      </c>
      <c r="C86" s="5">
        <f ca="1">WEEKNUM(NOW(),1)</f>
        <v>8</v>
      </c>
      <c r="D86" s="27" t="s">
        <v>176</v>
      </c>
    </row>
    <row r="87" spans="2:5" x14ac:dyDescent="0.2">
      <c r="B87" s="8"/>
    </row>
    <row r="88" spans="2:5" x14ac:dyDescent="0.2">
      <c r="B88" s="8"/>
    </row>
    <row r="97" spans="1:4" x14ac:dyDescent="0.2">
      <c r="A97" s="1" t="s">
        <v>100</v>
      </c>
      <c r="D97" s="18" t="s">
        <v>61</v>
      </c>
    </row>
    <row r="99" spans="1:4" x14ac:dyDescent="0.2">
      <c r="B99" s="12"/>
    </row>
  </sheetData>
  <hyperlinks>
    <hyperlink ref="C29" r:id="rId1"/>
    <hyperlink ref="C53" location="ContactInfo!A1" display="Penn Law Directory"/>
  </hyperlinks>
  <pageMargins left="0.7" right="0.7" top="0.75" bottom="0.75" header="0.3" footer="0.3"/>
  <pageSetup scale="80" orientation="portrait" r:id="rId2"/>
  <headerFooter>
    <oddHeader>&amp;C&amp;"Arial,Regular"&amp;12Excel Lunch and Learn&amp;R&amp;T</oddHeader>
    <oddFooter>&amp;C&amp;D</oddFooter>
  </headerFooter>
  <rowBreaks count="1" manualBreakCount="1">
    <brk id="86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30"/>
  <sheetViews>
    <sheetView workbookViewId="0">
      <selection activeCell="C22" sqref="C22"/>
    </sheetView>
  </sheetViews>
  <sheetFormatPr defaultRowHeight="11.25" x14ac:dyDescent="0.2"/>
  <cols>
    <col min="1" max="1" width="8.5703125" style="1" bestFit="1" customWidth="1"/>
    <col min="2" max="2" width="7.42578125" style="1" customWidth="1"/>
    <col min="3" max="3" width="12.42578125" style="1" customWidth="1"/>
    <col min="4" max="4" width="8.85546875" style="1" bestFit="1" customWidth="1"/>
    <col min="5" max="6" width="9.140625" style="1"/>
    <col min="7" max="7" width="9.140625" style="1" customWidth="1"/>
    <col min="8" max="8" width="13.140625" style="1" bestFit="1" customWidth="1"/>
    <col min="9" max="11" width="9.140625" style="1"/>
    <col min="12" max="12" width="13.140625" style="1" bestFit="1" customWidth="1"/>
    <col min="13" max="14" width="9.140625" style="1"/>
    <col min="15" max="15" width="24.7109375" style="1" bestFit="1" customWidth="1"/>
    <col min="16" max="16" width="9.140625" style="1"/>
    <col min="17" max="17" width="8.85546875" style="1" customWidth="1"/>
    <col min="18" max="16384" width="9.140625" style="1"/>
  </cols>
  <sheetData>
    <row r="1" spans="1:17" ht="33.75" x14ac:dyDescent="0.2">
      <c r="A1" s="22" t="s">
        <v>50</v>
      </c>
      <c r="B1" s="23" t="s">
        <v>49</v>
      </c>
      <c r="C1" s="23" t="s">
        <v>138</v>
      </c>
      <c r="D1" s="23" t="s">
        <v>143</v>
      </c>
      <c r="E1" s="23" t="s">
        <v>144</v>
      </c>
      <c r="F1" s="23" t="s">
        <v>145</v>
      </c>
      <c r="G1" s="23" t="s">
        <v>150</v>
      </c>
      <c r="H1" s="23" t="s">
        <v>147</v>
      </c>
      <c r="I1" s="23" t="s">
        <v>146</v>
      </c>
      <c r="J1" s="23" t="s">
        <v>151</v>
      </c>
      <c r="K1" s="23" t="s">
        <v>149</v>
      </c>
      <c r="L1" s="23" t="s">
        <v>147</v>
      </c>
      <c r="M1" s="23" t="s">
        <v>148</v>
      </c>
      <c r="N1" s="16"/>
      <c r="O1" s="18" t="s">
        <v>134</v>
      </c>
      <c r="Q1" s="18" t="s">
        <v>61</v>
      </c>
    </row>
    <row r="2" spans="1:17" x14ac:dyDescent="0.2">
      <c r="A2" s="15" t="s">
        <v>9</v>
      </c>
      <c r="B2" s="1" t="s">
        <v>86</v>
      </c>
      <c r="C2" s="1" t="str">
        <f t="shared" ref="C2:C30" si="0">LOWER(LEFT(B2,1))&amp;LOWER(A2)&amp;"@yourserver.net"</f>
        <v>jsmith@yourserver.net</v>
      </c>
      <c r="D2" s="21" t="s">
        <v>85</v>
      </c>
      <c r="E2" s="21" t="s">
        <v>85</v>
      </c>
      <c r="F2" s="25">
        <f t="shared" ref="F2:F5" ca="1" si="1">IF(D2="y",RANDBETWEEN(1,10),0)</f>
        <v>1</v>
      </c>
      <c r="G2" s="1" t="str">
        <f ca="1">IF(($D2="y"),CHOOSE(RANDBETWEEN(1,4),"Macintosh","Delicious","Honey Crisp","Pink Lady"),"")</f>
        <v>Honey Crisp</v>
      </c>
      <c r="H2" s="1" t="str">
        <f ca="1">IF(($D2="y"),CHOOSE(RANDBETWEEN(1,3),"farmer's market","grocery store","corner deli"),"")</f>
        <v>farmer's market</v>
      </c>
      <c r="I2" s="21" t="s">
        <v>85</v>
      </c>
      <c r="J2" s="21" t="s">
        <v>85</v>
      </c>
      <c r="K2" s="1" t="str">
        <f ca="1">IF(($I2="y"),CHOOSE(RANDBETWEEN(1,4),"navel","clementine","tangerine","grapefruit"),"")</f>
        <v>tangerine</v>
      </c>
      <c r="L2" s="1" t="str">
        <f ca="1">IF((I2="y"),CHOOSE(RANDBETWEEN(1,3),"farmer's market","grocery store","corner deli"),"")</f>
        <v>corner deli</v>
      </c>
      <c r="M2" s="5">
        <f ca="1">IF(I2="y",RANDBETWEEN(1,10),0)</f>
        <v>2</v>
      </c>
      <c r="O2" s="1" t="s">
        <v>161</v>
      </c>
      <c r="P2" s="17">
        <f>COUNTA(C:C)-1</f>
        <v>29</v>
      </c>
      <c r="Q2" s="2" t="s">
        <v>158</v>
      </c>
    </row>
    <row r="3" spans="1:17" x14ac:dyDescent="0.2">
      <c r="A3" s="15" t="s">
        <v>10</v>
      </c>
      <c r="B3" s="1" t="s">
        <v>135</v>
      </c>
      <c r="C3" s="1" t="str">
        <f t="shared" si="0"/>
        <v>wjohnson@yourserver.net</v>
      </c>
      <c r="D3" s="21" t="s">
        <v>85</v>
      </c>
      <c r="E3" s="21" t="s">
        <v>97</v>
      </c>
      <c r="F3" s="25">
        <f t="shared" ca="1" si="1"/>
        <v>10</v>
      </c>
      <c r="G3" s="1" t="str">
        <f t="shared" ref="G3:G30" ca="1" si="2">IF(($D3="y"),CHOOSE(RANDBETWEEN(1,4),"Macintosh","Delicious","Honey Crisp","Pink Lady"),"")</f>
        <v>Pink Lady</v>
      </c>
      <c r="H3" s="1" t="str">
        <f t="shared" ref="H3:H30" ca="1" si="3">IF(($D3="y"),CHOOSE(RANDBETWEEN(1,3),"farmer's market","grocery store","corner deli"),"")</f>
        <v>corner deli</v>
      </c>
      <c r="I3" s="21" t="s">
        <v>85</v>
      </c>
      <c r="J3" s="21" t="s">
        <v>85</v>
      </c>
      <c r="K3" s="1" t="str">
        <f t="shared" ref="K3:K30" ca="1" si="4">IF(($I3="y"),CHOOSE(RANDBETWEEN(1,4),"navel","clementine","tangerine","grapefruit"),"")</f>
        <v>grapefruit</v>
      </c>
      <c r="L3" s="1" t="str">
        <f t="shared" ref="L3:L30" ca="1" si="5">IF((I3="y"),CHOOSE(RANDBETWEEN(1,3),"farmer's market","grocery store","corner deli"),"")</f>
        <v>corner deli</v>
      </c>
      <c r="M3" s="5">
        <f t="shared" ref="M3:M30" ca="1" si="6">IF(I3="y",RANDBETWEEN(1,10),0)</f>
        <v>7</v>
      </c>
      <c r="O3" s="1" t="s">
        <v>153</v>
      </c>
      <c r="P3" s="17">
        <f>COUNTIF(D:D,"y")</f>
        <v>19</v>
      </c>
      <c r="Q3" s="2" t="s">
        <v>157</v>
      </c>
    </row>
    <row r="4" spans="1:17" x14ac:dyDescent="0.2">
      <c r="A4" s="15" t="s">
        <v>11</v>
      </c>
      <c r="B4" s="1" t="s">
        <v>91</v>
      </c>
      <c r="C4" s="1" t="str">
        <f t="shared" si="0"/>
        <v>mwilliams@yourserver.net</v>
      </c>
      <c r="D4" s="21" t="s">
        <v>85</v>
      </c>
      <c r="E4" s="21" t="s">
        <v>85</v>
      </c>
      <c r="F4" s="25">
        <f t="shared" ca="1" si="1"/>
        <v>3</v>
      </c>
      <c r="G4" s="1" t="str">
        <f t="shared" ca="1" si="2"/>
        <v>Delicious</v>
      </c>
      <c r="H4" s="1" t="str">
        <f t="shared" ca="1" si="3"/>
        <v>grocery store</v>
      </c>
      <c r="I4" s="21" t="s">
        <v>85</v>
      </c>
      <c r="J4" s="21" t="s">
        <v>85</v>
      </c>
      <c r="K4" s="1" t="str">
        <f t="shared" ca="1" si="4"/>
        <v>navel</v>
      </c>
      <c r="L4" s="1" t="str">
        <f t="shared" ca="1" si="5"/>
        <v>grocery store</v>
      </c>
      <c r="M4" s="5">
        <f t="shared" ca="1" si="6"/>
        <v>3</v>
      </c>
      <c r="O4" s="1" t="s">
        <v>154</v>
      </c>
      <c r="P4" s="17">
        <f>COUNTIFS(D:D,"y",I:I,"y")</f>
        <v>18</v>
      </c>
      <c r="Q4" s="2" t="s">
        <v>182</v>
      </c>
    </row>
    <row r="5" spans="1:17" x14ac:dyDescent="0.2">
      <c r="A5" s="15" t="s">
        <v>12</v>
      </c>
      <c r="B5" s="1" t="s">
        <v>57</v>
      </c>
      <c r="C5" s="1" t="str">
        <f t="shared" si="0"/>
        <v>jjones@yourserver.net</v>
      </c>
      <c r="D5" s="21" t="s">
        <v>85</v>
      </c>
      <c r="E5" s="21" t="s">
        <v>97</v>
      </c>
      <c r="F5" s="25">
        <f t="shared" ca="1" si="1"/>
        <v>2</v>
      </c>
      <c r="G5" s="1" t="str">
        <f t="shared" ca="1" si="2"/>
        <v>Macintosh</v>
      </c>
      <c r="H5" s="1" t="str">
        <f t="shared" ca="1" si="3"/>
        <v>farmer's market</v>
      </c>
      <c r="I5" s="21" t="s">
        <v>85</v>
      </c>
      <c r="J5" s="21" t="s">
        <v>85</v>
      </c>
      <c r="K5" s="1" t="str">
        <f t="shared" ca="1" si="4"/>
        <v>navel</v>
      </c>
      <c r="L5" s="1" t="str">
        <f t="shared" ca="1" si="5"/>
        <v>corner deli</v>
      </c>
      <c r="M5" s="5">
        <f t="shared" ca="1" si="6"/>
        <v>10</v>
      </c>
      <c r="O5" s="1" t="s">
        <v>159</v>
      </c>
      <c r="P5" s="17">
        <f>COUNTIFS(D:D,"y",E:E,"n")</f>
        <v>10</v>
      </c>
      <c r="Q5" s="2" t="s">
        <v>181</v>
      </c>
    </row>
    <row r="6" spans="1:17" x14ac:dyDescent="0.2">
      <c r="A6" s="15" t="s">
        <v>13</v>
      </c>
      <c r="B6" s="1" t="s">
        <v>54</v>
      </c>
      <c r="C6" s="1" t="str">
        <f t="shared" si="0"/>
        <v>rbrown@yourserver.net</v>
      </c>
      <c r="D6" s="21" t="s">
        <v>97</v>
      </c>
      <c r="E6" s="21"/>
      <c r="F6" s="25">
        <f ca="1">IF(D6="y",RANDBETWEEN(1,10),0)</f>
        <v>0</v>
      </c>
      <c r="G6" s="1" t="str">
        <f t="shared" ca="1" si="2"/>
        <v/>
      </c>
      <c r="H6" s="1" t="str">
        <f t="shared" ca="1" si="3"/>
        <v/>
      </c>
      <c r="I6" s="21" t="s">
        <v>85</v>
      </c>
      <c r="J6" s="21" t="s">
        <v>85</v>
      </c>
      <c r="K6" s="1" t="str">
        <f t="shared" ca="1" si="4"/>
        <v>grapefruit</v>
      </c>
      <c r="L6" s="1" t="str">
        <f t="shared" ca="1" si="5"/>
        <v>farmer's market</v>
      </c>
      <c r="M6" s="5">
        <f t="shared" ca="1" si="6"/>
        <v>3</v>
      </c>
      <c r="O6" s="1" t="s">
        <v>179</v>
      </c>
      <c r="P6" s="17">
        <f ca="1">AVERAGE(F:F)</f>
        <v>3.0689655172413794</v>
      </c>
      <c r="Q6" s="2" t="s">
        <v>160</v>
      </c>
    </row>
    <row r="7" spans="1:17" x14ac:dyDescent="0.2">
      <c r="A7" s="15" t="s">
        <v>14</v>
      </c>
      <c r="B7" s="1" t="s">
        <v>59</v>
      </c>
      <c r="C7" s="1" t="str">
        <f t="shared" si="0"/>
        <v>tdavis@yourserver.net</v>
      </c>
      <c r="D7" s="21" t="s">
        <v>85</v>
      </c>
      <c r="E7" s="21" t="s">
        <v>85</v>
      </c>
      <c r="F7" s="25">
        <f t="shared" ref="F7:F30" ca="1" si="7">IF(D7="y",RANDBETWEEN(1,10),0)</f>
        <v>3</v>
      </c>
      <c r="G7" s="1" t="str">
        <f t="shared" ca="1" si="2"/>
        <v>Honey Crisp</v>
      </c>
      <c r="H7" s="1" t="str">
        <f t="shared" ca="1" si="3"/>
        <v>farmer's market</v>
      </c>
      <c r="I7" s="21" t="s">
        <v>85</v>
      </c>
      <c r="J7" s="21" t="s">
        <v>85</v>
      </c>
      <c r="K7" s="1" t="str">
        <f t="shared" ca="1" si="4"/>
        <v>grapefruit</v>
      </c>
      <c r="L7" s="1" t="str">
        <f t="shared" ca="1" si="5"/>
        <v>grocery store</v>
      </c>
      <c r="M7" s="5">
        <f t="shared" ca="1" si="6"/>
        <v>5</v>
      </c>
      <c r="O7" s="1" t="s">
        <v>178</v>
      </c>
      <c r="P7" s="17">
        <f ca="1">AVERAGEIF(F:F,"&gt;0")</f>
        <v>4.6842105263157894</v>
      </c>
      <c r="Q7" s="2" t="s">
        <v>180</v>
      </c>
    </row>
    <row r="8" spans="1:17" x14ac:dyDescent="0.2">
      <c r="A8" s="15" t="s">
        <v>15</v>
      </c>
      <c r="B8" s="1" t="s">
        <v>52</v>
      </c>
      <c r="C8" s="1" t="str">
        <f t="shared" si="0"/>
        <v>gmiller@yourserver.net</v>
      </c>
      <c r="D8" s="21" t="s">
        <v>85</v>
      </c>
      <c r="E8" s="21" t="s">
        <v>97</v>
      </c>
      <c r="F8" s="25">
        <f t="shared" ca="1" si="7"/>
        <v>6</v>
      </c>
      <c r="G8" s="1" t="str">
        <f t="shared" ca="1" si="2"/>
        <v>Macintosh</v>
      </c>
      <c r="H8" s="1" t="str">
        <f t="shared" ca="1" si="3"/>
        <v>grocery store</v>
      </c>
      <c r="I8" s="21" t="s">
        <v>85</v>
      </c>
      <c r="J8" s="21" t="s">
        <v>85</v>
      </c>
      <c r="K8" s="1" t="str">
        <f t="shared" ca="1" si="4"/>
        <v>clementine</v>
      </c>
      <c r="L8" s="1" t="str">
        <f t="shared" ca="1" si="5"/>
        <v>grocery store</v>
      </c>
      <c r="M8" s="5">
        <f t="shared" ca="1" si="6"/>
        <v>10</v>
      </c>
      <c r="O8" s="1" t="s">
        <v>177</v>
      </c>
      <c r="P8" s="17">
        <f ca="1">SUMIF(H:H,"farmer's market",F:F)</f>
        <v>14</v>
      </c>
      <c r="Q8" s="2" t="s">
        <v>183</v>
      </c>
    </row>
    <row r="9" spans="1:17" x14ac:dyDescent="0.2">
      <c r="A9" s="15" t="s">
        <v>16</v>
      </c>
      <c r="B9" s="1" t="s">
        <v>87</v>
      </c>
      <c r="C9" s="1" t="str">
        <f t="shared" si="0"/>
        <v>cwilson@yourserver.net</v>
      </c>
      <c r="D9" s="21" t="s">
        <v>97</v>
      </c>
      <c r="E9" s="21"/>
      <c r="F9" s="25">
        <f t="shared" ca="1" si="7"/>
        <v>0</v>
      </c>
      <c r="G9" s="1" t="str">
        <f t="shared" ca="1" si="2"/>
        <v/>
      </c>
      <c r="H9" s="1" t="str">
        <f t="shared" ca="1" si="3"/>
        <v/>
      </c>
      <c r="I9" s="21" t="s">
        <v>85</v>
      </c>
      <c r="J9" s="21" t="s">
        <v>85</v>
      </c>
      <c r="K9" s="1" t="str">
        <f t="shared" ca="1" si="4"/>
        <v>navel</v>
      </c>
      <c r="L9" s="1" t="str">
        <f t="shared" ca="1" si="5"/>
        <v>farmer's market</v>
      </c>
      <c r="M9" s="5">
        <f t="shared" ca="1" si="6"/>
        <v>3</v>
      </c>
      <c r="O9" s="1" t="s">
        <v>162</v>
      </c>
      <c r="P9" s="17">
        <f ca="1">SUMIF(L:L,"corner deli",M:M)</f>
        <v>21</v>
      </c>
      <c r="Q9" s="2" t="s">
        <v>163</v>
      </c>
    </row>
    <row r="10" spans="1:17" x14ac:dyDescent="0.2">
      <c r="A10" s="15" t="s">
        <v>17</v>
      </c>
      <c r="B10" s="1" t="s">
        <v>20</v>
      </c>
      <c r="C10" s="1" t="str">
        <f t="shared" si="0"/>
        <v>tmoore@yourserver.net</v>
      </c>
      <c r="D10" s="21" t="s">
        <v>97</v>
      </c>
      <c r="E10" s="21"/>
      <c r="F10" s="25">
        <f t="shared" ca="1" si="7"/>
        <v>0</v>
      </c>
      <c r="G10" s="1" t="str">
        <f t="shared" ca="1" si="2"/>
        <v/>
      </c>
      <c r="H10" s="1" t="str">
        <f t="shared" ca="1" si="3"/>
        <v/>
      </c>
      <c r="I10" s="21" t="s">
        <v>85</v>
      </c>
      <c r="J10" s="21" t="s">
        <v>85</v>
      </c>
      <c r="K10" s="1" t="str">
        <f t="shared" ca="1" si="4"/>
        <v>tangerine</v>
      </c>
      <c r="L10" s="1" t="str">
        <f t="shared" ca="1" si="5"/>
        <v>grocery store</v>
      </c>
      <c r="M10" s="5">
        <f t="shared" ca="1" si="6"/>
        <v>6</v>
      </c>
      <c r="P10" s="17"/>
    </row>
    <row r="11" spans="1:17" x14ac:dyDescent="0.2">
      <c r="A11" s="15" t="s">
        <v>18</v>
      </c>
      <c r="B11" s="1" t="s">
        <v>38</v>
      </c>
      <c r="C11" s="1" t="str">
        <f t="shared" si="0"/>
        <v>jtaylor@yourserver.net</v>
      </c>
      <c r="D11" s="21" t="s">
        <v>85</v>
      </c>
      <c r="E11" s="21" t="s">
        <v>97</v>
      </c>
      <c r="F11" s="25">
        <f t="shared" ca="1" si="7"/>
        <v>3</v>
      </c>
      <c r="G11" s="1" t="str">
        <f t="shared" ca="1" si="2"/>
        <v>Honey Crisp</v>
      </c>
      <c r="H11" s="1" t="str">
        <f t="shared" ca="1" si="3"/>
        <v>corner deli</v>
      </c>
      <c r="I11" s="21" t="s">
        <v>85</v>
      </c>
      <c r="J11" s="21" t="s">
        <v>85</v>
      </c>
      <c r="K11" s="1" t="str">
        <f t="shared" ca="1" si="4"/>
        <v>clementine</v>
      </c>
      <c r="L11" s="1" t="str">
        <f t="shared" ca="1" si="5"/>
        <v>grocery store</v>
      </c>
      <c r="M11" s="5">
        <f t="shared" ca="1" si="6"/>
        <v>8</v>
      </c>
    </row>
    <row r="12" spans="1:17" x14ac:dyDescent="0.2">
      <c r="A12" s="15" t="s">
        <v>19</v>
      </c>
      <c r="B12" s="1" t="s">
        <v>136</v>
      </c>
      <c r="C12" s="1" t="str">
        <f t="shared" si="0"/>
        <v>handerson@yourserver.net</v>
      </c>
      <c r="D12" s="21" t="s">
        <v>97</v>
      </c>
      <c r="E12" s="21"/>
      <c r="F12" s="25">
        <f t="shared" ca="1" si="7"/>
        <v>0</v>
      </c>
      <c r="G12" s="1" t="str">
        <f t="shared" ca="1" si="2"/>
        <v/>
      </c>
      <c r="H12" s="1" t="str">
        <f t="shared" ca="1" si="3"/>
        <v/>
      </c>
      <c r="I12" s="21" t="s">
        <v>97</v>
      </c>
      <c r="J12" s="21"/>
      <c r="K12" s="1" t="str">
        <f t="shared" ca="1" si="4"/>
        <v/>
      </c>
      <c r="L12" s="1" t="str">
        <f t="shared" ca="1" si="5"/>
        <v/>
      </c>
      <c r="M12" s="5">
        <f t="shared" ca="1" si="6"/>
        <v>0</v>
      </c>
      <c r="O12" s="18" t="s">
        <v>165</v>
      </c>
    </row>
    <row r="13" spans="1:17" x14ac:dyDescent="0.2">
      <c r="A13" s="15" t="s">
        <v>20</v>
      </c>
      <c r="B13" s="1" t="s">
        <v>53</v>
      </c>
      <c r="C13" s="1" t="str">
        <f t="shared" si="0"/>
        <v>ethomas@yourserver.net</v>
      </c>
      <c r="D13" s="21" t="s">
        <v>85</v>
      </c>
      <c r="E13" s="21" t="s">
        <v>85</v>
      </c>
      <c r="F13" s="25">
        <f t="shared" ca="1" si="7"/>
        <v>5</v>
      </c>
      <c r="G13" s="1" t="str">
        <f t="shared" ca="1" si="2"/>
        <v>Pink Lady</v>
      </c>
      <c r="H13" s="1" t="str">
        <f t="shared" ca="1" si="3"/>
        <v>grocery store</v>
      </c>
      <c r="I13" s="21" t="s">
        <v>85</v>
      </c>
      <c r="J13" s="21" t="s">
        <v>97</v>
      </c>
      <c r="K13" s="1" t="str">
        <f t="shared" ca="1" si="4"/>
        <v>tangerine</v>
      </c>
      <c r="L13" s="1" t="str">
        <f t="shared" ca="1" si="5"/>
        <v>farmer's market</v>
      </c>
      <c r="M13" s="5">
        <f t="shared" ca="1" si="6"/>
        <v>5</v>
      </c>
      <c r="O13" s="1" t="s">
        <v>153</v>
      </c>
      <c r="P13" s="4">
        <f>P3/P2</f>
        <v>0.65517241379310343</v>
      </c>
      <c r="Q13" s="2" t="s">
        <v>184</v>
      </c>
    </row>
    <row r="14" spans="1:17" x14ac:dyDescent="0.2">
      <c r="A14" s="15" t="s">
        <v>21</v>
      </c>
      <c r="B14" s="1" t="s">
        <v>55</v>
      </c>
      <c r="C14" s="1" t="str">
        <f t="shared" si="0"/>
        <v>ajackson@yourserver.net</v>
      </c>
      <c r="D14" s="21" t="s">
        <v>85</v>
      </c>
      <c r="E14" s="21" t="s">
        <v>85</v>
      </c>
      <c r="F14" s="25">
        <f t="shared" ca="1" si="7"/>
        <v>8</v>
      </c>
      <c r="G14" s="1" t="str">
        <f t="shared" ca="1" si="2"/>
        <v>Honey Crisp</v>
      </c>
      <c r="H14" s="1" t="str">
        <f t="shared" ca="1" si="3"/>
        <v>farmer's market</v>
      </c>
      <c r="I14" s="21" t="s">
        <v>85</v>
      </c>
      <c r="J14" s="21" t="s">
        <v>85</v>
      </c>
      <c r="K14" s="1" t="str">
        <f t="shared" ca="1" si="4"/>
        <v>clementine</v>
      </c>
      <c r="L14" s="1" t="str">
        <f t="shared" ca="1" si="5"/>
        <v>grocery store</v>
      </c>
      <c r="M14" s="5">
        <f t="shared" ca="1" si="6"/>
        <v>7</v>
      </c>
      <c r="O14" s="1" t="s">
        <v>154</v>
      </c>
      <c r="P14" s="4">
        <f>P4/P2</f>
        <v>0.62068965517241381</v>
      </c>
      <c r="Q14" s="2" t="s">
        <v>185</v>
      </c>
    </row>
    <row r="15" spans="1:17" x14ac:dyDescent="0.2">
      <c r="A15" s="15" t="s">
        <v>22</v>
      </c>
      <c r="B15" s="1" t="s">
        <v>88</v>
      </c>
      <c r="C15" s="1" t="str">
        <f t="shared" si="0"/>
        <v>jwhite@yourserver.net</v>
      </c>
      <c r="D15" s="21" t="s">
        <v>85</v>
      </c>
      <c r="E15" s="21" t="s">
        <v>97</v>
      </c>
      <c r="F15" s="25">
        <f t="shared" ca="1" si="7"/>
        <v>6</v>
      </c>
      <c r="G15" s="1" t="str">
        <f t="shared" ca="1" si="2"/>
        <v>Pink Lady</v>
      </c>
      <c r="H15" s="1" t="str">
        <f t="shared" ca="1" si="3"/>
        <v>corner deli</v>
      </c>
      <c r="I15" s="21" t="s">
        <v>85</v>
      </c>
      <c r="J15" s="21" t="s">
        <v>97</v>
      </c>
      <c r="K15" s="1" t="str">
        <f t="shared" ca="1" si="4"/>
        <v>clementine</v>
      </c>
      <c r="L15" s="1" t="str">
        <f t="shared" ca="1" si="5"/>
        <v>farmer's market</v>
      </c>
      <c r="M15" s="5">
        <f t="shared" ca="1" si="6"/>
        <v>5</v>
      </c>
      <c r="O15" s="1" t="s">
        <v>159</v>
      </c>
      <c r="P15" s="4">
        <f>P5/P2</f>
        <v>0.34482758620689657</v>
      </c>
      <c r="Q15" s="2" t="s">
        <v>186</v>
      </c>
    </row>
    <row r="16" spans="1:17" x14ac:dyDescent="0.2">
      <c r="A16" s="15" t="s">
        <v>23</v>
      </c>
      <c r="B16" s="1" t="s">
        <v>89</v>
      </c>
      <c r="C16" s="1" t="str">
        <f t="shared" si="0"/>
        <v>kharris@yourserver.net</v>
      </c>
      <c r="D16" s="21" t="s">
        <v>97</v>
      </c>
      <c r="E16" s="21"/>
      <c r="F16" s="25">
        <f t="shared" ca="1" si="7"/>
        <v>0</v>
      </c>
      <c r="G16" s="1" t="str">
        <f t="shared" ca="1" si="2"/>
        <v/>
      </c>
      <c r="H16" s="1" t="str">
        <f t="shared" ca="1" si="3"/>
        <v/>
      </c>
      <c r="I16" s="21" t="s">
        <v>85</v>
      </c>
      <c r="J16" s="21" t="s">
        <v>85</v>
      </c>
      <c r="K16" s="1" t="str">
        <f t="shared" ca="1" si="4"/>
        <v>tangerine</v>
      </c>
      <c r="L16" s="1" t="str">
        <f t="shared" ca="1" si="5"/>
        <v>grocery store</v>
      </c>
      <c r="M16" s="5">
        <f t="shared" ca="1" si="6"/>
        <v>4</v>
      </c>
      <c r="P16" s="4"/>
    </row>
    <row r="17" spans="1:13" x14ac:dyDescent="0.2">
      <c r="A17" s="15" t="s">
        <v>24</v>
      </c>
      <c r="B17" s="1" t="s">
        <v>137</v>
      </c>
      <c r="C17" s="1" t="str">
        <f t="shared" si="0"/>
        <v>mmartin@yourserver.net</v>
      </c>
      <c r="D17" s="21" t="s">
        <v>97</v>
      </c>
      <c r="E17" s="21"/>
      <c r="F17" s="25">
        <f t="shared" ca="1" si="7"/>
        <v>0</v>
      </c>
      <c r="G17" s="1" t="str">
        <f t="shared" ca="1" si="2"/>
        <v/>
      </c>
      <c r="H17" s="1" t="str">
        <f t="shared" ca="1" si="3"/>
        <v/>
      </c>
      <c r="I17" s="21" t="s">
        <v>97</v>
      </c>
      <c r="J17" s="21"/>
      <c r="K17" s="1" t="str">
        <f t="shared" ca="1" si="4"/>
        <v/>
      </c>
      <c r="L17" s="1" t="str">
        <f t="shared" ca="1" si="5"/>
        <v/>
      </c>
      <c r="M17" s="5">
        <f t="shared" ca="1" si="6"/>
        <v>0</v>
      </c>
    </row>
    <row r="18" spans="1:13" x14ac:dyDescent="0.2">
      <c r="A18" s="15" t="s">
        <v>25</v>
      </c>
      <c r="B18" s="1" t="s">
        <v>56</v>
      </c>
      <c r="C18" s="1" t="str">
        <f t="shared" si="0"/>
        <v>lthompson@yourserver.net</v>
      </c>
      <c r="D18" s="21" t="s">
        <v>97</v>
      </c>
      <c r="E18" s="21"/>
      <c r="F18" s="25">
        <f t="shared" ca="1" si="7"/>
        <v>0</v>
      </c>
      <c r="G18" s="1" t="str">
        <f t="shared" ca="1" si="2"/>
        <v/>
      </c>
      <c r="H18" s="1" t="str">
        <f t="shared" ca="1" si="3"/>
        <v/>
      </c>
      <c r="I18" s="21" t="s">
        <v>97</v>
      </c>
      <c r="J18" s="21"/>
      <c r="K18" s="1" t="str">
        <f t="shared" ca="1" si="4"/>
        <v/>
      </c>
      <c r="L18" s="1" t="str">
        <f t="shared" ca="1" si="5"/>
        <v/>
      </c>
      <c r="M18" s="5">
        <f t="shared" ca="1" si="6"/>
        <v>0</v>
      </c>
    </row>
    <row r="19" spans="1:13" x14ac:dyDescent="0.2">
      <c r="A19" s="15" t="s">
        <v>26</v>
      </c>
      <c r="B19" s="1" t="s">
        <v>91</v>
      </c>
      <c r="C19" s="1" t="str">
        <f t="shared" si="0"/>
        <v>mgarcia@yourserver.net</v>
      </c>
      <c r="D19" s="21" t="s">
        <v>97</v>
      </c>
      <c r="E19" s="21"/>
      <c r="F19" s="25">
        <f t="shared" ca="1" si="7"/>
        <v>0</v>
      </c>
      <c r="G19" s="1" t="str">
        <f t="shared" ca="1" si="2"/>
        <v/>
      </c>
      <c r="H19" s="1" t="str">
        <f t="shared" ca="1" si="3"/>
        <v/>
      </c>
      <c r="I19" s="21" t="s">
        <v>97</v>
      </c>
      <c r="J19" s="21"/>
      <c r="K19" s="1" t="str">
        <f t="shared" ca="1" si="4"/>
        <v/>
      </c>
      <c r="L19" s="1" t="str">
        <f t="shared" ca="1" si="5"/>
        <v/>
      </c>
      <c r="M19" s="5">
        <f t="shared" ca="1" si="6"/>
        <v>0</v>
      </c>
    </row>
    <row r="20" spans="1:13" x14ac:dyDescent="0.2">
      <c r="A20" s="15" t="s">
        <v>27</v>
      </c>
      <c r="B20" s="1" t="s">
        <v>92</v>
      </c>
      <c r="C20" s="1" t="str">
        <f t="shared" si="0"/>
        <v>smartinez@yourserver.net</v>
      </c>
      <c r="D20" s="21" t="s">
        <v>97</v>
      </c>
      <c r="E20" s="21"/>
      <c r="F20" s="25">
        <f t="shared" ca="1" si="7"/>
        <v>0</v>
      </c>
      <c r="G20" s="1" t="str">
        <f t="shared" ca="1" si="2"/>
        <v/>
      </c>
      <c r="H20" s="1" t="str">
        <f t="shared" ca="1" si="3"/>
        <v/>
      </c>
      <c r="I20" s="21" t="s">
        <v>85</v>
      </c>
      <c r="J20" s="21" t="s">
        <v>97</v>
      </c>
      <c r="K20" s="1" t="str">
        <f t="shared" ca="1" si="4"/>
        <v>tangerine</v>
      </c>
      <c r="L20" s="1" t="str">
        <f t="shared" ca="1" si="5"/>
        <v>farmer's market</v>
      </c>
      <c r="M20" s="5">
        <f t="shared" ca="1" si="6"/>
        <v>9</v>
      </c>
    </row>
    <row r="21" spans="1:13" x14ac:dyDescent="0.2">
      <c r="A21" s="15" t="s">
        <v>28</v>
      </c>
      <c r="B21" s="1" t="s">
        <v>87</v>
      </c>
      <c r="C21" s="1" t="str">
        <f t="shared" si="0"/>
        <v>crobinson@yourserver.net</v>
      </c>
      <c r="D21" s="21" t="s">
        <v>97</v>
      </c>
      <c r="E21" s="21"/>
      <c r="F21" s="25">
        <f t="shared" ca="1" si="7"/>
        <v>0</v>
      </c>
      <c r="G21" s="1" t="str">
        <f t="shared" ca="1" si="2"/>
        <v/>
      </c>
      <c r="H21" s="1" t="str">
        <f t="shared" ca="1" si="3"/>
        <v/>
      </c>
      <c r="I21" s="21" t="s">
        <v>85</v>
      </c>
      <c r="J21" s="21" t="s">
        <v>85</v>
      </c>
      <c r="K21" s="1" t="str">
        <f t="shared" ca="1" si="4"/>
        <v>navel</v>
      </c>
      <c r="L21" s="1" t="str">
        <f t="shared" ca="1" si="5"/>
        <v>corner deli</v>
      </c>
      <c r="M21" s="5">
        <f t="shared" ca="1" si="6"/>
        <v>2</v>
      </c>
    </row>
    <row r="22" spans="1:13" x14ac:dyDescent="0.2">
      <c r="A22" s="15" t="s">
        <v>29</v>
      </c>
      <c r="B22" s="1" t="s">
        <v>31</v>
      </c>
      <c r="C22" s="1" t="str">
        <f t="shared" si="0"/>
        <v>lclark@yourserver.net</v>
      </c>
      <c r="D22" s="21" t="s">
        <v>85</v>
      </c>
      <c r="E22" s="21" t="s">
        <v>97</v>
      </c>
      <c r="F22" s="25">
        <f t="shared" ca="1" si="7"/>
        <v>2</v>
      </c>
      <c r="G22" s="1" t="str">
        <f t="shared" ca="1" si="2"/>
        <v>Pink Lady</v>
      </c>
      <c r="H22" s="1" t="str">
        <f t="shared" ca="1" si="3"/>
        <v>corner deli</v>
      </c>
      <c r="I22" s="21" t="s">
        <v>85</v>
      </c>
      <c r="J22" s="21" t="s">
        <v>85</v>
      </c>
      <c r="K22" s="1" t="str">
        <f t="shared" ca="1" si="4"/>
        <v>tangerine</v>
      </c>
      <c r="L22" s="1" t="str">
        <f t="shared" ca="1" si="5"/>
        <v>farmer's market</v>
      </c>
      <c r="M22" s="5">
        <f t="shared" ca="1" si="6"/>
        <v>7</v>
      </c>
    </row>
    <row r="23" spans="1:13" x14ac:dyDescent="0.2">
      <c r="A23" s="15" t="s">
        <v>30</v>
      </c>
      <c r="B23" s="1" t="s">
        <v>93</v>
      </c>
      <c r="C23" s="1" t="str">
        <f t="shared" si="0"/>
        <v>lrodriguez@yourserver.net</v>
      </c>
      <c r="D23" s="21" t="s">
        <v>85</v>
      </c>
      <c r="E23" s="21" t="s">
        <v>85</v>
      </c>
      <c r="F23" s="25">
        <f t="shared" ca="1" si="7"/>
        <v>3</v>
      </c>
      <c r="G23" s="1" t="str">
        <f t="shared" ca="1" si="2"/>
        <v>Honey Crisp</v>
      </c>
      <c r="H23" s="1" t="str">
        <f t="shared" ca="1" si="3"/>
        <v>grocery store</v>
      </c>
      <c r="I23" s="21" t="s">
        <v>85</v>
      </c>
      <c r="J23" s="21" t="s">
        <v>97</v>
      </c>
      <c r="K23" s="1" t="str">
        <f t="shared" ca="1" si="4"/>
        <v>grapefruit</v>
      </c>
      <c r="L23" s="1" t="str">
        <f t="shared" ca="1" si="5"/>
        <v>grocery store</v>
      </c>
      <c r="M23" s="5">
        <f t="shared" ca="1" si="6"/>
        <v>9</v>
      </c>
    </row>
    <row r="24" spans="1:13" x14ac:dyDescent="0.2">
      <c r="A24" s="15" t="s">
        <v>31</v>
      </c>
      <c r="B24" s="1" t="s">
        <v>94</v>
      </c>
      <c r="C24" s="1" t="str">
        <f t="shared" si="0"/>
        <v>llewis@yourserver.net</v>
      </c>
      <c r="D24" s="21" t="s">
        <v>85</v>
      </c>
      <c r="E24" s="21" t="s">
        <v>97</v>
      </c>
      <c r="F24" s="25">
        <f t="shared" ca="1" si="7"/>
        <v>4</v>
      </c>
      <c r="G24" s="1" t="str">
        <f t="shared" ca="1" si="2"/>
        <v>Macintosh</v>
      </c>
      <c r="H24" s="1" t="str">
        <f t="shared" ca="1" si="3"/>
        <v>grocery store</v>
      </c>
      <c r="I24" s="21" t="s">
        <v>85</v>
      </c>
      <c r="J24" s="21" t="s">
        <v>85</v>
      </c>
      <c r="K24" s="1" t="str">
        <f t="shared" ca="1" si="4"/>
        <v>tangerine</v>
      </c>
      <c r="L24" s="1" t="str">
        <f t="shared" ca="1" si="5"/>
        <v>farmer's market</v>
      </c>
      <c r="M24" s="5">
        <f t="shared" ca="1" si="6"/>
        <v>7</v>
      </c>
    </row>
    <row r="25" spans="1:13" x14ac:dyDescent="0.2">
      <c r="A25" s="15" t="s">
        <v>32</v>
      </c>
      <c r="B25" s="1" t="s">
        <v>95</v>
      </c>
      <c r="C25" s="1" t="str">
        <f t="shared" si="0"/>
        <v>hlee@yourserver.net</v>
      </c>
      <c r="D25" s="21" t="s">
        <v>85</v>
      </c>
      <c r="E25" s="21" t="s">
        <v>85</v>
      </c>
      <c r="F25" s="25">
        <f t="shared" ca="1" si="7"/>
        <v>2</v>
      </c>
      <c r="G25" s="1" t="str">
        <f t="shared" ca="1" si="2"/>
        <v>Delicious</v>
      </c>
      <c r="H25" s="1" t="str">
        <f t="shared" ca="1" si="3"/>
        <v>grocery store</v>
      </c>
      <c r="I25" s="21" t="s">
        <v>85</v>
      </c>
      <c r="J25" s="21" t="s">
        <v>85</v>
      </c>
      <c r="K25" s="1" t="str">
        <f t="shared" ca="1" si="4"/>
        <v>clementine</v>
      </c>
      <c r="L25" s="1" t="str">
        <f t="shared" ca="1" si="5"/>
        <v>farmer's market</v>
      </c>
      <c r="M25" s="5">
        <f t="shared" ca="1" si="6"/>
        <v>5</v>
      </c>
    </row>
    <row r="26" spans="1:13" x14ac:dyDescent="0.2">
      <c r="A26" s="15" t="s">
        <v>33</v>
      </c>
      <c r="B26" s="1" t="s">
        <v>58</v>
      </c>
      <c r="C26" s="1" t="str">
        <f t="shared" si="0"/>
        <v>dwalker@yourserver.net</v>
      </c>
      <c r="D26" s="21" t="s">
        <v>85</v>
      </c>
      <c r="E26" s="21" t="s">
        <v>97</v>
      </c>
      <c r="F26" s="25">
        <f t="shared" ca="1" si="7"/>
        <v>2</v>
      </c>
      <c r="G26" s="1" t="str">
        <f t="shared" ca="1" si="2"/>
        <v>Macintosh</v>
      </c>
      <c r="H26" s="1" t="str">
        <f t="shared" ca="1" si="3"/>
        <v>grocery store</v>
      </c>
      <c r="I26" s="21" t="s">
        <v>85</v>
      </c>
      <c r="J26" s="21" t="s">
        <v>85</v>
      </c>
      <c r="K26" s="1" t="str">
        <f t="shared" ca="1" si="4"/>
        <v>navel</v>
      </c>
      <c r="L26" s="1" t="str">
        <f t="shared" ca="1" si="5"/>
        <v>grocery store</v>
      </c>
      <c r="M26" s="5">
        <f t="shared" ca="1" si="6"/>
        <v>1</v>
      </c>
    </row>
    <row r="27" spans="1:13" x14ac:dyDescent="0.2">
      <c r="A27" s="15" t="s">
        <v>34</v>
      </c>
      <c r="B27" s="1" t="s">
        <v>96</v>
      </c>
      <c r="C27" s="1" t="str">
        <f t="shared" si="0"/>
        <v>ahall@yourserver.net</v>
      </c>
      <c r="D27" s="21" t="s">
        <v>85</v>
      </c>
      <c r="E27" s="21" t="s">
        <v>97</v>
      </c>
      <c r="F27" s="25">
        <f t="shared" ca="1" si="7"/>
        <v>2</v>
      </c>
      <c r="G27" s="1" t="str">
        <f t="shared" ca="1" si="2"/>
        <v>Delicious</v>
      </c>
      <c r="H27" s="1" t="str">
        <f t="shared" ca="1" si="3"/>
        <v>corner deli</v>
      </c>
      <c r="I27" s="21" t="s">
        <v>85</v>
      </c>
      <c r="J27" s="21" t="s">
        <v>85</v>
      </c>
      <c r="K27" s="1" t="str">
        <f t="shared" ca="1" si="4"/>
        <v>navel</v>
      </c>
      <c r="L27" s="1" t="str">
        <f t="shared" ca="1" si="5"/>
        <v>grocery store</v>
      </c>
      <c r="M27" s="5">
        <f t="shared" ca="1" si="6"/>
        <v>6</v>
      </c>
    </row>
    <row r="28" spans="1:13" x14ac:dyDescent="0.2">
      <c r="A28" s="15" t="s">
        <v>35</v>
      </c>
      <c r="B28" s="1" t="s">
        <v>51</v>
      </c>
      <c r="C28" s="1" t="str">
        <f t="shared" si="0"/>
        <v>gallen@yourserver.net</v>
      </c>
      <c r="D28" s="21" t="s">
        <v>85</v>
      </c>
      <c r="E28" s="21" t="s">
        <v>97</v>
      </c>
      <c r="F28" s="25">
        <f t="shared" ca="1" si="7"/>
        <v>8</v>
      </c>
      <c r="G28" s="1" t="str">
        <f t="shared" ca="1" si="2"/>
        <v>Pink Lady</v>
      </c>
      <c r="H28" s="1" t="str">
        <f t="shared" ca="1" si="3"/>
        <v>grocery store</v>
      </c>
      <c r="I28" s="21" t="s">
        <v>85</v>
      </c>
      <c r="J28" s="21" t="s">
        <v>97</v>
      </c>
      <c r="K28" s="1" t="str">
        <f t="shared" ca="1" si="4"/>
        <v>navel</v>
      </c>
      <c r="L28" s="1" t="str">
        <f t="shared" ca="1" si="5"/>
        <v>grocery store</v>
      </c>
      <c r="M28" s="5">
        <f t="shared" ca="1" si="6"/>
        <v>2</v>
      </c>
    </row>
    <row r="29" spans="1:13" x14ac:dyDescent="0.2">
      <c r="A29" s="15" t="s">
        <v>36</v>
      </c>
      <c r="B29" s="1" t="s">
        <v>90</v>
      </c>
      <c r="C29" s="1" t="str">
        <f t="shared" si="0"/>
        <v>syoung@yourserver.net</v>
      </c>
      <c r="D29" s="21" t="s">
        <v>85</v>
      </c>
      <c r="E29" s="21" t="s">
        <v>85</v>
      </c>
      <c r="F29" s="25">
        <f t="shared" ca="1" si="7"/>
        <v>9</v>
      </c>
      <c r="G29" s="1" t="str">
        <f t="shared" ca="1" si="2"/>
        <v>Honey Crisp</v>
      </c>
      <c r="H29" s="1" t="str">
        <f t="shared" ca="1" si="3"/>
        <v>grocery store</v>
      </c>
      <c r="I29" s="21" t="s">
        <v>85</v>
      </c>
      <c r="J29" s="21" t="s">
        <v>85</v>
      </c>
      <c r="K29" s="1" t="str">
        <f t="shared" ca="1" si="4"/>
        <v>clementine</v>
      </c>
      <c r="L29" s="1" t="str">
        <f t="shared" ca="1" si="5"/>
        <v>farmer's market</v>
      </c>
      <c r="M29" s="5">
        <f t="shared" ca="1" si="6"/>
        <v>6</v>
      </c>
    </row>
    <row r="30" spans="1:13" x14ac:dyDescent="0.2">
      <c r="A30" s="15" t="s">
        <v>37</v>
      </c>
      <c r="B30" s="1" t="s">
        <v>102</v>
      </c>
      <c r="C30" s="1" t="str">
        <f t="shared" si="0"/>
        <v>ehernandez@yourserver.net</v>
      </c>
      <c r="D30" s="21" t="s">
        <v>85</v>
      </c>
      <c r="E30" s="21" t="s">
        <v>85</v>
      </c>
      <c r="F30" s="25">
        <f t="shared" ca="1" si="7"/>
        <v>10</v>
      </c>
      <c r="G30" s="1" t="str">
        <f t="shared" ca="1" si="2"/>
        <v>Macintosh</v>
      </c>
      <c r="H30" s="1" t="str">
        <f t="shared" ca="1" si="3"/>
        <v>corner deli</v>
      </c>
      <c r="I30" s="21" t="s">
        <v>97</v>
      </c>
      <c r="J30" s="21"/>
      <c r="K30" s="1" t="str">
        <f t="shared" ca="1" si="4"/>
        <v/>
      </c>
      <c r="L30" s="1" t="str">
        <f t="shared" ca="1" si="5"/>
        <v/>
      </c>
      <c r="M30" s="5">
        <f t="shared" ca="1" si="6"/>
        <v>0</v>
      </c>
    </row>
  </sheetData>
  <autoFilter ref="A1:M3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Survey</vt:lpstr>
      <vt:lpstr>Main!Print_Area</vt:lpstr>
    </vt:vector>
  </TitlesOfParts>
  <Company>Penn Law ITS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Roush</dc:creator>
  <cp:lastModifiedBy>David Roush</cp:lastModifiedBy>
  <cp:lastPrinted>2013-02-22T00:16:25Z</cp:lastPrinted>
  <dcterms:created xsi:type="dcterms:W3CDTF">2013-02-20T19:23:23Z</dcterms:created>
  <dcterms:modified xsi:type="dcterms:W3CDTF">2013-02-22T22:05:21Z</dcterms:modified>
</cp:coreProperties>
</file>