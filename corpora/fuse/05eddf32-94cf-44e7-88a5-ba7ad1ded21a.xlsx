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55" windowWidth="16275" windowHeight="7815"/>
  </bookViews>
  <sheets>
    <sheet name="Attachment E - For Sale S + U" sheetId="1" r:id="rId1"/>
    <sheet name="Attachment F - Rental S + U" sheetId="4" r:id="rId2"/>
    <sheet name="Attachment G - Rental Proforma" sheetId="2" r:id="rId3"/>
  </sheets>
  <definedNames>
    <definedName name="_xlnm.Print_Area" localSheetId="0">'Attachment E - For Sale S + U'!$A$1:$C$50</definedName>
    <definedName name="_xlnm.Print_Area" localSheetId="1">'Attachment F - Rental S + U'!$A$1:$C$40</definedName>
    <definedName name="_xlnm.Print_Area" localSheetId="2">'Attachment G - Rental Proforma'!$A$1:$P$36</definedName>
  </definedNames>
  <calcPr calcId="145621"/>
</workbook>
</file>

<file path=xl/calcChain.xml><?xml version="1.0" encoding="utf-8"?>
<calcChain xmlns="http://schemas.openxmlformats.org/spreadsheetml/2006/main">
  <c r="B26" i="1" l="1"/>
  <c r="B24" i="4"/>
  <c r="C36" i="2" l="1"/>
  <c r="D36" i="2"/>
  <c r="E36" i="2"/>
  <c r="F36" i="2"/>
  <c r="G36" i="2"/>
  <c r="H36" i="2"/>
  <c r="I36" i="2"/>
  <c r="J36" i="2"/>
  <c r="K36" i="2"/>
  <c r="L36" i="2"/>
  <c r="M36" i="2"/>
  <c r="N36" i="2"/>
  <c r="O36" i="2"/>
  <c r="P36" i="2"/>
  <c r="C32" i="2"/>
  <c r="D32" i="2"/>
  <c r="E32" i="2"/>
  <c r="F32" i="2"/>
  <c r="G32" i="2"/>
  <c r="H32" i="2"/>
  <c r="I32" i="2"/>
  <c r="J32" i="2"/>
  <c r="K32" i="2"/>
  <c r="L32" i="2"/>
  <c r="M32" i="2"/>
  <c r="N32" i="2"/>
  <c r="O32" i="2"/>
  <c r="P32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B36" i="2"/>
  <c r="B32" i="2"/>
  <c r="B30" i="2"/>
  <c r="C8" i="2"/>
  <c r="D8" i="2"/>
  <c r="E8" i="2"/>
  <c r="F8" i="2"/>
  <c r="G8" i="2"/>
  <c r="H8" i="2"/>
  <c r="I8" i="2"/>
  <c r="J8" i="2"/>
  <c r="K8" i="2"/>
  <c r="L8" i="2"/>
  <c r="M8" i="2"/>
  <c r="N8" i="2"/>
  <c r="O8" i="2"/>
  <c r="P8" i="2"/>
  <c r="C6" i="2"/>
  <c r="D6" i="2"/>
  <c r="E6" i="2"/>
  <c r="F6" i="2"/>
  <c r="G6" i="2"/>
  <c r="H6" i="2"/>
  <c r="I6" i="2"/>
  <c r="J6" i="2"/>
  <c r="K6" i="2"/>
  <c r="L6" i="2"/>
  <c r="M6" i="2"/>
  <c r="N6" i="2"/>
  <c r="O6" i="2"/>
  <c r="P6" i="2"/>
  <c r="B8" i="2"/>
  <c r="B6" i="2"/>
  <c r="B39" i="4" l="1"/>
  <c r="B23" i="4"/>
  <c r="B26" i="4" s="1"/>
  <c r="B27" i="4" s="1"/>
  <c r="B13" i="4"/>
  <c r="B9" i="4"/>
  <c r="B50" i="1" l="1"/>
  <c r="B41" i="1"/>
  <c r="B12" i="1"/>
  <c r="B8" i="1"/>
  <c r="B17" i="1"/>
  <c r="B25" i="1" s="1"/>
  <c r="B28" i="1" l="1"/>
  <c r="B29" i="1" s="1"/>
  <c r="B32" i="1" l="1"/>
</calcChain>
</file>

<file path=xl/sharedStrings.xml><?xml version="1.0" encoding="utf-8"?>
<sst xmlns="http://schemas.openxmlformats.org/spreadsheetml/2006/main" count="164" uniqueCount="119">
  <si>
    <t>ACQUISITION COSTS</t>
  </si>
  <si>
    <t xml:space="preserve">     Purchase Price</t>
  </si>
  <si>
    <t xml:space="preserve">     Total Acquisition Costs</t>
  </si>
  <si>
    <t xml:space="preserve">     Hard Construction Costs</t>
  </si>
  <si>
    <t xml:space="preserve">     Contingency</t>
  </si>
  <si>
    <t>SOFT COSTS</t>
  </si>
  <si>
    <t xml:space="preserve">   Property Insurance</t>
  </si>
  <si>
    <t>Total Soft Costs</t>
  </si>
  <si>
    <t xml:space="preserve">TOTAL DEVELOPMENT COSTS </t>
  </si>
  <si>
    <t>Seller's Closing Costs</t>
  </si>
  <si>
    <t xml:space="preserve">     Legal Work </t>
  </si>
  <si>
    <t xml:space="preserve">     After Rehab Appraisal Fee</t>
  </si>
  <si>
    <t xml:space="preserve">     Closing Costs - Acquisition</t>
  </si>
  <si>
    <t xml:space="preserve">     Total Construction Costs</t>
  </si>
  <si>
    <t>Contract Amount</t>
  </si>
  <si>
    <t>Marketing/Staging</t>
  </si>
  <si>
    <t>Survey</t>
  </si>
  <si>
    <t>Soil Tests</t>
  </si>
  <si>
    <t>Radon/Abestos/Lead Tests</t>
  </si>
  <si>
    <t>First Mortgage</t>
  </si>
  <si>
    <t>Other Source</t>
  </si>
  <si>
    <t>Total</t>
  </si>
  <si>
    <t>Holding Costs (maintenance, utilities)</t>
  </si>
  <si>
    <t>Buyer's first mortgage</t>
  </si>
  <si>
    <t>Permanent Financing</t>
  </si>
  <si>
    <t>Interim Financing</t>
  </si>
  <si>
    <t>Construction Loan</t>
  </si>
  <si>
    <t>Equity</t>
  </si>
  <si>
    <t xml:space="preserve">NSP eligible TDC </t>
  </si>
  <si>
    <t>Sale Price</t>
  </si>
  <si>
    <t xml:space="preserve">Projected Value Gap </t>
  </si>
  <si>
    <t>Total Development Costs less Sale Price</t>
  </si>
  <si>
    <t>Developer’s Fee</t>
  </si>
  <si>
    <t>Address:</t>
  </si>
  <si>
    <t>Description:</t>
  </si>
  <si>
    <t>xxx Street</t>
  </si>
  <si>
    <t>CONSTRUCTION COSTS</t>
  </si>
  <si>
    <t>HRA Value Gap Assistance</t>
  </si>
  <si>
    <t>$2,500 if above 80% AMI; $5,000 if less than 80% AMI (only on homes with NSP financing)</t>
  </si>
  <si>
    <t>Use price from HRA listing</t>
  </si>
  <si>
    <t>10% rehab; 5% new construction</t>
  </si>
  <si>
    <t xml:space="preserve">    Design and Construction Management</t>
  </si>
  <si>
    <t>Cap 6% of estimated hard costs</t>
  </si>
  <si>
    <t>Cap 6% of estimated sales price</t>
  </si>
  <si>
    <t>Real Estate Commission Fee</t>
  </si>
  <si>
    <t>Cap $500 marketing expense</t>
  </si>
  <si>
    <t>Total of Acquisition, Construction Costs, Soft Costs, and Developer Fee</t>
  </si>
  <si>
    <t>TDC less holding costs (only on homes with NSP financing)</t>
  </si>
  <si>
    <t>Appraised value of home (homes with NSP financing must be below NSP eligible TDC)</t>
  </si>
  <si>
    <t>Homes with NSP financing cannot include these in TDC calculation</t>
  </si>
  <si>
    <t>Developer contribution</t>
  </si>
  <si>
    <t>Name terms</t>
  </si>
  <si>
    <t>Cap 10% of Total Construction &amp; Soft Costs, Less Acquisition Purchase Price</t>
  </si>
  <si>
    <t>Cap $500/unit marketing expense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</si>
  <si>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</si>
  <si>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</si>
  <si>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</si>
  <si>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</si>
  <si>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</si>
  <si>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</si>
  <si>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</si>
  <si>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</si>
  <si>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</si>
  <si>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</si>
  <si>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Yr 11</t>
  </si>
  <si>
    <t>Yr 12</t>
  </si>
  <si>
    <t>Yr 13</t>
  </si>
  <si>
    <t>Yr 14</t>
  </si>
  <si>
    <t>Yr 15</t>
  </si>
  <si>
    <t>REVENUES</t>
  </si>
  <si>
    <t>Gross Residential Rent</t>
  </si>
  <si>
    <t>+Other income</t>
  </si>
  <si>
    <t>=GROSS INCOME</t>
  </si>
  <si>
    <t>-Residential Vacancy</t>
  </si>
  <si>
    <t>=EFFECTIVE GROSS RENT</t>
  </si>
  <si>
    <t>OPERATING EXPENSES</t>
  </si>
  <si>
    <t>Administration</t>
  </si>
  <si>
    <t>-Advertising</t>
  </si>
  <si>
    <t>-Management Fee</t>
  </si>
  <si>
    <t>-Legal</t>
  </si>
  <si>
    <t>-Off-site Mgmt Payroll</t>
  </si>
  <si>
    <t>Maintenance</t>
  </si>
  <si>
    <t>-Rubbish Removal</t>
  </si>
  <si>
    <t>-Grounds Maintenance/Repair Services</t>
  </si>
  <si>
    <t>Utilities</t>
  </si>
  <si>
    <t>Property Costs</t>
  </si>
  <si>
    <t>-Insurance</t>
  </si>
  <si>
    <t>Total Operating Expenses</t>
  </si>
  <si>
    <t>=NET OPERATING INCOME</t>
  </si>
  <si>
    <t>=CASH FLOW</t>
  </si>
  <si>
    <t>- DEBT SERVICE</t>
  </si>
  <si>
    <t>-Asset Manageemnt Fee</t>
  </si>
  <si>
    <t>- Other Administrative Expenses (specify)</t>
  </si>
  <si>
    <t>- Other Maintenance Expenses (specify)</t>
  </si>
  <si>
    <t>- Real Estate Taxes and Specials Assessments</t>
  </si>
  <si>
    <t>- Other Property Expenses (specify)</t>
  </si>
  <si>
    <t>Reserves</t>
  </si>
  <si>
    <t>- Reserve Deposits (specify)</t>
  </si>
  <si>
    <t>Uses</t>
  </si>
  <si>
    <t>*Developer must demonstrate ability to secure all identified sources.</t>
  </si>
  <si>
    <t>Homeowner Sources and Uses</t>
  </si>
  <si>
    <t>Rehab/new const of xxx sq ft building, # BD, # BA</t>
  </si>
  <si>
    <t>Use price from HRA property listing</t>
  </si>
  <si>
    <t>Estimated Contract Amount</t>
  </si>
  <si>
    <t>Note: if HRA has provided tests, it is expected this estimate will be minimal</t>
  </si>
  <si>
    <t>Homes with NSP financing cannot include these in TDC calculation for sale price</t>
  </si>
  <si>
    <t>Cap 10% of Total Construction + Soft Costs, (Acquisition Costs not included)</t>
  </si>
  <si>
    <t>CONSTRUCTION COSTS (HARD COSTS)</t>
  </si>
  <si>
    <t>HRA Buyer Financing for NSP homes*</t>
  </si>
  <si>
    <t>Rehab/new const of xxx sq ft building, # BD, # BA, # units</t>
  </si>
  <si>
    <t>Include $500 fee payable to HRA, waived for NSP properties</t>
  </si>
  <si>
    <t>Marketing</t>
  </si>
  <si>
    <t>Rental Sources and Uses</t>
  </si>
  <si>
    <t>Permanent Sources*</t>
  </si>
  <si>
    <t>Bank Loan</t>
  </si>
  <si>
    <t>Amount needed for positive cash flow (From Attachment G)</t>
  </si>
  <si>
    <t>RENTAL DEVELOPMENT PROFORMA: 15 Year Cashflow</t>
  </si>
  <si>
    <t>Permanent Financing Total must equal TDC</t>
  </si>
  <si>
    <t>Total of permanent sources should equal Total Development Costs.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</si>
</sst>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b/>
      <sz val="26"/>
      <color indexed="8"/>
      <name val="Arial"/>
      <family val="2"/>
    </font>
    <font>
      <b/>
      <sz val="11"/>
      <color indexed="8"/>
      <name val="Calibri"/>
      <family val="2"/>
    </font>
    <font>
      <b/>
      <sz val="15"/>
      <color theme="1"/>
      <name val="Calibri"/>
      <family val="2"/>
      <scheme val="minor"/>
    </font>
    <font>
      <b/>
      <sz val="15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2" fontId="9" fillId="0" borderId="0" applyFont="0" applyFill="0" applyBorder="0" applyAlignment="0" applyProtection="0"/>
  </cellStyleXfs>
  <cellXfs count="110">
    <xf numFmtId="0" fontId="0" fillId="0" borderId="0" xfId="0"/>
    <xf numFmtId="44" fontId="2" fillId="0" borderId="0" xfId="1" applyFont="1" applyBorder="1"/>
    <xf numFmtId="0" fontId="0" fillId="0" borderId="0" xfId="0" applyBorder="1"/>
    <xf numFmtId="44" fontId="3" fillId="0" borderId="5" xfId="1" applyFont="1" applyBorder="1"/>
    <xf numFmtId="0" fontId="3" fillId="0" borderId="5" xfId="0" applyFont="1" applyBorder="1"/>
    <xf numFmtId="44" fontId="0" fillId="0" borderId="0" xfId="0" applyNumberFormat="1" applyBorder="1"/>
    <xf numFmtId="0" fontId="6" fillId="0" borderId="0" xfId="0" applyFont="1" applyBorder="1"/>
    <xf numFmtId="0" fontId="4" fillId="0" borderId="0" xfId="0" applyFont="1" applyBorder="1"/>
    <xf numFmtId="0" fontId="2" fillId="0" borderId="0" xfId="0" applyFont="1" applyBorder="1"/>
    <xf numFmtId="44" fontId="3" fillId="0" borderId="0" xfId="1" applyFont="1" applyBorder="1"/>
    <xf numFmtId="9" fontId="0" fillId="0" borderId="0" xfId="0" applyNumberFormat="1" applyBorder="1"/>
    <xf numFmtId="0" fontId="3" fillId="0" borderId="0" xfId="0" applyFont="1" applyBorder="1"/>
    <xf numFmtId="44" fontId="0" fillId="0" borderId="0" xfId="1" applyFont="1" applyBorder="1"/>
    <xf numFmtId="0" fontId="2" fillId="0" borderId="8" xfId="0" applyFont="1" applyBorder="1"/>
    <xf numFmtId="44" fontId="2" fillId="0" borderId="9" xfId="1" applyFont="1" applyBorder="1"/>
    <xf numFmtId="0" fontId="2" fillId="0" borderId="10" xfId="0" applyFont="1" applyBorder="1"/>
    <xf numFmtId="44" fontId="2" fillId="0" borderId="11" xfId="1" applyFont="1" applyBorder="1"/>
    <xf numFmtId="0" fontId="3" fillId="2" borderId="12" xfId="0" applyFont="1" applyFill="1" applyBorder="1"/>
    <xf numFmtId="44" fontId="2" fillId="2" borderId="13" xfId="1" applyFont="1" applyFill="1" applyBorder="1"/>
    <xf numFmtId="44" fontId="3" fillId="2" borderId="13" xfId="1" applyFont="1" applyFill="1" applyBorder="1"/>
    <xf numFmtId="0" fontId="2" fillId="0" borderId="10" xfId="0" applyFont="1" applyFill="1" applyBorder="1"/>
    <xf numFmtId="0" fontId="2" fillId="0" borderId="10" xfId="0" applyFont="1" applyFill="1" applyBorder="1" applyAlignment="1">
      <alignment horizontal="left" indent="2"/>
    </xf>
    <xf numFmtId="0" fontId="2" fillId="0" borderId="10" xfId="0" applyFont="1" applyBorder="1" applyAlignment="1">
      <alignment horizontal="left" indent="2"/>
    </xf>
    <xf numFmtId="0" fontId="2" fillId="0" borderId="10" xfId="0" applyFont="1" applyBorder="1" applyAlignment="1">
      <alignment horizontal="left" indent="1"/>
    </xf>
    <xf numFmtId="0" fontId="3" fillId="2" borderId="15" xfId="0" applyFont="1" applyFill="1" applyBorder="1"/>
    <xf numFmtId="44" fontId="3" fillId="2" borderId="16" xfId="1" applyFont="1" applyFill="1" applyBorder="1"/>
    <xf numFmtId="0" fontId="2" fillId="2" borderId="7" xfId="0" applyFont="1" applyFill="1" applyBorder="1"/>
    <xf numFmtId="44" fontId="2" fillId="2" borderId="7" xfId="1" applyFont="1" applyFill="1" applyBorder="1"/>
    <xf numFmtId="0" fontId="3" fillId="3" borderId="7" xfId="0" applyFont="1" applyFill="1" applyBorder="1" applyAlignment="1">
      <alignment horizontal="left" indent="5"/>
    </xf>
    <xf numFmtId="44" fontId="3" fillId="3" borderId="7" xfId="1" applyFont="1" applyFill="1" applyBorder="1"/>
    <xf numFmtId="44" fontId="0" fillId="0" borderId="11" xfId="1" applyFont="1" applyBorder="1"/>
    <xf numFmtId="0" fontId="0" fillId="0" borderId="10" xfId="0" applyBorder="1"/>
    <xf numFmtId="0" fontId="7" fillId="2" borderId="12" xfId="0" applyFont="1" applyFill="1" applyBorder="1"/>
    <xf numFmtId="44" fontId="7" fillId="2" borderId="13" xfId="1" applyFont="1" applyFill="1" applyBorder="1"/>
    <xf numFmtId="0" fontId="0" fillId="0" borderId="10" xfId="0" applyFont="1" applyBorder="1"/>
    <xf numFmtId="0" fontId="8" fillId="0" borderId="6" xfId="0" applyFont="1" applyBorder="1"/>
    <xf numFmtId="0" fontId="8" fillId="0" borderId="14" xfId="0" applyFont="1" applyBorder="1"/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1" fillId="0" borderId="0" xfId="0" applyFont="1" applyBorder="1"/>
    <xf numFmtId="6" fontId="10" fillId="0" borderId="0" xfId="0" applyNumberFormat="1" applyFont="1"/>
    <xf numFmtId="6" fontId="10" fillId="0" borderId="17" xfId="0" applyNumberFormat="1" applyFont="1" applyBorder="1"/>
    <xf numFmtId="6" fontId="0" fillId="0" borderId="0" xfId="0" applyNumberFormat="1"/>
    <xf numFmtId="6" fontId="0" fillId="0" borderId="0" xfId="0" quotePrefix="1" applyNumberFormat="1"/>
    <xf numFmtId="9" fontId="0" fillId="0" borderId="0" xfId="0" applyNumberFormat="1"/>
    <xf numFmtId="6" fontId="0" fillId="0" borderId="0" xfId="0" applyNumberFormat="1" applyFill="1"/>
    <xf numFmtId="42" fontId="0" fillId="0" borderId="0" xfId="2" applyFont="1"/>
    <xf numFmtId="6" fontId="0" fillId="0" borderId="0" xfId="0" quotePrefix="1" applyNumberFormat="1" applyAlignment="1">
      <alignment horizontal="right"/>
    </xf>
    <xf numFmtId="9" fontId="0" fillId="0" borderId="0" xfId="0" applyNumberFormat="1" applyAlignment="1">
      <alignment horizontal="right"/>
    </xf>
    <xf numFmtId="38" fontId="0" fillId="0" borderId="0" xfId="0" quotePrefix="1" applyNumberFormat="1"/>
    <xf numFmtId="38" fontId="0" fillId="0" borderId="0" xfId="0" applyNumberFormat="1"/>
    <xf numFmtId="6" fontId="0" fillId="5" borderId="5" xfId="0" applyNumberFormat="1" applyFill="1" applyBorder="1"/>
    <xf numFmtId="6" fontId="0" fillId="0" borderId="5" xfId="0" applyNumberFormat="1" applyBorder="1"/>
    <xf numFmtId="6" fontId="0" fillId="2" borderId="5" xfId="0" applyNumberFormat="1" applyFill="1" applyBorder="1"/>
    <xf numFmtId="6" fontId="0" fillId="4" borderId="5" xfId="0" applyNumberFormat="1" applyFill="1" applyBorder="1"/>
    <xf numFmtId="6" fontId="10" fillId="0" borderId="18" xfId="0" applyNumberFormat="1" applyFont="1" applyFill="1" applyBorder="1"/>
    <xf numFmtId="6" fontId="10" fillId="0" borderId="19" xfId="0" applyNumberFormat="1" applyFont="1" applyFill="1" applyBorder="1"/>
    <xf numFmtId="6" fontId="0" fillId="0" borderId="18" xfId="0" applyNumberFormat="1" applyFont="1" applyFill="1" applyBorder="1"/>
    <xf numFmtId="6" fontId="0" fillId="0" borderId="18" xfId="0" applyNumberFormat="1" applyFill="1" applyBorder="1"/>
    <xf numFmtId="6" fontId="10" fillId="0" borderId="20" xfId="0" applyNumberFormat="1" applyFont="1" applyBorder="1"/>
    <xf numFmtId="6" fontId="10" fillId="0" borderId="0" xfId="0" applyNumberFormat="1" applyFont="1" applyBorder="1"/>
    <xf numFmtId="6" fontId="10" fillId="0" borderId="21" xfId="0" applyNumberFormat="1" applyFont="1" applyBorder="1"/>
    <xf numFmtId="6" fontId="11" fillId="5" borderId="22" xfId="0" applyNumberFormat="1" applyFont="1" applyFill="1" applyBorder="1"/>
    <xf numFmtId="6" fontId="0" fillId="5" borderId="11" xfId="0" applyNumberFormat="1" applyFill="1" applyBorder="1"/>
    <xf numFmtId="6" fontId="0" fillId="0" borderId="20" xfId="0" applyNumberFormat="1" applyBorder="1"/>
    <xf numFmtId="6" fontId="0" fillId="0" borderId="11" xfId="0" applyNumberFormat="1" applyBorder="1"/>
    <xf numFmtId="6" fontId="0" fillId="0" borderId="20" xfId="0" quotePrefix="1" applyNumberFormat="1" applyBorder="1"/>
    <xf numFmtId="6" fontId="10" fillId="2" borderId="22" xfId="0" quotePrefix="1" applyNumberFormat="1" applyFont="1" applyFill="1" applyBorder="1"/>
    <xf numFmtId="6" fontId="0" fillId="2" borderId="11" xfId="0" applyNumberFormat="1" applyFill="1" applyBorder="1"/>
    <xf numFmtId="6" fontId="10" fillId="4" borderId="22" xfId="0" applyNumberFormat="1" applyFont="1" applyFill="1" applyBorder="1"/>
    <xf numFmtId="6" fontId="0" fillId="4" borderId="11" xfId="0" applyNumberFormat="1" applyFill="1" applyBorder="1"/>
    <xf numFmtId="6" fontId="10" fillId="0" borderId="23" xfId="0" applyNumberFormat="1" applyFont="1" applyFill="1" applyBorder="1"/>
    <xf numFmtId="6" fontId="0" fillId="0" borderId="13" xfId="0" applyNumberFormat="1" applyFont="1" applyFill="1" applyBorder="1"/>
    <xf numFmtId="6" fontId="0" fillId="0" borderId="20" xfId="0" quotePrefix="1" applyNumberFormat="1" applyFill="1" applyBorder="1" applyAlignment="1">
      <alignment horizontal="right"/>
    </xf>
    <xf numFmtId="6" fontId="10" fillId="0" borderId="14" xfId="0" applyNumberFormat="1" applyFont="1" applyFill="1" applyBorder="1"/>
    <xf numFmtId="6" fontId="10" fillId="0" borderId="13" xfId="0" applyNumberFormat="1" applyFont="1" applyFill="1" applyBorder="1"/>
    <xf numFmtId="6" fontId="10" fillId="0" borderId="3" xfId="0" applyNumberFormat="1" applyFont="1" applyFill="1" applyBorder="1"/>
    <xf numFmtId="6" fontId="10" fillId="0" borderId="16" xfId="0" applyNumberFormat="1" applyFont="1" applyFill="1" applyBorder="1"/>
    <xf numFmtId="6" fontId="0" fillId="0" borderId="13" xfId="0" applyNumberFormat="1" applyFill="1" applyBorder="1"/>
    <xf numFmtId="6" fontId="0" fillId="0" borderId="20" xfId="0" quotePrefix="1" applyNumberFormat="1" applyFont="1" applyFill="1" applyBorder="1" applyAlignment="1">
      <alignment horizontal="right"/>
    </xf>
    <xf numFmtId="6" fontId="10" fillId="2" borderId="23" xfId="0" quotePrefix="1" applyNumberFormat="1" applyFont="1" applyFill="1" applyBorder="1"/>
    <xf numFmtId="6" fontId="0" fillId="2" borderId="18" xfId="0" applyNumberFormat="1" applyFill="1" applyBorder="1"/>
    <xf numFmtId="6" fontId="12" fillId="0" borderId="3" xfId="0" applyNumberFormat="1" applyFont="1" applyBorder="1"/>
    <xf numFmtId="6" fontId="0" fillId="0" borderId="25" xfId="0" applyNumberFormat="1" applyBorder="1"/>
    <xf numFmtId="6" fontId="0" fillId="0" borderId="4" xfId="0" applyNumberFormat="1" applyBorder="1"/>
    <xf numFmtId="0" fontId="8" fillId="0" borderId="0" xfId="0" applyFont="1" applyBorder="1" applyAlignment="1">
      <alignment horizontal="left"/>
    </xf>
    <xf numFmtId="0" fontId="13" fillId="0" borderId="0" xfId="0" applyFont="1" applyBorder="1"/>
    <xf numFmtId="44" fontId="13" fillId="0" borderId="0" xfId="0" applyNumberFormat="1" applyFont="1" applyBorder="1"/>
    <xf numFmtId="0" fontId="13" fillId="0" borderId="0" xfId="0" applyFont="1" applyFill="1" applyBorder="1"/>
    <xf numFmtId="0" fontId="14" fillId="0" borderId="0" xfId="0" applyFont="1" applyBorder="1"/>
    <xf numFmtId="0" fontId="8" fillId="0" borderId="0" xfId="0" applyFont="1" applyBorder="1"/>
    <xf numFmtId="44" fontId="0" fillId="0" borderId="7" xfId="0" applyNumberFormat="1" applyFill="1" applyBorder="1"/>
    <xf numFmtId="44" fontId="0" fillId="0" borderId="24" xfId="0" applyNumberFormat="1" applyFill="1" applyBorder="1"/>
    <xf numFmtId="44" fontId="0" fillId="0" borderId="5" xfId="0" applyNumberFormat="1" applyFill="1" applyBorder="1"/>
    <xf numFmtId="44" fontId="0" fillId="0" borderId="11" xfId="0" applyNumberFormat="1" applyFill="1" applyBorder="1"/>
    <xf numFmtId="0" fontId="0" fillId="0" borderId="1" xfId="0" applyBorder="1"/>
    <xf numFmtId="44" fontId="2" fillId="0" borderId="27" xfId="1" applyFont="1" applyBorder="1"/>
    <xf numFmtId="0" fontId="3" fillId="7" borderId="3" xfId="0" applyFont="1" applyFill="1" applyBorder="1"/>
    <xf numFmtId="44" fontId="3" fillId="7" borderId="4" xfId="1" applyFont="1" applyFill="1" applyBorder="1"/>
    <xf numFmtId="0" fontId="0" fillId="6" borderId="10" xfId="0" applyFill="1" applyBorder="1"/>
    <xf numFmtId="44" fontId="0" fillId="6" borderId="11" xfId="1" applyFont="1" applyFill="1" applyBorder="1"/>
    <xf numFmtId="0" fontId="0" fillId="6" borderId="10" xfId="0" applyFont="1" applyFill="1" applyBorder="1"/>
    <xf numFmtId="0" fontId="3" fillId="8" borderId="3" xfId="0" applyFont="1" applyFill="1" applyBorder="1"/>
    <xf numFmtId="44" fontId="3" fillId="8" borderId="4" xfId="1" applyFont="1" applyFill="1" applyBorder="1"/>
    <xf numFmtId="0" fontId="5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44" fontId="2" fillId="0" borderId="26" xfId="1" applyFont="1" applyBorder="1" applyAlignment="1"/>
    <xf numFmtId="0" fontId="0" fillId="0" borderId="2" xfId="0" applyBorder="1" applyAlignment="1"/>
  </cellXfs>
  <cellStyles count="3">
    <cellStyle name="Currency" xfId="1" builtinId="4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0</xdr:rowOff>
    </xdr:from>
    <xdr:to>
      <xdr:col>1</xdr:col>
      <xdr:colOff>409575</xdr:colOff>
      <xdr:row>0</xdr:row>
      <xdr:rowOff>9525</xdr:rowOff>
    </xdr:to>
    <xdr:pic>
      <xdr:nvPicPr>
        <xdr:cNvPr id="102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0"/>
          <a:ext cx="3495675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409575</xdr:colOff>
      <xdr:row>0</xdr:row>
      <xdr:rowOff>0</xdr:rowOff>
    </xdr:from>
    <xdr:to>
      <xdr:col>1</xdr:col>
      <xdr:colOff>409575</xdr:colOff>
      <xdr:row>0</xdr:row>
      <xdr:rowOff>9525</xdr:rowOff>
    </xdr:to>
    <xdr:pic>
      <xdr:nvPicPr>
        <xdr:cNvPr id="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9575" y="0"/>
          <a:ext cx="2990850" cy="9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0"/>
  <sheetViews>
    <sheetView tabSelected="1" view="pageBreakPreview" topLeftCell="A8" zoomScale="85" zoomScaleNormal="85" zoomScaleSheetLayoutView="85" workbookViewId="0">
      <selection activeCell="B26" sqref="B26"/>
    </sheetView>
  </sheetViews>
  <sheetFormatPr defaultColWidth="9.140625" defaultRowHeight="15" x14ac:dyDescent="0.25"/>
  <cols>
    <col min="1" max="1" width="39.42578125" style="2" customWidth="1"/>
    <col min="2" max="2" width="21.5703125" style="12" customWidth="1"/>
    <col min="3" max="3" width="86.42578125" style="2" customWidth="1"/>
    <col min="4" max="16384" width="9.140625" style="2"/>
  </cols>
  <sheetData>
    <row r="1" spans="1:3" ht="30.75" customHeight="1" x14ac:dyDescent="0.5">
      <c r="A1" s="106" t="s">
        <v>100</v>
      </c>
      <c r="B1" s="107"/>
      <c r="C1" s="107"/>
    </row>
    <row r="2" spans="1:3" ht="16.5" customHeight="1" thickBot="1" x14ac:dyDescent="0.65">
      <c r="A2" s="37"/>
      <c r="B2" s="38"/>
      <c r="C2" s="38"/>
    </row>
    <row r="3" spans="1:3" ht="19.5" customHeight="1" x14ac:dyDescent="0.35">
      <c r="A3" s="35" t="s">
        <v>33</v>
      </c>
      <c r="B3" s="98" t="s">
        <v>35</v>
      </c>
      <c r="C3" s="97"/>
    </row>
    <row r="4" spans="1:3" ht="19.5" customHeight="1" thickBot="1" x14ac:dyDescent="0.4">
      <c r="A4" s="36" t="s">
        <v>34</v>
      </c>
      <c r="B4" s="108" t="s">
        <v>101</v>
      </c>
      <c r="C4" s="109"/>
    </row>
    <row r="5" spans="1:3" ht="16.149999999999999" thickBot="1" x14ac:dyDescent="0.35">
      <c r="A5" s="7" t="s">
        <v>0</v>
      </c>
      <c r="B5" s="1"/>
    </row>
    <row r="6" spans="1:3" x14ac:dyDescent="0.25">
      <c r="A6" s="13" t="s">
        <v>1</v>
      </c>
      <c r="B6" s="14">
        <v>0</v>
      </c>
      <c r="C6" s="2" t="s">
        <v>102</v>
      </c>
    </row>
    <row r="7" spans="1:3" x14ac:dyDescent="0.25">
      <c r="A7" s="15" t="s">
        <v>12</v>
      </c>
      <c r="B7" s="16">
        <v>0</v>
      </c>
      <c r="C7" s="2" t="s">
        <v>110</v>
      </c>
    </row>
    <row r="8" spans="1:3" ht="15.75" thickBot="1" x14ac:dyDescent="0.3">
      <c r="A8" s="17" t="s">
        <v>2</v>
      </c>
      <c r="B8" s="18">
        <f>SUM(B6:B7)</f>
        <v>0</v>
      </c>
    </row>
    <row r="9" spans="1:3" ht="16.5" thickBot="1" x14ac:dyDescent="0.3">
      <c r="A9" s="7" t="s">
        <v>107</v>
      </c>
      <c r="B9" s="9"/>
    </row>
    <row r="10" spans="1:3" x14ac:dyDescent="0.25">
      <c r="A10" s="13" t="s">
        <v>3</v>
      </c>
      <c r="B10" s="14">
        <v>0</v>
      </c>
      <c r="C10" s="2" t="s">
        <v>103</v>
      </c>
    </row>
    <row r="11" spans="1:3" x14ac:dyDescent="0.25">
      <c r="A11" s="15" t="s">
        <v>4</v>
      </c>
      <c r="B11" s="16">
        <v>0</v>
      </c>
      <c r="C11" s="2" t="s">
        <v>40</v>
      </c>
    </row>
    <row r="12" spans="1:3" ht="15.75" thickBot="1" x14ac:dyDescent="0.3">
      <c r="A12" s="17" t="s">
        <v>13</v>
      </c>
      <c r="B12" s="19">
        <f>SUM(B10:B11)</f>
        <v>0</v>
      </c>
      <c r="C12" s="5"/>
    </row>
    <row r="13" spans="1:3" ht="16.5" thickBot="1" x14ac:dyDescent="0.3">
      <c r="A13" s="7" t="s">
        <v>5</v>
      </c>
      <c r="B13" s="1"/>
    </row>
    <row r="14" spans="1:3" x14ac:dyDescent="0.25">
      <c r="A14" s="13" t="s">
        <v>41</v>
      </c>
      <c r="B14" s="14">
        <v>0</v>
      </c>
      <c r="C14" s="2" t="s">
        <v>42</v>
      </c>
    </row>
    <row r="15" spans="1:3" x14ac:dyDescent="0.25">
      <c r="A15" s="20" t="s">
        <v>10</v>
      </c>
      <c r="B15" s="16">
        <v>0</v>
      </c>
      <c r="C15" s="39"/>
    </row>
    <row r="16" spans="1:3" x14ac:dyDescent="0.25">
      <c r="A16" s="21" t="s">
        <v>18</v>
      </c>
      <c r="B16" s="16">
        <v>0</v>
      </c>
      <c r="C16" s="2" t="s">
        <v>104</v>
      </c>
    </row>
    <row r="17" spans="1:5" s="6" customFormat="1" ht="14.45" x14ac:dyDescent="0.3">
      <c r="A17" s="22" t="s">
        <v>44</v>
      </c>
      <c r="B17" s="16">
        <f>B30*0.06</f>
        <v>0</v>
      </c>
      <c r="C17" s="41" t="s">
        <v>43</v>
      </c>
    </row>
    <row r="18" spans="1:5" x14ac:dyDescent="0.25">
      <c r="A18" s="21" t="s">
        <v>17</v>
      </c>
      <c r="B18" s="16">
        <v>0</v>
      </c>
    </row>
    <row r="19" spans="1:5" x14ac:dyDescent="0.25">
      <c r="A19" s="21" t="s">
        <v>16</v>
      </c>
      <c r="B19" s="16">
        <v>0</v>
      </c>
    </row>
    <row r="20" spans="1:5" x14ac:dyDescent="0.25">
      <c r="A20" s="22" t="s">
        <v>15</v>
      </c>
      <c r="B20" s="16">
        <v>0</v>
      </c>
      <c r="C20" s="2" t="s">
        <v>45</v>
      </c>
    </row>
    <row r="21" spans="1:5" s="6" customFormat="1" x14ac:dyDescent="0.25">
      <c r="A21" s="22" t="s">
        <v>9</v>
      </c>
      <c r="B21" s="16">
        <v>0</v>
      </c>
    </row>
    <row r="22" spans="1:5" x14ac:dyDescent="0.25">
      <c r="A22" s="15" t="s">
        <v>11</v>
      </c>
      <c r="B22" s="16">
        <v>0</v>
      </c>
    </row>
    <row r="23" spans="1:5" x14ac:dyDescent="0.25">
      <c r="A23" s="22" t="s">
        <v>22</v>
      </c>
      <c r="B23" s="16">
        <v>0</v>
      </c>
      <c r="C23" s="2" t="s">
        <v>105</v>
      </c>
    </row>
    <row r="24" spans="1:5" x14ac:dyDescent="0.25">
      <c r="A24" s="23" t="s">
        <v>6</v>
      </c>
      <c r="B24" s="16">
        <v>0</v>
      </c>
      <c r="E24" s="10"/>
    </row>
    <row r="25" spans="1:5" ht="15.75" thickBot="1" x14ac:dyDescent="0.3">
      <c r="A25" s="17" t="s">
        <v>7</v>
      </c>
      <c r="B25" s="19">
        <f>SUM(B14:B24)</f>
        <v>0</v>
      </c>
    </row>
    <row r="26" spans="1:5" s="6" customFormat="1" x14ac:dyDescent="0.25">
      <c r="A26" s="26" t="s">
        <v>32</v>
      </c>
      <c r="B26" s="27">
        <f>(B25+B12)*0.1</f>
        <v>0</v>
      </c>
      <c r="C26" s="6" t="s">
        <v>106</v>
      </c>
    </row>
    <row r="27" spans="1:5" thickBot="1" x14ac:dyDescent="0.35">
      <c r="A27" s="11"/>
      <c r="B27" s="9"/>
    </row>
    <row r="28" spans="1:5" thickBot="1" x14ac:dyDescent="0.35">
      <c r="A28" s="24" t="s">
        <v>8</v>
      </c>
      <c r="B28" s="25">
        <f>B26+B25+B12+B8</f>
        <v>0</v>
      </c>
      <c r="C28" s="5" t="s">
        <v>46</v>
      </c>
    </row>
    <row r="29" spans="1:5" ht="14.45" x14ac:dyDescent="0.3">
      <c r="A29" s="28" t="s">
        <v>28</v>
      </c>
      <c r="B29" s="29">
        <f>B28-B23</f>
        <v>0</v>
      </c>
      <c r="C29" s="5" t="s">
        <v>47</v>
      </c>
    </row>
    <row r="30" spans="1:5" ht="14.45" x14ac:dyDescent="0.3">
      <c r="A30" s="4" t="s">
        <v>29</v>
      </c>
      <c r="B30" s="3">
        <v>0</v>
      </c>
      <c r="C30" s="2" t="s">
        <v>48</v>
      </c>
    </row>
    <row r="31" spans="1:5" thickBot="1" x14ac:dyDescent="0.35">
      <c r="A31" s="8"/>
      <c r="B31" s="1"/>
    </row>
    <row r="32" spans="1:5" thickBot="1" x14ac:dyDescent="0.35">
      <c r="A32" s="99" t="s">
        <v>30</v>
      </c>
      <c r="B32" s="100">
        <f>B28-B30</f>
        <v>0</v>
      </c>
      <c r="C32" s="2" t="s">
        <v>31</v>
      </c>
    </row>
    <row r="33" spans="1:3" ht="14.45" x14ac:dyDescent="0.3">
      <c r="A33" s="8"/>
      <c r="B33" s="1"/>
    </row>
    <row r="34" spans="1:3" ht="16.149999999999999" thickBot="1" x14ac:dyDescent="0.35">
      <c r="A34" s="7" t="s">
        <v>24</v>
      </c>
      <c r="B34" s="1"/>
    </row>
    <row r="35" spans="1:3" ht="14.45" x14ac:dyDescent="0.3">
      <c r="A35" s="13" t="s">
        <v>19</v>
      </c>
      <c r="B35" s="14">
        <v>0</v>
      </c>
      <c r="C35" s="2" t="s">
        <v>23</v>
      </c>
    </row>
    <row r="36" spans="1:3" ht="14.45" x14ac:dyDescent="0.3">
      <c r="A36" s="20" t="s">
        <v>108</v>
      </c>
      <c r="B36" s="30">
        <v>0</v>
      </c>
      <c r="C36" s="2" t="s">
        <v>38</v>
      </c>
    </row>
    <row r="37" spans="1:3" ht="14.45" x14ac:dyDescent="0.3">
      <c r="A37" s="101" t="s">
        <v>37</v>
      </c>
      <c r="B37" s="102">
        <v>0</v>
      </c>
    </row>
    <row r="38" spans="1:3" ht="14.45" x14ac:dyDescent="0.3">
      <c r="A38" s="31" t="s">
        <v>20</v>
      </c>
      <c r="B38" s="30">
        <v>0</v>
      </c>
    </row>
    <row r="39" spans="1:3" ht="14.45" x14ac:dyDescent="0.3">
      <c r="A39" s="31" t="s">
        <v>20</v>
      </c>
      <c r="B39" s="30">
        <v>0</v>
      </c>
    </row>
    <row r="40" spans="1:3" ht="14.45" x14ac:dyDescent="0.3">
      <c r="A40" s="31" t="s">
        <v>20</v>
      </c>
      <c r="B40" s="30">
        <v>0</v>
      </c>
    </row>
    <row r="41" spans="1:3" ht="20.45" thickBot="1" x14ac:dyDescent="0.45">
      <c r="A41" s="32" t="s">
        <v>21</v>
      </c>
      <c r="B41" s="33">
        <f>SUM(B35:B40)</f>
        <v>0</v>
      </c>
      <c r="C41" s="2" t="s">
        <v>117</v>
      </c>
    </row>
    <row r="43" spans="1:3" ht="16.149999999999999" thickBot="1" x14ac:dyDescent="0.35">
      <c r="A43" s="7" t="s">
        <v>25</v>
      </c>
      <c r="B43" s="1"/>
    </row>
    <row r="44" spans="1:3" ht="14.45" x14ac:dyDescent="0.3">
      <c r="A44" s="13" t="s">
        <v>27</v>
      </c>
      <c r="B44" s="14">
        <v>0</v>
      </c>
      <c r="C44" s="2" t="s">
        <v>50</v>
      </c>
    </row>
    <row r="45" spans="1:3" ht="14.45" x14ac:dyDescent="0.3">
      <c r="A45" s="15" t="s">
        <v>26</v>
      </c>
      <c r="B45" s="16">
        <v>0</v>
      </c>
      <c r="C45" s="2" t="s">
        <v>51</v>
      </c>
    </row>
    <row r="46" spans="1:3" x14ac:dyDescent="0.25">
      <c r="A46" s="34" t="s">
        <v>37</v>
      </c>
      <c r="B46" s="30">
        <v>0</v>
      </c>
    </row>
    <row r="47" spans="1:3" x14ac:dyDescent="0.25">
      <c r="A47" s="34" t="s">
        <v>20</v>
      </c>
      <c r="B47" s="30">
        <v>0</v>
      </c>
    </row>
    <row r="48" spans="1:3" x14ac:dyDescent="0.25">
      <c r="A48" s="34" t="s">
        <v>20</v>
      </c>
      <c r="B48" s="30">
        <v>0</v>
      </c>
    </row>
    <row r="49" spans="1:2" x14ac:dyDescent="0.25">
      <c r="A49" s="34" t="s">
        <v>20</v>
      </c>
      <c r="B49" s="30">
        <v>0</v>
      </c>
    </row>
    <row r="50" spans="1:2" ht="20.25" thickBot="1" x14ac:dyDescent="0.35">
      <c r="A50" s="32" t="s">
        <v>21</v>
      </c>
      <c r="B50" s="33">
        <f>SUM(B44:B49)</f>
        <v>0</v>
      </c>
    </row>
  </sheetData>
  <mergeCells count="2">
    <mergeCell ref="A1:C1"/>
    <mergeCell ref="B4:C4"/>
  </mergeCells>
  <phoneticPr fontId="0" type="noConversion"/>
  <pageMargins left="0.7" right="0.7" top="0.75" bottom="0.75" header="0.3" footer="0.3"/>
  <pageSetup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9"/>
  <sheetViews>
    <sheetView view="pageBreakPreview" zoomScale="85" zoomScaleNormal="85" zoomScaleSheetLayoutView="85" workbookViewId="0">
      <selection activeCell="B25" sqref="B25"/>
    </sheetView>
  </sheetViews>
  <sheetFormatPr defaultColWidth="9.140625" defaultRowHeight="15" x14ac:dyDescent="0.25"/>
  <cols>
    <col min="1" max="1" width="39.7109375" style="2" customWidth="1"/>
    <col min="2" max="2" width="17.28515625" style="12" customWidth="1"/>
    <col min="3" max="3" width="65.42578125" style="2" customWidth="1"/>
    <col min="4" max="16384" width="9.140625" style="2"/>
  </cols>
  <sheetData>
    <row r="1" spans="1:3" ht="30.75" customHeight="1" thickBot="1" x14ac:dyDescent="0.65">
      <c r="A1" s="106" t="s">
        <v>112</v>
      </c>
      <c r="B1" s="107"/>
      <c r="C1" s="107"/>
    </row>
    <row r="2" spans="1:3" ht="19.5" customHeight="1" x14ac:dyDescent="0.35">
      <c r="A2" s="35" t="s">
        <v>33</v>
      </c>
      <c r="B2" s="98" t="s">
        <v>35</v>
      </c>
      <c r="C2" s="97"/>
    </row>
    <row r="3" spans="1:3" ht="19.5" customHeight="1" thickBot="1" x14ac:dyDescent="0.4">
      <c r="A3" s="36" t="s">
        <v>34</v>
      </c>
      <c r="B3" s="108" t="s">
        <v>109</v>
      </c>
      <c r="C3" s="109"/>
    </row>
    <row r="4" spans="1:3" ht="19.5" customHeight="1" x14ac:dyDescent="0.35">
      <c r="A4" s="92"/>
      <c r="B4" s="1"/>
      <c r="C4" s="88"/>
    </row>
    <row r="5" spans="1:3" ht="16.5" customHeight="1" x14ac:dyDescent="0.35">
      <c r="A5" s="87" t="s">
        <v>98</v>
      </c>
      <c r="B5" s="40"/>
      <c r="C5" s="40"/>
    </row>
    <row r="6" spans="1:3" ht="16.149999999999999" thickBot="1" x14ac:dyDescent="0.35">
      <c r="A6" s="7" t="s">
        <v>0</v>
      </c>
      <c r="B6" s="1"/>
      <c r="C6" s="88"/>
    </row>
    <row r="7" spans="1:3" ht="14.45" x14ac:dyDescent="0.3">
      <c r="A7" s="13" t="s">
        <v>1</v>
      </c>
      <c r="B7" s="14">
        <v>0</v>
      </c>
      <c r="C7" s="88" t="s">
        <v>39</v>
      </c>
    </row>
    <row r="8" spans="1:3" ht="14.45" x14ac:dyDescent="0.3">
      <c r="A8" s="15" t="s">
        <v>12</v>
      </c>
      <c r="B8" s="16">
        <v>0</v>
      </c>
      <c r="C8" s="2" t="s">
        <v>110</v>
      </c>
    </row>
    <row r="9" spans="1:3" thickBot="1" x14ac:dyDescent="0.35">
      <c r="A9" s="17" t="s">
        <v>2</v>
      </c>
      <c r="B9" s="18">
        <f>SUM(B7:B8)</f>
        <v>0</v>
      </c>
      <c r="C9" s="88"/>
    </row>
    <row r="10" spans="1:3" ht="16.149999999999999" thickBot="1" x14ac:dyDescent="0.35">
      <c r="A10" s="7" t="s">
        <v>36</v>
      </c>
      <c r="B10" s="9"/>
      <c r="C10" s="88"/>
    </row>
    <row r="11" spans="1:3" ht="14.45" x14ac:dyDescent="0.3">
      <c r="A11" s="13" t="s">
        <v>3</v>
      </c>
      <c r="B11" s="14">
        <v>0</v>
      </c>
      <c r="C11" s="88" t="s">
        <v>14</v>
      </c>
    </row>
    <row r="12" spans="1:3" ht="14.45" x14ac:dyDescent="0.3">
      <c r="A12" s="15" t="s">
        <v>4</v>
      </c>
      <c r="B12" s="16">
        <v>0</v>
      </c>
      <c r="C12" s="88" t="s">
        <v>40</v>
      </c>
    </row>
    <row r="13" spans="1:3" thickBot="1" x14ac:dyDescent="0.35">
      <c r="A13" s="17" t="s">
        <v>13</v>
      </c>
      <c r="B13" s="19">
        <f>SUM(B11:B12)</f>
        <v>0</v>
      </c>
      <c r="C13" s="89"/>
    </row>
    <row r="14" spans="1:3" ht="16.149999999999999" thickBot="1" x14ac:dyDescent="0.35">
      <c r="A14" s="7" t="s">
        <v>5</v>
      </c>
      <c r="B14" s="1"/>
      <c r="C14" s="88"/>
    </row>
    <row r="15" spans="1:3" ht="14.45" x14ac:dyDescent="0.3">
      <c r="A15" s="13" t="s">
        <v>41</v>
      </c>
      <c r="B15" s="14">
        <v>0</v>
      </c>
      <c r="C15" s="88" t="s">
        <v>42</v>
      </c>
    </row>
    <row r="16" spans="1:3" ht="14.45" x14ac:dyDescent="0.3">
      <c r="A16" s="20" t="s">
        <v>10</v>
      </c>
      <c r="B16" s="16">
        <v>0</v>
      </c>
      <c r="C16" s="90"/>
    </row>
    <row r="17" spans="1:5" ht="14.45" x14ac:dyDescent="0.3">
      <c r="A17" s="21" t="s">
        <v>18</v>
      </c>
      <c r="B17" s="16">
        <v>0</v>
      </c>
      <c r="C17" s="2" t="s">
        <v>104</v>
      </c>
    </row>
    <row r="18" spans="1:5" ht="14.45" x14ac:dyDescent="0.3">
      <c r="A18" s="21" t="s">
        <v>17</v>
      </c>
      <c r="B18" s="16">
        <v>0</v>
      </c>
      <c r="C18" s="88"/>
    </row>
    <row r="19" spans="1:5" ht="14.45" x14ac:dyDescent="0.3">
      <c r="A19" s="21" t="s">
        <v>16</v>
      </c>
      <c r="B19" s="16">
        <v>0</v>
      </c>
      <c r="C19" s="88"/>
    </row>
    <row r="20" spans="1:5" ht="14.45" x14ac:dyDescent="0.3">
      <c r="A20" s="22" t="s">
        <v>111</v>
      </c>
      <c r="B20" s="16">
        <v>0</v>
      </c>
      <c r="C20" s="88" t="s">
        <v>53</v>
      </c>
    </row>
    <row r="21" spans="1:5" ht="14.45" x14ac:dyDescent="0.3">
      <c r="A21" s="22" t="s">
        <v>22</v>
      </c>
      <c r="B21" s="16">
        <v>0</v>
      </c>
      <c r="C21" s="88" t="s">
        <v>49</v>
      </c>
    </row>
    <row r="22" spans="1:5" ht="14.45" x14ac:dyDescent="0.3">
      <c r="A22" s="23" t="s">
        <v>6</v>
      </c>
      <c r="B22" s="16">
        <v>0</v>
      </c>
      <c r="C22" s="88"/>
      <c r="E22" s="10"/>
    </row>
    <row r="23" spans="1:5" thickBot="1" x14ac:dyDescent="0.35">
      <c r="A23" s="17" t="s">
        <v>7</v>
      </c>
      <c r="B23" s="19">
        <f>SUM(B15:B22)</f>
        <v>0</v>
      </c>
      <c r="C23" s="88"/>
    </row>
    <row r="24" spans="1:5" s="6" customFormat="1" x14ac:dyDescent="0.25">
      <c r="A24" s="26" t="s">
        <v>32</v>
      </c>
      <c r="B24" s="27">
        <f>(B23+B13)*0.1</f>
        <v>0</v>
      </c>
      <c r="C24" s="91" t="s">
        <v>52</v>
      </c>
    </row>
    <row r="25" spans="1:5" thickBot="1" x14ac:dyDescent="0.35">
      <c r="A25" s="11"/>
      <c r="B25" s="9"/>
      <c r="C25" s="88"/>
    </row>
    <row r="26" spans="1:5" thickBot="1" x14ac:dyDescent="0.35">
      <c r="A26" s="24" t="s">
        <v>8</v>
      </c>
      <c r="B26" s="25">
        <f>B24+B23+B13+B9</f>
        <v>0</v>
      </c>
      <c r="C26" s="89" t="s">
        <v>46</v>
      </c>
    </row>
    <row r="27" spans="1:5" ht="14.45" x14ac:dyDescent="0.3">
      <c r="A27" s="28" t="s">
        <v>28</v>
      </c>
      <c r="B27" s="29">
        <f>B26-B21</f>
        <v>0</v>
      </c>
      <c r="C27" s="89" t="s">
        <v>47</v>
      </c>
    </row>
    <row r="28" spans="1:5" thickBot="1" x14ac:dyDescent="0.35">
      <c r="A28" s="8"/>
      <c r="B28" s="1"/>
      <c r="C28" s="88"/>
    </row>
    <row r="29" spans="1:5" thickBot="1" x14ac:dyDescent="0.35">
      <c r="A29" s="104" t="s">
        <v>30</v>
      </c>
      <c r="B29" s="105"/>
      <c r="C29" s="88" t="s">
        <v>115</v>
      </c>
    </row>
    <row r="30" spans="1:5" ht="14.45" x14ac:dyDescent="0.3">
      <c r="A30" s="8"/>
      <c r="B30" s="1"/>
      <c r="C30" s="88"/>
    </row>
    <row r="31" spans="1:5" ht="14.45" x14ac:dyDescent="0.3">
      <c r="C31" s="88"/>
    </row>
    <row r="32" spans="1:5" ht="19.899999999999999" thickBot="1" x14ac:dyDescent="0.4">
      <c r="A32" s="92" t="s">
        <v>113</v>
      </c>
      <c r="B32" s="1"/>
      <c r="C32" s="88" t="s">
        <v>99</v>
      </c>
    </row>
    <row r="33" spans="1:3" ht="14.45" x14ac:dyDescent="0.3">
      <c r="A33" s="13" t="s">
        <v>27</v>
      </c>
      <c r="B33" s="14">
        <v>0</v>
      </c>
      <c r="C33" s="88" t="s">
        <v>50</v>
      </c>
    </row>
    <row r="34" spans="1:3" ht="14.45" x14ac:dyDescent="0.3">
      <c r="A34" s="15" t="s">
        <v>114</v>
      </c>
      <c r="B34" s="16">
        <v>0</v>
      </c>
      <c r="C34" s="88" t="s">
        <v>51</v>
      </c>
    </row>
    <row r="35" spans="1:3" ht="14.45" x14ac:dyDescent="0.3">
      <c r="A35" s="103" t="s">
        <v>37</v>
      </c>
      <c r="B35" s="102">
        <v>0</v>
      </c>
      <c r="C35" s="88"/>
    </row>
    <row r="36" spans="1:3" x14ac:dyDescent="0.25">
      <c r="A36" s="34" t="s">
        <v>20</v>
      </c>
      <c r="B36" s="30">
        <v>0</v>
      </c>
      <c r="C36" s="88"/>
    </row>
    <row r="37" spans="1:3" x14ac:dyDescent="0.25">
      <c r="A37" s="34" t="s">
        <v>20</v>
      </c>
      <c r="B37" s="30">
        <v>0</v>
      </c>
      <c r="C37" s="88"/>
    </row>
    <row r="38" spans="1:3" x14ac:dyDescent="0.25">
      <c r="A38" s="34" t="s">
        <v>20</v>
      </c>
      <c r="B38" s="30">
        <v>0</v>
      </c>
      <c r="C38" s="88"/>
    </row>
    <row r="39" spans="1:3" ht="20.25" thickBot="1" x14ac:dyDescent="0.35">
      <c r="A39" s="32" t="s">
        <v>21</v>
      </c>
      <c r="B39" s="33">
        <f>SUM(B33:B38)</f>
        <v>0</v>
      </c>
      <c r="C39" s="88" t="s">
        <v>118</v>
      </c>
    </row>
  </sheetData>
  <mergeCells count="2">
    <mergeCell ref="A1:C1"/>
    <mergeCell ref="B3:C3"/>
  </mergeCells>
  <pageMargins left="0.7" right="0.7" top="0.75" bottom="0.75" header="0.3" footer="0.3"/>
  <pageSetup scale="7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view="pageBreakPreview" zoomScale="85" zoomScaleNormal="85" zoomScaleSheetLayoutView="85" workbookViewId="0">
      <selection activeCell="D23" sqref="D23"/>
    </sheetView>
  </sheetViews>
  <sheetFormatPr defaultColWidth="9.140625" defaultRowHeight="15" x14ac:dyDescent="0.25"/>
  <cols>
    <col min="1" max="1" width="44.5703125" style="44" customWidth="1"/>
    <col min="2" max="2" width="11.5703125" style="44" bestFit="1" customWidth="1"/>
    <col min="3" max="3" width="10.85546875" style="44" bestFit="1" customWidth="1"/>
    <col min="4" max="5" width="11.85546875" style="44" bestFit="1" customWidth="1"/>
    <col min="6" max="16" width="10.85546875" style="44" bestFit="1" customWidth="1"/>
    <col min="17" max="16384" width="9.140625" style="44"/>
  </cols>
  <sheetData>
    <row r="1" spans="1:16" ht="16.5" thickBot="1" x14ac:dyDescent="0.3">
      <c r="A1" s="84" t="s">
        <v>116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6"/>
    </row>
    <row r="2" spans="1:16" s="42" customFormat="1" x14ac:dyDescent="0.25">
      <c r="A2" s="61"/>
      <c r="B2" s="43" t="s">
        <v>54</v>
      </c>
      <c r="C2" s="62" t="s">
        <v>55</v>
      </c>
      <c r="D2" s="62" t="s">
        <v>56</v>
      </c>
      <c r="E2" s="62" t="s">
        <v>57</v>
      </c>
      <c r="F2" s="62" t="s">
        <v>58</v>
      </c>
      <c r="G2" s="62" t="s">
        <v>59</v>
      </c>
      <c r="H2" s="62" t="s">
        <v>60</v>
      </c>
      <c r="I2" s="62" t="s">
        <v>61</v>
      </c>
      <c r="J2" s="62" t="s">
        <v>62</v>
      </c>
      <c r="K2" s="62" t="s">
        <v>63</v>
      </c>
      <c r="L2" s="62" t="s">
        <v>64</v>
      </c>
      <c r="M2" s="62" t="s">
        <v>65</v>
      </c>
      <c r="N2" s="62" t="s">
        <v>66</v>
      </c>
      <c r="O2" s="62" t="s">
        <v>67</v>
      </c>
      <c r="P2" s="63" t="s">
        <v>68</v>
      </c>
    </row>
    <row r="3" spans="1:16" x14ac:dyDescent="0.25">
      <c r="A3" s="64" t="s">
        <v>69</v>
      </c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65"/>
    </row>
    <row r="4" spans="1:16" x14ac:dyDescent="0.25">
      <c r="A4" s="66" t="s">
        <v>70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67"/>
    </row>
    <row r="5" spans="1:16" x14ac:dyDescent="0.25">
      <c r="A5" s="68" t="s">
        <v>71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67"/>
    </row>
    <row r="6" spans="1:16" x14ac:dyDescent="0.25">
      <c r="A6" s="69" t="s">
        <v>72</v>
      </c>
      <c r="B6" s="55">
        <f>B4+B5</f>
        <v>0</v>
      </c>
      <c r="C6" s="55">
        <f t="shared" ref="C6:P6" si="0">C4+C5</f>
        <v>0</v>
      </c>
      <c r="D6" s="55">
        <f t="shared" si="0"/>
        <v>0</v>
      </c>
      <c r="E6" s="55">
        <f t="shared" si="0"/>
        <v>0</v>
      </c>
      <c r="F6" s="55">
        <f t="shared" si="0"/>
        <v>0</v>
      </c>
      <c r="G6" s="55">
        <f t="shared" si="0"/>
        <v>0</v>
      </c>
      <c r="H6" s="55">
        <f t="shared" si="0"/>
        <v>0</v>
      </c>
      <c r="I6" s="55">
        <f t="shared" si="0"/>
        <v>0</v>
      </c>
      <c r="J6" s="55">
        <f t="shared" si="0"/>
        <v>0</v>
      </c>
      <c r="K6" s="55">
        <f t="shared" si="0"/>
        <v>0</v>
      </c>
      <c r="L6" s="55">
        <f t="shared" si="0"/>
        <v>0</v>
      </c>
      <c r="M6" s="55">
        <f t="shared" si="0"/>
        <v>0</v>
      </c>
      <c r="N6" s="55">
        <f t="shared" si="0"/>
        <v>0</v>
      </c>
      <c r="O6" s="55">
        <f t="shared" si="0"/>
        <v>0</v>
      </c>
      <c r="P6" s="55">
        <f t="shared" si="0"/>
        <v>0</v>
      </c>
    </row>
    <row r="7" spans="1:16" x14ac:dyDescent="0.25">
      <c r="A7" s="68" t="s">
        <v>73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67"/>
    </row>
    <row r="8" spans="1:16" x14ac:dyDescent="0.25">
      <c r="A8" s="69" t="s">
        <v>74</v>
      </c>
      <c r="B8" s="55">
        <f>B6-B7</f>
        <v>0</v>
      </c>
      <c r="C8" s="55">
        <f t="shared" ref="C8:P8" si="1">C6-C7</f>
        <v>0</v>
      </c>
      <c r="D8" s="55">
        <f t="shared" si="1"/>
        <v>0</v>
      </c>
      <c r="E8" s="55">
        <f t="shared" si="1"/>
        <v>0</v>
      </c>
      <c r="F8" s="55">
        <f t="shared" si="1"/>
        <v>0</v>
      </c>
      <c r="G8" s="55">
        <f t="shared" si="1"/>
        <v>0</v>
      </c>
      <c r="H8" s="55">
        <f t="shared" si="1"/>
        <v>0</v>
      </c>
      <c r="I8" s="55">
        <f t="shared" si="1"/>
        <v>0</v>
      </c>
      <c r="J8" s="55">
        <f t="shared" si="1"/>
        <v>0</v>
      </c>
      <c r="K8" s="55">
        <f t="shared" si="1"/>
        <v>0</v>
      </c>
      <c r="L8" s="55">
        <f t="shared" si="1"/>
        <v>0</v>
      </c>
      <c r="M8" s="55">
        <f t="shared" si="1"/>
        <v>0</v>
      </c>
      <c r="N8" s="55">
        <f t="shared" si="1"/>
        <v>0</v>
      </c>
      <c r="O8" s="55">
        <f t="shared" si="1"/>
        <v>0</v>
      </c>
      <c r="P8" s="55">
        <f t="shared" si="1"/>
        <v>0</v>
      </c>
    </row>
    <row r="9" spans="1:16" x14ac:dyDescent="0.25">
      <c r="A9" s="66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67"/>
    </row>
    <row r="10" spans="1:16" x14ac:dyDescent="0.25">
      <c r="A10" s="71" t="s">
        <v>75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72"/>
    </row>
    <row r="11" spans="1:16" s="47" customFormat="1" ht="15.75" thickBot="1" x14ac:dyDescent="0.3">
      <c r="A11" s="73" t="s">
        <v>76</v>
      </c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74"/>
    </row>
    <row r="12" spans="1:16" s="47" customFormat="1" x14ac:dyDescent="0.25">
      <c r="A12" s="75" t="s">
        <v>77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4"/>
    </row>
    <row r="13" spans="1:16" s="47" customFormat="1" x14ac:dyDescent="0.25">
      <c r="A13" s="75" t="s">
        <v>78</v>
      </c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6"/>
    </row>
    <row r="14" spans="1:16" s="47" customFormat="1" x14ac:dyDescent="0.25">
      <c r="A14" s="75" t="s">
        <v>79</v>
      </c>
      <c r="B14" s="95"/>
      <c r="C14" s="95"/>
      <c r="D14" s="95"/>
      <c r="E14" s="95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6"/>
    </row>
    <row r="15" spans="1:16" s="47" customFormat="1" x14ac:dyDescent="0.25">
      <c r="A15" s="75" t="s">
        <v>91</v>
      </c>
      <c r="B15" s="95"/>
      <c r="C15" s="95"/>
      <c r="D15" s="95"/>
      <c r="E15" s="95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6"/>
    </row>
    <row r="16" spans="1:16" s="47" customFormat="1" x14ac:dyDescent="0.25">
      <c r="A16" s="75" t="s">
        <v>80</v>
      </c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6"/>
    </row>
    <row r="17" spans="1:16" s="47" customFormat="1" x14ac:dyDescent="0.25">
      <c r="A17" s="75" t="s">
        <v>92</v>
      </c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6"/>
    </row>
    <row r="18" spans="1:16" s="47" customFormat="1" ht="15.75" thickBot="1" x14ac:dyDescent="0.3">
      <c r="A18" s="76" t="s">
        <v>81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77"/>
    </row>
    <row r="19" spans="1:16" s="47" customFormat="1" x14ac:dyDescent="0.25">
      <c r="A19" s="75" t="s">
        <v>82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4"/>
    </row>
    <row r="20" spans="1:16" s="47" customFormat="1" x14ac:dyDescent="0.25">
      <c r="A20" s="75" t="s">
        <v>83</v>
      </c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6"/>
    </row>
    <row r="21" spans="1:16" s="47" customFormat="1" x14ac:dyDescent="0.25">
      <c r="A21" s="75" t="s">
        <v>93</v>
      </c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6"/>
    </row>
    <row r="22" spans="1:16" s="47" customFormat="1" ht="15.75" thickBot="1" x14ac:dyDescent="0.3">
      <c r="A22" s="76" t="s">
        <v>84</v>
      </c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77"/>
    </row>
    <row r="23" spans="1:16" s="47" customFormat="1" ht="15.75" thickBot="1" x14ac:dyDescent="0.3">
      <c r="A23" s="78" t="s">
        <v>85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79"/>
    </row>
    <row r="24" spans="1:16" s="47" customFormat="1" x14ac:dyDescent="0.25">
      <c r="A24" s="75" t="s">
        <v>94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4"/>
    </row>
    <row r="25" spans="1:16" s="47" customFormat="1" x14ac:dyDescent="0.25">
      <c r="A25" s="75" t="s">
        <v>86</v>
      </c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6"/>
    </row>
    <row r="26" spans="1:16" s="47" customFormat="1" x14ac:dyDescent="0.25">
      <c r="A26" s="75" t="s">
        <v>95</v>
      </c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6"/>
    </row>
    <row r="27" spans="1:16" ht="15.75" thickBot="1" x14ac:dyDescent="0.3">
      <c r="A27" s="76" t="s">
        <v>96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60"/>
      <c r="P27" s="80"/>
    </row>
    <row r="28" spans="1:16" s="47" customFormat="1" ht="14.45" x14ac:dyDescent="0.3">
      <c r="A28" s="81" t="s">
        <v>97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4"/>
    </row>
    <row r="29" spans="1:16" s="47" customFormat="1" ht="14.45" x14ac:dyDescent="0.3">
      <c r="A29" s="81" t="s">
        <v>97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6"/>
    </row>
    <row r="30" spans="1:16" ht="14.45" x14ac:dyDescent="0.3">
      <c r="A30" s="71" t="s">
        <v>87</v>
      </c>
      <c r="B30" s="56">
        <f>SUM(B28:B29,B24:B26,B19:B21,B12:B17)</f>
        <v>0</v>
      </c>
      <c r="C30" s="56">
        <f t="shared" ref="C30:P30" si="2">SUM(C28:C29,C24:C26,C19:C21,C12:C17)</f>
        <v>0</v>
      </c>
      <c r="D30" s="56">
        <f t="shared" si="2"/>
        <v>0</v>
      </c>
      <c r="E30" s="56">
        <f t="shared" si="2"/>
        <v>0</v>
      </c>
      <c r="F30" s="56">
        <f t="shared" si="2"/>
        <v>0</v>
      </c>
      <c r="G30" s="56">
        <f t="shared" si="2"/>
        <v>0</v>
      </c>
      <c r="H30" s="56">
        <f t="shared" si="2"/>
        <v>0</v>
      </c>
      <c r="I30" s="56">
        <f t="shared" si="2"/>
        <v>0</v>
      </c>
      <c r="J30" s="56">
        <f t="shared" si="2"/>
        <v>0</v>
      </c>
      <c r="K30" s="56">
        <f t="shared" si="2"/>
        <v>0</v>
      </c>
      <c r="L30" s="56">
        <f t="shared" si="2"/>
        <v>0</v>
      </c>
      <c r="M30" s="56">
        <f t="shared" si="2"/>
        <v>0</v>
      </c>
      <c r="N30" s="56">
        <f t="shared" si="2"/>
        <v>0</v>
      </c>
      <c r="O30" s="56">
        <f t="shared" si="2"/>
        <v>0</v>
      </c>
      <c r="P30" s="56">
        <f t="shared" si="2"/>
        <v>0</v>
      </c>
    </row>
    <row r="31" spans="1:16" x14ac:dyDescent="0.25">
      <c r="A31" s="66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67"/>
    </row>
    <row r="32" spans="1:16" x14ac:dyDescent="0.25">
      <c r="A32" s="69" t="s">
        <v>88</v>
      </c>
      <c r="B32" s="55">
        <f>B8-B30</f>
        <v>0</v>
      </c>
      <c r="C32" s="55">
        <f t="shared" ref="C32:P32" si="3">C8-C30</f>
        <v>0</v>
      </c>
      <c r="D32" s="55">
        <f t="shared" si="3"/>
        <v>0</v>
      </c>
      <c r="E32" s="55">
        <f t="shared" si="3"/>
        <v>0</v>
      </c>
      <c r="F32" s="55">
        <f t="shared" si="3"/>
        <v>0</v>
      </c>
      <c r="G32" s="55">
        <f t="shared" si="3"/>
        <v>0</v>
      </c>
      <c r="H32" s="55">
        <f t="shared" si="3"/>
        <v>0</v>
      </c>
      <c r="I32" s="55">
        <f t="shared" si="3"/>
        <v>0</v>
      </c>
      <c r="J32" s="55">
        <f t="shared" si="3"/>
        <v>0</v>
      </c>
      <c r="K32" s="55">
        <f t="shared" si="3"/>
        <v>0</v>
      </c>
      <c r="L32" s="55">
        <f t="shared" si="3"/>
        <v>0</v>
      </c>
      <c r="M32" s="55">
        <f t="shared" si="3"/>
        <v>0</v>
      </c>
      <c r="N32" s="55">
        <f t="shared" si="3"/>
        <v>0</v>
      </c>
      <c r="O32" s="55">
        <f t="shared" si="3"/>
        <v>0</v>
      </c>
      <c r="P32" s="55">
        <f t="shared" si="3"/>
        <v>0</v>
      </c>
    </row>
    <row r="33" spans="1:16" x14ac:dyDescent="0.25">
      <c r="A33" s="66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67"/>
    </row>
    <row r="34" spans="1:16" x14ac:dyDescent="0.25">
      <c r="A34" s="69" t="s">
        <v>90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70"/>
    </row>
    <row r="35" spans="1:16" x14ac:dyDescent="0.25">
      <c r="A35" s="66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67"/>
    </row>
    <row r="36" spans="1:16" ht="15.75" thickBot="1" x14ac:dyDescent="0.3">
      <c r="A36" s="82" t="s">
        <v>89</v>
      </c>
      <c r="B36" s="83">
        <f>B32-B34</f>
        <v>0</v>
      </c>
      <c r="C36" s="83">
        <f t="shared" ref="C36:P36" si="4">C32-C34</f>
        <v>0</v>
      </c>
      <c r="D36" s="83">
        <f t="shared" si="4"/>
        <v>0</v>
      </c>
      <c r="E36" s="83">
        <f t="shared" si="4"/>
        <v>0</v>
      </c>
      <c r="F36" s="83">
        <f t="shared" si="4"/>
        <v>0</v>
      </c>
      <c r="G36" s="83">
        <f t="shared" si="4"/>
        <v>0</v>
      </c>
      <c r="H36" s="83">
        <f t="shared" si="4"/>
        <v>0</v>
      </c>
      <c r="I36" s="83">
        <f t="shared" si="4"/>
        <v>0</v>
      </c>
      <c r="J36" s="83">
        <f t="shared" si="4"/>
        <v>0</v>
      </c>
      <c r="K36" s="83">
        <f t="shared" si="4"/>
        <v>0</v>
      </c>
      <c r="L36" s="83">
        <f t="shared" si="4"/>
        <v>0</v>
      </c>
      <c r="M36" s="83">
        <f t="shared" si="4"/>
        <v>0</v>
      </c>
      <c r="N36" s="83">
        <f t="shared" si="4"/>
        <v>0</v>
      </c>
      <c r="O36" s="83">
        <f t="shared" si="4"/>
        <v>0</v>
      </c>
      <c r="P36" s="83">
        <f t="shared" si="4"/>
        <v>0</v>
      </c>
    </row>
    <row r="37" spans="1:16" x14ac:dyDescent="0.25">
      <c r="D37" s="48"/>
    </row>
    <row r="38" spans="1:16" x14ac:dyDescent="0.25">
      <c r="A38" s="49"/>
    </row>
    <row r="39" spans="1:16" x14ac:dyDescent="0.25">
      <c r="A39" s="49"/>
    </row>
    <row r="40" spans="1:16" x14ac:dyDescent="0.25">
      <c r="A40" s="49"/>
    </row>
    <row r="41" spans="1:16" x14ac:dyDescent="0.25">
      <c r="A41" s="49"/>
    </row>
    <row r="43" spans="1:16" x14ac:dyDescent="0.25">
      <c r="A43" s="45"/>
    </row>
    <row r="44" spans="1:16" s="46" customFormat="1" x14ac:dyDescent="0.25">
      <c r="A44" s="50"/>
    </row>
    <row r="46" spans="1:16" s="52" customFormat="1" x14ac:dyDescent="0.25">
      <c r="A46" s="51"/>
    </row>
    <row r="49" spans="1:1" x14ac:dyDescent="0.25">
      <c r="A49" s="45"/>
    </row>
    <row r="50" spans="1:1" x14ac:dyDescent="0.25">
      <c r="A50" s="45"/>
    </row>
  </sheetData>
  <phoneticPr fontId="0" type="noConversion"/>
  <pageMargins left="0.25" right="0.25" top="0.75" bottom="0.75" header="0.3" footer="0.3"/>
  <pageSetup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Attachment E - For Sale S + U</vt:lpstr>
      <vt:lpstr>Attachment F - Rental S + U</vt:lpstr>
      <vt:lpstr>Attachment G - Rental Proforma</vt:lpstr>
      <vt:lpstr>'Attachment E - For Sale S + U'!Print_Area</vt:lpstr>
      <vt:lpstr>'Attachment F - Rental S + U'!Print_Area</vt:lpstr>
      <vt:lpstr>'Attachment G - Rental Proforma'!Print_Area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Sarah Zorn</cp:lastModifiedBy>
  <cp:lastPrinted>2013-10-03T20:53:45Z</cp:lastPrinted>
  <dcterms:created xsi:type="dcterms:W3CDTF">2012-05-17T12:01:54Z</dcterms:created>
  <dcterms:modified xsi:type="dcterms:W3CDTF">2013-11-07T14:59:48Z</dcterms:modified>
</cp:coreProperties>
</file>