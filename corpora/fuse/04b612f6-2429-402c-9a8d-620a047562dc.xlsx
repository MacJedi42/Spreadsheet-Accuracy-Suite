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95" yWindow="630" windowWidth="14160" windowHeight="9075" firstSheet="2" activeTab="2"/>
  </bookViews>
  <sheets>
    <sheet name="SAPBEXqueries" sheetId="4" state="veryHidden" r:id="rId1"/>
    <sheet name="SAPBEXfilters" sheetId="5" state="veryHidden" r:id="rId2"/>
    <sheet name="Tabuľka1" sheetId="12" r:id="rId3"/>
    <sheet name="Tabuľka2" sheetId="13" r:id="rId4"/>
    <sheet name="Tabuľka3" sheetId="14" r:id="rId5"/>
    <sheet name="Tabuľka4" sheetId="15" r:id="rId6"/>
    <sheet name="Tabuľka7" sheetId="16" r:id="rId7"/>
    <sheet name="Tabuľka8" sheetId="17" r:id="rId8"/>
  </sheets>
  <definedNames>
    <definedName name="SAPBEXq0001" localSheetId="0">#REF!</definedName>
    <definedName name="SAPBEXq0001f483WZ2FJZMSM870EBQB9NUKI1" localSheetId="0">#REF!</definedName>
    <definedName name="SAPBEXq0001fZC_HKATEG" localSheetId="0">#REF!</definedName>
    <definedName name="SAPBEXq0001fZC_KATEGO" localSheetId="0">#REF!</definedName>
    <definedName name="SAPBEXq0001tFILTER_0CALDAY" localSheetId="0">#REF!</definedName>
    <definedName name="SAPBEXq0001tFILTER_ZC_DRROZP" localSheetId="0">#REF!</definedName>
    <definedName name="SAPBEXq0001tFILTER_ZC_DRUPOH" localSheetId="0">#REF!</definedName>
    <definedName name="SAPBEXq0001tFILTER_ZC_KAPITO" localSheetId="0">#REF!</definedName>
    <definedName name="SAPBEXq0001tFILTER_ZSU" localSheetId="0">#REF!</definedName>
    <definedName name="SAPBEXq0001tREPTXTLG" localSheetId="0">#REF!</definedName>
    <definedName name="SAPBEXq0002" localSheetId="0">#REF!</definedName>
    <definedName name="SAPBEXq0002f483WZGQ7A173W57H6OO4DI6H5" localSheetId="0">#REF!</definedName>
    <definedName name="SAPBEXq0002fZC_HKATEG" localSheetId="0">#REF!</definedName>
    <definedName name="SAPBEXq0002fZC_KATEGO" localSheetId="0">#REF!</definedName>
    <definedName name="SAPBEXq0002tFILTER_0CALDAY" localSheetId="0">#REF!</definedName>
    <definedName name="SAPBEXq0002tFILTER_ZC_DRROZP" localSheetId="0">#REF!</definedName>
    <definedName name="SAPBEXq0002tFILTER_ZC_DRUPOH" localSheetId="0">#REF!</definedName>
    <definedName name="SAPBEXq0002tFILTER_ZC_KAPITO" localSheetId="0">#REF!</definedName>
    <definedName name="SAPBEXq0002tFILTER_ZSU" localSheetId="0">#REF!</definedName>
    <definedName name="SAPBEXq0002tREPTXTLG" localSheetId="0">#REF!</definedName>
    <definedName name="SAPBEXq0003" localSheetId="0">#REF!</definedName>
    <definedName name="SAPBEXq0003f44T0RYH2JSGD6B8E90QZ0O2FD" localSheetId="0">#REF!</definedName>
    <definedName name="SAPBEXq0003fZC_PODPOL" localSheetId="0">#REF!</definedName>
    <definedName name="SAPBEXq0003fZC_POLOZK" localSheetId="0">#REF!</definedName>
    <definedName name="SAPBEXq0003tFILTER_0CALDAY" localSheetId="0">#REF!</definedName>
    <definedName name="SAPBEXq0003tFILTER_ZC_DRROZP" localSheetId="0">#REF!</definedName>
    <definedName name="SAPBEXq0003tFILTER_ZC_DRUPOH" localSheetId="0">#REF!</definedName>
    <definedName name="SAPBEXq0003tFILTER_ZC_KAPITO" localSheetId="0">#REF!</definedName>
    <definedName name="SAPBEXq0003tFILTER_ZC_POLOZK" localSheetId="0">#REF!</definedName>
    <definedName name="SAPBEXq0003tFILTER_ZSU" localSheetId="0">#REF!</definedName>
    <definedName name="SAPBEXq0003tREPTXTLG" localSheetId="0">#REF!</definedName>
    <definedName name="SAPBEXq0004" localSheetId="0">#REF!</definedName>
    <definedName name="SAPBEXq0004f44SVG2BFOJ18XVE8WHKXQ7ADL" localSheetId="0">#REF!</definedName>
    <definedName name="SAPBEXq0004fZC_PODPOL" localSheetId="0">#REF!</definedName>
    <definedName name="SAPBEXq0004fZC_POLOZK" localSheetId="0">#REF!</definedName>
    <definedName name="SAPBEXq0004tFILTER_0CALDAY" localSheetId="0">#REF!</definedName>
    <definedName name="SAPBEXq0004tFILTER_ZC_DRROZP" localSheetId="0">#REF!</definedName>
    <definedName name="SAPBEXq0004tFILTER_ZC_DRUPOH" localSheetId="0">#REF!</definedName>
    <definedName name="SAPBEXq0004tFILTER_ZC_KAPITO" localSheetId="0">#REF!</definedName>
    <definedName name="SAPBEXq0004tFILTER_ZC_POLOZK" localSheetId="0">#REF!</definedName>
    <definedName name="SAPBEXq0004tFILTER_ZSU" localSheetId="0">#REF!</definedName>
    <definedName name="SAPBEXq0004tREPTXTLG" localSheetId="0">#REF!</definedName>
    <definedName name="SAPBEXrevision" hidden="1">7</definedName>
    <definedName name="SAPBEXsysID" hidden="1">"BSP"</definedName>
    <definedName name="SAPBEXwbID" hidden="1">"4OM4CGSKMXY94ZMD8B4KP54B8"</definedName>
  </definedNames>
  <calcPr calcId="124519"/>
</workbook>
</file>

<file path=xl/calcChain.xml><?xml version="1.0" encoding="utf-8"?>
<calcChain xmlns="http://schemas.openxmlformats.org/spreadsheetml/2006/main">
  <c r="H32" i="15"/>
  <c r="G32"/>
  <c r="H31"/>
  <c r="G31"/>
  <c r="H30"/>
  <c r="G30"/>
  <c r="H29"/>
  <c r="G29"/>
  <c r="H28"/>
  <c r="G28"/>
  <c r="H24"/>
  <c r="H23"/>
  <c r="H22"/>
  <c r="G22"/>
  <c r="H21"/>
  <c r="G21"/>
  <c r="H20"/>
  <c r="G20"/>
  <c r="G19"/>
  <c r="G16"/>
  <c r="H14"/>
  <c r="G14"/>
  <c r="H13"/>
  <c r="G13"/>
  <c r="H10"/>
  <c r="G10"/>
</calcChain>
</file>

<file path=xl/sharedStrings.xml><?xml version="1.0" encoding="utf-8"?>
<sst xmlns="http://schemas.openxmlformats.org/spreadsheetml/2006/main" count="2335" uniqueCount="494">
  <si>
    <t>SAPBEXq0001</t>
  </si>
  <si>
    <t>X</t>
  </si>
  <si>
    <t>Z_DENVYK</t>
  </si>
  <si>
    <t>1</t>
  </si>
  <si>
    <t>P</t>
  </si>
  <si>
    <t>I</t>
  </si>
  <si>
    <t>EQ</t>
  </si>
  <si>
    <t/>
  </si>
  <si>
    <t>0</t>
  </si>
  <si>
    <t>0CALDAY</t>
  </si>
  <si>
    <t>ZC_KAPITO</t>
  </si>
  <si>
    <t>0001</t>
  </si>
  <si>
    <t>00</t>
  </si>
  <si>
    <t>00000000</t>
  </si>
  <si>
    <t>K</t>
  </si>
  <si>
    <t>A</t>
  </si>
  <si>
    <t>H</t>
  </si>
  <si>
    <t>0000</t>
  </si>
  <si>
    <t>Ukazovatele</t>
  </si>
  <si>
    <t>U</t>
  </si>
  <si>
    <t>ZC_HKATEG</t>
  </si>
  <si>
    <t>Hl.kateg.</t>
  </si>
  <si>
    <t>Y</t>
  </si>
  <si>
    <t>ZC_KATEGO</t>
  </si>
  <si>
    <t>Kategória</t>
  </si>
  <si>
    <t>0002</t>
  </si>
  <si>
    <t>2</t>
  </si>
  <si>
    <t>Schválený rozpočet (v tis. SKK)</t>
  </si>
  <si>
    <t>S</t>
  </si>
  <si>
    <t>L</t>
  </si>
  <si>
    <t>Upravnený rozpočet (v tis. SKK)</t>
  </si>
  <si>
    <t>Výsledok od zač. roka (v tis. SKK)</t>
  </si>
  <si>
    <t>0003</t>
  </si>
  <si>
    <t>0000000100</t>
  </si>
  <si>
    <t>0000000108</t>
  </si>
  <si>
    <t>0000000101</t>
  </si>
  <si>
    <t>0000000104</t>
  </si>
  <si>
    <t>0000000103</t>
  </si>
  <si>
    <t>0000000102</t>
  </si>
  <si>
    <t>0000009000</t>
  </si>
  <si>
    <t>0000000107</t>
  </si>
  <si>
    <t>0000010001</t>
  </si>
  <si>
    <t>0000000010</t>
  </si>
  <si>
    <t>0000000109</t>
  </si>
  <si>
    <t>0000000113</t>
  </si>
  <si>
    <t>0000000020</t>
  </si>
  <si>
    <t>0000000030</t>
  </si>
  <si>
    <t>0000000040</t>
  </si>
  <si>
    <t>0000000041</t>
  </si>
  <si>
    <t>0000000042</t>
  </si>
  <si>
    <t>0000000043</t>
  </si>
  <si>
    <t>0000000021</t>
  </si>
  <si>
    <t>0000000022</t>
  </si>
  <si>
    <t>0000000023</t>
  </si>
  <si>
    <t>0000010002</t>
  </si>
  <si>
    <t>0000000105</t>
  </si>
  <si>
    <t>0000000106</t>
  </si>
  <si>
    <t>0000000112</t>
  </si>
  <si>
    <t>0000000200</t>
  </si>
  <si>
    <t>0000004000</t>
  </si>
  <si>
    <t>0000000114</t>
  </si>
  <si>
    <t>0000000000000000000000000</t>
  </si>
  <si>
    <t>3</t>
  </si>
  <si>
    <t>4</t>
  </si>
  <si>
    <t>5</t>
  </si>
  <si>
    <t>SAPBEXq0002</t>
  </si>
  <si>
    <t>0004</t>
  </si>
  <si>
    <t>6</t>
  </si>
  <si>
    <t xml:space="preserve">
X</t>
  </si>
  <si>
    <t xml:space="preserve">
X</t>
  </si>
  <si>
    <t>% k upravenému rozpočtu</t>
  </si>
  <si>
    <t>SAPBEXq0003</t>
  </si>
  <si>
    <t>ZC_POLOZK</t>
  </si>
  <si>
    <t>SAPBEXq0004</t>
  </si>
  <si>
    <t>Štátna pokladnica</t>
  </si>
  <si>
    <t>Tabuľka: 1</t>
  </si>
  <si>
    <t>Strana: 1</t>
  </si>
  <si>
    <t>Nedaňové príjmy</t>
  </si>
  <si>
    <t>Granty a transfery</t>
  </si>
  <si>
    <t>210</t>
  </si>
  <si>
    <t>220</t>
  </si>
  <si>
    <t>230</t>
  </si>
  <si>
    <t>Kapitálové príjmy</t>
  </si>
  <si>
    <t>240</t>
  </si>
  <si>
    <t>290</t>
  </si>
  <si>
    <t>Iné nedaňové príjmy</t>
  </si>
  <si>
    <t>A.</t>
  </si>
  <si>
    <t>Daňové príjmy</t>
  </si>
  <si>
    <t>B.</t>
  </si>
  <si>
    <t>1.</t>
  </si>
  <si>
    <t>Príjmy z podnikania a z vlastníctva majetku</t>
  </si>
  <si>
    <t>2.</t>
  </si>
  <si>
    <t>3.</t>
  </si>
  <si>
    <t>4.</t>
  </si>
  <si>
    <t>5.</t>
  </si>
  <si>
    <t>6.</t>
  </si>
  <si>
    <t>C.</t>
  </si>
  <si>
    <t>Bežné výdavky</t>
  </si>
  <si>
    <t>Tovary a služby</t>
  </si>
  <si>
    <t>Bežné transfery</t>
  </si>
  <si>
    <t>z toho :</t>
  </si>
  <si>
    <t>Kapitálové výdavky</t>
  </si>
  <si>
    <t>Obstarávanie kapitálových aktív</t>
  </si>
  <si>
    <t>610</t>
  </si>
  <si>
    <t>620</t>
  </si>
  <si>
    <t>630</t>
  </si>
  <si>
    <t>640</t>
  </si>
  <si>
    <t>710</t>
  </si>
  <si>
    <t>644</t>
  </si>
  <si>
    <t>720</t>
  </si>
  <si>
    <t>Kapitálové transfery</t>
  </si>
  <si>
    <t>722</t>
  </si>
  <si>
    <t>723</t>
  </si>
  <si>
    <t>ZC_PODPOL</t>
  </si>
  <si>
    <t>Mzdy, platy, služobné príjmy a ostatné osobné vyrovnania</t>
  </si>
  <si>
    <t xml:space="preserve">Poistné a príspevok do poisťovní </t>
  </si>
  <si>
    <t>310</t>
  </si>
  <si>
    <t>340</t>
  </si>
  <si>
    <t>320</t>
  </si>
  <si>
    <t>330</t>
  </si>
  <si>
    <t>Tuzemské bežné granty a transfery</t>
  </si>
  <si>
    <t>Tuzemské kapitálové granty a transfery</t>
  </si>
  <si>
    <t>Zahraničné granty</t>
  </si>
  <si>
    <t>Zahraničné transfery</t>
  </si>
  <si>
    <t>641009</t>
  </si>
  <si>
    <t>641010</t>
  </si>
  <si>
    <t>721006</t>
  </si>
  <si>
    <t>721007</t>
  </si>
  <si>
    <t>Z_KAPITO</t>
  </si>
  <si>
    <t>Fin RO 1-04 príjmy RO pre zostavenie ŠZÚ</t>
  </si>
  <si>
    <t>Fin RO 1-04  výdavky RO pre zostavenie ŠZÚ</t>
  </si>
  <si>
    <t>44T0RZR5PK2MA2H38150OZUQ1</t>
  </si>
  <si>
    <t>44T0RYH2JSGD6B8E90QZ0O2FD</t>
  </si>
  <si>
    <t>44T0RY1PHV8Y525HXCMAGK4ZT</t>
  </si>
  <si>
    <t>44T0RY9E0TUNNOOY36OMQM3PL</t>
  </si>
  <si>
    <t>44T0RYOR2R22OXRUEUTBAQ155</t>
  </si>
  <si>
    <t>44T0RYWFLPNS7KBAKOVNKRZUX</t>
  </si>
  <si>
    <t>44T0RZ444O9HQ6UQQIXZUTYKP</t>
  </si>
  <si>
    <t>44T0RZBSNMV78TE6WD0C4VXAH</t>
  </si>
  <si>
    <t>44T0RWRMC3MP1AWSYC88S8CP5</t>
  </si>
  <si>
    <t>Bežné transfery pre ŠZÚ (PO)</t>
  </si>
  <si>
    <t>44SVG3LIUANI1MMXVHYZEJ2O9</t>
  </si>
  <si>
    <t>44SVG2BFOJ18XVE8WHKXQ7ADL</t>
  </si>
  <si>
    <t>44SVG1W2MLTTWMBCKTG963CY1</t>
  </si>
  <si>
    <t>44SVG23R5KFJF8USQNILG5BNT</t>
  </si>
  <si>
    <t>44SVG2J47HMYGHXP2BNA0993D</t>
  </si>
  <si>
    <t>44SVG2QSQG8NZ4H585PMAB7T5</t>
  </si>
  <si>
    <t>44SVG2YH9EUDHR0LDZRYKD6IX</t>
  </si>
  <si>
    <t>44SVG365SDG30DK1JTUAUF58P</t>
  </si>
  <si>
    <t>44SVG0LZGU7KSV2NLT27HRKND</t>
  </si>
  <si>
    <t>Kapitálové transfery transfery pre ŠZÚ</t>
  </si>
  <si>
    <t>483WZ3PN5EEVBY93AQPBC6CSP</t>
  </si>
  <si>
    <t>483WZ2FJZMSM870EBQB9NUKI1</t>
  </si>
  <si>
    <t>483WZ206XPL76XXI026L3QN2H</t>
  </si>
  <si>
    <t>483WZ27VGO6WPKGY5W8XDSLS9</t>
  </si>
  <si>
    <t>483WZ2N8ILEBQTJUHKDLXWJ7T</t>
  </si>
  <si>
    <t>483WZ2UX1K019G3ANEFY7YHXL</t>
  </si>
  <si>
    <t>483WZ32LKILQS2MQT8IAI0GND</t>
  </si>
  <si>
    <t>483WZ3AA3H7GAP66Z2KMS2FD5</t>
  </si>
  <si>
    <t>483WZ0Q3RXYY36OT11SJFEURT</t>
  </si>
  <si>
    <t>483WZI0AFSTCZWG65P261TYRT</t>
  </si>
  <si>
    <t>483WZGQ7A173W57H6OO4DI6H5</t>
  </si>
  <si>
    <t>483WZGAU83ZOUW4KV0JFTE91L</t>
  </si>
  <si>
    <t>483WZGIIR2LEDIO10ULS3G7RD</t>
  </si>
  <si>
    <t>483WZGXVSZSTERQXCIQGNK56X</t>
  </si>
  <si>
    <t>483WZH5KBYEIXEADICSSXM3WP</t>
  </si>
  <si>
    <t>483WZHD8UX08G0TTO6V57O2MH</t>
  </si>
  <si>
    <t>483WZHKXDVLXYND9U0XHHQ1C9</t>
  </si>
  <si>
    <t>483WZF0R2CDFR4VVW05E52GQX</t>
  </si>
  <si>
    <t>Skutočnosť</t>
  </si>
  <si>
    <t>Ukazovateľ</t>
  </si>
  <si>
    <t>I.</t>
  </si>
  <si>
    <t>PRÍJMY spolu</t>
  </si>
  <si>
    <t>II.</t>
  </si>
  <si>
    <t>VÝDAVKY spolu</t>
  </si>
  <si>
    <t>I.-II.</t>
  </si>
  <si>
    <t>Prebytok (+), schodok (-)</t>
  </si>
  <si>
    <t xml:space="preserve">  - Príspevkovej organizácii</t>
  </si>
  <si>
    <t xml:space="preserve">  - Štátnemu účelovému fondu </t>
  </si>
  <si>
    <t xml:space="preserve">  - Verejnej vysokej škole</t>
  </si>
  <si>
    <t xml:space="preserve">  - Obci</t>
  </si>
  <si>
    <t xml:space="preserve">  - Vyššiemu územnému celku</t>
  </si>
  <si>
    <t xml:space="preserve">  - Na platené poistné za skupiny osôb ustanovené zákonom </t>
  </si>
  <si>
    <t xml:space="preserve">  - Odvody do rozpočtu Európskej únie</t>
  </si>
  <si>
    <t xml:space="preserve">  - Transfery jednotlivcom a neziskovým právnickým osobám</t>
  </si>
  <si>
    <t>Splácanie úrokov a ostatné platby súvisiace s úverom, pôžičkou, návratnou finančnou výpomocou a fin. prenájmom</t>
  </si>
  <si>
    <t xml:space="preserve">Číslo a názov kapitoly štátneho rozpočtu:                                                                                        </t>
  </si>
  <si>
    <t>03</t>
  </si>
  <si>
    <t>0000009002</t>
  </si>
  <si>
    <t>0000000120</t>
  </si>
  <si>
    <t>641001</t>
  </si>
  <si>
    <t>641002</t>
  </si>
  <si>
    <t>641008</t>
  </si>
  <si>
    <t>642031</t>
  </si>
  <si>
    <t>100</t>
  </si>
  <si>
    <t>250</t>
  </si>
  <si>
    <t>721001</t>
  </si>
  <si>
    <t>649005</t>
  </si>
  <si>
    <t>650</t>
  </si>
  <si>
    <t>721003</t>
  </si>
  <si>
    <t>Administratívne poplatky a iné poplatky a platby</t>
  </si>
  <si>
    <t xml:space="preserve">  - Transfery nefinančným subjektom a transfery príspevkovým organizáciám nezaradeným vo verejnej správe v registri  organizácií vedenom Štatistickým úradom Slovenskej republiky</t>
  </si>
  <si>
    <t xml:space="preserve">  - Transfery nefinančným subjektom a transfery príspevkovým organizáciám nezaradeným vo verejnej správe v registri organizácií vedenom Štatistickým úradom Slovenskej republiky</t>
  </si>
  <si>
    <t>Úroky z tuzemských úverov, pôžičiek, návratných finančných výpomocí, vkladov a ážio</t>
  </si>
  <si>
    <t>Úroky zo zahraničných úverov, pôžičiek, návratných finančných výpomocí a vkladov</t>
  </si>
  <si>
    <t>200</t>
  </si>
  <si>
    <t>300</t>
  </si>
  <si>
    <t>600</t>
  </si>
  <si>
    <t>700</t>
  </si>
  <si>
    <t>641</t>
  </si>
  <si>
    <t>642</t>
  </si>
  <si>
    <t>649</t>
  </si>
  <si>
    <t>721</t>
  </si>
  <si>
    <t xml:space="preserve">  - Občianskemu združeniu, nadácii a neinvestičnému fondu</t>
  </si>
  <si>
    <t>Kapitola</t>
  </si>
  <si>
    <t>60</t>
  </si>
  <si>
    <t>Výkaz ku dňu</t>
  </si>
  <si>
    <t>0000009001</t>
  </si>
  <si>
    <t>Položka</t>
  </si>
  <si>
    <t>Podpoložka</t>
  </si>
  <si>
    <t>642001</t>
  </si>
  <si>
    <t xml:space="preserve">Schválený                  rozpočet     </t>
  </si>
  <si>
    <t xml:space="preserve">Upravený                 rozpočet       </t>
  </si>
  <si>
    <t>(v tis. eur)</t>
  </si>
  <si>
    <t>20</t>
  </si>
  <si>
    <t xml:space="preserve"> </t>
  </si>
  <si>
    <t>Celkový prehľad príjmov a výdavkov kapitoly ŠR za rok 2011</t>
  </si>
  <si>
    <t>20111231</t>
  </si>
  <si>
    <t>31.12.2011</t>
  </si>
  <si>
    <t>013</t>
  </si>
  <si>
    <t>13</t>
  </si>
  <si>
    <t>Ministerstvo spravod</t>
  </si>
  <si>
    <t>13 Ministerstvo spravodlivosti SR</t>
  </si>
  <si>
    <t>Tabuľka: 2</t>
  </si>
  <si>
    <t>Výdavky kapitoly ŠR podľa ekonomickej a funkčnej klasifikácie za rok 2011</t>
  </si>
  <si>
    <t>Číslo a názov kapitoly štátneho rozpočtu:</t>
  </si>
  <si>
    <t>Kód a názov</t>
  </si>
  <si>
    <t>600 - Bežné výdavky</t>
  </si>
  <si>
    <t>700 - Kapitálové výdavky</t>
  </si>
  <si>
    <t>Výdavky spolu</t>
  </si>
  <si>
    <t xml:space="preserve">Schválený rozpočet     </t>
  </si>
  <si>
    <t xml:space="preserve">Upravený rozpočet       </t>
  </si>
  <si>
    <t>02  OBRANA</t>
  </si>
  <si>
    <t>02.1  Vojenská obrana</t>
  </si>
  <si>
    <t>02.1.0  Vojenská obrana</t>
  </si>
  <si>
    <t>03  VEREJNÝ PORIADOK A BEZPEČNOSŤ</t>
  </si>
  <si>
    <t>03.3  Súdy</t>
  </si>
  <si>
    <t>03.3.0  Súdy</t>
  </si>
  <si>
    <t>03.4  Väzenstvo</t>
  </si>
  <si>
    <t>03.4.0  Väzenstvo</t>
  </si>
  <si>
    <t>03.6  Verejný poriadok a bezpečnosť inde neklasifikované</t>
  </si>
  <si>
    <t>03.6.0  Verejný poriadok a bezpečnosť inde neklasifikované</t>
  </si>
  <si>
    <t>04  EKONOMICKÁ  OBLASŤ</t>
  </si>
  <si>
    <t>04.1  Všeobecná ekonomická, obchodná a pracovná oblasť</t>
  </si>
  <si>
    <t>04.1.1  Všeobecná ekonomická a obchodná oblasť</t>
  </si>
  <si>
    <t>06  BÝVANIE A OBČIANSKA VYBAVENOSŤ</t>
  </si>
  <si>
    <t>06.1  Rozvoj bývania</t>
  </si>
  <si>
    <t>06.1.0  Rozvoj bývania</t>
  </si>
  <si>
    <t>09  VZDELÁVANIE</t>
  </si>
  <si>
    <t>09.8  Vzdelávanie inde neklasifikované</t>
  </si>
  <si>
    <t>09.8.0  Vzdelávanie inde neklasifikované</t>
  </si>
  <si>
    <t>S P O L U</t>
  </si>
  <si>
    <t>Tabuľka: 3</t>
  </si>
  <si>
    <t>Finančné operácie kapitoly ŠR za rok 2011</t>
  </si>
  <si>
    <t>Ek.kl.</t>
  </si>
  <si>
    <t xml:space="preserve"> I.</t>
  </si>
  <si>
    <t xml:space="preserve"> PRÍJMY spolu</t>
  </si>
  <si>
    <t>400</t>
  </si>
  <si>
    <t>Príjmy z transakcií s finančnými aktívami a finančnými pasívami</t>
  </si>
  <si>
    <t>v tom:</t>
  </si>
  <si>
    <t>410</t>
  </si>
  <si>
    <t>zo splátok tuzemských úverov, pôžičiek a návratných finančných výpomocí (len istín)</t>
  </si>
  <si>
    <t>420</t>
  </si>
  <si>
    <t>zo splátok zahraničných úverov, pôžičiek a návratných finančných výpomocí (len istín)</t>
  </si>
  <si>
    <t>430</t>
  </si>
  <si>
    <t>z predaja majetkových účastí</t>
  </si>
  <si>
    <t>440</t>
  </si>
  <si>
    <t>z predaja privatizovaného majetku Fondu národného majetku Slovenskej republiky a Slovenského pozemkového fondu</t>
  </si>
  <si>
    <t>450</t>
  </si>
  <si>
    <t>z ostatných finančných operácií</t>
  </si>
  <si>
    <t>500</t>
  </si>
  <si>
    <t>Prijaté úvery, pôžičky a návratné finančné výpomoci</t>
  </si>
  <si>
    <t>510</t>
  </si>
  <si>
    <t>Tuzemské úvery, pôžičky a návratné finančné výpomoci</t>
  </si>
  <si>
    <t>520</t>
  </si>
  <si>
    <t>Zahraničné úvery, pôžičky a návratné finančné výpomoci</t>
  </si>
  <si>
    <t xml:space="preserve"> II.</t>
  </si>
  <si>
    <t xml:space="preserve"> VÝDAVKY spolu</t>
  </si>
  <si>
    <t>800</t>
  </si>
  <si>
    <t>Výdavky z transakcií s finančnými aktívami a finančnými pasívami</t>
  </si>
  <si>
    <t>810</t>
  </si>
  <si>
    <t>Úvery, pôžičky, návratné finančné výpomoci, účasť na majetku a ostatné výdavkové operácie</t>
  </si>
  <si>
    <t>820</t>
  </si>
  <si>
    <t>Splácanie istín</t>
  </si>
  <si>
    <t>821</t>
  </si>
  <si>
    <t>splácanie tuzemskej istiny</t>
  </si>
  <si>
    <t>822</t>
  </si>
  <si>
    <t>splácanie istiny krátkodobého úveru, pôžičky a návratnej finančnej výpomoci do zahraničia</t>
  </si>
  <si>
    <t>823</t>
  </si>
  <si>
    <t>splácanie istiny dlhodobého úveru, pôžičky a návratnej finančnej výpomoci do zahraničia</t>
  </si>
  <si>
    <t>824</t>
  </si>
  <si>
    <t>splácanie finančného prenájmu</t>
  </si>
  <si>
    <t>I.- II.</t>
  </si>
  <si>
    <t xml:space="preserve"> Prebytok (+), schodok (-) </t>
  </si>
  <si>
    <t>Tabuľka: 4</t>
  </si>
  <si>
    <t xml:space="preserve"> Strana: 1</t>
  </si>
  <si>
    <t>Záväzné ukazovatele kapitoly ŠR za rok 2011</t>
  </si>
  <si>
    <t xml:space="preserve">          13 Ministerstvo spravodlivosti SR</t>
  </si>
  <si>
    <t xml:space="preserve">                      v eurách</t>
  </si>
  <si>
    <t>% k schválenému rozpočtu</t>
  </si>
  <si>
    <t>PRÍJMY KAPITOLY</t>
  </si>
  <si>
    <t>A. Záväzný ukazovateľ</t>
  </si>
  <si>
    <t>B. Prostriedky Európskej únie</t>
  </si>
  <si>
    <t>VÝDAVKY KAPITOLY CELKOM (A+B)</t>
  </si>
  <si>
    <t>A. Výdavky spolu bez prostriedkov Európskej únie</t>
  </si>
  <si>
    <t>A.1. prostriedky štátneho rozpočtu (kód zdroja 111)</t>
  </si>
  <si>
    <t>A.2. prostriedky na spolufinancovanie</t>
  </si>
  <si>
    <t>A.3. mzdy, platy, služobné príjmy a ostatné osobné vyrovnania</t>
  </si>
  <si>
    <t>(610 ), (kód zdroja 111)</t>
  </si>
  <si>
    <t xml:space="preserve">        z toho : mzdy, platy, služobné príjmy a ostatné osobné vyrovnania aparátu ústredného orgánu</t>
  </si>
  <si>
    <t>A.4. kapitálové výdavky (700) spolu (bez prostriedkov na spolufinancovanie)</t>
  </si>
  <si>
    <t xml:space="preserve">        z toho : kód zdroja 111</t>
  </si>
  <si>
    <t xml:space="preserve">                      kód zdroja 131A</t>
  </si>
  <si>
    <t xml:space="preserve">                      kód zdroja 1319</t>
  </si>
  <si>
    <t xml:space="preserve">                      kód zdroja 72</t>
  </si>
  <si>
    <t>C. Účelové prostriedky</t>
  </si>
  <si>
    <t>D. Rozpočet kapitoly podľa programov</t>
  </si>
  <si>
    <t xml:space="preserve">    06H Hospodárska mobilizácia</t>
  </si>
  <si>
    <t xml:space="preserve">    08P Financovanie systému súdnictva</t>
  </si>
  <si>
    <t xml:space="preserve">    08R Tvorba a implementácia politík</t>
  </si>
  <si>
    <t xml:space="preserve">    070 Väzenstvo</t>
  </si>
  <si>
    <t>Tabuľka: 7</t>
  </si>
  <si>
    <t>Agregovaná súvaha kapitoly ŠR a rozpočtových organizácií v jej pôsobnosti za rok 2011</t>
  </si>
  <si>
    <t xml:space="preserve">Číslo a názov kapitoly štátneho rozpočtu:                                                   </t>
  </si>
  <si>
    <t>A K T Í V A</t>
  </si>
  <si>
    <t>č.r.</t>
  </si>
  <si>
    <t>Bežné účtovné obdobie</t>
  </si>
  <si>
    <t>Bezprostredne predchádzajúce účtovné obdobie</t>
  </si>
  <si>
    <t>Brutto</t>
  </si>
  <si>
    <t>Korekcia</t>
  </si>
  <si>
    <t>Netto</t>
  </si>
  <si>
    <t xml:space="preserve">   Neobežný majetok</t>
  </si>
  <si>
    <t>002</t>
  </si>
  <si>
    <t xml:space="preserve">     Dlhodobý nehmotný majetok</t>
  </si>
  <si>
    <t>003</t>
  </si>
  <si>
    <t xml:space="preserve">     Dlhodobý hmotný majetok</t>
  </si>
  <si>
    <t>011</t>
  </si>
  <si>
    <t xml:space="preserve">     Dlhodobý finančný majetok</t>
  </si>
  <si>
    <t>024</t>
  </si>
  <si>
    <t xml:space="preserve">         z toho: podielové cenné papiere a podiely v dcérskej účtovnej jednotke</t>
  </si>
  <si>
    <t>025</t>
  </si>
  <si>
    <t xml:space="preserve">                    podielové cenné papiere a podiely v spoločnosti s podstatným vplyvom</t>
  </si>
  <si>
    <t>026</t>
  </si>
  <si>
    <t>Obežný majetok</t>
  </si>
  <si>
    <t>033</t>
  </si>
  <si>
    <t xml:space="preserve">     Zásoby </t>
  </si>
  <si>
    <t>034</t>
  </si>
  <si>
    <t xml:space="preserve">     Zúčtovanie medzi subjektami verejnej správy</t>
  </si>
  <si>
    <t>040</t>
  </si>
  <si>
    <t xml:space="preserve">     Dlhodobé pohľadávky </t>
  </si>
  <si>
    <t>048</t>
  </si>
  <si>
    <t xml:space="preserve">         z toho: odberatelia </t>
  </si>
  <si>
    <t>049</t>
  </si>
  <si>
    <t xml:space="preserve">                    iné pohľadávky </t>
  </si>
  <si>
    <t>059</t>
  </si>
  <si>
    <t xml:space="preserve">     Krátkodobé  pohľadávky </t>
  </si>
  <si>
    <t>060</t>
  </si>
  <si>
    <t>061</t>
  </si>
  <si>
    <t xml:space="preserve">                    pohľadávky z nedaňových rozpočtových príjmov </t>
  </si>
  <si>
    <t>066</t>
  </si>
  <si>
    <t xml:space="preserve">                    pohľadávky z daňových a colných rozpočtových príjmov </t>
  </si>
  <si>
    <t>067</t>
  </si>
  <si>
    <t xml:space="preserve">     Finančné účty</t>
  </si>
  <si>
    <t>085</t>
  </si>
  <si>
    <t xml:space="preserve">         z toho: bankové účty</t>
  </si>
  <si>
    <t>088+089</t>
  </si>
  <si>
    <t xml:space="preserve">     Poskytnuté návratné finančné výpomoci </t>
  </si>
  <si>
    <t>098+104</t>
  </si>
  <si>
    <t xml:space="preserve">     Časové rozlíšenie</t>
  </si>
  <si>
    <t>110</t>
  </si>
  <si>
    <t xml:space="preserve">     Vzťahy k účtom klientov Štátnej pokladnice</t>
  </si>
  <si>
    <t>114</t>
  </si>
  <si>
    <t>M a j e t o k    s p o l u</t>
  </si>
  <si>
    <t>P A S Í V A</t>
  </si>
  <si>
    <t>Bežné                                 účtovné obdobie</t>
  </si>
  <si>
    <t xml:space="preserve">   Vlastné imanie</t>
  </si>
  <si>
    <t>116</t>
  </si>
  <si>
    <t xml:space="preserve">     Oceňovacie rozdiely</t>
  </si>
  <si>
    <t>117</t>
  </si>
  <si>
    <t xml:space="preserve">     Fondy</t>
  </si>
  <si>
    <t>120</t>
  </si>
  <si>
    <t xml:space="preserve">     Výsledok hospodárenia</t>
  </si>
  <si>
    <t>123</t>
  </si>
  <si>
    <t xml:space="preserve">         z toho: výsledok hospodárenia za účtovné obdobie</t>
  </si>
  <si>
    <t>125</t>
  </si>
  <si>
    <t>Záväzky</t>
  </si>
  <si>
    <t>126</t>
  </si>
  <si>
    <t xml:space="preserve">     Rezervy </t>
  </si>
  <si>
    <t>127</t>
  </si>
  <si>
    <t>132</t>
  </si>
  <si>
    <t xml:space="preserve">     Dlhodobé záväzky</t>
  </si>
  <si>
    <t>140</t>
  </si>
  <si>
    <t xml:space="preserve">         z toho: záväzky z nájmu</t>
  </si>
  <si>
    <t>145</t>
  </si>
  <si>
    <t xml:space="preserve">                    iné záväzky</t>
  </si>
  <si>
    <t>149</t>
  </si>
  <si>
    <t xml:space="preserve">                    vydané dlhopisy dlhodobé</t>
  </si>
  <si>
    <t>150</t>
  </si>
  <si>
    <t xml:space="preserve">     Krátkodobé záväzky </t>
  </si>
  <si>
    <t>151</t>
  </si>
  <si>
    <t xml:space="preserve">         z toho : dodávatelia </t>
  </si>
  <si>
    <t>152</t>
  </si>
  <si>
    <t xml:space="preserve">     Bankové úvery a výpomoci</t>
  </si>
  <si>
    <t>173</t>
  </si>
  <si>
    <t xml:space="preserve">         z toho: bankové úvery dlhodobé</t>
  </si>
  <si>
    <t>174</t>
  </si>
  <si>
    <t xml:space="preserve">                    bežné bankové úvery</t>
  </si>
  <si>
    <t>175</t>
  </si>
  <si>
    <t xml:space="preserve">                    prijaté návratné finančné výpomoci od  subjektov VS </t>
  </si>
  <si>
    <t>178+179</t>
  </si>
  <si>
    <t>180</t>
  </si>
  <si>
    <t xml:space="preserve">        Vzťahy k účtom klientov Štátnej pokladnice</t>
  </si>
  <si>
    <t>183</t>
  </si>
  <si>
    <t>V l a s t n é    i m a n i e    a    z á v ä z k y    s p o l u</t>
  </si>
  <si>
    <t>Tabuľka: 8</t>
  </si>
  <si>
    <t xml:space="preserve">Agregovaný výkaz ziskov a strát kapitoly ŠR a rozpočtových organizácií v jej pôsobnosti za rok 2011 </t>
  </si>
  <si>
    <t>Náklady</t>
  </si>
  <si>
    <t>Hlavná                         činnosť</t>
  </si>
  <si>
    <t>Podnikateľská činnosť</t>
  </si>
  <si>
    <t>Spolu</t>
  </si>
  <si>
    <t>Spotrebované nákupy</t>
  </si>
  <si>
    <t>001</t>
  </si>
  <si>
    <t xml:space="preserve">     z toho: spotreba materiálu</t>
  </si>
  <si>
    <t xml:space="preserve">                spotreba energie</t>
  </si>
  <si>
    <t xml:space="preserve">                predaný tovar</t>
  </si>
  <si>
    <t>005</t>
  </si>
  <si>
    <t>Služby</t>
  </si>
  <si>
    <t>006</t>
  </si>
  <si>
    <t>Osobné náklady</t>
  </si>
  <si>
    <t xml:space="preserve">     z toho: mzdové náklady</t>
  </si>
  <si>
    <t>012</t>
  </si>
  <si>
    <t xml:space="preserve">                zákonné sociálne poistenie</t>
  </si>
  <si>
    <t xml:space="preserve">                zákonné sociálne náklady</t>
  </si>
  <si>
    <t>015</t>
  </si>
  <si>
    <t>Dane a poplatky</t>
  </si>
  <si>
    <t>017</t>
  </si>
  <si>
    <t>Ostatné náklady na prevádzkovú činnosť</t>
  </si>
  <si>
    <t>021</t>
  </si>
  <si>
    <t>Odpisy, rezervy a opravné položky z prevádzkovej činnosti a finančnej činnosti a zúčtovanie časového rozlíšenia</t>
  </si>
  <si>
    <t>029</t>
  </si>
  <si>
    <t xml:space="preserve">     z toho: odpisy dlhodobého nehmotného majetku a dlhodobého hmotného majetku</t>
  </si>
  <si>
    <t>030</t>
  </si>
  <si>
    <t xml:space="preserve">                rezervy a opravné položky z prevádzkovej činnosti</t>
  </si>
  <si>
    <t>031</t>
  </si>
  <si>
    <t>Finančné náklady</t>
  </si>
  <si>
    <t>Mimoriadne náklady</t>
  </si>
  <si>
    <t>Náklady na transfery a náklady z odvodu príjmov</t>
  </si>
  <si>
    <t>054</t>
  </si>
  <si>
    <t xml:space="preserve">     z toho: náklady z budúceho odvodu príjmov</t>
  </si>
  <si>
    <t>063</t>
  </si>
  <si>
    <t>N á k l a d y   c e l k o m</t>
  </si>
  <si>
    <t>Výnosy</t>
  </si>
  <si>
    <t>Hlavná                      činnosť</t>
  </si>
  <si>
    <t>Tržby za vlastné výkony a tovar</t>
  </si>
  <si>
    <t>065</t>
  </si>
  <si>
    <t>Zmena stavu vnútroorganizačných zásob</t>
  </si>
  <si>
    <t>069</t>
  </si>
  <si>
    <t>Aktivácia</t>
  </si>
  <si>
    <t>074</t>
  </si>
  <si>
    <t>Daňové a colné výnosy a výnosy z poplatkov</t>
  </si>
  <si>
    <t>079</t>
  </si>
  <si>
    <t xml:space="preserve">     z toho: daňové a colné výnosy štátu</t>
  </si>
  <si>
    <t>080</t>
  </si>
  <si>
    <t xml:space="preserve">                výnosy z poplatkov</t>
  </si>
  <si>
    <t>082</t>
  </si>
  <si>
    <t>Ostatné výnosy z prevádzkovej činnosti</t>
  </si>
  <si>
    <t>083</t>
  </si>
  <si>
    <t>Zúčtovanie rezerv a opravných položiek z prevádzkovej činnosti a finančnej činnosti a zúčtovanie časového rozlíšenia</t>
  </si>
  <si>
    <t>090</t>
  </si>
  <si>
    <t>Finančné výnosy</t>
  </si>
  <si>
    <t>Mimoriadne výnosy</t>
  </si>
  <si>
    <t>109</t>
  </si>
  <si>
    <t>Výnosy z transferov a rozpočtových príjmov v štátnych rozpočtových organizáciách a príspevkových organizáciách</t>
  </si>
  <si>
    <t xml:space="preserve">     z toho: výnosy z bežných transferov zo štátneho rozpočtu</t>
  </si>
  <si>
    <t>115</t>
  </si>
  <si>
    <t xml:space="preserve">                výnosy z kapitálových transferov zo štátneho rozpočtu  </t>
  </si>
  <si>
    <t>Výnosy z transferov a rozpočtových príjmov v obciach, vyšších územných celkoch a v rozpočtových organizáciách a príspevkových organizáciách zriadených obcou alebo vyšším územným celkom</t>
  </si>
  <si>
    <t>124</t>
  </si>
  <si>
    <t xml:space="preserve">V ý n o s y   c e l k o m </t>
  </si>
  <si>
    <t xml:space="preserve">   Výsledok hospodárenia pred zdanením</t>
  </si>
  <si>
    <t>135</t>
  </si>
  <si>
    <t xml:space="preserve">   Daň z príjmov</t>
  </si>
  <si>
    <t>136+137</t>
  </si>
  <si>
    <t>V ý s l e d o k   h o s p o d á r e n i a   p o   z d a n e n í</t>
  </si>
</sst>
</file>

<file path=xl/styles.xml><?xml version="1.0" encoding="utf-8"?>
<styleSheet xmlns="http://schemas.openxmlformats.org/spreadsheetml/2006/main">
  <numFmts count="7">
    <numFmt numFmtId="44" formatCode="_-* #,##0.00\ &quot;Sk&quot;_-;\-* #,##0.00\ &quot;Sk&quot;_-;_-* &quot;-&quot;??\ &quot;Sk&quot;_-;_-@_-"/>
    <numFmt numFmtId="43" formatCode="_-* #,##0.00\ _S_k_-;\-* #,##0.00\ _S_k_-;_-* &quot;-&quot;??\ _S_k_-;_-@_-"/>
    <numFmt numFmtId="164" formatCode="0.0%"/>
    <numFmt numFmtId="165" formatCode="#,##0.0"/>
    <numFmt numFmtId="166" formatCode="#,##0.0\ %"/>
    <numFmt numFmtId="167" formatCode="_-* #,##0\ _S_k_-;\-* #,##0\ _S_k_-;_-* &quot;-&quot;??\ _S_k_-;_-@_-"/>
    <numFmt numFmtId="168" formatCode="_-* #,##0.0\ _S_k_-;\-* #,##0.0\ _S_k_-;_-* &quot;-&quot;??\ _S_k_-;_-@_-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</font>
    <font>
      <sz val="10"/>
      <color indexed="8"/>
      <name val="Arial"/>
    </font>
    <font>
      <sz val="10"/>
      <name val="Arial"/>
    </font>
    <font>
      <sz val="10"/>
      <color indexed="39"/>
      <name val="Arial"/>
      <family val="2"/>
    </font>
    <font>
      <sz val="19"/>
      <color indexed="48"/>
      <name val="Arial"/>
    </font>
    <font>
      <sz val="10"/>
      <color indexed="10"/>
      <name val="Arial"/>
      <family val="2"/>
    </font>
    <font>
      <sz val="8"/>
      <name val="Arial"/>
      <charset val="238"/>
    </font>
    <font>
      <b/>
      <sz val="10"/>
      <name val="Arial"/>
      <charset val="238"/>
    </font>
    <font>
      <b/>
      <sz val="10"/>
      <color indexed="8"/>
      <name val="Arial"/>
      <charset val="238"/>
    </font>
    <font>
      <sz val="10"/>
      <name val="Arial"/>
      <charset val="238"/>
    </font>
    <font>
      <sz val="10"/>
      <color indexed="8"/>
      <name val="Arial"/>
      <charset val="238"/>
    </font>
    <font>
      <sz val="10"/>
      <name val="Arial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name val="Arial CE"/>
      <family val="2"/>
      <charset val="238"/>
    </font>
    <font>
      <sz val="10"/>
      <color indexed="8"/>
      <name val="Arial"/>
      <family val="2"/>
      <charset val="238"/>
    </font>
  </fonts>
  <fills count="22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</fills>
  <borders count="55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42">
    <xf numFmtId="0" fontId="0" fillId="0" borderId="0"/>
    <xf numFmtId="9" fontId="1" fillId="0" borderId="0" applyFont="0" applyFill="0" applyBorder="0" applyAlignment="0" applyProtection="0"/>
    <xf numFmtId="4" fontId="2" fillId="7" borderId="1" applyNumberFormat="0" applyProtection="0">
      <alignment vertical="center"/>
    </xf>
    <xf numFmtId="4" fontId="3" fillId="8" borderId="1" applyNumberFormat="0" applyProtection="0">
      <alignment vertical="center"/>
    </xf>
    <xf numFmtId="4" fontId="2" fillId="8" borderId="1" applyNumberFormat="0" applyProtection="0">
      <alignment horizontal="left" vertical="center" indent="1"/>
    </xf>
    <xf numFmtId="0" fontId="2" fillId="8" borderId="1" applyNumberFormat="0" applyProtection="0">
      <alignment horizontal="left" vertical="top" indent="1"/>
    </xf>
    <xf numFmtId="4" fontId="4" fillId="4" borderId="1" applyNumberFormat="0" applyProtection="0">
      <alignment horizontal="right" vertical="center"/>
    </xf>
    <xf numFmtId="4" fontId="4" fillId="3" borderId="1" applyNumberFormat="0" applyProtection="0">
      <alignment horizontal="right" vertical="center"/>
    </xf>
    <xf numFmtId="4" fontId="4" fillId="9" borderId="1" applyNumberFormat="0" applyProtection="0">
      <alignment horizontal="right" vertical="center"/>
    </xf>
    <xf numFmtId="4" fontId="4" fillId="10" borderId="1" applyNumberFormat="0" applyProtection="0">
      <alignment horizontal="right" vertical="center"/>
    </xf>
    <xf numFmtId="4" fontId="4" fillId="11" borderId="1" applyNumberFormat="0" applyProtection="0">
      <alignment horizontal="right" vertical="center"/>
    </xf>
    <xf numFmtId="4" fontId="4" fillId="12" borderId="1" applyNumberFormat="0" applyProtection="0">
      <alignment horizontal="right" vertical="center"/>
    </xf>
    <xf numFmtId="4" fontId="4" fillId="5" borderId="1" applyNumberFormat="0" applyProtection="0">
      <alignment horizontal="right" vertical="center"/>
    </xf>
    <xf numFmtId="4" fontId="4" fillId="6" borderId="1" applyNumberFormat="0" applyProtection="0">
      <alignment horizontal="right" vertical="center"/>
    </xf>
    <xf numFmtId="4" fontId="4" fillId="13" borderId="1" applyNumberFormat="0" applyProtection="0">
      <alignment horizontal="right" vertical="center"/>
    </xf>
    <xf numFmtId="4" fontId="2" fillId="14" borderId="2" applyNumberFormat="0" applyProtection="0">
      <alignment horizontal="left" vertical="center" indent="1"/>
    </xf>
    <xf numFmtId="4" fontId="4" fillId="15" borderId="0" applyNumberFormat="0" applyProtection="0">
      <alignment horizontal="left" vertical="center" indent="1"/>
    </xf>
    <xf numFmtId="4" fontId="5" fillId="16" borderId="0" applyNumberFormat="0" applyProtection="0">
      <alignment horizontal="left" vertical="center" indent="1"/>
    </xf>
    <xf numFmtId="4" fontId="4" fillId="2" borderId="1" applyNumberFormat="0" applyProtection="0">
      <alignment horizontal="right" vertical="center"/>
    </xf>
    <xf numFmtId="4" fontId="6" fillId="15" borderId="0" applyNumberFormat="0" applyProtection="0">
      <alignment horizontal="left" vertical="center" indent="1"/>
    </xf>
    <xf numFmtId="4" fontId="6" fillId="17" borderId="0" applyNumberFormat="0" applyProtection="0">
      <alignment horizontal="left" vertical="center" indent="1"/>
    </xf>
    <xf numFmtId="0" fontId="7" fillId="16" borderId="1" applyNumberFormat="0" applyProtection="0">
      <alignment horizontal="left" vertical="center" indent="1"/>
    </xf>
    <xf numFmtId="0" fontId="7" fillId="16" borderId="1" applyNumberFormat="0" applyProtection="0">
      <alignment horizontal="left" vertical="top" indent="1"/>
    </xf>
    <xf numFmtId="0" fontId="7" fillId="17" borderId="1" applyNumberFormat="0" applyProtection="0">
      <alignment horizontal="left" vertical="center" indent="1"/>
    </xf>
    <xf numFmtId="0" fontId="7" fillId="17" borderId="1" applyNumberFormat="0" applyProtection="0">
      <alignment horizontal="left" vertical="top" indent="1"/>
    </xf>
    <xf numFmtId="0" fontId="7" fillId="18" borderId="1" applyNumberFormat="0" applyProtection="0">
      <alignment horizontal="left" vertical="center" indent="1"/>
    </xf>
    <xf numFmtId="0" fontId="7" fillId="18" borderId="1" applyNumberFormat="0" applyProtection="0">
      <alignment horizontal="left" vertical="top" indent="1"/>
    </xf>
    <xf numFmtId="0" fontId="7" fillId="19" borderId="1" applyNumberFormat="0" applyProtection="0">
      <alignment horizontal="left" vertical="center" indent="1"/>
    </xf>
    <xf numFmtId="0" fontId="7" fillId="19" borderId="1" applyNumberFormat="0" applyProtection="0">
      <alignment horizontal="left" vertical="top" indent="1"/>
    </xf>
    <xf numFmtId="4" fontId="2" fillId="17" borderId="0" applyNumberFormat="0" applyProtection="0">
      <alignment horizontal="left" vertical="center" indent="1"/>
    </xf>
    <xf numFmtId="4" fontId="4" fillId="20" borderId="1" applyNumberFormat="0" applyProtection="0">
      <alignment vertical="center"/>
    </xf>
    <xf numFmtId="4" fontId="8" fillId="20" borderId="1" applyNumberFormat="0" applyProtection="0">
      <alignment vertical="center"/>
    </xf>
    <xf numFmtId="4" fontId="4" fillId="20" borderId="1" applyNumberFormat="0" applyProtection="0">
      <alignment horizontal="left" vertical="center" indent="1"/>
    </xf>
    <xf numFmtId="0" fontId="4" fillId="20" borderId="1" applyNumberFormat="0" applyProtection="0">
      <alignment horizontal="left" vertical="top" indent="1"/>
    </xf>
    <xf numFmtId="4" fontId="4" fillId="15" borderId="1" applyNumberFormat="0" applyProtection="0">
      <alignment horizontal="right" vertical="center"/>
    </xf>
    <xf numFmtId="4" fontId="8" fillId="15" borderId="1" applyNumberFormat="0" applyProtection="0">
      <alignment horizontal="right" vertical="center"/>
    </xf>
    <xf numFmtId="4" fontId="4" fillId="2" borderId="1" applyNumberFormat="0" applyProtection="0">
      <alignment horizontal="left" vertical="center" indent="1"/>
    </xf>
    <xf numFmtId="0" fontId="4" fillId="17" borderId="1" applyNumberFormat="0" applyProtection="0">
      <alignment horizontal="left" vertical="top" indent="1"/>
    </xf>
    <xf numFmtId="4" fontId="9" fillId="21" borderId="0" applyNumberFormat="0" applyProtection="0">
      <alignment horizontal="left" vertical="center" indent="1"/>
    </xf>
    <xf numFmtId="4" fontId="10" fillId="15" borderId="1" applyNumberFormat="0" applyProtection="0">
      <alignment horizontal="right"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6">
    <xf numFmtId="0" fontId="0" fillId="0" borderId="0" xfId="0"/>
    <xf numFmtId="0" fontId="0" fillId="0" borderId="0" xfId="0" quotePrefix="1"/>
    <xf numFmtId="0" fontId="7" fillId="16" borderId="1" xfId="22" applyAlignment="1">
      <alignment horizontal="left" vertical="top" wrapText="1" indent="1"/>
    </xf>
    <xf numFmtId="0" fontId="12" fillId="0" borderId="3" xfId="0" applyFont="1" applyFill="1" applyBorder="1" applyAlignment="1">
      <alignment horizontal="center"/>
    </xf>
    <xf numFmtId="0" fontId="13" fillId="0" borderId="4" xfId="29" applyNumberFormat="1" applyFont="1" applyFill="1" applyBorder="1" applyAlignment="1" applyProtection="1">
      <alignment horizontal="left" vertical="center" wrapText="1"/>
      <protection locked="0"/>
    </xf>
    <xf numFmtId="0" fontId="12" fillId="0" borderId="3" xfId="0" applyFont="1" applyFill="1" applyBorder="1" applyAlignment="1">
      <alignment horizontal="center" vertical="center"/>
    </xf>
    <xf numFmtId="0" fontId="12" fillId="0" borderId="5" xfId="23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left" indent="1"/>
    </xf>
    <xf numFmtId="0" fontId="12" fillId="0" borderId="5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/>
    </xf>
    <xf numFmtId="3" fontId="13" fillId="0" borderId="4" xfId="37" quotePrefix="1" applyNumberFormat="1" applyFont="1" applyFill="1" applyBorder="1" applyAlignment="1">
      <alignment horizontal="right" vertical="center" wrapText="1"/>
    </xf>
    <xf numFmtId="0" fontId="1" fillId="0" borderId="0" xfId="0" applyFont="1" applyFill="1"/>
    <xf numFmtId="164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 indent="1"/>
    </xf>
    <xf numFmtId="164" fontId="1" fillId="0" borderId="0" xfId="0" applyNumberFormat="1" applyFont="1" applyFill="1"/>
    <xf numFmtId="0" fontId="1" fillId="0" borderId="0" xfId="0" applyFont="1"/>
    <xf numFmtId="0" fontId="12" fillId="0" borderId="0" xfId="0" applyFont="1" applyFill="1"/>
    <xf numFmtId="0" fontId="14" fillId="0" borderId="0" xfId="0" applyFont="1" applyFill="1"/>
    <xf numFmtId="0" fontId="14" fillId="0" borderId="0" xfId="0" applyFont="1"/>
    <xf numFmtId="0" fontId="14" fillId="0" borderId="0" xfId="0" applyFont="1" applyFill="1" applyAlignment="1">
      <alignment horizontal="right" indent="1"/>
    </xf>
    <xf numFmtId="0" fontId="12" fillId="0" borderId="0" xfId="0" applyFont="1" applyFill="1" applyAlignment="1">
      <alignment horizontal="left"/>
    </xf>
    <xf numFmtId="164" fontId="14" fillId="0" borderId="0" xfId="0" applyNumberFormat="1" applyFont="1" applyFill="1"/>
    <xf numFmtId="0" fontId="14" fillId="0" borderId="0" xfId="0" applyFont="1" applyFill="1" applyProtection="1">
      <protection locked="0"/>
    </xf>
    <xf numFmtId="0" fontId="14" fillId="0" borderId="0" xfId="0" quotePrefix="1" applyFont="1" applyFill="1" applyProtection="1">
      <protection locked="0"/>
    </xf>
    <xf numFmtId="0" fontId="12" fillId="0" borderId="0" xfId="0" applyFont="1" applyAlignment="1"/>
    <xf numFmtId="0" fontId="12" fillId="0" borderId="0" xfId="0" applyFont="1" applyFill="1" applyProtection="1">
      <protection locked="0"/>
    </xf>
    <xf numFmtId="0" fontId="14" fillId="0" borderId="5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3" fillId="0" borderId="4" xfId="29" applyNumberFormat="1" applyFont="1" applyFill="1" applyBorder="1" applyAlignment="1" applyProtection="1">
      <alignment horizontal="center" vertical="center"/>
      <protection locked="0"/>
    </xf>
    <xf numFmtId="0" fontId="13" fillId="0" borderId="4" xfId="37" quotePrefix="1" applyFont="1" applyFill="1" applyBorder="1" applyAlignment="1">
      <alignment horizontal="center" vertical="center" wrapText="1"/>
    </xf>
    <xf numFmtId="0" fontId="13" fillId="0" borderId="4" xfId="37" applyFont="1" applyFill="1" applyBorder="1" applyAlignment="1">
      <alignment horizontal="center" vertical="center" wrapText="1"/>
    </xf>
    <xf numFmtId="164" fontId="13" fillId="0" borderId="9" xfId="37" quotePrefix="1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/>
    </xf>
    <xf numFmtId="0" fontId="13" fillId="0" borderId="0" xfId="29" applyNumberFormat="1" applyFont="1" applyFill="1" applyBorder="1" applyAlignment="1" applyProtection="1">
      <alignment horizontal="center" vertical="center"/>
      <protection locked="0"/>
    </xf>
    <xf numFmtId="0" fontId="13" fillId="0" borderId="0" xfId="37" quotePrefix="1" applyFont="1" applyFill="1" applyBorder="1" applyAlignment="1">
      <alignment horizontal="center" vertical="center" wrapText="1"/>
    </xf>
    <xf numFmtId="164" fontId="13" fillId="0" borderId="0" xfId="37" quotePrefix="1" applyNumberFormat="1" applyFont="1" applyFill="1" applyBorder="1" applyAlignment="1">
      <alignment horizontal="center" vertical="center" wrapText="1"/>
    </xf>
    <xf numFmtId="165" fontId="12" fillId="0" borderId="9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29" applyNumberFormat="1" applyFont="1" applyFill="1" applyBorder="1" applyAlignment="1" applyProtection="1">
      <alignment horizontal="center" vertical="center" wrapText="1"/>
      <protection locked="0"/>
    </xf>
    <xf numFmtId="0" fontId="14" fillId="0" borderId="10" xfId="0" applyFont="1" applyFill="1" applyBorder="1"/>
    <xf numFmtId="0" fontId="14" fillId="0" borderId="11" xfId="0" applyFont="1" applyFill="1" applyBorder="1"/>
    <xf numFmtId="0" fontId="14" fillId="0" borderId="12" xfId="0" applyFont="1" applyFill="1" applyBorder="1"/>
    <xf numFmtId="0" fontId="14" fillId="0" borderId="13" xfId="0" applyFont="1" applyFill="1" applyBorder="1"/>
    <xf numFmtId="0" fontId="14" fillId="0" borderId="0" xfId="0" applyFont="1" applyFill="1" applyBorder="1" applyAlignment="1">
      <alignment horizontal="right" indent="1"/>
    </xf>
    <xf numFmtId="0" fontId="14" fillId="0" borderId="0" xfId="0" applyFont="1" applyFill="1" applyBorder="1"/>
    <xf numFmtId="164" fontId="14" fillId="0" borderId="0" xfId="0" applyNumberFormat="1" applyFont="1" applyFill="1" applyBorder="1"/>
    <xf numFmtId="0" fontId="14" fillId="0" borderId="1" xfId="23" quotePrefix="1" applyFont="1" applyFill="1" applyAlignment="1" applyProtection="1">
      <alignment vertical="center"/>
      <protection locked="0"/>
    </xf>
    <xf numFmtId="0" fontId="12" fillId="0" borderId="14" xfId="0" applyFont="1" applyFill="1" applyBorder="1" applyAlignment="1">
      <alignment vertical="center"/>
    </xf>
    <xf numFmtId="3" fontId="13" fillId="0" borderId="14" xfId="34" applyNumberFormat="1" applyFont="1" applyFill="1" applyBorder="1" applyAlignment="1">
      <alignment horizontal="right" vertical="center"/>
    </xf>
    <xf numFmtId="165" fontId="12" fillId="0" borderId="15" xfId="0" applyNumberFormat="1" applyFont="1" applyFill="1" applyBorder="1" applyAlignment="1">
      <alignment vertical="center"/>
    </xf>
    <xf numFmtId="3" fontId="13" fillId="0" borderId="0" xfId="34" applyNumberFormat="1" applyFont="1" applyFill="1" applyBorder="1" applyAlignment="1">
      <alignment horizontal="right" vertical="center"/>
    </xf>
    <xf numFmtId="165" fontId="12" fillId="0" borderId="0" xfId="0" applyNumberFormat="1" applyFont="1" applyFill="1" applyBorder="1" applyAlignment="1">
      <alignment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21" applyFont="1" applyFill="1" applyBorder="1" applyAlignment="1">
      <alignment vertical="center"/>
    </xf>
    <xf numFmtId="3" fontId="13" fillId="0" borderId="17" xfId="34" applyNumberFormat="1" applyFont="1" applyFill="1" applyBorder="1" applyAlignment="1">
      <alignment horizontal="right" vertical="center"/>
    </xf>
    <xf numFmtId="165" fontId="12" fillId="0" borderId="18" xfId="0" applyNumberFormat="1" applyFont="1" applyFill="1" applyBorder="1" applyAlignment="1">
      <alignment vertical="center"/>
    </xf>
    <xf numFmtId="3" fontId="15" fillId="0" borderId="0" xfId="34" quotePrefix="1" applyNumberFormat="1" applyFont="1" applyFill="1" applyBorder="1" applyAlignment="1" applyProtection="1">
      <alignment horizontal="right" vertical="center"/>
      <protection locked="0"/>
    </xf>
    <xf numFmtId="3" fontId="15" fillId="0" borderId="0" xfId="34" applyNumberFormat="1" applyFont="1" applyFill="1" applyBorder="1" applyAlignment="1" applyProtection="1">
      <alignment horizontal="right" vertical="center"/>
      <protection locked="0"/>
    </xf>
    <xf numFmtId="164" fontId="15" fillId="0" borderId="0" xfId="34" applyNumberFormat="1" applyFont="1" applyFill="1" applyBorder="1" applyAlignment="1" applyProtection="1">
      <alignment horizontal="right" vertical="center"/>
      <protection locked="0"/>
    </xf>
    <xf numFmtId="9" fontId="16" fillId="0" borderId="0" xfId="1" applyFont="1" applyFill="1" applyBorder="1"/>
    <xf numFmtId="0" fontId="16" fillId="0" borderId="0" xfId="0" applyFont="1"/>
    <xf numFmtId="0" fontId="16" fillId="0" borderId="0" xfId="0" quotePrefix="1" applyFont="1"/>
    <xf numFmtId="0" fontId="16" fillId="0" borderId="19" xfId="0" applyFont="1" applyFill="1" applyBorder="1" applyAlignment="1">
      <alignment horizontal="right" vertical="center"/>
    </xf>
    <xf numFmtId="0" fontId="16" fillId="0" borderId="17" xfId="23" applyFont="1" applyFill="1" applyBorder="1" applyAlignment="1">
      <alignment vertical="center"/>
    </xf>
    <xf numFmtId="3" fontId="15" fillId="0" borderId="17" xfId="34" applyNumberFormat="1" applyFont="1" applyFill="1" applyBorder="1" applyAlignment="1">
      <alignment horizontal="right" vertical="center"/>
    </xf>
    <xf numFmtId="165" fontId="16" fillId="0" borderId="18" xfId="0" applyNumberFormat="1" applyFont="1" applyFill="1" applyBorder="1" applyAlignment="1">
      <alignment vertical="center"/>
    </xf>
    <xf numFmtId="0" fontId="16" fillId="0" borderId="0" xfId="0" applyFont="1" applyFill="1" applyBorder="1"/>
    <xf numFmtId="3" fontId="15" fillId="0" borderId="0" xfId="34" applyNumberFormat="1" applyFont="1" applyFill="1" applyBorder="1" applyAlignment="1">
      <alignment horizontal="right" vertical="center"/>
    </xf>
    <xf numFmtId="165" fontId="16" fillId="0" borderId="0" xfId="0" applyNumberFormat="1" applyFont="1" applyFill="1" applyBorder="1" applyAlignment="1">
      <alignment vertical="center"/>
    </xf>
    <xf numFmtId="0" fontId="16" fillId="0" borderId="17" xfId="0" applyFont="1" applyFill="1" applyBorder="1" applyAlignment="1">
      <alignment vertical="center"/>
    </xf>
    <xf numFmtId="0" fontId="16" fillId="0" borderId="17" xfId="23" applyFont="1" applyFill="1" applyBorder="1" applyAlignment="1">
      <alignment horizontal="left" vertical="center"/>
    </xf>
    <xf numFmtId="0" fontId="16" fillId="0" borderId="17" xfId="23" applyFont="1" applyFill="1" applyBorder="1" applyAlignment="1">
      <alignment horizontal="left" vertical="top"/>
    </xf>
    <xf numFmtId="3" fontId="13" fillId="0" borderId="4" xfId="34" applyNumberFormat="1" applyFont="1" applyFill="1" applyBorder="1" applyAlignment="1">
      <alignment horizontal="right" vertical="center"/>
    </xf>
    <xf numFmtId="165" fontId="12" fillId="0" borderId="9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right" vertical="center"/>
    </xf>
    <xf numFmtId="0" fontId="12" fillId="0" borderId="0" xfId="23" applyFont="1" applyFill="1" applyBorder="1" applyAlignment="1" applyProtection="1">
      <alignment vertical="center" wrapText="1"/>
      <protection locked="0"/>
    </xf>
    <xf numFmtId="0" fontId="14" fillId="0" borderId="20" xfId="0" applyFont="1" applyFill="1" applyBorder="1" applyAlignment="1">
      <alignment horizontal="right" vertical="center"/>
    </xf>
    <xf numFmtId="0" fontId="14" fillId="0" borderId="21" xfId="0" applyFont="1" applyFill="1" applyBorder="1" applyAlignment="1">
      <alignment horizontal="right" vertical="center"/>
    </xf>
    <xf numFmtId="0" fontId="14" fillId="0" borderId="14" xfId="23" applyFont="1" applyFill="1" applyBorder="1" applyAlignment="1">
      <alignment horizontal="left" vertical="top"/>
    </xf>
    <xf numFmtId="3" fontId="15" fillId="0" borderId="17" xfId="34" applyNumberFormat="1" applyFont="1" applyFill="1" applyBorder="1" applyAlignment="1">
      <alignment horizontal="right" vertical="top"/>
    </xf>
    <xf numFmtId="165" fontId="16" fillId="0" borderId="15" xfId="0" applyNumberFormat="1" applyFont="1" applyFill="1" applyBorder="1" applyAlignment="1">
      <alignment vertical="top"/>
    </xf>
    <xf numFmtId="0" fontId="12" fillId="0" borderId="20" xfId="0" applyFont="1" applyFill="1" applyBorder="1" applyAlignment="1">
      <alignment horizontal="center" vertical="center"/>
    </xf>
    <xf numFmtId="0" fontId="12" fillId="0" borderId="14" xfId="21" applyFont="1" applyFill="1" applyBorder="1" applyAlignment="1" applyProtection="1">
      <alignment vertical="center"/>
      <protection locked="0"/>
    </xf>
    <xf numFmtId="0" fontId="16" fillId="0" borderId="17" xfId="23" applyFont="1" applyFill="1" applyBorder="1" applyAlignment="1" applyProtection="1">
      <alignment vertical="center"/>
      <protection locked="0"/>
    </xf>
    <xf numFmtId="0" fontId="14" fillId="0" borderId="0" xfId="0" quotePrefix="1" applyFont="1"/>
    <xf numFmtId="0" fontId="14" fillId="0" borderId="19" xfId="0" applyFont="1" applyFill="1" applyBorder="1" applyAlignment="1">
      <alignment horizontal="right" vertical="center"/>
    </xf>
    <xf numFmtId="0" fontId="14" fillId="0" borderId="17" xfId="23" applyFont="1" applyFill="1" applyBorder="1" applyAlignment="1" applyProtection="1">
      <alignment vertical="center"/>
      <protection locked="0"/>
    </xf>
    <xf numFmtId="0" fontId="16" fillId="0" borderId="16" xfId="0" applyFont="1" applyFill="1" applyBorder="1" applyAlignment="1">
      <alignment horizontal="right" vertical="center"/>
    </xf>
    <xf numFmtId="164" fontId="15" fillId="0" borderId="18" xfId="34" applyNumberFormat="1" applyFont="1" applyFill="1" applyBorder="1" applyAlignment="1">
      <alignment horizontal="right" vertical="center"/>
    </xf>
    <xf numFmtId="49" fontId="16" fillId="0" borderId="17" xfId="23" applyNumberFormat="1" applyFont="1" applyFill="1" applyBorder="1" applyAlignment="1" applyProtection="1">
      <alignment vertical="center"/>
      <protection locked="0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right" indent="1"/>
    </xf>
    <xf numFmtId="49" fontId="16" fillId="0" borderId="17" xfId="23" applyNumberFormat="1" applyFont="1" applyFill="1" applyBorder="1" applyAlignment="1" applyProtection="1">
      <alignment vertical="center" wrapText="1"/>
      <protection locked="0"/>
    </xf>
    <xf numFmtId="0" fontId="16" fillId="0" borderId="0" xfId="0" applyFont="1" applyFill="1" applyBorder="1" applyAlignment="1">
      <alignment horizontal="right" vertical="center"/>
    </xf>
    <xf numFmtId="0" fontId="13" fillId="0" borderId="0" xfId="4" applyNumberFormat="1" applyFont="1" applyFill="1" applyBorder="1" applyAlignment="1">
      <alignment horizontal="left" vertical="center"/>
    </xf>
    <xf numFmtId="3" fontId="13" fillId="0" borderId="0" xfId="2" quotePrefix="1" applyNumberFormat="1" applyFont="1" applyFill="1" applyBorder="1" applyAlignment="1" applyProtection="1">
      <alignment vertical="center"/>
      <protection locked="0"/>
    </xf>
    <xf numFmtId="49" fontId="14" fillId="0" borderId="17" xfId="23" applyNumberFormat="1" applyFont="1" applyFill="1" applyBorder="1" applyAlignment="1" applyProtection="1">
      <alignment vertical="center"/>
      <protection locked="0"/>
    </xf>
    <xf numFmtId="0" fontId="16" fillId="0" borderId="0" xfId="0" applyFont="1" applyFill="1" applyAlignment="1">
      <alignment horizontal="right" indent="1"/>
    </xf>
    <xf numFmtId="0" fontId="16" fillId="0" borderId="0" xfId="0" applyFont="1" applyFill="1"/>
    <xf numFmtId="164" fontId="16" fillId="0" borderId="0" xfId="0" applyNumberFormat="1" applyFont="1" applyFill="1"/>
    <xf numFmtId="0" fontId="16" fillId="0" borderId="19" xfId="0" applyFont="1" applyFill="1" applyBorder="1" applyAlignment="1">
      <alignment horizontal="right" vertical="top"/>
    </xf>
    <xf numFmtId="0" fontId="16" fillId="0" borderId="16" xfId="21" applyFont="1" applyFill="1" applyBorder="1" applyAlignment="1" applyProtection="1">
      <alignment horizontal="left" vertical="center"/>
      <protection locked="0"/>
    </xf>
    <xf numFmtId="0" fontId="12" fillId="0" borderId="17" xfId="21" applyFont="1" applyFill="1" applyBorder="1" applyAlignment="1" applyProtection="1">
      <alignment vertical="center"/>
      <protection locked="0"/>
    </xf>
    <xf numFmtId="3" fontId="12" fillId="0" borderId="17" xfId="0" applyNumberFormat="1" applyFont="1" applyFill="1" applyBorder="1"/>
    <xf numFmtId="0" fontId="14" fillId="0" borderId="17" xfId="21" applyFont="1" applyFill="1" applyBorder="1" applyAlignment="1" applyProtection="1">
      <alignment vertical="center"/>
      <protection locked="0"/>
    </xf>
    <xf numFmtId="0" fontId="16" fillId="0" borderId="17" xfId="21" applyFont="1" applyFill="1" applyBorder="1" applyAlignment="1" applyProtection="1">
      <alignment vertical="center"/>
      <protection locked="0"/>
    </xf>
    <xf numFmtId="0" fontId="16" fillId="0" borderId="17" xfId="0" applyFont="1" applyFill="1" applyBorder="1"/>
    <xf numFmtId="164" fontId="16" fillId="0" borderId="18" xfId="0" applyNumberFormat="1" applyFont="1" applyFill="1" applyBorder="1"/>
    <xf numFmtId="0" fontId="16" fillId="0" borderId="22" xfId="0" applyFont="1" applyFill="1" applyBorder="1" applyAlignment="1">
      <alignment horizontal="right" vertical="center"/>
    </xf>
    <xf numFmtId="0" fontId="16" fillId="0" borderId="23" xfId="23" applyFont="1" applyFill="1" applyBorder="1" applyAlignment="1" applyProtection="1">
      <alignment vertical="center" wrapText="1"/>
      <protection locked="0"/>
    </xf>
    <xf numFmtId="3" fontId="12" fillId="0" borderId="7" xfId="0" applyNumberFormat="1" applyFont="1" applyFill="1" applyBorder="1"/>
    <xf numFmtId="165" fontId="12" fillId="0" borderId="24" xfId="0" applyNumberFormat="1" applyFont="1" applyFill="1" applyBorder="1" applyAlignment="1">
      <alignment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19" xfId="0" applyFont="1" applyFill="1" applyBorder="1" applyAlignment="1">
      <alignment horizontal="left" vertical="center"/>
    </xf>
    <xf numFmtId="0" fontId="0" fillId="0" borderId="0" xfId="0" applyFont="1" applyFill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Fill="1" applyProtection="1">
      <protection locked="0"/>
    </xf>
    <xf numFmtId="0" fontId="1" fillId="0" borderId="0" xfId="0" quotePrefix="1" applyFont="1" applyFill="1" applyProtection="1">
      <protection locked="0"/>
    </xf>
    <xf numFmtId="0" fontId="12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3" fontId="1" fillId="0" borderId="0" xfId="0" applyNumberFormat="1" applyFont="1"/>
    <xf numFmtId="3" fontId="13" fillId="0" borderId="0" xfId="2" quotePrefix="1" applyNumberFormat="1" applyFont="1" applyFill="1" applyBorder="1" applyProtection="1">
      <alignment vertical="center"/>
      <protection locked="0"/>
    </xf>
    <xf numFmtId="3" fontId="13" fillId="0" borderId="0" xfId="2" applyNumberFormat="1" applyFont="1" applyFill="1" applyBorder="1" applyProtection="1">
      <alignment vertical="center"/>
      <protection locked="0"/>
    </xf>
    <xf numFmtId="166" fontId="13" fillId="0" borderId="0" xfId="2" applyNumberFormat="1" applyFont="1" applyFill="1" applyBorder="1" applyProtection="1">
      <alignment vertical="center"/>
      <protection locked="0"/>
    </xf>
    <xf numFmtId="0" fontId="12" fillId="0" borderId="28" xfId="37" quotePrefix="1" applyFont="1" applyFill="1" applyBorder="1" applyAlignment="1">
      <alignment horizontal="center" vertical="center" wrapText="1"/>
    </xf>
    <xf numFmtId="0" fontId="12" fillId="0" borderId="28" xfId="37" applyFont="1" applyFill="1" applyBorder="1" applyAlignment="1">
      <alignment horizontal="center" vertical="center" wrapText="1"/>
    </xf>
    <xf numFmtId="0" fontId="12" fillId="0" borderId="29" xfId="37" quotePrefix="1" applyFont="1" applyFill="1" applyBorder="1" applyAlignment="1">
      <alignment horizontal="center" vertical="center" wrapText="1"/>
    </xf>
    <xf numFmtId="0" fontId="1" fillId="0" borderId="19" xfId="29" applyNumberFormat="1" applyFont="1" applyFill="1" applyBorder="1" applyProtection="1">
      <alignment horizontal="left" vertical="center" indent="1"/>
      <protection locked="0"/>
    </xf>
    <xf numFmtId="3" fontId="1" fillId="0" borderId="14" xfId="37" quotePrefix="1" applyNumberFormat="1" applyFont="1" applyFill="1" applyBorder="1" applyAlignment="1">
      <alignment horizontal="right" vertical="justify"/>
    </xf>
    <xf numFmtId="165" fontId="1" fillId="0" borderId="14" xfId="0" applyNumberFormat="1" applyFont="1" applyFill="1" applyBorder="1" applyAlignment="1">
      <alignment vertical="center"/>
    </xf>
    <xf numFmtId="165" fontId="1" fillId="0" borderId="14" xfId="0" applyNumberFormat="1" applyFont="1" applyFill="1" applyBorder="1" applyAlignment="1">
      <alignment horizontal="right" vertical="center"/>
    </xf>
    <xf numFmtId="3" fontId="1" fillId="0" borderId="14" xfId="0" applyNumberFormat="1" applyFont="1" applyFill="1" applyBorder="1"/>
    <xf numFmtId="165" fontId="1" fillId="0" borderId="15" xfId="0" applyNumberFormat="1" applyFont="1" applyFill="1" applyBorder="1" applyAlignment="1">
      <alignment horizontal="right" vertical="center"/>
    </xf>
    <xf numFmtId="0" fontId="13" fillId="0" borderId="6" xfId="4" applyNumberFormat="1" applyFont="1" applyFill="1" applyBorder="1">
      <alignment horizontal="left" vertical="center" indent="1"/>
    </xf>
    <xf numFmtId="3" fontId="12" fillId="0" borderId="7" xfId="37" quotePrefix="1" applyNumberFormat="1" applyFont="1" applyFill="1" applyBorder="1" applyAlignment="1">
      <alignment horizontal="right" vertical="justify"/>
    </xf>
    <xf numFmtId="165" fontId="12" fillId="0" borderId="7" xfId="0" applyNumberFormat="1" applyFont="1" applyFill="1" applyBorder="1" applyAlignment="1">
      <alignment horizontal="right" vertical="center"/>
    </xf>
    <xf numFmtId="165" fontId="12" fillId="0" borderId="24" xfId="0" applyNumberFormat="1" applyFont="1" applyFill="1" applyBorder="1" applyAlignment="1">
      <alignment horizontal="right" vertical="center"/>
    </xf>
    <xf numFmtId="0" fontId="12" fillId="0" borderId="0" xfId="0" applyFont="1"/>
    <xf numFmtId="0" fontId="17" fillId="0" borderId="0" xfId="0" applyFont="1" applyFill="1"/>
    <xf numFmtId="164" fontId="17" fillId="0" borderId="0" xfId="0" applyNumberFormat="1" applyFont="1" applyFill="1" applyAlignment="1">
      <alignment horizontal="right"/>
    </xf>
    <xf numFmtId="0" fontId="17" fillId="0" borderId="0" xfId="0" applyFont="1" applyFill="1" applyBorder="1"/>
    <xf numFmtId="0" fontId="18" fillId="0" borderId="0" xfId="0" applyFont="1" applyFill="1" applyBorder="1" applyAlignment="1">
      <alignment horizontal="center"/>
    </xf>
    <xf numFmtId="0" fontId="17" fillId="0" borderId="0" xfId="0" applyFont="1" applyFill="1" applyAlignment="1" applyProtection="1">
      <alignment horizontal="left"/>
      <protection locked="0"/>
    </xf>
    <xf numFmtId="0" fontId="18" fillId="0" borderId="0" xfId="0" applyFont="1" applyFill="1" applyProtection="1">
      <protection locked="0"/>
    </xf>
    <xf numFmtId="0" fontId="18" fillId="0" borderId="0" xfId="0" applyFont="1" applyFill="1" applyAlignment="1" applyProtection="1">
      <alignment horizontal="left"/>
      <protection locked="0"/>
    </xf>
    <xf numFmtId="164" fontId="17" fillId="0" borderId="0" xfId="0" applyNumberFormat="1" applyFont="1" applyFill="1"/>
    <xf numFmtId="0" fontId="17" fillId="0" borderId="0" xfId="0" applyFont="1" applyFill="1" applyBorder="1" applyAlignment="1">
      <alignment horizontal="center"/>
    </xf>
    <xf numFmtId="0" fontId="18" fillId="0" borderId="30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9" fillId="0" borderId="4" xfId="37" quotePrefix="1" applyFont="1" applyFill="1" applyBorder="1" applyAlignment="1">
      <alignment horizontal="center" vertical="center" wrapText="1"/>
    </xf>
    <xf numFmtId="0" fontId="19" fillId="0" borderId="4" xfId="37" applyFont="1" applyFill="1" applyBorder="1" applyAlignment="1">
      <alignment horizontal="center" vertical="center" wrapText="1"/>
    </xf>
    <xf numFmtId="164" fontId="19" fillId="0" borderId="31" xfId="37" quotePrefix="1" applyNumberFormat="1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center"/>
    </xf>
    <xf numFmtId="0" fontId="20" fillId="0" borderId="3" xfId="0" applyFont="1" applyBorder="1"/>
    <xf numFmtId="3" fontId="20" fillId="0" borderId="4" xfId="0" applyNumberFormat="1" applyFont="1" applyBorder="1"/>
    <xf numFmtId="165" fontId="18" fillId="0" borderId="9" xfId="0" applyNumberFormat="1" applyFont="1" applyFill="1" applyBorder="1" applyAlignment="1">
      <alignment vertical="center"/>
    </xf>
    <xf numFmtId="0" fontId="18" fillId="0" borderId="32" xfId="0" applyFont="1" applyFill="1" applyBorder="1" applyAlignment="1">
      <alignment horizontal="center" vertical="center" wrapText="1"/>
    </xf>
    <xf numFmtId="0" fontId="19" fillId="0" borderId="11" xfId="29" applyNumberFormat="1" applyFont="1" applyFill="1" applyBorder="1" applyAlignment="1" applyProtection="1">
      <alignment horizontal="center" vertical="center"/>
      <protection locked="0"/>
    </xf>
    <xf numFmtId="3" fontId="19" fillId="0" borderId="12" xfId="37" quotePrefix="1" applyNumberFormat="1" applyFont="1" applyFill="1" applyBorder="1" applyAlignment="1">
      <alignment horizontal="center" vertical="center" wrapText="1"/>
    </xf>
    <xf numFmtId="165" fontId="17" fillId="0" borderId="13" xfId="0" applyNumberFormat="1" applyFont="1" applyFill="1" applyBorder="1" applyAlignment="1">
      <alignment vertical="center"/>
    </xf>
    <xf numFmtId="49" fontId="18" fillId="0" borderId="33" xfId="23" applyNumberFormat="1" applyFont="1" applyFill="1" applyBorder="1" applyAlignment="1" applyProtection="1">
      <alignment horizontal="center" vertical="top"/>
      <protection locked="0"/>
    </xf>
    <xf numFmtId="0" fontId="18" fillId="0" borderId="21" xfId="23" applyFont="1" applyFill="1" applyBorder="1" applyAlignment="1">
      <alignment vertical="top" wrapText="1"/>
    </xf>
    <xf numFmtId="3" fontId="19" fillId="0" borderId="14" xfId="34" applyNumberFormat="1" applyFont="1" applyFill="1" applyBorder="1" applyAlignment="1">
      <alignment horizontal="right" vertical="center"/>
    </xf>
    <xf numFmtId="165" fontId="18" fillId="0" borderId="15" xfId="0" applyNumberFormat="1" applyFont="1" applyFill="1" applyBorder="1" applyAlignment="1">
      <alignment vertical="center"/>
    </xf>
    <xf numFmtId="49" fontId="18" fillId="0" borderId="34" xfId="21" quotePrefix="1" applyNumberFormat="1" applyFont="1" applyFill="1" applyBorder="1" applyAlignment="1" applyProtection="1">
      <alignment horizontal="center" vertical="top"/>
      <protection locked="0"/>
    </xf>
    <xf numFmtId="0" fontId="17" fillId="0" borderId="19" xfId="21" applyFont="1" applyFill="1" applyBorder="1" applyAlignment="1">
      <alignment vertical="top" wrapText="1"/>
    </xf>
    <xf numFmtId="3" fontId="19" fillId="0" borderId="17" xfId="34" applyNumberFormat="1" applyFont="1" applyFill="1" applyBorder="1" applyAlignment="1">
      <alignment horizontal="right" vertical="center"/>
    </xf>
    <xf numFmtId="3" fontId="21" fillId="0" borderId="17" xfId="34" applyNumberFormat="1" applyFont="1" applyFill="1" applyBorder="1" applyAlignment="1">
      <alignment horizontal="right" vertical="center"/>
    </xf>
    <xf numFmtId="165" fontId="17" fillId="0" borderId="18" xfId="0" applyNumberFormat="1" applyFont="1" applyFill="1" applyBorder="1" applyAlignment="1">
      <alignment vertical="center"/>
    </xf>
    <xf numFmtId="49" fontId="17" fillId="0" borderId="34" xfId="23" applyNumberFormat="1" applyFont="1" applyFill="1" applyBorder="1" applyAlignment="1" applyProtection="1">
      <alignment horizontal="center" vertical="top"/>
      <protection locked="0"/>
    </xf>
    <xf numFmtId="0" fontId="17" fillId="0" borderId="19" xfId="23" applyFont="1" applyFill="1" applyBorder="1" applyAlignment="1">
      <alignment vertical="top" wrapText="1"/>
    </xf>
    <xf numFmtId="3" fontId="0" fillId="0" borderId="17" xfId="0" applyNumberFormat="1" applyFill="1" applyBorder="1"/>
    <xf numFmtId="3" fontId="0" fillId="0" borderId="16" xfId="0" applyNumberFormat="1" applyFill="1" applyBorder="1"/>
    <xf numFmtId="49" fontId="18" fillId="0" borderId="34" xfId="23" applyNumberFormat="1" applyFont="1" applyFill="1" applyBorder="1" applyAlignment="1" applyProtection="1">
      <alignment horizontal="center" vertical="top"/>
      <protection locked="0"/>
    </xf>
    <xf numFmtId="0" fontId="18" fillId="0" borderId="19" xfId="23" applyFont="1" applyFill="1" applyBorder="1" applyAlignment="1">
      <alignment vertical="top" wrapText="1"/>
    </xf>
    <xf numFmtId="165" fontId="13" fillId="0" borderId="18" xfId="34" applyNumberFormat="1" applyFont="1" applyFill="1" applyBorder="1" applyAlignment="1">
      <alignment horizontal="right" vertical="center"/>
    </xf>
    <xf numFmtId="49" fontId="17" fillId="0" borderId="35" xfId="23" applyNumberFormat="1" applyFont="1" applyFill="1" applyBorder="1" applyAlignment="1" applyProtection="1">
      <alignment horizontal="center" vertical="top"/>
      <protection locked="0"/>
    </xf>
    <xf numFmtId="0" fontId="17" fillId="0" borderId="36" xfId="23" applyFont="1" applyFill="1" applyBorder="1" applyAlignment="1">
      <alignment vertical="top" wrapText="1"/>
    </xf>
    <xf numFmtId="3" fontId="20" fillId="0" borderId="4" xfId="0" applyNumberFormat="1" applyFont="1" applyFill="1" applyBorder="1"/>
    <xf numFmtId="165" fontId="20" fillId="0" borderId="9" xfId="0" applyNumberFormat="1" applyFont="1" applyBorder="1"/>
    <xf numFmtId="0" fontId="20" fillId="0" borderId="32" xfId="0" applyFont="1" applyBorder="1" applyAlignment="1">
      <alignment horizontal="center"/>
    </xf>
    <xf numFmtId="0" fontId="20" fillId="0" borderId="11" xfId="0" applyFont="1" applyBorder="1"/>
    <xf numFmtId="3" fontId="20" fillId="0" borderId="12" xfId="0" applyNumberFormat="1" applyFont="1" applyFill="1" applyBorder="1"/>
    <xf numFmtId="165" fontId="1" fillId="0" borderId="37" xfId="0" applyNumberFormat="1" applyFont="1" applyBorder="1"/>
    <xf numFmtId="0" fontId="18" fillId="0" borderId="21" xfId="21" applyFont="1" applyFill="1" applyBorder="1" applyAlignment="1" applyProtection="1">
      <alignment vertical="top" wrapText="1"/>
      <protection locked="0"/>
    </xf>
    <xf numFmtId="3" fontId="18" fillId="0" borderId="14" xfId="0" applyNumberFormat="1" applyFont="1" applyFill="1" applyBorder="1" applyAlignment="1">
      <alignment vertical="center"/>
    </xf>
    <xf numFmtId="0" fontId="17" fillId="0" borderId="34" xfId="23" applyFont="1" applyFill="1" applyBorder="1" applyAlignment="1" applyProtection="1">
      <alignment vertical="top" wrapText="1"/>
      <protection locked="0"/>
    </xf>
    <xf numFmtId="0" fontId="17" fillId="0" borderId="35" xfId="23" applyFont="1" applyFill="1" applyBorder="1" applyAlignment="1" applyProtection="1">
      <alignment vertical="top" wrapText="1"/>
      <protection locked="0"/>
    </xf>
    <xf numFmtId="3" fontId="17" fillId="0" borderId="17" xfId="0" applyNumberFormat="1" applyFont="1" applyFill="1" applyBorder="1"/>
    <xf numFmtId="0" fontId="17" fillId="0" borderId="19" xfId="23" applyFont="1" applyFill="1" applyBorder="1" applyAlignment="1" applyProtection="1">
      <alignment vertical="top" wrapText="1"/>
      <protection locked="0"/>
    </xf>
    <xf numFmtId="0" fontId="18" fillId="0" borderId="38" xfId="0" applyFont="1" applyFill="1" applyBorder="1" applyAlignment="1">
      <alignment horizontal="center" vertical="center"/>
    </xf>
    <xf numFmtId="0" fontId="20" fillId="0" borderId="38" xfId="0" applyFont="1" applyBorder="1"/>
    <xf numFmtId="3" fontId="19" fillId="0" borderId="39" xfId="2" applyNumberFormat="1" applyFont="1" applyFill="1" applyBorder="1" applyAlignment="1">
      <alignment vertical="center"/>
    </xf>
    <xf numFmtId="165" fontId="19" fillId="0" borderId="40" xfId="2" applyNumberFormat="1" applyFont="1" applyFill="1" applyBorder="1" applyAlignment="1">
      <alignment vertical="center"/>
    </xf>
    <xf numFmtId="49" fontId="17" fillId="0" borderId="0" xfId="0" applyNumberFormat="1" applyFont="1" applyFill="1"/>
    <xf numFmtId="164" fontId="0" fillId="0" borderId="0" xfId="0" applyNumberFormat="1" applyFill="1" applyAlignment="1">
      <alignment horizontal="right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5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2" fillId="0" borderId="11" xfId="0" applyFont="1" applyFill="1" applyBorder="1" applyAlignment="1">
      <alignment horizontal="center"/>
    </xf>
    <xf numFmtId="0" fontId="13" fillId="0" borderId="12" xfId="29" applyNumberFormat="1" applyFont="1" applyFill="1" applyBorder="1" applyAlignment="1" applyProtection="1">
      <alignment horizontal="left" wrapText="1"/>
      <protection locked="0"/>
    </xf>
    <xf numFmtId="3" fontId="13" fillId="0" borderId="12" xfId="37" quotePrefix="1" applyNumberFormat="1" applyFont="1" applyFill="1" applyBorder="1" applyAlignment="1">
      <alignment horizontal="right" wrapText="1"/>
    </xf>
    <xf numFmtId="165" fontId="12" fillId="0" borderId="31" xfId="0" applyNumberFormat="1" applyFont="1" applyFill="1" applyBorder="1" applyAlignment="1">
      <alignment horizontal="right" wrapText="1"/>
    </xf>
    <xf numFmtId="0" fontId="1" fillId="0" borderId="10" xfId="0" applyFont="1" applyFill="1" applyBorder="1"/>
    <xf numFmtId="0" fontId="0" fillId="0" borderId="21" xfId="0" applyFill="1" applyBorder="1"/>
    <xf numFmtId="0" fontId="0" fillId="0" borderId="14" xfId="0" applyFill="1" applyBorder="1" applyAlignment="1">
      <alignment horizontal="left"/>
    </xf>
    <xf numFmtId="167" fontId="18" fillId="0" borderId="14" xfId="40" applyNumberFormat="1" applyFont="1" applyFill="1" applyBorder="1" applyAlignment="1">
      <alignment horizontal="right" wrapText="1"/>
    </xf>
    <xf numFmtId="168" fontId="18" fillId="0" borderId="14" xfId="40" applyNumberFormat="1" applyFont="1" applyFill="1" applyBorder="1" applyAlignment="1">
      <alignment horizontal="right" wrapText="1"/>
    </xf>
    <xf numFmtId="165" fontId="18" fillId="0" borderId="15" xfId="1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right" indent="1"/>
    </xf>
    <xf numFmtId="0" fontId="1" fillId="0" borderId="0" xfId="0" applyFont="1" applyFill="1" applyBorder="1"/>
    <xf numFmtId="164" fontId="1" fillId="0" borderId="0" xfId="0" applyNumberFormat="1" applyFont="1" applyFill="1" applyBorder="1"/>
    <xf numFmtId="0" fontId="1" fillId="0" borderId="1" xfId="23" quotePrefix="1" applyFont="1" applyFill="1" applyAlignment="1" applyProtection="1">
      <alignment vertical="center"/>
      <protection locked="0"/>
    </xf>
    <xf numFmtId="0" fontId="17" fillId="0" borderId="14" xfId="0" applyFont="1" applyFill="1" applyBorder="1" applyAlignment="1">
      <alignment horizontal="left"/>
    </xf>
    <xf numFmtId="3" fontId="21" fillId="0" borderId="14" xfId="34" applyNumberFormat="1" applyFont="1" applyFill="1" applyBorder="1" applyAlignment="1">
      <alignment horizontal="right" wrapText="1"/>
    </xf>
    <xf numFmtId="165" fontId="21" fillId="0" borderId="14" xfId="34" applyNumberFormat="1" applyFont="1" applyFill="1" applyBorder="1" applyAlignment="1">
      <alignment horizontal="right" wrapText="1"/>
    </xf>
    <xf numFmtId="165" fontId="17" fillId="0" borderId="15" xfId="0" applyNumberFormat="1" applyFont="1" applyFill="1" applyBorder="1" applyAlignment="1">
      <alignment horizontal="right" wrapText="1"/>
    </xf>
    <xf numFmtId="0" fontId="12" fillId="0" borderId="17" xfId="21" applyFont="1" applyFill="1" applyBorder="1" applyAlignment="1">
      <alignment horizontal="left"/>
    </xf>
    <xf numFmtId="3" fontId="13" fillId="0" borderId="17" xfId="34" applyNumberFormat="1" applyFont="1" applyFill="1" applyBorder="1" applyAlignment="1">
      <alignment horizontal="right"/>
    </xf>
    <xf numFmtId="3" fontId="13" fillId="0" borderId="17" xfId="34" applyNumberFormat="1" applyFont="1" applyFill="1" applyBorder="1" applyAlignment="1">
      <alignment horizontal="right" wrapText="1"/>
    </xf>
    <xf numFmtId="165" fontId="12" fillId="0" borderId="18" xfId="0" applyNumberFormat="1" applyFont="1" applyFill="1" applyBorder="1" applyAlignment="1">
      <alignment horizontal="right" wrapText="1"/>
    </xf>
    <xf numFmtId="9" fontId="1" fillId="0" borderId="0" xfId="1" applyFont="1" applyFill="1" applyBorder="1"/>
    <xf numFmtId="0" fontId="18" fillId="0" borderId="5" xfId="23" applyFont="1" applyFill="1" applyBorder="1" applyAlignment="1">
      <alignment horizontal="left"/>
    </xf>
    <xf numFmtId="3" fontId="13" fillId="0" borderId="4" xfId="34" applyNumberFormat="1" applyFont="1" applyFill="1" applyBorder="1" applyAlignment="1">
      <alignment horizontal="right" wrapText="1"/>
    </xf>
    <xf numFmtId="165" fontId="13" fillId="0" borderId="4" xfId="34" applyNumberFormat="1" applyFont="1" applyFill="1" applyBorder="1" applyAlignment="1">
      <alignment horizontal="right" wrapText="1"/>
    </xf>
    <xf numFmtId="165" fontId="12" fillId="0" borderId="9" xfId="41" applyNumberFormat="1" applyFont="1" applyFill="1" applyBorder="1" applyAlignment="1">
      <alignment horizontal="right" wrapText="1"/>
    </xf>
    <xf numFmtId="0" fontId="1" fillId="0" borderId="20" xfId="0" applyFont="1" applyFill="1" applyBorder="1" applyAlignment="1">
      <alignment horizontal="right" vertical="center"/>
    </xf>
    <xf numFmtId="0" fontId="1" fillId="0" borderId="11" xfId="0" applyFont="1" applyFill="1" applyBorder="1" applyAlignment="1">
      <alignment horizontal="right" vertical="center"/>
    </xf>
    <xf numFmtId="0" fontId="18" fillId="0" borderId="12" xfId="23" applyFont="1" applyFill="1" applyBorder="1" applyAlignment="1">
      <alignment horizontal="left"/>
    </xf>
    <xf numFmtId="3" fontId="19" fillId="0" borderId="12" xfId="34" applyNumberFormat="1" applyFont="1" applyFill="1" applyBorder="1" applyAlignment="1">
      <alignment horizontal="right"/>
    </xf>
    <xf numFmtId="165" fontId="19" fillId="0" borderId="12" xfId="34" applyNumberFormat="1" applyFont="1" applyFill="1" applyBorder="1" applyAlignment="1">
      <alignment horizontal="right" wrapText="1"/>
    </xf>
    <xf numFmtId="165" fontId="18" fillId="0" borderId="31" xfId="0" applyNumberFormat="1" applyFont="1" applyFill="1" applyBorder="1" applyAlignment="1">
      <alignment horizontal="right" wrapText="1"/>
    </xf>
    <xf numFmtId="165" fontId="1" fillId="0" borderId="0" xfId="0" applyNumberFormat="1" applyFont="1" applyFill="1" applyBorder="1" applyAlignment="1">
      <alignment vertical="center"/>
    </xf>
    <xf numFmtId="0" fontId="17" fillId="0" borderId="14" xfId="21" applyFont="1" applyFill="1" applyBorder="1" applyAlignment="1" applyProtection="1">
      <alignment horizontal="left"/>
      <protection locked="0"/>
    </xf>
    <xf numFmtId="3" fontId="13" fillId="0" borderId="14" xfId="34" applyNumberFormat="1" applyFont="1" applyFill="1" applyBorder="1" applyAlignment="1">
      <alignment horizontal="right"/>
    </xf>
    <xf numFmtId="3" fontId="13" fillId="0" borderId="14" xfId="34" applyNumberFormat="1" applyFont="1" applyFill="1" applyBorder="1" applyAlignment="1">
      <alignment horizontal="right" wrapText="1"/>
    </xf>
    <xf numFmtId="165" fontId="12" fillId="0" borderId="15" xfId="0" applyNumberFormat="1" applyFont="1" applyFill="1" applyBorder="1" applyAlignment="1">
      <alignment horizontal="right" wrapText="1"/>
    </xf>
    <xf numFmtId="0" fontId="1" fillId="0" borderId="0" xfId="0" quotePrefix="1" applyFont="1"/>
    <xf numFmtId="0" fontId="1" fillId="0" borderId="19" xfId="0" applyFont="1" applyFill="1" applyBorder="1" applyAlignment="1">
      <alignment horizontal="right" vertical="center"/>
    </xf>
    <xf numFmtId="0" fontId="17" fillId="0" borderId="17" xfId="23" applyFont="1" applyFill="1" applyBorder="1" applyAlignment="1" applyProtection="1">
      <alignment horizontal="left"/>
      <protection locked="0"/>
    </xf>
    <xf numFmtId="3" fontId="15" fillId="0" borderId="17" xfId="34" applyNumberFormat="1" applyFont="1" applyFill="1" applyBorder="1" applyAlignment="1">
      <alignment horizontal="right" wrapText="1"/>
    </xf>
    <xf numFmtId="3" fontId="15" fillId="0" borderId="17" xfId="34" applyNumberFormat="1" applyFont="1" applyFill="1" applyBorder="1" applyAlignment="1">
      <alignment horizontal="right"/>
    </xf>
    <xf numFmtId="165" fontId="15" fillId="0" borderId="17" xfId="34" applyNumberFormat="1" applyFont="1" applyFill="1" applyBorder="1" applyAlignment="1">
      <alignment horizontal="right" wrapText="1"/>
    </xf>
    <xf numFmtId="165" fontId="1" fillId="0" borderId="18" xfId="0" applyNumberFormat="1" applyFont="1" applyFill="1" applyBorder="1" applyAlignment="1">
      <alignment horizontal="right" wrapText="1"/>
    </xf>
    <xf numFmtId="0" fontId="1" fillId="0" borderId="36" xfId="0" applyFont="1" applyFill="1" applyBorder="1" applyAlignment="1">
      <alignment horizontal="right" vertical="center"/>
    </xf>
    <xf numFmtId="0" fontId="18" fillId="0" borderId="23" xfId="23" applyFont="1" applyFill="1" applyBorder="1" applyAlignment="1" applyProtection="1">
      <alignment horizontal="left"/>
      <protection locked="0"/>
    </xf>
    <xf numFmtId="3" fontId="15" fillId="0" borderId="23" xfId="34" applyNumberFormat="1" applyFont="1" applyFill="1" applyBorder="1" applyAlignment="1">
      <alignment horizontal="right" wrapText="1"/>
    </xf>
    <xf numFmtId="3" fontId="15" fillId="0" borderId="23" xfId="34" applyNumberFormat="1" applyFont="1" applyFill="1" applyBorder="1" applyAlignment="1">
      <alignment horizontal="right"/>
    </xf>
    <xf numFmtId="165" fontId="1" fillId="0" borderId="37" xfId="0" applyNumberFormat="1" applyFont="1" applyFill="1" applyBorder="1" applyAlignment="1">
      <alignment horizontal="right" wrapText="1"/>
    </xf>
    <xf numFmtId="0" fontId="1" fillId="0" borderId="41" xfId="0" applyFont="1" applyFill="1" applyBorder="1" applyAlignment="1">
      <alignment horizontal="right" vertical="center"/>
    </xf>
    <xf numFmtId="0" fontId="18" fillId="0" borderId="42" xfId="23" applyFont="1" applyFill="1" applyBorder="1" applyAlignment="1" applyProtection="1">
      <alignment horizontal="left"/>
      <protection locked="0"/>
    </xf>
    <xf numFmtId="3" fontId="19" fillId="0" borderId="42" xfId="34" applyNumberFormat="1" applyFont="1" applyFill="1" applyBorder="1" applyAlignment="1">
      <alignment horizontal="right" wrapText="1"/>
    </xf>
    <xf numFmtId="165" fontId="19" fillId="0" borderId="42" xfId="34" applyNumberFormat="1" applyFont="1" applyFill="1" applyBorder="1" applyAlignment="1">
      <alignment horizontal="right" wrapText="1"/>
    </xf>
    <xf numFmtId="165" fontId="18" fillId="0" borderId="13" xfId="0" applyNumberFormat="1" applyFont="1" applyFill="1" applyBorder="1" applyAlignment="1">
      <alignment horizontal="right" wrapText="1"/>
    </xf>
    <xf numFmtId="0" fontId="1" fillId="0" borderId="16" xfId="0" applyFont="1" applyFill="1" applyBorder="1" applyAlignment="1">
      <alignment horizontal="right" vertical="center"/>
    </xf>
    <xf numFmtId="0" fontId="1" fillId="0" borderId="21" xfId="0" applyFont="1" applyFill="1" applyBorder="1" applyAlignment="1">
      <alignment horizontal="right" vertical="center"/>
    </xf>
    <xf numFmtId="0" fontId="17" fillId="0" borderId="14" xfId="23" applyFont="1" applyFill="1" applyBorder="1" applyAlignment="1" applyProtection="1">
      <alignment horizontal="left"/>
      <protection locked="0"/>
    </xf>
    <xf numFmtId="3" fontId="15" fillId="0" borderId="14" xfId="34" applyNumberFormat="1" applyFont="1" applyFill="1" applyBorder="1" applyAlignment="1">
      <alignment horizontal="right" wrapText="1"/>
    </xf>
    <xf numFmtId="165" fontId="15" fillId="0" borderId="14" xfId="34" applyNumberFormat="1" applyFont="1" applyFill="1" applyBorder="1" applyAlignment="1">
      <alignment horizontal="right" wrapText="1"/>
    </xf>
    <xf numFmtId="165" fontId="15" fillId="0" borderId="15" xfId="34" applyNumberFormat="1" applyFont="1" applyFill="1" applyBorder="1" applyAlignment="1">
      <alignment horizontal="right" wrapText="1"/>
    </xf>
    <xf numFmtId="49" fontId="18" fillId="0" borderId="23" xfId="23" applyNumberFormat="1" applyFont="1" applyFill="1" applyBorder="1" applyAlignment="1" applyProtection="1">
      <alignment horizontal="left"/>
      <protection locked="0"/>
    </xf>
    <xf numFmtId="3" fontId="19" fillId="0" borderId="23" xfId="34" applyNumberFormat="1" applyFont="1" applyFill="1" applyBorder="1" applyAlignment="1">
      <alignment horizontal="right" wrapText="1"/>
    </xf>
    <xf numFmtId="3" fontId="19" fillId="0" borderId="23" xfId="34" applyNumberFormat="1" applyFont="1" applyFill="1" applyBorder="1" applyAlignment="1">
      <alignment horizontal="right"/>
    </xf>
    <xf numFmtId="165" fontId="19" fillId="0" borderId="23" xfId="34" applyNumberFormat="1" applyFont="1" applyFill="1" applyBorder="1" applyAlignment="1">
      <alignment horizontal="right" wrapText="1"/>
    </xf>
    <xf numFmtId="165" fontId="18" fillId="0" borderId="37" xfId="0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vertical="center"/>
    </xf>
    <xf numFmtId="49" fontId="17" fillId="0" borderId="42" xfId="23" applyNumberFormat="1" applyFont="1" applyFill="1" applyBorder="1" applyAlignment="1" applyProtection="1">
      <alignment horizontal="left"/>
      <protection locked="0"/>
    </xf>
    <xf numFmtId="3" fontId="15" fillId="0" borderId="42" xfId="34" applyNumberFormat="1" applyFont="1" applyFill="1" applyBorder="1" applyAlignment="1">
      <alignment horizontal="right" wrapText="1"/>
    </xf>
    <xf numFmtId="3" fontId="15" fillId="0" borderId="42" xfId="34" applyNumberFormat="1" applyFont="1" applyFill="1" applyBorder="1" applyAlignment="1">
      <alignment horizontal="right"/>
    </xf>
    <xf numFmtId="165" fontId="15" fillId="0" borderId="42" xfId="34" applyNumberFormat="1" applyFont="1" applyFill="1" applyBorder="1" applyAlignment="1">
      <alignment horizontal="right" wrapText="1"/>
    </xf>
    <xf numFmtId="165" fontId="1" fillId="0" borderId="13" xfId="0" applyNumberFormat="1" applyFont="1" applyFill="1" applyBorder="1" applyAlignment="1">
      <alignment horizontal="right" wrapText="1"/>
    </xf>
    <xf numFmtId="165" fontId="21" fillId="0" borderId="42" xfId="34" applyNumberFormat="1" applyFont="1" applyFill="1" applyBorder="1" applyAlignment="1">
      <alignment horizontal="right" wrapText="1"/>
    </xf>
    <xf numFmtId="49" fontId="17" fillId="0" borderId="14" xfId="23" applyNumberFormat="1" applyFont="1" applyFill="1" applyBorder="1" applyAlignment="1" applyProtection="1">
      <alignment horizontal="left"/>
      <protection locked="0"/>
    </xf>
    <xf numFmtId="3" fontId="15" fillId="0" borderId="14" xfId="34" applyNumberFormat="1" applyFont="1" applyFill="1" applyBorder="1" applyAlignment="1">
      <alignment horizontal="right"/>
    </xf>
    <xf numFmtId="165" fontId="1" fillId="0" borderId="15" xfId="0" applyNumberFormat="1" applyFont="1" applyFill="1" applyBorder="1" applyAlignment="1">
      <alignment horizontal="right" wrapText="1"/>
    </xf>
    <xf numFmtId="49" fontId="18" fillId="0" borderId="14" xfId="23" applyNumberFormat="1" applyFont="1" applyFill="1" applyBorder="1" applyAlignment="1" applyProtection="1">
      <alignment horizontal="left"/>
      <protection locked="0"/>
    </xf>
    <xf numFmtId="49" fontId="18" fillId="0" borderId="17" xfId="23" applyNumberFormat="1" applyFont="1" applyFill="1" applyBorder="1" applyAlignment="1" applyProtection="1">
      <alignment horizontal="left"/>
      <protection locked="0"/>
    </xf>
    <xf numFmtId="3" fontId="19" fillId="0" borderId="17" xfId="34" applyNumberFormat="1" applyFont="1" applyFill="1" applyBorder="1" applyAlignment="1">
      <alignment horizontal="right" wrapText="1"/>
    </xf>
    <xf numFmtId="165" fontId="19" fillId="0" borderId="17" xfId="34" applyNumberFormat="1" applyFont="1" applyFill="1" applyBorder="1" applyAlignment="1">
      <alignment horizontal="right" wrapText="1"/>
    </xf>
    <xf numFmtId="165" fontId="18" fillId="0" borderId="18" xfId="0" applyNumberFormat="1" applyFont="1" applyFill="1" applyBorder="1" applyAlignment="1">
      <alignment horizontal="right" wrapText="1"/>
    </xf>
    <xf numFmtId="0" fontId="1" fillId="0" borderId="17" xfId="0" applyFont="1" applyFill="1" applyBorder="1" applyAlignment="1">
      <alignment horizontal="right" vertical="center"/>
    </xf>
    <xf numFmtId="49" fontId="17" fillId="0" borderId="17" xfId="23" applyNumberFormat="1" applyFont="1" applyFill="1" applyBorder="1" applyAlignment="1" applyProtection="1">
      <alignment horizontal="left" wrapText="1"/>
      <protection locked="0"/>
    </xf>
    <xf numFmtId="165" fontId="1" fillId="0" borderId="43" xfId="0" applyNumberFormat="1" applyFont="1" applyFill="1" applyBorder="1" applyAlignment="1">
      <alignment horizontal="right" wrapText="1"/>
    </xf>
    <xf numFmtId="0" fontId="1" fillId="0" borderId="44" xfId="0" applyFont="1" applyFill="1" applyBorder="1" applyAlignment="1">
      <alignment horizontal="right" vertical="center"/>
    </xf>
    <xf numFmtId="0" fontId="1" fillId="0" borderId="21" xfId="0" applyFont="1" applyFill="1" applyBorder="1" applyAlignment="1">
      <alignment horizontal="right" vertical="top"/>
    </xf>
    <xf numFmtId="0" fontId="17" fillId="0" borderId="20" xfId="21" applyFont="1" applyFill="1" applyBorder="1" applyAlignment="1" applyProtection="1">
      <alignment horizontal="left" wrapText="1"/>
      <protection locked="0"/>
    </xf>
    <xf numFmtId="0" fontId="17" fillId="0" borderId="14" xfId="21" applyFont="1" applyFill="1" applyBorder="1" applyAlignment="1" applyProtection="1">
      <alignment horizontal="left" wrapText="1"/>
      <protection locked="0"/>
    </xf>
    <xf numFmtId="0" fontId="1" fillId="0" borderId="45" xfId="0" applyFont="1" applyFill="1" applyBorder="1" applyAlignment="1">
      <alignment horizontal="right" vertical="center"/>
    </xf>
    <xf numFmtId="0" fontId="17" fillId="0" borderId="46" xfId="23" applyFont="1" applyFill="1" applyBorder="1" applyAlignment="1" applyProtection="1">
      <alignment horizontal="left" wrapText="1"/>
      <protection locked="0"/>
    </xf>
    <xf numFmtId="167" fontId="1" fillId="0" borderId="46" xfId="40" applyNumberFormat="1" applyFont="1" applyFill="1" applyBorder="1" applyAlignment="1">
      <alignment horizontal="right" wrapText="1"/>
    </xf>
    <xf numFmtId="168" fontId="1" fillId="0" borderId="46" xfId="40" applyNumberFormat="1" applyFont="1" applyFill="1" applyBorder="1" applyAlignment="1">
      <alignment horizontal="right" wrapText="1"/>
    </xf>
    <xf numFmtId="165" fontId="1" fillId="0" borderId="47" xfId="1" applyNumberFormat="1" applyFont="1" applyFill="1" applyBorder="1" applyAlignment="1">
      <alignment horizontal="right" wrapText="1"/>
    </xf>
    <xf numFmtId="0" fontId="1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3" fillId="0" borderId="28" xfId="37" quotePrefix="1" applyFont="1" applyFill="1" applyBorder="1" applyAlignment="1" applyProtection="1">
      <alignment horizontal="center" vertical="center" wrapText="1"/>
      <protection locked="0"/>
    </xf>
    <xf numFmtId="0" fontId="13" fillId="0" borderId="21" xfId="36" applyNumberFormat="1" applyFont="1" applyFill="1" applyBorder="1" applyAlignment="1" applyProtection="1">
      <alignment horizontal="left"/>
      <protection locked="0"/>
    </xf>
    <xf numFmtId="49" fontId="13" fillId="0" borderId="50" xfId="36" applyNumberFormat="1" applyFont="1" applyFill="1" applyBorder="1" applyAlignment="1" applyProtection="1">
      <alignment horizontal="center"/>
      <protection locked="0"/>
    </xf>
    <xf numFmtId="3" fontId="12" fillId="0" borderId="14" xfId="0" applyNumberFormat="1" applyFont="1" applyBorder="1" applyAlignment="1"/>
    <xf numFmtId="3" fontId="12" fillId="0" borderId="27" xfId="0" applyNumberFormat="1" applyFont="1" applyBorder="1" applyAlignment="1"/>
    <xf numFmtId="0" fontId="15" fillId="0" borderId="19" xfId="36" applyNumberFormat="1" applyFont="1" applyFill="1" applyBorder="1" applyProtection="1">
      <alignment horizontal="left" vertical="center" indent="1"/>
      <protection locked="0"/>
    </xf>
    <xf numFmtId="49" fontId="15" fillId="0" borderId="16" xfId="36" applyNumberFormat="1" applyFont="1" applyFill="1" applyBorder="1" applyAlignment="1" applyProtection="1">
      <alignment horizontal="center" vertical="center"/>
      <protection locked="0"/>
    </xf>
    <xf numFmtId="3" fontId="1" fillId="0" borderId="17" xfId="0" applyNumberFormat="1" applyFont="1" applyBorder="1"/>
    <xf numFmtId="3" fontId="1" fillId="0" borderId="18" xfId="0" applyNumberFormat="1" applyFont="1" applyBorder="1"/>
    <xf numFmtId="0" fontId="13" fillId="0" borderId="19" xfId="36" applyNumberFormat="1" applyFont="1" applyFill="1" applyBorder="1" applyProtection="1">
      <alignment horizontal="left" vertical="center" indent="1"/>
      <protection locked="0"/>
    </xf>
    <xf numFmtId="49" fontId="13" fillId="0" borderId="16" xfId="36" applyNumberFormat="1" applyFont="1" applyFill="1" applyBorder="1" applyAlignment="1" applyProtection="1">
      <alignment horizontal="center" vertical="center"/>
      <protection locked="0"/>
    </xf>
    <xf numFmtId="3" fontId="12" fillId="0" borderId="17" xfId="0" applyNumberFormat="1" applyFont="1" applyBorder="1"/>
    <xf numFmtId="3" fontId="18" fillId="0" borderId="18" xfId="0" applyNumberFormat="1" applyFont="1" applyBorder="1"/>
    <xf numFmtId="0" fontId="13" fillId="0" borderId="6" xfId="36" applyNumberFormat="1" applyFont="1" applyFill="1" applyBorder="1" applyAlignment="1" applyProtection="1">
      <alignment horizontal="justify"/>
      <protection locked="0"/>
    </xf>
    <xf numFmtId="3" fontId="12" fillId="0" borderId="7" xfId="0" applyNumberFormat="1" applyFont="1" applyBorder="1" applyAlignment="1">
      <alignment horizontal="center"/>
    </xf>
    <xf numFmtId="3" fontId="12" fillId="0" borderId="7" xfId="0" applyNumberFormat="1" applyFont="1" applyBorder="1" applyAlignment="1"/>
    <xf numFmtId="3" fontId="12" fillId="0" borderId="24" xfId="0" applyNumberFormat="1" applyFont="1" applyBorder="1" applyAlignment="1"/>
    <xf numFmtId="0" fontId="13" fillId="0" borderId="5" xfId="29" applyNumberFormat="1" applyFont="1" applyFill="1" applyBorder="1" applyAlignment="1" applyProtection="1">
      <alignment horizontal="center" vertical="center"/>
      <protection locked="0"/>
    </xf>
    <xf numFmtId="0" fontId="13" fillId="0" borderId="4" xfId="37" applyFont="1" applyFill="1" applyBorder="1" applyAlignment="1" applyProtection="1">
      <alignment horizontal="center" vertical="center" wrapText="1"/>
      <protection locked="0"/>
    </xf>
    <xf numFmtId="0" fontId="13" fillId="0" borderId="9" xfId="37" applyFont="1" applyFill="1" applyBorder="1" applyAlignment="1" applyProtection="1">
      <alignment horizontal="center" vertical="center" wrapText="1"/>
      <protection locked="0"/>
    </xf>
    <xf numFmtId="0" fontId="13" fillId="0" borderId="25" xfId="36" applyNumberFormat="1" applyFont="1" applyFill="1" applyBorder="1" applyAlignment="1" applyProtection="1">
      <alignment horizontal="left"/>
      <protection locked="0"/>
    </xf>
    <xf numFmtId="3" fontId="12" fillId="0" borderId="26" xfId="0" applyNumberFormat="1" applyFont="1" applyBorder="1" applyAlignment="1"/>
    <xf numFmtId="3" fontId="12" fillId="0" borderId="18" xfId="0" applyNumberFormat="1" applyFont="1" applyBorder="1"/>
    <xf numFmtId="0" fontId="13" fillId="0" borderId="22" xfId="36" applyNumberFormat="1" applyFont="1" applyFill="1" applyBorder="1" applyAlignment="1" applyProtection="1">
      <alignment horizontal="left" vertical="top"/>
      <protection locked="0"/>
    </xf>
    <xf numFmtId="49" fontId="13" fillId="0" borderId="51" xfId="36" applyNumberFormat="1" applyFont="1" applyFill="1" applyBorder="1" applyAlignment="1" applyProtection="1">
      <alignment horizontal="center" vertical="top"/>
      <protection locked="0"/>
    </xf>
    <xf numFmtId="49" fontId="13" fillId="0" borderId="8" xfId="36" applyNumberFormat="1" applyFont="1" applyFill="1" applyBorder="1" applyAlignment="1" applyProtection="1">
      <alignment horizontal="center" vertical="center"/>
      <protection locked="0"/>
    </xf>
    <xf numFmtId="3" fontId="12" fillId="0" borderId="7" xfId="0" applyNumberFormat="1" applyFont="1" applyBorder="1"/>
    <xf numFmtId="3" fontId="12" fillId="0" borderId="24" xfId="0" applyNumberFormat="1" applyFont="1" applyBorder="1"/>
    <xf numFmtId="0" fontId="1" fillId="0" borderId="0" xfId="0" applyFont="1" applyBorder="1"/>
    <xf numFmtId="49" fontId="12" fillId="0" borderId="0" xfId="0" applyNumberFormat="1" applyFont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/>
    </xf>
    <xf numFmtId="0" fontId="1" fillId="0" borderId="21" xfId="0" applyFont="1" applyBorder="1"/>
    <xf numFmtId="49" fontId="1" fillId="0" borderId="14" xfId="0" applyNumberFormat="1" applyFont="1" applyBorder="1" applyAlignment="1">
      <alignment horizontal="center"/>
    </xf>
    <xf numFmtId="3" fontId="1" fillId="0" borderId="14" xfId="0" applyNumberFormat="1" applyFont="1" applyBorder="1"/>
    <xf numFmtId="3" fontId="1" fillId="0" borderId="31" xfId="0" applyNumberFormat="1" applyFont="1" applyBorder="1"/>
    <xf numFmtId="0" fontId="1" fillId="0" borderId="19" xfId="0" applyFont="1" applyBorder="1"/>
    <xf numFmtId="49" fontId="1" fillId="0" borderId="17" xfId="0" applyNumberFormat="1" applyFont="1" applyBorder="1" applyAlignment="1">
      <alignment horizontal="center"/>
    </xf>
    <xf numFmtId="0" fontId="1" fillId="0" borderId="36" xfId="0" applyFont="1" applyBorder="1"/>
    <xf numFmtId="49" fontId="1" fillId="0" borderId="23" xfId="0" applyNumberFormat="1" applyFont="1" applyBorder="1" applyAlignment="1">
      <alignment horizontal="center"/>
    </xf>
    <xf numFmtId="0" fontId="1" fillId="0" borderId="36" xfId="0" applyFont="1" applyBorder="1" applyAlignment="1">
      <alignment wrapText="1"/>
    </xf>
    <xf numFmtId="0" fontId="12" fillId="0" borderId="6" xfId="0" applyFont="1" applyBorder="1" applyAlignment="1">
      <alignment horizontal="left"/>
    </xf>
    <xf numFmtId="49" fontId="12" fillId="0" borderId="7" xfId="0" applyNumberFormat="1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49" fontId="12" fillId="0" borderId="0" xfId="0" applyNumberFormat="1" applyFont="1" applyBorder="1" applyAlignment="1">
      <alignment horizontal="right"/>
    </xf>
    <xf numFmtId="3" fontId="12" fillId="0" borderId="0" xfId="0" applyNumberFormat="1" applyFont="1" applyBorder="1"/>
    <xf numFmtId="3" fontId="1" fillId="0" borderId="27" xfId="0" applyNumberFormat="1" applyFont="1" applyBorder="1"/>
    <xf numFmtId="0" fontId="1" fillId="0" borderId="19" xfId="0" applyFont="1" applyBorder="1" applyAlignment="1">
      <alignment wrapText="1"/>
    </xf>
    <xf numFmtId="3" fontId="1" fillId="0" borderId="29" xfId="0" applyNumberFormat="1" applyFont="1" applyBorder="1"/>
    <xf numFmtId="3" fontId="12" fillId="0" borderId="53" xfId="0" applyNumberFormat="1" applyFont="1" applyBorder="1"/>
    <xf numFmtId="0" fontId="1" fillId="0" borderId="19" xfId="0" applyFont="1" applyBorder="1" applyAlignment="1">
      <alignment horizontal="left"/>
    </xf>
    <xf numFmtId="3" fontId="1" fillId="0" borderId="17" xfId="0" applyNumberFormat="1" applyFont="1" applyBorder="1" applyAlignment="1">
      <alignment horizontal="center"/>
    </xf>
    <xf numFmtId="3" fontId="1" fillId="0" borderId="54" xfId="0" applyNumberFormat="1" applyFont="1" applyBorder="1"/>
    <xf numFmtId="0" fontId="1" fillId="0" borderId="36" xfId="0" applyFont="1" applyBorder="1" applyAlignment="1">
      <alignment horizontal="left"/>
    </xf>
    <xf numFmtId="3" fontId="1" fillId="0" borderId="23" xfId="0" applyNumberFormat="1" applyFont="1" applyBorder="1" applyAlignment="1">
      <alignment horizontal="center"/>
    </xf>
    <xf numFmtId="3" fontId="1" fillId="0" borderId="23" xfId="0" applyNumberFormat="1" applyFont="1" applyBorder="1"/>
    <xf numFmtId="49" fontId="1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14" fontId="1" fillId="0" borderId="0" xfId="0" applyNumberFormat="1" applyFont="1" applyFill="1" applyAlignment="1">
      <alignment horizontal="left"/>
    </xf>
    <xf numFmtId="0" fontId="12" fillId="0" borderId="0" xfId="38" applyNumberFormat="1" applyFont="1" applyFill="1" applyAlignment="1" applyProtection="1">
      <alignment horizontal="center" vertical="center"/>
      <protection locked="0"/>
    </xf>
    <xf numFmtId="0" fontId="0" fillId="0" borderId="0" xfId="0" applyAlignment="1"/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2" fillId="0" borderId="25" xfId="29" applyNumberFormat="1" applyFont="1" applyFill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>
      <alignment vertical="center" wrapText="1"/>
    </xf>
    <xf numFmtId="0" fontId="12" fillId="0" borderId="26" xfId="37" applyFont="1" applyFill="1" applyBorder="1" applyAlignment="1" applyProtection="1">
      <alignment horizontal="center" vertical="center"/>
      <protection locked="0"/>
    </xf>
    <xf numFmtId="0" fontId="12" fillId="0" borderId="27" xfId="37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17" fillId="0" borderId="0" xfId="0" applyFont="1" applyFill="1" applyAlignment="1"/>
    <xf numFmtId="14" fontId="17" fillId="0" borderId="0" xfId="0" applyNumberFormat="1" applyFont="1" applyFill="1" applyAlignment="1">
      <alignment horizontal="left"/>
    </xf>
    <xf numFmtId="0" fontId="18" fillId="0" borderId="0" xfId="0" applyFont="1" applyFill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/>
    <xf numFmtId="0" fontId="13" fillId="0" borderId="11" xfId="29" applyNumberFormat="1" applyFont="1" applyFill="1" applyBorder="1" applyAlignment="1" applyProtection="1">
      <alignment horizontal="center" vertical="center" wrapText="1"/>
      <protection locked="0"/>
    </xf>
    <xf numFmtId="0" fontId="1" fillId="0" borderId="45" xfId="0" applyFont="1" applyBorder="1" applyAlignment="1">
      <alignment horizontal="center"/>
    </xf>
    <xf numFmtId="0" fontId="13" fillId="0" borderId="12" xfId="29" applyNumberFormat="1" applyFont="1" applyFill="1" applyBorder="1" applyAlignment="1" applyProtection="1">
      <alignment horizontal="center" vertical="center"/>
      <protection locked="0"/>
    </xf>
    <xf numFmtId="0" fontId="1" fillId="0" borderId="46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3" fillId="0" borderId="31" xfId="37" applyFont="1" applyFill="1" applyBorder="1" applyAlignment="1" applyProtection="1">
      <alignment horizontal="center" vertical="center" wrapText="1"/>
      <protection locked="0"/>
    </xf>
    <xf numFmtId="0" fontId="1" fillId="0" borderId="47" xfId="0" applyFont="1" applyBorder="1" applyAlignment="1"/>
    <xf numFmtId="49" fontId="12" fillId="0" borderId="0" xfId="0" applyNumberFormat="1" applyFont="1" applyAlignment="1">
      <alignment horizontal="center"/>
    </xf>
    <xf numFmtId="0" fontId="12" fillId="0" borderId="3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49" fontId="12" fillId="0" borderId="12" xfId="0" applyNumberFormat="1" applyFont="1" applyBorder="1" applyAlignment="1">
      <alignment horizontal="center" vertical="center"/>
    </xf>
    <xf numFmtId="0" fontId="1" fillId="0" borderId="46" xfId="0" applyFont="1" applyBorder="1" applyAlignment="1"/>
    <xf numFmtId="0" fontId="12" fillId="0" borderId="31" xfId="0" applyFont="1" applyBorder="1" applyAlignment="1">
      <alignment horizontal="center" vertical="center" wrapText="1"/>
    </xf>
  </cellXfs>
  <cellStyles count="42">
    <cellStyle name="čiarky" xfId="40" builtinId="3"/>
    <cellStyle name="meny" xfId="41" builtinId="4"/>
    <cellStyle name="normálne" xfId="0" builtinId="0"/>
    <cellStyle name="percentá" xfId="1" builtinId="5"/>
    <cellStyle name="SAPBEXaggData" xfId="2"/>
    <cellStyle name="SAPBEXaggDataEmph" xfId="3"/>
    <cellStyle name="SAPBEXaggItem" xfId="4"/>
    <cellStyle name="SAPBEXaggItemX" xfId="5"/>
    <cellStyle name="SAPBEXexcBad7" xfId="6"/>
    <cellStyle name="SAPBEXexcBad8" xfId="7"/>
    <cellStyle name="SAPBEXexcBad9" xfId="8"/>
    <cellStyle name="SAPBEXexcCritical4" xfId="9"/>
    <cellStyle name="SAPBEXexcCritical5" xfId="10"/>
    <cellStyle name="SAPBEXexcCritical6" xfId="11"/>
    <cellStyle name="SAPBEXexcGood1" xfId="12"/>
    <cellStyle name="SAPBEXexcGood2" xfId="13"/>
    <cellStyle name="SAPBEXexcGood3" xfId="14"/>
    <cellStyle name="SAPBEXfilterDrill" xfId="15"/>
    <cellStyle name="SAPBEXfilterItem" xfId="16"/>
    <cellStyle name="SAPBEXfilterText" xfId="17"/>
    <cellStyle name="SAPBEXformats" xfId="18"/>
    <cellStyle name="SAPBEXheaderItem" xfId="19"/>
    <cellStyle name="SAPBEXheaderText" xfId="20"/>
    <cellStyle name="SAPBEXHLevel0" xfId="21"/>
    <cellStyle name="SAPBEXHLevel0X" xfId="22"/>
    <cellStyle name="SAPBEXHLevel1" xfId="23"/>
    <cellStyle name="SAPBEXHLevel1X" xfId="24"/>
    <cellStyle name="SAPBEXHLevel2" xfId="25"/>
    <cellStyle name="SAPBEXHLevel2X" xfId="26"/>
    <cellStyle name="SAPBEXHLevel3" xfId="27"/>
    <cellStyle name="SAPBEXHLevel3X" xfId="28"/>
    <cellStyle name="SAPBEXchaText" xfId="29"/>
    <cellStyle name="SAPBEXresData" xfId="30"/>
    <cellStyle name="SAPBEXresDataEmph" xfId="31"/>
    <cellStyle name="SAPBEXresItem" xfId="32"/>
    <cellStyle name="SAPBEXresItemX" xfId="33"/>
    <cellStyle name="SAPBEXstdData" xfId="34"/>
    <cellStyle name="SAPBEXstdDataEmph" xfId="35"/>
    <cellStyle name="SAPBEXstdItem" xfId="36"/>
    <cellStyle name="SAPBEXstdItemX" xfId="37"/>
    <cellStyle name="SAPBEXtitle" xfId="38"/>
    <cellStyle name="SAPBEXundefined" xfId="3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99FF99"/>
      <rgbColor rgb="000000FF"/>
      <rgbColor rgb="00FFFF00"/>
      <rgbColor rgb="00FF00FF"/>
      <rgbColor rgb="00CDDEE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87C7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4E2EE"/>
      <rgbColor rgb="00EFF6FB"/>
      <rgbColor rgb="00CCFFCC"/>
      <rgbColor rgb="00F5FF7F"/>
      <rgbColor rgb="00DEEAF2"/>
      <rgbColor rgb="00FFBBBB"/>
      <rgbColor rgb="00CC99FF"/>
      <rgbColor rgb="00FFCC99"/>
      <rgbColor rgb="004D6776"/>
      <rgbColor rgb="0033CCCC"/>
      <rgbColor rgb="0060ED84"/>
      <rgbColor rgb="00FFCC33"/>
      <rgbColor rgb="00FFAB1D"/>
      <rgbColor rgb="00FF8800"/>
      <rgbColor rgb="00C4D9E9"/>
      <rgbColor rgb="00969696"/>
      <rgbColor rgb="00003366"/>
      <rgbColor rgb="005BCB77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9525</xdr:rowOff>
    </xdr:from>
    <xdr:to>
      <xdr:col>0</xdr:col>
      <xdr:colOff>533400</xdr:colOff>
      <xdr:row>1</xdr:row>
      <xdr:rowOff>9525</xdr:rowOff>
    </xdr:to>
    <xdr:grpSp>
      <xdr:nvGrpSpPr>
        <xdr:cNvPr id="2075" name="SAPBEXlinkDoc"/>
        <xdr:cNvGrpSpPr>
          <a:grpSpLocks/>
        </xdr:cNvGrpSpPr>
      </xdr:nvGrpSpPr>
      <xdr:grpSpPr bwMode="auto">
        <a:xfrm>
          <a:off x="381000" y="9525"/>
          <a:ext cx="152400" cy="161925"/>
          <a:chOff x="795" y="15"/>
          <a:chExt cx="21" cy="21"/>
        </a:xfrm>
      </xdr:grpSpPr>
      <xdr:sp macro="" textlink="">
        <xdr:nvSpPr>
          <xdr:cNvPr id="2050" name="Rectangle 2"/>
          <xdr:cNvSpPr>
            <a:spLocks noChangeArrowheads="1"/>
          </xdr:cNvSpPr>
        </xdr:nvSpPr>
        <xdr:spPr bwMode="auto">
          <a:xfrm rot="16200000">
            <a:off x="795" y="15"/>
            <a:ext cx="2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sk-SK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.</a:t>
            </a:r>
            <a:endParaRPr lang="sk-SK"/>
          </a:p>
        </xdr:txBody>
      </xdr:sp>
      <xdr:sp macro="" textlink="">
        <xdr:nvSpPr>
          <xdr:cNvPr id="2087" name="AutoShape 3"/>
          <xdr:cNvSpPr>
            <a:spLocks noChangeArrowheads="1"/>
          </xdr:cNvSpPr>
        </xdr:nvSpPr>
        <xdr:spPr bwMode="auto">
          <a:xfrm>
            <a:off x="800" y="19"/>
            <a:ext cx="11" cy="13"/>
          </a:xfrm>
          <a:prstGeom prst="foldedCorner">
            <a:avLst>
              <a:gd name="adj" fmla="val 42856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11</xdr:col>
      <xdr:colOff>247650</xdr:colOff>
      <xdr:row>0</xdr:row>
      <xdr:rowOff>9525</xdr:rowOff>
    </xdr:from>
    <xdr:to>
      <xdr:col>11</xdr:col>
      <xdr:colOff>400050</xdr:colOff>
      <xdr:row>1</xdr:row>
      <xdr:rowOff>9525</xdr:rowOff>
    </xdr:to>
    <xdr:grpSp>
      <xdr:nvGrpSpPr>
        <xdr:cNvPr id="2076" name="SAPBEXhierarchyPlus"/>
        <xdr:cNvGrpSpPr>
          <a:grpSpLocks/>
        </xdr:cNvGrpSpPr>
      </xdr:nvGrpSpPr>
      <xdr:grpSpPr bwMode="auto">
        <a:xfrm>
          <a:off x="6953250" y="9525"/>
          <a:ext cx="152400" cy="161925"/>
          <a:chOff x="11551" y="199"/>
          <a:chExt cx="21" cy="21"/>
        </a:xfrm>
      </xdr:grpSpPr>
      <xdr:sp macro="" textlink="">
        <xdr:nvSpPr>
          <xdr:cNvPr id="2053" name="Rectangle 5"/>
          <xdr:cNvSpPr>
            <a:spLocks noChangeArrowheads="1"/>
          </xdr:cNvSpPr>
        </xdr:nvSpPr>
        <xdr:spPr bwMode="auto">
          <a:xfrm rot="16200000">
            <a:off x="11551" y="199"/>
            <a:ext cx="2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sk-SK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.</a:t>
            </a:r>
            <a:endParaRPr lang="sk-SK"/>
          </a:p>
        </xdr:txBody>
      </xdr:sp>
      <xdr:sp macro="" textlink="">
        <xdr:nvSpPr>
          <xdr:cNvPr id="2085" name="SAPBEXq0004_-4"/>
          <xdr:cNvSpPr>
            <a:spLocks noChangeAspect="1" noChangeArrowheads="1"/>
          </xdr:cNvSpPr>
        </xdr:nvSpPr>
        <xdr:spPr bwMode="auto">
          <a:xfrm rot="16200000" flipV="1">
            <a:off x="11556" y="202"/>
            <a:ext cx="14" cy="13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457200</xdr:colOff>
      <xdr:row>0</xdr:row>
      <xdr:rowOff>9525</xdr:rowOff>
    </xdr:from>
    <xdr:to>
      <xdr:col>11</xdr:col>
      <xdr:colOff>9525</xdr:colOff>
      <xdr:row>1</xdr:row>
      <xdr:rowOff>9525</xdr:rowOff>
    </xdr:to>
    <xdr:grpSp>
      <xdr:nvGrpSpPr>
        <xdr:cNvPr id="2077" name="SAPBEXhierarchyMinus"/>
        <xdr:cNvGrpSpPr>
          <a:grpSpLocks/>
        </xdr:cNvGrpSpPr>
      </xdr:nvGrpSpPr>
      <xdr:grpSpPr bwMode="auto">
        <a:xfrm>
          <a:off x="6553200" y="9525"/>
          <a:ext cx="161925" cy="161925"/>
          <a:chOff x="0" y="250"/>
          <a:chExt cx="21" cy="21"/>
        </a:xfrm>
      </xdr:grpSpPr>
      <xdr:sp macro="" textlink="">
        <xdr:nvSpPr>
          <xdr:cNvPr id="2056" name="Rectangle 8"/>
          <xdr:cNvSpPr>
            <a:spLocks noChangeArrowheads="1"/>
          </xdr:cNvSpPr>
        </xdr:nvSpPr>
        <xdr:spPr bwMode="auto">
          <a:xfrm rot="16200000">
            <a:off x="0" y="250"/>
            <a:ext cx="2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sk-SK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.</a:t>
            </a:r>
            <a:endParaRPr lang="sk-SK"/>
          </a:p>
        </xdr:txBody>
      </xdr:sp>
      <xdr:sp macro="" textlink="">
        <xdr:nvSpPr>
          <xdr:cNvPr id="2083" name="SAPBEXq0004_-4"/>
          <xdr:cNvSpPr>
            <a:spLocks noChangeAspect="1" noChangeArrowheads="1"/>
          </xdr:cNvSpPr>
        </xdr:nvSpPr>
        <xdr:spPr bwMode="auto">
          <a:xfrm flipV="1">
            <a:off x="4" y="254"/>
            <a:ext cx="14" cy="13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95250</xdr:colOff>
      <xdr:row>0</xdr:row>
      <xdr:rowOff>9525</xdr:rowOff>
    </xdr:from>
    <xdr:to>
      <xdr:col>11</xdr:col>
      <xdr:colOff>257175</xdr:colOff>
      <xdr:row>1</xdr:row>
      <xdr:rowOff>9525</xdr:rowOff>
    </xdr:to>
    <xdr:grpSp>
      <xdr:nvGrpSpPr>
        <xdr:cNvPr id="2078" name="SAPBEXhierarchyMinusX"/>
        <xdr:cNvGrpSpPr>
          <a:grpSpLocks/>
        </xdr:cNvGrpSpPr>
      </xdr:nvGrpSpPr>
      <xdr:grpSpPr bwMode="auto">
        <a:xfrm>
          <a:off x="6800850" y="9525"/>
          <a:ext cx="161925" cy="161925"/>
          <a:chOff x="759" y="11"/>
          <a:chExt cx="21" cy="21"/>
        </a:xfrm>
      </xdr:grpSpPr>
      <xdr:sp macro="" textlink="">
        <xdr:nvSpPr>
          <xdr:cNvPr id="2059" name="Rectangle 11"/>
          <xdr:cNvSpPr>
            <a:spLocks noChangeArrowheads="1"/>
          </xdr:cNvSpPr>
        </xdr:nvSpPr>
        <xdr:spPr bwMode="auto">
          <a:xfrm rot="21600000">
            <a:off x="759" y="11"/>
            <a:ext cx="2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sk-SK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.</a:t>
            </a:r>
            <a:endParaRPr lang="sk-SK"/>
          </a:p>
        </xdr:txBody>
      </xdr:sp>
      <xdr:sp macro="" textlink="">
        <xdr:nvSpPr>
          <xdr:cNvPr id="2080" name="SAPBEXq0004_-4"/>
          <xdr:cNvSpPr>
            <a:spLocks noChangeAspect="1" noChangeArrowheads="1"/>
          </xdr:cNvSpPr>
        </xdr:nvSpPr>
        <xdr:spPr bwMode="auto">
          <a:xfrm flipV="1">
            <a:off x="763" y="15"/>
            <a:ext cx="14" cy="13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81" name="SAPBEXq0004_-4"/>
          <xdr:cNvSpPr>
            <a:spLocks noChangeAspect="1" noChangeArrowheads="1"/>
          </xdr:cNvSpPr>
        </xdr:nvSpPr>
        <xdr:spPr bwMode="auto">
          <a:xfrm flipV="1">
            <a:off x="767" y="15"/>
            <a:ext cx="6" cy="5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R1002"/>
  <sheetViews>
    <sheetView workbookViewId="0"/>
  </sheetViews>
  <sheetFormatPr defaultRowHeight="12.75"/>
  <sheetData>
    <row r="1" spans="1:233">
      <c r="A1">
        <v>9</v>
      </c>
    </row>
    <row r="2" spans="1:233">
      <c r="A2">
        <v>4</v>
      </c>
      <c r="AE2">
        <v>12</v>
      </c>
      <c r="CM2">
        <v>16</v>
      </c>
      <c r="DG2">
        <v>12</v>
      </c>
      <c r="EA2">
        <v>16</v>
      </c>
      <c r="EU2">
        <v>0</v>
      </c>
      <c r="FY2">
        <v>8</v>
      </c>
      <c r="HW2">
        <v>124</v>
      </c>
    </row>
    <row r="3" spans="1:233">
      <c r="A3">
        <v>24</v>
      </c>
      <c r="AE3">
        <v>59</v>
      </c>
      <c r="CM3">
        <v>13</v>
      </c>
      <c r="DG3">
        <v>14</v>
      </c>
      <c r="EA3">
        <v>13</v>
      </c>
      <c r="EU3">
        <v>11</v>
      </c>
      <c r="FY3">
        <v>21</v>
      </c>
      <c r="HW3">
        <v>2</v>
      </c>
    </row>
    <row r="4" spans="1:233">
      <c r="B4">
        <v>13</v>
      </c>
      <c r="C4" t="s">
        <v>131</v>
      </c>
      <c r="D4" t="b">
        <v>1</v>
      </c>
      <c r="E4" t="b">
        <v>1</v>
      </c>
      <c r="F4" t="s">
        <v>71</v>
      </c>
      <c r="G4">
        <v>2</v>
      </c>
      <c r="H4">
        <v>2</v>
      </c>
      <c r="I4" t="b">
        <v>0</v>
      </c>
      <c r="L4" t="b">
        <v>1</v>
      </c>
      <c r="M4" t="b">
        <v>0</v>
      </c>
      <c r="O4" t="b">
        <v>1</v>
      </c>
      <c r="P4" t="b">
        <v>0</v>
      </c>
      <c r="Q4">
        <v>1</v>
      </c>
      <c r="S4">
        <v>5</v>
      </c>
      <c r="T4" t="b">
        <v>1</v>
      </c>
      <c r="U4" t="b">
        <v>0</v>
      </c>
      <c r="X4" t="b">
        <v>0</v>
      </c>
      <c r="Y4" t="b">
        <v>0</v>
      </c>
      <c r="Z4" t="b">
        <v>0</v>
      </c>
      <c r="AE4">
        <v>7</v>
      </c>
      <c r="AF4" s="1" t="s">
        <v>161</v>
      </c>
      <c r="AG4" s="1" t="s">
        <v>18</v>
      </c>
      <c r="AH4" s="1" t="s">
        <v>7</v>
      </c>
      <c r="AI4" s="1" t="s">
        <v>1</v>
      </c>
      <c r="AJ4" s="1" t="s">
        <v>1</v>
      </c>
      <c r="AK4" s="1" t="s">
        <v>11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19</v>
      </c>
      <c r="AS4" s="1" t="s">
        <v>7</v>
      </c>
      <c r="AT4" s="1" t="s">
        <v>12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14</v>
      </c>
      <c r="AZ4" s="1" t="s">
        <v>161</v>
      </c>
      <c r="BA4" s="1" t="s">
        <v>15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13</v>
      </c>
      <c r="BK4" s="1" t="s">
        <v>17</v>
      </c>
      <c r="BL4" s="1" t="s">
        <v>1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161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17</v>
      </c>
      <c r="CJ4" s="1" t="s">
        <v>7</v>
      </c>
      <c r="CK4" s="1" t="s">
        <v>7</v>
      </c>
      <c r="CL4" s="1" t="s">
        <v>7</v>
      </c>
      <c r="CM4">
        <v>7</v>
      </c>
      <c r="CN4" s="1" t="s">
        <v>161</v>
      </c>
      <c r="CO4" s="1" t="s">
        <v>164</v>
      </c>
      <c r="CP4" s="1" t="s">
        <v>27</v>
      </c>
      <c r="CQ4" s="1" t="s">
        <v>11</v>
      </c>
      <c r="CR4" s="1" t="s">
        <v>7</v>
      </c>
      <c r="CS4" s="1" t="s">
        <v>28</v>
      </c>
      <c r="CT4" s="1" t="s">
        <v>7</v>
      </c>
      <c r="CU4" s="1" t="s">
        <v>29</v>
      </c>
      <c r="CV4" s="1" t="s">
        <v>1</v>
      </c>
      <c r="CW4" s="1" t="s">
        <v>7</v>
      </c>
      <c r="CX4" s="1" t="s">
        <v>7</v>
      </c>
      <c r="CY4" s="1" t="s">
        <v>7</v>
      </c>
      <c r="CZ4" s="1" t="s">
        <v>7</v>
      </c>
      <c r="DG4">
        <v>7</v>
      </c>
      <c r="DH4" s="1" t="s">
        <v>23</v>
      </c>
      <c r="DI4" s="1" t="s">
        <v>20</v>
      </c>
      <c r="DJ4" s="1" t="s">
        <v>21</v>
      </c>
      <c r="DK4" s="1" t="s">
        <v>17</v>
      </c>
      <c r="DL4" s="1" t="s">
        <v>1</v>
      </c>
      <c r="DM4" s="1" t="s">
        <v>3</v>
      </c>
      <c r="DN4" s="1" t="s">
        <v>8</v>
      </c>
      <c r="DO4" s="1" t="s">
        <v>8</v>
      </c>
      <c r="DP4" s="1" t="s">
        <v>7</v>
      </c>
      <c r="DQ4" s="1" t="s">
        <v>7</v>
      </c>
      <c r="DR4" s="1" t="s">
        <v>7</v>
      </c>
      <c r="DS4" s="1" t="s">
        <v>7</v>
      </c>
      <c r="DT4" s="1" t="s">
        <v>17</v>
      </c>
      <c r="DU4" s="1" t="s">
        <v>7</v>
      </c>
      <c r="EA4">
        <v>7</v>
      </c>
      <c r="EB4" s="1" t="s">
        <v>164</v>
      </c>
      <c r="EC4" s="1" t="s">
        <v>61</v>
      </c>
      <c r="ED4" s="1" t="s">
        <v>7</v>
      </c>
      <c r="EE4" s="1" t="s">
        <v>7</v>
      </c>
      <c r="EF4" s="1" t="s">
        <v>7</v>
      </c>
      <c r="EG4" s="1" t="s">
        <v>7</v>
      </c>
      <c r="EH4" s="1" t="s">
        <v>7</v>
      </c>
      <c r="EI4" s="1" t="s">
        <v>12</v>
      </c>
      <c r="EJ4" s="1" t="s">
        <v>1</v>
      </c>
      <c r="EK4" s="1" t="s">
        <v>62</v>
      </c>
      <c r="EL4" s="1" t="s">
        <v>8</v>
      </c>
      <c r="EM4" s="1" t="s">
        <v>7</v>
      </c>
      <c r="EN4" s="1" t="s">
        <v>7</v>
      </c>
      <c r="FY4">
        <v>7</v>
      </c>
      <c r="FZ4" s="1" t="s">
        <v>128</v>
      </c>
      <c r="GA4" s="1" t="s">
        <v>3</v>
      </c>
      <c r="GB4" s="1" t="s">
        <v>28</v>
      </c>
      <c r="GC4" s="1" t="s">
        <v>5</v>
      </c>
      <c r="GD4" s="1" t="s">
        <v>6</v>
      </c>
      <c r="GE4" s="1" t="s">
        <v>229</v>
      </c>
      <c r="GF4" s="1" t="s">
        <v>230</v>
      </c>
      <c r="GG4" s="1" t="s">
        <v>7</v>
      </c>
      <c r="GH4" s="1" t="s">
        <v>7</v>
      </c>
      <c r="GI4" s="1" t="s">
        <v>231</v>
      </c>
      <c r="GJ4" s="1" t="s">
        <v>224</v>
      </c>
      <c r="GK4" s="1" t="s">
        <v>7</v>
      </c>
      <c r="GL4" s="1" t="s">
        <v>8</v>
      </c>
      <c r="GM4" s="1" t="s">
        <v>7</v>
      </c>
      <c r="GN4" s="1" t="s">
        <v>8</v>
      </c>
      <c r="GO4" s="1" t="s">
        <v>214</v>
      </c>
      <c r="GP4" s="1" t="s">
        <v>215</v>
      </c>
      <c r="GQ4" s="1" t="s">
        <v>7</v>
      </c>
      <c r="GR4" s="1" t="s">
        <v>7</v>
      </c>
      <c r="GS4" s="1" t="s">
        <v>10</v>
      </c>
      <c r="GT4" s="1" t="s">
        <v>229</v>
      </c>
      <c r="HW4">
        <v>7</v>
      </c>
      <c r="HX4" s="1" t="s">
        <v>40</v>
      </c>
      <c r="HY4" s="1" t="s">
        <v>168</v>
      </c>
    </row>
    <row r="5" spans="1:233">
      <c r="B5">
        <v>9</v>
      </c>
      <c r="C5" t="s">
        <v>141</v>
      </c>
      <c r="D5" t="b">
        <v>1</v>
      </c>
      <c r="E5" t="b">
        <v>1</v>
      </c>
      <c r="F5" t="s">
        <v>73</v>
      </c>
      <c r="G5">
        <v>0</v>
      </c>
      <c r="H5">
        <v>0</v>
      </c>
      <c r="I5" t="b">
        <v>0</v>
      </c>
      <c r="L5" t="b">
        <v>1</v>
      </c>
      <c r="M5" t="b">
        <v>0</v>
      </c>
      <c r="O5" t="b">
        <v>1</v>
      </c>
      <c r="P5" t="b">
        <v>0</v>
      </c>
      <c r="Q5">
        <v>1</v>
      </c>
      <c r="S5">
        <v>5</v>
      </c>
      <c r="T5" t="b">
        <v>1</v>
      </c>
      <c r="U5" t="b">
        <v>0</v>
      </c>
      <c r="X5" t="b">
        <v>0</v>
      </c>
      <c r="Y5" t="b">
        <v>0</v>
      </c>
      <c r="Z5" t="b">
        <v>0</v>
      </c>
      <c r="AE5">
        <v>7</v>
      </c>
      <c r="AF5" s="1" t="s">
        <v>20</v>
      </c>
      <c r="AG5" s="1" t="s">
        <v>21</v>
      </c>
      <c r="AH5" s="1" t="s">
        <v>1</v>
      </c>
      <c r="AI5" s="1" t="s">
        <v>7</v>
      </c>
      <c r="AJ5" s="1" t="s">
        <v>22</v>
      </c>
      <c r="AK5" s="1" t="s">
        <v>11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8</v>
      </c>
      <c r="AT5" s="1" t="s">
        <v>187</v>
      </c>
      <c r="AU5" s="1" t="s">
        <v>7</v>
      </c>
      <c r="AV5" s="1" t="s">
        <v>7</v>
      </c>
      <c r="AW5" s="1" t="s">
        <v>7</v>
      </c>
      <c r="AX5" s="1" t="s">
        <v>13</v>
      </c>
      <c r="AY5" s="1" t="s">
        <v>14</v>
      </c>
      <c r="AZ5" s="1" t="s">
        <v>20</v>
      </c>
      <c r="BA5" s="1" t="s">
        <v>15</v>
      </c>
      <c r="BB5" s="1" t="s">
        <v>7</v>
      </c>
      <c r="BC5" s="1" t="s">
        <v>7</v>
      </c>
      <c r="BD5" s="1" t="s">
        <v>16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13</v>
      </c>
      <c r="BK5" s="1" t="s">
        <v>17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3</v>
      </c>
      <c r="BS5" s="1" t="s">
        <v>3</v>
      </c>
      <c r="BT5" s="1" t="s">
        <v>3</v>
      </c>
      <c r="BU5" s="1" t="s">
        <v>3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8</v>
      </c>
      <c r="CB5" s="1" t="s">
        <v>162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17</v>
      </c>
      <c r="CJ5" s="1" t="s">
        <v>7</v>
      </c>
      <c r="CK5" s="1" t="s">
        <v>7</v>
      </c>
      <c r="CL5" s="1" t="s">
        <v>7</v>
      </c>
      <c r="CM5">
        <v>7</v>
      </c>
      <c r="CN5" s="1" t="s">
        <v>161</v>
      </c>
      <c r="CO5" s="1" t="s">
        <v>165</v>
      </c>
      <c r="CP5" s="1" t="s">
        <v>30</v>
      </c>
      <c r="CQ5" s="1" t="s">
        <v>25</v>
      </c>
      <c r="CR5" s="1" t="s">
        <v>7</v>
      </c>
      <c r="CS5" s="1" t="s">
        <v>28</v>
      </c>
      <c r="CT5" s="1" t="s">
        <v>7</v>
      </c>
      <c r="CU5" s="1" t="s">
        <v>29</v>
      </c>
      <c r="CV5" s="1" t="s">
        <v>1</v>
      </c>
      <c r="CW5" s="1" t="s">
        <v>7</v>
      </c>
      <c r="CX5" s="1" t="s">
        <v>7</v>
      </c>
      <c r="CY5" s="1" t="s">
        <v>7</v>
      </c>
      <c r="CZ5" s="1" t="s">
        <v>7</v>
      </c>
      <c r="DG5">
        <v>6</v>
      </c>
      <c r="DH5" s="1" t="s">
        <v>23</v>
      </c>
      <c r="DI5" s="1" t="s">
        <v>20</v>
      </c>
      <c r="DJ5" s="1" t="s">
        <v>21</v>
      </c>
      <c r="DK5" s="1" t="s">
        <v>17</v>
      </c>
      <c r="DL5" s="1" t="s">
        <v>1</v>
      </c>
      <c r="DM5" s="1" t="s">
        <v>3</v>
      </c>
      <c r="DN5" s="1" t="s">
        <v>8</v>
      </c>
      <c r="DO5" s="1" t="s">
        <v>8</v>
      </c>
      <c r="DP5" s="1" t="s">
        <v>7</v>
      </c>
      <c r="DQ5" s="1" t="s">
        <v>7</v>
      </c>
      <c r="DR5" s="1" t="s">
        <v>7</v>
      </c>
      <c r="DS5" s="1" t="s">
        <v>7</v>
      </c>
      <c r="DT5" s="1" t="s">
        <v>17</v>
      </c>
      <c r="DU5" s="1" t="s">
        <v>7</v>
      </c>
      <c r="EA5">
        <v>7</v>
      </c>
      <c r="EB5" s="1" t="s">
        <v>165</v>
      </c>
      <c r="EC5" s="1" t="s">
        <v>61</v>
      </c>
      <c r="ED5" s="1" t="s">
        <v>7</v>
      </c>
      <c r="EE5" s="1" t="s">
        <v>7</v>
      </c>
      <c r="EF5" s="1" t="s">
        <v>7</v>
      </c>
      <c r="EG5" s="1" t="s">
        <v>7</v>
      </c>
      <c r="EH5" s="1" t="s">
        <v>7</v>
      </c>
      <c r="EI5" s="1" t="s">
        <v>12</v>
      </c>
      <c r="EJ5" s="1" t="s">
        <v>1</v>
      </c>
      <c r="EK5" s="1" t="s">
        <v>63</v>
      </c>
      <c r="EL5" s="1" t="s">
        <v>8</v>
      </c>
      <c r="EM5" s="1" t="s">
        <v>7</v>
      </c>
      <c r="EN5" s="1" t="s">
        <v>7</v>
      </c>
      <c r="FY5">
        <v>7</v>
      </c>
      <c r="FZ5" s="1" t="s">
        <v>2</v>
      </c>
      <c r="GA5" s="1" t="s">
        <v>3</v>
      </c>
      <c r="GB5" s="1" t="s">
        <v>4</v>
      </c>
      <c r="GC5" s="1" t="s">
        <v>5</v>
      </c>
      <c r="GD5" s="1" t="s">
        <v>6</v>
      </c>
      <c r="GE5" s="1" t="s">
        <v>227</v>
      </c>
      <c r="GF5" s="1" t="s">
        <v>228</v>
      </c>
      <c r="GG5" s="1" t="s">
        <v>7</v>
      </c>
      <c r="GH5" s="1" t="s">
        <v>7</v>
      </c>
      <c r="GI5" s="1" t="s">
        <v>7</v>
      </c>
      <c r="GJ5" s="1" t="s">
        <v>8</v>
      </c>
      <c r="GK5" s="1" t="s">
        <v>7</v>
      </c>
      <c r="GL5" s="1" t="s">
        <v>8</v>
      </c>
      <c r="GM5" s="1" t="s">
        <v>7</v>
      </c>
      <c r="GN5" s="1" t="s">
        <v>8</v>
      </c>
      <c r="GO5" s="1" t="s">
        <v>216</v>
      </c>
      <c r="GP5" s="1" t="s">
        <v>215</v>
      </c>
      <c r="GQ5" s="1" t="s">
        <v>7</v>
      </c>
      <c r="GR5" s="1" t="s">
        <v>7</v>
      </c>
      <c r="GS5" s="1" t="s">
        <v>9</v>
      </c>
      <c r="GT5" s="1" t="s">
        <v>227</v>
      </c>
      <c r="HW5">
        <v>7</v>
      </c>
      <c r="HX5" s="1" t="s">
        <v>33</v>
      </c>
      <c r="HY5" s="1" t="s">
        <v>1</v>
      </c>
    </row>
    <row r="6" spans="1:233">
      <c r="B6">
        <v>5</v>
      </c>
      <c r="C6" t="s">
        <v>151</v>
      </c>
      <c r="D6" t="b">
        <v>1</v>
      </c>
      <c r="E6" t="b">
        <v>1</v>
      </c>
      <c r="F6" t="s">
        <v>0</v>
      </c>
      <c r="G6">
        <v>2</v>
      </c>
      <c r="H6">
        <v>3</v>
      </c>
      <c r="I6" t="b">
        <v>0</v>
      </c>
      <c r="L6" t="b">
        <v>1</v>
      </c>
      <c r="M6" t="b">
        <v>0</v>
      </c>
      <c r="O6" t="b">
        <v>1</v>
      </c>
      <c r="P6" t="b">
        <v>0</v>
      </c>
      <c r="Q6">
        <v>1</v>
      </c>
      <c r="S6">
        <v>5</v>
      </c>
      <c r="T6" t="b">
        <v>1</v>
      </c>
      <c r="U6" t="b">
        <v>0</v>
      </c>
      <c r="X6" t="b">
        <v>0</v>
      </c>
      <c r="Y6" t="b">
        <v>0</v>
      </c>
      <c r="Z6" t="b">
        <v>0</v>
      </c>
      <c r="AE6">
        <v>7</v>
      </c>
      <c r="AF6" s="1" t="s">
        <v>23</v>
      </c>
      <c r="AG6" s="1" t="s">
        <v>24</v>
      </c>
      <c r="AH6" s="1" t="s">
        <v>1</v>
      </c>
      <c r="AI6" s="1" t="s">
        <v>7</v>
      </c>
      <c r="AJ6" s="1" t="s">
        <v>22</v>
      </c>
      <c r="AK6" s="1" t="s">
        <v>25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8</v>
      </c>
      <c r="AT6" s="1" t="s">
        <v>187</v>
      </c>
      <c r="AU6" s="1" t="s">
        <v>7</v>
      </c>
      <c r="AV6" s="1" t="s">
        <v>7</v>
      </c>
      <c r="AW6" s="1" t="s">
        <v>7</v>
      </c>
      <c r="AX6" s="1" t="s">
        <v>13</v>
      </c>
      <c r="AY6" s="1" t="s">
        <v>14</v>
      </c>
      <c r="AZ6" s="1" t="s">
        <v>23</v>
      </c>
      <c r="BA6" s="1" t="s">
        <v>15</v>
      </c>
      <c r="BB6" s="1" t="s">
        <v>7</v>
      </c>
      <c r="BC6" s="1" t="s">
        <v>7</v>
      </c>
      <c r="BD6" s="1" t="s">
        <v>16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13</v>
      </c>
      <c r="BK6" s="1" t="s">
        <v>17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3</v>
      </c>
      <c r="BS6" s="1" t="s">
        <v>3</v>
      </c>
      <c r="BT6" s="1" t="s">
        <v>3</v>
      </c>
      <c r="BU6" s="1" t="s">
        <v>26</v>
      </c>
      <c r="BV6" s="1" t="s">
        <v>8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163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7</v>
      </c>
      <c r="CI6" s="1" t="s">
        <v>17</v>
      </c>
      <c r="CJ6" s="1" t="s">
        <v>7</v>
      </c>
      <c r="CK6" s="1" t="s">
        <v>7</v>
      </c>
      <c r="CL6" s="1" t="s">
        <v>7</v>
      </c>
      <c r="CM6">
        <v>7</v>
      </c>
      <c r="CN6" s="1" t="s">
        <v>161</v>
      </c>
      <c r="CO6" s="1" t="s">
        <v>166</v>
      </c>
      <c r="CP6" s="1" t="s">
        <v>31</v>
      </c>
      <c r="CQ6" s="1" t="s">
        <v>32</v>
      </c>
      <c r="CR6" s="1" t="s">
        <v>7</v>
      </c>
      <c r="CS6" s="1" t="s">
        <v>28</v>
      </c>
      <c r="CT6" s="1" t="s">
        <v>7</v>
      </c>
      <c r="CU6" s="1" t="s">
        <v>29</v>
      </c>
      <c r="CV6" s="1" t="s">
        <v>1</v>
      </c>
      <c r="CW6" s="1" t="s">
        <v>7</v>
      </c>
      <c r="CX6" s="1" t="s">
        <v>7</v>
      </c>
      <c r="CY6" s="1" t="s">
        <v>7</v>
      </c>
      <c r="CZ6" s="1" t="s">
        <v>7</v>
      </c>
      <c r="DG6">
        <v>5</v>
      </c>
      <c r="DH6" s="1" t="s">
        <v>72</v>
      </c>
      <c r="DI6" s="1" t="s">
        <v>20</v>
      </c>
      <c r="DJ6" s="1" t="s">
        <v>21</v>
      </c>
      <c r="DK6" s="1" t="s">
        <v>17</v>
      </c>
      <c r="DL6" s="1" t="s">
        <v>1</v>
      </c>
      <c r="DM6" s="1" t="s">
        <v>3</v>
      </c>
      <c r="DN6" s="1" t="s">
        <v>8</v>
      </c>
      <c r="DO6" s="1" t="s">
        <v>8</v>
      </c>
      <c r="DP6" s="1" t="s">
        <v>7</v>
      </c>
      <c r="DQ6" s="1" t="s">
        <v>7</v>
      </c>
      <c r="DR6" s="1" t="s">
        <v>7</v>
      </c>
      <c r="DS6" s="1" t="s">
        <v>7</v>
      </c>
      <c r="DT6" s="1" t="s">
        <v>17</v>
      </c>
      <c r="DU6" s="1" t="s">
        <v>7</v>
      </c>
      <c r="EA6">
        <v>7</v>
      </c>
      <c r="EB6" s="1" t="s">
        <v>166</v>
      </c>
      <c r="EC6" s="1" t="s">
        <v>61</v>
      </c>
      <c r="ED6" s="1" t="s">
        <v>7</v>
      </c>
      <c r="EE6" s="1" t="s">
        <v>7</v>
      </c>
      <c r="EF6" s="1" t="s">
        <v>7</v>
      </c>
      <c r="EG6" s="1" t="s">
        <v>7</v>
      </c>
      <c r="EH6" s="1" t="s">
        <v>7</v>
      </c>
      <c r="EI6" s="1" t="s">
        <v>12</v>
      </c>
      <c r="EJ6" s="1" t="s">
        <v>1</v>
      </c>
      <c r="EK6" s="1" t="s">
        <v>64</v>
      </c>
      <c r="EL6" s="1" t="s">
        <v>8</v>
      </c>
      <c r="EM6" s="1" t="s">
        <v>7</v>
      </c>
      <c r="EN6" s="1" t="s">
        <v>7</v>
      </c>
      <c r="FY6">
        <v>6</v>
      </c>
      <c r="FZ6" s="1" t="s">
        <v>128</v>
      </c>
      <c r="GA6" s="1" t="s">
        <v>3</v>
      </c>
      <c r="GB6" s="1" t="s">
        <v>28</v>
      </c>
      <c r="GC6" s="1" t="s">
        <v>5</v>
      </c>
      <c r="GD6" s="1" t="s">
        <v>6</v>
      </c>
      <c r="GE6" s="1" t="s">
        <v>229</v>
      </c>
      <c r="GF6" s="1" t="s">
        <v>230</v>
      </c>
      <c r="GG6" s="1" t="s">
        <v>7</v>
      </c>
      <c r="GH6" s="1" t="s">
        <v>7</v>
      </c>
      <c r="GI6" s="1" t="s">
        <v>231</v>
      </c>
      <c r="GJ6" s="1" t="s">
        <v>224</v>
      </c>
      <c r="GK6" s="1" t="s">
        <v>7</v>
      </c>
      <c r="GL6" s="1" t="s">
        <v>8</v>
      </c>
      <c r="GM6" s="1" t="s">
        <v>7</v>
      </c>
      <c r="GN6" s="1" t="s">
        <v>8</v>
      </c>
      <c r="GO6" s="1" t="s">
        <v>214</v>
      </c>
      <c r="GP6" s="1" t="s">
        <v>215</v>
      </c>
      <c r="GQ6" s="1" t="s">
        <v>7</v>
      </c>
      <c r="GR6" s="1" t="s">
        <v>7</v>
      </c>
      <c r="GS6" s="1" t="s">
        <v>10</v>
      </c>
      <c r="GT6" s="1" t="s">
        <v>229</v>
      </c>
      <c r="HW6">
        <v>7</v>
      </c>
      <c r="HX6" s="1" t="s">
        <v>35</v>
      </c>
      <c r="HY6" s="1" t="s">
        <v>7</v>
      </c>
    </row>
    <row r="7" spans="1:233">
      <c r="B7">
        <v>1</v>
      </c>
      <c r="C7" t="s">
        <v>160</v>
      </c>
      <c r="D7" t="b">
        <v>1</v>
      </c>
      <c r="E7" t="b">
        <v>1</v>
      </c>
      <c r="F7" t="s">
        <v>65</v>
      </c>
      <c r="G7">
        <v>2</v>
      </c>
      <c r="H7">
        <v>3</v>
      </c>
      <c r="I7" t="b">
        <v>0</v>
      </c>
      <c r="L7" t="b">
        <v>1</v>
      </c>
      <c r="M7" t="b">
        <v>0</v>
      </c>
      <c r="O7" t="b">
        <v>1</v>
      </c>
      <c r="P7" t="b">
        <v>0</v>
      </c>
      <c r="Q7">
        <v>1</v>
      </c>
      <c r="S7">
        <v>5</v>
      </c>
      <c r="T7" t="b">
        <v>1</v>
      </c>
      <c r="U7" t="b">
        <v>0</v>
      </c>
      <c r="X7" t="b">
        <v>0</v>
      </c>
      <c r="Y7" t="b">
        <v>0</v>
      </c>
      <c r="Z7" t="b">
        <v>0</v>
      </c>
      <c r="AE7">
        <v>6</v>
      </c>
      <c r="AF7" s="1" t="s">
        <v>152</v>
      </c>
      <c r="AG7" s="1" t="s">
        <v>18</v>
      </c>
      <c r="AH7" s="1" t="s">
        <v>7</v>
      </c>
      <c r="AI7" s="1" t="s">
        <v>1</v>
      </c>
      <c r="AJ7" s="1" t="s">
        <v>1</v>
      </c>
      <c r="AK7" s="1" t="s">
        <v>11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19</v>
      </c>
      <c r="AS7" s="1" t="s">
        <v>7</v>
      </c>
      <c r="AT7" s="1" t="s">
        <v>12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14</v>
      </c>
      <c r="AZ7" s="1" t="s">
        <v>152</v>
      </c>
      <c r="BA7" s="1" t="s">
        <v>15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13</v>
      </c>
      <c r="BK7" s="1" t="s">
        <v>17</v>
      </c>
      <c r="BL7" s="1" t="s">
        <v>1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7</v>
      </c>
      <c r="CA7" s="1" t="s">
        <v>7</v>
      </c>
      <c r="CB7" s="1" t="s">
        <v>152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7</v>
      </c>
      <c r="CH7" s="1" t="s">
        <v>7</v>
      </c>
      <c r="CI7" s="1" t="s">
        <v>17</v>
      </c>
      <c r="CJ7" s="1" t="s">
        <v>7</v>
      </c>
      <c r="CK7" s="1" t="s">
        <v>7</v>
      </c>
      <c r="CL7" s="1" t="s">
        <v>7</v>
      </c>
      <c r="CM7">
        <v>7</v>
      </c>
      <c r="CN7" s="1" t="s">
        <v>161</v>
      </c>
      <c r="CO7" s="1" t="s">
        <v>167</v>
      </c>
      <c r="CP7" s="1" t="s">
        <v>70</v>
      </c>
      <c r="CQ7" s="1" t="s">
        <v>66</v>
      </c>
      <c r="CR7" s="1" t="s">
        <v>7</v>
      </c>
      <c r="CS7" s="1" t="s">
        <v>28</v>
      </c>
      <c r="CT7" s="1" t="s">
        <v>7</v>
      </c>
      <c r="CU7" s="1" t="s">
        <v>29</v>
      </c>
      <c r="CV7" s="1" t="s">
        <v>1</v>
      </c>
      <c r="CW7" s="1" t="s">
        <v>7</v>
      </c>
      <c r="CX7" s="1" t="s">
        <v>7</v>
      </c>
      <c r="CY7" s="1" t="s">
        <v>7</v>
      </c>
      <c r="CZ7" s="1" t="s">
        <v>7</v>
      </c>
      <c r="DG7">
        <v>5</v>
      </c>
      <c r="DH7" s="1" t="s">
        <v>72</v>
      </c>
      <c r="DI7" s="1" t="s">
        <v>23</v>
      </c>
      <c r="DJ7" s="1" t="s">
        <v>24</v>
      </c>
      <c r="DK7" s="1" t="s">
        <v>17</v>
      </c>
      <c r="DL7" s="1" t="s">
        <v>1</v>
      </c>
      <c r="DM7" s="1" t="s">
        <v>3</v>
      </c>
      <c r="DN7" s="1" t="s">
        <v>8</v>
      </c>
      <c r="DO7" s="1" t="s">
        <v>8</v>
      </c>
      <c r="DP7" s="1" t="s">
        <v>7</v>
      </c>
      <c r="DQ7" s="1" t="s">
        <v>7</v>
      </c>
      <c r="DR7" s="1" t="s">
        <v>7</v>
      </c>
      <c r="DS7" s="1" t="s">
        <v>7</v>
      </c>
      <c r="DT7" s="1" t="s">
        <v>17</v>
      </c>
      <c r="DU7" s="1" t="s">
        <v>7</v>
      </c>
      <c r="EA7">
        <v>7</v>
      </c>
      <c r="EB7" s="1" t="s">
        <v>167</v>
      </c>
      <c r="EC7" s="1" t="s">
        <v>61</v>
      </c>
      <c r="ED7" s="1" t="s">
        <v>7</v>
      </c>
      <c r="EE7" s="1" t="s">
        <v>3</v>
      </c>
      <c r="EF7" s="1" t="s">
        <v>7</v>
      </c>
      <c r="EG7" s="1" t="s">
        <v>7</v>
      </c>
      <c r="EH7" s="1" t="s">
        <v>7</v>
      </c>
      <c r="EI7" s="1" t="s">
        <v>12</v>
      </c>
      <c r="EJ7" s="1" t="s">
        <v>1</v>
      </c>
      <c r="EK7" s="1" t="s">
        <v>67</v>
      </c>
      <c r="EL7" s="1" t="s">
        <v>8</v>
      </c>
      <c r="EM7" s="1" t="s">
        <v>7</v>
      </c>
      <c r="EN7" s="1" t="s">
        <v>7</v>
      </c>
      <c r="FY7">
        <v>6</v>
      </c>
      <c r="FZ7" s="1" t="s">
        <v>2</v>
      </c>
      <c r="GA7" s="1" t="s">
        <v>3</v>
      </c>
      <c r="GB7" s="1" t="s">
        <v>4</v>
      </c>
      <c r="GC7" s="1" t="s">
        <v>5</v>
      </c>
      <c r="GD7" s="1" t="s">
        <v>6</v>
      </c>
      <c r="GE7" s="1" t="s">
        <v>227</v>
      </c>
      <c r="GF7" s="1" t="s">
        <v>228</v>
      </c>
      <c r="GG7" s="1" t="s">
        <v>7</v>
      </c>
      <c r="GH7" s="1" t="s">
        <v>7</v>
      </c>
      <c r="GI7" s="1" t="s">
        <v>7</v>
      </c>
      <c r="GJ7" s="1" t="s">
        <v>8</v>
      </c>
      <c r="GK7" s="1" t="s">
        <v>7</v>
      </c>
      <c r="GL7" s="1" t="s">
        <v>8</v>
      </c>
      <c r="GM7" s="1" t="s">
        <v>7</v>
      </c>
      <c r="GN7" s="1" t="s">
        <v>8</v>
      </c>
      <c r="GO7" s="1" t="s">
        <v>216</v>
      </c>
      <c r="GP7" s="1" t="s">
        <v>215</v>
      </c>
      <c r="GQ7" s="1" t="s">
        <v>7</v>
      </c>
      <c r="GR7" s="1" t="s">
        <v>7</v>
      </c>
      <c r="GS7" s="1" t="s">
        <v>9</v>
      </c>
      <c r="GT7" s="1" t="s">
        <v>227</v>
      </c>
      <c r="HW7">
        <v>7</v>
      </c>
      <c r="HX7" s="1" t="s">
        <v>36</v>
      </c>
      <c r="HY7" s="1" t="s">
        <v>3</v>
      </c>
    </row>
    <row r="8" spans="1:233">
      <c r="AE8">
        <v>6</v>
      </c>
      <c r="AF8" s="1" t="s">
        <v>20</v>
      </c>
      <c r="AG8" s="1" t="s">
        <v>21</v>
      </c>
      <c r="AH8" s="1" t="s">
        <v>1</v>
      </c>
      <c r="AI8" s="1" t="s">
        <v>7</v>
      </c>
      <c r="AJ8" s="1" t="s">
        <v>22</v>
      </c>
      <c r="AK8" s="1" t="s">
        <v>11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8</v>
      </c>
      <c r="AT8" s="1" t="s">
        <v>187</v>
      </c>
      <c r="AU8" s="1" t="s">
        <v>7</v>
      </c>
      <c r="AV8" s="1" t="s">
        <v>7</v>
      </c>
      <c r="AW8" s="1" t="s">
        <v>7</v>
      </c>
      <c r="AX8" s="1" t="s">
        <v>13</v>
      </c>
      <c r="AY8" s="1" t="s">
        <v>14</v>
      </c>
      <c r="AZ8" s="1" t="s">
        <v>20</v>
      </c>
      <c r="BA8" s="1" t="s">
        <v>15</v>
      </c>
      <c r="BB8" s="1" t="s">
        <v>7</v>
      </c>
      <c r="BC8" s="1" t="s">
        <v>7</v>
      </c>
      <c r="BD8" s="1" t="s">
        <v>16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13</v>
      </c>
      <c r="BK8" s="1" t="s">
        <v>17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7</v>
      </c>
      <c r="BR8" s="1" t="s">
        <v>3</v>
      </c>
      <c r="BS8" s="1" t="s">
        <v>3</v>
      </c>
      <c r="BT8" s="1" t="s">
        <v>3</v>
      </c>
      <c r="BU8" s="1" t="s">
        <v>3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8</v>
      </c>
      <c r="CB8" s="1" t="s">
        <v>153</v>
      </c>
      <c r="CC8" s="1" t="s">
        <v>7</v>
      </c>
      <c r="CD8" s="1" t="s">
        <v>7</v>
      </c>
      <c r="CE8" s="1" t="s">
        <v>7</v>
      </c>
      <c r="CF8" s="1" t="s">
        <v>7</v>
      </c>
      <c r="CG8" s="1" t="s">
        <v>7</v>
      </c>
      <c r="CH8" s="1" t="s">
        <v>7</v>
      </c>
      <c r="CI8" s="1" t="s">
        <v>17</v>
      </c>
      <c r="CJ8" s="1" t="s">
        <v>7</v>
      </c>
      <c r="CK8" s="1" t="s">
        <v>7</v>
      </c>
      <c r="CL8" s="1" t="s">
        <v>7</v>
      </c>
      <c r="CM8">
        <v>6</v>
      </c>
      <c r="CN8" s="1" t="s">
        <v>152</v>
      </c>
      <c r="CO8" s="1" t="s">
        <v>155</v>
      </c>
      <c r="CP8" s="1" t="s">
        <v>27</v>
      </c>
      <c r="CQ8" s="1" t="s">
        <v>11</v>
      </c>
      <c r="CR8" s="1" t="s">
        <v>7</v>
      </c>
      <c r="CS8" s="1" t="s">
        <v>28</v>
      </c>
      <c r="CT8" s="1" t="s">
        <v>7</v>
      </c>
      <c r="CU8" s="1" t="s">
        <v>29</v>
      </c>
      <c r="CV8" s="1" t="s">
        <v>1</v>
      </c>
      <c r="CW8" s="1" t="s">
        <v>7</v>
      </c>
      <c r="CX8" s="1" t="s">
        <v>7</v>
      </c>
      <c r="CY8" s="1" t="s">
        <v>7</v>
      </c>
      <c r="CZ8" s="1" t="s">
        <v>7</v>
      </c>
      <c r="DG8">
        <v>5</v>
      </c>
      <c r="DH8" s="1" t="s">
        <v>113</v>
      </c>
      <c r="DI8" s="1" t="s">
        <v>20</v>
      </c>
      <c r="DJ8" s="1" t="s">
        <v>21</v>
      </c>
      <c r="DK8" s="1" t="s">
        <v>17</v>
      </c>
      <c r="DL8" s="1" t="s">
        <v>1</v>
      </c>
      <c r="DM8" s="1" t="s">
        <v>3</v>
      </c>
      <c r="DN8" s="1" t="s">
        <v>8</v>
      </c>
      <c r="DO8" s="1" t="s">
        <v>8</v>
      </c>
      <c r="DP8" s="1" t="s">
        <v>7</v>
      </c>
      <c r="DQ8" s="1" t="s">
        <v>7</v>
      </c>
      <c r="DR8" s="1" t="s">
        <v>7</v>
      </c>
      <c r="DS8" s="1" t="s">
        <v>7</v>
      </c>
      <c r="DT8" s="1" t="s">
        <v>17</v>
      </c>
      <c r="DU8" s="1" t="s">
        <v>7</v>
      </c>
      <c r="EA8">
        <v>6</v>
      </c>
      <c r="EB8" s="1" t="s">
        <v>155</v>
      </c>
      <c r="EC8" s="1" t="s">
        <v>61</v>
      </c>
      <c r="ED8" s="1" t="s">
        <v>7</v>
      </c>
      <c r="EE8" s="1" t="s">
        <v>7</v>
      </c>
      <c r="EF8" s="1" t="s">
        <v>7</v>
      </c>
      <c r="EG8" s="1" t="s">
        <v>7</v>
      </c>
      <c r="EH8" s="1" t="s">
        <v>7</v>
      </c>
      <c r="EI8" s="1" t="s">
        <v>12</v>
      </c>
      <c r="EJ8" s="1" t="s">
        <v>1</v>
      </c>
      <c r="EK8" s="1" t="s">
        <v>62</v>
      </c>
      <c r="EL8" s="1" t="s">
        <v>8</v>
      </c>
      <c r="EM8" s="1" t="s">
        <v>7</v>
      </c>
      <c r="EN8" s="1" t="s">
        <v>7</v>
      </c>
      <c r="FY8">
        <v>5</v>
      </c>
      <c r="FZ8" s="1" t="s">
        <v>128</v>
      </c>
      <c r="GA8" s="1" t="s">
        <v>3</v>
      </c>
      <c r="GB8" s="1" t="s">
        <v>28</v>
      </c>
      <c r="GC8" s="1" t="s">
        <v>5</v>
      </c>
      <c r="GD8" s="1" t="s">
        <v>6</v>
      </c>
      <c r="GE8" s="1" t="s">
        <v>229</v>
      </c>
      <c r="GF8" s="1" t="s">
        <v>230</v>
      </c>
      <c r="GG8" s="1" t="s">
        <v>7</v>
      </c>
      <c r="GH8" s="1" t="s">
        <v>7</v>
      </c>
      <c r="GI8" s="1" t="s">
        <v>231</v>
      </c>
      <c r="GJ8" s="1" t="s">
        <v>224</v>
      </c>
      <c r="GK8" s="1" t="s">
        <v>7</v>
      </c>
      <c r="GL8" s="1" t="s">
        <v>8</v>
      </c>
      <c r="GM8" s="1" t="s">
        <v>7</v>
      </c>
      <c r="GN8" s="1" t="s">
        <v>8</v>
      </c>
      <c r="GO8" s="1" t="s">
        <v>214</v>
      </c>
      <c r="GP8" s="1" t="s">
        <v>215</v>
      </c>
      <c r="GQ8" s="1" t="s">
        <v>7</v>
      </c>
      <c r="GR8" s="1" t="s">
        <v>7</v>
      </c>
      <c r="GS8" s="1" t="s">
        <v>10</v>
      </c>
      <c r="GT8" s="1" t="s">
        <v>229</v>
      </c>
      <c r="HW8">
        <v>7</v>
      </c>
      <c r="HX8" s="1" t="s">
        <v>37</v>
      </c>
      <c r="HY8" s="1" t="s">
        <v>7</v>
      </c>
    </row>
    <row r="9" spans="1:233">
      <c r="AE9">
        <v>6</v>
      </c>
      <c r="AF9" s="1" t="s">
        <v>23</v>
      </c>
      <c r="AG9" s="1" t="s">
        <v>24</v>
      </c>
      <c r="AH9" s="1" t="s">
        <v>1</v>
      </c>
      <c r="AI9" s="1" t="s">
        <v>7</v>
      </c>
      <c r="AJ9" s="1" t="s">
        <v>22</v>
      </c>
      <c r="AK9" s="1" t="s">
        <v>25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8</v>
      </c>
      <c r="AT9" s="1" t="s">
        <v>187</v>
      </c>
      <c r="AU9" s="1" t="s">
        <v>7</v>
      </c>
      <c r="AV9" s="1" t="s">
        <v>7</v>
      </c>
      <c r="AW9" s="1" t="s">
        <v>7</v>
      </c>
      <c r="AX9" s="1" t="s">
        <v>13</v>
      </c>
      <c r="AY9" s="1" t="s">
        <v>14</v>
      </c>
      <c r="AZ9" s="1" t="s">
        <v>23</v>
      </c>
      <c r="BA9" s="1" t="s">
        <v>15</v>
      </c>
      <c r="BB9" s="1" t="s">
        <v>7</v>
      </c>
      <c r="BC9" s="1" t="s">
        <v>7</v>
      </c>
      <c r="BD9" s="1" t="s">
        <v>16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13</v>
      </c>
      <c r="BK9" s="1" t="s">
        <v>17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7</v>
      </c>
      <c r="BR9" s="1" t="s">
        <v>3</v>
      </c>
      <c r="BS9" s="1" t="s">
        <v>3</v>
      </c>
      <c r="BT9" s="1" t="s">
        <v>3</v>
      </c>
      <c r="BU9" s="1" t="s">
        <v>26</v>
      </c>
      <c r="BV9" s="1" t="s">
        <v>8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154</v>
      </c>
      <c r="CC9" s="1" t="s">
        <v>7</v>
      </c>
      <c r="CD9" s="1" t="s">
        <v>7</v>
      </c>
      <c r="CE9" s="1" t="s">
        <v>7</v>
      </c>
      <c r="CF9" s="1" t="s">
        <v>7</v>
      </c>
      <c r="CG9" s="1" t="s">
        <v>7</v>
      </c>
      <c r="CH9" s="1" t="s">
        <v>7</v>
      </c>
      <c r="CI9" s="1" t="s">
        <v>17</v>
      </c>
      <c r="CJ9" s="1" t="s">
        <v>7</v>
      </c>
      <c r="CK9" s="1" t="s">
        <v>7</v>
      </c>
      <c r="CL9" s="1" t="s">
        <v>7</v>
      </c>
      <c r="CM9">
        <v>6</v>
      </c>
      <c r="CN9" s="1" t="s">
        <v>152</v>
      </c>
      <c r="CO9" s="1" t="s">
        <v>156</v>
      </c>
      <c r="CP9" s="1" t="s">
        <v>30</v>
      </c>
      <c r="CQ9" s="1" t="s">
        <v>25</v>
      </c>
      <c r="CR9" s="1" t="s">
        <v>7</v>
      </c>
      <c r="CS9" s="1" t="s">
        <v>28</v>
      </c>
      <c r="CT9" s="1" t="s">
        <v>7</v>
      </c>
      <c r="CU9" s="1" t="s">
        <v>29</v>
      </c>
      <c r="CV9" s="1" t="s">
        <v>1</v>
      </c>
      <c r="CW9" s="1" t="s">
        <v>7</v>
      </c>
      <c r="CX9" s="1" t="s">
        <v>7</v>
      </c>
      <c r="CY9" s="1" t="s">
        <v>7</v>
      </c>
      <c r="CZ9" s="1" t="s">
        <v>7</v>
      </c>
      <c r="DG9">
        <v>5</v>
      </c>
      <c r="DH9" s="1" t="s">
        <v>113</v>
      </c>
      <c r="DI9" s="1" t="s">
        <v>23</v>
      </c>
      <c r="DJ9" s="1" t="s">
        <v>24</v>
      </c>
      <c r="DK9" s="1" t="s">
        <v>17</v>
      </c>
      <c r="DL9" s="1" t="s">
        <v>1</v>
      </c>
      <c r="DM9" s="1" t="s">
        <v>3</v>
      </c>
      <c r="DN9" s="1" t="s">
        <v>8</v>
      </c>
      <c r="DO9" s="1" t="s">
        <v>8</v>
      </c>
      <c r="DP9" s="1" t="s">
        <v>7</v>
      </c>
      <c r="DQ9" s="1" t="s">
        <v>7</v>
      </c>
      <c r="DR9" s="1" t="s">
        <v>7</v>
      </c>
      <c r="DS9" s="1" t="s">
        <v>7</v>
      </c>
      <c r="DT9" s="1" t="s">
        <v>17</v>
      </c>
      <c r="DU9" s="1" t="s">
        <v>7</v>
      </c>
      <c r="EA9">
        <v>6</v>
      </c>
      <c r="EB9" s="1" t="s">
        <v>156</v>
      </c>
      <c r="EC9" s="1" t="s">
        <v>61</v>
      </c>
      <c r="ED9" s="1" t="s">
        <v>7</v>
      </c>
      <c r="EE9" s="1" t="s">
        <v>7</v>
      </c>
      <c r="EF9" s="1" t="s">
        <v>7</v>
      </c>
      <c r="EG9" s="1" t="s">
        <v>7</v>
      </c>
      <c r="EH9" s="1" t="s">
        <v>7</v>
      </c>
      <c r="EI9" s="1" t="s">
        <v>12</v>
      </c>
      <c r="EJ9" s="1" t="s">
        <v>1</v>
      </c>
      <c r="EK9" s="1" t="s">
        <v>63</v>
      </c>
      <c r="EL9" s="1" t="s">
        <v>8</v>
      </c>
      <c r="EM9" s="1" t="s">
        <v>7</v>
      </c>
      <c r="EN9" s="1" t="s">
        <v>7</v>
      </c>
      <c r="FY9">
        <v>5</v>
      </c>
      <c r="FZ9" s="1" t="s">
        <v>2</v>
      </c>
      <c r="GA9" s="1" t="s">
        <v>3</v>
      </c>
      <c r="GB9" s="1" t="s">
        <v>4</v>
      </c>
      <c r="GC9" s="1" t="s">
        <v>5</v>
      </c>
      <c r="GD9" s="1" t="s">
        <v>6</v>
      </c>
      <c r="GE9" s="1" t="s">
        <v>227</v>
      </c>
      <c r="GF9" s="1" t="s">
        <v>228</v>
      </c>
      <c r="GG9" s="1" t="s">
        <v>7</v>
      </c>
      <c r="GH9" s="1" t="s">
        <v>7</v>
      </c>
      <c r="GI9" s="1" t="s">
        <v>7</v>
      </c>
      <c r="GJ9" s="1" t="s">
        <v>8</v>
      </c>
      <c r="GK9" s="1" t="s">
        <v>7</v>
      </c>
      <c r="GL9" s="1" t="s">
        <v>8</v>
      </c>
      <c r="GM9" s="1" t="s">
        <v>7</v>
      </c>
      <c r="GN9" s="1" t="s">
        <v>8</v>
      </c>
      <c r="GO9" s="1" t="s">
        <v>216</v>
      </c>
      <c r="GP9" s="1" t="s">
        <v>215</v>
      </c>
      <c r="GQ9" s="1" t="s">
        <v>7</v>
      </c>
      <c r="GR9" s="1" t="s">
        <v>7</v>
      </c>
      <c r="GS9" s="1" t="s">
        <v>9</v>
      </c>
      <c r="GT9" s="1" t="s">
        <v>227</v>
      </c>
      <c r="HW9">
        <v>7</v>
      </c>
      <c r="HX9" s="1" t="s">
        <v>38</v>
      </c>
      <c r="HY9" s="1" t="s">
        <v>3</v>
      </c>
    </row>
    <row r="10" spans="1:233">
      <c r="AE10">
        <v>5</v>
      </c>
      <c r="AF10" s="1" t="s">
        <v>142</v>
      </c>
      <c r="AG10" s="1" t="s">
        <v>18</v>
      </c>
      <c r="AH10" s="1" t="s">
        <v>7</v>
      </c>
      <c r="AI10" s="1" t="s">
        <v>1</v>
      </c>
      <c r="AJ10" s="1" t="s">
        <v>1</v>
      </c>
      <c r="AK10" s="1" t="s">
        <v>11</v>
      </c>
      <c r="AL10" s="1" t="s">
        <v>7</v>
      </c>
      <c r="AM10" s="1" t="s">
        <v>7</v>
      </c>
      <c r="AN10" s="1" t="s">
        <v>7</v>
      </c>
      <c r="AO10" s="1" t="s">
        <v>7</v>
      </c>
      <c r="AP10" s="1" t="s">
        <v>7</v>
      </c>
      <c r="AQ10" s="1" t="s">
        <v>7</v>
      </c>
      <c r="AR10" s="1" t="s">
        <v>19</v>
      </c>
      <c r="AS10" s="1" t="s">
        <v>7</v>
      </c>
      <c r="AT10" s="1" t="s">
        <v>12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14</v>
      </c>
      <c r="AZ10" s="1" t="s">
        <v>142</v>
      </c>
      <c r="BA10" s="1" t="s">
        <v>15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7</v>
      </c>
      <c r="BG10" s="1" t="s">
        <v>7</v>
      </c>
      <c r="BH10" s="1" t="s">
        <v>7</v>
      </c>
      <c r="BI10" s="1" t="s">
        <v>7</v>
      </c>
      <c r="BJ10" s="1" t="s">
        <v>13</v>
      </c>
      <c r="BK10" s="1" t="s">
        <v>17</v>
      </c>
      <c r="BL10" s="1" t="s">
        <v>1</v>
      </c>
      <c r="BM10" s="1" t="s">
        <v>8</v>
      </c>
      <c r="BN10" s="1" t="s">
        <v>7</v>
      </c>
      <c r="BO10" s="1" t="s">
        <v>7</v>
      </c>
      <c r="BP10" s="1" t="s">
        <v>7</v>
      </c>
      <c r="BQ10" s="1" t="s">
        <v>7</v>
      </c>
      <c r="BR10" s="1" t="s">
        <v>8</v>
      </c>
      <c r="BS10" s="1" t="s">
        <v>8</v>
      </c>
      <c r="BT10" s="1" t="s">
        <v>8</v>
      </c>
      <c r="BU10" s="1" t="s">
        <v>8</v>
      </c>
      <c r="BV10" s="1" t="s">
        <v>8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7</v>
      </c>
      <c r="CB10" s="1" t="s">
        <v>142</v>
      </c>
      <c r="CC10" s="1" t="s">
        <v>7</v>
      </c>
      <c r="CD10" s="1" t="s">
        <v>7</v>
      </c>
      <c r="CE10" s="1" t="s">
        <v>7</v>
      </c>
      <c r="CF10" s="1" t="s">
        <v>7</v>
      </c>
      <c r="CG10" s="1" t="s">
        <v>7</v>
      </c>
      <c r="CH10" s="1" t="s">
        <v>7</v>
      </c>
      <c r="CI10" s="1" t="s">
        <v>17</v>
      </c>
      <c r="CJ10" s="1" t="s">
        <v>7</v>
      </c>
      <c r="CK10" s="1" t="s">
        <v>7</v>
      </c>
      <c r="CL10" s="1" t="s">
        <v>7</v>
      </c>
      <c r="CM10">
        <v>6</v>
      </c>
      <c r="CN10" s="1" t="s">
        <v>152</v>
      </c>
      <c r="CO10" s="1" t="s">
        <v>157</v>
      </c>
      <c r="CP10" s="1" t="s">
        <v>31</v>
      </c>
      <c r="CQ10" s="1" t="s">
        <v>32</v>
      </c>
      <c r="CR10" s="1" t="s">
        <v>7</v>
      </c>
      <c r="CS10" s="1" t="s">
        <v>28</v>
      </c>
      <c r="CT10" s="1" t="s">
        <v>7</v>
      </c>
      <c r="CU10" s="1" t="s">
        <v>29</v>
      </c>
      <c r="CV10" s="1" t="s">
        <v>1</v>
      </c>
      <c r="CW10" s="1" t="s">
        <v>7</v>
      </c>
      <c r="CX10" s="1" t="s">
        <v>7</v>
      </c>
      <c r="CY10" s="1" t="s">
        <v>7</v>
      </c>
      <c r="CZ10" s="1" t="s">
        <v>7</v>
      </c>
      <c r="DG10">
        <v>5</v>
      </c>
      <c r="DH10" s="1" t="s">
        <v>113</v>
      </c>
      <c r="DI10" s="1" t="s">
        <v>72</v>
      </c>
      <c r="DJ10" s="1" t="s">
        <v>218</v>
      </c>
      <c r="DK10" s="1" t="s">
        <v>17</v>
      </c>
      <c r="DL10" s="1" t="s">
        <v>1</v>
      </c>
      <c r="DM10" s="1" t="s">
        <v>3</v>
      </c>
      <c r="DN10" s="1" t="s">
        <v>8</v>
      </c>
      <c r="DO10" s="1" t="s">
        <v>8</v>
      </c>
      <c r="DP10" s="1" t="s">
        <v>7</v>
      </c>
      <c r="DQ10" s="1" t="s">
        <v>7</v>
      </c>
      <c r="DR10" s="1" t="s">
        <v>7</v>
      </c>
      <c r="DS10" s="1" t="s">
        <v>7</v>
      </c>
      <c r="DT10" s="1" t="s">
        <v>17</v>
      </c>
      <c r="DU10" s="1" t="s">
        <v>7</v>
      </c>
      <c r="EA10">
        <v>6</v>
      </c>
      <c r="EB10" s="1" t="s">
        <v>157</v>
      </c>
      <c r="EC10" s="1" t="s">
        <v>61</v>
      </c>
      <c r="ED10" s="1" t="s">
        <v>7</v>
      </c>
      <c r="EE10" s="1" t="s">
        <v>7</v>
      </c>
      <c r="EF10" s="1" t="s">
        <v>7</v>
      </c>
      <c r="EG10" s="1" t="s">
        <v>7</v>
      </c>
      <c r="EH10" s="1" t="s">
        <v>7</v>
      </c>
      <c r="EI10" s="1" t="s">
        <v>12</v>
      </c>
      <c r="EJ10" s="1" t="s">
        <v>1</v>
      </c>
      <c r="EK10" s="1" t="s">
        <v>64</v>
      </c>
      <c r="EL10" s="1" t="s">
        <v>8</v>
      </c>
      <c r="EM10" s="1" t="s">
        <v>7</v>
      </c>
      <c r="EN10" s="1" t="s">
        <v>7</v>
      </c>
      <c r="FY10">
        <v>4</v>
      </c>
      <c r="FZ10" s="1" t="s">
        <v>128</v>
      </c>
      <c r="GA10" s="1" t="s">
        <v>3</v>
      </c>
      <c r="GB10" s="1" t="s">
        <v>28</v>
      </c>
      <c r="GC10" s="1" t="s">
        <v>5</v>
      </c>
      <c r="GD10" s="1" t="s">
        <v>6</v>
      </c>
      <c r="GE10" s="1" t="s">
        <v>229</v>
      </c>
      <c r="GF10" s="1" t="s">
        <v>230</v>
      </c>
      <c r="GG10" s="1" t="s">
        <v>7</v>
      </c>
      <c r="GH10" s="1" t="s">
        <v>7</v>
      </c>
      <c r="GI10" s="1" t="s">
        <v>231</v>
      </c>
      <c r="GJ10" s="1" t="s">
        <v>224</v>
      </c>
      <c r="GK10" s="1" t="s">
        <v>7</v>
      </c>
      <c r="GL10" s="1" t="s">
        <v>8</v>
      </c>
      <c r="GM10" s="1" t="s">
        <v>7</v>
      </c>
      <c r="GN10" s="1" t="s">
        <v>8</v>
      </c>
      <c r="GO10" s="1" t="s">
        <v>214</v>
      </c>
      <c r="GP10" s="1" t="s">
        <v>215</v>
      </c>
      <c r="GQ10" s="1" t="s">
        <v>7</v>
      </c>
      <c r="GR10" s="1" t="s">
        <v>7</v>
      </c>
      <c r="GS10" s="1" t="s">
        <v>10</v>
      </c>
      <c r="GT10" s="1" t="s">
        <v>229</v>
      </c>
      <c r="HW10">
        <v>7</v>
      </c>
      <c r="HX10" s="1" t="s">
        <v>34</v>
      </c>
      <c r="HY10" s="1" t="s">
        <v>7</v>
      </c>
    </row>
    <row r="11" spans="1:233">
      <c r="AE11">
        <v>5</v>
      </c>
      <c r="AF11" s="1" t="s">
        <v>72</v>
      </c>
      <c r="AG11" s="1" t="s">
        <v>218</v>
      </c>
      <c r="AH11" s="1" t="s">
        <v>1</v>
      </c>
      <c r="AI11" s="1" t="s">
        <v>7</v>
      </c>
      <c r="AJ11" s="1" t="s">
        <v>22</v>
      </c>
      <c r="AK11" s="1" t="s">
        <v>11</v>
      </c>
      <c r="AL11" s="1" t="s">
        <v>7</v>
      </c>
      <c r="AM11" s="1" t="s">
        <v>7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26</v>
      </c>
      <c r="AT11" s="1" t="s">
        <v>187</v>
      </c>
      <c r="AU11" s="1" t="s">
        <v>7</v>
      </c>
      <c r="AV11" s="1" t="s">
        <v>7</v>
      </c>
      <c r="AW11" s="1" t="s">
        <v>7</v>
      </c>
      <c r="AX11" s="1" t="s">
        <v>13</v>
      </c>
      <c r="AY11" s="1" t="s">
        <v>28</v>
      </c>
      <c r="AZ11" s="1" t="s">
        <v>72</v>
      </c>
      <c r="BA11" s="1" t="s">
        <v>15</v>
      </c>
      <c r="BB11" s="1" t="s">
        <v>7</v>
      </c>
      <c r="BC11" s="1" t="s">
        <v>7</v>
      </c>
      <c r="BD11" s="1" t="s">
        <v>16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13</v>
      </c>
      <c r="BK11" s="1" t="s">
        <v>17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7</v>
      </c>
      <c r="BR11" s="1" t="s">
        <v>3</v>
      </c>
      <c r="BS11" s="1" t="s">
        <v>3</v>
      </c>
      <c r="BT11" s="1" t="s">
        <v>3</v>
      </c>
      <c r="BU11" s="1" t="s">
        <v>3</v>
      </c>
      <c r="BV11" s="1" t="s">
        <v>8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8</v>
      </c>
      <c r="CB11" s="1" t="s">
        <v>143</v>
      </c>
      <c r="CC11" s="1" t="s">
        <v>7</v>
      </c>
      <c r="CD11" s="1" t="s">
        <v>7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17</v>
      </c>
      <c r="CJ11" s="1" t="s">
        <v>7</v>
      </c>
      <c r="CK11" s="1" t="s">
        <v>7</v>
      </c>
      <c r="CL11" s="1" t="s">
        <v>7</v>
      </c>
      <c r="CM11">
        <v>6</v>
      </c>
      <c r="CN11" s="1" t="s">
        <v>152</v>
      </c>
      <c r="CO11" s="1" t="s">
        <v>158</v>
      </c>
      <c r="CP11" s="1" t="s">
        <v>70</v>
      </c>
      <c r="CQ11" s="1" t="s">
        <v>66</v>
      </c>
      <c r="CR11" s="1" t="s">
        <v>7</v>
      </c>
      <c r="CS11" s="1" t="s">
        <v>28</v>
      </c>
      <c r="CT11" s="1" t="s">
        <v>7</v>
      </c>
      <c r="CU11" s="1" t="s">
        <v>29</v>
      </c>
      <c r="CV11" s="1" t="s">
        <v>1</v>
      </c>
      <c r="CW11" s="1" t="s">
        <v>7</v>
      </c>
      <c r="CX11" s="1" t="s">
        <v>7</v>
      </c>
      <c r="CY11" s="1" t="s">
        <v>7</v>
      </c>
      <c r="CZ11" s="1" t="s">
        <v>7</v>
      </c>
      <c r="DG11">
        <v>4</v>
      </c>
      <c r="DH11" s="1" t="s">
        <v>72</v>
      </c>
      <c r="DI11" s="1" t="s">
        <v>20</v>
      </c>
      <c r="DJ11" s="1" t="s">
        <v>21</v>
      </c>
      <c r="DK11" s="1" t="s">
        <v>17</v>
      </c>
      <c r="DL11" s="1" t="s">
        <v>1</v>
      </c>
      <c r="DM11" s="1" t="s">
        <v>3</v>
      </c>
      <c r="DN11" s="1" t="s">
        <v>8</v>
      </c>
      <c r="DO11" s="1" t="s">
        <v>8</v>
      </c>
      <c r="DP11" s="1" t="s">
        <v>7</v>
      </c>
      <c r="DQ11" s="1" t="s">
        <v>7</v>
      </c>
      <c r="DR11" s="1" t="s">
        <v>7</v>
      </c>
      <c r="DS11" s="1" t="s">
        <v>7</v>
      </c>
      <c r="DT11" s="1" t="s">
        <v>17</v>
      </c>
      <c r="DU11" s="1" t="s">
        <v>7</v>
      </c>
      <c r="EA11">
        <v>6</v>
      </c>
      <c r="EB11" s="1" t="s">
        <v>158</v>
      </c>
      <c r="EC11" s="1" t="s">
        <v>61</v>
      </c>
      <c r="ED11" s="1" t="s">
        <v>7</v>
      </c>
      <c r="EE11" s="1" t="s">
        <v>3</v>
      </c>
      <c r="EF11" s="1" t="s">
        <v>7</v>
      </c>
      <c r="EG11" s="1" t="s">
        <v>7</v>
      </c>
      <c r="EH11" s="1" t="s">
        <v>7</v>
      </c>
      <c r="EI11" s="1" t="s">
        <v>12</v>
      </c>
      <c r="EJ11" s="1" t="s">
        <v>1</v>
      </c>
      <c r="EK11" s="1" t="s">
        <v>67</v>
      </c>
      <c r="EL11" s="1" t="s">
        <v>8</v>
      </c>
      <c r="EM11" s="1" t="s">
        <v>7</v>
      </c>
      <c r="EN11" s="1" t="s">
        <v>7</v>
      </c>
      <c r="FY11">
        <v>4</v>
      </c>
      <c r="FZ11" s="1" t="s">
        <v>2</v>
      </c>
      <c r="GA11" s="1" t="s">
        <v>3</v>
      </c>
      <c r="GB11" s="1" t="s">
        <v>4</v>
      </c>
      <c r="GC11" s="1" t="s">
        <v>5</v>
      </c>
      <c r="GD11" s="1" t="s">
        <v>6</v>
      </c>
      <c r="GE11" s="1" t="s">
        <v>227</v>
      </c>
      <c r="GF11" s="1" t="s">
        <v>228</v>
      </c>
      <c r="GG11" s="1" t="s">
        <v>7</v>
      </c>
      <c r="GH11" s="1" t="s">
        <v>7</v>
      </c>
      <c r="GI11" s="1" t="s">
        <v>7</v>
      </c>
      <c r="GJ11" s="1" t="s">
        <v>8</v>
      </c>
      <c r="GK11" s="1" t="s">
        <v>7</v>
      </c>
      <c r="GL11" s="1" t="s">
        <v>8</v>
      </c>
      <c r="GM11" s="1" t="s">
        <v>7</v>
      </c>
      <c r="GN11" s="1" t="s">
        <v>8</v>
      </c>
      <c r="GO11" s="1" t="s">
        <v>216</v>
      </c>
      <c r="GP11" s="1" t="s">
        <v>215</v>
      </c>
      <c r="GQ11" s="1" t="s">
        <v>7</v>
      </c>
      <c r="GR11" s="1" t="s">
        <v>7</v>
      </c>
      <c r="GS11" s="1" t="s">
        <v>9</v>
      </c>
      <c r="GT11" s="1" t="s">
        <v>227</v>
      </c>
      <c r="HW11">
        <v>7</v>
      </c>
      <c r="HX11" s="1" t="s">
        <v>188</v>
      </c>
      <c r="HY11" s="1" t="s">
        <v>161</v>
      </c>
    </row>
    <row r="12" spans="1:233">
      <c r="AE12">
        <v>5</v>
      </c>
      <c r="AF12" s="1" t="s">
        <v>113</v>
      </c>
      <c r="AG12" s="1" t="s">
        <v>219</v>
      </c>
      <c r="AH12" s="1" t="s">
        <v>1</v>
      </c>
      <c r="AI12" s="1" t="s">
        <v>7</v>
      </c>
      <c r="AJ12" s="1" t="s">
        <v>22</v>
      </c>
      <c r="AK12" s="1" t="s">
        <v>25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26</v>
      </c>
      <c r="AT12" s="1" t="s">
        <v>187</v>
      </c>
      <c r="AU12" s="1" t="s">
        <v>7</v>
      </c>
      <c r="AV12" s="1" t="s">
        <v>7</v>
      </c>
      <c r="AW12" s="1" t="s">
        <v>7</v>
      </c>
      <c r="AX12" s="1" t="s">
        <v>13</v>
      </c>
      <c r="AY12" s="1" t="s">
        <v>14</v>
      </c>
      <c r="AZ12" s="1" t="s">
        <v>113</v>
      </c>
      <c r="BA12" s="1" t="s">
        <v>15</v>
      </c>
      <c r="BB12" s="1" t="s">
        <v>7</v>
      </c>
      <c r="BC12" s="1" t="s">
        <v>7</v>
      </c>
      <c r="BD12" s="1" t="s">
        <v>16</v>
      </c>
      <c r="BE12" s="1" t="s">
        <v>7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13</v>
      </c>
      <c r="BK12" s="1" t="s">
        <v>17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7</v>
      </c>
      <c r="BQ12" s="1" t="s">
        <v>7</v>
      </c>
      <c r="BR12" s="1" t="s">
        <v>3</v>
      </c>
      <c r="BS12" s="1" t="s">
        <v>3</v>
      </c>
      <c r="BT12" s="1" t="s">
        <v>3</v>
      </c>
      <c r="BU12" s="1" t="s">
        <v>26</v>
      </c>
      <c r="BV12" s="1" t="s">
        <v>8</v>
      </c>
      <c r="BW12" s="1" t="s">
        <v>7</v>
      </c>
      <c r="BX12" s="1" t="s">
        <v>7</v>
      </c>
      <c r="BY12" s="1" t="s">
        <v>7</v>
      </c>
      <c r="BZ12" s="1" t="s">
        <v>7</v>
      </c>
      <c r="CA12" s="1" t="s">
        <v>8</v>
      </c>
      <c r="CB12" s="1" t="s">
        <v>144</v>
      </c>
      <c r="CC12" s="1" t="s">
        <v>7</v>
      </c>
      <c r="CD12" s="1" t="s">
        <v>7</v>
      </c>
      <c r="CE12" s="1" t="s">
        <v>7</v>
      </c>
      <c r="CF12" s="1" t="s">
        <v>7</v>
      </c>
      <c r="CG12" s="1" t="s">
        <v>7</v>
      </c>
      <c r="CH12" s="1" t="s">
        <v>7</v>
      </c>
      <c r="CI12" s="1" t="s">
        <v>17</v>
      </c>
      <c r="CJ12" s="1" t="s">
        <v>7</v>
      </c>
      <c r="CK12" s="1" t="s">
        <v>7</v>
      </c>
      <c r="CL12" s="1" t="s">
        <v>7</v>
      </c>
      <c r="CM12">
        <v>5</v>
      </c>
      <c r="CN12" s="1" t="s">
        <v>142</v>
      </c>
      <c r="CO12" s="1" t="s">
        <v>145</v>
      </c>
      <c r="CP12" s="1" t="s">
        <v>27</v>
      </c>
      <c r="CQ12" s="1" t="s">
        <v>11</v>
      </c>
      <c r="CR12" s="1" t="s">
        <v>7</v>
      </c>
      <c r="CS12" s="1" t="s">
        <v>28</v>
      </c>
      <c r="CT12" s="1" t="s">
        <v>7</v>
      </c>
      <c r="CU12" s="1" t="s">
        <v>29</v>
      </c>
      <c r="CV12" s="1" t="s">
        <v>1</v>
      </c>
      <c r="CW12" s="1" t="s">
        <v>7</v>
      </c>
      <c r="CX12" s="1" t="s">
        <v>7</v>
      </c>
      <c r="CY12" s="1" t="s">
        <v>7</v>
      </c>
      <c r="CZ12" s="1" t="s">
        <v>7</v>
      </c>
      <c r="DG12">
        <v>4</v>
      </c>
      <c r="DH12" s="1" t="s">
        <v>72</v>
      </c>
      <c r="DI12" s="1" t="s">
        <v>23</v>
      </c>
      <c r="DJ12" s="1" t="s">
        <v>24</v>
      </c>
      <c r="DK12" s="1" t="s">
        <v>17</v>
      </c>
      <c r="DL12" s="1" t="s">
        <v>1</v>
      </c>
      <c r="DM12" s="1" t="s">
        <v>3</v>
      </c>
      <c r="DN12" s="1" t="s">
        <v>8</v>
      </c>
      <c r="DO12" s="1" t="s">
        <v>8</v>
      </c>
      <c r="DP12" s="1" t="s">
        <v>7</v>
      </c>
      <c r="DQ12" s="1" t="s">
        <v>7</v>
      </c>
      <c r="DR12" s="1" t="s">
        <v>7</v>
      </c>
      <c r="DS12" s="1" t="s">
        <v>7</v>
      </c>
      <c r="DT12" s="1" t="s">
        <v>17</v>
      </c>
      <c r="DU12" s="1" t="s">
        <v>7</v>
      </c>
      <c r="EA12">
        <v>5</v>
      </c>
      <c r="EB12" s="1" t="s">
        <v>145</v>
      </c>
      <c r="EC12" s="1" t="s">
        <v>61</v>
      </c>
      <c r="ED12" s="1" t="s">
        <v>7</v>
      </c>
      <c r="EE12" s="1" t="s">
        <v>7</v>
      </c>
      <c r="EF12" s="1" t="s">
        <v>7</v>
      </c>
      <c r="EG12" s="1" t="s">
        <v>7</v>
      </c>
      <c r="EH12" s="1" t="s">
        <v>7</v>
      </c>
      <c r="EI12" s="1" t="s">
        <v>12</v>
      </c>
      <c r="EJ12" s="1" t="s">
        <v>1</v>
      </c>
      <c r="EK12" s="1" t="s">
        <v>62</v>
      </c>
      <c r="EL12" s="1" t="s">
        <v>8</v>
      </c>
      <c r="EM12" s="1" t="s">
        <v>7</v>
      </c>
      <c r="EN12" s="1" t="s">
        <v>7</v>
      </c>
      <c r="HW12">
        <v>7</v>
      </c>
      <c r="HX12" s="1" t="s">
        <v>39</v>
      </c>
      <c r="HY12" s="1" t="s">
        <v>7</v>
      </c>
    </row>
    <row r="13" spans="1:233">
      <c r="AE13">
        <v>4</v>
      </c>
      <c r="AF13" s="1" t="s">
        <v>132</v>
      </c>
      <c r="AG13" s="1" t="s">
        <v>18</v>
      </c>
      <c r="AH13" s="1" t="s">
        <v>7</v>
      </c>
      <c r="AI13" s="1" t="s">
        <v>1</v>
      </c>
      <c r="AJ13" s="1" t="s">
        <v>1</v>
      </c>
      <c r="AK13" s="1" t="s">
        <v>11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7</v>
      </c>
      <c r="AR13" s="1" t="s">
        <v>19</v>
      </c>
      <c r="AS13" s="1" t="s">
        <v>7</v>
      </c>
      <c r="AT13" s="1" t="s">
        <v>12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14</v>
      </c>
      <c r="AZ13" s="1" t="s">
        <v>132</v>
      </c>
      <c r="BA13" s="1" t="s">
        <v>15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13</v>
      </c>
      <c r="BK13" s="1" t="s">
        <v>17</v>
      </c>
      <c r="BL13" s="1" t="s">
        <v>1</v>
      </c>
      <c r="BM13" s="1" t="s">
        <v>8</v>
      </c>
      <c r="BN13" s="1" t="s">
        <v>7</v>
      </c>
      <c r="BO13" s="1" t="s">
        <v>7</v>
      </c>
      <c r="BP13" s="1" t="s">
        <v>7</v>
      </c>
      <c r="BQ13" s="1" t="s">
        <v>7</v>
      </c>
      <c r="BR13" s="1" t="s">
        <v>8</v>
      </c>
      <c r="BS13" s="1" t="s">
        <v>8</v>
      </c>
      <c r="BT13" s="1" t="s">
        <v>8</v>
      </c>
      <c r="BU13" s="1" t="s">
        <v>8</v>
      </c>
      <c r="BV13" s="1" t="s">
        <v>8</v>
      </c>
      <c r="BW13" s="1" t="s">
        <v>7</v>
      </c>
      <c r="BX13" s="1" t="s">
        <v>7</v>
      </c>
      <c r="BY13" s="1" t="s">
        <v>7</v>
      </c>
      <c r="BZ13" s="1" t="s">
        <v>7</v>
      </c>
      <c r="CA13" s="1" t="s">
        <v>7</v>
      </c>
      <c r="CB13" s="1" t="s">
        <v>132</v>
      </c>
      <c r="CC13" s="1" t="s">
        <v>7</v>
      </c>
      <c r="CD13" s="1" t="s">
        <v>7</v>
      </c>
      <c r="CE13" s="1" t="s">
        <v>7</v>
      </c>
      <c r="CF13" s="1" t="s">
        <v>7</v>
      </c>
      <c r="CG13" s="1" t="s">
        <v>7</v>
      </c>
      <c r="CH13" s="1" t="s">
        <v>7</v>
      </c>
      <c r="CI13" s="1" t="s">
        <v>17</v>
      </c>
      <c r="CJ13" s="1" t="s">
        <v>7</v>
      </c>
      <c r="CK13" s="1" t="s">
        <v>7</v>
      </c>
      <c r="CL13" s="1" t="s">
        <v>7</v>
      </c>
      <c r="CM13">
        <v>5</v>
      </c>
      <c r="CN13" s="1" t="s">
        <v>142</v>
      </c>
      <c r="CO13" s="1" t="s">
        <v>146</v>
      </c>
      <c r="CP13" s="1" t="s">
        <v>30</v>
      </c>
      <c r="CQ13" s="1" t="s">
        <v>25</v>
      </c>
      <c r="CR13" s="1" t="s">
        <v>7</v>
      </c>
      <c r="CS13" s="1" t="s">
        <v>28</v>
      </c>
      <c r="CT13" s="1" t="s">
        <v>7</v>
      </c>
      <c r="CU13" s="1" t="s">
        <v>29</v>
      </c>
      <c r="CV13" s="1" t="s">
        <v>1</v>
      </c>
      <c r="CW13" s="1" t="s">
        <v>7</v>
      </c>
      <c r="CX13" s="1" t="s">
        <v>7</v>
      </c>
      <c r="CY13" s="1" t="s">
        <v>7</v>
      </c>
      <c r="CZ13" s="1" t="s">
        <v>7</v>
      </c>
      <c r="DG13">
        <v>4</v>
      </c>
      <c r="DH13" s="1" t="s">
        <v>113</v>
      </c>
      <c r="DI13" s="1" t="s">
        <v>20</v>
      </c>
      <c r="DJ13" s="1" t="s">
        <v>21</v>
      </c>
      <c r="DK13" s="1" t="s">
        <v>17</v>
      </c>
      <c r="DL13" s="1" t="s">
        <v>1</v>
      </c>
      <c r="DM13" s="1" t="s">
        <v>3</v>
      </c>
      <c r="DN13" s="1" t="s">
        <v>8</v>
      </c>
      <c r="DO13" s="1" t="s">
        <v>8</v>
      </c>
      <c r="DP13" s="1" t="s">
        <v>7</v>
      </c>
      <c r="DQ13" s="1" t="s">
        <v>7</v>
      </c>
      <c r="DR13" s="1" t="s">
        <v>7</v>
      </c>
      <c r="DS13" s="1" t="s">
        <v>7</v>
      </c>
      <c r="DT13" s="1" t="s">
        <v>17</v>
      </c>
      <c r="DU13" s="1" t="s">
        <v>7</v>
      </c>
      <c r="EA13">
        <v>5</v>
      </c>
      <c r="EB13" s="1" t="s">
        <v>146</v>
      </c>
      <c r="EC13" s="1" t="s">
        <v>61</v>
      </c>
      <c r="ED13" s="1" t="s">
        <v>7</v>
      </c>
      <c r="EE13" s="1" t="s">
        <v>7</v>
      </c>
      <c r="EF13" s="1" t="s">
        <v>7</v>
      </c>
      <c r="EG13" s="1" t="s">
        <v>7</v>
      </c>
      <c r="EH13" s="1" t="s">
        <v>7</v>
      </c>
      <c r="EI13" s="1" t="s">
        <v>12</v>
      </c>
      <c r="EJ13" s="1" t="s">
        <v>1</v>
      </c>
      <c r="EK13" s="1" t="s">
        <v>63</v>
      </c>
      <c r="EL13" s="1" t="s">
        <v>8</v>
      </c>
      <c r="EM13" s="1" t="s">
        <v>7</v>
      </c>
      <c r="EN13" s="1" t="s">
        <v>7</v>
      </c>
      <c r="HW13">
        <v>7</v>
      </c>
      <c r="HX13" s="1" t="s">
        <v>42</v>
      </c>
      <c r="HY13" s="1" t="s">
        <v>7</v>
      </c>
    </row>
    <row r="14" spans="1:233">
      <c r="AE14">
        <v>4</v>
      </c>
      <c r="AF14" s="1" t="s">
        <v>72</v>
      </c>
      <c r="AG14" s="1" t="s">
        <v>218</v>
      </c>
      <c r="AH14" s="1" t="s">
        <v>1</v>
      </c>
      <c r="AI14" s="1" t="s">
        <v>7</v>
      </c>
      <c r="AJ14" s="1" t="s">
        <v>22</v>
      </c>
      <c r="AK14" s="1" t="s">
        <v>11</v>
      </c>
      <c r="AL14" s="1" t="s">
        <v>7</v>
      </c>
      <c r="AM14" s="1" t="s">
        <v>7</v>
      </c>
      <c r="AN14" s="1" t="s">
        <v>7</v>
      </c>
      <c r="AO14" s="1" t="s">
        <v>7</v>
      </c>
      <c r="AP14" s="1" t="s">
        <v>7</v>
      </c>
      <c r="AQ14" s="1" t="s">
        <v>7</v>
      </c>
      <c r="AR14" s="1" t="s">
        <v>7</v>
      </c>
      <c r="AS14" s="1" t="s">
        <v>26</v>
      </c>
      <c r="AT14" s="1" t="s">
        <v>187</v>
      </c>
      <c r="AU14" s="1" t="s">
        <v>7</v>
      </c>
      <c r="AV14" s="1" t="s">
        <v>7</v>
      </c>
      <c r="AW14" s="1" t="s">
        <v>7</v>
      </c>
      <c r="AX14" s="1" t="s">
        <v>13</v>
      </c>
      <c r="AY14" s="1" t="s">
        <v>28</v>
      </c>
      <c r="AZ14" s="1" t="s">
        <v>72</v>
      </c>
      <c r="BA14" s="1" t="s">
        <v>15</v>
      </c>
      <c r="BB14" s="1" t="s">
        <v>7</v>
      </c>
      <c r="BC14" s="1" t="s">
        <v>7</v>
      </c>
      <c r="BD14" s="1" t="s">
        <v>16</v>
      </c>
      <c r="BE14" s="1" t="s">
        <v>7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13</v>
      </c>
      <c r="BK14" s="1" t="s">
        <v>17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7</v>
      </c>
      <c r="BR14" s="1" t="s">
        <v>3</v>
      </c>
      <c r="BS14" s="1" t="s">
        <v>3</v>
      </c>
      <c r="BT14" s="1" t="s">
        <v>3</v>
      </c>
      <c r="BU14" s="1" t="s">
        <v>64</v>
      </c>
      <c r="BV14" s="1" t="s">
        <v>8</v>
      </c>
      <c r="BW14" s="1" t="s">
        <v>7</v>
      </c>
      <c r="BX14" s="1" t="s">
        <v>7</v>
      </c>
      <c r="BY14" s="1" t="s">
        <v>7</v>
      </c>
      <c r="BZ14" s="1" t="s">
        <v>7</v>
      </c>
      <c r="CA14" s="1" t="s">
        <v>8</v>
      </c>
      <c r="CB14" s="1" t="s">
        <v>133</v>
      </c>
      <c r="CC14" s="1" t="s">
        <v>7</v>
      </c>
      <c r="CD14" s="1" t="s">
        <v>7</v>
      </c>
      <c r="CE14" s="1" t="s">
        <v>7</v>
      </c>
      <c r="CF14" s="1" t="s">
        <v>7</v>
      </c>
      <c r="CG14" s="1" t="s">
        <v>7</v>
      </c>
      <c r="CH14" s="1" t="s">
        <v>7</v>
      </c>
      <c r="CI14" s="1" t="s">
        <v>17</v>
      </c>
      <c r="CJ14" s="1" t="s">
        <v>7</v>
      </c>
      <c r="CK14" s="1" t="s">
        <v>7</v>
      </c>
      <c r="CL14" s="1" t="s">
        <v>7</v>
      </c>
      <c r="CM14">
        <v>5</v>
      </c>
      <c r="CN14" s="1" t="s">
        <v>142</v>
      </c>
      <c r="CO14" s="1" t="s">
        <v>147</v>
      </c>
      <c r="CP14" s="1" t="s">
        <v>31</v>
      </c>
      <c r="CQ14" s="1" t="s">
        <v>32</v>
      </c>
      <c r="CR14" s="1" t="s">
        <v>7</v>
      </c>
      <c r="CS14" s="1" t="s">
        <v>28</v>
      </c>
      <c r="CT14" s="1" t="s">
        <v>7</v>
      </c>
      <c r="CU14" s="1" t="s">
        <v>29</v>
      </c>
      <c r="CV14" s="1" t="s">
        <v>1</v>
      </c>
      <c r="CW14" s="1" t="s">
        <v>7</v>
      </c>
      <c r="CX14" s="1" t="s">
        <v>7</v>
      </c>
      <c r="CY14" s="1" t="s">
        <v>7</v>
      </c>
      <c r="CZ14" s="1" t="s">
        <v>7</v>
      </c>
      <c r="DG14">
        <v>4</v>
      </c>
      <c r="DH14" s="1" t="s">
        <v>113</v>
      </c>
      <c r="DI14" s="1" t="s">
        <v>23</v>
      </c>
      <c r="DJ14" s="1" t="s">
        <v>24</v>
      </c>
      <c r="DK14" s="1" t="s">
        <v>17</v>
      </c>
      <c r="DL14" s="1" t="s">
        <v>1</v>
      </c>
      <c r="DM14" s="1" t="s">
        <v>3</v>
      </c>
      <c r="DN14" s="1" t="s">
        <v>8</v>
      </c>
      <c r="DO14" s="1" t="s">
        <v>8</v>
      </c>
      <c r="DP14" s="1" t="s">
        <v>7</v>
      </c>
      <c r="DQ14" s="1" t="s">
        <v>7</v>
      </c>
      <c r="DR14" s="1" t="s">
        <v>7</v>
      </c>
      <c r="DS14" s="1" t="s">
        <v>7</v>
      </c>
      <c r="DT14" s="1" t="s">
        <v>17</v>
      </c>
      <c r="DU14" s="1" t="s">
        <v>7</v>
      </c>
      <c r="EA14">
        <v>5</v>
      </c>
      <c r="EB14" s="1" t="s">
        <v>147</v>
      </c>
      <c r="EC14" s="1" t="s">
        <v>61</v>
      </c>
      <c r="ED14" s="1" t="s">
        <v>7</v>
      </c>
      <c r="EE14" s="1" t="s">
        <v>7</v>
      </c>
      <c r="EF14" s="1" t="s">
        <v>7</v>
      </c>
      <c r="EG14" s="1" t="s">
        <v>7</v>
      </c>
      <c r="EH14" s="1" t="s">
        <v>7</v>
      </c>
      <c r="EI14" s="1" t="s">
        <v>12</v>
      </c>
      <c r="EJ14" s="1" t="s">
        <v>1</v>
      </c>
      <c r="EK14" s="1" t="s">
        <v>64</v>
      </c>
      <c r="EL14" s="1" t="s">
        <v>8</v>
      </c>
      <c r="EM14" s="1" t="s">
        <v>7</v>
      </c>
      <c r="EN14" s="1" t="s">
        <v>7</v>
      </c>
      <c r="HW14">
        <v>7</v>
      </c>
      <c r="HX14" s="1" t="s">
        <v>45</v>
      </c>
      <c r="HY14" s="1" t="s">
        <v>7</v>
      </c>
    </row>
    <row r="15" spans="1:233">
      <c r="AE15">
        <v>4</v>
      </c>
      <c r="AF15" s="1" t="s">
        <v>113</v>
      </c>
      <c r="AG15" s="1" t="s">
        <v>219</v>
      </c>
      <c r="AH15" s="1" t="s">
        <v>1</v>
      </c>
      <c r="AI15" s="1" t="s">
        <v>7</v>
      </c>
      <c r="AJ15" s="1" t="s">
        <v>22</v>
      </c>
      <c r="AK15" s="1" t="s">
        <v>25</v>
      </c>
      <c r="AL15" s="1" t="s">
        <v>7</v>
      </c>
      <c r="AM15" s="1" t="s">
        <v>7</v>
      </c>
      <c r="AN15" s="1" t="s">
        <v>7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26</v>
      </c>
      <c r="AT15" s="1" t="s">
        <v>187</v>
      </c>
      <c r="AU15" s="1" t="s">
        <v>7</v>
      </c>
      <c r="AV15" s="1" t="s">
        <v>7</v>
      </c>
      <c r="AW15" s="1" t="s">
        <v>7</v>
      </c>
      <c r="AX15" s="1" t="s">
        <v>13</v>
      </c>
      <c r="AY15" s="1" t="s">
        <v>14</v>
      </c>
      <c r="AZ15" s="1" t="s">
        <v>113</v>
      </c>
      <c r="BA15" s="1" t="s">
        <v>15</v>
      </c>
      <c r="BB15" s="1" t="s">
        <v>7</v>
      </c>
      <c r="BC15" s="1" t="s">
        <v>7</v>
      </c>
      <c r="BD15" s="1" t="s">
        <v>16</v>
      </c>
      <c r="BE15" s="1" t="s">
        <v>7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13</v>
      </c>
      <c r="BK15" s="1" t="s">
        <v>17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7</v>
      </c>
      <c r="BQ15" s="1" t="s">
        <v>7</v>
      </c>
      <c r="BR15" s="1" t="s">
        <v>3</v>
      </c>
      <c r="BS15" s="1" t="s">
        <v>3</v>
      </c>
      <c r="BT15" s="1" t="s">
        <v>3</v>
      </c>
      <c r="BU15" s="1" t="s">
        <v>67</v>
      </c>
      <c r="BV15" s="1" t="s">
        <v>8</v>
      </c>
      <c r="BW15" s="1" t="s">
        <v>7</v>
      </c>
      <c r="BX15" s="1" t="s">
        <v>7</v>
      </c>
      <c r="BY15" s="1" t="s">
        <v>7</v>
      </c>
      <c r="BZ15" s="1" t="s">
        <v>7</v>
      </c>
      <c r="CA15" s="1" t="s">
        <v>7</v>
      </c>
      <c r="CB15" s="1" t="s">
        <v>134</v>
      </c>
      <c r="CC15" s="1" t="s">
        <v>7</v>
      </c>
      <c r="CD15" s="1" t="s">
        <v>7</v>
      </c>
      <c r="CE15" s="1" t="s">
        <v>7</v>
      </c>
      <c r="CF15" s="1" t="s">
        <v>7</v>
      </c>
      <c r="CG15" s="1" t="s">
        <v>7</v>
      </c>
      <c r="CH15" s="1" t="s">
        <v>7</v>
      </c>
      <c r="CI15" s="1" t="s">
        <v>17</v>
      </c>
      <c r="CJ15" s="1" t="s">
        <v>7</v>
      </c>
      <c r="CK15" s="1" t="s">
        <v>7</v>
      </c>
      <c r="CL15" s="1" t="s">
        <v>7</v>
      </c>
      <c r="CM15">
        <v>5</v>
      </c>
      <c r="CN15" s="1" t="s">
        <v>142</v>
      </c>
      <c r="CO15" s="1" t="s">
        <v>148</v>
      </c>
      <c r="CP15" s="1" t="s">
        <v>70</v>
      </c>
      <c r="CQ15" s="1" t="s">
        <v>66</v>
      </c>
      <c r="CR15" s="1" t="s">
        <v>7</v>
      </c>
      <c r="CS15" s="1" t="s">
        <v>28</v>
      </c>
      <c r="CT15" s="1" t="s">
        <v>7</v>
      </c>
      <c r="CU15" s="1" t="s">
        <v>29</v>
      </c>
      <c r="CV15" s="1" t="s">
        <v>1</v>
      </c>
      <c r="CW15" s="1" t="s">
        <v>7</v>
      </c>
      <c r="CX15" s="1" t="s">
        <v>7</v>
      </c>
      <c r="CY15" s="1" t="s">
        <v>7</v>
      </c>
      <c r="CZ15" s="1" t="s">
        <v>7</v>
      </c>
      <c r="DG15">
        <v>4</v>
      </c>
      <c r="DH15" s="1" t="s">
        <v>113</v>
      </c>
      <c r="DI15" s="1" t="s">
        <v>72</v>
      </c>
      <c r="DJ15" s="1" t="s">
        <v>218</v>
      </c>
      <c r="DK15" s="1" t="s">
        <v>17</v>
      </c>
      <c r="DL15" s="1" t="s">
        <v>1</v>
      </c>
      <c r="DM15" s="1" t="s">
        <v>3</v>
      </c>
      <c r="DN15" s="1" t="s">
        <v>8</v>
      </c>
      <c r="DO15" s="1" t="s">
        <v>8</v>
      </c>
      <c r="DP15" s="1" t="s">
        <v>7</v>
      </c>
      <c r="DQ15" s="1" t="s">
        <v>7</v>
      </c>
      <c r="DR15" s="1" t="s">
        <v>7</v>
      </c>
      <c r="DS15" s="1" t="s">
        <v>7</v>
      </c>
      <c r="DT15" s="1" t="s">
        <v>17</v>
      </c>
      <c r="DU15" s="1" t="s">
        <v>7</v>
      </c>
      <c r="EA15">
        <v>5</v>
      </c>
      <c r="EB15" s="1" t="s">
        <v>148</v>
      </c>
      <c r="EC15" s="1" t="s">
        <v>61</v>
      </c>
      <c r="ED15" s="1" t="s">
        <v>7</v>
      </c>
      <c r="EE15" s="1" t="s">
        <v>3</v>
      </c>
      <c r="EF15" s="1" t="s">
        <v>7</v>
      </c>
      <c r="EG15" s="1" t="s">
        <v>7</v>
      </c>
      <c r="EH15" s="1" t="s">
        <v>7</v>
      </c>
      <c r="EI15" s="1" t="s">
        <v>12</v>
      </c>
      <c r="EJ15" s="1" t="s">
        <v>1</v>
      </c>
      <c r="EK15" s="1" t="s">
        <v>67</v>
      </c>
      <c r="EL15" s="1" t="s">
        <v>8</v>
      </c>
      <c r="EM15" s="1" t="s">
        <v>7</v>
      </c>
      <c r="EN15" s="1" t="s">
        <v>7</v>
      </c>
      <c r="HW15">
        <v>7</v>
      </c>
      <c r="HX15" s="1" t="s">
        <v>46</v>
      </c>
      <c r="HY15" s="1" t="s">
        <v>7</v>
      </c>
    </row>
    <row r="16" spans="1:233">
      <c r="CM16">
        <v>4</v>
      </c>
      <c r="CN16" s="1" t="s">
        <v>132</v>
      </c>
      <c r="CO16" s="1" t="s">
        <v>135</v>
      </c>
      <c r="CP16" s="1" t="s">
        <v>27</v>
      </c>
      <c r="CQ16" s="1" t="s">
        <v>11</v>
      </c>
      <c r="CR16" s="1" t="s">
        <v>7</v>
      </c>
      <c r="CS16" s="1" t="s">
        <v>28</v>
      </c>
      <c r="CT16" s="1" t="s">
        <v>7</v>
      </c>
      <c r="CU16" s="1" t="s">
        <v>29</v>
      </c>
      <c r="CV16" s="1" t="s">
        <v>1</v>
      </c>
      <c r="CW16" s="1" t="s">
        <v>7</v>
      </c>
      <c r="CX16" s="1" t="s">
        <v>7</v>
      </c>
      <c r="CY16" s="1" t="s">
        <v>7</v>
      </c>
      <c r="CZ16" s="1" t="s">
        <v>7</v>
      </c>
      <c r="EA16">
        <v>4</v>
      </c>
      <c r="EB16" s="1" t="s">
        <v>135</v>
      </c>
      <c r="EC16" s="1" t="s">
        <v>61</v>
      </c>
      <c r="ED16" s="1" t="s">
        <v>7</v>
      </c>
      <c r="EE16" s="1" t="s">
        <v>7</v>
      </c>
      <c r="EF16" s="1" t="s">
        <v>7</v>
      </c>
      <c r="EG16" s="1" t="s">
        <v>7</v>
      </c>
      <c r="EH16" s="1" t="s">
        <v>7</v>
      </c>
      <c r="EI16" s="1" t="s">
        <v>12</v>
      </c>
      <c r="EJ16" s="1" t="s">
        <v>1</v>
      </c>
      <c r="EK16" s="1" t="s">
        <v>3</v>
      </c>
      <c r="EL16" s="1" t="s">
        <v>8</v>
      </c>
      <c r="EM16" s="1" t="s">
        <v>7</v>
      </c>
      <c r="EN16" s="1" t="s">
        <v>7</v>
      </c>
      <c r="HW16">
        <v>7</v>
      </c>
      <c r="HX16" s="1" t="s">
        <v>47</v>
      </c>
      <c r="HY16" s="1" t="s">
        <v>1</v>
      </c>
    </row>
    <row r="17" spans="91:233">
      <c r="CM17">
        <v>4</v>
      </c>
      <c r="CN17" s="1" t="s">
        <v>132</v>
      </c>
      <c r="CO17" s="1" t="s">
        <v>136</v>
      </c>
      <c r="CP17" s="1" t="s">
        <v>30</v>
      </c>
      <c r="CQ17" s="1" t="s">
        <v>25</v>
      </c>
      <c r="CR17" s="1" t="s">
        <v>7</v>
      </c>
      <c r="CS17" s="1" t="s">
        <v>28</v>
      </c>
      <c r="CT17" s="1" t="s">
        <v>7</v>
      </c>
      <c r="CU17" s="1" t="s">
        <v>29</v>
      </c>
      <c r="CV17" s="1" t="s">
        <v>1</v>
      </c>
      <c r="CW17" s="1" t="s">
        <v>7</v>
      </c>
      <c r="CX17" s="1" t="s">
        <v>7</v>
      </c>
      <c r="CY17" s="1" t="s">
        <v>7</v>
      </c>
      <c r="CZ17" s="1" t="s">
        <v>7</v>
      </c>
      <c r="EA17">
        <v>4</v>
      </c>
      <c r="EB17" s="1" t="s">
        <v>136</v>
      </c>
      <c r="EC17" s="1" t="s">
        <v>61</v>
      </c>
      <c r="ED17" s="1" t="s">
        <v>7</v>
      </c>
      <c r="EE17" s="1" t="s">
        <v>7</v>
      </c>
      <c r="EF17" s="1" t="s">
        <v>7</v>
      </c>
      <c r="EG17" s="1" t="s">
        <v>7</v>
      </c>
      <c r="EH17" s="1" t="s">
        <v>7</v>
      </c>
      <c r="EI17" s="1" t="s">
        <v>12</v>
      </c>
      <c r="EJ17" s="1" t="s">
        <v>1</v>
      </c>
      <c r="EK17" s="1" t="s">
        <v>26</v>
      </c>
      <c r="EL17" s="1" t="s">
        <v>8</v>
      </c>
      <c r="EM17" s="1" t="s">
        <v>7</v>
      </c>
      <c r="EN17" s="1" t="s">
        <v>7</v>
      </c>
      <c r="HW17">
        <v>7</v>
      </c>
      <c r="HX17" s="1" t="s">
        <v>48</v>
      </c>
      <c r="HY17" s="1" t="s">
        <v>7</v>
      </c>
    </row>
    <row r="18" spans="91:233">
      <c r="CM18">
        <v>4</v>
      </c>
      <c r="CN18" s="1" t="s">
        <v>132</v>
      </c>
      <c r="CO18" s="1" t="s">
        <v>137</v>
      </c>
      <c r="CP18" s="1" t="s">
        <v>31</v>
      </c>
      <c r="CQ18" s="1" t="s">
        <v>32</v>
      </c>
      <c r="CR18" s="1" t="s">
        <v>7</v>
      </c>
      <c r="CS18" s="1" t="s">
        <v>28</v>
      </c>
      <c r="CT18" s="1" t="s">
        <v>7</v>
      </c>
      <c r="CU18" s="1" t="s">
        <v>29</v>
      </c>
      <c r="CV18" s="1" t="s">
        <v>1</v>
      </c>
      <c r="CW18" s="1" t="s">
        <v>7</v>
      </c>
      <c r="CX18" s="1" t="s">
        <v>7</v>
      </c>
      <c r="CY18" s="1" t="s">
        <v>7</v>
      </c>
      <c r="CZ18" s="1" t="s">
        <v>7</v>
      </c>
      <c r="EA18">
        <v>4</v>
      </c>
      <c r="EB18" s="1" t="s">
        <v>137</v>
      </c>
      <c r="EC18" s="1" t="s">
        <v>61</v>
      </c>
      <c r="ED18" s="1" t="s">
        <v>7</v>
      </c>
      <c r="EE18" s="1" t="s">
        <v>7</v>
      </c>
      <c r="EF18" s="1" t="s">
        <v>7</v>
      </c>
      <c r="EG18" s="1" t="s">
        <v>7</v>
      </c>
      <c r="EH18" s="1" t="s">
        <v>7</v>
      </c>
      <c r="EI18" s="1" t="s">
        <v>12</v>
      </c>
      <c r="EJ18" s="1" t="s">
        <v>1</v>
      </c>
      <c r="EK18" s="1" t="s">
        <v>62</v>
      </c>
      <c r="EL18" s="1" t="s">
        <v>8</v>
      </c>
      <c r="EM18" s="1" t="s">
        <v>7</v>
      </c>
      <c r="EN18" s="1" t="s">
        <v>7</v>
      </c>
      <c r="HW18">
        <v>7</v>
      </c>
      <c r="HX18" s="1" t="s">
        <v>49</v>
      </c>
      <c r="HY18" s="1" t="s">
        <v>3</v>
      </c>
    </row>
    <row r="19" spans="91:233">
      <c r="CM19">
        <v>4</v>
      </c>
      <c r="CN19" s="1" t="s">
        <v>132</v>
      </c>
      <c r="CO19" s="1" t="s">
        <v>138</v>
      </c>
      <c r="CP19" s="1" t="s">
        <v>70</v>
      </c>
      <c r="CQ19" s="1" t="s">
        <v>66</v>
      </c>
      <c r="CR19" s="1" t="s">
        <v>7</v>
      </c>
      <c r="CS19" s="1" t="s">
        <v>28</v>
      </c>
      <c r="CT19" s="1" t="s">
        <v>7</v>
      </c>
      <c r="CU19" s="1" t="s">
        <v>29</v>
      </c>
      <c r="CV19" s="1" t="s">
        <v>1</v>
      </c>
      <c r="CW19" s="1" t="s">
        <v>7</v>
      </c>
      <c r="CX19" s="1" t="s">
        <v>7</v>
      </c>
      <c r="CY19" s="1" t="s">
        <v>7</v>
      </c>
      <c r="CZ19" s="1" t="s">
        <v>7</v>
      </c>
      <c r="EA19">
        <v>4</v>
      </c>
      <c r="EB19" s="1" t="s">
        <v>138</v>
      </c>
      <c r="EC19" s="1" t="s">
        <v>61</v>
      </c>
      <c r="ED19" s="1" t="s">
        <v>7</v>
      </c>
      <c r="EE19" s="1" t="s">
        <v>3</v>
      </c>
      <c r="EF19" s="1" t="s">
        <v>7</v>
      </c>
      <c r="EG19" s="1" t="s">
        <v>7</v>
      </c>
      <c r="EH19" s="1" t="s">
        <v>7</v>
      </c>
      <c r="EI19" s="1" t="s">
        <v>12</v>
      </c>
      <c r="EJ19" s="1" t="s">
        <v>1</v>
      </c>
      <c r="EK19" s="1" t="s">
        <v>63</v>
      </c>
      <c r="EL19" s="1" t="s">
        <v>8</v>
      </c>
      <c r="EM19" s="1" t="s">
        <v>7</v>
      </c>
      <c r="EN19" s="1" t="s">
        <v>7</v>
      </c>
      <c r="HW19">
        <v>7</v>
      </c>
      <c r="HX19" s="1" t="s">
        <v>50</v>
      </c>
      <c r="HY19" s="1" t="s">
        <v>8</v>
      </c>
    </row>
    <row r="20" spans="91:233">
      <c r="HW20">
        <v>7</v>
      </c>
      <c r="HX20" s="1" t="s">
        <v>43</v>
      </c>
      <c r="HY20" s="1" t="s">
        <v>8</v>
      </c>
    </row>
    <row r="21" spans="91:233">
      <c r="HW21">
        <v>7</v>
      </c>
      <c r="HX21" s="1" t="s">
        <v>44</v>
      </c>
      <c r="HY21" s="1" t="s">
        <v>7</v>
      </c>
    </row>
    <row r="22" spans="91:233">
      <c r="HW22">
        <v>7</v>
      </c>
      <c r="HX22" s="1" t="s">
        <v>189</v>
      </c>
      <c r="HY22" s="1" t="s">
        <v>7</v>
      </c>
    </row>
    <row r="23" spans="91:233">
      <c r="HW23">
        <v>7</v>
      </c>
      <c r="HX23" s="1" t="s">
        <v>51</v>
      </c>
      <c r="HY23" s="1" t="s">
        <v>7</v>
      </c>
    </row>
    <row r="24" spans="91:233">
      <c r="HW24">
        <v>7</v>
      </c>
      <c r="HX24" s="1" t="s">
        <v>52</v>
      </c>
      <c r="HY24" s="1" t="s">
        <v>7</v>
      </c>
    </row>
    <row r="25" spans="91:233">
      <c r="HW25">
        <v>7</v>
      </c>
      <c r="HX25" s="1" t="s">
        <v>53</v>
      </c>
      <c r="HY25" s="1" t="s">
        <v>7</v>
      </c>
    </row>
    <row r="26" spans="91:233">
      <c r="HW26">
        <v>7</v>
      </c>
      <c r="HX26" s="1" t="s">
        <v>41</v>
      </c>
      <c r="HY26" s="1" t="s">
        <v>160</v>
      </c>
    </row>
    <row r="27" spans="91:233">
      <c r="HW27">
        <v>7</v>
      </c>
      <c r="HX27" s="1" t="s">
        <v>54</v>
      </c>
      <c r="HY27" s="1" t="s">
        <v>168</v>
      </c>
    </row>
    <row r="28" spans="91:233">
      <c r="HW28">
        <v>7</v>
      </c>
      <c r="HX28" s="1" t="s">
        <v>55</v>
      </c>
      <c r="HY28" s="1" t="s">
        <v>7</v>
      </c>
    </row>
    <row r="29" spans="91:233">
      <c r="HW29">
        <v>7</v>
      </c>
      <c r="HX29" s="1" t="s">
        <v>56</v>
      </c>
      <c r="HY29" s="1" t="s">
        <v>7</v>
      </c>
    </row>
    <row r="30" spans="91:233">
      <c r="HW30">
        <v>7</v>
      </c>
      <c r="HX30" s="1" t="s">
        <v>57</v>
      </c>
      <c r="HY30" s="1" t="s">
        <v>8</v>
      </c>
    </row>
    <row r="31" spans="91:233">
      <c r="HW31">
        <v>7</v>
      </c>
      <c r="HX31" s="1" t="s">
        <v>58</v>
      </c>
      <c r="HY31" s="1" t="s">
        <v>1</v>
      </c>
    </row>
    <row r="32" spans="91:233">
      <c r="HW32">
        <v>7</v>
      </c>
      <c r="HX32" s="1" t="s">
        <v>59</v>
      </c>
      <c r="HY32" s="1" t="s">
        <v>1</v>
      </c>
    </row>
    <row r="33" spans="231:233">
      <c r="HW33">
        <v>7</v>
      </c>
      <c r="HX33" s="1" t="s">
        <v>217</v>
      </c>
      <c r="HY33" s="1" t="s">
        <v>130</v>
      </c>
    </row>
    <row r="34" spans="231:233">
      <c r="HW34">
        <v>7</v>
      </c>
      <c r="HX34" s="1" t="s">
        <v>60</v>
      </c>
      <c r="HY34" s="1" t="s">
        <v>63</v>
      </c>
    </row>
    <row r="35" spans="231:233">
      <c r="HW35">
        <v>6</v>
      </c>
      <c r="HX35" s="1" t="s">
        <v>40</v>
      </c>
      <c r="HY35" s="1" t="s">
        <v>159</v>
      </c>
    </row>
    <row r="36" spans="231:233">
      <c r="HW36">
        <v>6</v>
      </c>
      <c r="HX36" s="1" t="s">
        <v>33</v>
      </c>
      <c r="HY36" s="1" t="s">
        <v>1</v>
      </c>
    </row>
    <row r="37" spans="231:233">
      <c r="HW37">
        <v>6</v>
      </c>
      <c r="HX37" s="1" t="s">
        <v>35</v>
      </c>
      <c r="HY37" s="1" t="s">
        <v>7</v>
      </c>
    </row>
    <row r="38" spans="231:233">
      <c r="HW38">
        <v>6</v>
      </c>
      <c r="HX38" s="1" t="s">
        <v>36</v>
      </c>
      <c r="HY38" s="1" t="s">
        <v>3</v>
      </c>
    </row>
    <row r="39" spans="231:233">
      <c r="HW39">
        <v>6</v>
      </c>
      <c r="HX39" s="1" t="s">
        <v>37</v>
      </c>
      <c r="HY39" s="1" t="s">
        <v>7</v>
      </c>
    </row>
    <row r="40" spans="231:233">
      <c r="HW40">
        <v>6</v>
      </c>
      <c r="HX40" s="1" t="s">
        <v>38</v>
      </c>
      <c r="HY40" s="1" t="s">
        <v>3</v>
      </c>
    </row>
    <row r="41" spans="231:233">
      <c r="HW41">
        <v>6</v>
      </c>
      <c r="HX41" s="1" t="s">
        <v>34</v>
      </c>
      <c r="HY41" s="1" t="s">
        <v>7</v>
      </c>
    </row>
    <row r="42" spans="231:233">
      <c r="HW42">
        <v>6</v>
      </c>
      <c r="HX42" s="1" t="s">
        <v>188</v>
      </c>
      <c r="HY42" s="1" t="s">
        <v>152</v>
      </c>
    </row>
    <row r="43" spans="231:233">
      <c r="HW43">
        <v>6</v>
      </c>
      <c r="HX43" s="1" t="s">
        <v>39</v>
      </c>
      <c r="HY43" s="1" t="s">
        <v>7</v>
      </c>
    </row>
    <row r="44" spans="231:233">
      <c r="HW44">
        <v>6</v>
      </c>
      <c r="HX44" s="1" t="s">
        <v>42</v>
      </c>
      <c r="HY44" s="1" t="s">
        <v>7</v>
      </c>
    </row>
    <row r="45" spans="231:233">
      <c r="HW45">
        <v>6</v>
      </c>
      <c r="HX45" s="1" t="s">
        <v>45</v>
      </c>
      <c r="HY45" s="1" t="s">
        <v>7</v>
      </c>
    </row>
    <row r="46" spans="231:233">
      <c r="HW46">
        <v>6</v>
      </c>
      <c r="HX46" s="1" t="s">
        <v>46</v>
      </c>
      <c r="HY46" s="1" t="s">
        <v>7</v>
      </c>
    </row>
    <row r="47" spans="231:233">
      <c r="HW47">
        <v>6</v>
      </c>
      <c r="HX47" s="1" t="s">
        <v>47</v>
      </c>
      <c r="HY47" s="1" t="s">
        <v>1</v>
      </c>
    </row>
    <row r="48" spans="231:233">
      <c r="HW48">
        <v>6</v>
      </c>
      <c r="HX48" s="1" t="s">
        <v>48</v>
      </c>
      <c r="HY48" s="1" t="s">
        <v>7</v>
      </c>
    </row>
    <row r="49" spans="231:233">
      <c r="HW49">
        <v>6</v>
      </c>
      <c r="HX49" s="1" t="s">
        <v>49</v>
      </c>
      <c r="HY49" s="1" t="s">
        <v>3</v>
      </c>
    </row>
    <row r="50" spans="231:233">
      <c r="HW50">
        <v>6</v>
      </c>
      <c r="HX50" s="1" t="s">
        <v>50</v>
      </c>
      <c r="HY50" s="1" t="s">
        <v>8</v>
      </c>
    </row>
    <row r="51" spans="231:233">
      <c r="HW51">
        <v>6</v>
      </c>
      <c r="HX51" s="1" t="s">
        <v>43</v>
      </c>
      <c r="HY51" s="1" t="s">
        <v>8</v>
      </c>
    </row>
    <row r="52" spans="231:233">
      <c r="HW52">
        <v>6</v>
      </c>
      <c r="HX52" s="1" t="s">
        <v>44</v>
      </c>
      <c r="HY52" s="1" t="s">
        <v>7</v>
      </c>
    </row>
    <row r="53" spans="231:233">
      <c r="HW53">
        <v>6</v>
      </c>
      <c r="HX53" s="1" t="s">
        <v>189</v>
      </c>
      <c r="HY53" s="1" t="s">
        <v>7</v>
      </c>
    </row>
    <row r="54" spans="231:233">
      <c r="HW54">
        <v>6</v>
      </c>
      <c r="HX54" s="1" t="s">
        <v>51</v>
      </c>
      <c r="HY54" s="1" t="s">
        <v>7</v>
      </c>
    </row>
    <row r="55" spans="231:233">
      <c r="HW55">
        <v>6</v>
      </c>
      <c r="HX55" s="1" t="s">
        <v>52</v>
      </c>
      <c r="HY55" s="1" t="s">
        <v>7</v>
      </c>
    </row>
    <row r="56" spans="231:233">
      <c r="HW56">
        <v>6</v>
      </c>
      <c r="HX56" s="1" t="s">
        <v>53</v>
      </c>
      <c r="HY56" s="1" t="s">
        <v>7</v>
      </c>
    </row>
    <row r="57" spans="231:233">
      <c r="HW57">
        <v>6</v>
      </c>
      <c r="HX57" s="1" t="s">
        <v>41</v>
      </c>
      <c r="HY57" s="1" t="s">
        <v>151</v>
      </c>
    </row>
    <row r="58" spans="231:233">
      <c r="HW58">
        <v>6</v>
      </c>
      <c r="HX58" s="1" t="s">
        <v>54</v>
      </c>
      <c r="HY58" s="1" t="s">
        <v>159</v>
      </c>
    </row>
    <row r="59" spans="231:233">
      <c r="HW59">
        <v>6</v>
      </c>
      <c r="HX59" s="1" t="s">
        <v>55</v>
      </c>
      <c r="HY59" s="1" t="s">
        <v>7</v>
      </c>
    </row>
    <row r="60" spans="231:233">
      <c r="HW60">
        <v>6</v>
      </c>
      <c r="HX60" s="1" t="s">
        <v>56</v>
      </c>
      <c r="HY60" s="1" t="s">
        <v>7</v>
      </c>
    </row>
    <row r="61" spans="231:233">
      <c r="HW61">
        <v>6</v>
      </c>
      <c r="HX61" s="1" t="s">
        <v>57</v>
      </c>
      <c r="HY61" s="1" t="s">
        <v>8</v>
      </c>
    </row>
    <row r="62" spans="231:233">
      <c r="HW62">
        <v>6</v>
      </c>
      <c r="HX62" s="1" t="s">
        <v>58</v>
      </c>
      <c r="HY62" s="1" t="s">
        <v>1</v>
      </c>
    </row>
    <row r="63" spans="231:233">
      <c r="HW63">
        <v>6</v>
      </c>
      <c r="HX63" s="1" t="s">
        <v>59</v>
      </c>
      <c r="HY63" s="1" t="s">
        <v>1</v>
      </c>
    </row>
    <row r="64" spans="231:233">
      <c r="HW64">
        <v>6</v>
      </c>
      <c r="HX64" s="1" t="s">
        <v>217</v>
      </c>
      <c r="HY64" s="1" t="s">
        <v>129</v>
      </c>
    </row>
    <row r="65" spans="231:233">
      <c r="HW65">
        <v>6</v>
      </c>
      <c r="HX65" s="1" t="s">
        <v>60</v>
      </c>
      <c r="HY65" s="1" t="s">
        <v>63</v>
      </c>
    </row>
    <row r="66" spans="231:233">
      <c r="HW66">
        <v>5</v>
      </c>
      <c r="HX66" s="1" t="s">
        <v>40</v>
      </c>
      <c r="HY66" s="1" t="s">
        <v>149</v>
      </c>
    </row>
    <row r="67" spans="231:233">
      <c r="HW67">
        <v>5</v>
      </c>
      <c r="HX67" s="1" t="s">
        <v>33</v>
      </c>
      <c r="HY67" s="1" t="s">
        <v>1</v>
      </c>
    </row>
    <row r="68" spans="231:233">
      <c r="HW68">
        <v>5</v>
      </c>
      <c r="HX68" s="1" t="s">
        <v>35</v>
      </c>
      <c r="HY68" s="1" t="s">
        <v>7</v>
      </c>
    </row>
    <row r="69" spans="231:233">
      <c r="HW69">
        <v>5</v>
      </c>
      <c r="HX69" s="1" t="s">
        <v>36</v>
      </c>
      <c r="HY69" s="1" t="s">
        <v>3</v>
      </c>
    </row>
    <row r="70" spans="231:233">
      <c r="HW70">
        <v>5</v>
      </c>
      <c r="HX70" s="1" t="s">
        <v>37</v>
      </c>
      <c r="HY70" s="1" t="s">
        <v>7</v>
      </c>
    </row>
    <row r="71" spans="231:233">
      <c r="HW71">
        <v>5</v>
      </c>
      <c r="HX71" s="1" t="s">
        <v>38</v>
      </c>
      <c r="HY71" s="1" t="s">
        <v>3</v>
      </c>
    </row>
    <row r="72" spans="231:233">
      <c r="HW72">
        <v>5</v>
      </c>
      <c r="HX72" s="1" t="s">
        <v>34</v>
      </c>
      <c r="HY72" s="1" t="s">
        <v>7</v>
      </c>
    </row>
    <row r="73" spans="231:233">
      <c r="HW73">
        <v>5</v>
      </c>
      <c r="HX73" s="1" t="s">
        <v>188</v>
      </c>
      <c r="HY73" s="1" t="s">
        <v>142</v>
      </c>
    </row>
    <row r="74" spans="231:233">
      <c r="HW74">
        <v>5</v>
      </c>
      <c r="HX74" s="1" t="s">
        <v>39</v>
      </c>
      <c r="HY74" s="1" t="s">
        <v>7</v>
      </c>
    </row>
    <row r="75" spans="231:233">
      <c r="HW75">
        <v>5</v>
      </c>
      <c r="HX75" s="1" t="s">
        <v>42</v>
      </c>
      <c r="HY75" s="1" t="s">
        <v>7</v>
      </c>
    </row>
    <row r="76" spans="231:233">
      <c r="HW76">
        <v>5</v>
      </c>
      <c r="HX76" s="1" t="s">
        <v>45</v>
      </c>
      <c r="HY76" s="1" t="s">
        <v>7</v>
      </c>
    </row>
    <row r="77" spans="231:233">
      <c r="HW77">
        <v>5</v>
      </c>
      <c r="HX77" s="1" t="s">
        <v>46</v>
      </c>
      <c r="HY77" s="1" t="s">
        <v>7</v>
      </c>
    </row>
    <row r="78" spans="231:233">
      <c r="HW78">
        <v>5</v>
      </c>
      <c r="HX78" s="1" t="s">
        <v>47</v>
      </c>
      <c r="HY78" s="1" t="s">
        <v>1</v>
      </c>
    </row>
    <row r="79" spans="231:233">
      <c r="HW79">
        <v>5</v>
      </c>
      <c r="HX79" s="1" t="s">
        <v>48</v>
      </c>
      <c r="HY79" s="1" t="s">
        <v>7</v>
      </c>
    </row>
    <row r="80" spans="231:233">
      <c r="HW80">
        <v>5</v>
      </c>
      <c r="HX80" s="1" t="s">
        <v>49</v>
      </c>
      <c r="HY80" s="1" t="s">
        <v>3</v>
      </c>
    </row>
    <row r="81" spans="231:233">
      <c r="HW81">
        <v>5</v>
      </c>
      <c r="HX81" s="1" t="s">
        <v>50</v>
      </c>
      <c r="HY81" s="1" t="s">
        <v>8</v>
      </c>
    </row>
    <row r="82" spans="231:233">
      <c r="HW82">
        <v>5</v>
      </c>
      <c r="HX82" s="1" t="s">
        <v>43</v>
      </c>
      <c r="HY82" s="1" t="s">
        <v>8</v>
      </c>
    </row>
    <row r="83" spans="231:233">
      <c r="HW83">
        <v>5</v>
      </c>
      <c r="HX83" s="1" t="s">
        <v>44</v>
      </c>
      <c r="HY83" s="1" t="s">
        <v>7</v>
      </c>
    </row>
    <row r="84" spans="231:233">
      <c r="HW84">
        <v>5</v>
      </c>
      <c r="HX84" s="1" t="s">
        <v>189</v>
      </c>
      <c r="HY84" s="1" t="s">
        <v>7</v>
      </c>
    </row>
    <row r="85" spans="231:233">
      <c r="HW85">
        <v>5</v>
      </c>
      <c r="HX85" s="1" t="s">
        <v>51</v>
      </c>
      <c r="HY85" s="1" t="s">
        <v>7</v>
      </c>
    </row>
    <row r="86" spans="231:233">
      <c r="HW86">
        <v>5</v>
      </c>
      <c r="HX86" s="1" t="s">
        <v>52</v>
      </c>
      <c r="HY86" s="1" t="s">
        <v>7</v>
      </c>
    </row>
    <row r="87" spans="231:233">
      <c r="HW87">
        <v>5</v>
      </c>
      <c r="HX87" s="1" t="s">
        <v>53</v>
      </c>
      <c r="HY87" s="1" t="s">
        <v>7</v>
      </c>
    </row>
    <row r="88" spans="231:233">
      <c r="HW88">
        <v>5</v>
      </c>
      <c r="HX88" s="1" t="s">
        <v>41</v>
      </c>
      <c r="HY88" s="1" t="s">
        <v>141</v>
      </c>
    </row>
    <row r="89" spans="231:233">
      <c r="HW89">
        <v>5</v>
      </c>
      <c r="HX89" s="1" t="s">
        <v>54</v>
      </c>
      <c r="HY89" s="1" t="s">
        <v>149</v>
      </c>
    </row>
    <row r="90" spans="231:233">
      <c r="HW90">
        <v>5</v>
      </c>
      <c r="HX90" s="1" t="s">
        <v>55</v>
      </c>
      <c r="HY90" s="1" t="s">
        <v>7</v>
      </c>
    </row>
    <row r="91" spans="231:233">
      <c r="HW91">
        <v>5</v>
      </c>
      <c r="HX91" s="1" t="s">
        <v>56</v>
      </c>
      <c r="HY91" s="1" t="s">
        <v>7</v>
      </c>
    </row>
    <row r="92" spans="231:233">
      <c r="HW92">
        <v>5</v>
      </c>
      <c r="HX92" s="1" t="s">
        <v>57</v>
      </c>
      <c r="HY92" s="1" t="s">
        <v>8</v>
      </c>
    </row>
    <row r="93" spans="231:233">
      <c r="HW93">
        <v>5</v>
      </c>
      <c r="HX93" s="1" t="s">
        <v>58</v>
      </c>
      <c r="HY93" s="1" t="s">
        <v>1</v>
      </c>
    </row>
    <row r="94" spans="231:233">
      <c r="HW94">
        <v>5</v>
      </c>
      <c r="HX94" s="1" t="s">
        <v>59</v>
      </c>
      <c r="HY94" s="1" t="s">
        <v>1</v>
      </c>
    </row>
    <row r="95" spans="231:233">
      <c r="HW95">
        <v>5</v>
      </c>
      <c r="HX95" s="1" t="s">
        <v>217</v>
      </c>
      <c r="HY95" s="1" t="s">
        <v>150</v>
      </c>
    </row>
    <row r="96" spans="231:233">
      <c r="HW96">
        <v>5</v>
      </c>
      <c r="HX96" s="1" t="s">
        <v>60</v>
      </c>
      <c r="HY96" s="1" t="s">
        <v>63</v>
      </c>
    </row>
    <row r="97" spans="231:233">
      <c r="HW97">
        <v>4</v>
      </c>
      <c r="HX97" s="1" t="s">
        <v>40</v>
      </c>
      <c r="HY97" s="1" t="s">
        <v>139</v>
      </c>
    </row>
    <row r="98" spans="231:233">
      <c r="HW98">
        <v>4</v>
      </c>
      <c r="HX98" s="1" t="s">
        <v>33</v>
      </c>
      <c r="HY98" s="1" t="s">
        <v>1</v>
      </c>
    </row>
    <row r="99" spans="231:233">
      <c r="HW99">
        <v>4</v>
      </c>
      <c r="HX99" s="1" t="s">
        <v>35</v>
      </c>
      <c r="HY99" s="1" t="s">
        <v>7</v>
      </c>
    </row>
    <row r="100" spans="231:233">
      <c r="HW100">
        <v>4</v>
      </c>
      <c r="HX100" s="1" t="s">
        <v>36</v>
      </c>
      <c r="HY100" s="1" t="s">
        <v>3</v>
      </c>
    </row>
    <row r="101" spans="231:233">
      <c r="HW101">
        <v>4</v>
      </c>
      <c r="HX101" s="1" t="s">
        <v>37</v>
      </c>
      <c r="HY101" s="1" t="s">
        <v>7</v>
      </c>
    </row>
    <row r="102" spans="231:233">
      <c r="HW102">
        <v>4</v>
      </c>
      <c r="HX102" s="1" t="s">
        <v>38</v>
      </c>
      <c r="HY102" s="1" t="s">
        <v>3</v>
      </c>
    </row>
    <row r="103" spans="231:233">
      <c r="HW103">
        <v>4</v>
      </c>
      <c r="HX103" s="1" t="s">
        <v>34</v>
      </c>
      <c r="HY103" s="1" t="s">
        <v>7</v>
      </c>
    </row>
    <row r="104" spans="231:233">
      <c r="HW104">
        <v>4</v>
      </c>
      <c r="HX104" s="1" t="s">
        <v>188</v>
      </c>
      <c r="HY104" s="1" t="s">
        <v>132</v>
      </c>
    </row>
    <row r="105" spans="231:233">
      <c r="HW105">
        <v>4</v>
      </c>
      <c r="HX105" s="1" t="s">
        <v>39</v>
      </c>
      <c r="HY105" s="1" t="s">
        <v>7</v>
      </c>
    </row>
    <row r="106" spans="231:233">
      <c r="HW106">
        <v>4</v>
      </c>
      <c r="HX106" s="1" t="s">
        <v>42</v>
      </c>
      <c r="HY106" s="1" t="s">
        <v>7</v>
      </c>
    </row>
    <row r="107" spans="231:233">
      <c r="HW107">
        <v>4</v>
      </c>
      <c r="HX107" s="1" t="s">
        <v>45</v>
      </c>
      <c r="HY107" s="1" t="s">
        <v>7</v>
      </c>
    </row>
    <row r="108" spans="231:233">
      <c r="HW108">
        <v>4</v>
      </c>
      <c r="HX108" s="1" t="s">
        <v>46</v>
      </c>
      <c r="HY108" s="1" t="s">
        <v>7</v>
      </c>
    </row>
    <row r="109" spans="231:233">
      <c r="HW109">
        <v>4</v>
      </c>
      <c r="HX109" s="1" t="s">
        <v>47</v>
      </c>
      <c r="HY109" s="1" t="s">
        <v>1</v>
      </c>
    </row>
    <row r="110" spans="231:233">
      <c r="HW110">
        <v>4</v>
      </c>
      <c r="HX110" s="1" t="s">
        <v>48</v>
      </c>
      <c r="HY110" s="1" t="s">
        <v>7</v>
      </c>
    </row>
    <row r="111" spans="231:233">
      <c r="HW111">
        <v>4</v>
      </c>
      <c r="HX111" s="1" t="s">
        <v>49</v>
      </c>
      <c r="HY111" s="1" t="s">
        <v>3</v>
      </c>
    </row>
    <row r="112" spans="231:233">
      <c r="HW112">
        <v>4</v>
      </c>
      <c r="HX112" s="1" t="s">
        <v>50</v>
      </c>
      <c r="HY112" s="1" t="s">
        <v>8</v>
      </c>
    </row>
    <row r="113" spans="231:233">
      <c r="HW113">
        <v>4</v>
      </c>
      <c r="HX113" s="1" t="s">
        <v>43</v>
      </c>
      <c r="HY113" s="1" t="s">
        <v>8</v>
      </c>
    </row>
    <row r="114" spans="231:233">
      <c r="HW114">
        <v>4</v>
      </c>
      <c r="HX114" s="1" t="s">
        <v>44</v>
      </c>
      <c r="HY114" s="1" t="s">
        <v>7</v>
      </c>
    </row>
    <row r="115" spans="231:233">
      <c r="HW115">
        <v>4</v>
      </c>
      <c r="HX115" s="1" t="s">
        <v>189</v>
      </c>
      <c r="HY115" s="1" t="s">
        <v>7</v>
      </c>
    </row>
    <row r="116" spans="231:233">
      <c r="HW116">
        <v>4</v>
      </c>
      <c r="HX116" s="1" t="s">
        <v>51</v>
      </c>
      <c r="HY116" s="1" t="s">
        <v>7</v>
      </c>
    </row>
    <row r="117" spans="231:233">
      <c r="HW117">
        <v>4</v>
      </c>
      <c r="HX117" s="1" t="s">
        <v>52</v>
      </c>
      <c r="HY117" s="1" t="s">
        <v>7</v>
      </c>
    </row>
    <row r="118" spans="231:233">
      <c r="HW118">
        <v>4</v>
      </c>
      <c r="HX118" s="1" t="s">
        <v>53</v>
      </c>
      <c r="HY118" s="1" t="s">
        <v>7</v>
      </c>
    </row>
    <row r="119" spans="231:233">
      <c r="HW119">
        <v>4</v>
      </c>
      <c r="HX119" s="1" t="s">
        <v>41</v>
      </c>
      <c r="HY119" s="1" t="s">
        <v>131</v>
      </c>
    </row>
    <row r="120" spans="231:233">
      <c r="HW120">
        <v>4</v>
      </c>
      <c r="HX120" s="1" t="s">
        <v>54</v>
      </c>
      <c r="HY120" s="1" t="s">
        <v>139</v>
      </c>
    </row>
    <row r="121" spans="231:233">
      <c r="HW121">
        <v>4</v>
      </c>
      <c r="HX121" s="1" t="s">
        <v>55</v>
      </c>
      <c r="HY121" s="1" t="s">
        <v>7</v>
      </c>
    </row>
    <row r="122" spans="231:233">
      <c r="HW122">
        <v>4</v>
      </c>
      <c r="HX122" s="1" t="s">
        <v>56</v>
      </c>
      <c r="HY122" s="1" t="s">
        <v>7</v>
      </c>
    </row>
    <row r="123" spans="231:233">
      <c r="HW123">
        <v>4</v>
      </c>
      <c r="HX123" s="1" t="s">
        <v>57</v>
      </c>
      <c r="HY123" s="1" t="s">
        <v>8</v>
      </c>
    </row>
    <row r="124" spans="231:233">
      <c r="HW124">
        <v>4</v>
      </c>
      <c r="HX124" s="1" t="s">
        <v>58</v>
      </c>
      <c r="HY124" s="1" t="s">
        <v>1</v>
      </c>
    </row>
    <row r="125" spans="231:233">
      <c r="HW125">
        <v>4</v>
      </c>
      <c r="HX125" s="1" t="s">
        <v>59</v>
      </c>
      <c r="HY125" s="1" t="s">
        <v>1</v>
      </c>
    </row>
    <row r="126" spans="231:233">
      <c r="HW126">
        <v>4</v>
      </c>
      <c r="HX126" s="1" t="s">
        <v>217</v>
      </c>
      <c r="HY126" s="1" t="s">
        <v>140</v>
      </c>
    </row>
    <row r="127" spans="231:233">
      <c r="HW127">
        <v>4</v>
      </c>
      <c r="HX127" s="1" t="s">
        <v>60</v>
      </c>
      <c r="HY127" s="1" t="s">
        <v>63</v>
      </c>
    </row>
    <row r="1001" spans="252:252" ht="25.5">
      <c r="IR1001" s="2" t="s">
        <v>68</v>
      </c>
    </row>
    <row r="1002" spans="252:252" ht="38.25">
      <c r="IR1002" s="2" t="s">
        <v>69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W2:GX14"/>
  <sheetViews>
    <sheetView workbookViewId="0"/>
  </sheetViews>
  <sheetFormatPr defaultRowHeight="12.75"/>
  <sheetData>
    <row r="2" spans="101:206">
      <c r="CW2">
        <v>11</v>
      </c>
      <c r="EZ2">
        <v>0</v>
      </c>
      <c r="GX2">
        <v>0</v>
      </c>
    </row>
    <row r="3" spans="101:206">
      <c r="CW3">
        <v>8</v>
      </c>
      <c r="EZ3">
        <v>12</v>
      </c>
      <c r="GX3">
        <v>31</v>
      </c>
    </row>
    <row r="4" spans="101:206">
      <c r="CW4">
        <v>7</v>
      </c>
      <c r="CX4" s="1" t="s">
        <v>11</v>
      </c>
      <c r="CY4" s="1" t="s">
        <v>20</v>
      </c>
      <c r="CZ4" s="1" t="s">
        <v>207</v>
      </c>
      <c r="DA4" s="1" t="s">
        <v>7</v>
      </c>
      <c r="DB4" s="1" t="s">
        <v>7</v>
      </c>
      <c r="DC4" s="1" t="s">
        <v>7</v>
      </c>
      <c r="DD4" s="1" t="s">
        <v>19</v>
      </c>
      <c r="DE4" s="1" t="s">
        <v>23</v>
      </c>
    </row>
    <row r="5" spans="101:206">
      <c r="CW5">
        <v>7</v>
      </c>
      <c r="CX5" s="1" t="s">
        <v>11</v>
      </c>
      <c r="CY5" s="1" t="s">
        <v>20</v>
      </c>
      <c r="CZ5" s="1" t="s">
        <v>208</v>
      </c>
      <c r="DA5" s="1" t="s">
        <v>7</v>
      </c>
      <c r="DB5" s="1" t="s">
        <v>7</v>
      </c>
      <c r="DC5" s="1" t="s">
        <v>7</v>
      </c>
      <c r="DD5" s="1" t="s">
        <v>19</v>
      </c>
      <c r="DE5" s="1" t="s">
        <v>23</v>
      </c>
    </row>
    <row r="6" spans="101:206">
      <c r="CW6">
        <v>6</v>
      </c>
      <c r="CX6" s="1" t="s">
        <v>11</v>
      </c>
      <c r="CY6" s="1" t="s">
        <v>20</v>
      </c>
      <c r="CZ6" s="1" t="s">
        <v>205</v>
      </c>
      <c r="DA6" s="1" t="s">
        <v>7</v>
      </c>
      <c r="DB6" s="1" t="s">
        <v>7</v>
      </c>
      <c r="DC6" s="1" t="s">
        <v>7</v>
      </c>
      <c r="DD6" s="1" t="s">
        <v>19</v>
      </c>
      <c r="DE6" s="1" t="s">
        <v>23</v>
      </c>
    </row>
    <row r="7" spans="101:206">
      <c r="CW7">
        <v>6</v>
      </c>
      <c r="CX7" s="1" t="s">
        <v>11</v>
      </c>
      <c r="CY7" s="1" t="s">
        <v>20</v>
      </c>
      <c r="CZ7" s="1" t="s">
        <v>206</v>
      </c>
      <c r="DA7" s="1" t="s">
        <v>7</v>
      </c>
      <c r="DB7" s="1" t="s">
        <v>7</v>
      </c>
      <c r="DC7" s="1" t="s">
        <v>7</v>
      </c>
      <c r="DD7" s="1" t="s">
        <v>19</v>
      </c>
      <c r="DE7" s="1" t="s">
        <v>23</v>
      </c>
    </row>
    <row r="8" spans="101:206">
      <c r="CW8">
        <v>5</v>
      </c>
      <c r="CX8" s="1" t="s">
        <v>11</v>
      </c>
      <c r="CY8" s="1" t="s">
        <v>72</v>
      </c>
      <c r="CZ8" s="1" t="s">
        <v>212</v>
      </c>
      <c r="DA8" s="1" t="s">
        <v>7</v>
      </c>
      <c r="DB8" s="1" t="s">
        <v>7</v>
      </c>
      <c r="DC8" s="1" t="s">
        <v>7</v>
      </c>
      <c r="DD8" s="1" t="s">
        <v>19</v>
      </c>
      <c r="DE8" s="1" t="s">
        <v>113</v>
      </c>
    </row>
    <row r="9" spans="101:206">
      <c r="CW9">
        <v>5</v>
      </c>
      <c r="CX9" s="1" t="s">
        <v>11</v>
      </c>
      <c r="CY9" s="1" t="s">
        <v>72</v>
      </c>
      <c r="CZ9" s="1" t="s">
        <v>111</v>
      </c>
      <c r="DA9" s="1" t="s">
        <v>7</v>
      </c>
      <c r="DB9" s="1" t="s">
        <v>7</v>
      </c>
      <c r="DC9" s="1" t="s">
        <v>7</v>
      </c>
      <c r="DD9" s="1" t="s">
        <v>19</v>
      </c>
      <c r="DE9" s="1" t="s">
        <v>113</v>
      </c>
    </row>
    <row r="10" spans="101:206">
      <c r="CW10">
        <v>5</v>
      </c>
      <c r="CX10" s="1" t="s">
        <v>11</v>
      </c>
      <c r="CY10" s="1" t="s">
        <v>72</v>
      </c>
      <c r="CZ10" s="1" t="s">
        <v>112</v>
      </c>
      <c r="DA10" s="1" t="s">
        <v>7</v>
      </c>
      <c r="DB10" s="1" t="s">
        <v>7</v>
      </c>
      <c r="DC10" s="1" t="s">
        <v>7</v>
      </c>
      <c r="DD10" s="1" t="s">
        <v>19</v>
      </c>
      <c r="DE10" s="1" t="s">
        <v>113</v>
      </c>
    </row>
    <row r="11" spans="101:206">
      <c r="CW11">
        <v>4</v>
      </c>
      <c r="CX11" s="1" t="s">
        <v>11</v>
      </c>
      <c r="CY11" s="1" t="s">
        <v>72</v>
      </c>
      <c r="CZ11" s="1" t="s">
        <v>209</v>
      </c>
      <c r="DA11" s="1" t="s">
        <v>7</v>
      </c>
      <c r="DB11" s="1" t="s">
        <v>7</v>
      </c>
      <c r="DC11" s="1" t="s">
        <v>7</v>
      </c>
      <c r="DD11" s="1" t="s">
        <v>19</v>
      </c>
      <c r="DE11" s="1" t="s">
        <v>113</v>
      </c>
    </row>
    <row r="12" spans="101:206">
      <c r="CW12">
        <v>4</v>
      </c>
      <c r="CX12" s="1" t="s">
        <v>11</v>
      </c>
      <c r="CY12" s="1" t="s">
        <v>72</v>
      </c>
      <c r="CZ12" s="1" t="s">
        <v>210</v>
      </c>
      <c r="DA12" s="1" t="s">
        <v>7</v>
      </c>
      <c r="DB12" s="1" t="s">
        <v>7</v>
      </c>
      <c r="DC12" s="1" t="s">
        <v>7</v>
      </c>
      <c r="DD12" s="1" t="s">
        <v>19</v>
      </c>
      <c r="DE12" s="1" t="s">
        <v>113</v>
      </c>
    </row>
    <row r="13" spans="101:206">
      <c r="CW13">
        <v>4</v>
      </c>
      <c r="CX13" s="1" t="s">
        <v>11</v>
      </c>
      <c r="CY13" s="1" t="s">
        <v>72</v>
      </c>
      <c r="CZ13" s="1" t="s">
        <v>108</v>
      </c>
      <c r="DA13" s="1" t="s">
        <v>7</v>
      </c>
      <c r="DB13" s="1" t="s">
        <v>7</v>
      </c>
      <c r="DC13" s="1" t="s">
        <v>7</v>
      </c>
      <c r="DD13" s="1" t="s">
        <v>19</v>
      </c>
      <c r="DE13" s="1" t="s">
        <v>113</v>
      </c>
    </row>
    <row r="14" spans="101:206">
      <c r="CW14">
        <v>4</v>
      </c>
      <c r="CX14" s="1" t="s">
        <v>11</v>
      </c>
      <c r="CY14" s="1" t="s">
        <v>72</v>
      </c>
      <c r="CZ14" s="1" t="s">
        <v>211</v>
      </c>
      <c r="DA14" s="1" t="s">
        <v>7</v>
      </c>
      <c r="DB14" s="1" t="s">
        <v>7</v>
      </c>
      <c r="DC14" s="1" t="s">
        <v>7</v>
      </c>
      <c r="DD14" s="1" t="s">
        <v>19</v>
      </c>
      <c r="DE14" s="1" t="s">
        <v>113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4"/>
  <sheetViews>
    <sheetView tabSelected="1" topLeftCell="B1" workbookViewId="0">
      <selection activeCell="C29" sqref="C29"/>
    </sheetView>
  </sheetViews>
  <sheetFormatPr defaultRowHeight="12.75"/>
  <cols>
    <col min="1" max="1" width="7" style="20" hidden="1" customWidth="1"/>
    <col min="2" max="2" width="7.140625" style="20" customWidth="1"/>
    <col min="3" max="3" width="101.140625" style="20" customWidth="1"/>
    <col min="4" max="4" width="19.5703125" style="20" customWidth="1"/>
    <col min="5" max="5" width="19" style="20" customWidth="1"/>
    <col min="6" max="6" width="17.5703125" style="20" customWidth="1"/>
    <col min="7" max="7" width="18.28515625" style="20" customWidth="1"/>
    <col min="8" max="16384" width="9.140625" style="20"/>
  </cols>
  <sheetData>
    <row r="1" spans="1:14" s="17" customFormat="1">
      <c r="A1" s="361" t="s">
        <v>74</v>
      </c>
      <c r="B1" s="362"/>
      <c r="C1" s="363"/>
      <c r="D1" s="116" t="s">
        <v>225</v>
      </c>
      <c r="E1" s="13"/>
      <c r="F1" s="13"/>
      <c r="G1" s="14" t="s">
        <v>75</v>
      </c>
      <c r="H1" s="15"/>
      <c r="I1" s="13"/>
      <c r="J1" s="13"/>
      <c r="K1" s="13"/>
      <c r="L1" s="13"/>
      <c r="M1" s="16"/>
      <c r="N1" s="13"/>
    </row>
    <row r="2" spans="1:14">
      <c r="A2" s="364">
        <v>40990</v>
      </c>
      <c r="B2" s="362">
        <v>40990</v>
      </c>
      <c r="C2" s="363"/>
      <c r="D2" s="13"/>
      <c r="E2" s="13"/>
      <c r="F2" s="13"/>
      <c r="G2" s="14" t="s">
        <v>76</v>
      </c>
      <c r="H2" s="15"/>
      <c r="I2" s="13"/>
      <c r="J2" s="13"/>
      <c r="K2" s="13"/>
      <c r="L2" s="13"/>
      <c r="M2" s="18"/>
      <c r="N2" s="19"/>
    </row>
    <row r="3" spans="1:14">
      <c r="A3" s="21"/>
      <c r="B3" s="365" t="s">
        <v>226</v>
      </c>
      <c r="C3" s="366"/>
      <c r="D3" s="366"/>
      <c r="E3" s="366"/>
      <c r="F3" s="366"/>
      <c r="G3" s="366"/>
      <c r="H3" s="22"/>
      <c r="I3" s="22"/>
      <c r="J3" s="22"/>
      <c r="K3" s="22"/>
      <c r="L3" s="22"/>
      <c r="M3" s="22"/>
      <c r="N3" s="19"/>
    </row>
    <row r="4" spans="1:14">
      <c r="A4" s="21"/>
      <c r="B4" s="359" t="s">
        <v>223</v>
      </c>
      <c r="C4" s="360"/>
      <c r="D4" s="360"/>
      <c r="E4" s="360"/>
      <c r="F4" s="360"/>
      <c r="G4" s="360"/>
      <c r="H4" s="21"/>
      <c r="I4" s="19"/>
      <c r="J4" s="19"/>
      <c r="K4" s="19"/>
      <c r="L4" s="19"/>
      <c r="M4" s="23"/>
      <c r="N4" s="19"/>
    </row>
    <row r="5" spans="1:14">
      <c r="A5" s="21"/>
      <c r="B5" s="21"/>
      <c r="C5" s="24"/>
      <c r="D5" s="25"/>
      <c r="E5" s="19"/>
      <c r="F5" s="19"/>
      <c r="G5" s="23"/>
      <c r="H5" s="26"/>
      <c r="I5" s="19"/>
      <c r="J5" s="19"/>
      <c r="K5" s="19"/>
      <c r="L5" s="19"/>
      <c r="M5" s="23"/>
      <c r="N5" s="19"/>
    </row>
    <row r="6" spans="1:14">
      <c r="A6" s="21"/>
      <c r="B6" s="21"/>
      <c r="C6" s="24" t="s">
        <v>186</v>
      </c>
      <c r="D6" s="367" t="s">
        <v>232</v>
      </c>
      <c r="E6" s="368"/>
      <c r="F6" s="368"/>
      <c r="G6" s="366"/>
      <c r="H6" s="366"/>
      <c r="I6" s="19"/>
      <c r="J6" s="19"/>
      <c r="K6" s="19"/>
      <c r="L6" s="19"/>
      <c r="M6" s="23"/>
      <c r="N6" s="19"/>
    </row>
    <row r="7" spans="1:14">
      <c r="A7" s="21"/>
      <c r="B7" s="21"/>
      <c r="C7" s="27"/>
      <c r="D7" s="27"/>
      <c r="E7" s="19"/>
      <c r="F7" s="19"/>
      <c r="G7" s="23"/>
      <c r="H7" s="21"/>
      <c r="I7" s="19"/>
      <c r="J7" s="19"/>
      <c r="K7" s="19"/>
      <c r="L7" s="19"/>
      <c r="M7" s="23"/>
      <c r="N7" s="19"/>
    </row>
    <row r="8" spans="1:14" ht="13.5" thickBot="1">
      <c r="A8" s="21"/>
      <c r="B8" s="21"/>
      <c r="C8" s="24"/>
      <c r="D8" s="19"/>
      <c r="E8" s="19"/>
      <c r="F8" s="19"/>
      <c r="G8" s="23"/>
      <c r="H8" s="21"/>
      <c r="I8" s="19"/>
      <c r="J8" s="19"/>
      <c r="K8" s="19"/>
      <c r="L8" s="19"/>
      <c r="M8" s="23"/>
      <c r="N8" s="19"/>
    </row>
    <row r="9" spans="1:14" ht="26.25" thickBot="1">
      <c r="A9" s="28"/>
      <c r="B9" s="29"/>
      <c r="C9" s="30" t="s">
        <v>170</v>
      </c>
      <c r="D9" s="31" t="s">
        <v>221</v>
      </c>
      <c r="E9" s="31" t="s">
        <v>222</v>
      </c>
      <c r="F9" s="32" t="s">
        <v>169</v>
      </c>
      <c r="G9" s="33" t="s">
        <v>70</v>
      </c>
      <c r="H9" s="34"/>
      <c r="I9" s="35"/>
      <c r="J9" s="36"/>
      <c r="K9" s="36"/>
      <c r="L9" s="36"/>
      <c r="M9" s="37"/>
      <c r="N9" s="34"/>
    </row>
    <row r="10" spans="1:14" ht="13.5" thickBot="1">
      <c r="A10" s="9"/>
      <c r="B10" s="3" t="s">
        <v>171</v>
      </c>
      <c r="C10" s="4" t="s">
        <v>172</v>
      </c>
      <c r="D10" s="12">
        <v>14253</v>
      </c>
      <c r="E10" s="12">
        <v>14253</v>
      </c>
      <c r="F10" s="12">
        <v>19189</v>
      </c>
      <c r="G10" s="38">
        <v>134.63130569003016</v>
      </c>
      <c r="H10" s="39"/>
      <c r="I10" s="40"/>
      <c r="J10" s="36"/>
      <c r="K10" s="36"/>
      <c r="L10" s="36"/>
      <c r="M10" s="37"/>
      <c r="N10" s="34"/>
    </row>
    <row r="11" spans="1:14">
      <c r="A11" s="41"/>
      <c r="B11" s="42"/>
      <c r="C11" s="43"/>
      <c r="D11" s="43"/>
      <c r="E11" s="43"/>
      <c r="F11" s="43"/>
      <c r="G11" s="44"/>
      <c r="H11" s="45"/>
      <c r="I11" s="46"/>
      <c r="J11" s="46"/>
      <c r="K11" s="46"/>
      <c r="L11" s="46"/>
      <c r="M11" s="47"/>
      <c r="N11" s="19"/>
    </row>
    <row r="12" spans="1:14">
      <c r="A12" s="48" t="s">
        <v>194</v>
      </c>
      <c r="B12" s="114" t="s">
        <v>86</v>
      </c>
      <c r="C12" s="49" t="s">
        <v>87</v>
      </c>
      <c r="D12" s="50" t="s">
        <v>8</v>
      </c>
      <c r="E12" s="50" t="s">
        <v>8</v>
      </c>
      <c r="F12" s="50" t="s">
        <v>8</v>
      </c>
      <c r="G12" s="51">
        <v>0</v>
      </c>
      <c r="H12" s="46"/>
      <c r="I12" s="46"/>
      <c r="J12" s="52"/>
      <c r="K12" s="52"/>
      <c r="L12" s="52"/>
      <c r="M12" s="53"/>
      <c r="N12" s="46"/>
    </row>
    <row r="13" spans="1:14" s="62" customFormat="1">
      <c r="A13" s="54"/>
      <c r="B13" s="115" t="s">
        <v>88</v>
      </c>
      <c r="C13" s="55" t="s">
        <v>77</v>
      </c>
      <c r="D13" s="56">
        <v>14253</v>
      </c>
      <c r="E13" s="56">
        <v>14253</v>
      </c>
      <c r="F13" s="56">
        <v>19173</v>
      </c>
      <c r="G13" s="57">
        <v>134.51904862134288</v>
      </c>
      <c r="H13" s="46"/>
      <c r="I13" s="46"/>
      <c r="J13" s="58"/>
      <c r="K13" s="59"/>
      <c r="L13" s="59"/>
      <c r="M13" s="60"/>
      <c r="N13" s="61"/>
    </row>
    <row r="14" spans="1:14" s="62" customFormat="1">
      <c r="A14" s="63" t="s">
        <v>79</v>
      </c>
      <c r="B14" s="64" t="s">
        <v>89</v>
      </c>
      <c r="C14" s="65" t="s">
        <v>90</v>
      </c>
      <c r="D14" s="66">
        <v>307</v>
      </c>
      <c r="E14" s="66">
        <v>318</v>
      </c>
      <c r="F14" s="66">
        <v>363</v>
      </c>
      <c r="G14" s="67">
        <v>114.15094339622642</v>
      </c>
      <c r="H14" s="68"/>
      <c r="I14" s="68"/>
      <c r="J14" s="69"/>
      <c r="K14" s="69"/>
      <c r="L14" s="69"/>
      <c r="M14" s="70"/>
      <c r="N14" s="68"/>
    </row>
    <row r="15" spans="1:14" s="62" customFormat="1">
      <c r="A15" s="63" t="s">
        <v>80</v>
      </c>
      <c r="B15" s="64" t="s">
        <v>91</v>
      </c>
      <c r="C15" s="65" t="s">
        <v>200</v>
      </c>
      <c r="D15" s="66">
        <v>10339</v>
      </c>
      <c r="E15" s="66">
        <v>9774</v>
      </c>
      <c r="F15" s="66">
        <v>12679</v>
      </c>
      <c r="G15" s="67">
        <v>129.72171066093719</v>
      </c>
      <c r="H15" s="68"/>
      <c r="I15" s="68"/>
      <c r="J15" s="69"/>
      <c r="K15" s="69"/>
      <c r="L15" s="69"/>
      <c r="M15" s="70"/>
      <c r="N15" s="68"/>
    </row>
    <row r="16" spans="1:14" s="62" customFormat="1">
      <c r="A16" s="63" t="s">
        <v>81</v>
      </c>
      <c r="B16" s="64" t="s">
        <v>92</v>
      </c>
      <c r="C16" s="65" t="s">
        <v>82</v>
      </c>
      <c r="D16" s="66">
        <v>0</v>
      </c>
      <c r="E16" s="66">
        <v>0</v>
      </c>
      <c r="F16" s="66">
        <v>1</v>
      </c>
      <c r="G16" s="67">
        <v>0</v>
      </c>
      <c r="H16" s="68"/>
      <c r="I16" s="68"/>
      <c r="J16" s="69"/>
      <c r="K16" s="69"/>
      <c r="L16" s="69"/>
      <c r="M16" s="70"/>
      <c r="N16" s="68"/>
    </row>
    <row r="17" spans="1:13" s="62" customFormat="1">
      <c r="A17" s="63" t="s">
        <v>83</v>
      </c>
      <c r="B17" s="64" t="s">
        <v>93</v>
      </c>
      <c r="C17" s="65" t="s">
        <v>203</v>
      </c>
      <c r="D17" s="66">
        <v>0</v>
      </c>
      <c r="E17" s="66">
        <v>0</v>
      </c>
      <c r="F17" s="66">
        <v>0</v>
      </c>
      <c r="G17" s="67">
        <v>0</v>
      </c>
      <c r="H17" s="68"/>
      <c r="I17" s="68"/>
      <c r="J17" s="58"/>
      <c r="K17" s="59"/>
      <c r="L17" s="59"/>
      <c r="M17" s="60"/>
    </row>
    <row r="18" spans="1:13" s="62" customFormat="1">
      <c r="A18" s="63" t="s">
        <v>195</v>
      </c>
      <c r="B18" s="64" t="s">
        <v>94</v>
      </c>
      <c r="C18" s="65" t="s">
        <v>204</v>
      </c>
      <c r="D18" s="66" t="s">
        <v>8</v>
      </c>
      <c r="E18" s="66" t="s">
        <v>8</v>
      </c>
      <c r="F18" s="66" t="s">
        <v>8</v>
      </c>
      <c r="G18" s="67">
        <v>0</v>
      </c>
      <c r="H18" s="68"/>
      <c r="I18" s="68"/>
      <c r="J18" s="69"/>
      <c r="K18" s="69"/>
      <c r="L18" s="69"/>
      <c r="M18" s="70"/>
    </row>
    <row r="19" spans="1:13" s="62" customFormat="1">
      <c r="A19" s="63" t="s">
        <v>84</v>
      </c>
      <c r="B19" s="64" t="s">
        <v>95</v>
      </c>
      <c r="C19" s="65" t="s">
        <v>85</v>
      </c>
      <c r="D19" s="66">
        <v>3607</v>
      </c>
      <c r="E19" s="66">
        <v>4161</v>
      </c>
      <c r="F19" s="66">
        <v>6130</v>
      </c>
      <c r="G19" s="67">
        <v>147.32035568372987</v>
      </c>
      <c r="H19" s="68"/>
      <c r="I19" s="68"/>
      <c r="J19" s="69"/>
      <c r="K19" s="69"/>
      <c r="L19" s="69"/>
      <c r="M19" s="70"/>
    </row>
    <row r="20" spans="1:13" s="62" customFormat="1">
      <c r="A20" s="54"/>
      <c r="B20" s="115" t="s">
        <v>96</v>
      </c>
      <c r="C20" s="55" t="s">
        <v>78</v>
      </c>
      <c r="D20" s="56">
        <v>0</v>
      </c>
      <c r="E20" s="56">
        <v>0</v>
      </c>
      <c r="F20" s="56">
        <v>16</v>
      </c>
      <c r="G20" s="57">
        <v>0</v>
      </c>
      <c r="H20" s="46"/>
      <c r="I20" s="46"/>
      <c r="J20" s="69"/>
      <c r="K20" s="69"/>
      <c r="L20" s="69"/>
      <c r="M20" s="70"/>
    </row>
    <row r="21" spans="1:13" s="62" customFormat="1">
      <c r="A21" s="63" t="s">
        <v>116</v>
      </c>
      <c r="B21" s="64" t="s">
        <v>89</v>
      </c>
      <c r="C21" s="71" t="s">
        <v>120</v>
      </c>
      <c r="D21" s="66">
        <v>0</v>
      </c>
      <c r="E21" s="66">
        <v>0</v>
      </c>
      <c r="F21" s="66">
        <v>5</v>
      </c>
      <c r="G21" s="67">
        <v>0</v>
      </c>
      <c r="H21" s="68"/>
      <c r="I21" s="68"/>
      <c r="J21" s="69"/>
      <c r="K21" s="69"/>
      <c r="L21" s="69"/>
      <c r="M21" s="70"/>
    </row>
    <row r="22" spans="1:13" s="62" customFormat="1">
      <c r="A22" s="63" t="s">
        <v>118</v>
      </c>
      <c r="B22" s="64" t="s">
        <v>91</v>
      </c>
      <c r="C22" s="71" t="s">
        <v>121</v>
      </c>
      <c r="D22" s="66">
        <v>0</v>
      </c>
      <c r="E22" s="66">
        <v>0</v>
      </c>
      <c r="F22" s="66">
        <v>11</v>
      </c>
      <c r="G22" s="67">
        <v>0</v>
      </c>
      <c r="H22" s="68"/>
      <c r="I22" s="68"/>
      <c r="J22" s="69"/>
      <c r="K22" s="69"/>
      <c r="L22" s="69"/>
      <c r="M22" s="70"/>
    </row>
    <row r="23" spans="1:13" s="62" customFormat="1">
      <c r="A23" s="63" t="s">
        <v>119</v>
      </c>
      <c r="B23" s="64" t="s">
        <v>92</v>
      </c>
      <c r="C23" s="72" t="s">
        <v>122</v>
      </c>
      <c r="D23" s="66" t="s">
        <v>8</v>
      </c>
      <c r="E23" s="66" t="s">
        <v>8</v>
      </c>
      <c r="F23" s="66" t="s">
        <v>8</v>
      </c>
      <c r="G23" s="67">
        <v>0</v>
      </c>
      <c r="H23" s="68"/>
      <c r="I23" s="68"/>
      <c r="J23" s="69"/>
      <c r="K23" s="69"/>
      <c r="L23" s="69"/>
      <c r="M23" s="70"/>
    </row>
    <row r="24" spans="1:13" s="62" customFormat="1" ht="13.5" thickBot="1">
      <c r="A24" s="63" t="s">
        <v>117</v>
      </c>
      <c r="B24" s="64" t="s">
        <v>93</v>
      </c>
      <c r="C24" s="73" t="s">
        <v>123</v>
      </c>
      <c r="D24" s="66" t="s">
        <v>8</v>
      </c>
      <c r="E24" s="66" t="s">
        <v>8</v>
      </c>
      <c r="F24" s="66" t="s">
        <v>8</v>
      </c>
      <c r="G24" s="67">
        <v>0</v>
      </c>
      <c r="H24" s="68"/>
      <c r="I24" s="68"/>
      <c r="J24" s="69"/>
      <c r="K24" s="69"/>
      <c r="L24" s="69"/>
      <c r="M24" s="70"/>
    </row>
    <row r="25" spans="1:13" ht="13.5" thickBot="1">
      <c r="A25" s="10"/>
      <c r="B25" s="5" t="s">
        <v>173</v>
      </c>
      <c r="C25" s="6" t="s">
        <v>174</v>
      </c>
      <c r="D25" s="74">
        <v>288602</v>
      </c>
      <c r="E25" s="74">
        <v>293544</v>
      </c>
      <c r="F25" s="74">
        <v>294249</v>
      </c>
      <c r="G25" s="75">
        <v>100.24016842449515</v>
      </c>
      <c r="H25" s="76"/>
      <c r="I25" s="77"/>
      <c r="J25" s="52"/>
      <c r="K25" s="52"/>
      <c r="L25" s="52"/>
      <c r="M25" s="53"/>
    </row>
    <row r="26" spans="1:13" s="62" customFormat="1">
      <c r="A26" s="78"/>
      <c r="B26" s="79"/>
      <c r="C26" s="80"/>
      <c r="D26" s="81"/>
      <c r="E26" s="81"/>
      <c r="F26" s="81"/>
      <c r="G26" s="82"/>
      <c r="H26" s="68"/>
      <c r="I26" s="68"/>
      <c r="J26" s="69"/>
      <c r="K26" s="69"/>
      <c r="L26" s="69"/>
      <c r="M26" s="70"/>
    </row>
    <row r="27" spans="1:13" s="62" customFormat="1">
      <c r="A27" s="83"/>
      <c r="B27" s="114" t="s">
        <v>86</v>
      </c>
      <c r="C27" s="84" t="s">
        <v>97</v>
      </c>
      <c r="D27" s="56">
        <v>286108</v>
      </c>
      <c r="E27" s="56">
        <v>289418</v>
      </c>
      <c r="F27" s="56">
        <v>290157</v>
      </c>
      <c r="G27" s="57">
        <v>100.25534002722705</v>
      </c>
      <c r="H27" s="46"/>
      <c r="I27" s="46"/>
      <c r="J27" s="69"/>
      <c r="K27" s="69"/>
      <c r="L27" s="69"/>
      <c r="M27" s="70"/>
    </row>
    <row r="28" spans="1:13" s="62" customFormat="1">
      <c r="A28" s="63" t="s">
        <v>103</v>
      </c>
      <c r="B28" s="64" t="s">
        <v>89</v>
      </c>
      <c r="C28" s="85" t="s">
        <v>114</v>
      </c>
      <c r="D28" s="66">
        <v>152606</v>
      </c>
      <c r="E28" s="66">
        <v>154141</v>
      </c>
      <c r="F28" s="66">
        <v>154140</v>
      </c>
      <c r="G28" s="67">
        <v>99.999351243342133</v>
      </c>
      <c r="H28" s="68"/>
      <c r="I28" s="68"/>
      <c r="J28" s="68"/>
      <c r="K28" s="68"/>
      <c r="L28" s="68"/>
      <c r="M28" s="68"/>
    </row>
    <row r="29" spans="1:13">
      <c r="A29" s="63" t="s">
        <v>104</v>
      </c>
      <c r="B29" s="64" t="s">
        <v>91</v>
      </c>
      <c r="C29" s="85" t="s">
        <v>115</v>
      </c>
      <c r="D29" s="66">
        <v>51747</v>
      </c>
      <c r="E29" s="66">
        <v>50760</v>
      </c>
      <c r="F29" s="66">
        <v>50761</v>
      </c>
      <c r="G29" s="67">
        <v>100.00197005516154</v>
      </c>
      <c r="H29" s="68"/>
      <c r="I29" s="68"/>
      <c r="J29" s="52"/>
      <c r="K29" s="52"/>
      <c r="L29" s="52"/>
      <c r="M29" s="53"/>
    </row>
    <row r="30" spans="1:13" s="62" customFormat="1">
      <c r="A30" s="86" t="s">
        <v>105</v>
      </c>
      <c r="B30" s="87" t="s">
        <v>92</v>
      </c>
      <c r="C30" s="88" t="s">
        <v>98</v>
      </c>
      <c r="D30" s="66">
        <v>66458</v>
      </c>
      <c r="E30" s="66">
        <v>69352</v>
      </c>
      <c r="F30" s="66">
        <v>70092</v>
      </c>
      <c r="G30" s="67">
        <v>101.06702041757988</v>
      </c>
      <c r="H30" s="68"/>
      <c r="I30" s="68"/>
      <c r="J30" s="59"/>
      <c r="K30" s="59"/>
      <c r="L30" s="59"/>
      <c r="M30" s="60"/>
    </row>
    <row r="31" spans="1:13" s="62" customFormat="1">
      <c r="A31" s="63" t="s">
        <v>106</v>
      </c>
      <c r="B31" s="64" t="s">
        <v>93</v>
      </c>
      <c r="C31" s="85" t="s">
        <v>99</v>
      </c>
      <c r="D31" s="66">
        <v>15297</v>
      </c>
      <c r="E31" s="66">
        <v>15165</v>
      </c>
      <c r="F31" s="66">
        <v>15164</v>
      </c>
      <c r="G31" s="67">
        <v>99.99340586877679</v>
      </c>
      <c r="H31" s="68"/>
      <c r="I31" s="68"/>
      <c r="J31" s="69"/>
      <c r="K31" s="69"/>
      <c r="L31" s="69"/>
      <c r="M31" s="70"/>
    </row>
    <row r="32" spans="1:13" s="62" customFormat="1">
      <c r="A32" s="89"/>
      <c r="B32" s="64"/>
      <c r="C32" s="85" t="s">
        <v>100</v>
      </c>
      <c r="D32" s="66"/>
      <c r="E32" s="66"/>
      <c r="F32" s="66"/>
      <c r="G32" s="90"/>
      <c r="H32" s="68"/>
      <c r="I32" s="68"/>
      <c r="J32" s="69"/>
      <c r="K32" s="69"/>
      <c r="L32" s="69"/>
      <c r="M32" s="70"/>
    </row>
    <row r="33" spans="1:13" s="62" customFormat="1">
      <c r="A33" s="63" t="s">
        <v>190</v>
      </c>
      <c r="B33" s="64"/>
      <c r="C33" s="91" t="s">
        <v>177</v>
      </c>
      <c r="D33" s="66" t="s">
        <v>8</v>
      </c>
      <c r="E33" s="66" t="s">
        <v>8</v>
      </c>
      <c r="F33" s="66" t="s">
        <v>8</v>
      </c>
      <c r="G33" s="67">
        <v>0</v>
      </c>
      <c r="H33" s="68"/>
      <c r="I33" s="68"/>
      <c r="J33" s="92"/>
      <c r="K33" s="92"/>
      <c r="L33" s="92"/>
      <c r="M33" s="70"/>
    </row>
    <row r="34" spans="1:13" s="62" customFormat="1">
      <c r="A34" s="63" t="s">
        <v>191</v>
      </c>
      <c r="B34" s="64"/>
      <c r="C34" s="91" t="s">
        <v>178</v>
      </c>
      <c r="D34" s="66" t="s">
        <v>8</v>
      </c>
      <c r="E34" s="66" t="s">
        <v>8</v>
      </c>
      <c r="F34" s="66" t="s">
        <v>8</v>
      </c>
      <c r="G34" s="67">
        <v>0</v>
      </c>
      <c r="H34" s="93"/>
      <c r="I34" s="68"/>
      <c r="J34" s="69"/>
      <c r="K34" s="69"/>
      <c r="L34" s="69"/>
      <c r="M34" s="70"/>
    </row>
    <row r="35" spans="1:13" s="62" customFormat="1">
      <c r="A35" s="63" t="s">
        <v>192</v>
      </c>
      <c r="B35" s="64"/>
      <c r="C35" s="91" t="s">
        <v>179</v>
      </c>
      <c r="D35" s="66" t="s">
        <v>8</v>
      </c>
      <c r="E35" s="66" t="s">
        <v>8</v>
      </c>
      <c r="F35" s="66" t="s">
        <v>8</v>
      </c>
      <c r="G35" s="67">
        <v>0</v>
      </c>
      <c r="H35" s="93"/>
      <c r="I35" s="68"/>
      <c r="J35" s="69"/>
      <c r="K35" s="69"/>
      <c r="L35" s="69"/>
      <c r="M35" s="70"/>
    </row>
    <row r="36" spans="1:13" s="62" customFormat="1">
      <c r="A36" s="63" t="s">
        <v>124</v>
      </c>
      <c r="B36" s="64"/>
      <c r="C36" s="91" t="s">
        <v>180</v>
      </c>
      <c r="D36" s="66" t="s">
        <v>8</v>
      </c>
      <c r="E36" s="66" t="s">
        <v>8</v>
      </c>
      <c r="F36" s="66" t="s">
        <v>8</v>
      </c>
      <c r="G36" s="67">
        <v>0</v>
      </c>
      <c r="H36" s="93"/>
      <c r="I36" s="68"/>
      <c r="J36" s="69"/>
      <c r="K36" s="69"/>
      <c r="L36" s="69"/>
      <c r="M36" s="70"/>
    </row>
    <row r="37" spans="1:13" s="62" customFormat="1">
      <c r="A37" s="63" t="s">
        <v>125</v>
      </c>
      <c r="B37" s="64"/>
      <c r="C37" s="91" t="s">
        <v>181</v>
      </c>
      <c r="D37" s="66" t="s">
        <v>8</v>
      </c>
      <c r="E37" s="66" t="s">
        <v>8</v>
      </c>
      <c r="F37" s="66" t="s">
        <v>8</v>
      </c>
      <c r="G37" s="67">
        <v>0</v>
      </c>
      <c r="H37" s="93"/>
      <c r="I37" s="68"/>
      <c r="J37" s="69"/>
      <c r="K37" s="69"/>
      <c r="L37" s="69"/>
      <c r="M37" s="70"/>
    </row>
    <row r="38" spans="1:13" s="62" customFormat="1">
      <c r="A38" s="63" t="s">
        <v>220</v>
      </c>
      <c r="B38" s="64"/>
      <c r="C38" s="91" t="s">
        <v>213</v>
      </c>
      <c r="D38" s="66" t="s">
        <v>8</v>
      </c>
      <c r="E38" s="66" t="s">
        <v>8</v>
      </c>
      <c r="F38" s="66" t="s">
        <v>8</v>
      </c>
      <c r="G38" s="67">
        <v>0</v>
      </c>
      <c r="H38" s="93"/>
      <c r="I38" s="68"/>
      <c r="J38" s="69"/>
      <c r="K38" s="69"/>
      <c r="L38" s="69"/>
      <c r="M38" s="70"/>
    </row>
    <row r="39" spans="1:13" s="62" customFormat="1">
      <c r="A39" s="63" t="s">
        <v>193</v>
      </c>
      <c r="B39" s="64"/>
      <c r="C39" s="91" t="s">
        <v>182</v>
      </c>
      <c r="D39" s="66" t="s">
        <v>8</v>
      </c>
      <c r="E39" s="66" t="s">
        <v>8</v>
      </c>
      <c r="F39" s="66" t="s">
        <v>8</v>
      </c>
      <c r="G39" s="67">
        <v>0</v>
      </c>
      <c r="H39" s="93"/>
      <c r="I39" s="68"/>
      <c r="J39" s="69"/>
      <c r="K39" s="69"/>
      <c r="L39" s="69"/>
      <c r="M39" s="70"/>
    </row>
    <row r="40" spans="1:13" ht="28.5" customHeight="1">
      <c r="A40" s="63" t="s">
        <v>108</v>
      </c>
      <c r="B40" s="64"/>
      <c r="C40" s="94" t="s">
        <v>201</v>
      </c>
      <c r="D40" s="66" t="s">
        <v>8</v>
      </c>
      <c r="E40" s="66" t="s">
        <v>8</v>
      </c>
      <c r="F40" s="66" t="s">
        <v>8</v>
      </c>
      <c r="G40" s="67">
        <v>0</v>
      </c>
      <c r="H40" s="95"/>
      <c r="I40" s="96"/>
      <c r="J40" s="97"/>
      <c r="K40" s="97"/>
      <c r="L40" s="97"/>
      <c r="M40" s="53"/>
    </row>
    <row r="41" spans="1:13" s="62" customFormat="1">
      <c r="A41" s="86" t="s">
        <v>197</v>
      </c>
      <c r="B41" s="87"/>
      <c r="C41" s="98" t="s">
        <v>183</v>
      </c>
      <c r="D41" s="66" t="s">
        <v>8</v>
      </c>
      <c r="E41" s="66" t="s">
        <v>8</v>
      </c>
      <c r="F41" s="66" t="s">
        <v>8</v>
      </c>
      <c r="G41" s="67">
        <v>0</v>
      </c>
      <c r="H41" s="99"/>
      <c r="I41" s="100"/>
      <c r="J41" s="100"/>
      <c r="K41" s="100"/>
      <c r="L41" s="100"/>
      <c r="M41" s="101"/>
    </row>
    <row r="42" spans="1:13" s="62" customFormat="1">
      <c r="A42" s="63" t="s">
        <v>198</v>
      </c>
      <c r="B42" s="102" t="s">
        <v>94</v>
      </c>
      <c r="C42" s="103" t="s">
        <v>185</v>
      </c>
      <c r="D42" s="66" t="s">
        <v>8</v>
      </c>
      <c r="E42" s="66" t="s">
        <v>8</v>
      </c>
      <c r="F42" s="66" t="s">
        <v>8</v>
      </c>
      <c r="G42" s="67">
        <v>0</v>
      </c>
      <c r="H42" s="99"/>
      <c r="I42" s="100"/>
      <c r="J42" s="100"/>
      <c r="K42" s="100"/>
      <c r="L42" s="100"/>
      <c r="M42" s="101"/>
    </row>
    <row r="43" spans="1:13">
      <c r="A43" s="54"/>
      <c r="B43" s="115" t="s">
        <v>88</v>
      </c>
      <c r="C43" s="104" t="s">
        <v>101</v>
      </c>
      <c r="D43" s="105">
        <v>2494</v>
      </c>
      <c r="E43" s="105">
        <v>4126</v>
      </c>
      <c r="F43" s="105">
        <v>4092</v>
      </c>
      <c r="G43" s="51">
        <v>99.175957343674256</v>
      </c>
      <c r="H43" s="21"/>
      <c r="I43" s="19"/>
      <c r="J43" s="19"/>
      <c r="K43" s="19"/>
      <c r="L43" s="19"/>
      <c r="M43" s="23"/>
    </row>
    <row r="44" spans="1:13" s="62" customFormat="1">
      <c r="A44" s="86" t="s">
        <v>107</v>
      </c>
      <c r="B44" s="87" t="s">
        <v>89</v>
      </c>
      <c r="C44" s="106" t="s">
        <v>102</v>
      </c>
      <c r="D44" s="66">
        <v>2494</v>
      </c>
      <c r="E44" s="66">
        <v>4126</v>
      </c>
      <c r="F44" s="66">
        <v>4092</v>
      </c>
      <c r="G44" s="67">
        <v>99.175957343674256</v>
      </c>
      <c r="H44" s="99"/>
      <c r="I44" s="100"/>
      <c r="J44" s="100"/>
      <c r="K44" s="100"/>
      <c r="L44" s="100"/>
      <c r="M44" s="101"/>
    </row>
    <row r="45" spans="1:13" s="62" customFormat="1">
      <c r="A45" s="63" t="s">
        <v>109</v>
      </c>
      <c r="B45" s="64" t="s">
        <v>91</v>
      </c>
      <c r="C45" s="107" t="s">
        <v>110</v>
      </c>
      <c r="D45" s="66" t="s">
        <v>8</v>
      </c>
      <c r="E45" s="66" t="s">
        <v>8</v>
      </c>
      <c r="F45" s="66" t="s">
        <v>8</v>
      </c>
      <c r="G45" s="67">
        <v>0</v>
      </c>
      <c r="H45" s="99"/>
      <c r="I45" s="100"/>
      <c r="J45" s="100"/>
      <c r="K45" s="100"/>
      <c r="L45" s="100"/>
      <c r="M45" s="101"/>
    </row>
    <row r="46" spans="1:13" s="62" customFormat="1">
      <c r="A46" s="89"/>
      <c r="B46" s="64"/>
      <c r="C46" s="85" t="s">
        <v>100</v>
      </c>
      <c r="D46" s="108"/>
      <c r="E46" s="108"/>
      <c r="F46" s="108"/>
      <c r="G46" s="109"/>
      <c r="H46" s="99"/>
      <c r="I46" s="100"/>
      <c r="J46" s="100"/>
      <c r="K46" s="100"/>
      <c r="L46" s="100"/>
      <c r="M46" s="101"/>
    </row>
    <row r="47" spans="1:13" s="62" customFormat="1">
      <c r="A47" s="63" t="s">
        <v>196</v>
      </c>
      <c r="B47" s="64"/>
      <c r="C47" s="85" t="s">
        <v>177</v>
      </c>
      <c r="D47" s="66" t="s">
        <v>8</v>
      </c>
      <c r="E47" s="66" t="s">
        <v>8</v>
      </c>
      <c r="F47" s="66" t="s">
        <v>8</v>
      </c>
      <c r="G47" s="67">
        <v>0</v>
      </c>
      <c r="H47" s="99"/>
      <c r="I47" s="100"/>
      <c r="J47" s="100"/>
      <c r="K47" s="100"/>
      <c r="L47" s="100"/>
      <c r="M47" s="101"/>
    </row>
    <row r="48" spans="1:13" s="62" customFormat="1">
      <c r="A48" s="63" t="s">
        <v>199</v>
      </c>
      <c r="B48" s="64"/>
      <c r="C48" s="85" t="s">
        <v>179</v>
      </c>
      <c r="D48" s="66" t="s">
        <v>8</v>
      </c>
      <c r="E48" s="66" t="s">
        <v>8</v>
      </c>
      <c r="F48" s="66" t="s">
        <v>8</v>
      </c>
      <c r="G48" s="67">
        <v>0</v>
      </c>
      <c r="H48" s="99"/>
      <c r="I48" s="100"/>
      <c r="J48" s="100"/>
      <c r="K48" s="100"/>
      <c r="L48" s="100"/>
      <c r="M48" s="101"/>
    </row>
    <row r="49" spans="1:13" s="62" customFormat="1">
      <c r="A49" s="63" t="s">
        <v>126</v>
      </c>
      <c r="B49" s="64"/>
      <c r="C49" s="85" t="s">
        <v>180</v>
      </c>
      <c r="D49" s="66" t="s">
        <v>8</v>
      </c>
      <c r="E49" s="66" t="s">
        <v>8</v>
      </c>
      <c r="F49" s="66" t="s">
        <v>8</v>
      </c>
      <c r="G49" s="67">
        <v>0</v>
      </c>
      <c r="H49" s="99"/>
      <c r="I49" s="100"/>
      <c r="J49" s="100"/>
      <c r="K49" s="100"/>
      <c r="L49" s="100"/>
      <c r="M49" s="101"/>
    </row>
    <row r="50" spans="1:13" s="62" customFormat="1">
      <c r="A50" s="63" t="s">
        <v>127</v>
      </c>
      <c r="B50" s="64"/>
      <c r="C50" s="85" t="s">
        <v>181</v>
      </c>
      <c r="D50" s="66" t="s">
        <v>8</v>
      </c>
      <c r="E50" s="66" t="s">
        <v>8</v>
      </c>
      <c r="F50" s="66" t="s">
        <v>8</v>
      </c>
      <c r="G50" s="67">
        <v>0</v>
      </c>
      <c r="H50" s="99"/>
      <c r="I50" s="100"/>
      <c r="J50" s="100"/>
      <c r="K50" s="100"/>
      <c r="L50" s="100"/>
      <c r="M50" s="101"/>
    </row>
    <row r="51" spans="1:13" s="62" customFormat="1">
      <c r="A51" s="63" t="s">
        <v>111</v>
      </c>
      <c r="B51" s="64"/>
      <c r="C51" s="85" t="s">
        <v>184</v>
      </c>
      <c r="D51" s="66" t="s">
        <v>8</v>
      </c>
      <c r="E51" s="66" t="s">
        <v>8</v>
      </c>
      <c r="F51" s="66" t="s">
        <v>8</v>
      </c>
      <c r="G51" s="67">
        <v>0</v>
      </c>
      <c r="H51" s="99"/>
      <c r="I51" s="100"/>
      <c r="J51" s="100"/>
      <c r="K51" s="100"/>
      <c r="L51" s="100"/>
      <c r="M51" s="101"/>
    </row>
    <row r="52" spans="1:13" s="62" customFormat="1" ht="29.25" customHeight="1" thickBot="1">
      <c r="A52" s="63" t="s">
        <v>112</v>
      </c>
      <c r="B52" s="110"/>
      <c r="C52" s="111" t="s">
        <v>202</v>
      </c>
      <c r="D52" s="66" t="s">
        <v>8</v>
      </c>
      <c r="E52" s="66" t="s">
        <v>8</v>
      </c>
      <c r="F52" s="66" t="s">
        <v>8</v>
      </c>
      <c r="G52" s="67">
        <v>0</v>
      </c>
      <c r="H52" s="99"/>
      <c r="I52" s="100"/>
      <c r="J52" s="100"/>
      <c r="K52" s="100"/>
      <c r="L52" s="100"/>
      <c r="M52" s="101"/>
    </row>
    <row r="53" spans="1:13" ht="13.5" thickBot="1">
      <c r="A53" s="11"/>
      <c r="B53" s="7" t="s">
        <v>175</v>
      </c>
      <c r="C53" s="8" t="s">
        <v>176</v>
      </c>
      <c r="D53" s="112">
        <v>-274349</v>
      </c>
      <c r="E53" s="112">
        <v>-279291</v>
      </c>
      <c r="F53" s="112">
        <v>-275060</v>
      </c>
      <c r="G53" s="113">
        <v>98.485092609500484</v>
      </c>
      <c r="H53" s="21"/>
      <c r="I53" s="19"/>
      <c r="J53" s="19"/>
      <c r="K53" s="19"/>
      <c r="L53" s="19"/>
      <c r="M53" s="23"/>
    </row>
    <row r="54" spans="1:13" ht="13.5" thickTop="1">
      <c r="A54" s="21"/>
      <c r="B54" s="21"/>
      <c r="C54" s="19"/>
      <c r="D54" s="19"/>
      <c r="E54" s="19"/>
      <c r="F54" s="19"/>
      <c r="G54" s="23"/>
      <c r="H54" s="21"/>
      <c r="I54" s="19"/>
      <c r="J54" s="19"/>
      <c r="K54" s="19"/>
      <c r="L54" s="19"/>
      <c r="M54" s="23"/>
    </row>
  </sheetData>
  <mergeCells count="5">
    <mergeCell ref="B4:G4"/>
    <mergeCell ref="A1:C1"/>
    <mergeCell ref="A2:C2"/>
    <mergeCell ref="B3:G3"/>
    <mergeCell ref="D6:H6"/>
  </mergeCells>
  <phoneticPr fontId="11" type="noConversion"/>
  <pageMargins left="0.61" right="0.47" top="0.5" bottom="0.46" header="0.3" footer="0.28000000000000003"/>
  <pageSetup paperSize="9" scale="7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topLeftCell="C1" workbookViewId="0">
      <selection activeCell="M36" sqref="M36"/>
    </sheetView>
  </sheetViews>
  <sheetFormatPr defaultRowHeight="12.75"/>
  <cols>
    <col min="1" max="1" width="52.85546875" style="17" customWidth="1"/>
    <col min="2" max="13" width="12.7109375" style="17" customWidth="1"/>
    <col min="14" max="16384" width="9.140625" style="17"/>
  </cols>
  <sheetData>
    <row r="1" spans="1:13">
      <c r="A1" s="361" t="s">
        <v>74</v>
      </c>
      <c r="B1" s="362"/>
      <c r="C1" s="13"/>
      <c r="D1" s="13"/>
      <c r="E1" s="116" t="s">
        <v>225</v>
      </c>
      <c r="M1" s="14" t="s">
        <v>233</v>
      </c>
    </row>
    <row r="2" spans="1:13">
      <c r="A2" s="364">
        <v>40990</v>
      </c>
      <c r="B2" s="362"/>
      <c r="C2" s="13"/>
      <c r="D2" s="13"/>
      <c r="E2" s="13"/>
      <c r="M2" s="14" t="s">
        <v>76</v>
      </c>
    </row>
    <row r="3" spans="1:13">
      <c r="A3" s="359" t="s">
        <v>234</v>
      </c>
      <c r="B3" s="373"/>
      <c r="C3" s="373"/>
      <c r="D3" s="373"/>
      <c r="E3" s="373"/>
      <c r="F3" s="363"/>
      <c r="G3" s="363"/>
      <c r="H3" s="363"/>
      <c r="I3" s="363"/>
      <c r="J3" s="363"/>
      <c r="K3" s="363"/>
      <c r="L3" s="363"/>
      <c r="M3" s="363"/>
    </row>
    <row r="4" spans="1:13">
      <c r="A4" s="15"/>
      <c r="B4" s="123"/>
      <c r="C4" s="124"/>
      <c r="D4" s="13"/>
      <c r="E4" s="374" t="s">
        <v>223</v>
      </c>
      <c r="F4" s="359"/>
    </row>
    <row r="5" spans="1:13">
      <c r="A5" s="15"/>
      <c r="B5" s="123"/>
      <c r="C5" s="124"/>
      <c r="D5" s="13"/>
      <c r="E5" s="125"/>
      <c r="F5" s="117"/>
    </row>
    <row r="6" spans="1:13">
      <c r="A6" s="361" t="s">
        <v>235</v>
      </c>
      <c r="B6" s="362"/>
      <c r="D6" s="367" t="s">
        <v>232</v>
      </c>
      <c r="E6" s="362"/>
      <c r="F6" s="362"/>
      <c r="G6" s="366"/>
      <c r="H6" s="366"/>
      <c r="M6" s="126"/>
    </row>
    <row r="7" spans="1:13">
      <c r="A7" s="15"/>
      <c r="B7" s="123"/>
      <c r="C7" s="124"/>
      <c r="D7" s="13"/>
      <c r="E7" s="13"/>
      <c r="M7" s="127"/>
    </row>
    <row r="8" spans="1:13">
      <c r="A8" s="15"/>
      <c r="B8" s="128"/>
      <c r="C8" s="129"/>
      <c r="D8" s="129"/>
      <c r="E8" s="130"/>
      <c r="F8" s="129"/>
      <c r="G8" s="129"/>
      <c r="H8" s="129"/>
      <c r="I8" s="130"/>
      <c r="J8" s="129"/>
      <c r="K8" s="129"/>
      <c r="L8" s="129"/>
      <c r="M8" s="130"/>
    </row>
    <row r="9" spans="1:13" ht="13.5" thickBot="1"/>
    <row r="10" spans="1:13">
      <c r="A10" s="369" t="s">
        <v>236</v>
      </c>
      <c r="B10" s="371" t="s">
        <v>237</v>
      </c>
      <c r="C10" s="371"/>
      <c r="D10" s="371"/>
      <c r="E10" s="371"/>
      <c r="F10" s="371" t="s">
        <v>238</v>
      </c>
      <c r="G10" s="371"/>
      <c r="H10" s="371"/>
      <c r="I10" s="371"/>
      <c r="J10" s="371" t="s">
        <v>239</v>
      </c>
      <c r="K10" s="371"/>
      <c r="L10" s="371"/>
      <c r="M10" s="372"/>
    </row>
    <row r="11" spans="1:13" ht="39" thickBot="1">
      <c r="A11" s="370"/>
      <c r="B11" s="131" t="s">
        <v>240</v>
      </c>
      <c r="C11" s="131" t="s">
        <v>241</v>
      </c>
      <c r="D11" s="132" t="s">
        <v>169</v>
      </c>
      <c r="E11" s="131" t="s">
        <v>70</v>
      </c>
      <c r="F11" s="131" t="s">
        <v>240</v>
      </c>
      <c r="G11" s="131" t="s">
        <v>241</v>
      </c>
      <c r="H11" s="132" t="s">
        <v>169</v>
      </c>
      <c r="I11" s="131" t="s">
        <v>70</v>
      </c>
      <c r="J11" s="131" t="s">
        <v>240</v>
      </c>
      <c r="K11" s="131" t="s">
        <v>241</v>
      </c>
      <c r="L11" s="132" t="s">
        <v>169</v>
      </c>
      <c r="M11" s="133" t="s">
        <v>70</v>
      </c>
    </row>
    <row r="12" spans="1:13">
      <c r="A12" s="134" t="s">
        <v>242</v>
      </c>
      <c r="B12" s="135">
        <v>15</v>
      </c>
      <c r="C12" s="135">
        <v>18</v>
      </c>
      <c r="D12" s="135">
        <v>17</v>
      </c>
      <c r="E12" s="136">
        <v>94.444444444444443</v>
      </c>
      <c r="F12" s="135">
        <v>0</v>
      </c>
      <c r="G12" s="135">
        <v>0</v>
      </c>
      <c r="H12" s="135">
        <v>0</v>
      </c>
      <c r="I12" s="137">
        <v>0</v>
      </c>
      <c r="J12" s="138">
        <v>15</v>
      </c>
      <c r="K12" s="138">
        <v>18</v>
      </c>
      <c r="L12" s="138">
        <v>17</v>
      </c>
      <c r="M12" s="139">
        <v>94.444444444444443</v>
      </c>
    </row>
    <row r="13" spans="1:13">
      <c r="A13" s="134" t="s">
        <v>243</v>
      </c>
      <c r="B13" s="135">
        <v>15</v>
      </c>
      <c r="C13" s="135">
        <v>18</v>
      </c>
      <c r="D13" s="135">
        <v>17</v>
      </c>
      <c r="E13" s="136">
        <v>94.444444444444443</v>
      </c>
      <c r="F13" s="135">
        <v>0</v>
      </c>
      <c r="G13" s="135">
        <v>0</v>
      </c>
      <c r="H13" s="135">
        <v>0</v>
      </c>
      <c r="I13" s="137">
        <v>0</v>
      </c>
      <c r="J13" s="138">
        <v>15</v>
      </c>
      <c r="K13" s="138">
        <v>18</v>
      </c>
      <c r="L13" s="138">
        <v>17</v>
      </c>
      <c r="M13" s="139">
        <v>94.444444444444443</v>
      </c>
    </row>
    <row r="14" spans="1:13">
      <c r="A14" s="134" t="s">
        <v>244</v>
      </c>
      <c r="B14" s="135">
        <v>15</v>
      </c>
      <c r="C14" s="135">
        <v>18</v>
      </c>
      <c r="D14" s="135">
        <v>17</v>
      </c>
      <c r="E14" s="136">
        <v>94.444444444444443</v>
      </c>
      <c r="F14" s="135">
        <v>0</v>
      </c>
      <c r="G14" s="135">
        <v>0</v>
      </c>
      <c r="H14" s="135">
        <v>0</v>
      </c>
      <c r="I14" s="137">
        <v>0</v>
      </c>
      <c r="J14" s="138">
        <v>15</v>
      </c>
      <c r="K14" s="138">
        <v>18</v>
      </c>
      <c r="L14" s="138">
        <v>17</v>
      </c>
      <c r="M14" s="139">
        <v>94.444444444444443</v>
      </c>
    </row>
    <row r="15" spans="1:13">
      <c r="A15" s="134" t="s">
        <v>245</v>
      </c>
      <c r="B15" s="135">
        <v>283549</v>
      </c>
      <c r="C15" s="135">
        <v>286877</v>
      </c>
      <c r="D15" s="135">
        <v>286904</v>
      </c>
      <c r="E15" s="136">
        <v>100.00941169909055</v>
      </c>
      <c r="F15" s="135">
        <v>2494</v>
      </c>
      <c r="G15" s="135">
        <v>4120</v>
      </c>
      <c r="H15" s="135">
        <v>4086</v>
      </c>
      <c r="I15" s="137">
        <v>99.174757281553397</v>
      </c>
      <c r="J15" s="138">
        <v>286043</v>
      </c>
      <c r="K15" s="138">
        <v>290997</v>
      </c>
      <c r="L15" s="138">
        <v>290990</v>
      </c>
      <c r="M15" s="139">
        <v>99.997594476919005</v>
      </c>
    </row>
    <row r="16" spans="1:13">
      <c r="A16" s="134" t="s">
        <v>246</v>
      </c>
      <c r="B16" s="135">
        <v>139139</v>
      </c>
      <c r="C16" s="135">
        <v>140951</v>
      </c>
      <c r="D16" s="135">
        <v>140941</v>
      </c>
      <c r="E16" s="136">
        <v>99.992905335896879</v>
      </c>
      <c r="F16" s="135">
        <v>1604</v>
      </c>
      <c r="G16" s="135">
        <v>3059</v>
      </c>
      <c r="H16" s="135">
        <v>3051</v>
      </c>
      <c r="I16" s="137">
        <v>99.738476626348486</v>
      </c>
      <c r="J16" s="138">
        <v>140743</v>
      </c>
      <c r="K16" s="138">
        <v>144010</v>
      </c>
      <c r="L16" s="138">
        <v>143992</v>
      </c>
      <c r="M16" s="139">
        <v>99.98750086799528</v>
      </c>
    </row>
    <row r="17" spans="1:13">
      <c r="A17" s="134" t="s">
        <v>247</v>
      </c>
      <c r="B17" s="135">
        <v>139139</v>
      </c>
      <c r="C17" s="135">
        <v>140951</v>
      </c>
      <c r="D17" s="135">
        <v>140941</v>
      </c>
      <c r="E17" s="136">
        <v>99.992905335896879</v>
      </c>
      <c r="F17" s="135">
        <v>1604</v>
      </c>
      <c r="G17" s="135">
        <v>3059</v>
      </c>
      <c r="H17" s="135">
        <v>3051</v>
      </c>
      <c r="I17" s="137">
        <v>99.738476626348486</v>
      </c>
      <c r="J17" s="138">
        <v>140743</v>
      </c>
      <c r="K17" s="138">
        <v>144010</v>
      </c>
      <c r="L17" s="138">
        <v>143992</v>
      </c>
      <c r="M17" s="139">
        <v>99.98750086799528</v>
      </c>
    </row>
    <row r="18" spans="1:13">
      <c r="A18" s="134" t="s">
        <v>248</v>
      </c>
      <c r="B18" s="135">
        <v>136307</v>
      </c>
      <c r="C18" s="135">
        <v>136626</v>
      </c>
      <c r="D18" s="135">
        <v>136663</v>
      </c>
      <c r="E18" s="136">
        <v>100.02708122904865</v>
      </c>
      <c r="F18" s="135">
        <v>238</v>
      </c>
      <c r="G18" s="135">
        <v>465</v>
      </c>
      <c r="H18" s="135">
        <v>477</v>
      </c>
      <c r="I18" s="137">
        <v>102.58064516129033</v>
      </c>
      <c r="J18" s="138">
        <v>136545</v>
      </c>
      <c r="K18" s="138">
        <v>137091</v>
      </c>
      <c r="L18" s="138">
        <v>137140</v>
      </c>
      <c r="M18" s="139">
        <v>100.03574268186826</v>
      </c>
    </row>
    <row r="19" spans="1:13">
      <c r="A19" s="134" t="s">
        <v>249</v>
      </c>
      <c r="B19" s="135">
        <v>136307</v>
      </c>
      <c r="C19" s="135">
        <v>136626</v>
      </c>
      <c r="D19" s="135">
        <v>136663</v>
      </c>
      <c r="E19" s="136">
        <v>100.02708122904865</v>
      </c>
      <c r="F19" s="135">
        <v>238</v>
      </c>
      <c r="G19" s="135">
        <v>465</v>
      </c>
      <c r="H19" s="135">
        <v>477</v>
      </c>
      <c r="I19" s="137">
        <v>102.58064516129033</v>
      </c>
      <c r="J19" s="138">
        <v>136545</v>
      </c>
      <c r="K19" s="138">
        <v>137091</v>
      </c>
      <c r="L19" s="138">
        <v>137140</v>
      </c>
      <c r="M19" s="139">
        <v>100.03574268186826</v>
      </c>
    </row>
    <row r="20" spans="1:13">
      <c r="A20" s="134" t="s">
        <v>250</v>
      </c>
      <c r="B20" s="135">
        <v>8103</v>
      </c>
      <c r="C20" s="135">
        <v>9300</v>
      </c>
      <c r="D20" s="135">
        <v>9300</v>
      </c>
      <c r="E20" s="136">
        <v>100</v>
      </c>
      <c r="F20" s="135">
        <v>652</v>
      </c>
      <c r="G20" s="135">
        <v>596</v>
      </c>
      <c r="H20" s="135">
        <v>558</v>
      </c>
      <c r="I20" s="137">
        <v>93.624161073825505</v>
      </c>
      <c r="J20" s="138">
        <v>8755</v>
      </c>
      <c r="K20" s="138">
        <v>9896</v>
      </c>
      <c r="L20" s="138">
        <v>9858</v>
      </c>
      <c r="M20" s="139">
        <v>99.616006467259496</v>
      </c>
    </row>
    <row r="21" spans="1:13">
      <c r="A21" s="134" t="s">
        <v>251</v>
      </c>
      <c r="B21" s="135">
        <v>8103</v>
      </c>
      <c r="C21" s="135">
        <v>9300</v>
      </c>
      <c r="D21" s="135">
        <v>9300</v>
      </c>
      <c r="E21" s="136">
        <v>100</v>
      </c>
      <c r="F21" s="135">
        <v>652</v>
      </c>
      <c r="G21" s="135">
        <v>596</v>
      </c>
      <c r="H21" s="135">
        <v>558</v>
      </c>
      <c r="I21" s="137">
        <v>93.624161073825505</v>
      </c>
      <c r="J21" s="138">
        <v>8755</v>
      </c>
      <c r="K21" s="138">
        <v>9896</v>
      </c>
      <c r="L21" s="138">
        <v>9858</v>
      </c>
      <c r="M21" s="139">
        <v>99.616006467259496</v>
      </c>
    </row>
    <row r="22" spans="1:13">
      <c r="A22" s="134" t="s">
        <v>252</v>
      </c>
      <c r="B22" s="135">
        <v>960</v>
      </c>
      <c r="C22" s="135">
        <v>942</v>
      </c>
      <c r="D22" s="135">
        <v>1657</v>
      </c>
      <c r="E22" s="136">
        <v>175.90233545647558</v>
      </c>
      <c r="F22" s="135">
        <v>0</v>
      </c>
      <c r="G22" s="135">
        <v>0</v>
      </c>
      <c r="H22" s="135">
        <v>0</v>
      </c>
      <c r="I22" s="137">
        <v>0</v>
      </c>
      <c r="J22" s="138">
        <v>960</v>
      </c>
      <c r="K22" s="138">
        <v>942</v>
      </c>
      <c r="L22" s="138">
        <v>1657</v>
      </c>
      <c r="M22" s="139">
        <v>175.90233545647558</v>
      </c>
    </row>
    <row r="23" spans="1:13">
      <c r="A23" s="134" t="s">
        <v>253</v>
      </c>
      <c r="B23" s="135">
        <v>960</v>
      </c>
      <c r="C23" s="135">
        <v>942</v>
      </c>
      <c r="D23" s="135">
        <v>1657</v>
      </c>
      <c r="E23" s="136">
        <v>175.90233545647558</v>
      </c>
      <c r="F23" s="135">
        <v>0</v>
      </c>
      <c r="G23" s="135">
        <v>0</v>
      </c>
      <c r="H23" s="135">
        <v>0</v>
      </c>
      <c r="I23" s="137">
        <v>0</v>
      </c>
      <c r="J23" s="138">
        <v>960</v>
      </c>
      <c r="K23" s="138">
        <v>942</v>
      </c>
      <c r="L23" s="138">
        <v>1657</v>
      </c>
      <c r="M23" s="139">
        <v>175.90233545647558</v>
      </c>
    </row>
    <row r="24" spans="1:13">
      <c r="A24" s="134" t="s">
        <v>254</v>
      </c>
      <c r="B24" s="135">
        <v>960</v>
      </c>
      <c r="C24" s="135">
        <v>942</v>
      </c>
      <c r="D24" s="135">
        <v>1657</v>
      </c>
      <c r="E24" s="136">
        <v>175.90233545647558</v>
      </c>
      <c r="F24" s="135">
        <v>0</v>
      </c>
      <c r="G24" s="135">
        <v>0</v>
      </c>
      <c r="H24" s="135">
        <v>0</v>
      </c>
      <c r="I24" s="137">
        <v>0</v>
      </c>
      <c r="J24" s="138">
        <v>960</v>
      </c>
      <c r="K24" s="138">
        <v>942</v>
      </c>
      <c r="L24" s="138">
        <v>1657</v>
      </c>
      <c r="M24" s="139">
        <v>175.90233545647558</v>
      </c>
    </row>
    <row r="25" spans="1:13">
      <c r="A25" s="134" t="s">
        <v>255</v>
      </c>
      <c r="B25" s="135">
        <v>388</v>
      </c>
      <c r="C25" s="135">
        <v>350</v>
      </c>
      <c r="D25" s="135">
        <v>350</v>
      </c>
      <c r="E25" s="136">
        <v>100</v>
      </c>
      <c r="F25" s="135">
        <v>0</v>
      </c>
      <c r="G25" s="135">
        <v>0</v>
      </c>
      <c r="H25" s="135">
        <v>0</v>
      </c>
      <c r="I25" s="137">
        <v>0</v>
      </c>
      <c r="J25" s="138">
        <v>388</v>
      </c>
      <c r="K25" s="138">
        <v>350</v>
      </c>
      <c r="L25" s="138">
        <v>350</v>
      </c>
      <c r="M25" s="139">
        <v>100</v>
      </c>
    </row>
    <row r="26" spans="1:13">
      <c r="A26" s="134" t="s">
        <v>256</v>
      </c>
      <c r="B26" s="135">
        <v>388</v>
      </c>
      <c r="C26" s="135">
        <v>350</v>
      </c>
      <c r="D26" s="135">
        <v>350</v>
      </c>
      <c r="E26" s="136">
        <v>100</v>
      </c>
      <c r="F26" s="135">
        <v>0</v>
      </c>
      <c r="G26" s="135">
        <v>0</v>
      </c>
      <c r="H26" s="135">
        <v>0</v>
      </c>
      <c r="I26" s="137">
        <v>0</v>
      </c>
      <c r="J26" s="138">
        <v>388</v>
      </c>
      <c r="K26" s="138">
        <v>350</v>
      </c>
      <c r="L26" s="138">
        <v>350</v>
      </c>
      <c r="M26" s="139">
        <v>100</v>
      </c>
    </row>
    <row r="27" spans="1:13">
      <c r="A27" s="134" t="s">
        <v>257</v>
      </c>
      <c r="B27" s="135">
        <v>388</v>
      </c>
      <c r="C27" s="135">
        <v>350</v>
      </c>
      <c r="D27" s="135">
        <v>350</v>
      </c>
      <c r="E27" s="136">
        <v>100</v>
      </c>
      <c r="F27" s="135">
        <v>0</v>
      </c>
      <c r="G27" s="135">
        <v>0</v>
      </c>
      <c r="H27" s="135">
        <v>0</v>
      </c>
      <c r="I27" s="137">
        <v>0</v>
      </c>
      <c r="J27" s="138">
        <v>388</v>
      </c>
      <c r="K27" s="138">
        <v>350</v>
      </c>
      <c r="L27" s="138">
        <v>350</v>
      </c>
      <c r="M27" s="139">
        <v>100</v>
      </c>
    </row>
    <row r="28" spans="1:13">
      <c r="A28" s="134" t="s">
        <v>258</v>
      </c>
      <c r="B28" s="135">
        <v>1196</v>
      </c>
      <c r="C28" s="135">
        <v>1231</v>
      </c>
      <c r="D28" s="135">
        <v>1229</v>
      </c>
      <c r="E28" s="136">
        <v>99.837530463038178</v>
      </c>
      <c r="F28" s="135">
        <v>0</v>
      </c>
      <c r="G28" s="135">
        <v>6</v>
      </c>
      <c r="H28" s="135">
        <v>6</v>
      </c>
      <c r="I28" s="137">
        <v>100</v>
      </c>
      <c r="J28" s="138">
        <v>1196</v>
      </c>
      <c r="K28" s="138">
        <v>1237</v>
      </c>
      <c r="L28" s="138">
        <v>1235</v>
      </c>
      <c r="M28" s="139">
        <v>99.838318512530307</v>
      </c>
    </row>
    <row r="29" spans="1:13">
      <c r="A29" s="134" t="s">
        <v>259</v>
      </c>
      <c r="B29" s="135">
        <v>1196</v>
      </c>
      <c r="C29" s="135">
        <v>1231</v>
      </c>
      <c r="D29" s="135">
        <v>1229</v>
      </c>
      <c r="E29" s="136">
        <v>99.837530463038178</v>
      </c>
      <c r="F29" s="135">
        <v>0</v>
      </c>
      <c r="G29" s="135">
        <v>6</v>
      </c>
      <c r="H29" s="135">
        <v>6</v>
      </c>
      <c r="I29" s="137">
        <v>100</v>
      </c>
      <c r="J29" s="138">
        <v>1196</v>
      </c>
      <c r="K29" s="138">
        <v>1237</v>
      </c>
      <c r="L29" s="138">
        <v>1235</v>
      </c>
      <c r="M29" s="139">
        <v>99.838318512530307</v>
      </c>
    </row>
    <row r="30" spans="1:13" ht="13.5" thickBot="1">
      <c r="A30" s="134" t="s">
        <v>260</v>
      </c>
      <c r="B30" s="135">
        <v>1196</v>
      </c>
      <c r="C30" s="135">
        <v>1231</v>
      </c>
      <c r="D30" s="135">
        <v>1229</v>
      </c>
      <c r="E30" s="136">
        <v>99.837530463038178</v>
      </c>
      <c r="F30" s="135">
        <v>0</v>
      </c>
      <c r="G30" s="135">
        <v>6</v>
      </c>
      <c r="H30" s="135">
        <v>6</v>
      </c>
      <c r="I30" s="137">
        <v>100</v>
      </c>
      <c r="J30" s="138">
        <v>1196</v>
      </c>
      <c r="K30" s="138">
        <v>1237</v>
      </c>
      <c r="L30" s="138">
        <v>1235</v>
      </c>
      <c r="M30" s="139">
        <v>99.838318512530307</v>
      </c>
    </row>
    <row r="31" spans="1:13" s="144" customFormat="1" ht="13.5" thickBot="1">
      <c r="A31" s="140" t="s">
        <v>261</v>
      </c>
      <c r="B31" s="141">
        <v>286108</v>
      </c>
      <c r="C31" s="141">
        <v>289418</v>
      </c>
      <c r="D31" s="141">
        <v>290157</v>
      </c>
      <c r="E31" s="142">
        <v>100.25534002722705</v>
      </c>
      <c r="F31" s="141">
        <v>2494</v>
      </c>
      <c r="G31" s="141">
        <v>4126</v>
      </c>
      <c r="H31" s="141">
        <v>4092</v>
      </c>
      <c r="I31" s="142">
        <v>99.175957343674256</v>
      </c>
      <c r="J31" s="141">
        <v>288602</v>
      </c>
      <c r="K31" s="141">
        <v>293544</v>
      </c>
      <c r="L31" s="141">
        <v>294249</v>
      </c>
      <c r="M31" s="143">
        <v>100.24016842449515</v>
      </c>
    </row>
    <row r="32" spans="1:13" ht="13.5" thickTop="1"/>
  </sheetData>
  <mergeCells count="10">
    <mergeCell ref="A10:A11"/>
    <mergeCell ref="B10:E10"/>
    <mergeCell ref="F10:I10"/>
    <mergeCell ref="J10:M10"/>
    <mergeCell ref="A1:B1"/>
    <mergeCell ref="A2:B2"/>
    <mergeCell ref="A3:M3"/>
    <mergeCell ref="E4:F4"/>
    <mergeCell ref="A6:B6"/>
    <mergeCell ref="D6:H6"/>
  </mergeCells>
  <pageMargins left="0.51181102362204722" right="0.51181102362204722" top="0.74803149606299213" bottom="0.74803149606299213" header="0.31496062992125984" footer="0.31496062992125984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5"/>
  <sheetViews>
    <sheetView topLeftCell="A6" workbookViewId="0">
      <selection activeCell="C27" sqref="C27"/>
    </sheetView>
  </sheetViews>
  <sheetFormatPr defaultColWidth="2.5703125" defaultRowHeight="12.75"/>
  <cols>
    <col min="1" max="1" width="2.5703125" style="17"/>
    <col min="2" max="2" width="7.28515625" style="17" customWidth="1"/>
    <col min="3" max="3" width="93.7109375" style="17" customWidth="1"/>
    <col min="4" max="7" width="16.7109375" style="17" customWidth="1"/>
    <col min="8" max="16384" width="2.5703125" style="17"/>
  </cols>
  <sheetData>
    <row r="1" spans="1:8">
      <c r="A1" s="375" t="s">
        <v>74</v>
      </c>
      <c r="B1" s="363"/>
      <c r="C1" s="363"/>
      <c r="D1" s="145" t="s">
        <v>225</v>
      </c>
      <c r="E1" s="145"/>
      <c r="F1" s="145"/>
      <c r="G1" s="146" t="s">
        <v>262</v>
      </c>
    </row>
    <row r="2" spans="1:8">
      <c r="A2" s="376">
        <v>40990</v>
      </c>
      <c r="B2" s="362"/>
      <c r="C2" s="362"/>
      <c r="D2" s="145"/>
      <c r="E2" s="145"/>
      <c r="F2" s="145"/>
      <c r="G2" s="146" t="s">
        <v>76</v>
      </c>
    </row>
    <row r="3" spans="1:8">
      <c r="A3" s="145"/>
      <c r="B3" s="147"/>
      <c r="C3" s="377" t="s">
        <v>263</v>
      </c>
      <c r="D3" s="373"/>
      <c r="E3" s="373"/>
      <c r="F3" s="373"/>
      <c r="G3" s="373"/>
    </row>
    <row r="4" spans="1:8">
      <c r="A4" s="145"/>
      <c r="B4" s="147"/>
      <c r="C4" s="378" t="s">
        <v>223</v>
      </c>
      <c r="D4" s="373"/>
      <c r="E4" s="373"/>
      <c r="F4" s="373"/>
      <c r="G4" s="373"/>
    </row>
    <row r="5" spans="1:8">
      <c r="A5" s="145"/>
      <c r="B5" s="147"/>
      <c r="C5" s="148"/>
      <c r="D5" s="122"/>
      <c r="E5" s="122"/>
      <c r="F5" s="122"/>
      <c r="G5" s="122"/>
    </row>
    <row r="6" spans="1:8">
      <c r="A6" s="145"/>
      <c r="C6" s="149" t="s">
        <v>235</v>
      </c>
      <c r="D6" s="367" t="s">
        <v>232</v>
      </c>
      <c r="E6" s="362"/>
      <c r="F6" s="362"/>
      <c r="G6" s="366"/>
      <c r="H6" s="366"/>
    </row>
    <row r="7" spans="1:8" ht="13.5" thickBot="1">
      <c r="A7" s="145"/>
      <c r="B7" s="147"/>
      <c r="C7" s="150"/>
      <c r="D7" s="151"/>
      <c r="E7" s="145"/>
      <c r="F7" s="145"/>
      <c r="G7" s="152"/>
    </row>
    <row r="8" spans="1:8" ht="26.25" thickBot="1">
      <c r="A8" s="153"/>
      <c r="B8" s="154" t="s">
        <v>264</v>
      </c>
      <c r="C8" s="155" t="s">
        <v>170</v>
      </c>
      <c r="D8" s="156" t="s">
        <v>240</v>
      </c>
      <c r="E8" s="156" t="s">
        <v>241</v>
      </c>
      <c r="F8" s="157" t="s">
        <v>169</v>
      </c>
      <c r="G8" s="158" t="s">
        <v>70</v>
      </c>
    </row>
    <row r="9" spans="1:8" ht="13.5" thickBot="1">
      <c r="B9" s="159" t="s">
        <v>265</v>
      </c>
      <c r="C9" s="160" t="s">
        <v>266</v>
      </c>
      <c r="D9" s="161">
        <v>8832</v>
      </c>
      <c r="E9" s="161">
        <v>8849</v>
      </c>
      <c r="F9" s="161">
        <v>38653</v>
      </c>
      <c r="G9" s="162">
        <v>436.80641880438469</v>
      </c>
    </row>
    <row r="10" spans="1:8">
      <c r="A10" s="153"/>
      <c r="B10" s="163"/>
      <c r="C10" s="164"/>
      <c r="D10" s="165"/>
      <c r="E10" s="165"/>
      <c r="F10" s="165"/>
      <c r="G10" s="166"/>
    </row>
    <row r="11" spans="1:8" ht="18" customHeight="1">
      <c r="A11" s="147"/>
      <c r="B11" s="167" t="s">
        <v>267</v>
      </c>
      <c r="C11" s="168" t="s">
        <v>268</v>
      </c>
      <c r="D11" s="169">
        <v>8832</v>
      </c>
      <c r="E11" s="169">
        <v>8849</v>
      </c>
      <c r="F11" s="169">
        <v>38653</v>
      </c>
      <c r="G11" s="170">
        <v>436.80641880438469</v>
      </c>
    </row>
    <row r="12" spans="1:8" ht="18" customHeight="1">
      <c r="A12" s="147"/>
      <c r="B12" s="171"/>
      <c r="C12" s="172" t="s">
        <v>269</v>
      </c>
      <c r="D12" s="173"/>
      <c r="E12" s="173"/>
      <c r="F12" s="174"/>
      <c r="G12" s="175">
        <v>0</v>
      </c>
    </row>
    <row r="13" spans="1:8" ht="18" customHeight="1">
      <c r="A13" s="147"/>
      <c r="B13" s="176" t="s">
        <v>270</v>
      </c>
      <c r="C13" s="177" t="s">
        <v>271</v>
      </c>
      <c r="D13" s="178">
        <v>0</v>
      </c>
      <c r="E13" s="178">
        <v>0</v>
      </c>
      <c r="F13" s="179">
        <v>0</v>
      </c>
      <c r="G13" s="175">
        <v>0</v>
      </c>
    </row>
    <row r="14" spans="1:8" ht="18" customHeight="1">
      <c r="A14" s="147"/>
      <c r="B14" s="176" t="s">
        <v>272</v>
      </c>
      <c r="C14" s="177" t="s">
        <v>273</v>
      </c>
      <c r="D14" s="178">
        <v>0</v>
      </c>
      <c r="E14" s="178">
        <v>0</v>
      </c>
      <c r="F14" s="179">
        <v>0</v>
      </c>
      <c r="G14" s="175">
        <v>0</v>
      </c>
    </row>
    <row r="15" spans="1:8" ht="18" customHeight="1">
      <c r="A15" s="147"/>
      <c r="B15" s="176" t="s">
        <v>274</v>
      </c>
      <c r="C15" s="177" t="s">
        <v>275</v>
      </c>
      <c r="D15" s="178">
        <v>0</v>
      </c>
      <c r="E15" s="178">
        <v>0</v>
      </c>
      <c r="F15" s="179">
        <v>0</v>
      </c>
      <c r="G15" s="175">
        <v>0</v>
      </c>
    </row>
    <row r="16" spans="1:8" ht="26.25" customHeight="1">
      <c r="A16" s="147"/>
      <c r="B16" s="176" t="s">
        <v>276</v>
      </c>
      <c r="C16" s="177" t="s">
        <v>277</v>
      </c>
      <c r="D16" s="178">
        <v>0</v>
      </c>
      <c r="E16" s="178">
        <v>0</v>
      </c>
      <c r="F16" s="179">
        <v>0</v>
      </c>
      <c r="G16" s="175">
        <v>0</v>
      </c>
    </row>
    <row r="17" spans="1:7" ht="18" customHeight="1">
      <c r="A17" s="147"/>
      <c r="B17" s="176" t="s">
        <v>278</v>
      </c>
      <c r="C17" s="177" t="s">
        <v>279</v>
      </c>
      <c r="D17" s="178">
        <v>8832</v>
      </c>
      <c r="E17" s="178">
        <v>8849</v>
      </c>
      <c r="F17" s="179">
        <v>38653</v>
      </c>
      <c r="G17" s="175">
        <v>436.80641880438469</v>
      </c>
    </row>
    <row r="18" spans="1:7" ht="18" customHeight="1">
      <c r="A18" s="147"/>
      <c r="B18" s="180" t="s">
        <v>280</v>
      </c>
      <c r="C18" s="181" t="s">
        <v>281</v>
      </c>
      <c r="D18" s="173">
        <v>0</v>
      </c>
      <c r="E18" s="173">
        <v>0</v>
      </c>
      <c r="F18" s="56">
        <v>0</v>
      </c>
      <c r="G18" s="182">
        <v>0</v>
      </c>
    </row>
    <row r="19" spans="1:7" ht="18" customHeight="1">
      <c r="B19" s="176" t="s">
        <v>282</v>
      </c>
      <c r="C19" s="177" t="s">
        <v>283</v>
      </c>
      <c r="D19" s="178">
        <v>0</v>
      </c>
      <c r="E19" s="178">
        <v>0</v>
      </c>
      <c r="F19" s="179">
        <v>0</v>
      </c>
      <c r="G19" s="175">
        <v>0</v>
      </c>
    </row>
    <row r="20" spans="1:7" ht="18" customHeight="1" thickBot="1">
      <c r="B20" s="183" t="s">
        <v>284</v>
      </c>
      <c r="C20" s="184" t="s">
        <v>285</v>
      </c>
      <c r="D20" s="178">
        <v>0</v>
      </c>
      <c r="E20" s="178">
        <v>0</v>
      </c>
      <c r="F20" s="179">
        <v>0</v>
      </c>
      <c r="G20" s="175">
        <v>0</v>
      </c>
    </row>
    <row r="21" spans="1:7" ht="18" customHeight="1" thickBot="1">
      <c r="B21" s="159" t="s">
        <v>286</v>
      </c>
      <c r="C21" s="160" t="s">
        <v>287</v>
      </c>
      <c r="D21" s="185">
        <v>36</v>
      </c>
      <c r="E21" s="185">
        <v>38</v>
      </c>
      <c r="F21" s="185">
        <v>38</v>
      </c>
      <c r="G21" s="186">
        <v>100</v>
      </c>
    </row>
    <row r="22" spans="1:7" ht="18" customHeight="1">
      <c r="B22" s="187"/>
      <c r="C22" s="188"/>
      <c r="D22" s="189"/>
      <c r="E22" s="189"/>
      <c r="F22" s="189"/>
      <c r="G22" s="190"/>
    </row>
    <row r="23" spans="1:7" ht="18" customHeight="1">
      <c r="B23" s="167" t="s">
        <v>288</v>
      </c>
      <c r="C23" s="191" t="s">
        <v>289</v>
      </c>
      <c r="D23" s="192">
        <v>36</v>
      </c>
      <c r="E23" s="192">
        <v>38</v>
      </c>
      <c r="F23" s="192">
        <v>38</v>
      </c>
      <c r="G23" s="170">
        <v>100</v>
      </c>
    </row>
    <row r="24" spans="1:7" ht="18" customHeight="1">
      <c r="B24" s="176" t="s">
        <v>290</v>
      </c>
      <c r="C24" s="193" t="s">
        <v>291</v>
      </c>
      <c r="D24" s="178">
        <v>36</v>
      </c>
      <c r="E24" s="178">
        <v>38</v>
      </c>
      <c r="F24" s="178">
        <v>38</v>
      </c>
      <c r="G24" s="175">
        <v>100</v>
      </c>
    </row>
    <row r="25" spans="1:7" ht="18" customHeight="1">
      <c r="B25" s="183" t="s">
        <v>292</v>
      </c>
      <c r="C25" s="194" t="s">
        <v>293</v>
      </c>
      <c r="D25" s="178">
        <v>0</v>
      </c>
      <c r="E25" s="178">
        <v>0</v>
      </c>
      <c r="F25" s="178">
        <v>0</v>
      </c>
      <c r="G25" s="175">
        <v>0</v>
      </c>
    </row>
    <row r="26" spans="1:7" ht="18" customHeight="1">
      <c r="B26" s="176"/>
      <c r="C26" s="172" t="s">
        <v>269</v>
      </c>
      <c r="D26" s="195"/>
      <c r="E26" s="195"/>
      <c r="F26" s="195"/>
      <c r="G26" s="175">
        <v>0</v>
      </c>
    </row>
    <row r="27" spans="1:7" ht="18" customHeight="1">
      <c r="B27" s="176" t="s">
        <v>294</v>
      </c>
      <c r="C27" s="196" t="s">
        <v>295</v>
      </c>
      <c r="D27" s="178">
        <v>0</v>
      </c>
      <c r="E27" s="178">
        <v>0</v>
      </c>
      <c r="F27" s="178">
        <v>0</v>
      </c>
      <c r="G27" s="175">
        <v>0</v>
      </c>
    </row>
    <row r="28" spans="1:7" ht="18" customHeight="1">
      <c r="B28" s="176" t="s">
        <v>296</v>
      </c>
      <c r="C28" s="196" t="s">
        <v>297</v>
      </c>
      <c r="D28" s="178">
        <v>0</v>
      </c>
      <c r="E28" s="178">
        <v>0</v>
      </c>
      <c r="F28" s="178">
        <v>0</v>
      </c>
      <c r="G28" s="175">
        <v>0</v>
      </c>
    </row>
    <row r="29" spans="1:7" ht="18" customHeight="1">
      <c r="B29" s="176" t="s">
        <v>298</v>
      </c>
      <c r="C29" s="196" t="s">
        <v>299</v>
      </c>
      <c r="D29" s="178">
        <v>0</v>
      </c>
      <c r="E29" s="178">
        <v>0</v>
      </c>
      <c r="F29" s="178">
        <v>0</v>
      </c>
      <c r="G29" s="175">
        <v>0</v>
      </c>
    </row>
    <row r="30" spans="1:7" ht="18" customHeight="1">
      <c r="B30" s="176" t="s">
        <v>300</v>
      </c>
      <c r="C30" s="196" t="s">
        <v>301</v>
      </c>
      <c r="D30" s="178">
        <v>0</v>
      </c>
      <c r="E30" s="178">
        <v>0</v>
      </c>
      <c r="F30" s="178">
        <v>0</v>
      </c>
      <c r="G30" s="175">
        <v>0</v>
      </c>
    </row>
    <row r="31" spans="1:7" ht="18" customHeight="1" thickBot="1">
      <c r="B31" s="197" t="s">
        <v>302</v>
      </c>
      <c r="C31" s="198" t="s">
        <v>303</v>
      </c>
      <c r="D31" s="199">
        <v>8796</v>
      </c>
      <c r="E31" s="199">
        <v>8811</v>
      </c>
      <c r="F31" s="199">
        <v>38615</v>
      </c>
      <c r="G31" s="200">
        <v>438.25899443876972</v>
      </c>
    </row>
    <row r="32" spans="1:7" ht="13.5" thickTop="1">
      <c r="B32" s="147"/>
      <c r="C32" s="145"/>
      <c r="D32" s="145"/>
      <c r="E32" s="201"/>
      <c r="F32" s="145"/>
      <c r="G32" s="152"/>
    </row>
    <row r="34" spans="4:4">
      <c r="D34" t="s">
        <v>225</v>
      </c>
    </row>
    <row r="35" spans="4:4">
      <c r="D35" s="17" t="s">
        <v>225</v>
      </c>
    </row>
  </sheetData>
  <mergeCells count="5">
    <mergeCell ref="A1:C1"/>
    <mergeCell ref="A2:C2"/>
    <mergeCell ref="C3:G3"/>
    <mergeCell ref="C4:G4"/>
    <mergeCell ref="D6:H6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3"/>
  <sheetViews>
    <sheetView topLeftCell="B2" workbookViewId="0">
      <selection activeCell="C23" sqref="C23"/>
    </sheetView>
  </sheetViews>
  <sheetFormatPr defaultRowHeight="12.75"/>
  <cols>
    <col min="1" max="1" width="0" style="17" hidden="1" customWidth="1"/>
    <col min="2" max="2" width="7.140625" style="17" customWidth="1"/>
    <col min="3" max="3" width="105.140625" style="17" customWidth="1"/>
    <col min="4" max="8" width="18.7109375" style="17" customWidth="1"/>
    <col min="9" max="16384" width="9.140625" style="17"/>
  </cols>
  <sheetData>
    <row r="1" spans="1:15">
      <c r="A1" s="361"/>
      <c r="B1" s="362"/>
      <c r="C1" s="363"/>
      <c r="D1" s="116" t="s">
        <v>225</v>
      </c>
      <c r="E1" s="13"/>
      <c r="F1" s="13"/>
      <c r="G1" s="13"/>
      <c r="H1" s="202" t="s">
        <v>304</v>
      </c>
      <c r="I1" s="15"/>
      <c r="J1" s="13"/>
      <c r="K1" s="13"/>
      <c r="L1" s="13"/>
      <c r="M1" s="13"/>
      <c r="N1" s="16"/>
      <c r="O1" s="13"/>
    </row>
    <row r="2" spans="1:15">
      <c r="A2" s="364"/>
      <c r="B2" s="362"/>
      <c r="C2" s="363"/>
      <c r="D2" s="13"/>
      <c r="E2" s="13"/>
      <c r="F2" s="13"/>
      <c r="G2" s="13"/>
      <c r="H2" s="202" t="s">
        <v>305</v>
      </c>
      <c r="I2" s="15"/>
      <c r="J2" s="13"/>
      <c r="K2" s="13"/>
      <c r="L2" s="13"/>
      <c r="M2" s="13"/>
      <c r="N2" s="18"/>
      <c r="O2" s="13"/>
    </row>
    <row r="3" spans="1:15">
      <c r="A3" s="15"/>
      <c r="B3" s="359"/>
      <c r="C3" s="360"/>
      <c r="D3" s="360"/>
      <c r="E3" s="360"/>
      <c r="F3" s="360"/>
      <c r="G3" s="360"/>
      <c r="H3" s="360"/>
      <c r="I3" s="15"/>
      <c r="J3" s="13"/>
      <c r="K3" s="13"/>
      <c r="L3" s="13"/>
      <c r="M3" s="13"/>
      <c r="N3" s="16"/>
      <c r="O3" s="13"/>
    </row>
    <row r="4" spans="1:15">
      <c r="A4" s="15"/>
      <c r="B4" s="15"/>
      <c r="C4" s="203"/>
      <c r="D4" s="379" t="s">
        <v>306</v>
      </c>
      <c r="E4" s="380"/>
      <c r="F4" s="380"/>
      <c r="G4" s="380"/>
      <c r="H4" s="380"/>
      <c r="I4" s="380"/>
      <c r="J4" s="13"/>
      <c r="K4" s="13"/>
      <c r="L4" s="13"/>
      <c r="M4" s="13"/>
      <c r="N4" s="16"/>
      <c r="O4" s="13"/>
    </row>
    <row r="5" spans="1:15">
      <c r="A5" s="15"/>
      <c r="B5" s="15"/>
      <c r="C5" s="123" t="s">
        <v>186</v>
      </c>
      <c r="D5" s="379" t="s">
        <v>307</v>
      </c>
      <c r="E5" s="380"/>
      <c r="F5" s="380"/>
      <c r="G5" s="380"/>
      <c r="H5" s="380"/>
      <c r="I5" s="380"/>
      <c r="J5" s="13"/>
      <c r="K5" s="13"/>
      <c r="L5" s="13"/>
      <c r="M5" s="13"/>
      <c r="N5" s="16"/>
      <c r="O5" s="13"/>
    </row>
    <row r="6" spans="1:15">
      <c r="A6" s="15"/>
      <c r="B6" s="15"/>
      <c r="C6" s="27"/>
      <c r="D6" s="27"/>
      <c r="E6" s="13"/>
      <c r="F6" s="13"/>
      <c r="G6" s="13"/>
      <c r="H6" s="16"/>
      <c r="I6" s="15"/>
      <c r="J6" s="13"/>
      <c r="K6" s="13"/>
      <c r="L6" s="13"/>
      <c r="M6" s="13"/>
      <c r="N6" s="16"/>
      <c r="O6" s="13"/>
    </row>
    <row r="7" spans="1:15" ht="13.5" thickBot="1">
      <c r="A7" s="15"/>
      <c r="B7" s="15"/>
      <c r="C7" s="123"/>
      <c r="D7" s="13"/>
      <c r="E7" s="13"/>
      <c r="F7" s="13"/>
      <c r="G7" s="13"/>
      <c r="H7" s="152" t="s">
        <v>308</v>
      </c>
      <c r="I7" s="15"/>
      <c r="J7" s="13"/>
      <c r="K7" s="13"/>
      <c r="L7" s="13"/>
      <c r="M7" s="13"/>
      <c r="N7" s="16"/>
      <c r="O7" s="13"/>
    </row>
    <row r="8" spans="1:15" ht="24.75" customHeight="1" thickBot="1">
      <c r="A8" s="204"/>
      <c r="B8" s="205"/>
      <c r="C8" s="30" t="s">
        <v>170</v>
      </c>
      <c r="D8" s="31" t="s">
        <v>221</v>
      </c>
      <c r="E8" s="31" t="s">
        <v>222</v>
      </c>
      <c r="F8" s="32" t="s">
        <v>169</v>
      </c>
      <c r="G8" s="32" t="s">
        <v>309</v>
      </c>
      <c r="H8" s="33" t="s">
        <v>70</v>
      </c>
      <c r="I8" s="206"/>
      <c r="J8" s="35"/>
      <c r="K8" s="36"/>
      <c r="L8" s="36"/>
      <c r="M8" s="36"/>
      <c r="N8" s="37"/>
      <c r="O8" s="206"/>
    </row>
    <row r="9" spans="1:15" ht="24.75" customHeight="1" thickBot="1">
      <c r="A9" s="9"/>
      <c r="B9" s="207" t="s">
        <v>171</v>
      </c>
      <c r="C9" s="208" t="s">
        <v>310</v>
      </c>
      <c r="D9" s="209"/>
      <c r="E9" s="209"/>
      <c r="F9" s="209"/>
      <c r="G9" s="209"/>
      <c r="H9" s="210"/>
      <c r="I9" s="39"/>
      <c r="J9" s="40"/>
      <c r="K9" s="36"/>
      <c r="L9" s="36"/>
      <c r="M9" s="36"/>
      <c r="N9" s="37"/>
      <c r="O9" s="206"/>
    </row>
    <row r="10" spans="1:15" ht="24.75" customHeight="1">
      <c r="A10" s="211"/>
      <c r="B10" s="212"/>
      <c r="C10" s="213" t="s">
        <v>311</v>
      </c>
      <c r="D10" s="214">
        <v>8610034</v>
      </c>
      <c r="E10" s="214">
        <v>8610034</v>
      </c>
      <c r="F10" s="214">
        <v>12075730</v>
      </c>
      <c r="G10" s="215">
        <f>F10/D10*100</f>
        <v>140.25182711241325</v>
      </c>
      <c r="H10" s="216">
        <f>F10/D10*100</f>
        <v>140.25182711241325</v>
      </c>
      <c r="I10" s="217"/>
      <c r="J10" s="218"/>
      <c r="K10" s="218"/>
      <c r="L10" s="218"/>
      <c r="M10" s="218"/>
      <c r="N10" s="219"/>
      <c r="O10" s="13"/>
    </row>
    <row r="11" spans="1:15" ht="24.75" customHeight="1">
      <c r="A11" s="220" t="s">
        <v>194</v>
      </c>
      <c r="B11" s="114"/>
      <c r="C11" s="221" t="s">
        <v>312</v>
      </c>
      <c r="D11" s="222">
        <v>0</v>
      </c>
      <c r="E11" s="222">
        <v>0</v>
      </c>
      <c r="F11" s="222">
        <v>0</v>
      </c>
      <c r="G11" s="223">
        <v>0</v>
      </c>
      <c r="H11" s="224">
        <v>0</v>
      </c>
      <c r="I11" s="218"/>
      <c r="J11" s="218"/>
      <c r="K11" s="52"/>
      <c r="L11" s="52"/>
      <c r="M11" s="52"/>
      <c r="N11" s="53"/>
      <c r="O11" s="218"/>
    </row>
    <row r="12" spans="1:15" ht="24.75" customHeight="1" thickBot="1">
      <c r="A12" s="54"/>
      <c r="B12" s="115"/>
      <c r="C12" s="225"/>
      <c r="D12" s="226"/>
      <c r="E12" s="226"/>
      <c r="F12" s="226"/>
      <c r="G12" s="227"/>
      <c r="H12" s="228"/>
      <c r="I12" s="218"/>
      <c r="J12" s="218"/>
      <c r="K12" s="58"/>
      <c r="L12" s="59"/>
      <c r="M12" s="59"/>
      <c r="N12" s="60"/>
      <c r="O12" s="229"/>
    </row>
    <row r="13" spans="1:15" ht="24.75" customHeight="1" thickBot="1">
      <c r="A13" s="10"/>
      <c r="B13" s="5" t="s">
        <v>173</v>
      </c>
      <c r="C13" s="230" t="s">
        <v>313</v>
      </c>
      <c r="D13" s="231">
        <v>288602181</v>
      </c>
      <c r="E13" s="231">
        <v>293543757</v>
      </c>
      <c r="F13" s="231">
        <v>294249448</v>
      </c>
      <c r="G13" s="232">
        <f>F13/D13*100</f>
        <v>101.9567651846678</v>
      </c>
      <c r="H13" s="233">
        <f>F13/E13*100</f>
        <v>100.24040402262753</v>
      </c>
      <c r="I13" s="76"/>
      <c r="J13" s="77"/>
      <c r="K13" s="52"/>
      <c r="L13" s="52"/>
      <c r="M13" s="52"/>
      <c r="N13" s="53"/>
    </row>
    <row r="14" spans="1:15" ht="24.75" customHeight="1">
      <c r="A14" s="234"/>
      <c r="B14" s="235"/>
      <c r="C14" s="236" t="s">
        <v>314</v>
      </c>
      <c r="D14" s="237">
        <v>288602181</v>
      </c>
      <c r="E14" s="237">
        <v>293543757</v>
      </c>
      <c r="F14" s="237">
        <v>294249448</v>
      </c>
      <c r="G14" s="238">
        <f>F14/D14*100</f>
        <v>101.9567651846678</v>
      </c>
      <c r="H14" s="239">
        <f>F14/E14*100</f>
        <v>100.24040402262753</v>
      </c>
      <c r="I14" s="218"/>
      <c r="J14" s="218"/>
      <c r="K14" s="69"/>
      <c r="L14" s="69"/>
      <c r="M14" s="69"/>
      <c r="N14" s="240"/>
    </row>
    <row r="15" spans="1:15" ht="24.75" customHeight="1">
      <c r="A15" s="83"/>
      <c r="B15" s="114"/>
      <c r="C15" s="241" t="s">
        <v>100</v>
      </c>
      <c r="D15" s="242"/>
      <c r="E15" s="242"/>
      <c r="F15" s="242"/>
      <c r="G15" s="243"/>
      <c r="H15" s="244"/>
      <c r="I15" s="218"/>
      <c r="J15" s="218"/>
      <c r="K15" s="69"/>
      <c r="L15" s="69"/>
      <c r="M15" s="69"/>
      <c r="N15" s="240"/>
    </row>
    <row r="16" spans="1:15" ht="24.75" customHeight="1">
      <c r="A16" s="245" t="s">
        <v>103</v>
      </c>
      <c r="B16" s="246"/>
      <c r="C16" s="247" t="s">
        <v>315</v>
      </c>
      <c r="D16" s="248">
        <v>288602181</v>
      </c>
      <c r="E16" s="249">
        <v>293543757</v>
      </c>
      <c r="F16" s="249">
        <v>294249448</v>
      </c>
      <c r="G16" s="250">
        <f>F16/D16*100</f>
        <v>101.9567651846678</v>
      </c>
      <c r="H16" s="251">
        <v>99.999351243342133</v>
      </c>
      <c r="I16" s="218"/>
      <c r="J16" s="218"/>
      <c r="K16" s="218"/>
      <c r="L16" s="218"/>
      <c r="M16" s="218"/>
      <c r="N16" s="218"/>
    </row>
    <row r="17" spans="1:14" ht="24.75" customHeight="1">
      <c r="A17" s="245" t="s">
        <v>104</v>
      </c>
      <c r="B17" s="246"/>
      <c r="C17" s="247" t="s">
        <v>316</v>
      </c>
      <c r="D17" s="248">
        <v>0</v>
      </c>
      <c r="E17" s="248">
        <v>0</v>
      </c>
      <c r="F17" s="248">
        <v>0</v>
      </c>
      <c r="G17" s="223">
        <v>0</v>
      </c>
      <c r="H17" s="251">
        <v>100.00197005516154</v>
      </c>
      <c r="I17" s="218"/>
      <c r="J17" s="218"/>
      <c r="K17" s="52"/>
      <c r="L17" s="52"/>
      <c r="M17" s="52"/>
      <c r="N17" s="53"/>
    </row>
    <row r="18" spans="1:14" ht="24.75" customHeight="1">
      <c r="A18" s="245" t="s">
        <v>105</v>
      </c>
      <c r="B18" s="252"/>
      <c r="C18" s="253" t="s">
        <v>317</v>
      </c>
      <c r="D18" s="254"/>
      <c r="E18" s="255"/>
      <c r="F18" s="255"/>
      <c r="G18" s="254"/>
      <c r="H18" s="256"/>
      <c r="I18" s="218"/>
      <c r="J18" s="218"/>
      <c r="K18" s="59"/>
      <c r="L18" s="59"/>
      <c r="M18" s="59"/>
      <c r="N18" s="60"/>
    </row>
    <row r="19" spans="1:14" ht="24.75" customHeight="1">
      <c r="A19" s="245" t="s">
        <v>106</v>
      </c>
      <c r="B19" s="257"/>
      <c r="C19" s="258" t="s">
        <v>318</v>
      </c>
      <c r="D19" s="259">
        <v>152606044</v>
      </c>
      <c r="E19" s="259">
        <v>154140525</v>
      </c>
      <c r="F19" s="259">
        <v>154139960</v>
      </c>
      <c r="G19" s="260">
        <f>F19/D19*100</f>
        <v>101.00514760739097</v>
      </c>
      <c r="H19" s="261">
        <v>99.99340586877679</v>
      </c>
      <c r="I19" s="218"/>
      <c r="J19" s="218"/>
      <c r="K19" s="69"/>
      <c r="L19" s="69"/>
      <c r="M19" s="69"/>
      <c r="N19" s="240"/>
    </row>
    <row r="20" spans="1:14" ht="24.75" customHeight="1">
      <c r="A20" s="262"/>
      <c r="B20" s="263"/>
      <c r="C20" s="264" t="s">
        <v>319</v>
      </c>
      <c r="D20" s="265">
        <v>3400982</v>
      </c>
      <c r="E20" s="265">
        <v>3375982</v>
      </c>
      <c r="F20" s="265">
        <v>3375982</v>
      </c>
      <c r="G20" s="266">
        <f>F20/D20*100</f>
        <v>99.264918191275342</v>
      </c>
      <c r="H20" s="267">
        <f>F20/E20*100</f>
        <v>100</v>
      </c>
      <c r="I20" s="218"/>
      <c r="J20" s="218"/>
      <c r="K20" s="69"/>
      <c r="L20" s="69"/>
      <c r="M20" s="69"/>
      <c r="N20" s="240"/>
    </row>
    <row r="21" spans="1:14" ht="24.75" customHeight="1">
      <c r="A21" s="245" t="s">
        <v>190</v>
      </c>
      <c r="B21" s="252"/>
      <c r="C21" s="268" t="s">
        <v>320</v>
      </c>
      <c r="D21" s="269">
        <v>2494149</v>
      </c>
      <c r="E21" s="270">
        <v>4125456</v>
      </c>
      <c r="F21" s="270">
        <v>4091800</v>
      </c>
      <c r="G21" s="271">
        <f>F21/D21*100</f>
        <v>164.05595656073476</v>
      </c>
      <c r="H21" s="272">
        <f>F21/E21*100</f>
        <v>99.184187154098851</v>
      </c>
      <c r="I21" s="218"/>
      <c r="J21" s="218"/>
      <c r="K21" s="273"/>
      <c r="L21" s="273"/>
      <c r="M21" s="273"/>
      <c r="N21" s="240"/>
    </row>
    <row r="22" spans="1:14" ht="24.75" customHeight="1">
      <c r="A22" s="245" t="s">
        <v>191</v>
      </c>
      <c r="B22" s="257"/>
      <c r="C22" s="274" t="s">
        <v>321</v>
      </c>
      <c r="D22" s="275">
        <v>2494149</v>
      </c>
      <c r="E22" s="276">
        <v>3324392</v>
      </c>
      <c r="F22" s="276">
        <v>3289399</v>
      </c>
      <c r="G22" s="277">
        <f>F22/D22*100</f>
        <v>131.88462277113356</v>
      </c>
      <c r="H22" s="278">
        <f>F22/E22*100</f>
        <v>98.947386469465698</v>
      </c>
      <c r="I22" s="217"/>
      <c r="J22" s="218"/>
      <c r="K22" s="69"/>
      <c r="L22" s="69"/>
      <c r="M22" s="69"/>
      <c r="N22" s="240"/>
    </row>
    <row r="23" spans="1:14" ht="24.75" customHeight="1">
      <c r="A23" s="245" t="s">
        <v>192</v>
      </c>
      <c r="B23" s="257"/>
      <c r="C23" s="274" t="s">
        <v>322</v>
      </c>
      <c r="D23" s="276">
        <v>0</v>
      </c>
      <c r="E23" s="276">
        <v>505266</v>
      </c>
      <c r="F23" s="276">
        <v>504172</v>
      </c>
      <c r="G23" s="279">
        <v>0</v>
      </c>
      <c r="H23" s="278">
        <f>F23/E23*100</f>
        <v>99.78348038458951</v>
      </c>
      <c r="I23" s="217"/>
      <c r="J23" s="218"/>
      <c r="K23" s="69"/>
      <c r="L23" s="69"/>
      <c r="M23" s="69"/>
      <c r="N23" s="240"/>
    </row>
    <row r="24" spans="1:14" ht="24.75" customHeight="1">
      <c r="A24" s="245"/>
      <c r="B24" s="257"/>
      <c r="C24" s="274" t="s">
        <v>323</v>
      </c>
      <c r="D24" s="276">
        <v>0</v>
      </c>
      <c r="E24" s="276">
        <v>295798</v>
      </c>
      <c r="F24" s="276">
        <v>287158</v>
      </c>
      <c r="G24" s="279">
        <v>0</v>
      </c>
      <c r="H24" s="278">
        <f>F24/E24*100</f>
        <v>97.07908775583337</v>
      </c>
      <c r="I24" s="217"/>
      <c r="J24" s="218"/>
      <c r="K24" s="69"/>
      <c r="L24" s="69"/>
      <c r="M24" s="69"/>
      <c r="N24" s="240"/>
    </row>
    <row r="25" spans="1:14" ht="24.75" customHeight="1">
      <c r="A25" s="245" t="s">
        <v>124</v>
      </c>
      <c r="B25" s="263"/>
      <c r="C25" s="280" t="s">
        <v>324</v>
      </c>
      <c r="D25" s="281">
        <v>0</v>
      </c>
      <c r="E25" s="281">
        <v>0</v>
      </c>
      <c r="F25" s="281">
        <v>11071</v>
      </c>
      <c r="G25" s="223">
        <v>0</v>
      </c>
      <c r="H25" s="282">
        <v>0</v>
      </c>
      <c r="I25" s="217"/>
      <c r="J25" s="218"/>
      <c r="K25" s="69"/>
      <c r="L25" s="69"/>
      <c r="M25" s="69"/>
      <c r="N25" s="240"/>
    </row>
    <row r="26" spans="1:14" ht="24.75" customHeight="1">
      <c r="A26" s="245" t="s">
        <v>125</v>
      </c>
      <c r="B26" s="263"/>
      <c r="C26" s="283" t="s">
        <v>312</v>
      </c>
      <c r="D26" s="281" t="s">
        <v>8</v>
      </c>
      <c r="E26" s="281" t="s">
        <v>8</v>
      </c>
      <c r="F26" s="281">
        <v>0</v>
      </c>
      <c r="G26" s="223">
        <v>0</v>
      </c>
      <c r="H26" s="282">
        <v>0</v>
      </c>
      <c r="I26" s="217"/>
      <c r="J26" s="218"/>
      <c r="K26" s="69"/>
      <c r="L26" s="69"/>
      <c r="M26" s="69"/>
      <c r="N26" s="240"/>
    </row>
    <row r="27" spans="1:14" ht="24.75" customHeight="1">
      <c r="A27" s="245" t="s">
        <v>220</v>
      </c>
      <c r="B27" s="246"/>
      <c r="C27" s="284" t="s">
        <v>325</v>
      </c>
      <c r="D27" s="249" t="s">
        <v>8</v>
      </c>
      <c r="E27" s="249" t="s">
        <v>8</v>
      </c>
      <c r="F27" s="249">
        <v>0</v>
      </c>
      <c r="G27" s="223">
        <v>0</v>
      </c>
      <c r="H27" s="251">
        <v>0</v>
      </c>
      <c r="I27" s="217"/>
      <c r="J27" s="218"/>
      <c r="K27" s="69"/>
      <c r="L27" s="69"/>
      <c r="M27" s="69"/>
      <c r="N27" s="240"/>
    </row>
    <row r="28" spans="1:14" ht="24.75" customHeight="1">
      <c r="A28" s="245" t="s">
        <v>193</v>
      </c>
      <c r="B28" s="246"/>
      <c r="C28" s="284" t="s">
        <v>326</v>
      </c>
      <c r="D28" s="285">
        <v>288602181</v>
      </c>
      <c r="E28" s="285">
        <v>293543757</v>
      </c>
      <c r="F28" s="285">
        <v>294249448</v>
      </c>
      <c r="G28" s="286">
        <f>F28/D28*100</f>
        <v>101.9567651846678</v>
      </c>
      <c r="H28" s="287">
        <f>F28/E28*100</f>
        <v>100.24040402262753</v>
      </c>
      <c r="I28" s="217"/>
      <c r="J28" s="218"/>
      <c r="K28" s="69"/>
      <c r="L28" s="69"/>
      <c r="M28" s="69"/>
      <c r="N28" s="240"/>
    </row>
    <row r="29" spans="1:14" ht="24.75" customHeight="1">
      <c r="A29" s="245" t="s">
        <v>108</v>
      </c>
      <c r="B29" s="288"/>
      <c r="C29" s="289" t="s">
        <v>327</v>
      </c>
      <c r="D29" s="249">
        <v>18588</v>
      </c>
      <c r="E29" s="249">
        <v>18588</v>
      </c>
      <c r="F29" s="249">
        <v>17533</v>
      </c>
      <c r="G29" s="250">
        <f>F29/D29*100</f>
        <v>94.324295244243601</v>
      </c>
      <c r="H29" s="290">
        <f>F29/E29*100</f>
        <v>94.324295244243601</v>
      </c>
      <c r="I29" s="291"/>
      <c r="J29" s="96"/>
      <c r="K29" s="97"/>
      <c r="L29" s="97"/>
      <c r="M29" s="97"/>
      <c r="N29" s="53"/>
    </row>
    <row r="30" spans="1:14" ht="24.75" customHeight="1">
      <c r="A30" s="245" t="s">
        <v>198</v>
      </c>
      <c r="B30" s="292"/>
      <c r="C30" s="293" t="s">
        <v>328</v>
      </c>
      <c r="D30" s="265">
        <v>141903221</v>
      </c>
      <c r="E30" s="265">
        <v>145228717</v>
      </c>
      <c r="F30" s="265">
        <v>145210292</v>
      </c>
      <c r="G30" s="266">
        <f>F30/D30*100</f>
        <v>102.33051158155178</v>
      </c>
      <c r="H30" s="282">
        <f>F30/E30*100</f>
        <v>99.987313115215358</v>
      </c>
      <c r="I30" s="15"/>
      <c r="J30" s="13"/>
      <c r="K30" s="13"/>
      <c r="L30" s="13"/>
      <c r="M30" s="13"/>
      <c r="N30" s="16"/>
    </row>
    <row r="31" spans="1:14" ht="24.75" customHeight="1">
      <c r="A31" s="245" t="s">
        <v>107</v>
      </c>
      <c r="B31" s="263"/>
      <c r="C31" s="294" t="s">
        <v>329</v>
      </c>
      <c r="D31" s="265">
        <v>8787063</v>
      </c>
      <c r="E31" s="265">
        <v>9913498</v>
      </c>
      <c r="F31" s="265">
        <v>9874768</v>
      </c>
      <c r="G31" s="266">
        <f>F31/D31*100</f>
        <v>112.37848186589763</v>
      </c>
      <c r="H31" s="282">
        <f>F31/E31*100</f>
        <v>99.609320544574672</v>
      </c>
      <c r="I31" s="15"/>
      <c r="J31" s="13"/>
      <c r="K31" s="13"/>
      <c r="L31" s="13"/>
      <c r="M31" s="13"/>
      <c r="N31" s="16"/>
    </row>
    <row r="32" spans="1:14" ht="24.75" customHeight="1" thickBot="1">
      <c r="A32" s="262"/>
      <c r="B32" s="295"/>
      <c r="C32" s="296" t="s">
        <v>330</v>
      </c>
      <c r="D32" s="297">
        <v>137893309</v>
      </c>
      <c r="E32" s="297">
        <v>138382954</v>
      </c>
      <c r="F32" s="297">
        <v>139146855</v>
      </c>
      <c r="G32" s="298">
        <f>F32/D32*100</f>
        <v>100.90906948936878</v>
      </c>
      <c r="H32" s="299">
        <f>F32/E32*100</f>
        <v>100.55201957894322</v>
      </c>
      <c r="I32" s="15"/>
      <c r="J32" s="13"/>
      <c r="K32" s="13"/>
      <c r="L32" s="13"/>
      <c r="M32" s="13"/>
      <c r="N32" s="16"/>
    </row>
    <row r="33" spans="1:14">
      <c r="A33" s="15"/>
      <c r="B33" s="15"/>
      <c r="C33" s="13"/>
      <c r="D33" s="13"/>
      <c r="E33" s="13"/>
      <c r="F33" s="13"/>
      <c r="G33" s="13"/>
      <c r="H33" s="16"/>
      <c r="I33" s="15"/>
      <c r="J33" s="13"/>
      <c r="K33" s="13"/>
      <c r="L33" s="13"/>
      <c r="M33" s="13"/>
      <c r="N33" s="16"/>
    </row>
  </sheetData>
  <mergeCells count="5">
    <mergeCell ref="A1:C1"/>
    <mergeCell ref="A2:C2"/>
    <mergeCell ref="B3:H3"/>
    <mergeCell ref="D4:I4"/>
    <mergeCell ref="D5:I5"/>
  </mergeCells>
  <pageMargins left="0.70866141732283472" right="0.70866141732283472" top="0.74803149606299213" bottom="0.74803149606299213" header="0.31496062992125984" footer="0.31496062992125984"/>
  <pageSetup paperSize="9"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G58"/>
  <sheetViews>
    <sheetView topLeftCell="A19" workbookViewId="0">
      <selection activeCell="B42" sqref="B42"/>
    </sheetView>
  </sheetViews>
  <sheetFormatPr defaultRowHeight="12.75"/>
  <cols>
    <col min="1" max="1" width="2.5703125" style="17" customWidth="1"/>
    <col min="2" max="2" width="76.42578125" style="17" customWidth="1"/>
    <col min="3" max="3" width="9.140625" style="17"/>
    <col min="4" max="7" width="24.7109375" style="17" customWidth="1"/>
    <col min="8" max="16384" width="9.140625" style="17"/>
  </cols>
  <sheetData>
    <row r="1" spans="2:7" ht="12.75" customHeight="1">
      <c r="B1" s="361" t="s">
        <v>74</v>
      </c>
      <c r="C1" s="362"/>
      <c r="D1" s="116" t="s">
        <v>225</v>
      </c>
      <c r="E1" s="13"/>
      <c r="F1" s="13"/>
      <c r="G1" s="14" t="s">
        <v>331</v>
      </c>
    </row>
    <row r="2" spans="2:7" ht="12.75" customHeight="1">
      <c r="B2" s="364">
        <v>40984</v>
      </c>
      <c r="C2" s="362"/>
      <c r="D2" s="13"/>
      <c r="E2" s="13"/>
      <c r="F2" s="13"/>
      <c r="G2" s="14" t="s">
        <v>76</v>
      </c>
    </row>
    <row r="3" spans="2:7" ht="12.75" customHeight="1">
      <c r="B3" s="119"/>
      <c r="C3" s="120"/>
      <c r="D3" s="13"/>
      <c r="E3" s="13"/>
      <c r="F3" s="13"/>
      <c r="G3" s="14"/>
    </row>
    <row r="4" spans="2:7" ht="12.75" customHeight="1">
      <c r="B4" s="119"/>
      <c r="C4" s="120"/>
      <c r="D4" s="13"/>
      <c r="E4" s="13"/>
      <c r="F4" s="13"/>
      <c r="G4" s="14"/>
    </row>
    <row r="5" spans="2:7" ht="12.75" customHeight="1">
      <c r="B5" s="390" t="s">
        <v>332</v>
      </c>
      <c r="C5" s="390"/>
      <c r="D5" s="359"/>
      <c r="E5" s="359"/>
      <c r="F5" s="359"/>
      <c r="G5" s="359"/>
    </row>
    <row r="6" spans="2:7" ht="12.75" customHeight="1">
      <c r="B6" s="359" t="s">
        <v>223</v>
      </c>
      <c r="C6" s="373"/>
      <c r="D6" s="373"/>
      <c r="E6" s="373"/>
      <c r="F6" s="373"/>
      <c r="G6" s="373"/>
    </row>
    <row r="7" spans="2:7" ht="12.75" customHeight="1">
      <c r="B7" s="300"/>
      <c r="C7" s="300"/>
      <c r="G7" s="301"/>
    </row>
    <row r="8" spans="2:7">
      <c r="B8" s="121" t="s">
        <v>333</v>
      </c>
      <c r="C8" s="367" t="s">
        <v>232</v>
      </c>
      <c r="D8" s="362"/>
      <c r="E8" s="362"/>
      <c r="F8" s="366"/>
      <c r="G8" s="366"/>
    </row>
    <row r="9" spans="2:7" ht="13.5" thickBot="1"/>
    <row r="10" spans="2:7" ht="22.5" customHeight="1">
      <c r="B10" s="381" t="s">
        <v>334</v>
      </c>
      <c r="C10" s="383" t="s">
        <v>335</v>
      </c>
      <c r="D10" s="385" t="s">
        <v>336</v>
      </c>
      <c r="E10" s="386"/>
      <c r="F10" s="387"/>
      <c r="G10" s="388" t="s">
        <v>337</v>
      </c>
    </row>
    <row r="11" spans="2:7" ht="21.75" customHeight="1" thickBot="1">
      <c r="B11" s="382"/>
      <c r="C11" s="384"/>
      <c r="D11" s="302" t="s">
        <v>338</v>
      </c>
      <c r="E11" s="302" t="s">
        <v>339</v>
      </c>
      <c r="F11" s="302" t="s">
        <v>340</v>
      </c>
      <c r="G11" s="389"/>
    </row>
    <row r="12" spans="2:7">
      <c r="B12" s="303" t="s">
        <v>341</v>
      </c>
      <c r="C12" s="304" t="s">
        <v>342</v>
      </c>
      <c r="D12" s="305">
        <v>343626</v>
      </c>
      <c r="E12" s="305">
        <v>209149</v>
      </c>
      <c r="F12" s="305">
        <v>134477</v>
      </c>
      <c r="G12" s="306">
        <v>144507</v>
      </c>
    </row>
    <row r="13" spans="2:7">
      <c r="B13" s="307" t="s">
        <v>343</v>
      </c>
      <c r="C13" s="308" t="s">
        <v>344</v>
      </c>
      <c r="D13" s="309">
        <v>15641</v>
      </c>
      <c r="E13" s="309">
        <v>11295</v>
      </c>
      <c r="F13" s="309">
        <v>4346</v>
      </c>
      <c r="G13" s="310">
        <v>4099</v>
      </c>
    </row>
    <row r="14" spans="2:7">
      <c r="B14" s="307" t="s">
        <v>345</v>
      </c>
      <c r="C14" s="308" t="s">
        <v>346</v>
      </c>
      <c r="D14" s="309">
        <v>327985</v>
      </c>
      <c r="E14" s="309">
        <v>197854</v>
      </c>
      <c r="F14" s="309">
        <v>130131</v>
      </c>
      <c r="G14" s="310">
        <v>140408</v>
      </c>
    </row>
    <row r="15" spans="2:7">
      <c r="B15" s="307" t="s">
        <v>347</v>
      </c>
      <c r="C15" s="308" t="s">
        <v>348</v>
      </c>
      <c r="D15" s="309">
        <v>0</v>
      </c>
      <c r="E15" s="309">
        <v>0</v>
      </c>
      <c r="F15" s="309">
        <v>0</v>
      </c>
      <c r="G15" s="310">
        <v>0</v>
      </c>
    </row>
    <row r="16" spans="2:7">
      <c r="B16" s="307" t="s">
        <v>349</v>
      </c>
      <c r="C16" s="308" t="s">
        <v>350</v>
      </c>
      <c r="D16" s="309">
        <v>0</v>
      </c>
      <c r="E16" s="309">
        <v>0</v>
      </c>
      <c r="F16" s="309">
        <v>0</v>
      </c>
      <c r="G16" s="310">
        <v>0</v>
      </c>
    </row>
    <row r="17" spans="2:7">
      <c r="B17" s="307" t="s">
        <v>351</v>
      </c>
      <c r="C17" s="308" t="s">
        <v>352</v>
      </c>
      <c r="D17" s="309">
        <v>0</v>
      </c>
      <c r="E17" s="309">
        <v>0</v>
      </c>
      <c r="F17" s="309">
        <v>0</v>
      </c>
      <c r="G17" s="310">
        <v>0</v>
      </c>
    </row>
    <row r="18" spans="2:7">
      <c r="B18" s="311" t="s">
        <v>353</v>
      </c>
      <c r="C18" s="312" t="s">
        <v>354</v>
      </c>
      <c r="D18" s="313">
        <v>243592</v>
      </c>
      <c r="E18" s="313">
        <v>7827</v>
      </c>
      <c r="F18" s="313">
        <v>235765</v>
      </c>
      <c r="G18" s="314">
        <v>244329</v>
      </c>
    </row>
    <row r="19" spans="2:7">
      <c r="B19" s="307" t="s">
        <v>355</v>
      </c>
      <c r="C19" s="308" t="s">
        <v>356</v>
      </c>
      <c r="D19" s="309">
        <v>13081</v>
      </c>
      <c r="E19" s="309">
        <v>0</v>
      </c>
      <c r="F19" s="309">
        <v>13081</v>
      </c>
      <c r="G19" s="310">
        <v>12127</v>
      </c>
    </row>
    <row r="20" spans="2:7">
      <c r="B20" s="307" t="s">
        <v>357</v>
      </c>
      <c r="C20" s="308" t="s">
        <v>358</v>
      </c>
      <c r="D20" s="309">
        <v>132697</v>
      </c>
      <c r="E20" s="309">
        <v>0</v>
      </c>
      <c r="F20" s="309">
        <v>132697</v>
      </c>
      <c r="G20" s="310">
        <v>142728</v>
      </c>
    </row>
    <row r="21" spans="2:7">
      <c r="B21" s="307" t="s">
        <v>359</v>
      </c>
      <c r="C21" s="308" t="s">
        <v>360</v>
      </c>
      <c r="D21" s="309">
        <v>28205</v>
      </c>
      <c r="E21" s="309">
        <v>0</v>
      </c>
      <c r="F21" s="309">
        <v>28205</v>
      </c>
      <c r="G21" s="310">
        <v>25401</v>
      </c>
    </row>
    <row r="22" spans="2:7">
      <c r="B22" s="307" t="s">
        <v>361</v>
      </c>
      <c r="C22" s="308" t="s">
        <v>362</v>
      </c>
      <c r="D22" s="309">
        <v>0</v>
      </c>
      <c r="E22" s="309">
        <v>0</v>
      </c>
      <c r="F22" s="309">
        <v>0</v>
      </c>
      <c r="G22" s="310">
        <v>0</v>
      </c>
    </row>
    <row r="23" spans="2:7">
      <c r="B23" s="307" t="s">
        <v>363</v>
      </c>
      <c r="C23" s="308" t="s">
        <v>364</v>
      </c>
      <c r="D23" s="309">
        <v>28205</v>
      </c>
      <c r="E23" s="309">
        <v>0</v>
      </c>
      <c r="F23" s="309">
        <v>28205</v>
      </c>
      <c r="G23" s="310">
        <v>25401</v>
      </c>
    </row>
    <row r="24" spans="2:7">
      <c r="B24" s="307" t="s">
        <v>365</v>
      </c>
      <c r="C24" s="308" t="s">
        <v>366</v>
      </c>
      <c r="D24" s="309">
        <v>37105</v>
      </c>
      <c r="E24" s="309">
        <v>7827</v>
      </c>
      <c r="F24" s="309">
        <v>29278</v>
      </c>
      <c r="G24" s="310">
        <v>25099</v>
      </c>
    </row>
    <row r="25" spans="2:7">
      <c r="B25" s="307" t="s">
        <v>361</v>
      </c>
      <c r="C25" s="308" t="s">
        <v>367</v>
      </c>
      <c r="D25" s="309">
        <v>0</v>
      </c>
      <c r="E25" s="309">
        <v>0</v>
      </c>
      <c r="F25" s="309">
        <v>0</v>
      </c>
      <c r="G25" s="310">
        <v>0</v>
      </c>
    </row>
    <row r="26" spans="2:7">
      <c r="B26" s="307" t="s">
        <v>368</v>
      </c>
      <c r="C26" s="308" t="s">
        <v>369</v>
      </c>
      <c r="D26" s="309">
        <v>35283</v>
      </c>
      <c r="E26" s="309">
        <v>7827</v>
      </c>
      <c r="F26" s="309">
        <v>27456</v>
      </c>
      <c r="G26" s="310">
        <v>23356</v>
      </c>
    </row>
    <row r="27" spans="2:7">
      <c r="B27" s="307" t="s">
        <v>370</v>
      </c>
      <c r="C27" s="308" t="s">
        <v>371</v>
      </c>
      <c r="D27" s="309">
        <v>0</v>
      </c>
      <c r="E27" s="309">
        <v>0</v>
      </c>
      <c r="F27" s="309">
        <v>0</v>
      </c>
      <c r="G27" s="310">
        <v>0</v>
      </c>
    </row>
    <row r="28" spans="2:7">
      <c r="B28" s="307" t="s">
        <v>372</v>
      </c>
      <c r="C28" s="308" t="s">
        <v>373</v>
      </c>
      <c r="D28" s="309">
        <v>32504</v>
      </c>
      <c r="E28" s="309">
        <v>0</v>
      </c>
      <c r="F28" s="309">
        <v>32504</v>
      </c>
      <c r="G28" s="310">
        <v>38974</v>
      </c>
    </row>
    <row r="29" spans="2:7">
      <c r="B29" s="307" t="s">
        <v>374</v>
      </c>
      <c r="C29" s="308" t="s">
        <v>375</v>
      </c>
      <c r="D29" s="309">
        <v>32308</v>
      </c>
      <c r="E29" s="309">
        <v>0</v>
      </c>
      <c r="F29" s="309">
        <v>32308</v>
      </c>
      <c r="G29" s="310">
        <v>38783</v>
      </c>
    </row>
    <row r="30" spans="2:7">
      <c r="B30" s="307" t="s">
        <v>376</v>
      </c>
      <c r="C30" s="308" t="s">
        <v>377</v>
      </c>
      <c r="D30" s="309">
        <v>0</v>
      </c>
      <c r="E30" s="309">
        <v>0</v>
      </c>
      <c r="F30" s="309">
        <v>0</v>
      </c>
      <c r="G30" s="310">
        <v>0</v>
      </c>
    </row>
    <row r="31" spans="2:7" s="144" customFormat="1">
      <c r="B31" s="311" t="s">
        <v>378</v>
      </c>
      <c r="C31" s="312" t="s">
        <v>379</v>
      </c>
      <c r="D31" s="313">
        <v>388</v>
      </c>
      <c r="E31" s="313">
        <v>0</v>
      </c>
      <c r="F31" s="313">
        <v>388</v>
      </c>
      <c r="G31" s="314">
        <v>172</v>
      </c>
    </row>
    <row r="32" spans="2:7" s="144" customFormat="1" ht="13.5" thickBot="1">
      <c r="B32" s="311" t="s">
        <v>380</v>
      </c>
      <c r="C32" s="312" t="s">
        <v>381</v>
      </c>
      <c r="D32" s="313">
        <v>0</v>
      </c>
      <c r="E32" s="313">
        <v>0</v>
      </c>
      <c r="F32" s="313">
        <v>0</v>
      </c>
      <c r="G32" s="314">
        <v>0</v>
      </c>
    </row>
    <row r="33" spans="2:7" ht="13.5" customHeight="1" thickBot="1">
      <c r="B33" s="315" t="s">
        <v>382</v>
      </c>
      <c r="C33" s="316"/>
      <c r="D33" s="317">
        <v>587606</v>
      </c>
      <c r="E33" s="317">
        <v>216976</v>
      </c>
      <c r="F33" s="317">
        <v>370630</v>
      </c>
      <c r="G33" s="318">
        <v>389008</v>
      </c>
    </row>
    <row r="34" spans="2:7" ht="14.25" thickTop="1" thickBot="1">
      <c r="B34" s="218"/>
      <c r="C34" s="218"/>
    </row>
    <row r="35" spans="2:7" ht="39" customHeight="1" thickBot="1">
      <c r="B35" s="5" t="s">
        <v>383</v>
      </c>
      <c r="C35" s="319" t="s">
        <v>335</v>
      </c>
      <c r="D35" s="320" t="s">
        <v>384</v>
      </c>
      <c r="E35" s="321" t="s">
        <v>337</v>
      </c>
    </row>
    <row r="36" spans="2:7">
      <c r="B36" s="322" t="s">
        <v>385</v>
      </c>
      <c r="C36" s="304" t="s">
        <v>386</v>
      </c>
      <c r="D36" s="323">
        <v>-86644</v>
      </c>
      <c r="E36" s="306">
        <v>-60129</v>
      </c>
    </row>
    <row r="37" spans="2:7">
      <c r="B37" s="307" t="s">
        <v>387</v>
      </c>
      <c r="C37" s="308" t="s">
        <v>388</v>
      </c>
      <c r="D37" s="309">
        <v>0</v>
      </c>
      <c r="E37" s="310">
        <v>0</v>
      </c>
    </row>
    <row r="38" spans="2:7">
      <c r="B38" s="307" t="s">
        <v>389</v>
      </c>
      <c r="C38" s="308" t="s">
        <v>390</v>
      </c>
      <c r="D38" s="309">
        <v>0</v>
      </c>
      <c r="E38" s="310">
        <v>0</v>
      </c>
    </row>
    <row r="39" spans="2:7">
      <c r="B39" s="307" t="s">
        <v>391</v>
      </c>
      <c r="C39" s="308" t="s">
        <v>392</v>
      </c>
      <c r="D39" s="309">
        <v>-86644</v>
      </c>
      <c r="E39" s="310">
        <v>-60129</v>
      </c>
    </row>
    <row r="40" spans="2:7">
      <c r="B40" s="307" t="s">
        <v>393</v>
      </c>
      <c r="C40" s="308" t="s">
        <v>394</v>
      </c>
      <c r="D40" s="309">
        <v>-27211</v>
      </c>
      <c r="E40" s="310">
        <v>-43051</v>
      </c>
    </row>
    <row r="41" spans="2:7">
      <c r="B41" s="311" t="s">
        <v>395</v>
      </c>
      <c r="C41" s="312" t="s">
        <v>396</v>
      </c>
      <c r="D41" s="313">
        <v>456299</v>
      </c>
      <c r="E41" s="324">
        <v>448638</v>
      </c>
    </row>
    <row r="42" spans="2:7">
      <c r="B42" s="307" t="s">
        <v>397</v>
      </c>
      <c r="C42" s="308" t="s">
        <v>398</v>
      </c>
      <c r="D42" s="309">
        <v>99256</v>
      </c>
      <c r="E42" s="310">
        <v>72769</v>
      </c>
    </row>
    <row r="43" spans="2:7">
      <c r="B43" s="307" t="s">
        <v>357</v>
      </c>
      <c r="C43" s="308" t="s">
        <v>399</v>
      </c>
      <c r="D43" s="309">
        <v>293410</v>
      </c>
      <c r="E43" s="310">
        <v>308960</v>
      </c>
    </row>
    <row r="44" spans="2:7">
      <c r="B44" s="307" t="s">
        <v>400</v>
      </c>
      <c r="C44" s="308" t="s">
        <v>401</v>
      </c>
      <c r="D44" s="309">
        <v>44414</v>
      </c>
      <c r="E44" s="310">
        <v>45538</v>
      </c>
    </row>
    <row r="45" spans="2:7">
      <c r="B45" s="307" t="s">
        <v>402</v>
      </c>
      <c r="C45" s="308" t="s">
        <v>403</v>
      </c>
      <c r="D45" s="309">
        <v>0</v>
      </c>
      <c r="E45" s="310">
        <v>0</v>
      </c>
    </row>
    <row r="46" spans="2:7">
      <c r="B46" s="307" t="s">
        <v>404</v>
      </c>
      <c r="C46" s="308" t="s">
        <v>405</v>
      </c>
      <c r="D46" s="309">
        <v>44111</v>
      </c>
      <c r="E46" s="310">
        <v>45194</v>
      </c>
    </row>
    <row r="47" spans="2:7">
      <c r="B47" s="307" t="s">
        <v>406</v>
      </c>
      <c r="C47" s="308" t="s">
        <v>407</v>
      </c>
      <c r="D47" s="309">
        <v>0</v>
      </c>
      <c r="E47" s="310">
        <v>0</v>
      </c>
    </row>
    <row r="48" spans="2:7">
      <c r="B48" s="307" t="s">
        <v>408</v>
      </c>
      <c r="C48" s="308" t="s">
        <v>409</v>
      </c>
      <c r="D48" s="309">
        <v>19219</v>
      </c>
      <c r="E48" s="310">
        <v>21371</v>
      </c>
    </row>
    <row r="49" spans="2:5">
      <c r="B49" s="307" t="s">
        <v>410</v>
      </c>
      <c r="C49" s="308" t="s">
        <v>411</v>
      </c>
      <c r="D49" s="309">
        <v>2320</v>
      </c>
      <c r="E49" s="310">
        <v>1663</v>
      </c>
    </row>
    <row r="50" spans="2:5">
      <c r="B50" s="307" t="s">
        <v>412</v>
      </c>
      <c r="C50" s="308" t="s">
        <v>413</v>
      </c>
      <c r="D50" s="309">
        <v>0</v>
      </c>
      <c r="E50" s="310">
        <v>0</v>
      </c>
    </row>
    <row r="51" spans="2:5">
      <c r="B51" s="307" t="s">
        <v>414</v>
      </c>
      <c r="C51" s="308" t="s">
        <v>415</v>
      </c>
      <c r="D51" s="309">
        <v>0</v>
      </c>
      <c r="E51" s="310">
        <v>0</v>
      </c>
    </row>
    <row r="52" spans="2:5">
      <c r="B52" s="307" t="s">
        <v>416</v>
      </c>
      <c r="C52" s="308" t="s">
        <v>417</v>
      </c>
      <c r="D52" s="309">
        <v>0</v>
      </c>
      <c r="E52" s="310">
        <v>0</v>
      </c>
    </row>
    <row r="53" spans="2:5">
      <c r="B53" s="307" t="s">
        <v>418</v>
      </c>
      <c r="C53" s="308" t="s">
        <v>419</v>
      </c>
      <c r="D53" s="309">
        <v>0</v>
      </c>
      <c r="E53" s="310">
        <v>0</v>
      </c>
    </row>
    <row r="54" spans="2:5">
      <c r="B54" s="311" t="s">
        <v>378</v>
      </c>
      <c r="C54" s="312" t="s">
        <v>420</v>
      </c>
      <c r="D54" s="313">
        <v>975</v>
      </c>
      <c r="E54" s="314">
        <v>499</v>
      </c>
    </row>
    <row r="55" spans="2:5" ht="13.5" thickBot="1">
      <c r="B55" s="325" t="s">
        <v>421</v>
      </c>
      <c r="C55" s="326" t="s">
        <v>422</v>
      </c>
      <c r="D55" s="313">
        <v>0</v>
      </c>
      <c r="E55" s="314">
        <v>0</v>
      </c>
    </row>
    <row r="56" spans="2:5" ht="13.5" customHeight="1" thickBot="1">
      <c r="B56" s="315" t="s">
        <v>423</v>
      </c>
      <c r="C56" s="327"/>
      <c r="D56" s="328">
        <v>370630</v>
      </c>
      <c r="E56" s="329">
        <v>389008</v>
      </c>
    </row>
    <row r="57" spans="2:5" ht="13.5" thickTop="1">
      <c r="B57" s="218"/>
      <c r="C57" s="218"/>
      <c r="D57" s="330"/>
      <c r="E57" s="330"/>
    </row>
    <row r="58" spans="2:5">
      <c r="D58" s="127"/>
    </row>
  </sheetData>
  <mergeCells count="9">
    <mergeCell ref="B10:B11"/>
    <mergeCell ref="C10:C11"/>
    <mergeCell ref="D10:F10"/>
    <mergeCell ref="G10:G11"/>
    <mergeCell ref="B1:C1"/>
    <mergeCell ref="B2:C2"/>
    <mergeCell ref="B5:G5"/>
    <mergeCell ref="B6:G6"/>
    <mergeCell ref="C8:G8"/>
  </mergeCells>
  <pageMargins left="0.70866141732283472" right="0.59055118110236227" top="0.47244094488188981" bottom="0.59055118110236227" header="0.51181102362204722" footer="0.4724409448818898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55"/>
  <sheetViews>
    <sheetView topLeftCell="D1" workbookViewId="0">
      <selection activeCell="E52" sqref="E52"/>
    </sheetView>
  </sheetViews>
  <sheetFormatPr defaultRowHeight="12.75"/>
  <cols>
    <col min="1" max="1" width="2.140625" style="17" customWidth="1"/>
    <col min="2" max="2" width="71.28515625" style="17" customWidth="1"/>
    <col min="3" max="3" width="9.140625" style="17"/>
    <col min="4" max="7" width="17.7109375" style="17" customWidth="1"/>
    <col min="8" max="16384" width="9.140625" style="17"/>
  </cols>
  <sheetData>
    <row r="1" spans="2:7">
      <c r="B1" s="361" t="s">
        <v>74</v>
      </c>
      <c r="C1" s="362"/>
      <c r="D1" s="116" t="s">
        <v>225</v>
      </c>
      <c r="E1" s="13"/>
      <c r="F1" s="13"/>
      <c r="G1" s="14" t="s">
        <v>424</v>
      </c>
    </row>
    <row r="2" spans="2:7">
      <c r="B2" s="364">
        <v>40984</v>
      </c>
      <c r="C2" s="362"/>
      <c r="D2" s="13"/>
      <c r="E2" s="13"/>
      <c r="F2" s="13"/>
      <c r="G2" s="14" t="s">
        <v>76</v>
      </c>
    </row>
    <row r="3" spans="2:7">
      <c r="B3" s="119"/>
      <c r="C3" s="120"/>
      <c r="D3" s="13"/>
      <c r="E3" s="13"/>
      <c r="F3" s="13"/>
      <c r="G3" s="14"/>
    </row>
    <row r="4" spans="2:7">
      <c r="B4" s="359" t="s">
        <v>425</v>
      </c>
      <c r="C4" s="359"/>
      <c r="D4" s="359"/>
      <c r="E4" s="359"/>
      <c r="F4" s="359"/>
      <c r="G4" s="359"/>
    </row>
    <row r="5" spans="2:7">
      <c r="B5" s="390" t="s">
        <v>223</v>
      </c>
      <c r="C5" s="366"/>
      <c r="D5" s="366"/>
      <c r="E5" s="366"/>
      <c r="F5" s="366"/>
      <c r="G5" s="366"/>
    </row>
    <row r="6" spans="2:7">
      <c r="C6" s="331"/>
      <c r="D6" s="118"/>
    </row>
    <row r="7" spans="2:7">
      <c r="B7" s="17" t="s">
        <v>235</v>
      </c>
      <c r="C7" s="367" t="s">
        <v>232</v>
      </c>
      <c r="D7" s="362"/>
      <c r="E7" s="362"/>
      <c r="F7" s="366"/>
      <c r="G7" s="366"/>
    </row>
    <row r="8" spans="2:7" ht="13.5" thickBot="1">
      <c r="D8" s="127"/>
    </row>
    <row r="9" spans="2:7">
      <c r="B9" s="391" t="s">
        <v>426</v>
      </c>
      <c r="C9" s="393" t="s">
        <v>335</v>
      </c>
      <c r="D9" s="385" t="s">
        <v>336</v>
      </c>
      <c r="E9" s="386"/>
      <c r="F9" s="387"/>
      <c r="G9" s="395" t="s">
        <v>337</v>
      </c>
    </row>
    <row r="10" spans="2:7" ht="26.25" customHeight="1" thickBot="1">
      <c r="B10" s="392"/>
      <c r="C10" s="394"/>
      <c r="D10" s="332" t="s">
        <v>427</v>
      </c>
      <c r="E10" s="332" t="s">
        <v>428</v>
      </c>
      <c r="F10" s="333" t="s">
        <v>429</v>
      </c>
      <c r="G10" s="389"/>
    </row>
    <row r="11" spans="2:7">
      <c r="B11" s="334" t="s">
        <v>430</v>
      </c>
      <c r="C11" s="335" t="s">
        <v>431</v>
      </c>
      <c r="D11" s="336">
        <v>30461</v>
      </c>
      <c r="E11" s="336">
        <v>0</v>
      </c>
      <c r="F11" s="336">
        <v>30461</v>
      </c>
      <c r="G11" s="337">
        <v>28656</v>
      </c>
    </row>
    <row r="12" spans="2:7">
      <c r="B12" s="338" t="s">
        <v>432</v>
      </c>
      <c r="C12" s="339" t="s">
        <v>342</v>
      </c>
      <c r="D12" s="336">
        <v>19265</v>
      </c>
      <c r="E12" s="336">
        <v>0</v>
      </c>
      <c r="F12" s="336">
        <v>19265</v>
      </c>
      <c r="G12" s="310">
        <v>17967</v>
      </c>
    </row>
    <row r="13" spans="2:7">
      <c r="B13" s="338" t="s">
        <v>433</v>
      </c>
      <c r="C13" s="339" t="s">
        <v>344</v>
      </c>
      <c r="D13" s="336">
        <v>10980</v>
      </c>
      <c r="E13" s="336">
        <v>0</v>
      </c>
      <c r="F13" s="336">
        <v>10980</v>
      </c>
      <c r="G13" s="310">
        <v>10472</v>
      </c>
    </row>
    <row r="14" spans="2:7">
      <c r="B14" s="338" t="s">
        <v>434</v>
      </c>
      <c r="C14" s="339" t="s">
        <v>435</v>
      </c>
      <c r="D14" s="336">
        <v>216</v>
      </c>
      <c r="E14" s="336">
        <v>0</v>
      </c>
      <c r="F14" s="336">
        <v>216</v>
      </c>
      <c r="G14" s="310">
        <v>217</v>
      </c>
    </row>
    <row r="15" spans="2:7">
      <c r="B15" s="338" t="s">
        <v>436</v>
      </c>
      <c r="C15" s="339" t="s">
        <v>437</v>
      </c>
      <c r="D15" s="336">
        <v>29436</v>
      </c>
      <c r="E15" s="336">
        <v>0</v>
      </c>
      <c r="F15" s="336">
        <v>29436</v>
      </c>
      <c r="G15" s="310">
        <v>27987</v>
      </c>
    </row>
    <row r="16" spans="2:7">
      <c r="B16" s="338" t="s">
        <v>438</v>
      </c>
      <c r="C16" s="339" t="s">
        <v>346</v>
      </c>
      <c r="D16" s="336">
        <v>215595</v>
      </c>
      <c r="E16" s="336">
        <v>0</v>
      </c>
      <c r="F16" s="336">
        <v>215595</v>
      </c>
      <c r="G16" s="310">
        <v>219048</v>
      </c>
    </row>
    <row r="17" spans="2:7">
      <c r="B17" s="338" t="s">
        <v>439</v>
      </c>
      <c r="C17" s="339" t="s">
        <v>440</v>
      </c>
      <c r="D17" s="336">
        <v>154894</v>
      </c>
      <c r="E17" s="336">
        <v>0</v>
      </c>
      <c r="F17" s="336">
        <v>154894</v>
      </c>
      <c r="G17" s="310">
        <v>158491</v>
      </c>
    </row>
    <row r="18" spans="2:7">
      <c r="B18" s="338" t="s">
        <v>441</v>
      </c>
      <c r="C18" s="339" t="s">
        <v>229</v>
      </c>
      <c r="D18" s="336">
        <v>50004</v>
      </c>
      <c r="E18" s="336">
        <v>0</v>
      </c>
      <c r="F18" s="336">
        <v>50004</v>
      </c>
      <c r="G18" s="310">
        <v>49626</v>
      </c>
    </row>
    <row r="19" spans="2:7">
      <c r="B19" s="338" t="s">
        <v>442</v>
      </c>
      <c r="C19" s="339" t="s">
        <v>443</v>
      </c>
      <c r="D19" s="336">
        <v>9371</v>
      </c>
      <c r="E19" s="336">
        <v>0</v>
      </c>
      <c r="F19" s="336">
        <v>9371</v>
      </c>
      <c r="G19" s="310">
        <v>9666</v>
      </c>
    </row>
    <row r="20" spans="2:7">
      <c r="B20" s="338" t="s">
        <v>444</v>
      </c>
      <c r="C20" s="339" t="s">
        <v>445</v>
      </c>
      <c r="D20" s="336">
        <v>990</v>
      </c>
      <c r="E20" s="336">
        <v>0</v>
      </c>
      <c r="F20" s="336">
        <v>990</v>
      </c>
      <c r="G20" s="310">
        <v>955</v>
      </c>
    </row>
    <row r="21" spans="2:7">
      <c r="B21" s="340" t="s">
        <v>446</v>
      </c>
      <c r="C21" s="341" t="s">
        <v>447</v>
      </c>
      <c r="D21" s="336">
        <v>45311</v>
      </c>
      <c r="E21" s="336">
        <v>0</v>
      </c>
      <c r="F21" s="336">
        <v>45311</v>
      </c>
      <c r="G21" s="310">
        <v>45056</v>
      </c>
    </row>
    <row r="22" spans="2:7" ht="25.5" customHeight="1">
      <c r="B22" s="342" t="s">
        <v>448</v>
      </c>
      <c r="C22" s="341" t="s">
        <v>449</v>
      </c>
      <c r="D22" s="336">
        <v>114660</v>
      </c>
      <c r="E22" s="336">
        <v>0</v>
      </c>
      <c r="F22" s="336">
        <v>114660</v>
      </c>
      <c r="G22" s="310">
        <v>89837</v>
      </c>
    </row>
    <row r="23" spans="2:7">
      <c r="B23" s="340" t="s">
        <v>450</v>
      </c>
      <c r="C23" s="341" t="s">
        <v>451</v>
      </c>
      <c r="D23" s="336">
        <v>14594</v>
      </c>
      <c r="E23" s="336">
        <v>0</v>
      </c>
      <c r="F23" s="336">
        <v>14594</v>
      </c>
      <c r="G23" s="310">
        <v>15075</v>
      </c>
    </row>
    <row r="24" spans="2:7">
      <c r="B24" s="340" t="s">
        <v>452</v>
      </c>
      <c r="C24" s="341" t="s">
        <v>453</v>
      </c>
      <c r="D24" s="336">
        <v>100066</v>
      </c>
      <c r="E24" s="336">
        <v>0</v>
      </c>
      <c r="F24" s="336">
        <v>100066</v>
      </c>
      <c r="G24" s="310">
        <v>74762</v>
      </c>
    </row>
    <row r="25" spans="2:7">
      <c r="B25" s="340" t="s">
        <v>454</v>
      </c>
      <c r="C25" s="341" t="s">
        <v>358</v>
      </c>
      <c r="D25" s="336">
        <v>90</v>
      </c>
      <c r="E25" s="336">
        <v>0</v>
      </c>
      <c r="F25" s="336">
        <v>90</v>
      </c>
      <c r="G25" s="310">
        <v>89</v>
      </c>
    </row>
    <row r="26" spans="2:7">
      <c r="B26" s="340" t="s">
        <v>455</v>
      </c>
      <c r="C26" s="341" t="s">
        <v>362</v>
      </c>
      <c r="D26" s="336">
        <v>6</v>
      </c>
      <c r="E26" s="336">
        <v>0</v>
      </c>
      <c r="F26" s="336">
        <v>6</v>
      </c>
      <c r="G26" s="310">
        <v>0</v>
      </c>
    </row>
    <row r="27" spans="2:7">
      <c r="B27" s="340" t="s">
        <v>456</v>
      </c>
      <c r="C27" s="341" t="s">
        <v>457</v>
      </c>
      <c r="D27" s="336">
        <v>25997</v>
      </c>
      <c r="E27" s="336">
        <v>0</v>
      </c>
      <c r="F27" s="336">
        <v>25997</v>
      </c>
      <c r="G27" s="310">
        <v>24656</v>
      </c>
    </row>
    <row r="28" spans="2:7" ht="13.5" thickBot="1">
      <c r="B28" s="340" t="s">
        <v>458</v>
      </c>
      <c r="C28" s="341" t="s">
        <v>459</v>
      </c>
      <c r="D28" s="336">
        <v>7575</v>
      </c>
      <c r="E28" s="336">
        <v>0</v>
      </c>
      <c r="F28" s="336">
        <v>7575</v>
      </c>
      <c r="G28" s="310">
        <v>5572</v>
      </c>
    </row>
    <row r="29" spans="2:7" ht="16.5" customHeight="1" thickBot="1">
      <c r="B29" s="343" t="s">
        <v>460</v>
      </c>
      <c r="C29" s="344"/>
      <c r="D29" s="328">
        <v>462546</v>
      </c>
      <c r="E29" s="328">
        <v>0</v>
      </c>
      <c r="F29" s="328">
        <v>462546</v>
      </c>
      <c r="G29" s="329">
        <v>436284</v>
      </c>
    </row>
    <row r="30" spans="2:7" ht="13.5" thickTop="1">
      <c r="B30" s="345"/>
      <c r="C30" s="346"/>
      <c r="D30" s="347"/>
      <c r="E30" s="347"/>
      <c r="F30" s="347"/>
      <c r="G30" s="347"/>
    </row>
    <row r="31" spans="2:7" ht="13.5" thickBot="1">
      <c r="B31" s="345"/>
      <c r="C31" s="346"/>
      <c r="D31" s="347"/>
      <c r="E31" s="347"/>
      <c r="F31" s="347"/>
      <c r="G31" s="347"/>
    </row>
    <row r="32" spans="2:7">
      <c r="B32" s="391" t="s">
        <v>461</v>
      </c>
      <c r="C32" s="393" t="s">
        <v>335</v>
      </c>
      <c r="D32" s="385" t="s">
        <v>336</v>
      </c>
      <c r="E32" s="386"/>
      <c r="F32" s="387"/>
      <c r="G32" s="395" t="s">
        <v>337</v>
      </c>
    </row>
    <row r="33" spans="2:7" ht="26.25" customHeight="1" thickBot="1">
      <c r="B33" s="392"/>
      <c r="C33" s="394"/>
      <c r="D33" s="332" t="s">
        <v>462</v>
      </c>
      <c r="E33" s="332" t="s">
        <v>428</v>
      </c>
      <c r="F33" s="333" t="s">
        <v>429</v>
      </c>
      <c r="G33" s="389"/>
    </row>
    <row r="34" spans="2:7">
      <c r="B34" s="334" t="s">
        <v>463</v>
      </c>
      <c r="C34" s="339" t="s">
        <v>464</v>
      </c>
      <c r="D34" s="309">
        <v>10579</v>
      </c>
      <c r="E34" s="309">
        <v>0</v>
      </c>
      <c r="F34" s="309">
        <v>10579</v>
      </c>
      <c r="G34" s="348">
        <v>10258</v>
      </c>
    </row>
    <row r="35" spans="2:7">
      <c r="B35" s="338" t="s">
        <v>465</v>
      </c>
      <c r="C35" s="339" t="s">
        <v>466</v>
      </c>
      <c r="D35" s="309">
        <v>101</v>
      </c>
      <c r="E35" s="309">
        <v>0</v>
      </c>
      <c r="F35" s="309">
        <v>101</v>
      </c>
      <c r="G35" s="310">
        <v>130</v>
      </c>
    </row>
    <row r="36" spans="2:7">
      <c r="B36" s="338" t="s">
        <v>467</v>
      </c>
      <c r="C36" s="339" t="s">
        <v>468</v>
      </c>
      <c r="D36" s="309">
        <v>174</v>
      </c>
      <c r="E36" s="309">
        <v>0</v>
      </c>
      <c r="F36" s="309">
        <v>174</v>
      </c>
      <c r="G36" s="310">
        <v>43</v>
      </c>
    </row>
    <row r="37" spans="2:7">
      <c r="B37" s="338" t="s">
        <v>469</v>
      </c>
      <c r="C37" s="339" t="s">
        <v>470</v>
      </c>
      <c r="D37" s="309">
        <v>0</v>
      </c>
      <c r="E37" s="309">
        <v>0</v>
      </c>
      <c r="F37" s="309">
        <v>0</v>
      </c>
      <c r="G37" s="310">
        <v>0</v>
      </c>
    </row>
    <row r="38" spans="2:7">
      <c r="B38" s="338" t="s">
        <v>471</v>
      </c>
      <c r="C38" s="339" t="s">
        <v>472</v>
      </c>
      <c r="D38" s="309">
        <v>0</v>
      </c>
      <c r="E38" s="309">
        <v>0</v>
      </c>
      <c r="F38" s="309">
        <v>0</v>
      </c>
      <c r="G38" s="310">
        <v>0</v>
      </c>
    </row>
    <row r="39" spans="2:7">
      <c r="B39" s="338" t="s">
        <v>473</v>
      </c>
      <c r="C39" s="339" t="s">
        <v>474</v>
      </c>
      <c r="D39" s="309">
        <v>0</v>
      </c>
      <c r="E39" s="309">
        <v>0</v>
      </c>
      <c r="F39" s="309">
        <v>0</v>
      </c>
      <c r="G39" s="310">
        <v>0</v>
      </c>
    </row>
    <row r="40" spans="2:7">
      <c r="B40" s="338" t="s">
        <v>475</v>
      </c>
      <c r="C40" s="339" t="s">
        <v>476</v>
      </c>
      <c r="D40" s="309">
        <v>45419</v>
      </c>
      <c r="E40" s="309">
        <v>0</v>
      </c>
      <c r="F40" s="309">
        <v>45419</v>
      </c>
      <c r="G40" s="310">
        <v>41294</v>
      </c>
    </row>
    <row r="41" spans="2:7" ht="25.5" customHeight="1">
      <c r="B41" s="349" t="s">
        <v>477</v>
      </c>
      <c r="C41" s="339" t="s">
        <v>478</v>
      </c>
      <c r="D41" s="309">
        <v>74526</v>
      </c>
      <c r="E41" s="309">
        <v>0</v>
      </c>
      <c r="F41" s="309">
        <v>74526</v>
      </c>
      <c r="G41" s="310">
        <v>24305</v>
      </c>
    </row>
    <row r="42" spans="2:7">
      <c r="B42" s="338" t="s">
        <v>479</v>
      </c>
      <c r="C42" s="339" t="s">
        <v>194</v>
      </c>
      <c r="D42" s="309">
        <v>1</v>
      </c>
      <c r="E42" s="309">
        <v>0</v>
      </c>
      <c r="F42" s="309">
        <v>1</v>
      </c>
      <c r="G42" s="310">
        <v>1</v>
      </c>
    </row>
    <row r="43" spans="2:7">
      <c r="B43" s="338" t="s">
        <v>480</v>
      </c>
      <c r="C43" s="339" t="s">
        <v>481</v>
      </c>
      <c r="D43" s="309">
        <v>0</v>
      </c>
      <c r="E43" s="309">
        <v>0</v>
      </c>
      <c r="F43" s="309">
        <v>0</v>
      </c>
      <c r="G43" s="310">
        <v>0</v>
      </c>
    </row>
    <row r="44" spans="2:7" ht="25.5" customHeight="1">
      <c r="B44" s="349" t="s">
        <v>482</v>
      </c>
      <c r="C44" s="339" t="s">
        <v>381</v>
      </c>
      <c r="D44" s="309">
        <v>304535</v>
      </c>
      <c r="E44" s="309">
        <v>0</v>
      </c>
      <c r="F44" s="309">
        <v>304535</v>
      </c>
      <c r="G44" s="310">
        <v>317202</v>
      </c>
    </row>
    <row r="45" spans="2:7" ht="12.75" customHeight="1">
      <c r="B45" s="342" t="s">
        <v>483</v>
      </c>
      <c r="C45" s="339" t="s">
        <v>484</v>
      </c>
      <c r="D45" s="309">
        <v>290006</v>
      </c>
      <c r="E45" s="309">
        <v>0</v>
      </c>
      <c r="F45" s="309">
        <v>290006</v>
      </c>
      <c r="G45" s="310">
        <v>301870</v>
      </c>
    </row>
    <row r="46" spans="2:7" ht="12.75" customHeight="1">
      <c r="B46" s="342" t="s">
        <v>485</v>
      </c>
      <c r="C46" s="339" t="s">
        <v>386</v>
      </c>
      <c r="D46" s="309">
        <v>14442</v>
      </c>
      <c r="E46" s="309">
        <v>0</v>
      </c>
      <c r="F46" s="309">
        <v>14442</v>
      </c>
      <c r="G46" s="310">
        <v>14887</v>
      </c>
    </row>
    <row r="47" spans="2:7" ht="39" customHeight="1" thickBot="1">
      <c r="B47" s="349" t="s">
        <v>486</v>
      </c>
      <c r="C47" s="339" t="s">
        <v>487</v>
      </c>
      <c r="D47" s="309">
        <v>0</v>
      </c>
      <c r="E47" s="309">
        <v>0</v>
      </c>
      <c r="F47" s="309">
        <v>0</v>
      </c>
      <c r="G47" s="350">
        <v>0</v>
      </c>
    </row>
    <row r="48" spans="2:7" ht="13.5" thickBot="1">
      <c r="B48" s="343" t="s">
        <v>488</v>
      </c>
      <c r="C48" s="316"/>
      <c r="D48" s="328">
        <v>435335</v>
      </c>
      <c r="E48" s="328">
        <v>0</v>
      </c>
      <c r="F48" s="328">
        <v>435335</v>
      </c>
      <c r="G48" s="351">
        <v>393233</v>
      </c>
    </row>
    <row r="49" spans="2:7" ht="13.5" thickTop="1">
      <c r="B49" s="352" t="s">
        <v>489</v>
      </c>
      <c r="C49" s="353" t="s">
        <v>490</v>
      </c>
      <c r="D49" s="309">
        <v>-27211</v>
      </c>
      <c r="E49" s="309">
        <v>0</v>
      </c>
      <c r="F49" s="309">
        <v>-27211</v>
      </c>
      <c r="G49" s="354">
        <v>-43051</v>
      </c>
    </row>
    <row r="50" spans="2:7" ht="13.5" thickBot="1">
      <c r="B50" s="355" t="s">
        <v>491</v>
      </c>
      <c r="C50" s="356" t="s">
        <v>492</v>
      </c>
      <c r="D50" s="357">
        <v>0</v>
      </c>
      <c r="E50" s="357">
        <v>0</v>
      </c>
      <c r="F50" s="357">
        <v>0</v>
      </c>
      <c r="G50" s="350">
        <v>0</v>
      </c>
    </row>
    <row r="51" spans="2:7" ht="13.5" thickBot="1">
      <c r="B51" s="343" t="s">
        <v>493</v>
      </c>
      <c r="C51" s="316">
        <v>138</v>
      </c>
      <c r="D51" s="328">
        <v>-27211</v>
      </c>
      <c r="E51" s="328">
        <v>0</v>
      </c>
      <c r="F51" s="328">
        <v>-27211</v>
      </c>
      <c r="G51" s="329">
        <v>-43051</v>
      </c>
    </row>
    <row r="52" spans="2:7" ht="13.5" thickTop="1">
      <c r="C52" s="358"/>
    </row>
    <row r="55" spans="2:7">
      <c r="D55" s="127"/>
      <c r="E55" s="127"/>
      <c r="F55" s="127"/>
      <c r="G55" s="127"/>
    </row>
  </sheetData>
  <mergeCells count="13">
    <mergeCell ref="B32:B33"/>
    <mergeCell ref="C32:C33"/>
    <mergeCell ref="D32:F32"/>
    <mergeCell ref="G32:G33"/>
    <mergeCell ref="B1:C1"/>
    <mergeCell ref="B2:C2"/>
    <mergeCell ref="B4:G4"/>
    <mergeCell ref="B5:G5"/>
    <mergeCell ref="C7:G7"/>
    <mergeCell ref="B9:B10"/>
    <mergeCell ref="C9:C10"/>
    <mergeCell ref="D9:F9"/>
    <mergeCell ref="G9:G10"/>
  </mergeCells>
  <pageMargins left="1.2598425196850394" right="0.74803149606299213" top="0.39370078740157483" bottom="0.47244094488188981" header="0.51181102362204722" footer="0.51181102362204722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44F8F5BD-FDAF-40A1-ABD0-B421484EDB1D}"/>
</file>

<file path=customXml/itemProps2.xml><?xml version="1.0" encoding="utf-8"?>
<ds:datastoreItem xmlns:ds="http://schemas.openxmlformats.org/officeDocument/2006/customXml" ds:itemID="{DD638B8D-9802-441B-8B43-84FA623CFE96}"/>
</file>

<file path=customXml/itemProps3.xml><?xml version="1.0" encoding="utf-8"?>
<ds:datastoreItem xmlns:ds="http://schemas.openxmlformats.org/officeDocument/2006/customXml" ds:itemID="{6C75E55F-93F1-4756-9474-B7DD8E7AC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6</vt:i4>
      </vt:variant>
    </vt:vector>
  </HeadingPairs>
  <TitlesOfParts>
    <vt:vector size="6" baseType="lpstr">
      <vt:lpstr>Tabuľka1</vt:lpstr>
      <vt:lpstr>Tabuľka2</vt:lpstr>
      <vt:lpstr>Tabuľka3</vt:lpstr>
      <vt:lpstr>Tabuľka4</vt:lpstr>
      <vt:lpstr>Tabuľka7</vt:lpstr>
      <vt:lpstr>Tabuľka8</vt:lpstr>
    </vt:vector>
  </TitlesOfParts>
  <Company>SP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VI000206</dc:creator>
  <cp:lastModifiedBy>elena.ederova</cp:lastModifiedBy>
  <cp:lastPrinted>2012-04-23T11:30:09Z</cp:lastPrinted>
  <dcterms:created xsi:type="dcterms:W3CDTF">2005-01-27T07:50:09Z</dcterms:created>
  <dcterms:modified xsi:type="dcterms:W3CDTF">2012-04-24T11:00:36Z</dcterms:modified>
</cp:coreProperties>
</file>