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7875" yWindow="15" windowWidth="7500" windowHeight="8310" tabRatio="917"/>
  </bookViews>
  <sheets>
    <sheet name="2011-12" sheetId="16" r:id="rId1"/>
    <sheet name="2010-11" sheetId="17" r:id="rId2"/>
    <sheet name="2009-10" sheetId="10" r:id="rId3"/>
    <sheet name="2008-09" sheetId="12" r:id="rId4"/>
    <sheet name="2007-08" sheetId="13" r:id="rId5"/>
    <sheet name="2006-07" sheetId="18" r:id="rId6"/>
    <sheet name="2005-06" sheetId="15" r:id="rId7"/>
    <sheet name="2004-05" sheetId="11" r:id="rId8"/>
    <sheet name="2003-04" sheetId="9" r:id="rId9"/>
    <sheet name="2002-03" sheetId="8" r:id="rId10"/>
    <sheet name="2001-02" sheetId="7" r:id="rId11"/>
    <sheet name="2000-01" sheetId="6" r:id="rId12"/>
    <sheet name="1999-00" sheetId="5" r:id="rId13"/>
    <sheet name="1998-99" sheetId="4" r:id="rId14"/>
    <sheet name="1997-98" sheetId="2" r:id="rId15"/>
    <sheet name="1996-97" sheetId="3" r:id="rId16"/>
    <sheet name="1995-96" sheetId="1" r:id="rId17"/>
  </sheets>
  <definedNames>
    <definedName name="_xlnm.Print_Titles" localSheetId="16">'1995-96'!$5:$7</definedName>
  </definedNames>
  <calcPr calcId="145621"/>
</workbook>
</file>

<file path=xl/calcChain.xml><?xml version="1.0" encoding="utf-8"?>
<calcChain xmlns="http://schemas.openxmlformats.org/spreadsheetml/2006/main">
  <c r="A3" i="16" l="1"/>
  <c r="A3" i="17"/>
  <c r="A3" i="12"/>
  <c r="A3" i="13"/>
  <c r="A3" i="18"/>
  <c r="A3" i="15"/>
  <c r="A3" i="11"/>
  <c r="A3" i="9"/>
  <c r="A3" i="8"/>
  <c r="A3" i="7"/>
  <c r="A3" i="6"/>
  <c r="A3" i="5"/>
  <c r="A3" i="4"/>
  <c r="A3" i="2"/>
  <c r="A3" i="3"/>
  <c r="A3" i="1"/>
  <c r="G83" i="16" l="1"/>
  <c r="F83" i="16"/>
  <c r="E83" i="16"/>
  <c r="C83" i="16"/>
  <c r="B83" i="16"/>
  <c r="H82" i="16"/>
  <c r="D82" i="16"/>
  <c r="H81" i="16"/>
  <c r="I81" i="16" s="1"/>
  <c r="D81" i="16"/>
  <c r="H80" i="16"/>
  <c r="D80" i="16"/>
  <c r="H79" i="16"/>
  <c r="I79" i="16" s="1"/>
  <c r="D79" i="16"/>
  <c r="H78" i="16"/>
  <c r="D78" i="16"/>
  <c r="H77" i="16"/>
  <c r="I77" i="16" s="1"/>
  <c r="D77" i="16"/>
  <c r="H76" i="16"/>
  <c r="D76" i="16"/>
  <c r="H75" i="16"/>
  <c r="I75" i="16" s="1"/>
  <c r="D75" i="16"/>
  <c r="H74" i="16"/>
  <c r="D74" i="16"/>
  <c r="H73" i="16"/>
  <c r="D73" i="16"/>
  <c r="H72" i="16"/>
  <c r="I72" i="16" s="1"/>
  <c r="D72" i="16"/>
  <c r="H71" i="16"/>
  <c r="D71" i="16"/>
  <c r="H70" i="16"/>
  <c r="D70" i="16"/>
  <c r="H69" i="16"/>
  <c r="D69" i="16"/>
  <c r="H68" i="16"/>
  <c r="I68" i="16" s="1"/>
  <c r="D68" i="16"/>
  <c r="H67" i="16"/>
  <c r="D67" i="16"/>
  <c r="H66" i="16"/>
  <c r="D66" i="16"/>
  <c r="H65" i="16"/>
  <c r="I65" i="16" s="1"/>
  <c r="D65" i="16"/>
  <c r="H64" i="16"/>
  <c r="D64" i="16"/>
  <c r="H63" i="16"/>
  <c r="I63" i="16" s="1"/>
  <c r="D63" i="16"/>
  <c r="H62" i="16"/>
  <c r="D62" i="16"/>
  <c r="H61" i="16"/>
  <c r="I61" i="16" s="1"/>
  <c r="D61" i="16"/>
  <c r="H60" i="16"/>
  <c r="D60" i="16"/>
  <c r="H59" i="16"/>
  <c r="I59" i="16" s="1"/>
  <c r="D59" i="16"/>
  <c r="H58" i="16"/>
  <c r="D58" i="16"/>
  <c r="H57" i="16"/>
  <c r="D57" i="16"/>
  <c r="H56" i="16"/>
  <c r="I56" i="16" s="1"/>
  <c r="D56" i="16"/>
  <c r="H55" i="16"/>
  <c r="D55" i="16"/>
  <c r="H54" i="16"/>
  <c r="D54" i="16"/>
  <c r="H53" i="16"/>
  <c r="D53" i="16"/>
  <c r="H52" i="16"/>
  <c r="I52" i="16" s="1"/>
  <c r="D52" i="16"/>
  <c r="H51" i="16"/>
  <c r="D51" i="16"/>
  <c r="H50" i="16"/>
  <c r="D50" i="16"/>
  <c r="I49" i="16"/>
  <c r="H49" i="16"/>
  <c r="D49" i="16"/>
  <c r="H48" i="16"/>
  <c r="D48" i="16"/>
  <c r="H47" i="16"/>
  <c r="D47" i="16"/>
  <c r="H46" i="16"/>
  <c r="D46" i="16"/>
  <c r="I46" i="16" s="1"/>
  <c r="H45" i="16"/>
  <c r="D45" i="16"/>
  <c r="H44" i="16"/>
  <c r="D44" i="16"/>
  <c r="H43" i="16"/>
  <c r="D43" i="16"/>
  <c r="H42" i="16"/>
  <c r="D42" i="16"/>
  <c r="H41" i="16"/>
  <c r="D41" i="16"/>
  <c r="I41" i="16" s="1"/>
  <c r="H40" i="16"/>
  <c r="D40" i="16"/>
  <c r="H39" i="16"/>
  <c r="D39" i="16"/>
  <c r="H38" i="16"/>
  <c r="D38" i="16"/>
  <c r="H37" i="16"/>
  <c r="D37" i="16"/>
  <c r="I37" i="16" s="1"/>
  <c r="H36" i="16"/>
  <c r="D36" i="16"/>
  <c r="H35" i="16"/>
  <c r="D35" i="16"/>
  <c r="H34" i="16"/>
  <c r="D34" i="16"/>
  <c r="H33" i="16"/>
  <c r="D33" i="16"/>
  <c r="H32" i="16"/>
  <c r="D32" i="16"/>
  <c r="H31" i="16"/>
  <c r="D31" i="16"/>
  <c r="H30" i="16"/>
  <c r="D30" i="16"/>
  <c r="I30" i="16" s="1"/>
  <c r="H29" i="16"/>
  <c r="D29" i="16"/>
  <c r="H28" i="16"/>
  <c r="D28" i="16"/>
  <c r="H27" i="16"/>
  <c r="D27" i="16"/>
  <c r="H26" i="16"/>
  <c r="D26" i="16"/>
  <c r="I26" i="16" s="1"/>
  <c r="H25" i="16"/>
  <c r="D25" i="16"/>
  <c r="H24" i="16"/>
  <c r="D24" i="16"/>
  <c r="H23" i="16"/>
  <c r="D23" i="16"/>
  <c r="H22" i="16"/>
  <c r="D22" i="16"/>
  <c r="I22" i="16" s="1"/>
  <c r="H21" i="16"/>
  <c r="D21" i="16"/>
  <c r="H20" i="16"/>
  <c r="D20" i="16"/>
  <c r="H19" i="16"/>
  <c r="D19" i="16"/>
  <c r="H18" i="16"/>
  <c r="D18" i="16"/>
  <c r="H17" i="16"/>
  <c r="I17" i="16" s="1"/>
  <c r="D17" i="16"/>
  <c r="H16" i="16"/>
  <c r="D16" i="16"/>
  <c r="H15" i="16"/>
  <c r="D15" i="16"/>
  <c r="H14" i="16"/>
  <c r="D14" i="16"/>
  <c r="H13" i="16"/>
  <c r="D13" i="16"/>
  <c r="H12" i="16"/>
  <c r="D12" i="16"/>
  <c r="H11" i="16"/>
  <c r="D11" i="16"/>
  <c r="H10" i="16"/>
  <c r="D10" i="16"/>
  <c r="H9" i="16"/>
  <c r="D9" i="16"/>
  <c r="H8" i="16"/>
  <c r="D8" i="16"/>
  <c r="G83" i="17"/>
  <c r="F83" i="17"/>
  <c r="E83" i="17"/>
  <c r="C83" i="17"/>
  <c r="B83" i="17"/>
  <c r="H82" i="17"/>
  <c r="D82" i="17"/>
  <c r="H81" i="17"/>
  <c r="D81" i="17"/>
  <c r="H80" i="17"/>
  <c r="D80" i="17"/>
  <c r="H79" i="17"/>
  <c r="D79" i="17"/>
  <c r="H78" i="17"/>
  <c r="D78" i="17"/>
  <c r="H77" i="17"/>
  <c r="D77" i="17"/>
  <c r="H76" i="17"/>
  <c r="D76" i="17"/>
  <c r="H75" i="17"/>
  <c r="D75" i="17"/>
  <c r="H74" i="17"/>
  <c r="D74" i="17"/>
  <c r="H73" i="17"/>
  <c r="D73" i="17"/>
  <c r="H72" i="17"/>
  <c r="D72" i="17"/>
  <c r="H71" i="17"/>
  <c r="D71" i="17"/>
  <c r="H70" i="17"/>
  <c r="D70" i="17"/>
  <c r="H69" i="17"/>
  <c r="D69" i="17"/>
  <c r="H68" i="17"/>
  <c r="D68" i="17"/>
  <c r="H67" i="17"/>
  <c r="D67" i="17"/>
  <c r="H66" i="17"/>
  <c r="D66" i="17"/>
  <c r="H65" i="17"/>
  <c r="D65" i="17"/>
  <c r="H64" i="17"/>
  <c r="D64" i="17"/>
  <c r="H63" i="17"/>
  <c r="D63" i="17"/>
  <c r="H62" i="17"/>
  <c r="D62" i="17"/>
  <c r="H61" i="17"/>
  <c r="D61" i="17"/>
  <c r="H60" i="17"/>
  <c r="D60" i="17"/>
  <c r="H59" i="17"/>
  <c r="D59" i="17"/>
  <c r="H58" i="17"/>
  <c r="D58" i="17"/>
  <c r="H57" i="17"/>
  <c r="D57" i="17"/>
  <c r="H56" i="17"/>
  <c r="D56" i="17"/>
  <c r="H55" i="17"/>
  <c r="D55" i="17"/>
  <c r="H54" i="17"/>
  <c r="I54" i="17" s="1"/>
  <c r="D54" i="17"/>
  <c r="H53" i="17"/>
  <c r="D53" i="17"/>
  <c r="H52" i="17"/>
  <c r="D52" i="17"/>
  <c r="H51" i="17"/>
  <c r="D51" i="17"/>
  <c r="H50" i="17"/>
  <c r="D50" i="17"/>
  <c r="H49" i="17"/>
  <c r="D49" i="17"/>
  <c r="H48" i="17"/>
  <c r="D48" i="17"/>
  <c r="H47" i="17"/>
  <c r="D47" i="17"/>
  <c r="H46" i="17"/>
  <c r="D46" i="17"/>
  <c r="H45" i="17"/>
  <c r="D45" i="17"/>
  <c r="H44" i="17"/>
  <c r="D44" i="17"/>
  <c r="H43" i="17"/>
  <c r="D43" i="17"/>
  <c r="H42" i="17"/>
  <c r="D42" i="17"/>
  <c r="H41" i="17"/>
  <c r="D41" i="17"/>
  <c r="H40" i="17"/>
  <c r="D40" i="17"/>
  <c r="H39" i="17"/>
  <c r="D39" i="17"/>
  <c r="H38" i="17"/>
  <c r="I38" i="17" s="1"/>
  <c r="D38" i="17"/>
  <c r="H37" i="17"/>
  <c r="D37" i="17"/>
  <c r="H36" i="17"/>
  <c r="D36" i="17"/>
  <c r="H35" i="17"/>
  <c r="D35" i="17"/>
  <c r="H34" i="17"/>
  <c r="D34" i="17"/>
  <c r="H33" i="17"/>
  <c r="D33" i="17"/>
  <c r="H32" i="17"/>
  <c r="D32" i="17"/>
  <c r="H31" i="17"/>
  <c r="D31" i="17"/>
  <c r="H30" i="17"/>
  <c r="D30" i="17"/>
  <c r="H29" i="17"/>
  <c r="D29" i="17"/>
  <c r="H28" i="17"/>
  <c r="D28" i="17"/>
  <c r="H27" i="17"/>
  <c r="D27" i="17"/>
  <c r="H26" i="17"/>
  <c r="I26" i="17" s="1"/>
  <c r="D26" i="17"/>
  <c r="H25" i="17"/>
  <c r="D25" i="17"/>
  <c r="H24" i="17"/>
  <c r="D24" i="17"/>
  <c r="H23" i="17"/>
  <c r="D23" i="17"/>
  <c r="I22" i="17"/>
  <c r="H22" i="17"/>
  <c r="D22" i="17"/>
  <c r="H21" i="17"/>
  <c r="D21" i="17"/>
  <c r="H20" i="17"/>
  <c r="D20" i="17"/>
  <c r="H19" i="17"/>
  <c r="D19" i="17"/>
  <c r="H18" i="17"/>
  <c r="D18" i="17"/>
  <c r="H17" i="17"/>
  <c r="D17" i="17"/>
  <c r="H16" i="17"/>
  <c r="D16" i="17"/>
  <c r="H15" i="17"/>
  <c r="D15" i="17"/>
  <c r="H14" i="17"/>
  <c r="D14" i="17"/>
  <c r="H13" i="17"/>
  <c r="D13" i="17"/>
  <c r="H12" i="17"/>
  <c r="D12" i="17"/>
  <c r="H11" i="17"/>
  <c r="D11" i="17"/>
  <c r="H10" i="17"/>
  <c r="D10" i="17"/>
  <c r="H9" i="17"/>
  <c r="D9" i="17"/>
  <c r="H8" i="17"/>
  <c r="D8" i="17"/>
  <c r="G81" i="10"/>
  <c r="F81" i="10"/>
  <c r="E81" i="10"/>
  <c r="C81" i="10"/>
  <c r="B81" i="10"/>
  <c r="H80" i="10"/>
  <c r="D80" i="10"/>
  <c r="H79" i="10"/>
  <c r="D79" i="10"/>
  <c r="H78" i="10"/>
  <c r="D78" i="10"/>
  <c r="H77" i="10"/>
  <c r="D77" i="10"/>
  <c r="H76" i="10"/>
  <c r="D76" i="10"/>
  <c r="H75" i="10"/>
  <c r="D75" i="10"/>
  <c r="H74" i="10"/>
  <c r="D74" i="10"/>
  <c r="H73" i="10"/>
  <c r="D73" i="10"/>
  <c r="H72" i="10"/>
  <c r="D72" i="10"/>
  <c r="I72" i="10" s="1"/>
  <c r="H71" i="10"/>
  <c r="D71" i="10"/>
  <c r="H70" i="10"/>
  <c r="D70" i="10"/>
  <c r="H69" i="10"/>
  <c r="D69" i="10"/>
  <c r="H68" i="10"/>
  <c r="D68" i="10"/>
  <c r="H67" i="10"/>
  <c r="D67" i="10"/>
  <c r="H66" i="10"/>
  <c r="D66" i="10"/>
  <c r="H65" i="10"/>
  <c r="D65" i="10"/>
  <c r="H64" i="10"/>
  <c r="D64" i="10"/>
  <c r="H63" i="10"/>
  <c r="D63" i="10"/>
  <c r="H62" i="10"/>
  <c r="D62" i="10"/>
  <c r="H61" i="10"/>
  <c r="D61" i="10"/>
  <c r="H60" i="10"/>
  <c r="D60" i="10"/>
  <c r="H59" i="10"/>
  <c r="D59" i="10"/>
  <c r="H58" i="10"/>
  <c r="D58" i="10"/>
  <c r="H57" i="10"/>
  <c r="D57" i="10"/>
  <c r="H56" i="10"/>
  <c r="D56" i="10"/>
  <c r="I56" i="10" s="1"/>
  <c r="H55" i="10"/>
  <c r="D55" i="10"/>
  <c r="H54" i="10"/>
  <c r="D54" i="10"/>
  <c r="H53" i="10"/>
  <c r="D53" i="10"/>
  <c r="H52" i="10"/>
  <c r="D52" i="10"/>
  <c r="H51" i="10"/>
  <c r="D51" i="10"/>
  <c r="H50" i="10"/>
  <c r="D50" i="10"/>
  <c r="H49" i="10"/>
  <c r="D49" i="10"/>
  <c r="H48" i="10"/>
  <c r="D48" i="10"/>
  <c r="H47" i="10"/>
  <c r="D47" i="10"/>
  <c r="H46" i="10"/>
  <c r="D46" i="10"/>
  <c r="H45" i="10"/>
  <c r="D45" i="10"/>
  <c r="H44" i="10"/>
  <c r="D44" i="10"/>
  <c r="H43" i="10"/>
  <c r="D43" i="10"/>
  <c r="H42" i="10"/>
  <c r="D42" i="10"/>
  <c r="H41" i="10"/>
  <c r="D41" i="10"/>
  <c r="H40" i="10"/>
  <c r="D40" i="10"/>
  <c r="I40" i="10" s="1"/>
  <c r="H39" i="10"/>
  <c r="D39" i="10"/>
  <c r="H38" i="10"/>
  <c r="D38" i="10"/>
  <c r="H37" i="10"/>
  <c r="D37" i="10"/>
  <c r="H36" i="10"/>
  <c r="D36" i="10"/>
  <c r="H35" i="10"/>
  <c r="D35" i="10"/>
  <c r="H34" i="10"/>
  <c r="D34" i="10"/>
  <c r="H33" i="10"/>
  <c r="D33" i="10"/>
  <c r="H32" i="10"/>
  <c r="D32" i="10"/>
  <c r="H31" i="10"/>
  <c r="D31" i="10"/>
  <c r="H30" i="10"/>
  <c r="D30" i="10"/>
  <c r="H29" i="10"/>
  <c r="D29" i="10"/>
  <c r="H28" i="10"/>
  <c r="D28" i="10"/>
  <c r="H27" i="10"/>
  <c r="D27" i="10"/>
  <c r="H26" i="10"/>
  <c r="D26" i="10"/>
  <c r="H25" i="10"/>
  <c r="D25" i="10"/>
  <c r="H24" i="10"/>
  <c r="D24" i="10"/>
  <c r="H23" i="10"/>
  <c r="D23" i="10"/>
  <c r="H22" i="10"/>
  <c r="D22" i="10"/>
  <c r="H21" i="10"/>
  <c r="D21" i="10"/>
  <c r="H20" i="10"/>
  <c r="D20" i="10"/>
  <c r="H19" i="10"/>
  <c r="D19" i="10"/>
  <c r="H18" i="10"/>
  <c r="D18" i="10"/>
  <c r="H17" i="10"/>
  <c r="D17" i="10"/>
  <c r="H16" i="10"/>
  <c r="D16" i="10"/>
  <c r="H15" i="10"/>
  <c r="D15" i="10"/>
  <c r="H14" i="10"/>
  <c r="D14" i="10"/>
  <c r="H13" i="10"/>
  <c r="D13" i="10"/>
  <c r="H12" i="10"/>
  <c r="D12" i="10"/>
  <c r="H11" i="10"/>
  <c r="D11" i="10"/>
  <c r="H10" i="10"/>
  <c r="D10" i="10"/>
  <c r="H9" i="10"/>
  <c r="D9" i="10"/>
  <c r="H8" i="10"/>
  <c r="D8" i="10"/>
  <c r="G80" i="12"/>
  <c r="F80" i="12"/>
  <c r="E80" i="12"/>
  <c r="C80" i="12"/>
  <c r="B80" i="12"/>
  <c r="H79" i="12"/>
  <c r="D79" i="12"/>
  <c r="H78" i="12"/>
  <c r="D78" i="12"/>
  <c r="H77" i="12"/>
  <c r="D77" i="12"/>
  <c r="H76" i="12"/>
  <c r="D76" i="12"/>
  <c r="H75" i="12"/>
  <c r="D75" i="12"/>
  <c r="H74" i="12"/>
  <c r="D74" i="12"/>
  <c r="H73" i="12"/>
  <c r="D73" i="12"/>
  <c r="H72" i="12"/>
  <c r="D72" i="12"/>
  <c r="H71" i="12"/>
  <c r="D71" i="12"/>
  <c r="H70" i="12"/>
  <c r="D70" i="12"/>
  <c r="H69" i="12"/>
  <c r="D69" i="12"/>
  <c r="H68" i="12"/>
  <c r="D68" i="12"/>
  <c r="H67" i="12"/>
  <c r="D67" i="12"/>
  <c r="H66" i="12"/>
  <c r="D66" i="12"/>
  <c r="H65" i="12"/>
  <c r="D65" i="12"/>
  <c r="H64" i="12"/>
  <c r="D64" i="12"/>
  <c r="H63" i="12"/>
  <c r="D63" i="12"/>
  <c r="H62" i="12"/>
  <c r="D62" i="12"/>
  <c r="H61" i="12"/>
  <c r="I61" i="12" s="1"/>
  <c r="D61" i="12"/>
  <c r="H60" i="12"/>
  <c r="I60" i="12" s="1"/>
  <c r="D60" i="12"/>
  <c r="H59" i="12"/>
  <c r="I59" i="12" s="1"/>
  <c r="D59" i="12"/>
  <c r="H58" i="12"/>
  <c r="I58" i="12" s="1"/>
  <c r="D58" i="12"/>
  <c r="H57" i="12"/>
  <c r="D57" i="12"/>
  <c r="H56" i="12"/>
  <c r="D56" i="12"/>
  <c r="H55" i="12"/>
  <c r="D55" i="12"/>
  <c r="H54" i="12"/>
  <c r="D54" i="12"/>
  <c r="H53" i="12"/>
  <c r="D53" i="12"/>
  <c r="H52" i="12"/>
  <c r="I52" i="12" s="1"/>
  <c r="D52" i="12"/>
  <c r="H51" i="12"/>
  <c r="I51" i="12" s="1"/>
  <c r="D51" i="12"/>
  <c r="H50" i="12"/>
  <c r="I50" i="12" s="1"/>
  <c r="D50" i="12"/>
  <c r="H49" i="12"/>
  <c r="D49" i="12"/>
  <c r="H48" i="12"/>
  <c r="D48" i="12"/>
  <c r="H47" i="12"/>
  <c r="D47" i="12"/>
  <c r="H46" i="12"/>
  <c r="D46" i="12"/>
  <c r="H45" i="12"/>
  <c r="D45" i="12"/>
  <c r="H44" i="12"/>
  <c r="D44" i="12"/>
  <c r="H43" i="12"/>
  <c r="D43" i="12"/>
  <c r="H42" i="12"/>
  <c r="D42" i="12"/>
  <c r="H41" i="12"/>
  <c r="D41" i="12"/>
  <c r="H40" i="12"/>
  <c r="D40" i="12"/>
  <c r="H39" i="12"/>
  <c r="D39" i="12"/>
  <c r="H38" i="12"/>
  <c r="D38" i="12"/>
  <c r="H37" i="12"/>
  <c r="D37" i="12"/>
  <c r="H36" i="12"/>
  <c r="D36" i="12"/>
  <c r="H35" i="12"/>
  <c r="D35" i="12"/>
  <c r="H34" i="12"/>
  <c r="D34" i="12"/>
  <c r="H33" i="12"/>
  <c r="D33" i="12"/>
  <c r="H32" i="12"/>
  <c r="D32" i="12"/>
  <c r="H31" i="12"/>
  <c r="D31" i="12"/>
  <c r="H30" i="12"/>
  <c r="D30" i="12"/>
  <c r="H29" i="12"/>
  <c r="I29" i="12" s="1"/>
  <c r="D29" i="12"/>
  <c r="H28" i="12"/>
  <c r="I28" i="12" s="1"/>
  <c r="D28" i="12"/>
  <c r="H27" i="12"/>
  <c r="I27" i="12" s="1"/>
  <c r="D27" i="12"/>
  <c r="H26" i="12"/>
  <c r="I26" i="12" s="1"/>
  <c r="D26" i="12"/>
  <c r="H25" i="12"/>
  <c r="D25" i="12"/>
  <c r="H24" i="12"/>
  <c r="D24" i="12"/>
  <c r="H23" i="12"/>
  <c r="D23" i="12"/>
  <c r="H22" i="12"/>
  <c r="D22" i="12"/>
  <c r="H21" i="12"/>
  <c r="D21" i="12"/>
  <c r="H20" i="12"/>
  <c r="I20" i="12" s="1"/>
  <c r="D20" i="12"/>
  <c r="H19" i="12"/>
  <c r="I19" i="12" s="1"/>
  <c r="D19" i="12"/>
  <c r="H18" i="12"/>
  <c r="I18" i="12" s="1"/>
  <c r="D18" i="12"/>
  <c r="H17" i="12"/>
  <c r="D17" i="12"/>
  <c r="H16" i="12"/>
  <c r="D16" i="12"/>
  <c r="H15" i="12"/>
  <c r="D15" i="12"/>
  <c r="H14" i="12"/>
  <c r="D14" i="12"/>
  <c r="H13" i="12"/>
  <c r="D13" i="12"/>
  <c r="H12" i="12"/>
  <c r="D12" i="12"/>
  <c r="H11" i="12"/>
  <c r="D11" i="12"/>
  <c r="H10" i="12"/>
  <c r="D10" i="12"/>
  <c r="H9" i="12"/>
  <c r="D9" i="12"/>
  <c r="H8" i="12"/>
  <c r="D8" i="12"/>
  <c r="G99" i="18"/>
  <c r="F99" i="18"/>
  <c r="E99" i="18"/>
  <c r="C99" i="18"/>
  <c r="B99" i="18"/>
  <c r="H98" i="18"/>
  <c r="I98" i="18" s="1"/>
  <c r="D98" i="18"/>
  <c r="H97" i="18"/>
  <c r="I97" i="18" s="1"/>
  <c r="D97" i="18"/>
  <c r="H96" i="18"/>
  <c r="I96" i="18" s="1"/>
  <c r="D96" i="18"/>
  <c r="H95" i="18"/>
  <c r="D95" i="18"/>
  <c r="I94" i="18"/>
  <c r="H94" i="18"/>
  <c r="D94" i="18"/>
  <c r="H93" i="18"/>
  <c r="D93" i="18"/>
  <c r="H92" i="18"/>
  <c r="D92" i="18"/>
  <c r="H91" i="18"/>
  <c r="D91" i="18"/>
  <c r="H90" i="18"/>
  <c r="D90" i="18"/>
  <c r="H89" i="18"/>
  <c r="D89" i="18"/>
  <c r="H88" i="18"/>
  <c r="D88" i="18"/>
  <c r="H87" i="18"/>
  <c r="D87" i="18"/>
  <c r="I87" i="18" s="1"/>
  <c r="H86" i="18"/>
  <c r="D86" i="18"/>
  <c r="H85" i="18"/>
  <c r="D85" i="18"/>
  <c r="H84" i="18"/>
  <c r="D84" i="18"/>
  <c r="H83" i="18"/>
  <c r="D83" i="18"/>
  <c r="I83" i="18" s="1"/>
  <c r="H82" i="18"/>
  <c r="D82" i="18"/>
  <c r="H81" i="18"/>
  <c r="D81" i="18"/>
  <c r="H80" i="18"/>
  <c r="D80" i="18"/>
  <c r="H79" i="18"/>
  <c r="D79" i="18"/>
  <c r="I79" i="18" s="1"/>
  <c r="H78" i="18"/>
  <c r="D78" i="18"/>
  <c r="H77" i="18"/>
  <c r="D77" i="18"/>
  <c r="H76" i="18"/>
  <c r="D76" i="18"/>
  <c r="H75" i="18"/>
  <c r="D75" i="18"/>
  <c r="I75" i="18" s="1"/>
  <c r="H74" i="18"/>
  <c r="I74" i="18" s="1"/>
  <c r="D74" i="18"/>
  <c r="H73" i="18"/>
  <c r="D73" i="18"/>
  <c r="H72" i="18"/>
  <c r="D72" i="18"/>
  <c r="H71" i="18"/>
  <c r="D71" i="18"/>
  <c r="H70" i="18"/>
  <c r="D70" i="18"/>
  <c r="H69" i="18"/>
  <c r="I69" i="18" s="1"/>
  <c r="D69" i="18"/>
  <c r="H68" i="18"/>
  <c r="I68" i="18" s="1"/>
  <c r="D68" i="18"/>
  <c r="H67" i="18"/>
  <c r="D67" i="18"/>
  <c r="H66" i="18"/>
  <c r="D66" i="18"/>
  <c r="H65" i="18"/>
  <c r="D65" i="18"/>
  <c r="H64" i="18"/>
  <c r="D64" i="18"/>
  <c r="H63" i="18"/>
  <c r="D63" i="18"/>
  <c r="H62" i="18"/>
  <c r="D62" i="18"/>
  <c r="H61" i="18"/>
  <c r="I61" i="18" s="1"/>
  <c r="D61" i="18"/>
  <c r="H60" i="18"/>
  <c r="I60" i="18" s="1"/>
  <c r="D60" i="18"/>
  <c r="H59" i="18"/>
  <c r="D59" i="18"/>
  <c r="H58" i="18"/>
  <c r="I58" i="18" s="1"/>
  <c r="D58" i="18"/>
  <c r="H57" i="18"/>
  <c r="D57" i="18"/>
  <c r="H56" i="18"/>
  <c r="D56" i="18"/>
  <c r="H55" i="18"/>
  <c r="D55" i="18"/>
  <c r="H54" i="18"/>
  <c r="I54" i="18" s="1"/>
  <c r="D54" i="18"/>
  <c r="H53" i="18"/>
  <c r="I53" i="18" s="1"/>
  <c r="D53" i="18"/>
  <c r="H52" i="18"/>
  <c r="I52" i="18" s="1"/>
  <c r="D52" i="18"/>
  <c r="H51" i="18"/>
  <c r="D51" i="18"/>
  <c r="H50" i="18"/>
  <c r="D50" i="18"/>
  <c r="H49" i="18"/>
  <c r="D49" i="18"/>
  <c r="H48" i="18"/>
  <c r="D48" i="18"/>
  <c r="H47" i="18"/>
  <c r="D47" i="18"/>
  <c r="H46" i="18"/>
  <c r="D46" i="18"/>
  <c r="H45" i="18"/>
  <c r="I45" i="18" s="1"/>
  <c r="D45" i="18"/>
  <c r="H44" i="18"/>
  <c r="I44" i="18" s="1"/>
  <c r="D44" i="18"/>
  <c r="H43" i="18"/>
  <c r="D43" i="18"/>
  <c r="H42" i="18"/>
  <c r="D42" i="18"/>
  <c r="I42" i="18" s="1"/>
  <c r="H41" i="18"/>
  <c r="D41" i="18"/>
  <c r="H40" i="18"/>
  <c r="D40" i="18"/>
  <c r="H39" i="18"/>
  <c r="D39" i="18"/>
  <c r="I39" i="18" s="1"/>
  <c r="H38" i="18"/>
  <c r="D38" i="18"/>
  <c r="H37" i="18"/>
  <c r="D37" i="18"/>
  <c r="H36" i="18"/>
  <c r="D36" i="18"/>
  <c r="H35" i="18"/>
  <c r="D35" i="18"/>
  <c r="H34" i="18"/>
  <c r="D34" i="18"/>
  <c r="I34" i="18" s="1"/>
  <c r="H33" i="18"/>
  <c r="D33" i="18"/>
  <c r="H32" i="18"/>
  <c r="D32" i="18"/>
  <c r="H31" i="18"/>
  <c r="D31" i="18"/>
  <c r="H30" i="18"/>
  <c r="D30" i="18"/>
  <c r="I30" i="18" s="1"/>
  <c r="H29" i="18"/>
  <c r="D29" i="18"/>
  <c r="H28" i="18"/>
  <c r="D28" i="18"/>
  <c r="H27" i="18"/>
  <c r="D27" i="18"/>
  <c r="H26" i="18"/>
  <c r="D26" i="18"/>
  <c r="H25" i="18"/>
  <c r="D25" i="18"/>
  <c r="H24" i="18"/>
  <c r="D24" i="18"/>
  <c r="H23" i="18"/>
  <c r="D23" i="18"/>
  <c r="I23" i="18" s="1"/>
  <c r="H22" i="18"/>
  <c r="D22" i="18"/>
  <c r="H21" i="18"/>
  <c r="D21" i="18"/>
  <c r="H20" i="18"/>
  <c r="D20" i="18"/>
  <c r="H19" i="18"/>
  <c r="D19" i="18"/>
  <c r="I19" i="18" s="1"/>
  <c r="H18" i="18"/>
  <c r="D18" i="18"/>
  <c r="H17" i="18"/>
  <c r="D17" i="18"/>
  <c r="H16" i="18"/>
  <c r="D16" i="18"/>
  <c r="H15" i="18"/>
  <c r="D15" i="18"/>
  <c r="I15" i="18" s="1"/>
  <c r="H14" i="18"/>
  <c r="D14" i="18"/>
  <c r="H13" i="18"/>
  <c r="D13" i="18"/>
  <c r="H12" i="18"/>
  <c r="D12" i="18"/>
  <c r="H11" i="18"/>
  <c r="D11" i="18"/>
  <c r="I11" i="18" s="1"/>
  <c r="H10" i="18"/>
  <c r="I10" i="18" s="1"/>
  <c r="D10" i="18"/>
  <c r="H9" i="18"/>
  <c r="D9" i="18"/>
  <c r="H8" i="18"/>
  <c r="D8" i="18"/>
  <c r="D9" i="13"/>
  <c r="H9" i="13"/>
  <c r="D10" i="13"/>
  <c r="H10" i="13"/>
  <c r="D11" i="13"/>
  <c r="H11" i="13"/>
  <c r="D12" i="13"/>
  <c r="H12" i="13"/>
  <c r="I12" i="13" s="1"/>
  <c r="D13" i="13"/>
  <c r="H13" i="13"/>
  <c r="D14" i="13"/>
  <c r="H14" i="13"/>
  <c r="D15" i="13"/>
  <c r="H15" i="13"/>
  <c r="D16" i="13"/>
  <c r="H16" i="13"/>
  <c r="D17" i="13"/>
  <c r="H17" i="13"/>
  <c r="D18" i="13"/>
  <c r="H18" i="13"/>
  <c r="D19" i="13"/>
  <c r="H19" i="13"/>
  <c r="D20" i="13"/>
  <c r="H20" i="13"/>
  <c r="I20" i="13" s="1"/>
  <c r="D21" i="13"/>
  <c r="H21" i="13"/>
  <c r="D22" i="13"/>
  <c r="H22" i="13"/>
  <c r="D23" i="13"/>
  <c r="H23" i="13"/>
  <c r="D24" i="13"/>
  <c r="H24" i="13"/>
  <c r="D25" i="13"/>
  <c r="H25" i="13"/>
  <c r="I25" i="13" s="1"/>
  <c r="D26" i="13"/>
  <c r="H26" i="13"/>
  <c r="D27" i="13"/>
  <c r="H27" i="13"/>
  <c r="I27" i="13" s="1"/>
  <c r="D28" i="13"/>
  <c r="H28" i="13"/>
  <c r="I28" i="13" s="1"/>
  <c r="D29" i="13"/>
  <c r="H29" i="13"/>
  <c r="D30" i="13"/>
  <c r="H30" i="13"/>
  <c r="D31" i="13"/>
  <c r="H31" i="13"/>
  <c r="D32" i="13"/>
  <c r="H32" i="13"/>
  <c r="D33" i="13"/>
  <c r="H33" i="13"/>
  <c r="D34" i="13"/>
  <c r="H34" i="13"/>
  <c r="D35" i="13"/>
  <c r="H35" i="13"/>
  <c r="D36" i="13"/>
  <c r="H36" i="13"/>
  <c r="I36" i="13" s="1"/>
  <c r="D37" i="13"/>
  <c r="H37" i="13"/>
  <c r="D38" i="13"/>
  <c r="H38" i="13"/>
  <c r="D39" i="13"/>
  <c r="H39" i="13"/>
  <c r="D40" i="13"/>
  <c r="H40" i="13"/>
  <c r="D41" i="13"/>
  <c r="H41" i="13"/>
  <c r="D42" i="13"/>
  <c r="H42" i="13"/>
  <c r="D43" i="13"/>
  <c r="H43" i="13"/>
  <c r="D44" i="13"/>
  <c r="H44" i="13"/>
  <c r="D45" i="13"/>
  <c r="H45" i="13"/>
  <c r="D46" i="13"/>
  <c r="H46" i="13"/>
  <c r="D47" i="13"/>
  <c r="H47" i="13"/>
  <c r="D48" i="13"/>
  <c r="H48" i="13"/>
  <c r="D49" i="13"/>
  <c r="H49" i="13"/>
  <c r="D50" i="13"/>
  <c r="H50" i="13"/>
  <c r="D51" i="13"/>
  <c r="H51" i="13"/>
  <c r="D52" i="13"/>
  <c r="H52" i="13"/>
  <c r="D53" i="13"/>
  <c r="H53" i="13"/>
  <c r="D54" i="13"/>
  <c r="H54" i="13"/>
  <c r="D55" i="13"/>
  <c r="H55" i="13"/>
  <c r="D56" i="13"/>
  <c r="H56" i="13"/>
  <c r="D57" i="13"/>
  <c r="H57" i="13"/>
  <c r="D58" i="13"/>
  <c r="H58" i="13"/>
  <c r="D59" i="13"/>
  <c r="H59" i="13"/>
  <c r="D60" i="13"/>
  <c r="H60" i="13"/>
  <c r="D61" i="13"/>
  <c r="H61" i="13"/>
  <c r="D62" i="13"/>
  <c r="H62" i="13"/>
  <c r="D63" i="13"/>
  <c r="H63" i="13"/>
  <c r="D64" i="13"/>
  <c r="H64" i="13"/>
  <c r="D65" i="13"/>
  <c r="H65" i="13"/>
  <c r="D66" i="13"/>
  <c r="H66" i="13"/>
  <c r="D67" i="13"/>
  <c r="H67" i="13"/>
  <c r="D68" i="13"/>
  <c r="H68" i="13"/>
  <c r="I68" i="13" s="1"/>
  <c r="D69" i="13"/>
  <c r="H69" i="13"/>
  <c r="D70" i="13"/>
  <c r="H70" i="13"/>
  <c r="I70" i="13" s="1"/>
  <c r="D71" i="13"/>
  <c r="H71" i="13"/>
  <c r="D72" i="13"/>
  <c r="H72" i="13"/>
  <c r="D73" i="13"/>
  <c r="H73" i="13"/>
  <c r="D74" i="13"/>
  <c r="H74" i="13"/>
  <c r="D75" i="13"/>
  <c r="H75" i="13"/>
  <c r="D76" i="13"/>
  <c r="H76" i="13"/>
  <c r="I76" i="13" s="1"/>
  <c r="D77" i="13"/>
  <c r="H77" i="13"/>
  <c r="D78" i="13"/>
  <c r="H78" i="13"/>
  <c r="D79" i="13"/>
  <c r="H79" i="13"/>
  <c r="D80" i="13"/>
  <c r="H80" i="13"/>
  <c r="D81" i="13"/>
  <c r="H81" i="13"/>
  <c r="I81" i="13" s="1"/>
  <c r="D82" i="13"/>
  <c r="H82" i="13"/>
  <c r="D83" i="13"/>
  <c r="H83" i="13"/>
  <c r="I83" i="13" s="1"/>
  <c r="D84" i="13"/>
  <c r="H84" i="13"/>
  <c r="I84" i="13" s="1"/>
  <c r="D85" i="13"/>
  <c r="H85" i="13"/>
  <c r="D86" i="13"/>
  <c r="H86" i="13"/>
  <c r="D87" i="13"/>
  <c r="H87" i="13"/>
  <c r="D88" i="13"/>
  <c r="H88" i="13"/>
  <c r="D89" i="13"/>
  <c r="H89" i="13"/>
  <c r="I89" i="13" s="1"/>
  <c r="D90" i="13"/>
  <c r="H90" i="13"/>
  <c r="D91" i="13"/>
  <c r="H91" i="13"/>
  <c r="I91" i="13" s="1"/>
  <c r="D91" i="15"/>
  <c r="D90" i="15"/>
  <c r="D89" i="15"/>
  <c r="D88" i="15"/>
  <c r="D87" i="15"/>
  <c r="D86" i="15"/>
  <c r="D85" i="15"/>
  <c r="D84" i="15"/>
  <c r="D83" i="15"/>
  <c r="D82" i="15"/>
  <c r="D81" i="15"/>
  <c r="D80" i="15"/>
  <c r="D79" i="15"/>
  <c r="D78" i="15"/>
  <c r="D77" i="15"/>
  <c r="D76" i="15"/>
  <c r="D75" i="15"/>
  <c r="D74" i="15"/>
  <c r="D73" i="15"/>
  <c r="D72" i="15"/>
  <c r="D71" i="15"/>
  <c r="D70" i="15"/>
  <c r="D69" i="15"/>
  <c r="D68" i="15"/>
  <c r="D67" i="15"/>
  <c r="D66" i="15"/>
  <c r="D65" i="15"/>
  <c r="D64" i="15"/>
  <c r="D63" i="15"/>
  <c r="D62" i="15"/>
  <c r="D61" i="15"/>
  <c r="D60" i="15"/>
  <c r="D59" i="15"/>
  <c r="I59" i="15" s="1"/>
  <c r="D58" i="15"/>
  <c r="H86" i="15"/>
  <c r="H87" i="15"/>
  <c r="I87" i="15" s="1"/>
  <c r="H88" i="15"/>
  <c r="H89" i="15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I26" i="11" s="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I54" i="11" s="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I82" i="11" s="1"/>
  <c r="H83" i="11"/>
  <c r="H84" i="11"/>
  <c r="H85" i="11"/>
  <c r="H86" i="11"/>
  <c r="H87" i="11"/>
  <c r="H88" i="11"/>
  <c r="H89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I69" i="11" s="1"/>
  <c r="D70" i="11"/>
  <c r="D71" i="11"/>
  <c r="D72" i="11"/>
  <c r="D73" i="11"/>
  <c r="D74" i="11"/>
  <c r="D75" i="11"/>
  <c r="I75" i="11" s="1"/>
  <c r="D76" i="11"/>
  <c r="D77" i="11"/>
  <c r="D78" i="11"/>
  <c r="D79" i="11"/>
  <c r="D80" i="11"/>
  <c r="D81" i="11"/>
  <c r="I81" i="11" s="1"/>
  <c r="D82" i="11"/>
  <c r="D83" i="11"/>
  <c r="D84" i="11"/>
  <c r="D85" i="11"/>
  <c r="D86" i="11"/>
  <c r="D87" i="11"/>
  <c r="D88" i="11"/>
  <c r="D90" i="11"/>
  <c r="H9" i="9"/>
  <c r="I9" i="9" s="1"/>
  <c r="H10" i="9"/>
  <c r="I10" i="9" s="1"/>
  <c r="H11" i="9"/>
  <c r="I11" i="9" s="1"/>
  <c r="H12" i="9"/>
  <c r="I12" i="9" s="1"/>
  <c r="H13" i="9"/>
  <c r="I13" i="9" s="1"/>
  <c r="H14" i="9"/>
  <c r="I14" i="9" s="1"/>
  <c r="H15" i="9"/>
  <c r="I15" i="9" s="1"/>
  <c r="H16" i="9"/>
  <c r="I16" i="9" s="1"/>
  <c r="H17" i="9"/>
  <c r="I17" i="9" s="1"/>
  <c r="H18" i="9"/>
  <c r="I18" i="9" s="1"/>
  <c r="H19" i="9"/>
  <c r="I19" i="9" s="1"/>
  <c r="H20" i="9"/>
  <c r="I20" i="9" s="1"/>
  <c r="H21" i="9"/>
  <c r="I21" i="9" s="1"/>
  <c r="H22" i="9"/>
  <c r="I22" i="9" s="1"/>
  <c r="H23" i="9"/>
  <c r="I23" i="9" s="1"/>
  <c r="H24" i="9"/>
  <c r="I24" i="9" s="1"/>
  <c r="H25" i="9"/>
  <c r="I25" i="9" s="1"/>
  <c r="H26" i="9"/>
  <c r="I26" i="9" s="1"/>
  <c r="H27" i="9"/>
  <c r="I27" i="9" s="1"/>
  <c r="H28" i="9"/>
  <c r="I28" i="9" s="1"/>
  <c r="H29" i="9"/>
  <c r="I29" i="9" s="1"/>
  <c r="H30" i="9"/>
  <c r="I30" i="9" s="1"/>
  <c r="H31" i="9"/>
  <c r="I31" i="9" s="1"/>
  <c r="H32" i="9"/>
  <c r="I32" i="9" s="1"/>
  <c r="H33" i="9"/>
  <c r="I33" i="9" s="1"/>
  <c r="H34" i="9"/>
  <c r="I34" i="9" s="1"/>
  <c r="H35" i="9"/>
  <c r="I35" i="9" s="1"/>
  <c r="H36" i="9"/>
  <c r="I36" i="9" s="1"/>
  <c r="H37" i="9"/>
  <c r="I37" i="9" s="1"/>
  <c r="H38" i="9"/>
  <c r="I38" i="9" s="1"/>
  <c r="H39" i="9"/>
  <c r="I39" i="9" s="1"/>
  <c r="H40" i="9"/>
  <c r="I40" i="9" s="1"/>
  <c r="H41" i="9"/>
  <c r="I41" i="9" s="1"/>
  <c r="H42" i="9"/>
  <c r="I42" i="9" s="1"/>
  <c r="H43" i="9"/>
  <c r="I43" i="9" s="1"/>
  <c r="H44" i="9"/>
  <c r="I44" i="9" s="1"/>
  <c r="H45" i="9"/>
  <c r="I45" i="9" s="1"/>
  <c r="H46" i="9"/>
  <c r="I46" i="9" s="1"/>
  <c r="H47" i="9"/>
  <c r="I47" i="9" s="1"/>
  <c r="H48" i="9"/>
  <c r="I48" i="9" s="1"/>
  <c r="H49" i="9"/>
  <c r="I49" i="9" s="1"/>
  <c r="H50" i="9"/>
  <c r="I50" i="9" s="1"/>
  <c r="H51" i="9"/>
  <c r="I51" i="9" s="1"/>
  <c r="H52" i="9"/>
  <c r="I52" i="9" s="1"/>
  <c r="H53" i="9"/>
  <c r="I53" i="9" s="1"/>
  <c r="H54" i="9"/>
  <c r="I54" i="9" s="1"/>
  <c r="H55" i="9"/>
  <c r="I55" i="9" s="1"/>
  <c r="H56" i="9"/>
  <c r="I56" i="9" s="1"/>
  <c r="H57" i="9"/>
  <c r="I57" i="9" s="1"/>
  <c r="H58" i="9"/>
  <c r="I58" i="9" s="1"/>
  <c r="H59" i="9"/>
  <c r="I59" i="9" s="1"/>
  <c r="H60" i="9"/>
  <c r="I60" i="9" s="1"/>
  <c r="H61" i="9"/>
  <c r="I61" i="9" s="1"/>
  <c r="H62" i="9"/>
  <c r="I62" i="9" s="1"/>
  <c r="H63" i="9"/>
  <c r="I63" i="9" s="1"/>
  <c r="H64" i="9"/>
  <c r="I64" i="9" s="1"/>
  <c r="H65" i="9"/>
  <c r="I65" i="9" s="1"/>
  <c r="H66" i="9"/>
  <c r="I66" i="9" s="1"/>
  <c r="H67" i="9"/>
  <c r="I67" i="9" s="1"/>
  <c r="H68" i="9"/>
  <c r="I68" i="9" s="1"/>
  <c r="H69" i="9"/>
  <c r="I69" i="9" s="1"/>
  <c r="H70" i="9"/>
  <c r="I70" i="9" s="1"/>
  <c r="H71" i="9"/>
  <c r="I71" i="9" s="1"/>
  <c r="H72" i="9"/>
  <c r="I72" i="9" s="1"/>
  <c r="H73" i="9"/>
  <c r="I73" i="9" s="1"/>
  <c r="H74" i="9"/>
  <c r="I74" i="9" s="1"/>
  <c r="H75" i="9"/>
  <c r="I75" i="9" s="1"/>
  <c r="H76" i="9"/>
  <c r="I76" i="9" s="1"/>
  <c r="H77" i="9"/>
  <c r="I77" i="9" s="1"/>
  <c r="H78" i="9"/>
  <c r="I78" i="9" s="1"/>
  <c r="H79" i="9"/>
  <c r="I79" i="9" s="1"/>
  <c r="H80" i="9"/>
  <c r="I80" i="9" s="1"/>
  <c r="H81" i="9"/>
  <c r="I81" i="9" s="1"/>
  <c r="H82" i="9"/>
  <c r="I82" i="9" s="1"/>
  <c r="H83" i="9"/>
  <c r="I83" i="9" s="1"/>
  <c r="H84" i="9"/>
  <c r="I84" i="9" s="1"/>
  <c r="H85" i="9"/>
  <c r="I85" i="9" s="1"/>
  <c r="H86" i="9"/>
  <c r="I86" i="9" s="1"/>
  <c r="H87" i="9"/>
  <c r="I87" i="9" s="1"/>
  <c r="H88" i="9"/>
  <c r="I88" i="9" s="1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B91" i="9"/>
  <c r="C91" i="9"/>
  <c r="E91" i="9"/>
  <c r="F91" i="9"/>
  <c r="G91" i="9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I13" i="8"/>
  <c r="I15" i="8"/>
  <c r="I21" i="8"/>
  <c r="I23" i="8"/>
  <c r="I29" i="8"/>
  <c r="I31" i="8"/>
  <c r="I37" i="8"/>
  <c r="I39" i="8"/>
  <c r="I45" i="8"/>
  <c r="I47" i="8"/>
  <c r="I53" i="8"/>
  <c r="I55" i="8"/>
  <c r="I61" i="8"/>
  <c r="I63" i="8"/>
  <c r="I69" i="8"/>
  <c r="I71" i="8"/>
  <c r="I77" i="8"/>
  <c r="I79" i="8"/>
  <c r="I85" i="8"/>
  <c r="I87" i="8"/>
  <c r="H87" i="8"/>
  <c r="H86" i="8"/>
  <c r="I86" i="8" s="1"/>
  <c r="H85" i="8"/>
  <c r="G92" i="13"/>
  <c r="F92" i="13"/>
  <c r="E92" i="13"/>
  <c r="C92" i="13"/>
  <c r="B92" i="13"/>
  <c r="H8" i="13"/>
  <c r="I8" i="13" s="1"/>
  <c r="D8" i="13"/>
  <c r="G92" i="15"/>
  <c r="F92" i="15"/>
  <c r="E92" i="15"/>
  <c r="C92" i="15"/>
  <c r="B92" i="15"/>
  <c r="H91" i="15"/>
  <c r="H90" i="15"/>
  <c r="H85" i="15"/>
  <c r="I85" i="15" s="1"/>
  <c r="H84" i="15"/>
  <c r="H83" i="15"/>
  <c r="H82" i="15"/>
  <c r="I82" i="15" s="1"/>
  <c r="H81" i="15"/>
  <c r="I81" i="15" s="1"/>
  <c r="H80" i="15"/>
  <c r="H79" i="15"/>
  <c r="H78" i="15"/>
  <c r="H77" i="15"/>
  <c r="I77" i="15" s="1"/>
  <c r="H76" i="15"/>
  <c r="H75" i="15"/>
  <c r="I75" i="15"/>
  <c r="H74" i="15"/>
  <c r="H73" i="15"/>
  <c r="H72" i="15"/>
  <c r="H71" i="15"/>
  <c r="I71" i="15" s="1"/>
  <c r="H70" i="15"/>
  <c r="H69" i="15"/>
  <c r="H68" i="15"/>
  <c r="H67" i="15"/>
  <c r="I67" i="15" s="1"/>
  <c r="H66" i="15"/>
  <c r="H65" i="15"/>
  <c r="H64" i="15"/>
  <c r="H63" i="15"/>
  <c r="H62" i="15"/>
  <c r="H61" i="15"/>
  <c r="H60" i="15"/>
  <c r="H59" i="15"/>
  <c r="H58" i="15"/>
  <c r="H57" i="15"/>
  <c r="D57" i="15"/>
  <c r="H56" i="15"/>
  <c r="D56" i="15"/>
  <c r="H55" i="15"/>
  <c r="D55" i="15"/>
  <c r="H54" i="15"/>
  <c r="D54" i="15"/>
  <c r="H53" i="15"/>
  <c r="D53" i="15"/>
  <c r="H52" i="15"/>
  <c r="D52" i="15"/>
  <c r="H51" i="15"/>
  <c r="D51" i="15"/>
  <c r="H50" i="15"/>
  <c r="D50" i="15"/>
  <c r="H49" i="15"/>
  <c r="D49" i="15"/>
  <c r="H48" i="15"/>
  <c r="D48" i="15"/>
  <c r="H47" i="15"/>
  <c r="D47" i="15"/>
  <c r="H46" i="15"/>
  <c r="D46" i="15"/>
  <c r="H45" i="15"/>
  <c r="D45" i="15"/>
  <c r="H44" i="15"/>
  <c r="D44" i="15"/>
  <c r="H43" i="15"/>
  <c r="D43" i="15"/>
  <c r="H42" i="15"/>
  <c r="D42" i="15"/>
  <c r="H41" i="15"/>
  <c r="D41" i="15"/>
  <c r="H40" i="15"/>
  <c r="D40" i="15"/>
  <c r="H39" i="15"/>
  <c r="D39" i="15"/>
  <c r="H38" i="15"/>
  <c r="D38" i="15"/>
  <c r="H37" i="15"/>
  <c r="D37" i="15"/>
  <c r="H36" i="15"/>
  <c r="D36" i="15"/>
  <c r="H35" i="15"/>
  <c r="D35" i="15"/>
  <c r="H34" i="15"/>
  <c r="D34" i="15"/>
  <c r="H33" i="15"/>
  <c r="D33" i="15"/>
  <c r="H32" i="15"/>
  <c r="D32" i="15"/>
  <c r="H31" i="15"/>
  <c r="D31" i="15"/>
  <c r="H30" i="15"/>
  <c r="D30" i="15"/>
  <c r="H29" i="15"/>
  <c r="D29" i="15"/>
  <c r="H28" i="15"/>
  <c r="D28" i="15"/>
  <c r="H27" i="15"/>
  <c r="D27" i="15"/>
  <c r="H26" i="15"/>
  <c r="D26" i="15"/>
  <c r="H25" i="15"/>
  <c r="D25" i="15"/>
  <c r="H24" i="15"/>
  <c r="D24" i="15"/>
  <c r="H23" i="15"/>
  <c r="D23" i="15"/>
  <c r="H22" i="15"/>
  <c r="D22" i="15"/>
  <c r="H21" i="15"/>
  <c r="D21" i="15"/>
  <c r="H20" i="15"/>
  <c r="D20" i="15"/>
  <c r="H19" i="15"/>
  <c r="D19" i="15"/>
  <c r="H18" i="15"/>
  <c r="D18" i="15"/>
  <c r="H17" i="15"/>
  <c r="D17" i="15"/>
  <c r="H16" i="15"/>
  <c r="D16" i="15"/>
  <c r="H15" i="15"/>
  <c r="D15" i="15"/>
  <c r="H14" i="15"/>
  <c r="D14" i="15"/>
  <c r="H13" i="15"/>
  <c r="D13" i="15"/>
  <c r="H12" i="15"/>
  <c r="D12" i="15"/>
  <c r="H11" i="15"/>
  <c r="I11" i="15" s="1"/>
  <c r="D11" i="15"/>
  <c r="H10" i="15"/>
  <c r="D10" i="15"/>
  <c r="H9" i="15"/>
  <c r="D9" i="15"/>
  <c r="H8" i="15"/>
  <c r="D8" i="15"/>
  <c r="G91" i="11"/>
  <c r="F91" i="11"/>
  <c r="E91" i="11"/>
  <c r="C91" i="11"/>
  <c r="B91" i="11"/>
  <c r="H90" i="11"/>
  <c r="D89" i="11"/>
  <c r="I89" i="11" s="1"/>
  <c r="I84" i="11"/>
  <c r="I71" i="11"/>
  <c r="I58" i="11"/>
  <c r="I43" i="11"/>
  <c r="I22" i="11"/>
  <c r="H8" i="11"/>
  <c r="D8" i="11"/>
  <c r="H90" i="9"/>
  <c r="D90" i="9"/>
  <c r="H89" i="9"/>
  <c r="D89" i="9"/>
  <c r="D88" i="9"/>
  <c r="H8" i="9"/>
  <c r="D8" i="9"/>
  <c r="H80" i="8"/>
  <c r="H81" i="8"/>
  <c r="I81" i="8" s="1"/>
  <c r="H82" i="8"/>
  <c r="I82" i="8" s="1"/>
  <c r="H83" i="8"/>
  <c r="I83" i="8" s="1"/>
  <c r="H84" i="8"/>
  <c r="H88" i="8"/>
  <c r="H89" i="8"/>
  <c r="G90" i="8"/>
  <c r="F90" i="8"/>
  <c r="E90" i="8"/>
  <c r="C90" i="8"/>
  <c r="B90" i="8"/>
  <c r="D89" i="8"/>
  <c r="H79" i="8"/>
  <c r="H78" i="8"/>
  <c r="I78" i="8" s="1"/>
  <c r="H77" i="8"/>
  <c r="H76" i="8"/>
  <c r="H75" i="8"/>
  <c r="I75" i="8" s="1"/>
  <c r="H74" i="8"/>
  <c r="I74" i="8" s="1"/>
  <c r="H73" i="8"/>
  <c r="I73" i="8" s="1"/>
  <c r="H72" i="8"/>
  <c r="H71" i="8"/>
  <c r="H70" i="8"/>
  <c r="I70" i="8" s="1"/>
  <c r="H69" i="8"/>
  <c r="H68" i="8"/>
  <c r="H67" i="8"/>
  <c r="I67" i="8" s="1"/>
  <c r="H66" i="8"/>
  <c r="I66" i="8" s="1"/>
  <c r="H65" i="8"/>
  <c r="I65" i="8" s="1"/>
  <c r="H64" i="8"/>
  <c r="H63" i="8"/>
  <c r="H62" i="8"/>
  <c r="I62" i="8" s="1"/>
  <c r="H61" i="8"/>
  <c r="H60" i="8"/>
  <c r="H59" i="8"/>
  <c r="I59" i="8" s="1"/>
  <c r="H58" i="8"/>
  <c r="I58" i="8" s="1"/>
  <c r="H57" i="8"/>
  <c r="I57" i="8" s="1"/>
  <c r="H56" i="8"/>
  <c r="H55" i="8"/>
  <c r="H54" i="8"/>
  <c r="I54" i="8" s="1"/>
  <c r="H53" i="8"/>
  <c r="H52" i="8"/>
  <c r="H51" i="8"/>
  <c r="I51" i="8" s="1"/>
  <c r="H50" i="8"/>
  <c r="I50" i="8" s="1"/>
  <c r="H49" i="8"/>
  <c r="I49" i="8" s="1"/>
  <c r="H48" i="8"/>
  <c r="H47" i="8"/>
  <c r="H46" i="8"/>
  <c r="I46" i="8" s="1"/>
  <c r="H45" i="8"/>
  <c r="H44" i="8"/>
  <c r="H43" i="8"/>
  <c r="I43" i="8" s="1"/>
  <c r="H42" i="8"/>
  <c r="I42" i="8" s="1"/>
  <c r="H41" i="8"/>
  <c r="I41" i="8" s="1"/>
  <c r="H40" i="8"/>
  <c r="H39" i="8"/>
  <c r="H38" i="8"/>
  <c r="I38" i="8" s="1"/>
  <c r="H37" i="8"/>
  <c r="H36" i="8"/>
  <c r="H35" i="8"/>
  <c r="I35" i="8" s="1"/>
  <c r="H34" i="8"/>
  <c r="I34" i="8" s="1"/>
  <c r="H33" i="8"/>
  <c r="I33" i="8" s="1"/>
  <c r="H32" i="8"/>
  <c r="H31" i="8"/>
  <c r="H30" i="8"/>
  <c r="I30" i="8" s="1"/>
  <c r="H29" i="8"/>
  <c r="H28" i="8"/>
  <c r="H27" i="8"/>
  <c r="I27" i="8" s="1"/>
  <c r="H26" i="8"/>
  <c r="I26" i="8" s="1"/>
  <c r="H25" i="8"/>
  <c r="I25" i="8" s="1"/>
  <c r="H24" i="8"/>
  <c r="H23" i="8"/>
  <c r="H22" i="8"/>
  <c r="I22" i="8" s="1"/>
  <c r="H21" i="8"/>
  <c r="H20" i="8"/>
  <c r="H19" i="8"/>
  <c r="I19" i="8" s="1"/>
  <c r="H18" i="8"/>
  <c r="I18" i="8" s="1"/>
  <c r="H17" i="8"/>
  <c r="I17" i="8" s="1"/>
  <c r="H16" i="8"/>
  <c r="H15" i="8"/>
  <c r="H14" i="8"/>
  <c r="I14" i="8" s="1"/>
  <c r="H13" i="8"/>
  <c r="H12" i="8"/>
  <c r="H11" i="8"/>
  <c r="I11" i="8" s="1"/>
  <c r="H10" i="8"/>
  <c r="I10" i="8" s="1"/>
  <c r="H9" i="8"/>
  <c r="I9" i="8" s="1"/>
  <c r="H8" i="8"/>
  <c r="I8" i="8" s="1"/>
  <c r="D8" i="8"/>
  <c r="I81" i="7"/>
  <c r="I82" i="7"/>
  <c r="I83" i="7"/>
  <c r="I85" i="7"/>
  <c r="G89" i="7"/>
  <c r="F89" i="7"/>
  <c r="E89" i="7"/>
  <c r="C89" i="7"/>
  <c r="D84" i="7"/>
  <c r="I84" i="7" s="1"/>
  <c r="H80" i="7"/>
  <c r="D80" i="7"/>
  <c r="H79" i="7"/>
  <c r="D79" i="7"/>
  <c r="G90" i="6"/>
  <c r="F90" i="6"/>
  <c r="E90" i="6"/>
  <c r="C90" i="6"/>
  <c r="B90" i="6"/>
  <c r="G101" i="5"/>
  <c r="F101" i="5"/>
  <c r="E101" i="5"/>
  <c r="C101" i="5"/>
  <c r="G90" i="4"/>
  <c r="F90" i="4"/>
  <c r="E90" i="4"/>
  <c r="C90" i="4"/>
  <c r="H27" i="6"/>
  <c r="D27" i="6"/>
  <c r="H26" i="6"/>
  <c r="D26" i="6"/>
  <c r="H25" i="6"/>
  <c r="D25" i="6"/>
  <c r="H24" i="6"/>
  <c r="D24" i="6"/>
  <c r="H23" i="6"/>
  <c r="D23" i="6"/>
  <c r="H22" i="6"/>
  <c r="D22" i="6"/>
  <c r="H21" i="6"/>
  <c r="D21" i="6"/>
  <c r="H25" i="5"/>
  <c r="D25" i="5"/>
  <c r="H24" i="5"/>
  <c r="D24" i="5"/>
  <c r="H23" i="5"/>
  <c r="D23" i="5"/>
  <c r="H22" i="5"/>
  <c r="D22" i="5"/>
  <c r="I22" i="5" s="1"/>
  <c r="H21" i="5"/>
  <c r="I21" i="5" s="1"/>
  <c r="D21" i="5"/>
  <c r="H20" i="5"/>
  <c r="D20" i="5"/>
  <c r="I20" i="5" s="1"/>
  <c r="H19" i="5"/>
  <c r="I19" i="5" s="1"/>
  <c r="D19" i="5"/>
  <c r="H18" i="5"/>
  <c r="D18" i="5"/>
  <c r="I18" i="5" s="1"/>
  <c r="H17" i="5"/>
  <c r="I17" i="5" s="1"/>
  <c r="D17" i="5"/>
  <c r="H34" i="5"/>
  <c r="D34" i="5"/>
  <c r="H33" i="5"/>
  <c r="I33" i="5" s="1"/>
  <c r="D33" i="5"/>
  <c r="H32" i="5"/>
  <c r="D32" i="5"/>
  <c r="H31" i="5"/>
  <c r="D31" i="5"/>
  <c r="H30" i="5"/>
  <c r="D30" i="5"/>
  <c r="H29" i="5"/>
  <c r="D29" i="5"/>
  <c r="H28" i="5"/>
  <c r="D28" i="5"/>
  <c r="H27" i="5"/>
  <c r="D27" i="5"/>
  <c r="H26" i="5"/>
  <c r="D26" i="5"/>
  <c r="H16" i="5"/>
  <c r="D16" i="5"/>
  <c r="H15" i="5"/>
  <c r="D15" i="5"/>
  <c r="I74" i="4"/>
  <c r="H72" i="4"/>
  <c r="H73" i="4"/>
  <c r="H74" i="4"/>
  <c r="H75" i="4"/>
  <c r="H76" i="4"/>
  <c r="H77" i="4"/>
  <c r="H78" i="4"/>
  <c r="H79" i="4"/>
  <c r="D72" i="4"/>
  <c r="I72" i="4" s="1"/>
  <c r="D73" i="4"/>
  <c r="I73" i="4" s="1"/>
  <c r="D74" i="4"/>
  <c r="D75" i="4"/>
  <c r="D76" i="4"/>
  <c r="I76" i="4" s="1"/>
  <c r="D77" i="4"/>
  <c r="I77" i="4" s="1"/>
  <c r="D78" i="4"/>
  <c r="D79" i="4"/>
  <c r="D80" i="4"/>
  <c r="I80" i="4" s="1"/>
  <c r="D81" i="4"/>
  <c r="D82" i="4"/>
  <c r="D83" i="4"/>
  <c r="D84" i="4"/>
  <c r="G86" i="2"/>
  <c r="F86" i="2"/>
  <c r="E86" i="2"/>
  <c r="C86" i="2"/>
  <c r="D79" i="2"/>
  <c r="D80" i="2"/>
  <c r="D81" i="2"/>
  <c r="H79" i="2"/>
  <c r="I79" i="2" s="1"/>
  <c r="H80" i="2"/>
  <c r="H81" i="2"/>
  <c r="I81" i="2"/>
  <c r="I9" i="2"/>
  <c r="H9" i="2"/>
  <c r="D9" i="2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I21" i="3" s="1"/>
  <c r="H22" i="3"/>
  <c r="H23" i="3"/>
  <c r="H24" i="3"/>
  <c r="H25" i="3"/>
  <c r="H26" i="3"/>
  <c r="H27" i="3"/>
  <c r="I27" i="3" s="1"/>
  <c r="H28" i="3"/>
  <c r="H29" i="3"/>
  <c r="H30" i="3"/>
  <c r="H31" i="3"/>
  <c r="H32" i="3"/>
  <c r="H33" i="3"/>
  <c r="I33" i="3" s="1"/>
  <c r="H34" i="3"/>
  <c r="H35" i="3"/>
  <c r="H36" i="3"/>
  <c r="H37" i="3"/>
  <c r="I37" i="3" s="1"/>
  <c r="H38" i="3"/>
  <c r="H39" i="3"/>
  <c r="H40" i="3"/>
  <c r="H41" i="3"/>
  <c r="H42" i="3"/>
  <c r="H43" i="3"/>
  <c r="I43" i="3" s="1"/>
  <c r="H44" i="3"/>
  <c r="H45" i="3"/>
  <c r="H46" i="3"/>
  <c r="H47" i="3"/>
  <c r="H48" i="3"/>
  <c r="H49" i="3"/>
  <c r="H50" i="3"/>
  <c r="H51" i="3"/>
  <c r="H52" i="3"/>
  <c r="H53" i="3"/>
  <c r="I53" i="3" s="1"/>
  <c r="H54" i="3"/>
  <c r="H55" i="3"/>
  <c r="H56" i="3"/>
  <c r="H57" i="3"/>
  <c r="H58" i="3"/>
  <c r="H59" i="3"/>
  <c r="I59" i="3" s="1"/>
  <c r="H60" i="3"/>
  <c r="H61" i="3"/>
  <c r="H62" i="3"/>
  <c r="H63" i="3"/>
  <c r="H64" i="3"/>
  <c r="H65" i="3"/>
  <c r="H66" i="3"/>
  <c r="H67" i="3"/>
  <c r="H68" i="3"/>
  <c r="H69" i="3"/>
  <c r="I69" i="3" s="1"/>
  <c r="H70" i="3"/>
  <c r="H71" i="3"/>
  <c r="H72" i="3"/>
  <c r="H73" i="3"/>
  <c r="H74" i="3"/>
  <c r="H75" i="3"/>
  <c r="I75" i="3" s="1"/>
  <c r="H76" i="3"/>
  <c r="H77" i="3"/>
  <c r="H78" i="3"/>
  <c r="H79" i="3"/>
  <c r="H80" i="3"/>
  <c r="H81" i="3"/>
  <c r="D9" i="3"/>
  <c r="D10" i="3"/>
  <c r="I10" i="3" s="1"/>
  <c r="D11" i="3"/>
  <c r="D12" i="3"/>
  <c r="I12" i="3" s="1"/>
  <c r="D13" i="3"/>
  <c r="D14" i="3"/>
  <c r="D15" i="3"/>
  <c r="D16" i="3"/>
  <c r="D17" i="3"/>
  <c r="I17" i="3" s="1"/>
  <c r="D18" i="3"/>
  <c r="I18" i="3" s="1"/>
  <c r="D19" i="3"/>
  <c r="D20" i="3"/>
  <c r="I20" i="3" s="1"/>
  <c r="D21" i="3"/>
  <c r="D22" i="3"/>
  <c r="D23" i="3"/>
  <c r="D24" i="3"/>
  <c r="D25" i="3"/>
  <c r="D26" i="3"/>
  <c r="I26" i="3" s="1"/>
  <c r="D27" i="3"/>
  <c r="D28" i="3"/>
  <c r="D29" i="3"/>
  <c r="D30" i="3"/>
  <c r="D31" i="3"/>
  <c r="D32" i="3"/>
  <c r="D33" i="3"/>
  <c r="D34" i="3"/>
  <c r="I34" i="3" s="1"/>
  <c r="D35" i="3"/>
  <c r="D36" i="3"/>
  <c r="D37" i="3"/>
  <c r="D38" i="3"/>
  <c r="D39" i="3"/>
  <c r="D40" i="3"/>
  <c r="D41" i="3"/>
  <c r="D42" i="3"/>
  <c r="I42" i="3" s="1"/>
  <c r="D43" i="3"/>
  <c r="D44" i="3"/>
  <c r="D45" i="3"/>
  <c r="D46" i="3"/>
  <c r="D47" i="3"/>
  <c r="D48" i="3"/>
  <c r="D49" i="3"/>
  <c r="I49" i="3" s="1"/>
  <c r="D50" i="3"/>
  <c r="I50" i="3" s="1"/>
  <c r="D51" i="3"/>
  <c r="D52" i="3"/>
  <c r="D53" i="3"/>
  <c r="D54" i="3"/>
  <c r="I54" i="3" s="1"/>
  <c r="D55" i="3"/>
  <c r="D56" i="3"/>
  <c r="D57" i="3"/>
  <c r="D58" i="3"/>
  <c r="I58" i="3" s="1"/>
  <c r="D59" i="3"/>
  <c r="D60" i="3"/>
  <c r="D61" i="3"/>
  <c r="D62" i="3"/>
  <c r="D63" i="3"/>
  <c r="D64" i="3"/>
  <c r="D65" i="3"/>
  <c r="I65" i="3" s="1"/>
  <c r="D66" i="3"/>
  <c r="I66" i="3" s="1"/>
  <c r="D67" i="3"/>
  <c r="D68" i="3"/>
  <c r="D69" i="3"/>
  <c r="D70" i="3"/>
  <c r="D71" i="3"/>
  <c r="D72" i="3"/>
  <c r="D73" i="3"/>
  <c r="D74" i="3"/>
  <c r="I74" i="3" s="1"/>
  <c r="D75" i="3"/>
  <c r="D76" i="3"/>
  <c r="D77" i="3"/>
  <c r="D78" i="3"/>
  <c r="D79" i="3"/>
  <c r="D80" i="3"/>
  <c r="D81" i="3"/>
  <c r="I81" i="3" s="1"/>
  <c r="H8" i="3"/>
  <c r="D8" i="3"/>
  <c r="B89" i="7"/>
  <c r="H88" i="7"/>
  <c r="D88" i="7"/>
  <c r="H87" i="7"/>
  <c r="D87" i="7"/>
  <c r="H86" i="7"/>
  <c r="D86" i="7"/>
  <c r="H85" i="7"/>
  <c r="D85" i="7"/>
  <c r="H78" i="7"/>
  <c r="D78" i="7"/>
  <c r="H77" i="7"/>
  <c r="D77" i="7"/>
  <c r="H76" i="7"/>
  <c r="D76" i="7"/>
  <c r="H75" i="7"/>
  <c r="D75" i="7"/>
  <c r="H74" i="7"/>
  <c r="D74" i="7"/>
  <c r="H73" i="7"/>
  <c r="D73" i="7"/>
  <c r="H72" i="7"/>
  <c r="D72" i="7"/>
  <c r="H71" i="7"/>
  <c r="D71" i="7"/>
  <c r="H70" i="7"/>
  <c r="D70" i="7"/>
  <c r="H69" i="7"/>
  <c r="D69" i="7"/>
  <c r="H68" i="7"/>
  <c r="D68" i="7"/>
  <c r="H67" i="7"/>
  <c r="D67" i="7"/>
  <c r="H66" i="7"/>
  <c r="D66" i="7"/>
  <c r="H65" i="7"/>
  <c r="D65" i="7"/>
  <c r="H64" i="7"/>
  <c r="D64" i="7"/>
  <c r="H63" i="7"/>
  <c r="D63" i="7"/>
  <c r="H62" i="7"/>
  <c r="D62" i="7"/>
  <c r="H61" i="7"/>
  <c r="D61" i="7"/>
  <c r="H60" i="7"/>
  <c r="D60" i="7"/>
  <c r="H59" i="7"/>
  <c r="D59" i="7"/>
  <c r="H58" i="7"/>
  <c r="D58" i="7"/>
  <c r="H57" i="7"/>
  <c r="D57" i="7"/>
  <c r="H56" i="7"/>
  <c r="D56" i="7"/>
  <c r="H55" i="7"/>
  <c r="D55" i="7"/>
  <c r="H54" i="7"/>
  <c r="D54" i="7"/>
  <c r="H53" i="7"/>
  <c r="D53" i="7"/>
  <c r="H52" i="7"/>
  <c r="D52" i="7"/>
  <c r="H51" i="7"/>
  <c r="D51" i="7"/>
  <c r="H50" i="7"/>
  <c r="D50" i="7"/>
  <c r="H49" i="7"/>
  <c r="D49" i="7"/>
  <c r="H48" i="7"/>
  <c r="D48" i="7"/>
  <c r="H47" i="7"/>
  <c r="D47" i="7"/>
  <c r="H46" i="7"/>
  <c r="D46" i="7"/>
  <c r="H45" i="7"/>
  <c r="D45" i="7"/>
  <c r="H44" i="7"/>
  <c r="D44" i="7"/>
  <c r="H43" i="7"/>
  <c r="D43" i="7"/>
  <c r="H42" i="7"/>
  <c r="D42" i="7"/>
  <c r="H41" i="7"/>
  <c r="D41" i="7"/>
  <c r="H40" i="7"/>
  <c r="D40" i="7"/>
  <c r="H39" i="7"/>
  <c r="D39" i="7"/>
  <c r="H38" i="7"/>
  <c r="D38" i="7"/>
  <c r="H37" i="7"/>
  <c r="D37" i="7"/>
  <c r="H36" i="7"/>
  <c r="D36" i="7"/>
  <c r="H35" i="7"/>
  <c r="D35" i="7"/>
  <c r="H34" i="7"/>
  <c r="D34" i="7"/>
  <c r="H33" i="7"/>
  <c r="D33" i="7"/>
  <c r="H32" i="7"/>
  <c r="D32" i="7"/>
  <c r="H31" i="7"/>
  <c r="D31" i="7"/>
  <c r="H30" i="7"/>
  <c r="D30" i="7"/>
  <c r="H29" i="7"/>
  <c r="D29" i="7"/>
  <c r="H28" i="7"/>
  <c r="D28" i="7"/>
  <c r="H27" i="7"/>
  <c r="D27" i="7"/>
  <c r="H26" i="7"/>
  <c r="D26" i="7"/>
  <c r="H25" i="7"/>
  <c r="D25" i="7"/>
  <c r="H24" i="7"/>
  <c r="D24" i="7"/>
  <c r="H23" i="7"/>
  <c r="D23" i="7"/>
  <c r="H22" i="7"/>
  <c r="D22" i="7"/>
  <c r="H21" i="7"/>
  <c r="D21" i="7"/>
  <c r="H20" i="7"/>
  <c r="D20" i="7"/>
  <c r="H19" i="7"/>
  <c r="D19" i="7"/>
  <c r="H18" i="7"/>
  <c r="D18" i="7"/>
  <c r="H17" i="7"/>
  <c r="D17" i="7"/>
  <c r="H16" i="7"/>
  <c r="D16" i="7"/>
  <c r="H15" i="7"/>
  <c r="D15" i="7"/>
  <c r="H14" i="7"/>
  <c r="D14" i="7"/>
  <c r="H13" i="7"/>
  <c r="D13" i="7"/>
  <c r="H12" i="7"/>
  <c r="D12" i="7"/>
  <c r="H11" i="7"/>
  <c r="D11" i="7"/>
  <c r="H10" i="7"/>
  <c r="D10" i="7"/>
  <c r="H9" i="7"/>
  <c r="D9" i="7"/>
  <c r="H8" i="7"/>
  <c r="H89" i="7" s="1"/>
  <c r="D8" i="7"/>
  <c r="D89" i="7" s="1"/>
  <c r="H89" i="6"/>
  <c r="D89" i="6"/>
  <c r="H88" i="6"/>
  <c r="D88" i="6"/>
  <c r="H87" i="6"/>
  <c r="D87" i="6"/>
  <c r="H86" i="6"/>
  <c r="D86" i="6"/>
  <c r="H85" i="6"/>
  <c r="D85" i="6"/>
  <c r="H84" i="6"/>
  <c r="D84" i="6"/>
  <c r="H83" i="6"/>
  <c r="D83" i="6"/>
  <c r="H82" i="6"/>
  <c r="D82" i="6"/>
  <c r="H81" i="6"/>
  <c r="I81" i="6" s="1"/>
  <c r="D81" i="6"/>
  <c r="H80" i="6"/>
  <c r="D80" i="6"/>
  <c r="H79" i="6"/>
  <c r="D79" i="6"/>
  <c r="H78" i="6"/>
  <c r="D78" i="6"/>
  <c r="H77" i="6"/>
  <c r="D77" i="6"/>
  <c r="H76" i="6"/>
  <c r="D76" i="6"/>
  <c r="H75" i="6"/>
  <c r="I75" i="6" s="1"/>
  <c r="D75" i="6"/>
  <c r="H74" i="6"/>
  <c r="D74" i="6"/>
  <c r="H73" i="6"/>
  <c r="D73" i="6"/>
  <c r="H72" i="6"/>
  <c r="D72" i="6"/>
  <c r="H71" i="6"/>
  <c r="D71" i="6"/>
  <c r="H70" i="6"/>
  <c r="D70" i="6"/>
  <c r="H69" i="6"/>
  <c r="D69" i="6"/>
  <c r="H68" i="6"/>
  <c r="D68" i="6"/>
  <c r="H67" i="6"/>
  <c r="I67" i="6" s="1"/>
  <c r="D67" i="6"/>
  <c r="H66" i="6"/>
  <c r="D66" i="6"/>
  <c r="H65" i="6"/>
  <c r="D65" i="6"/>
  <c r="H64" i="6"/>
  <c r="D64" i="6"/>
  <c r="H63" i="6"/>
  <c r="D63" i="6"/>
  <c r="H62" i="6"/>
  <c r="D62" i="6"/>
  <c r="H61" i="6"/>
  <c r="D61" i="6"/>
  <c r="H60" i="6"/>
  <c r="I60" i="6" s="1"/>
  <c r="D60" i="6"/>
  <c r="H59" i="6"/>
  <c r="D59" i="6"/>
  <c r="H58" i="6"/>
  <c r="I58" i="6" s="1"/>
  <c r="D58" i="6"/>
  <c r="H57" i="6"/>
  <c r="D57" i="6"/>
  <c r="H56" i="6"/>
  <c r="D56" i="6"/>
  <c r="H55" i="6"/>
  <c r="D55" i="6"/>
  <c r="H54" i="6"/>
  <c r="D54" i="6"/>
  <c r="H53" i="6"/>
  <c r="D53" i="6"/>
  <c r="H52" i="6"/>
  <c r="I52" i="6" s="1"/>
  <c r="D52" i="6"/>
  <c r="H51" i="6"/>
  <c r="D51" i="6"/>
  <c r="H50" i="6"/>
  <c r="I50" i="6" s="1"/>
  <c r="D50" i="6"/>
  <c r="H49" i="6"/>
  <c r="D49" i="6"/>
  <c r="H48" i="6"/>
  <c r="D48" i="6"/>
  <c r="H47" i="6"/>
  <c r="D47" i="6"/>
  <c r="H46" i="6"/>
  <c r="D46" i="6"/>
  <c r="H45" i="6"/>
  <c r="D45" i="6"/>
  <c r="H44" i="6"/>
  <c r="I44" i="6" s="1"/>
  <c r="D44" i="6"/>
  <c r="H43" i="6"/>
  <c r="D43" i="6"/>
  <c r="H42" i="6"/>
  <c r="I42" i="6" s="1"/>
  <c r="D42" i="6"/>
  <c r="H41" i="6"/>
  <c r="D41" i="6"/>
  <c r="H40" i="6"/>
  <c r="D40" i="6"/>
  <c r="H39" i="6"/>
  <c r="D39" i="6"/>
  <c r="H38" i="6"/>
  <c r="D38" i="6"/>
  <c r="H37" i="6"/>
  <c r="D37" i="6"/>
  <c r="H36" i="6"/>
  <c r="I36" i="6" s="1"/>
  <c r="D36" i="6"/>
  <c r="H35" i="6"/>
  <c r="D35" i="6"/>
  <c r="H34" i="6"/>
  <c r="I34" i="6" s="1"/>
  <c r="D34" i="6"/>
  <c r="I33" i="6"/>
  <c r="H33" i="6"/>
  <c r="D33" i="6"/>
  <c r="H32" i="6"/>
  <c r="D32" i="6"/>
  <c r="H31" i="6"/>
  <c r="D31" i="6"/>
  <c r="H30" i="6"/>
  <c r="D30" i="6"/>
  <c r="H29" i="6"/>
  <c r="D29" i="6"/>
  <c r="H28" i="6"/>
  <c r="D28" i="6"/>
  <c r="H20" i="6"/>
  <c r="D20" i="6"/>
  <c r="H19" i="6"/>
  <c r="D19" i="6"/>
  <c r="H18" i="6"/>
  <c r="D18" i="6"/>
  <c r="I18" i="6" s="1"/>
  <c r="H17" i="6"/>
  <c r="D17" i="6"/>
  <c r="H16" i="6"/>
  <c r="D16" i="6"/>
  <c r="H15" i="6"/>
  <c r="D15" i="6"/>
  <c r="H14" i="6"/>
  <c r="D14" i="6"/>
  <c r="H13" i="6"/>
  <c r="D13" i="6"/>
  <c r="H12" i="6"/>
  <c r="D12" i="6"/>
  <c r="H11" i="6"/>
  <c r="D11" i="6"/>
  <c r="H10" i="6"/>
  <c r="D10" i="6"/>
  <c r="H9" i="6"/>
  <c r="D9" i="6"/>
  <c r="H8" i="6"/>
  <c r="H90" i="6" s="1"/>
  <c r="D8" i="6"/>
  <c r="D90" i="6" s="1"/>
  <c r="B101" i="5"/>
  <c r="H100" i="5"/>
  <c r="D100" i="5"/>
  <c r="H99" i="5"/>
  <c r="D99" i="5"/>
  <c r="H98" i="5"/>
  <c r="D98" i="5"/>
  <c r="I98" i="5" s="1"/>
  <c r="H97" i="5"/>
  <c r="D97" i="5"/>
  <c r="H96" i="5"/>
  <c r="D96" i="5"/>
  <c r="H95" i="5"/>
  <c r="D95" i="5"/>
  <c r="H94" i="5"/>
  <c r="D94" i="5"/>
  <c r="H93" i="5"/>
  <c r="D93" i="5"/>
  <c r="H92" i="5"/>
  <c r="D92" i="5"/>
  <c r="H91" i="5"/>
  <c r="D91" i="5"/>
  <c r="H90" i="5"/>
  <c r="D90" i="5"/>
  <c r="H89" i="5"/>
  <c r="D89" i="5"/>
  <c r="H88" i="5"/>
  <c r="D88" i="5"/>
  <c r="H87" i="5"/>
  <c r="D87" i="5"/>
  <c r="H86" i="5"/>
  <c r="D86" i="5"/>
  <c r="H85" i="5"/>
  <c r="D85" i="5"/>
  <c r="H84" i="5"/>
  <c r="D84" i="5"/>
  <c r="H83" i="5"/>
  <c r="D83" i="5"/>
  <c r="H82" i="5"/>
  <c r="D82" i="5"/>
  <c r="H81" i="5"/>
  <c r="D81" i="5"/>
  <c r="H80" i="5"/>
  <c r="D80" i="5"/>
  <c r="H79" i="5"/>
  <c r="D79" i="5"/>
  <c r="H78" i="5"/>
  <c r="D78" i="5"/>
  <c r="H77" i="5"/>
  <c r="D77" i="5"/>
  <c r="H76" i="5"/>
  <c r="I76" i="5" s="1"/>
  <c r="D76" i="5"/>
  <c r="H75" i="5"/>
  <c r="D75" i="5"/>
  <c r="H74" i="5"/>
  <c r="D74" i="5"/>
  <c r="H73" i="5"/>
  <c r="D73" i="5"/>
  <c r="H72" i="5"/>
  <c r="D72" i="5"/>
  <c r="H71" i="5"/>
  <c r="D71" i="5"/>
  <c r="H70" i="5"/>
  <c r="D70" i="5"/>
  <c r="H69" i="5"/>
  <c r="D69" i="5"/>
  <c r="H68" i="5"/>
  <c r="D68" i="5"/>
  <c r="H67" i="5"/>
  <c r="D67" i="5"/>
  <c r="H66" i="5"/>
  <c r="D66" i="5"/>
  <c r="H65" i="5"/>
  <c r="D65" i="5"/>
  <c r="H64" i="5"/>
  <c r="D64" i="5"/>
  <c r="H63" i="5"/>
  <c r="D63" i="5"/>
  <c r="H62" i="5"/>
  <c r="D62" i="5"/>
  <c r="H61" i="5"/>
  <c r="D61" i="5"/>
  <c r="H60" i="5"/>
  <c r="I60" i="5" s="1"/>
  <c r="D60" i="5"/>
  <c r="H59" i="5"/>
  <c r="D59" i="5"/>
  <c r="H58" i="5"/>
  <c r="D58" i="5"/>
  <c r="H57" i="5"/>
  <c r="D57" i="5"/>
  <c r="H56" i="5"/>
  <c r="I56" i="5" s="1"/>
  <c r="D56" i="5"/>
  <c r="H55" i="5"/>
  <c r="D55" i="5"/>
  <c r="H54" i="5"/>
  <c r="D54" i="5"/>
  <c r="H53" i="5"/>
  <c r="D53" i="5"/>
  <c r="H52" i="5"/>
  <c r="I52" i="5" s="1"/>
  <c r="D52" i="5"/>
  <c r="H51" i="5"/>
  <c r="D51" i="5"/>
  <c r="H50" i="5"/>
  <c r="D50" i="5"/>
  <c r="H49" i="5"/>
  <c r="D49" i="5"/>
  <c r="H48" i="5"/>
  <c r="I48" i="5" s="1"/>
  <c r="D48" i="5"/>
  <c r="H47" i="5"/>
  <c r="D47" i="5"/>
  <c r="H46" i="5"/>
  <c r="D46" i="5"/>
  <c r="H45" i="5"/>
  <c r="D45" i="5"/>
  <c r="H44" i="5"/>
  <c r="D44" i="5"/>
  <c r="H43" i="5"/>
  <c r="D43" i="5"/>
  <c r="H42" i="5"/>
  <c r="D42" i="5"/>
  <c r="H41" i="5"/>
  <c r="D41" i="5"/>
  <c r="H40" i="5"/>
  <c r="D40" i="5"/>
  <c r="H39" i="5"/>
  <c r="D39" i="5"/>
  <c r="H38" i="5"/>
  <c r="D38" i="5"/>
  <c r="H37" i="5"/>
  <c r="D37" i="5"/>
  <c r="H36" i="5"/>
  <c r="D36" i="5"/>
  <c r="H35" i="5"/>
  <c r="D35" i="5"/>
  <c r="H14" i="5"/>
  <c r="D14" i="5"/>
  <c r="H13" i="5"/>
  <c r="D13" i="5"/>
  <c r="H12" i="5"/>
  <c r="D12" i="5"/>
  <c r="H11" i="5"/>
  <c r="D11" i="5"/>
  <c r="H10" i="5"/>
  <c r="I10" i="5" s="1"/>
  <c r="D10" i="5"/>
  <c r="H9" i="5"/>
  <c r="D9" i="5"/>
  <c r="H8" i="5"/>
  <c r="H101" i="5" s="1"/>
  <c r="D8" i="5"/>
  <c r="D101" i="5" s="1"/>
  <c r="B90" i="4"/>
  <c r="H89" i="4"/>
  <c r="D89" i="4"/>
  <c r="H88" i="4"/>
  <c r="D88" i="4"/>
  <c r="H87" i="4"/>
  <c r="D87" i="4"/>
  <c r="I87" i="4" s="1"/>
  <c r="H86" i="4"/>
  <c r="D86" i="4"/>
  <c r="H85" i="4"/>
  <c r="D85" i="4"/>
  <c r="H84" i="4"/>
  <c r="H83" i="4"/>
  <c r="I83" i="4" s="1"/>
  <c r="H82" i="4"/>
  <c r="I82" i="4" s="1"/>
  <c r="H81" i="4"/>
  <c r="H80" i="4"/>
  <c r="H71" i="4"/>
  <c r="D71" i="4"/>
  <c r="H70" i="4"/>
  <c r="I70" i="4" s="1"/>
  <c r="D70" i="4"/>
  <c r="H69" i="4"/>
  <c r="D69" i="4"/>
  <c r="I69" i="4" s="1"/>
  <c r="H68" i="4"/>
  <c r="D68" i="4"/>
  <c r="H67" i="4"/>
  <c r="D67" i="4"/>
  <c r="H66" i="4"/>
  <c r="D66" i="4"/>
  <c r="H65" i="4"/>
  <c r="D65" i="4"/>
  <c r="I65" i="4" s="1"/>
  <c r="H64" i="4"/>
  <c r="D64" i="4"/>
  <c r="H63" i="4"/>
  <c r="D63" i="4"/>
  <c r="H62" i="4"/>
  <c r="D62" i="4"/>
  <c r="H61" i="4"/>
  <c r="D61" i="4"/>
  <c r="I61" i="4" s="1"/>
  <c r="I60" i="4"/>
  <c r="H60" i="4"/>
  <c r="D60" i="4"/>
  <c r="H59" i="4"/>
  <c r="D59" i="4"/>
  <c r="H58" i="4"/>
  <c r="D58" i="4"/>
  <c r="H57" i="4"/>
  <c r="D57" i="4"/>
  <c r="I57" i="4" s="1"/>
  <c r="H56" i="4"/>
  <c r="D56" i="4"/>
  <c r="H55" i="4"/>
  <c r="D55" i="4"/>
  <c r="H54" i="4"/>
  <c r="D54" i="4"/>
  <c r="H53" i="4"/>
  <c r="D53" i="4"/>
  <c r="H52" i="4"/>
  <c r="D52" i="4"/>
  <c r="I52" i="4" s="1"/>
  <c r="H51" i="4"/>
  <c r="D51" i="4"/>
  <c r="H50" i="4"/>
  <c r="D50" i="4"/>
  <c r="H49" i="4"/>
  <c r="D49" i="4"/>
  <c r="H48" i="4"/>
  <c r="D48" i="4"/>
  <c r="I48" i="4" s="1"/>
  <c r="H47" i="4"/>
  <c r="D47" i="4"/>
  <c r="H46" i="4"/>
  <c r="D46" i="4"/>
  <c r="H45" i="4"/>
  <c r="D45" i="4"/>
  <c r="H44" i="4"/>
  <c r="D44" i="4"/>
  <c r="H43" i="4"/>
  <c r="D43" i="4"/>
  <c r="H42" i="4"/>
  <c r="D42" i="4"/>
  <c r="H41" i="4"/>
  <c r="D41" i="4"/>
  <c r="I41" i="4" s="1"/>
  <c r="H40" i="4"/>
  <c r="D40" i="4"/>
  <c r="H39" i="4"/>
  <c r="D39" i="4"/>
  <c r="H38" i="4"/>
  <c r="D38" i="4"/>
  <c r="H37" i="4"/>
  <c r="D37" i="4"/>
  <c r="I37" i="4" s="1"/>
  <c r="H36" i="4"/>
  <c r="D36" i="4"/>
  <c r="H35" i="4"/>
  <c r="D35" i="4"/>
  <c r="H34" i="4"/>
  <c r="D34" i="4"/>
  <c r="H33" i="4"/>
  <c r="D33" i="4"/>
  <c r="I33" i="4" s="1"/>
  <c r="H32" i="4"/>
  <c r="D32" i="4"/>
  <c r="H31" i="4"/>
  <c r="D31" i="4"/>
  <c r="H30" i="4"/>
  <c r="D30" i="4"/>
  <c r="H29" i="4"/>
  <c r="D29" i="4"/>
  <c r="I29" i="4" s="1"/>
  <c r="H28" i="4"/>
  <c r="I28" i="4" s="1"/>
  <c r="D28" i="4"/>
  <c r="H27" i="4"/>
  <c r="D27" i="4"/>
  <c r="H26" i="4"/>
  <c r="D26" i="4"/>
  <c r="H25" i="4"/>
  <c r="D25" i="4"/>
  <c r="H24" i="4"/>
  <c r="D24" i="4"/>
  <c r="H23" i="4"/>
  <c r="D23" i="4"/>
  <c r="H22" i="4"/>
  <c r="D22" i="4"/>
  <c r="H21" i="4"/>
  <c r="D21" i="4"/>
  <c r="H20" i="4"/>
  <c r="D20" i="4"/>
  <c r="I20" i="4" s="1"/>
  <c r="H19" i="4"/>
  <c r="I19" i="4" s="1"/>
  <c r="D19" i="4"/>
  <c r="H18" i="4"/>
  <c r="D18" i="4"/>
  <c r="H17" i="4"/>
  <c r="D17" i="4"/>
  <c r="H16" i="4"/>
  <c r="D16" i="4"/>
  <c r="I16" i="4" s="1"/>
  <c r="H15" i="4"/>
  <c r="I15" i="4" s="1"/>
  <c r="D15" i="4"/>
  <c r="H14" i="4"/>
  <c r="D14" i="4"/>
  <c r="H13" i="4"/>
  <c r="D13" i="4"/>
  <c r="H12" i="4"/>
  <c r="D12" i="4"/>
  <c r="H11" i="4"/>
  <c r="D11" i="4"/>
  <c r="H10" i="4"/>
  <c r="D10" i="4"/>
  <c r="H9" i="4"/>
  <c r="D9" i="4"/>
  <c r="H8" i="4"/>
  <c r="D8" i="4"/>
  <c r="D90" i="4" s="1"/>
  <c r="H85" i="2"/>
  <c r="D85" i="2"/>
  <c r="H84" i="2"/>
  <c r="D84" i="2"/>
  <c r="H83" i="2"/>
  <c r="D83" i="2"/>
  <c r="H82" i="2"/>
  <c r="D82" i="2"/>
  <c r="H78" i="2"/>
  <c r="D78" i="2"/>
  <c r="H77" i="2"/>
  <c r="D77" i="2"/>
  <c r="H76" i="2"/>
  <c r="D76" i="2"/>
  <c r="H75" i="2"/>
  <c r="D75" i="2"/>
  <c r="H74" i="2"/>
  <c r="D74" i="2"/>
  <c r="H73" i="2"/>
  <c r="D73" i="2"/>
  <c r="H72" i="2"/>
  <c r="D72" i="2"/>
  <c r="H71" i="2"/>
  <c r="D71" i="2"/>
  <c r="H70" i="2"/>
  <c r="D70" i="2"/>
  <c r="H69" i="2"/>
  <c r="D69" i="2"/>
  <c r="H68" i="2"/>
  <c r="D68" i="2"/>
  <c r="H67" i="2"/>
  <c r="D67" i="2"/>
  <c r="H66" i="2"/>
  <c r="D66" i="2"/>
  <c r="H65" i="2"/>
  <c r="D65" i="2"/>
  <c r="H64" i="2"/>
  <c r="D64" i="2"/>
  <c r="H63" i="2"/>
  <c r="D63" i="2"/>
  <c r="H62" i="2"/>
  <c r="D62" i="2"/>
  <c r="H61" i="2"/>
  <c r="D61" i="2"/>
  <c r="H60" i="2"/>
  <c r="D60" i="2"/>
  <c r="H59" i="2"/>
  <c r="D59" i="2"/>
  <c r="H58" i="2"/>
  <c r="D58" i="2"/>
  <c r="H57" i="2"/>
  <c r="D57" i="2"/>
  <c r="H56" i="2"/>
  <c r="D56" i="2"/>
  <c r="H55" i="2"/>
  <c r="D55" i="2"/>
  <c r="H54" i="2"/>
  <c r="D54" i="2"/>
  <c r="H53" i="2"/>
  <c r="D53" i="2"/>
  <c r="H52" i="2"/>
  <c r="D52" i="2"/>
  <c r="H51" i="2"/>
  <c r="D51" i="2"/>
  <c r="H50" i="2"/>
  <c r="D50" i="2"/>
  <c r="H49" i="2"/>
  <c r="D49" i="2"/>
  <c r="H48" i="2"/>
  <c r="D48" i="2"/>
  <c r="H47" i="2"/>
  <c r="D47" i="2"/>
  <c r="H46" i="2"/>
  <c r="D46" i="2"/>
  <c r="H45" i="2"/>
  <c r="D45" i="2"/>
  <c r="H44" i="2"/>
  <c r="D44" i="2"/>
  <c r="H43" i="2"/>
  <c r="D43" i="2"/>
  <c r="H42" i="2"/>
  <c r="D42" i="2"/>
  <c r="H41" i="2"/>
  <c r="D41" i="2"/>
  <c r="H40" i="2"/>
  <c r="D40" i="2"/>
  <c r="H39" i="2"/>
  <c r="D39" i="2"/>
  <c r="H38" i="2"/>
  <c r="D38" i="2"/>
  <c r="H37" i="2"/>
  <c r="D37" i="2"/>
  <c r="H36" i="2"/>
  <c r="D36" i="2"/>
  <c r="H35" i="2"/>
  <c r="D35" i="2"/>
  <c r="H34" i="2"/>
  <c r="D34" i="2"/>
  <c r="H33" i="2"/>
  <c r="D33" i="2"/>
  <c r="H32" i="2"/>
  <c r="D32" i="2"/>
  <c r="H31" i="2"/>
  <c r="D31" i="2"/>
  <c r="H30" i="2"/>
  <c r="D30" i="2"/>
  <c r="H29" i="2"/>
  <c r="D29" i="2"/>
  <c r="H28" i="2"/>
  <c r="D28" i="2"/>
  <c r="H27" i="2"/>
  <c r="D27" i="2"/>
  <c r="H26" i="2"/>
  <c r="D26" i="2"/>
  <c r="H25" i="2"/>
  <c r="D25" i="2"/>
  <c r="H24" i="2"/>
  <c r="D24" i="2"/>
  <c r="H23" i="2"/>
  <c r="D23" i="2"/>
  <c r="H22" i="2"/>
  <c r="D22" i="2"/>
  <c r="H21" i="2"/>
  <c r="D21" i="2"/>
  <c r="H20" i="2"/>
  <c r="D20" i="2"/>
  <c r="H19" i="2"/>
  <c r="D19" i="2"/>
  <c r="H18" i="2"/>
  <c r="D18" i="2"/>
  <c r="H17" i="2"/>
  <c r="D17" i="2"/>
  <c r="H16" i="2"/>
  <c r="D16" i="2"/>
  <c r="H15" i="2"/>
  <c r="D15" i="2"/>
  <c r="H14" i="2"/>
  <c r="D14" i="2"/>
  <c r="H13" i="2"/>
  <c r="D13" i="2"/>
  <c r="H12" i="2"/>
  <c r="D12" i="2"/>
  <c r="H11" i="2"/>
  <c r="D11" i="2"/>
  <c r="H10" i="2"/>
  <c r="D10" i="2"/>
  <c r="H8" i="2"/>
  <c r="H86" i="2" s="1"/>
  <c r="D8" i="2"/>
  <c r="D86" i="2" s="1"/>
  <c r="B86" i="2"/>
  <c r="G82" i="3"/>
  <c r="F82" i="3"/>
  <c r="E82" i="3"/>
  <c r="C82" i="3"/>
  <c r="B82" i="3"/>
  <c r="I73" i="3" l="1"/>
  <c r="I76" i="3"/>
  <c r="I68" i="3"/>
  <c r="I60" i="3"/>
  <c r="I52" i="3"/>
  <c r="I44" i="3"/>
  <c r="I36" i="3"/>
  <c r="I28" i="3"/>
  <c r="I25" i="3"/>
  <c r="I9" i="3"/>
  <c r="I70" i="3"/>
  <c r="I38" i="3"/>
  <c r="I22" i="3"/>
  <c r="I57" i="3"/>
  <c r="I77" i="3"/>
  <c r="I61" i="3"/>
  <c r="I45" i="3"/>
  <c r="I29" i="3"/>
  <c r="I13" i="3"/>
  <c r="I41" i="3"/>
  <c r="I11" i="3"/>
  <c r="I79" i="3"/>
  <c r="I63" i="3"/>
  <c r="I47" i="3"/>
  <c r="I31" i="3"/>
  <c r="I15" i="3"/>
  <c r="I71" i="3"/>
  <c r="I55" i="3"/>
  <c r="I39" i="3"/>
  <c r="I23" i="3"/>
  <c r="I8" i="3"/>
  <c r="I78" i="3"/>
  <c r="I62" i="3"/>
  <c r="I46" i="3"/>
  <c r="I30" i="3"/>
  <c r="I14" i="3"/>
  <c r="I67" i="3"/>
  <c r="I51" i="3"/>
  <c r="I35" i="3"/>
  <c r="I19" i="3"/>
  <c r="I8" i="16"/>
  <c r="I20" i="16"/>
  <c r="I50" i="16"/>
  <c r="I82" i="16"/>
  <c r="I9" i="16"/>
  <c r="I24" i="16"/>
  <c r="I36" i="16"/>
  <c r="I40" i="16"/>
  <c r="I54" i="16"/>
  <c r="I58" i="16"/>
  <c r="I62" i="16"/>
  <c r="I78" i="16"/>
  <c r="I11" i="16"/>
  <c r="I13" i="16"/>
  <c r="I15" i="16"/>
  <c r="I14" i="16"/>
  <c r="I27" i="16"/>
  <c r="I29" i="16"/>
  <c r="I31" i="16"/>
  <c r="I33" i="16"/>
  <c r="I43" i="16"/>
  <c r="I45" i="16"/>
  <c r="I47" i="16"/>
  <c r="I69" i="16"/>
  <c r="I73" i="16"/>
  <c r="I18" i="16"/>
  <c r="I10" i="16"/>
  <c r="I21" i="16"/>
  <c r="I25" i="16"/>
  <c r="I34" i="16"/>
  <c r="I38" i="16"/>
  <c r="I42" i="16"/>
  <c r="I53" i="16"/>
  <c r="I57" i="16"/>
  <c r="I66" i="16"/>
  <c r="I70" i="16"/>
  <c r="I74" i="16"/>
  <c r="I12" i="16"/>
  <c r="I19" i="16"/>
  <c r="I28" i="16"/>
  <c r="I35" i="16"/>
  <c r="I44" i="16"/>
  <c r="I51" i="16"/>
  <c r="I60" i="16"/>
  <c r="I67" i="16"/>
  <c r="I76" i="16"/>
  <c r="I16" i="16"/>
  <c r="I23" i="16"/>
  <c r="I32" i="16"/>
  <c r="I39" i="16"/>
  <c r="I48" i="16"/>
  <c r="I55" i="16"/>
  <c r="I64" i="16"/>
  <c r="I71" i="16"/>
  <c r="I80" i="16"/>
  <c r="D83" i="16"/>
  <c r="I70" i="17"/>
  <c r="I39" i="17"/>
  <c r="H83" i="17"/>
  <c r="I10" i="17"/>
  <c r="I44" i="17"/>
  <c r="I46" i="17"/>
  <c r="I48" i="17"/>
  <c r="I50" i="17"/>
  <c r="I52" i="17"/>
  <c r="I60" i="17"/>
  <c r="I62" i="17"/>
  <c r="I64" i="17"/>
  <c r="I66" i="17"/>
  <c r="I68" i="17"/>
  <c r="I41" i="17"/>
  <c r="I47" i="17"/>
  <c r="I49" i="17"/>
  <c r="I55" i="17"/>
  <c r="I57" i="17"/>
  <c r="I63" i="17"/>
  <c r="I12" i="17"/>
  <c r="I14" i="17"/>
  <c r="I16" i="17"/>
  <c r="I18" i="17"/>
  <c r="I20" i="17"/>
  <c r="I23" i="17"/>
  <c r="I25" i="17"/>
  <c r="I31" i="17"/>
  <c r="I33" i="17"/>
  <c r="I58" i="17"/>
  <c r="I28" i="17"/>
  <c r="I30" i="17"/>
  <c r="I32" i="17"/>
  <c r="I34" i="17"/>
  <c r="I36" i="17"/>
  <c r="I65" i="17"/>
  <c r="I9" i="17"/>
  <c r="I15" i="17"/>
  <c r="I17" i="17"/>
  <c r="I42" i="17"/>
  <c r="I71" i="17"/>
  <c r="I73" i="17"/>
  <c r="I79" i="17"/>
  <c r="I81" i="17"/>
  <c r="I24" i="17"/>
  <c r="I56" i="17"/>
  <c r="I40" i="17"/>
  <c r="I72" i="17"/>
  <c r="I74" i="17"/>
  <c r="I76" i="17"/>
  <c r="I78" i="17"/>
  <c r="I80" i="17"/>
  <c r="I82" i="17"/>
  <c r="D83" i="17"/>
  <c r="I11" i="17"/>
  <c r="I13" i="17"/>
  <c r="I27" i="17"/>
  <c r="I29" i="17"/>
  <c r="I43" i="17"/>
  <c r="I45" i="17"/>
  <c r="I59" i="17"/>
  <c r="I61" i="17"/>
  <c r="I75" i="17"/>
  <c r="I77" i="17"/>
  <c r="I19" i="17"/>
  <c r="I21" i="17"/>
  <c r="I35" i="17"/>
  <c r="I37" i="17"/>
  <c r="I51" i="17"/>
  <c r="I53" i="17"/>
  <c r="I67" i="17"/>
  <c r="I69" i="17"/>
  <c r="I47" i="10"/>
  <c r="I49" i="10"/>
  <c r="I51" i="10"/>
  <c r="I53" i="10"/>
  <c r="I10" i="10"/>
  <c r="I74" i="10"/>
  <c r="I22" i="10"/>
  <c r="I26" i="10"/>
  <c r="I42" i="10"/>
  <c r="I58" i="10"/>
  <c r="I38" i="10"/>
  <c r="I63" i="10"/>
  <c r="I65" i="10"/>
  <c r="I67" i="10"/>
  <c r="I69" i="10"/>
  <c r="I15" i="10"/>
  <c r="I17" i="10"/>
  <c r="I19" i="10"/>
  <c r="I21" i="10"/>
  <c r="I54" i="10"/>
  <c r="I79" i="10"/>
  <c r="I24" i="10"/>
  <c r="I31" i="10"/>
  <c r="I33" i="10"/>
  <c r="I35" i="10"/>
  <c r="I37" i="10"/>
  <c r="I70" i="10"/>
  <c r="H81" i="10"/>
  <c r="I12" i="10"/>
  <c r="I14" i="10"/>
  <c r="I16" i="10"/>
  <c r="I18" i="10"/>
  <c r="I20" i="10"/>
  <c r="I44" i="10"/>
  <c r="I46" i="10"/>
  <c r="I48" i="10"/>
  <c r="I50" i="10"/>
  <c r="I52" i="10"/>
  <c r="I76" i="10"/>
  <c r="I78" i="10"/>
  <c r="I80" i="10"/>
  <c r="I28" i="10"/>
  <c r="I30" i="10"/>
  <c r="I32" i="10"/>
  <c r="I34" i="10"/>
  <c r="I36" i="10"/>
  <c r="I60" i="10"/>
  <c r="I62" i="10"/>
  <c r="I64" i="10"/>
  <c r="I66" i="10"/>
  <c r="I68" i="10"/>
  <c r="I9" i="10"/>
  <c r="I23" i="10"/>
  <c r="I25" i="10"/>
  <c r="I39" i="10"/>
  <c r="I41" i="10"/>
  <c r="I55" i="10"/>
  <c r="I57" i="10"/>
  <c r="I71" i="10"/>
  <c r="I73" i="10"/>
  <c r="D81" i="10"/>
  <c r="I11" i="10"/>
  <c r="I13" i="10"/>
  <c r="I27" i="10"/>
  <c r="I29" i="10"/>
  <c r="I43" i="10"/>
  <c r="I45" i="10"/>
  <c r="I59" i="10"/>
  <c r="I61" i="10"/>
  <c r="I75" i="10"/>
  <c r="I77" i="10"/>
  <c r="I17" i="12"/>
  <c r="I37" i="12"/>
  <c r="I41" i="12"/>
  <c r="I49" i="12"/>
  <c r="I69" i="12"/>
  <c r="I73" i="12"/>
  <c r="I10" i="12"/>
  <c r="I12" i="12"/>
  <c r="I33" i="12"/>
  <c r="I35" i="12"/>
  <c r="I43" i="12"/>
  <c r="I45" i="12"/>
  <c r="I66" i="12"/>
  <c r="I68" i="12"/>
  <c r="I74" i="12"/>
  <c r="I76" i="12"/>
  <c r="D80" i="12"/>
  <c r="I11" i="12"/>
  <c r="I13" i="12"/>
  <c r="I34" i="12"/>
  <c r="I36" i="12"/>
  <c r="I42" i="12"/>
  <c r="I44" i="12"/>
  <c r="I65" i="12"/>
  <c r="I67" i="12"/>
  <c r="I75" i="12"/>
  <c r="I77" i="12"/>
  <c r="I21" i="12"/>
  <c r="I25" i="12"/>
  <c r="I53" i="12"/>
  <c r="I57" i="12"/>
  <c r="H80" i="12"/>
  <c r="I9" i="12"/>
  <c r="I15" i="12"/>
  <c r="I22" i="12"/>
  <c r="I24" i="12"/>
  <c r="I31" i="12"/>
  <c r="I38" i="12"/>
  <c r="I40" i="12"/>
  <c r="I47" i="12"/>
  <c r="I54" i="12"/>
  <c r="I56" i="12"/>
  <c r="I63" i="12"/>
  <c r="I70" i="12"/>
  <c r="I72" i="12"/>
  <c r="I79" i="12"/>
  <c r="I14" i="12"/>
  <c r="I16" i="12"/>
  <c r="I23" i="12"/>
  <c r="I30" i="12"/>
  <c r="I32" i="12"/>
  <c r="I39" i="12"/>
  <c r="I46" i="12"/>
  <c r="I48" i="12"/>
  <c r="I55" i="12"/>
  <c r="I62" i="12"/>
  <c r="I64" i="12"/>
  <c r="I71" i="12"/>
  <c r="I78" i="12"/>
  <c r="I59" i="13"/>
  <c r="I57" i="13"/>
  <c r="I60" i="13"/>
  <c r="I52" i="13"/>
  <c r="I44" i="13"/>
  <c r="I38" i="13"/>
  <c r="I62" i="13"/>
  <c r="I51" i="13"/>
  <c r="I49" i="13"/>
  <c r="I30" i="13"/>
  <c r="I19" i="13"/>
  <c r="I17" i="13"/>
  <c r="I86" i="13"/>
  <c r="I75" i="13"/>
  <c r="I73" i="13"/>
  <c r="I54" i="13"/>
  <c r="I43" i="13"/>
  <c r="I41" i="13"/>
  <c r="I22" i="13"/>
  <c r="I11" i="13"/>
  <c r="I9" i="13"/>
  <c r="I78" i="13"/>
  <c r="I67" i="13"/>
  <c r="I65" i="13"/>
  <c r="I46" i="13"/>
  <c r="I35" i="13"/>
  <c r="I33" i="13"/>
  <c r="I14" i="13"/>
  <c r="I88" i="13"/>
  <c r="I79" i="13"/>
  <c r="I72" i="13"/>
  <c r="I63" i="13"/>
  <c r="I56" i="13"/>
  <c r="I47" i="13"/>
  <c r="I40" i="13"/>
  <c r="I31" i="13"/>
  <c r="I24" i="13"/>
  <c r="I15" i="13"/>
  <c r="I87" i="13"/>
  <c r="I80" i="13"/>
  <c r="I71" i="13"/>
  <c r="I64" i="13"/>
  <c r="I55" i="13"/>
  <c r="I48" i="13"/>
  <c r="I39" i="13"/>
  <c r="I32" i="13"/>
  <c r="I23" i="13"/>
  <c r="I16" i="13"/>
  <c r="I90" i="13"/>
  <c r="I85" i="13"/>
  <c r="I82" i="13"/>
  <c r="I77" i="13"/>
  <c r="I74" i="13"/>
  <c r="I69" i="13"/>
  <c r="I66" i="13"/>
  <c r="I61" i="13"/>
  <c r="I58" i="13"/>
  <c r="I53" i="13"/>
  <c r="I50" i="13"/>
  <c r="I45" i="13"/>
  <c r="I42" i="13"/>
  <c r="I37" i="13"/>
  <c r="I34" i="13"/>
  <c r="I29" i="13"/>
  <c r="I26" i="13"/>
  <c r="I21" i="13"/>
  <c r="I18" i="13"/>
  <c r="I13" i="13"/>
  <c r="I10" i="13"/>
  <c r="I13" i="18"/>
  <c r="I21" i="18"/>
  <c r="I29" i="18"/>
  <c r="I37" i="18"/>
  <c r="I43" i="18"/>
  <c r="I47" i="18"/>
  <c r="I51" i="18"/>
  <c r="I55" i="18"/>
  <c r="I71" i="18"/>
  <c r="I76" i="18"/>
  <c r="I84" i="18"/>
  <c r="I86" i="18"/>
  <c r="I90" i="18"/>
  <c r="I92" i="18"/>
  <c r="I12" i="18"/>
  <c r="I20" i="18"/>
  <c r="I22" i="18"/>
  <c r="I26" i="18"/>
  <c r="I28" i="18"/>
  <c r="I36" i="18"/>
  <c r="I38" i="18"/>
  <c r="I62" i="18"/>
  <c r="I66" i="18"/>
  <c r="I77" i="18"/>
  <c r="I85" i="18"/>
  <c r="I93" i="18"/>
  <c r="I95" i="18"/>
  <c r="I70" i="18"/>
  <c r="H99" i="18"/>
  <c r="I14" i="18"/>
  <c r="I18" i="18"/>
  <c r="I27" i="18"/>
  <c r="I31" i="18"/>
  <c r="I35" i="18"/>
  <c r="I46" i="18"/>
  <c r="I50" i="18"/>
  <c r="I59" i="18"/>
  <c r="I63" i="18"/>
  <c r="I67" i="18"/>
  <c r="I78" i="18"/>
  <c r="I82" i="18"/>
  <c r="I91" i="18"/>
  <c r="I9" i="18"/>
  <c r="I16" i="18"/>
  <c r="I25" i="18"/>
  <c r="I32" i="18"/>
  <c r="I41" i="18"/>
  <c r="I48" i="18"/>
  <c r="I57" i="18"/>
  <c r="I64" i="18"/>
  <c r="I73" i="18"/>
  <c r="I80" i="18"/>
  <c r="I89" i="18"/>
  <c r="D99" i="18"/>
  <c r="I17" i="18"/>
  <c r="I24" i="18"/>
  <c r="I33" i="18"/>
  <c r="I40" i="18"/>
  <c r="I49" i="18"/>
  <c r="I56" i="18"/>
  <c r="I65" i="18"/>
  <c r="I72" i="18"/>
  <c r="I81" i="18"/>
  <c r="I88" i="18"/>
  <c r="H83" i="16"/>
  <c r="I8" i="17"/>
  <c r="I8" i="10"/>
  <c r="I8" i="12"/>
  <c r="I8" i="18"/>
  <c r="H92" i="13"/>
  <c r="D92" i="13"/>
  <c r="I83" i="15"/>
  <c r="I19" i="15"/>
  <c r="I23" i="15"/>
  <c r="I27" i="15"/>
  <c r="I35" i="15"/>
  <c r="I39" i="15"/>
  <c r="I43" i="15"/>
  <c r="I51" i="15"/>
  <c r="I55" i="15"/>
  <c r="I84" i="15"/>
  <c r="I89" i="15"/>
  <c r="I86" i="15"/>
  <c r="I88" i="15"/>
  <c r="I13" i="15"/>
  <c r="I15" i="15"/>
  <c r="I29" i="15"/>
  <c r="I31" i="15"/>
  <c r="I45" i="15"/>
  <c r="I47" i="15"/>
  <c r="I61" i="15"/>
  <c r="I63" i="15"/>
  <c r="I79" i="15"/>
  <c r="H92" i="15"/>
  <c r="I36" i="15"/>
  <c r="I38" i="15"/>
  <c r="I57" i="15"/>
  <c r="I64" i="15"/>
  <c r="I66" i="15"/>
  <c r="I68" i="15"/>
  <c r="I70" i="15"/>
  <c r="I90" i="15"/>
  <c r="I9" i="15"/>
  <c r="I20" i="15"/>
  <c r="I22" i="15"/>
  <c r="I48" i="15"/>
  <c r="I50" i="15"/>
  <c r="I52" i="15"/>
  <c r="I54" i="15"/>
  <c r="I91" i="15"/>
  <c r="D92" i="15"/>
  <c r="I17" i="15"/>
  <c r="I24" i="15"/>
  <c r="I26" i="15"/>
  <c r="I33" i="15"/>
  <c r="I40" i="15"/>
  <c r="I42" i="15"/>
  <c r="I49" i="15"/>
  <c r="I56" i="15"/>
  <c r="I58" i="15"/>
  <c r="I65" i="15"/>
  <c r="I72" i="15"/>
  <c r="I74" i="15"/>
  <c r="I14" i="15"/>
  <c r="I21" i="15"/>
  <c r="I28" i="15"/>
  <c r="I30" i="15"/>
  <c r="I37" i="15"/>
  <c r="I44" i="15"/>
  <c r="I46" i="15"/>
  <c r="I53" i="15"/>
  <c r="I60" i="15"/>
  <c r="I62" i="15"/>
  <c r="I69" i="15"/>
  <c r="I76" i="15"/>
  <c r="I78" i="15"/>
  <c r="I16" i="15"/>
  <c r="I18" i="15"/>
  <c r="I25" i="15"/>
  <c r="I32" i="15"/>
  <c r="I34" i="15"/>
  <c r="I41" i="15"/>
  <c r="I73" i="15"/>
  <c r="I80" i="15"/>
  <c r="I10" i="15"/>
  <c r="I12" i="15"/>
  <c r="I67" i="11"/>
  <c r="I39" i="11"/>
  <c r="I35" i="11"/>
  <c r="I11" i="11"/>
  <c r="I68" i="11"/>
  <c r="I36" i="11"/>
  <c r="I85" i="11"/>
  <c r="I37" i="11"/>
  <c r="I83" i="11"/>
  <c r="I88" i="11"/>
  <c r="I19" i="11"/>
  <c r="I27" i="11"/>
  <c r="I44" i="11"/>
  <c r="I52" i="11"/>
  <c r="I60" i="11"/>
  <c r="I12" i="11"/>
  <c r="I20" i="11"/>
  <c r="I28" i="11"/>
  <c r="I51" i="11"/>
  <c r="I59" i="11"/>
  <c r="I76" i="11"/>
  <c r="I13" i="11"/>
  <c r="I15" i="11"/>
  <c r="I30" i="11"/>
  <c r="I34" i="11"/>
  <c r="I45" i="11"/>
  <c r="I47" i="11"/>
  <c r="I62" i="11"/>
  <c r="I66" i="11"/>
  <c r="I77" i="11"/>
  <c r="I79" i="11"/>
  <c r="I86" i="11"/>
  <c r="I10" i="11"/>
  <c r="I21" i="11"/>
  <c r="I23" i="11"/>
  <c r="I38" i="11"/>
  <c r="I42" i="11"/>
  <c r="I53" i="11"/>
  <c r="I55" i="11"/>
  <c r="I70" i="11"/>
  <c r="I74" i="11"/>
  <c r="I14" i="11"/>
  <c r="I18" i="11"/>
  <c r="I29" i="11"/>
  <c r="I31" i="11"/>
  <c r="I46" i="11"/>
  <c r="I50" i="11"/>
  <c r="I61" i="11"/>
  <c r="I63" i="11"/>
  <c r="I78" i="11"/>
  <c r="I87" i="11"/>
  <c r="I90" i="11"/>
  <c r="D91" i="11"/>
  <c r="I16" i="11"/>
  <c r="I24" i="11"/>
  <c r="I32" i="11"/>
  <c r="I40" i="11"/>
  <c r="I48" i="11"/>
  <c r="I56" i="11"/>
  <c r="I64" i="11"/>
  <c r="I72" i="11"/>
  <c r="I80" i="11"/>
  <c r="I9" i="11"/>
  <c r="I17" i="11"/>
  <c r="I25" i="11"/>
  <c r="I33" i="11"/>
  <c r="I41" i="11"/>
  <c r="I49" i="11"/>
  <c r="I57" i="11"/>
  <c r="I65" i="11"/>
  <c r="I73" i="11"/>
  <c r="H91" i="9"/>
  <c r="I90" i="9"/>
  <c r="D91" i="9"/>
  <c r="I89" i="9"/>
  <c r="I88" i="8"/>
  <c r="I84" i="8"/>
  <c r="I80" i="8"/>
  <c r="I76" i="8"/>
  <c r="I72" i="8"/>
  <c r="I68" i="8"/>
  <c r="I64" i="8"/>
  <c r="I60" i="8"/>
  <c r="I56" i="8"/>
  <c r="I52" i="8"/>
  <c r="I48" i="8"/>
  <c r="I44" i="8"/>
  <c r="I40" i="8"/>
  <c r="I36" i="8"/>
  <c r="I32" i="8"/>
  <c r="I28" i="8"/>
  <c r="I24" i="8"/>
  <c r="I20" i="8"/>
  <c r="I16" i="8"/>
  <c r="I12" i="8"/>
  <c r="I8" i="15"/>
  <c r="I8" i="11"/>
  <c r="H91" i="11"/>
  <c r="I8" i="9"/>
  <c r="H90" i="8"/>
  <c r="I89" i="8"/>
  <c r="D90" i="8"/>
  <c r="I16" i="7"/>
  <c r="I32" i="7"/>
  <c r="I9" i="7"/>
  <c r="I25" i="7"/>
  <c r="I27" i="7"/>
  <c r="I48" i="7"/>
  <c r="I34" i="7"/>
  <c r="I36" i="7"/>
  <c r="I40" i="7"/>
  <c r="I44" i="7"/>
  <c r="I50" i="7"/>
  <c r="I52" i="7"/>
  <c r="I56" i="7"/>
  <c r="I60" i="7"/>
  <c r="I64" i="7"/>
  <c r="I88" i="7"/>
  <c r="I18" i="7"/>
  <c r="I20" i="7"/>
  <c r="I24" i="7"/>
  <c r="I28" i="7"/>
  <c r="I57" i="7"/>
  <c r="I59" i="7"/>
  <c r="I73" i="7"/>
  <c r="I75" i="7"/>
  <c r="I80" i="7"/>
  <c r="I86" i="7"/>
  <c r="I8" i="7"/>
  <c r="I89" i="7" s="1"/>
  <c r="I12" i="7"/>
  <c r="I41" i="7"/>
  <c r="I43" i="7"/>
  <c r="I66" i="7"/>
  <c r="I68" i="7"/>
  <c r="I72" i="7"/>
  <c r="I76" i="7"/>
  <c r="I79" i="7"/>
  <c r="I11" i="7"/>
  <c r="I13" i="7"/>
  <c r="I29" i="7"/>
  <c r="I45" i="7"/>
  <c r="I61" i="7"/>
  <c r="I70" i="7"/>
  <c r="I77" i="7"/>
  <c r="I10" i="7"/>
  <c r="I17" i="7"/>
  <c r="I19" i="7"/>
  <c r="I26" i="7"/>
  <c r="I33" i="7"/>
  <c r="I35" i="7"/>
  <c r="I42" i="7"/>
  <c r="I49" i="7"/>
  <c r="I51" i="7"/>
  <c r="I58" i="7"/>
  <c r="I65" i="7"/>
  <c r="I67" i="7"/>
  <c r="I74" i="7"/>
  <c r="I87" i="7"/>
  <c r="I15" i="7"/>
  <c r="I22" i="7"/>
  <c r="I31" i="7"/>
  <c r="I38" i="7"/>
  <c r="I47" i="7"/>
  <c r="I54" i="7"/>
  <c r="I63" i="7"/>
  <c r="I14" i="7"/>
  <c r="I21" i="7"/>
  <c r="I23" i="7"/>
  <c r="I30" i="7"/>
  <c r="I37" i="7"/>
  <c r="I39" i="7"/>
  <c r="I46" i="7"/>
  <c r="I53" i="7"/>
  <c r="I55" i="7"/>
  <c r="I62" i="7"/>
  <c r="I69" i="7"/>
  <c r="I71" i="7"/>
  <c r="I78" i="7"/>
  <c r="I83" i="6"/>
  <c r="I85" i="6"/>
  <c r="I22" i="6"/>
  <c r="I24" i="6"/>
  <c r="I21" i="6"/>
  <c r="I23" i="6"/>
  <c r="I25" i="6"/>
  <c r="I27" i="6"/>
  <c r="I10" i="6"/>
  <c r="I12" i="6"/>
  <c r="I14" i="6"/>
  <c r="I20" i="6"/>
  <c r="I29" i="6"/>
  <c r="I41" i="6"/>
  <c r="I49" i="6"/>
  <c r="I57" i="6"/>
  <c r="I65" i="6"/>
  <c r="I73" i="6"/>
  <c r="I89" i="6"/>
  <c r="I37" i="6"/>
  <c r="I45" i="6"/>
  <c r="I66" i="6"/>
  <c r="I74" i="6"/>
  <c r="I26" i="6"/>
  <c r="I11" i="6"/>
  <c r="I13" i="6"/>
  <c r="I19" i="6"/>
  <c r="I28" i="6"/>
  <c r="I51" i="6"/>
  <c r="I53" i="6"/>
  <c r="I59" i="6"/>
  <c r="I61" i="6"/>
  <c r="I82" i="6"/>
  <c r="I84" i="6"/>
  <c r="I35" i="6"/>
  <c r="I43" i="6"/>
  <c r="I68" i="6"/>
  <c r="I76" i="6"/>
  <c r="I69" i="6"/>
  <c r="I77" i="6"/>
  <c r="I92" i="5"/>
  <c r="I26" i="5"/>
  <c r="I24" i="5"/>
  <c r="I38" i="5"/>
  <c r="I42" i="5"/>
  <c r="I44" i="5"/>
  <c r="I66" i="5"/>
  <c r="I70" i="5"/>
  <c r="I74" i="5"/>
  <c r="I16" i="5"/>
  <c r="I31" i="5"/>
  <c r="I88" i="5"/>
  <c r="I53" i="5"/>
  <c r="I27" i="5"/>
  <c r="I80" i="5"/>
  <c r="I84" i="5"/>
  <c r="I32" i="5"/>
  <c r="I34" i="5"/>
  <c r="I23" i="5"/>
  <c r="I25" i="5"/>
  <c r="I55" i="5"/>
  <c r="I85" i="5"/>
  <c r="I87" i="5"/>
  <c r="I31" i="4"/>
  <c r="I35" i="4"/>
  <c r="I47" i="4"/>
  <c r="I51" i="4"/>
  <c r="I89" i="4"/>
  <c r="I8" i="4"/>
  <c r="I10" i="4"/>
  <c r="I12" i="4"/>
  <c r="I22" i="4"/>
  <c r="I24" i="4"/>
  <c r="I26" i="4"/>
  <c r="I63" i="4"/>
  <c r="I67" i="4"/>
  <c r="I79" i="4"/>
  <c r="I75" i="4"/>
  <c r="I9" i="4"/>
  <c r="I25" i="4"/>
  <c r="I38" i="4"/>
  <c r="I40" i="4"/>
  <c r="I42" i="4"/>
  <c r="I44" i="4"/>
  <c r="I54" i="4"/>
  <c r="I56" i="4"/>
  <c r="I58" i="4"/>
  <c r="I86" i="4"/>
  <c r="I88" i="4"/>
  <c r="I78" i="4"/>
  <c r="H90" i="4"/>
  <c r="I84" i="4"/>
  <c r="I13" i="4"/>
  <c r="I17" i="4"/>
  <c r="I21" i="4"/>
  <c r="I32" i="4"/>
  <c r="I36" i="4"/>
  <c r="I45" i="4"/>
  <c r="I49" i="4"/>
  <c r="I53" i="4"/>
  <c r="I64" i="4"/>
  <c r="I68" i="4"/>
  <c r="I81" i="4"/>
  <c r="I14" i="4"/>
  <c r="I30" i="4"/>
  <c r="I55" i="4"/>
  <c r="I85" i="4"/>
  <c r="I11" i="4"/>
  <c r="I18" i="4"/>
  <c r="I27" i="4"/>
  <c r="I34" i="4"/>
  <c r="I43" i="4"/>
  <c r="I50" i="4"/>
  <c r="I59" i="4"/>
  <c r="I66" i="4"/>
  <c r="I23" i="4"/>
  <c r="I39" i="4"/>
  <c r="I46" i="4"/>
  <c r="I62" i="4"/>
  <c r="I71" i="4"/>
  <c r="I8" i="6"/>
  <c r="I15" i="6"/>
  <c r="I17" i="6"/>
  <c r="I31" i="6"/>
  <c r="I38" i="6"/>
  <c r="I40" i="6"/>
  <c r="I47" i="6"/>
  <c r="I54" i="6"/>
  <c r="I56" i="6"/>
  <c r="I63" i="6"/>
  <c r="I70" i="6"/>
  <c r="I72" i="6"/>
  <c r="I79" i="6"/>
  <c r="I86" i="6"/>
  <c r="I88" i="6"/>
  <c r="I9" i="6"/>
  <c r="I16" i="6"/>
  <c r="I30" i="6"/>
  <c r="I32" i="6"/>
  <c r="I39" i="6"/>
  <c r="I46" i="6"/>
  <c r="I48" i="6"/>
  <c r="I55" i="6"/>
  <c r="I62" i="6"/>
  <c r="I64" i="6"/>
  <c r="I71" i="6"/>
  <c r="I78" i="6"/>
  <c r="I80" i="6"/>
  <c r="I87" i="6"/>
  <c r="I8" i="5"/>
  <c r="I37" i="5"/>
  <c r="I39" i="5"/>
  <c r="I64" i="5"/>
  <c r="I68" i="5"/>
  <c r="I72" i="5"/>
  <c r="I82" i="5"/>
  <c r="I86" i="5"/>
  <c r="I90" i="5"/>
  <c r="I15" i="5"/>
  <c r="I29" i="5"/>
  <c r="I14" i="5"/>
  <c r="I36" i="5"/>
  <c r="I40" i="5"/>
  <c r="I50" i="5"/>
  <c r="I54" i="5"/>
  <c r="I58" i="5"/>
  <c r="I69" i="5"/>
  <c r="I71" i="5"/>
  <c r="I96" i="5"/>
  <c r="I100" i="5"/>
  <c r="I28" i="5"/>
  <c r="I30" i="5"/>
  <c r="I43" i="5"/>
  <c r="I59" i="5"/>
  <c r="I73" i="5"/>
  <c r="I89" i="5"/>
  <c r="I45" i="5"/>
  <c r="I9" i="5"/>
  <c r="I41" i="5"/>
  <c r="I57" i="5"/>
  <c r="I75" i="5"/>
  <c r="I91" i="5"/>
  <c r="I11" i="5"/>
  <c r="I13" i="5"/>
  <c r="I47" i="5"/>
  <c r="I61" i="5"/>
  <c r="I63" i="5"/>
  <c r="I77" i="5"/>
  <c r="I79" i="5"/>
  <c r="I93" i="5"/>
  <c r="I95" i="5"/>
  <c r="I12" i="5"/>
  <c r="I35" i="5"/>
  <c r="I46" i="5"/>
  <c r="I49" i="5"/>
  <c r="I51" i="5"/>
  <c r="I62" i="5"/>
  <c r="I65" i="5"/>
  <c r="I67" i="5"/>
  <c r="I78" i="5"/>
  <c r="I81" i="5"/>
  <c r="I83" i="5"/>
  <c r="I94" i="5"/>
  <c r="I97" i="5"/>
  <c r="I99" i="5"/>
  <c r="I80" i="2"/>
  <c r="I13" i="2"/>
  <c r="I17" i="2"/>
  <c r="I21" i="2"/>
  <c r="I23" i="2"/>
  <c r="I45" i="2"/>
  <c r="I49" i="2"/>
  <c r="I53" i="2"/>
  <c r="I77" i="2"/>
  <c r="I83" i="2"/>
  <c r="I55" i="2"/>
  <c r="I32" i="2"/>
  <c r="I34" i="2"/>
  <c r="I64" i="2"/>
  <c r="I66" i="2"/>
  <c r="I27" i="2"/>
  <c r="I31" i="2"/>
  <c r="I35" i="2"/>
  <c r="I39" i="2"/>
  <c r="I8" i="2"/>
  <c r="I59" i="2"/>
  <c r="I63" i="2"/>
  <c r="I67" i="2"/>
  <c r="I71" i="2"/>
  <c r="I16" i="2"/>
  <c r="I18" i="2"/>
  <c r="I43" i="2"/>
  <c r="I47" i="2"/>
  <c r="I51" i="2"/>
  <c r="I61" i="2"/>
  <c r="I65" i="2"/>
  <c r="I69" i="2"/>
  <c r="I82" i="2"/>
  <c r="I84" i="2"/>
  <c r="I11" i="2"/>
  <c r="I15" i="2"/>
  <c r="I19" i="2"/>
  <c r="I29" i="2"/>
  <c r="I33" i="2"/>
  <c r="I37" i="2"/>
  <c r="I48" i="2"/>
  <c r="I50" i="2"/>
  <c r="I75" i="2"/>
  <c r="I85" i="2"/>
  <c r="I20" i="2"/>
  <c r="I22" i="2"/>
  <c r="I36" i="2"/>
  <c r="I38" i="2"/>
  <c r="I52" i="2"/>
  <c r="I54" i="2"/>
  <c r="I68" i="2"/>
  <c r="I70" i="2"/>
  <c r="I10" i="2"/>
  <c r="I24" i="2"/>
  <c r="I26" i="2"/>
  <c r="I40" i="2"/>
  <c r="I42" i="2"/>
  <c r="I56" i="2"/>
  <c r="I58" i="2"/>
  <c r="I72" i="2"/>
  <c r="I74" i="2"/>
  <c r="I12" i="2"/>
  <c r="I14" i="2"/>
  <c r="I25" i="2"/>
  <c r="I28" i="2"/>
  <c r="I30" i="2"/>
  <c r="I41" i="2"/>
  <c r="I44" i="2"/>
  <c r="I46" i="2"/>
  <c r="I57" i="2"/>
  <c r="I60" i="2"/>
  <c r="I62" i="2"/>
  <c r="I73" i="2"/>
  <c r="I76" i="2"/>
  <c r="I78" i="2"/>
  <c r="I80" i="3"/>
  <c r="I72" i="3"/>
  <c r="I64" i="3"/>
  <c r="I56" i="3"/>
  <c r="I48" i="3"/>
  <c r="I40" i="3"/>
  <c r="I32" i="3"/>
  <c r="I24" i="3"/>
  <c r="I16" i="3"/>
  <c r="H82" i="3"/>
  <c r="D82" i="3"/>
  <c r="H9" i="1"/>
  <c r="H10" i="1"/>
  <c r="H11" i="1"/>
  <c r="I11" i="1" s="1"/>
  <c r="H12" i="1"/>
  <c r="H13" i="1"/>
  <c r="H14" i="1"/>
  <c r="H15" i="1"/>
  <c r="H16" i="1"/>
  <c r="H17" i="1"/>
  <c r="H18" i="1"/>
  <c r="H19" i="1"/>
  <c r="I19" i="1" s="1"/>
  <c r="H20" i="1"/>
  <c r="H21" i="1"/>
  <c r="H22" i="1"/>
  <c r="H23" i="1"/>
  <c r="H24" i="1"/>
  <c r="H25" i="1"/>
  <c r="H26" i="1"/>
  <c r="H27" i="1"/>
  <c r="I27" i="1" s="1"/>
  <c r="H28" i="1"/>
  <c r="H29" i="1"/>
  <c r="H30" i="1"/>
  <c r="H31" i="1"/>
  <c r="H32" i="1"/>
  <c r="H33" i="1"/>
  <c r="H34" i="1"/>
  <c r="H35" i="1"/>
  <c r="I35" i="1" s="1"/>
  <c r="H36" i="1"/>
  <c r="H37" i="1"/>
  <c r="H38" i="1"/>
  <c r="H39" i="1"/>
  <c r="H40" i="1"/>
  <c r="H41" i="1"/>
  <c r="H42" i="1"/>
  <c r="H43" i="1"/>
  <c r="I43" i="1" s="1"/>
  <c r="H44" i="1"/>
  <c r="H45" i="1"/>
  <c r="H46" i="1"/>
  <c r="H47" i="1"/>
  <c r="H48" i="1"/>
  <c r="H49" i="1"/>
  <c r="H50" i="1"/>
  <c r="H51" i="1"/>
  <c r="I51" i="1" s="1"/>
  <c r="H52" i="1"/>
  <c r="H53" i="1"/>
  <c r="H54" i="1"/>
  <c r="H55" i="1"/>
  <c r="H56" i="1"/>
  <c r="H57" i="1"/>
  <c r="H58" i="1"/>
  <c r="H59" i="1"/>
  <c r="I59" i="1" s="1"/>
  <c r="H60" i="1"/>
  <c r="H61" i="1"/>
  <c r="H62" i="1"/>
  <c r="H63" i="1"/>
  <c r="H64" i="1"/>
  <c r="H65" i="1"/>
  <c r="H66" i="1"/>
  <c r="H67" i="1"/>
  <c r="I67" i="1" s="1"/>
  <c r="H68" i="1"/>
  <c r="H69" i="1"/>
  <c r="H70" i="1"/>
  <c r="H71" i="1"/>
  <c r="H72" i="1"/>
  <c r="H73" i="1"/>
  <c r="H74" i="1"/>
  <c r="H75" i="1"/>
  <c r="I75" i="1" s="1"/>
  <c r="H76" i="1"/>
  <c r="H77" i="1"/>
  <c r="H8" i="1"/>
  <c r="D9" i="1"/>
  <c r="D10" i="1"/>
  <c r="D11" i="1"/>
  <c r="D12" i="1"/>
  <c r="I12" i="1" s="1"/>
  <c r="D13" i="1"/>
  <c r="I13" i="1" s="1"/>
  <c r="D14" i="1"/>
  <c r="I14" i="1" s="1"/>
  <c r="D15" i="1"/>
  <c r="D16" i="1"/>
  <c r="D17" i="1"/>
  <c r="D18" i="1"/>
  <c r="D19" i="1"/>
  <c r="D20" i="1"/>
  <c r="I20" i="1" s="1"/>
  <c r="D21" i="1"/>
  <c r="I21" i="1" s="1"/>
  <c r="D22" i="1"/>
  <c r="I22" i="1" s="1"/>
  <c r="D23" i="1"/>
  <c r="D24" i="1"/>
  <c r="D25" i="1"/>
  <c r="D26" i="1"/>
  <c r="D27" i="1"/>
  <c r="D28" i="1"/>
  <c r="I28" i="1" s="1"/>
  <c r="D29" i="1"/>
  <c r="I29" i="1" s="1"/>
  <c r="D30" i="1"/>
  <c r="I30" i="1" s="1"/>
  <c r="D31" i="1"/>
  <c r="D32" i="1"/>
  <c r="D33" i="1"/>
  <c r="D34" i="1"/>
  <c r="D35" i="1"/>
  <c r="D36" i="1"/>
  <c r="I36" i="1" s="1"/>
  <c r="D37" i="1"/>
  <c r="I37" i="1" s="1"/>
  <c r="D38" i="1"/>
  <c r="I38" i="1" s="1"/>
  <c r="D39" i="1"/>
  <c r="D40" i="1"/>
  <c r="D41" i="1"/>
  <c r="D42" i="1"/>
  <c r="D43" i="1"/>
  <c r="D44" i="1"/>
  <c r="I44" i="1" s="1"/>
  <c r="D45" i="1"/>
  <c r="I45" i="1" s="1"/>
  <c r="D46" i="1"/>
  <c r="I46" i="1" s="1"/>
  <c r="D47" i="1"/>
  <c r="D48" i="1"/>
  <c r="D49" i="1"/>
  <c r="D50" i="1"/>
  <c r="D51" i="1"/>
  <c r="D52" i="1"/>
  <c r="I52" i="1" s="1"/>
  <c r="D53" i="1"/>
  <c r="I53" i="1" s="1"/>
  <c r="D54" i="1"/>
  <c r="I54" i="1" s="1"/>
  <c r="D55" i="1"/>
  <c r="D56" i="1"/>
  <c r="D57" i="1"/>
  <c r="D58" i="1"/>
  <c r="D59" i="1"/>
  <c r="D60" i="1"/>
  <c r="I60" i="1" s="1"/>
  <c r="D61" i="1"/>
  <c r="I61" i="1" s="1"/>
  <c r="D62" i="1"/>
  <c r="I62" i="1" s="1"/>
  <c r="D63" i="1"/>
  <c r="D64" i="1"/>
  <c r="D65" i="1"/>
  <c r="D66" i="1"/>
  <c r="D67" i="1"/>
  <c r="D68" i="1"/>
  <c r="I68" i="1" s="1"/>
  <c r="D69" i="1"/>
  <c r="I69" i="1" s="1"/>
  <c r="D70" i="1"/>
  <c r="I70" i="1" s="1"/>
  <c r="D71" i="1"/>
  <c r="D72" i="1"/>
  <c r="D73" i="1"/>
  <c r="D74" i="1"/>
  <c r="D75" i="1"/>
  <c r="D76" i="1"/>
  <c r="D77" i="1"/>
  <c r="D8" i="1"/>
  <c r="I8" i="1" s="1"/>
  <c r="C78" i="1"/>
  <c r="E78" i="1"/>
  <c r="F78" i="1"/>
  <c r="G78" i="1"/>
  <c r="B78" i="1"/>
  <c r="I66" i="1" l="1"/>
  <c r="I50" i="1"/>
  <c r="I34" i="1"/>
  <c r="I26" i="1"/>
  <c r="I18" i="1"/>
  <c r="I10" i="1"/>
  <c r="I78" i="1" s="1"/>
  <c r="I49" i="1"/>
  <c r="I15" i="1"/>
  <c r="I74" i="1"/>
  <c r="I58" i="1"/>
  <c r="I42" i="1"/>
  <c r="I73" i="1"/>
  <c r="I65" i="1"/>
  <c r="I57" i="1"/>
  <c r="I41" i="1"/>
  <c r="I33" i="1"/>
  <c r="I25" i="1"/>
  <c r="I17" i="1"/>
  <c r="I9" i="1"/>
  <c r="I71" i="1"/>
  <c r="I63" i="1"/>
  <c r="I55" i="1"/>
  <c r="I47" i="1"/>
  <c r="I39" i="1"/>
  <c r="I31" i="1"/>
  <c r="I23" i="1"/>
  <c r="I72" i="1"/>
  <c r="I64" i="1"/>
  <c r="I56" i="1"/>
  <c r="I48" i="1"/>
  <c r="I40" i="1"/>
  <c r="I32" i="1"/>
  <c r="I24" i="1"/>
  <c r="I16" i="1"/>
  <c r="I83" i="16"/>
  <c r="I83" i="17"/>
  <c r="I81" i="10"/>
  <c r="I80" i="12"/>
  <c r="I92" i="13"/>
  <c r="I99" i="18"/>
  <c r="I92" i="15"/>
  <c r="I91" i="11"/>
  <c r="I91" i="9"/>
  <c r="I90" i="8"/>
  <c r="I90" i="6"/>
  <c r="I101" i="5"/>
  <c r="I90" i="4"/>
  <c r="I86" i="2"/>
  <c r="I82" i="3"/>
  <c r="I76" i="1"/>
  <c r="H78" i="1"/>
  <c r="I77" i="1"/>
  <c r="D78" i="1"/>
</calcChain>
</file>

<file path=xl/sharedStrings.xml><?xml version="1.0" encoding="utf-8"?>
<sst xmlns="http://schemas.openxmlformats.org/spreadsheetml/2006/main" count="1602" uniqueCount="179">
  <si>
    <t>Total</t>
  </si>
  <si>
    <t>Laws</t>
  </si>
  <si>
    <t>Table D1</t>
  </si>
  <si>
    <t>Departmental Student Numbers by Method of Study</t>
  </si>
  <si>
    <t>Department</t>
  </si>
  <si>
    <t>Undergraduate</t>
  </si>
  <si>
    <t>Graduate</t>
  </si>
  <si>
    <t>Anatomy and Developmental Biology</t>
  </si>
  <si>
    <t>Anthropology</t>
  </si>
  <si>
    <t>Institute of Archaeology</t>
  </si>
  <si>
    <t>Bartlett School of Architecture</t>
  </si>
  <si>
    <t>Biochemistry and Molecular Biology</t>
  </si>
  <si>
    <t>Biology</t>
  </si>
  <si>
    <t>Chemical and Biochemical Engineering</t>
  </si>
  <si>
    <t>Chemistry</t>
  </si>
  <si>
    <t>Civil and Environmental Engineering</t>
  </si>
  <si>
    <t>Computer Science</t>
  </si>
  <si>
    <t>Development Planning Unit</t>
  </si>
  <si>
    <t>Dutch Language and Literature</t>
  </si>
  <si>
    <t>Economics</t>
  </si>
  <si>
    <t>Electronic and Electrical Engineering</t>
  </si>
  <si>
    <t>English Language and Literature</t>
  </si>
  <si>
    <t>Slade School of Fine Art</t>
  </si>
  <si>
    <t>French</t>
  </si>
  <si>
    <t>Geography</t>
  </si>
  <si>
    <t>Geological Sciences</t>
  </si>
  <si>
    <t>German</t>
  </si>
  <si>
    <t>Greek &amp; Latin</t>
  </si>
  <si>
    <t>Hebrew &amp; Jewish Studies</t>
  </si>
  <si>
    <t>HERDU</t>
  </si>
  <si>
    <t>History</t>
  </si>
  <si>
    <t>History Of Art</t>
  </si>
  <si>
    <t>Human Communication Science</t>
  </si>
  <si>
    <t>Italian</t>
  </si>
  <si>
    <t>Library, Archive and Information Studies</t>
  </si>
  <si>
    <t>Mathematics</t>
  </si>
  <si>
    <t>Mechanical Engineering</t>
  </si>
  <si>
    <t>Medical Physics</t>
  </si>
  <si>
    <t>Modern European Studies</t>
  </si>
  <si>
    <t>Pharmacology</t>
  </si>
  <si>
    <t>Philosophy</t>
  </si>
  <si>
    <t>Phonetics and Linguistics</t>
  </si>
  <si>
    <t>Photogrammetry and Surveying</t>
  </si>
  <si>
    <t>Physics and Astronomy</t>
  </si>
  <si>
    <t>Physiology</t>
  </si>
  <si>
    <t>Psychology</t>
  </si>
  <si>
    <t>Scandinavian Studies</t>
  </si>
  <si>
    <t>Science and Technology Studies</t>
  </si>
  <si>
    <t>Space and Climate Physics</t>
  </si>
  <si>
    <t>Spanish and Latin American Studies</t>
  </si>
  <si>
    <t>Statistical Science</t>
  </si>
  <si>
    <t>Intercollegiate Course</t>
  </si>
  <si>
    <t>Interdepartmental Course</t>
  </si>
  <si>
    <t>Pre-Clinical Studies</t>
  </si>
  <si>
    <t>Clinical Studies</t>
  </si>
  <si>
    <t>Bacteriology</t>
  </si>
  <si>
    <t>Epidemiology and Public Health</t>
  </si>
  <si>
    <t>Haematology</t>
  </si>
  <si>
    <t>Histopathology</t>
  </si>
  <si>
    <t>Immunology</t>
  </si>
  <si>
    <t>Laryngology and Otology</t>
  </si>
  <si>
    <t>Medicine</t>
  </si>
  <si>
    <t>Molecular Pathology</t>
  </si>
  <si>
    <t>Neurological Studies</t>
  </si>
  <si>
    <t>Nuclear Medicine</t>
  </si>
  <si>
    <t>Obstetrics and Gynaecology</t>
  </si>
  <si>
    <t>Oncology</t>
  </si>
  <si>
    <t>Orthopaedics</t>
  </si>
  <si>
    <t>Paediatrics</t>
  </si>
  <si>
    <t>Primary Health Care (CHIME)</t>
  </si>
  <si>
    <t>Psychiatry</t>
  </si>
  <si>
    <t>Sexually Transmitted Diseases</t>
  </si>
  <si>
    <t>Surgery</t>
  </si>
  <si>
    <t>Urology and Nephrology</t>
  </si>
  <si>
    <t>Virology</t>
  </si>
  <si>
    <t>Institute of Ophthalmology</t>
  </si>
  <si>
    <t>Full Time</t>
  </si>
  <si>
    <t>Part Time</t>
  </si>
  <si>
    <t>Study Leave</t>
  </si>
  <si>
    <t>Bartlett School</t>
  </si>
  <si>
    <t>Centre for Advanced Instrumentation Systems</t>
  </si>
  <si>
    <t>Greek and Latin</t>
  </si>
  <si>
    <t>Hebrew and Jewish Studies</t>
  </si>
  <si>
    <t>History of Art</t>
  </si>
  <si>
    <t>Epidemiology and Public Health Medicine</t>
  </si>
  <si>
    <t>Medicine (Cruciform Project)</t>
  </si>
  <si>
    <t>Molecular Endocrinology</t>
  </si>
  <si>
    <t>Institute of Child Health</t>
  </si>
  <si>
    <t>The study leave column includes students consulting by post. In all other tables students on study leave are included in the relevant full-time or part-time column.</t>
  </si>
  <si>
    <t>Geomatic Engineering</t>
  </si>
  <si>
    <t>Centre for Professional Development</t>
  </si>
  <si>
    <t>CHIME</t>
  </si>
  <si>
    <t>Podiatry</t>
  </si>
  <si>
    <t>Primary Health Care</t>
  </si>
  <si>
    <t>Institute of Neurology</t>
  </si>
  <si>
    <t>Biochemical Engineering</t>
  </si>
  <si>
    <t>Chemical Engineering</t>
  </si>
  <si>
    <t>Gatsby Computational Neuroscience Unit</t>
  </si>
  <si>
    <t>School of Public Policy</t>
  </si>
  <si>
    <t>Wolfson Institute for Biomedical Research</t>
  </si>
  <si>
    <t>Royal Free Hospital School of Medicine</t>
  </si>
  <si>
    <t>COMPLEX</t>
  </si>
  <si>
    <t>Eastman Dental Institute</t>
  </si>
  <si>
    <t>Molecular Pathology and Clinical Biochemistry</t>
  </si>
  <si>
    <t>RLW Inst of Neurological Studies</t>
  </si>
  <si>
    <t>Primary Care and Population studies</t>
  </si>
  <si>
    <t>School of Slavonic and East European Studies</t>
  </si>
  <si>
    <t>Library, Archive and Information Management</t>
  </si>
  <si>
    <t>Clinical Neurosciences</t>
  </si>
  <si>
    <t>Immunology and Molecular Pathology</t>
  </si>
  <si>
    <t>Medical Microbiology</t>
  </si>
  <si>
    <t>RLW Institute of Neurological Studies</t>
  </si>
  <si>
    <t>Paediatrics and Child Health</t>
  </si>
  <si>
    <t>Primary Care and Population Sciences</t>
  </si>
  <si>
    <t>Psychiatry and Behavioural Sciences</t>
  </si>
  <si>
    <t>School of East European and Slavonic Stds</t>
  </si>
  <si>
    <t>Centre for Advanced Instrumentation Sys.</t>
  </si>
  <si>
    <t>School of Slavonic and E. European Stds</t>
  </si>
  <si>
    <t>Wolfson Inst. for Biomedical Research</t>
  </si>
  <si>
    <t>Institute of Laryngology and Otology</t>
  </si>
  <si>
    <t>School of Podiatry</t>
  </si>
  <si>
    <t>Institute of Urology and Nephrology</t>
  </si>
  <si>
    <t>Earth Sciences</t>
  </si>
  <si>
    <t>Education and Professional Development</t>
  </si>
  <si>
    <t>Physical Sciences</t>
  </si>
  <si>
    <t>Centre for European Studies</t>
  </si>
  <si>
    <t>European Social and Political Studies</t>
  </si>
  <si>
    <t>Human Sciences</t>
  </si>
  <si>
    <t>Language Centre (Affiliates)</t>
  </si>
  <si>
    <t>Infection</t>
  </si>
  <si>
    <t>CALT</t>
  </si>
  <si>
    <t>Gynaecological Oncology</t>
  </si>
  <si>
    <t>Mental Health Sciences</t>
  </si>
  <si>
    <t>Pathology</t>
  </si>
  <si>
    <t>Management Studies Centre</t>
  </si>
  <si>
    <t>Natural/Physical Sciences</t>
  </si>
  <si>
    <t>Political Science</t>
  </si>
  <si>
    <t>Ear Institute</t>
  </si>
  <si>
    <t>Institute of Orthopaedics and Musculoskeletal Science</t>
  </si>
  <si>
    <t>Institute of Urology</t>
  </si>
  <si>
    <t>Bartlett School of Constrctn. &amp; Prj. Mgmt.</t>
  </si>
  <si>
    <t>Bartlett School of Graduate Studies</t>
  </si>
  <si>
    <t>Bartlett School of Planning</t>
  </si>
  <si>
    <t>Centre for Intercultural Studies</t>
  </si>
  <si>
    <t>CoMPLEX</t>
  </si>
  <si>
    <t>Jill Dando Institute of Crime Science</t>
  </si>
  <si>
    <t>Interdepartmental Programmes</t>
  </si>
  <si>
    <t>Orthopaedics and Musculoskeletal Sci.</t>
  </si>
  <si>
    <t>Centre for Advanced Spatial Analysis</t>
  </si>
  <si>
    <t>Civil, Environmental and Geomatic Eng.</t>
  </si>
  <si>
    <t>Management Science and Innovation</t>
  </si>
  <si>
    <t>Natural Sciences Office</t>
  </si>
  <si>
    <t>2009-10</t>
  </si>
  <si>
    <t>Division of Biosciences</t>
  </si>
  <si>
    <t>Wellcome Trust Centre History of Medicine</t>
  </si>
  <si>
    <t>Faculty of Life Sciences</t>
  </si>
  <si>
    <t>Laboratory for Molecular Cell Biology</t>
  </si>
  <si>
    <t>Division of Psychology and Language Sci.</t>
  </si>
  <si>
    <t>Cancer Institute</t>
  </si>
  <si>
    <t>Division of Infection and Immunity</t>
  </si>
  <si>
    <t>Division of Medicine</t>
  </si>
  <si>
    <t>Division of Population Health</t>
  </si>
  <si>
    <t>Division of Research Strategy</t>
  </si>
  <si>
    <t>Division of Surgery and Interventional Sci</t>
  </si>
  <si>
    <t>Institute for Women's Health</t>
  </si>
  <si>
    <t>Faculty of Engineering Sciences</t>
  </si>
  <si>
    <t>Information Studies</t>
  </si>
  <si>
    <t>Security and Crime Science</t>
  </si>
  <si>
    <t>Faculty of Biomedical Sciences</t>
  </si>
  <si>
    <t>Division of Medical Education</t>
  </si>
  <si>
    <t>UCL Medical School</t>
  </si>
  <si>
    <t>School of Energy &amp; Resources (Australia)</t>
  </si>
  <si>
    <t>UCL Energy Institute</t>
  </si>
  <si>
    <t>School of Energy and Resources-Australia</t>
  </si>
  <si>
    <t>European Social and Political Studies and Political Studies</t>
  </si>
  <si>
    <t>Gatsby Computational Neuroscienc</t>
  </si>
  <si>
    <t>Faculty of Brain Sciences</t>
  </si>
  <si>
    <t>Institute of Cardiovascular Science</t>
  </si>
  <si>
    <t>Faculty of Medical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</si>
</sst>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6CCFF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rgb="FF000000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0" borderId="3" xfId="0" applyFont="1" applyBorder="1"/>
    <xf numFmtId="0" fontId="3" fillId="0" borderId="4" xfId="0" applyFont="1" applyBorder="1"/>
    <xf numFmtId="0" fontId="6" fillId="0" borderId="2" xfId="0" applyFont="1" applyBorder="1"/>
    <xf numFmtId="0" fontId="3" fillId="0" borderId="8" xfId="0" applyFont="1" applyBorder="1"/>
    <xf numFmtId="0" fontId="6" fillId="0" borderId="16" xfId="0" applyFont="1" applyBorder="1"/>
    <xf numFmtId="0" fontId="6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4" fillId="0" borderId="20" xfId="0" applyFont="1" applyBorder="1"/>
    <xf numFmtId="0" fontId="6" fillId="0" borderId="22" xfId="0" applyFont="1" applyBorder="1"/>
    <xf numFmtId="0" fontId="3" fillId="0" borderId="24" xfId="0" applyFont="1" applyBorder="1"/>
    <xf numFmtId="0" fontId="4" fillId="0" borderId="25" xfId="0" applyFont="1" applyBorder="1"/>
    <xf numFmtId="0" fontId="6" fillId="0" borderId="27" xfId="0" applyFont="1" applyBorder="1"/>
    <xf numFmtId="0" fontId="3" fillId="0" borderId="29" xfId="0" applyFont="1" applyBorder="1"/>
    <xf numFmtId="0" fontId="4" fillId="0" borderId="30" xfId="0" applyFont="1" applyBorder="1"/>
    <xf numFmtId="0" fontId="0" fillId="0" borderId="0" xfId="0" applyAlignment="1">
      <alignment horizontal="left" wrapText="1"/>
    </xf>
    <xf numFmtId="0" fontId="6" fillId="0" borderId="24" xfId="0" applyFont="1" applyBorder="1"/>
    <xf numFmtId="0" fontId="6" fillId="0" borderId="18" xfId="0" applyFont="1" applyBorder="1"/>
    <xf numFmtId="0" fontId="6" fillId="0" borderId="4" xfId="0" applyFont="1" applyBorder="1"/>
    <xf numFmtId="0" fontId="6" fillId="0" borderId="8" xfId="0" applyFont="1" applyBorder="1"/>
    <xf numFmtId="0" fontId="6" fillId="0" borderId="19" xfId="0" applyFont="1" applyBorder="1"/>
    <xf numFmtId="0" fontId="6" fillId="0" borderId="29" xfId="0" applyFont="1" applyBorder="1"/>
    <xf numFmtId="0" fontId="6" fillId="0" borderId="31" xfId="0" applyFont="1" applyBorder="1"/>
    <xf numFmtId="0" fontId="0" fillId="0" borderId="0" xfId="0" applyAlignment="1">
      <alignment wrapText="1"/>
    </xf>
    <xf numFmtId="0" fontId="8" fillId="0" borderId="0" xfId="0" applyFont="1" applyAlignment="1">
      <alignment vertical="center"/>
    </xf>
    <xf numFmtId="0" fontId="7" fillId="2" borderId="5" xfId="0" applyFont="1" applyFill="1" applyBorder="1" applyAlignment="1">
      <alignment horizontal="center" wrapText="1"/>
    </xf>
    <xf numFmtId="0" fontId="7" fillId="2" borderId="7" xfId="0" applyFont="1" applyFill="1" applyBorder="1" applyAlignment="1">
      <alignment horizontal="center" wrapText="1"/>
    </xf>
    <xf numFmtId="0" fontId="7" fillId="2" borderId="13" xfId="0" applyFont="1" applyFill="1" applyBorder="1" applyAlignment="1">
      <alignment horizontal="center" wrapText="1"/>
    </xf>
    <xf numFmtId="0" fontId="7" fillId="2" borderId="15" xfId="0" applyFont="1" applyFill="1" applyBorder="1" applyAlignment="1">
      <alignment horizontal="center" wrapText="1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/>
    </xf>
    <xf numFmtId="0" fontId="7" fillId="2" borderId="21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7" fillId="2" borderId="26" xfId="0" applyFont="1" applyFill="1" applyBorder="1" applyAlignment="1">
      <alignment horizontal="center"/>
    </xf>
    <xf numFmtId="0" fontId="7" fillId="2" borderId="27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 wrapText="1"/>
    </xf>
    <xf numFmtId="0" fontId="7" fillId="2" borderId="14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wrapText="1"/>
    </xf>
    <xf numFmtId="0" fontId="7" fillId="2" borderId="6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86"/>
  <sheetViews>
    <sheetView tabSelected="1" view="pageLayout" topLeftCell="A37" zoomScale="85" zoomScaleNormal="100" zoomScalePageLayoutView="85" workbookViewId="0">
      <selection activeCell="A47" sqref="A47"/>
    </sheetView>
  </sheetViews>
  <sheetFormatPr defaultColWidth="9" defaultRowHeight="15" x14ac:dyDescent="0.25"/>
  <cols>
    <col min="1" max="1" width="31.28515625" customWidth="1"/>
    <col min="2" max="9" width="6.7109375" customWidth="1"/>
  </cols>
  <sheetData>
    <row r="1" spans="1:9" ht="18" x14ac:dyDescent="0.25">
      <c r="A1" s="1" t="s">
        <v>2</v>
      </c>
      <c r="B1" s="3"/>
    </row>
    <row r="2" spans="1:9" x14ac:dyDescent="0.25">
      <c r="A2" s="34" t="s">
        <v>3</v>
      </c>
      <c r="B2" s="34"/>
      <c r="C2" s="34"/>
      <c r="D2" s="34"/>
      <c r="E2" s="34"/>
      <c r="F2" s="34"/>
      <c r="G2" s="34"/>
      <c r="H2" s="34"/>
      <c r="I2" s="34"/>
    </row>
    <row r="3" spans="1:9" ht="15.75" customHeight="1" x14ac:dyDescent="0.25">
      <c r="A3" s="28" t="str">
        <f ca="1">RIGHT(CELL("filename",A1),LEN(CELL("filename",A1))-FIND("]",CELL("filename",A1)))</f>
        <v>2011-12</v>
      </c>
      <c r="B3" s="3"/>
    </row>
    <row r="4" spans="1:9" ht="15.75" thickBot="1" x14ac:dyDescent="0.3">
      <c r="A4" s="3"/>
      <c r="B4" s="3"/>
    </row>
    <row r="5" spans="1:9" x14ac:dyDescent="0.25">
      <c r="A5" s="35" t="s">
        <v>4</v>
      </c>
      <c r="B5" s="38" t="s">
        <v>5</v>
      </c>
      <c r="C5" s="39"/>
      <c r="D5" s="39"/>
      <c r="E5" s="38" t="s">
        <v>6</v>
      </c>
      <c r="F5" s="39"/>
      <c r="G5" s="39"/>
      <c r="H5" s="40"/>
      <c r="I5" s="41" t="s">
        <v>0</v>
      </c>
    </row>
    <row r="6" spans="1:9" ht="15" customHeight="1" x14ac:dyDescent="0.25">
      <c r="A6" s="36"/>
      <c r="B6" s="44" t="s">
        <v>76</v>
      </c>
      <c r="C6" s="29" t="s">
        <v>77</v>
      </c>
      <c r="D6" s="46" t="s">
        <v>0</v>
      </c>
      <c r="E6" s="44" t="s">
        <v>76</v>
      </c>
      <c r="F6" s="29" t="s">
        <v>77</v>
      </c>
      <c r="G6" s="29" t="s">
        <v>78</v>
      </c>
      <c r="H6" s="31" t="s">
        <v>0</v>
      </c>
      <c r="I6" s="42"/>
    </row>
    <row r="7" spans="1:9" x14ac:dyDescent="0.25">
      <c r="A7" s="37"/>
      <c r="B7" s="45"/>
      <c r="C7" s="30"/>
      <c r="D7" s="47"/>
      <c r="E7" s="45"/>
      <c r="F7" s="30"/>
      <c r="G7" s="30"/>
      <c r="H7" s="32"/>
      <c r="I7" s="43"/>
    </row>
    <row r="8" spans="1:9" x14ac:dyDescent="0.25">
      <c r="A8" s="13" t="s">
        <v>8</v>
      </c>
      <c r="B8" s="8">
        <v>193</v>
      </c>
      <c r="C8" s="4">
        <v>0</v>
      </c>
      <c r="D8" s="6">
        <f>B8+C8</f>
        <v>193</v>
      </c>
      <c r="E8" s="8">
        <v>182</v>
      </c>
      <c r="F8" s="4">
        <v>55</v>
      </c>
      <c r="G8" s="4">
        <v>14</v>
      </c>
      <c r="H8" s="9">
        <f>E8+F8+G8</f>
        <v>251</v>
      </c>
      <c r="I8" s="16">
        <f>H8+D8</f>
        <v>444</v>
      </c>
    </row>
    <row r="9" spans="1:9" x14ac:dyDescent="0.25">
      <c r="A9" s="13" t="s">
        <v>9</v>
      </c>
      <c r="B9" s="8">
        <v>217</v>
      </c>
      <c r="C9" s="4">
        <v>7</v>
      </c>
      <c r="D9" s="6">
        <f t="shared" ref="D9:D72" si="0">B9+C9</f>
        <v>224</v>
      </c>
      <c r="E9" s="8">
        <v>275</v>
      </c>
      <c r="F9" s="4">
        <v>88</v>
      </c>
      <c r="G9" s="4">
        <v>2</v>
      </c>
      <c r="H9" s="9">
        <f t="shared" ref="H9:H72" si="1">E9+F9+G9</f>
        <v>365</v>
      </c>
      <c r="I9" s="16">
        <f t="shared" ref="I9:I72" si="2">H9+D9</f>
        <v>589</v>
      </c>
    </row>
    <row r="10" spans="1:9" x14ac:dyDescent="0.25">
      <c r="A10" s="13" t="s">
        <v>10</v>
      </c>
      <c r="B10" s="8">
        <v>327</v>
      </c>
      <c r="C10" s="4">
        <v>12</v>
      </c>
      <c r="D10" s="6">
        <f t="shared" si="0"/>
        <v>339</v>
      </c>
      <c r="E10" s="8">
        <v>270</v>
      </c>
      <c r="F10" s="4">
        <v>25</v>
      </c>
      <c r="G10" s="4">
        <v>1</v>
      </c>
      <c r="H10" s="9">
        <f t="shared" si="1"/>
        <v>296</v>
      </c>
      <c r="I10" s="16">
        <f t="shared" si="2"/>
        <v>635</v>
      </c>
    </row>
    <row r="11" spans="1:9" x14ac:dyDescent="0.25">
      <c r="A11" s="13" t="s">
        <v>140</v>
      </c>
      <c r="B11" s="8">
        <v>102</v>
      </c>
      <c r="C11" s="4">
        <v>0</v>
      </c>
      <c r="D11" s="6">
        <f t="shared" si="0"/>
        <v>102</v>
      </c>
      <c r="E11" s="8">
        <v>98</v>
      </c>
      <c r="F11" s="4">
        <v>54</v>
      </c>
      <c r="G11" s="4">
        <v>0</v>
      </c>
      <c r="H11" s="9">
        <f t="shared" si="1"/>
        <v>152</v>
      </c>
      <c r="I11" s="16">
        <f t="shared" si="2"/>
        <v>254</v>
      </c>
    </row>
    <row r="12" spans="1:9" x14ac:dyDescent="0.25">
      <c r="A12" s="13" t="s">
        <v>141</v>
      </c>
      <c r="B12" s="8">
        <v>0</v>
      </c>
      <c r="C12" s="4">
        <v>0</v>
      </c>
      <c r="D12" s="6">
        <f t="shared" si="0"/>
        <v>0</v>
      </c>
      <c r="E12" s="8">
        <v>140</v>
      </c>
      <c r="F12" s="4">
        <v>109</v>
      </c>
      <c r="G12" s="4">
        <v>1</v>
      </c>
      <c r="H12" s="9">
        <f t="shared" si="1"/>
        <v>250</v>
      </c>
      <c r="I12" s="16">
        <f t="shared" si="2"/>
        <v>250</v>
      </c>
    </row>
    <row r="13" spans="1:9" x14ac:dyDescent="0.25">
      <c r="A13" s="13" t="s">
        <v>142</v>
      </c>
      <c r="B13" s="8">
        <v>128</v>
      </c>
      <c r="C13" s="4">
        <v>1</v>
      </c>
      <c r="D13" s="6">
        <f t="shared" si="0"/>
        <v>129</v>
      </c>
      <c r="E13" s="8">
        <v>182</v>
      </c>
      <c r="F13" s="4">
        <v>87</v>
      </c>
      <c r="G13" s="4">
        <v>1</v>
      </c>
      <c r="H13" s="9">
        <f t="shared" si="1"/>
        <v>270</v>
      </c>
      <c r="I13" s="16">
        <f t="shared" si="2"/>
        <v>399</v>
      </c>
    </row>
    <row r="14" spans="1:9" x14ac:dyDescent="0.25">
      <c r="A14" s="13" t="s">
        <v>95</v>
      </c>
      <c r="B14" s="8">
        <v>153</v>
      </c>
      <c r="C14" s="4">
        <v>2</v>
      </c>
      <c r="D14" s="6">
        <f t="shared" si="0"/>
        <v>155</v>
      </c>
      <c r="E14" s="8">
        <v>124</v>
      </c>
      <c r="F14" s="4">
        <v>5</v>
      </c>
      <c r="G14" s="4">
        <v>0</v>
      </c>
      <c r="H14" s="9">
        <f t="shared" si="1"/>
        <v>129</v>
      </c>
      <c r="I14" s="16">
        <f t="shared" si="2"/>
        <v>284</v>
      </c>
    </row>
    <row r="15" spans="1:9" x14ac:dyDescent="0.25">
      <c r="A15" s="13" t="s">
        <v>153</v>
      </c>
      <c r="B15" s="8">
        <v>1159</v>
      </c>
      <c r="C15" s="4">
        <v>24</v>
      </c>
      <c r="D15" s="6">
        <f t="shared" si="0"/>
        <v>1183</v>
      </c>
      <c r="E15" s="8">
        <v>336</v>
      </c>
      <c r="F15" s="4">
        <v>27</v>
      </c>
      <c r="G15" s="4">
        <v>0</v>
      </c>
      <c r="H15" s="9">
        <f t="shared" si="1"/>
        <v>363</v>
      </c>
      <c r="I15" s="16">
        <f t="shared" si="2"/>
        <v>1546</v>
      </c>
    </row>
    <row r="16" spans="1:9" x14ac:dyDescent="0.25">
      <c r="A16" s="13" t="s">
        <v>148</v>
      </c>
      <c r="B16" s="8">
        <v>0</v>
      </c>
      <c r="C16" s="4">
        <v>0</v>
      </c>
      <c r="D16" s="6">
        <f t="shared" si="0"/>
        <v>0</v>
      </c>
      <c r="E16" s="8">
        <v>13</v>
      </c>
      <c r="F16" s="4">
        <v>4</v>
      </c>
      <c r="G16" s="4">
        <v>0</v>
      </c>
      <c r="H16" s="9">
        <f t="shared" si="1"/>
        <v>17</v>
      </c>
      <c r="I16" s="16">
        <f t="shared" si="2"/>
        <v>17</v>
      </c>
    </row>
    <row r="17" spans="1:9" x14ac:dyDescent="0.25">
      <c r="A17" s="13" t="s">
        <v>125</v>
      </c>
      <c r="B17" s="8">
        <v>0</v>
      </c>
      <c r="C17" s="4">
        <v>0</v>
      </c>
      <c r="D17" s="6">
        <f t="shared" si="0"/>
        <v>0</v>
      </c>
      <c r="E17" s="8">
        <v>44</v>
      </c>
      <c r="F17" s="4">
        <v>7</v>
      </c>
      <c r="G17" s="4">
        <v>1</v>
      </c>
      <c r="H17" s="9">
        <f t="shared" si="1"/>
        <v>52</v>
      </c>
      <c r="I17" s="16">
        <f t="shared" si="2"/>
        <v>52</v>
      </c>
    </row>
    <row r="18" spans="1:9" x14ac:dyDescent="0.25">
      <c r="A18" s="13" t="s">
        <v>143</v>
      </c>
      <c r="B18" s="8">
        <v>0</v>
      </c>
      <c r="C18" s="4">
        <v>0</v>
      </c>
      <c r="D18" s="6">
        <f t="shared" si="0"/>
        <v>0</v>
      </c>
      <c r="E18" s="8">
        <v>98</v>
      </c>
      <c r="F18" s="4">
        <v>35</v>
      </c>
      <c r="G18" s="4">
        <v>0</v>
      </c>
      <c r="H18" s="9">
        <f t="shared" si="1"/>
        <v>133</v>
      </c>
      <c r="I18" s="16">
        <f t="shared" si="2"/>
        <v>133</v>
      </c>
    </row>
    <row r="19" spans="1:9" x14ac:dyDescent="0.25">
      <c r="A19" s="13" t="s">
        <v>144</v>
      </c>
      <c r="B19" s="8">
        <v>0</v>
      </c>
      <c r="C19" s="4">
        <v>0</v>
      </c>
      <c r="D19" s="6">
        <f t="shared" si="0"/>
        <v>0</v>
      </c>
      <c r="E19" s="8">
        <v>67</v>
      </c>
      <c r="F19" s="4">
        <v>0</v>
      </c>
      <c r="G19" s="4">
        <v>0</v>
      </c>
      <c r="H19" s="9">
        <f t="shared" si="1"/>
        <v>67</v>
      </c>
      <c r="I19" s="16">
        <f t="shared" si="2"/>
        <v>67</v>
      </c>
    </row>
    <row r="20" spans="1:9" x14ac:dyDescent="0.25">
      <c r="A20" s="13" t="s">
        <v>130</v>
      </c>
      <c r="B20" s="8">
        <v>0</v>
      </c>
      <c r="C20" s="4">
        <v>0</v>
      </c>
      <c r="D20" s="6">
        <f t="shared" si="0"/>
        <v>0</v>
      </c>
      <c r="E20" s="8">
        <v>0</v>
      </c>
      <c r="F20" s="4">
        <v>23</v>
      </c>
      <c r="G20" s="4">
        <v>0</v>
      </c>
      <c r="H20" s="9">
        <f t="shared" si="1"/>
        <v>23</v>
      </c>
      <c r="I20" s="16">
        <f t="shared" si="2"/>
        <v>23</v>
      </c>
    </row>
    <row r="21" spans="1:9" x14ac:dyDescent="0.25">
      <c r="A21" s="13" t="s">
        <v>96</v>
      </c>
      <c r="B21" s="8">
        <v>359</v>
      </c>
      <c r="C21" s="4">
        <v>8</v>
      </c>
      <c r="D21" s="6">
        <f t="shared" si="0"/>
        <v>367</v>
      </c>
      <c r="E21" s="8">
        <v>66</v>
      </c>
      <c r="F21" s="4">
        <v>2</v>
      </c>
      <c r="G21" s="4">
        <v>0</v>
      </c>
      <c r="H21" s="9">
        <f t="shared" si="1"/>
        <v>68</v>
      </c>
      <c r="I21" s="16">
        <f t="shared" si="2"/>
        <v>435</v>
      </c>
    </row>
    <row r="22" spans="1:9" x14ac:dyDescent="0.25">
      <c r="A22" s="13" t="s">
        <v>14</v>
      </c>
      <c r="B22" s="8">
        <v>348</v>
      </c>
      <c r="C22" s="4">
        <v>6</v>
      </c>
      <c r="D22" s="6">
        <f t="shared" si="0"/>
        <v>354</v>
      </c>
      <c r="E22" s="8">
        <v>180</v>
      </c>
      <c r="F22" s="4">
        <v>1</v>
      </c>
      <c r="G22" s="4">
        <v>0</v>
      </c>
      <c r="H22" s="9">
        <f t="shared" si="1"/>
        <v>181</v>
      </c>
      <c r="I22" s="16">
        <f t="shared" si="2"/>
        <v>535</v>
      </c>
    </row>
    <row r="23" spans="1:9" x14ac:dyDescent="0.25">
      <c r="A23" s="13" t="s">
        <v>149</v>
      </c>
      <c r="B23" s="8">
        <v>305</v>
      </c>
      <c r="C23" s="4">
        <v>1</v>
      </c>
      <c r="D23" s="6">
        <f t="shared" si="0"/>
        <v>306</v>
      </c>
      <c r="E23" s="8">
        <v>179</v>
      </c>
      <c r="F23" s="4">
        <v>20</v>
      </c>
      <c r="G23" s="4">
        <v>2</v>
      </c>
      <c r="H23" s="9">
        <f t="shared" si="1"/>
        <v>201</v>
      </c>
      <c r="I23" s="16">
        <f t="shared" si="2"/>
        <v>507</v>
      </c>
    </row>
    <row r="24" spans="1:9" x14ac:dyDescent="0.25">
      <c r="A24" s="13" t="s">
        <v>16</v>
      </c>
      <c r="B24" s="8">
        <v>190</v>
      </c>
      <c r="C24" s="4">
        <v>4</v>
      </c>
      <c r="D24" s="6">
        <f t="shared" si="0"/>
        <v>194</v>
      </c>
      <c r="E24" s="8">
        <v>309</v>
      </c>
      <c r="F24" s="4">
        <v>21</v>
      </c>
      <c r="G24" s="4">
        <v>0</v>
      </c>
      <c r="H24" s="9">
        <f t="shared" si="1"/>
        <v>330</v>
      </c>
      <c r="I24" s="16">
        <f t="shared" si="2"/>
        <v>524</v>
      </c>
    </row>
    <row r="25" spans="1:9" x14ac:dyDescent="0.25">
      <c r="A25" s="13" t="s">
        <v>17</v>
      </c>
      <c r="B25" s="8">
        <v>0</v>
      </c>
      <c r="C25" s="4">
        <v>0</v>
      </c>
      <c r="D25" s="6">
        <f t="shared" si="0"/>
        <v>0</v>
      </c>
      <c r="E25" s="8">
        <v>193</v>
      </c>
      <c r="F25" s="4">
        <v>31</v>
      </c>
      <c r="G25" s="4">
        <v>3</v>
      </c>
      <c r="H25" s="9">
        <f t="shared" si="1"/>
        <v>227</v>
      </c>
      <c r="I25" s="16">
        <f t="shared" si="2"/>
        <v>227</v>
      </c>
    </row>
    <row r="26" spans="1:9" x14ac:dyDescent="0.25">
      <c r="A26" s="13" t="s">
        <v>18</v>
      </c>
      <c r="B26" s="8">
        <v>20</v>
      </c>
      <c r="C26" s="4">
        <v>0</v>
      </c>
      <c r="D26" s="6">
        <f t="shared" si="0"/>
        <v>20</v>
      </c>
      <c r="E26" s="8">
        <v>1</v>
      </c>
      <c r="F26" s="4">
        <v>7</v>
      </c>
      <c r="G26" s="4">
        <v>0</v>
      </c>
      <c r="H26" s="9">
        <f t="shared" si="1"/>
        <v>8</v>
      </c>
      <c r="I26" s="16">
        <f t="shared" si="2"/>
        <v>28</v>
      </c>
    </row>
    <row r="27" spans="1:9" x14ac:dyDescent="0.25">
      <c r="A27" s="13" t="s">
        <v>122</v>
      </c>
      <c r="B27" s="8">
        <v>110</v>
      </c>
      <c r="C27" s="4">
        <v>4</v>
      </c>
      <c r="D27" s="6">
        <f t="shared" si="0"/>
        <v>114</v>
      </c>
      <c r="E27" s="8">
        <v>55</v>
      </c>
      <c r="F27" s="4">
        <v>13</v>
      </c>
      <c r="G27" s="4">
        <v>1</v>
      </c>
      <c r="H27" s="9">
        <f t="shared" si="1"/>
        <v>69</v>
      </c>
      <c r="I27" s="16">
        <f t="shared" si="2"/>
        <v>183</v>
      </c>
    </row>
    <row r="28" spans="1:9" x14ac:dyDescent="0.25">
      <c r="A28" s="13" t="s">
        <v>19</v>
      </c>
      <c r="B28" s="8">
        <v>662</v>
      </c>
      <c r="C28" s="4">
        <v>16</v>
      </c>
      <c r="D28" s="6">
        <f t="shared" si="0"/>
        <v>678</v>
      </c>
      <c r="E28" s="8">
        <v>172</v>
      </c>
      <c r="F28" s="4">
        <v>15</v>
      </c>
      <c r="G28" s="4">
        <v>5</v>
      </c>
      <c r="H28" s="9">
        <f t="shared" si="1"/>
        <v>192</v>
      </c>
      <c r="I28" s="16">
        <f t="shared" si="2"/>
        <v>870</v>
      </c>
    </row>
    <row r="29" spans="1:9" x14ac:dyDescent="0.25">
      <c r="A29" s="13" t="s">
        <v>20</v>
      </c>
      <c r="B29" s="8">
        <v>283</v>
      </c>
      <c r="C29" s="4">
        <v>3</v>
      </c>
      <c r="D29" s="6">
        <f t="shared" si="0"/>
        <v>286</v>
      </c>
      <c r="E29" s="8">
        <v>199</v>
      </c>
      <c r="F29" s="4">
        <v>46</v>
      </c>
      <c r="G29" s="4">
        <v>0</v>
      </c>
      <c r="H29" s="9">
        <f t="shared" si="1"/>
        <v>245</v>
      </c>
      <c r="I29" s="16">
        <f t="shared" si="2"/>
        <v>531</v>
      </c>
    </row>
    <row r="30" spans="1:9" x14ac:dyDescent="0.25">
      <c r="A30" s="13" t="s">
        <v>173</v>
      </c>
      <c r="B30" s="8">
        <v>0</v>
      </c>
      <c r="C30" s="4">
        <v>0</v>
      </c>
      <c r="D30" s="6">
        <f t="shared" si="0"/>
        <v>0</v>
      </c>
      <c r="E30" s="8">
        <v>26</v>
      </c>
      <c r="F30" s="4">
        <v>12</v>
      </c>
      <c r="G30" s="4">
        <v>0</v>
      </c>
      <c r="H30" s="9">
        <f t="shared" si="1"/>
        <v>38</v>
      </c>
      <c r="I30" s="16">
        <f t="shared" si="2"/>
        <v>38</v>
      </c>
    </row>
    <row r="31" spans="1:9" x14ac:dyDescent="0.25">
      <c r="A31" s="13" t="s">
        <v>172</v>
      </c>
      <c r="B31" s="8">
        <v>0</v>
      </c>
      <c r="C31" s="4">
        <v>0</v>
      </c>
      <c r="D31" s="6">
        <f t="shared" si="0"/>
        <v>0</v>
      </c>
      <c r="E31" s="8">
        <v>25</v>
      </c>
      <c r="F31" s="4">
        <v>2</v>
      </c>
      <c r="G31" s="4">
        <v>0</v>
      </c>
      <c r="H31" s="9">
        <f t="shared" si="1"/>
        <v>27</v>
      </c>
      <c r="I31" s="16">
        <f t="shared" si="2"/>
        <v>27</v>
      </c>
    </row>
    <row r="32" spans="1:9" x14ac:dyDescent="0.25">
      <c r="A32" s="13" t="s">
        <v>21</v>
      </c>
      <c r="B32" s="8">
        <v>248</v>
      </c>
      <c r="C32" s="4"/>
      <c r="D32" s="6">
        <f t="shared" si="0"/>
        <v>248</v>
      </c>
      <c r="E32" s="8">
        <v>132</v>
      </c>
      <c r="F32" s="4">
        <v>23</v>
      </c>
      <c r="G32" s="4">
        <v>0</v>
      </c>
      <c r="H32" s="9">
        <f t="shared" si="1"/>
        <v>155</v>
      </c>
      <c r="I32" s="16">
        <f t="shared" si="2"/>
        <v>403</v>
      </c>
    </row>
    <row r="33" spans="1:9" x14ac:dyDescent="0.25">
      <c r="A33" s="13" t="s">
        <v>165</v>
      </c>
      <c r="B33" s="8">
        <v>0</v>
      </c>
      <c r="C33" s="4">
        <v>0</v>
      </c>
      <c r="D33" s="6">
        <f t="shared" si="0"/>
        <v>0</v>
      </c>
      <c r="E33" s="8">
        <v>6</v>
      </c>
      <c r="F33" s="4">
        <v>0</v>
      </c>
      <c r="G33" s="4">
        <v>0</v>
      </c>
      <c r="H33" s="9">
        <f t="shared" si="1"/>
        <v>6</v>
      </c>
      <c r="I33" s="16">
        <f t="shared" si="2"/>
        <v>6</v>
      </c>
    </row>
    <row r="34" spans="1:9" x14ac:dyDescent="0.25">
      <c r="A34" s="13" t="s">
        <v>174</v>
      </c>
      <c r="B34" s="8">
        <v>204</v>
      </c>
      <c r="C34" s="4">
        <v>1</v>
      </c>
      <c r="D34" s="6">
        <f t="shared" si="0"/>
        <v>205</v>
      </c>
      <c r="E34" s="8">
        <v>0</v>
      </c>
      <c r="F34" s="4">
        <v>0</v>
      </c>
      <c r="G34" s="4">
        <v>0</v>
      </c>
      <c r="H34" s="9">
        <f t="shared" si="1"/>
        <v>0</v>
      </c>
      <c r="I34" s="16">
        <f t="shared" si="2"/>
        <v>205</v>
      </c>
    </row>
    <row r="35" spans="1:9" x14ac:dyDescent="0.25">
      <c r="A35" s="13" t="s">
        <v>22</v>
      </c>
      <c r="B35" s="8">
        <v>161</v>
      </c>
      <c r="C35" s="4">
        <v>0</v>
      </c>
      <c r="D35" s="6">
        <f t="shared" si="0"/>
        <v>161</v>
      </c>
      <c r="E35" s="8">
        <v>123</v>
      </c>
      <c r="F35" s="4">
        <v>9</v>
      </c>
      <c r="G35" s="4">
        <v>0</v>
      </c>
      <c r="H35" s="9">
        <f t="shared" si="1"/>
        <v>132</v>
      </c>
      <c r="I35" s="16">
        <f t="shared" si="2"/>
        <v>293</v>
      </c>
    </row>
    <row r="36" spans="1:9" x14ac:dyDescent="0.25">
      <c r="A36" s="13" t="s">
        <v>23</v>
      </c>
      <c r="B36" s="8">
        <v>235</v>
      </c>
      <c r="C36" s="4">
        <v>0</v>
      </c>
      <c r="D36" s="6">
        <f t="shared" si="0"/>
        <v>235</v>
      </c>
      <c r="E36" s="8">
        <v>11</v>
      </c>
      <c r="F36" s="4">
        <v>4</v>
      </c>
      <c r="G36" s="4">
        <v>0</v>
      </c>
      <c r="H36" s="9">
        <f t="shared" si="1"/>
        <v>15</v>
      </c>
      <c r="I36" s="16">
        <f t="shared" si="2"/>
        <v>250</v>
      </c>
    </row>
    <row r="37" spans="1:9" x14ac:dyDescent="0.25">
      <c r="A37" s="13" t="s">
        <v>175</v>
      </c>
      <c r="B37" s="8">
        <v>0</v>
      </c>
      <c r="C37" s="4">
        <v>0</v>
      </c>
      <c r="D37" s="6">
        <f t="shared" si="0"/>
        <v>0</v>
      </c>
      <c r="E37" s="8">
        <v>12</v>
      </c>
      <c r="F37" s="4">
        <v>0</v>
      </c>
      <c r="G37" s="4">
        <v>0</v>
      </c>
      <c r="H37" s="9">
        <f t="shared" si="1"/>
        <v>12</v>
      </c>
      <c r="I37" s="16">
        <f t="shared" si="2"/>
        <v>12</v>
      </c>
    </row>
    <row r="38" spans="1:9" x14ac:dyDescent="0.25">
      <c r="A38" s="13" t="s">
        <v>24</v>
      </c>
      <c r="B38" s="8">
        <v>350</v>
      </c>
      <c r="C38" s="4">
        <v>3</v>
      </c>
      <c r="D38" s="6">
        <f t="shared" si="0"/>
        <v>353</v>
      </c>
      <c r="E38" s="8">
        <v>192</v>
      </c>
      <c r="F38" s="4">
        <v>40</v>
      </c>
      <c r="G38" s="4">
        <v>1</v>
      </c>
      <c r="H38" s="9">
        <f t="shared" si="1"/>
        <v>233</v>
      </c>
      <c r="I38" s="16">
        <f t="shared" si="2"/>
        <v>586</v>
      </c>
    </row>
    <row r="39" spans="1:9" x14ac:dyDescent="0.25">
      <c r="A39" s="13" t="s">
        <v>26</v>
      </c>
      <c r="B39" s="8">
        <v>141</v>
      </c>
      <c r="C39" s="4">
        <v>0</v>
      </c>
      <c r="D39" s="6">
        <f t="shared" si="0"/>
        <v>141</v>
      </c>
      <c r="E39" s="8">
        <v>13</v>
      </c>
      <c r="F39" s="4">
        <v>5</v>
      </c>
      <c r="G39" s="4">
        <v>0</v>
      </c>
      <c r="H39" s="9">
        <f t="shared" si="1"/>
        <v>18</v>
      </c>
      <c r="I39" s="16">
        <f t="shared" si="2"/>
        <v>159</v>
      </c>
    </row>
    <row r="40" spans="1:9" x14ac:dyDescent="0.25">
      <c r="A40" s="13" t="s">
        <v>81</v>
      </c>
      <c r="B40" s="8">
        <v>129</v>
      </c>
      <c r="C40" s="4">
        <v>7</v>
      </c>
      <c r="D40" s="6">
        <f t="shared" si="0"/>
        <v>136</v>
      </c>
      <c r="E40" s="8">
        <v>51</v>
      </c>
      <c r="F40" s="4">
        <v>13</v>
      </c>
      <c r="G40" s="4">
        <v>0</v>
      </c>
      <c r="H40" s="9">
        <f t="shared" si="1"/>
        <v>64</v>
      </c>
      <c r="I40" s="16">
        <f t="shared" si="2"/>
        <v>200</v>
      </c>
    </row>
    <row r="41" spans="1:9" x14ac:dyDescent="0.25">
      <c r="A41" s="13" t="s">
        <v>82</v>
      </c>
      <c r="B41" s="8">
        <v>27</v>
      </c>
      <c r="C41" s="4">
        <v>4</v>
      </c>
      <c r="D41" s="6">
        <f t="shared" si="0"/>
        <v>31</v>
      </c>
      <c r="E41" s="8">
        <v>8</v>
      </c>
      <c r="F41" s="4">
        <v>9</v>
      </c>
      <c r="G41" s="4">
        <v>0</v>
      </c>
      <c r="H41" s="9">
        <f t="shared" si="1"/>
        <v>17</v>
      </c>
      <c r="I41" s="16">
        <f t="shared" si="2"/>
        <v>48</v>
      </c>
    </row>
    <row r="42" spans="1:9" x14ac:dyDescent="0.25">
      <c r="A42" s="13" t="s">
        <v>30</v>
      </c>
      <c r="B42" s="8">
        <v>375</v>
      </c>
      <c r="C42" s="4">
        <v>0</v>
      </c>
      <c r="D42" s="6">
        <f t="shared" si="0"/>
        <v>375</v>
      </c>
      <c r="E42" s="8">
        <v>117</v>
      </c>
      <c r="F42" s="4">
        <v>30</v>
      </c>
      <c r="G42" s="4">
        <v>0</v>
      </c>
      <c r="H42" s="9">
        <f t="shared" si="1"/>
        <v>147</v>
      </c>
      <c r="I42" s="16">
        <f t="shared" si="2"/>
        <v>522</v>
      </c>
    </row>
    <row r="43" spans="1:9" x14ac:dyDescent="0.25">
      <c r="A43" s="13" t="s">
        <v>83</v>
      </c>
      <c r="B43" s="8">
        <v>180</v>
      </c>
      <c r="C43" s="4">
        <v>0</v>
      </c>
      <c r="D43" s="6">
        <f t="shared" si="0"/>
        <v>180</v>
      </c>
      <c r="E43" s="8">
        <v>62</v>
      </c>
      <c r="F43" s="4">
        <v>24</v>
      </c>
      <c r="G43" s="4">
        <v>0</v>
      </c>
      <c r="H43" s="9">
        <f t="shared" si="1"/>
        <v>86</v>
      </c>
      <c r="I43" s="16">
        <f t="shared" si="2"/>
        <v>266</v>
      </c>
    </row>
    <row r="44" spans="1:9" x14ac:dyDescent="0.25">
      <c r="A44" s="13" t="s">
        <v>154</v>
      </c>
      <c r="B44" s="8">
        <v>0</v>
      </c>
      <c r="C44" s="4">
        <v>0</v>
      </c>
      <c r="D44" s="6">
        <f t="shared" si="0"/>
        <v>0</v>
      </c>
      <c r="E44" s="8">
        <v>0</v>
      </c>
      <c r="F44" s="4">
        <v>1</v>
      </c>
      <c r="G44" s="4">
        <v>0</v>
      </c>
      <c r="H44" s="9">
        <f t="shared" si="1"/>
        <v>1</v>
      </c>
      <c r="I44" s="16">
        <f t="shared" si="2"/>
        <v>1</v>
      </c>
    </row>
    <row r="45" spans="1:9" x14ac:dyDescent="0.25">
      <c r="A45" s="13" t="s">
        <v>166</v>
      </c>
      <c r="B45" s="8">
        <v>0</v>
      </c>
      <c r="C45" s="4">
        <v>0</v>
      </c>
      <c r="D45" s="6">
        <f t="shared" si="0"/>
        <v>0</v>
      </c>
      <c r="E45" s="8">
        <v>160</v>
      </c>
      <c r="F45" s="4">
        <v>112</v>
      </c>
      <c r="G45" s="4">
        <v>0</v>
      </c>
      <c r="H45" s="9">
        <f t="shared" si="1"/>
        <v>272</v>
      </c>
      <c r="I45" s="16">
        <f t="shared" si="2"/>
        <v>272</v>
      </c>
    </row>
    <row r="46" spans="1:9" x14ac:dyDescent="0.25">
      <c r="A46" s="13" t="s">
        <v>33</v>
      </c>
      <c r="B46" s="8">
        <v>195</v>
      </c>
      <c r="C46" s="4">
        <v>1</v>
      </c>
      <c r="D46" s="6">
        <f t="shared" si="0"/>
        <v>196</v>
      </c>
      <c r="E46" s="8">
        <v>14</v>
      </c>
      <c r="F46" s="4">
        <v>4</v>
      </c>
      <c r="G46" s="4">
        <v>0</v>
      </c>
      <c r="H46" s="9">
        <f t="shared" si="1"/>
        <v>18</v>
      </c>
      <c r="I46" s="16">
        <f t="shared" si="2"/>
        <v>214</v>
      </c>
    </row>
    <row r="47" spans="1:9" x14ac:dyDescent="0.25">
      <c r="A47" s="13" t="s">
        <v>128</v>
      </c>
      <c r="B47" s="8">
        <v>213</v>
      </c>
      <c r="C47" s="4"/>
      <c r="D47" s="6">
        <f t="shared" si="0"/>
        <v>213</v>
      </c>
      <c r="E47" s="8">
        <v>0</v>
      </c>
      <c r="F47" s="4">
        <v>0</v>
      </c>
      <c r="G47" s="4"/>
      <c r="H47" s="9">
        <f t="shared" si="1"/>
        <v>0</v>
      </c>
      <c r="I47" s="16">
        <f t="shared" si="2"/>
        <v>213</v>
      </c>
    </row>
    <row r="48" spans="1:9" x14ac:dyDescent="0.25">
      <c r="A48" s="13" t="s">
        <v>1</v>
      </c>
      <c r="B48" s="8">
        <v>527</v>
      </c>
      <c r="C48" s="4">
        <v>1</v>
      </c>
      <c r="D48" s="6">
        <f t="shared" si="0"/>
        <v>528</v>
      </c>
      <c r="E48" s="8">
        <v>408</v>
      </c>
      <c r="F48" s="4">
        <v>49</v>
      </c>
      <c r="G48" s="4">
        <v>1</v>
      </c>
      <c r="H48" s="9">
        <f t="shared" si="1"/>
        <v>458</v>
      </c>
      <c r="I48" s="16">
        <f t="shared" si="2"/>
        <v>986</v>
      </c>
    </row>
    <row r="49" spans="1:9" x14ac:dyDescent="0.25">
      <c r="A49" s="13" t="s">
        <v>155</v>
      </c>
      <c r="B49" s="8">
        <v>0</v>
      </c>
      <c r="C49" s="4">
        <v>0</v>
      </c>
      <c r="D49" s="6">
        <f t="shared" si="0"/>
        <v>0</v>
      </c>
      <c r="E49" s="8">
        <v>75</v>
      </c>
      <c r="F49" s="4">
        <v>0</v>
      </c>
      <c r="G49" s="4">
        <v>0</v>
      </c>
      <c r="H49" s="9">
        <f t="shared" si="1"/>
        <v>75</v>
      </c>
      <c r="I49" s="16">
        <f t="shared" si="2"/>
        <v>75</v>
      </c>
    </row>
    <row r="50" spans="1:9" x14ac:dyDescent="0.25">
      <c r="A50" s="13" t="s">
        <v>150</v>
      </c>
      <c r="B50" s="8">
        <v>284</v>
      </c>
      <c r="C50" s="4">
        <v>10</v>
      </c>
      <c r="D50" s="6">
        <f t="shared" si="0"/>
        <v>294</v>
      </c>
      <c r="E50" s="8">
        <v>124</v>
      </c>
      <c r="F50" s="4">
        <v>17</v>
      </c>
      <c r="G50" s="4">
        <v>0</v>
      </c>
      <c r="H50" s="9">
        <f t="shared" si="1"/>
        <v>141</v>
      </c>
      <c r="I50" s="16">
        <f t="shared" si="2"/>
        <v>435</v>
      </c>
    </row>
    <row r="51" spans="1:9" x14ac:dyDescent="0.25">
      <c r="A51" s="13" t="s">
        <v>35</v>
      </c>
      <c r="B51" s="8">
        <v>592</v>
      </c>
      <c r="C51" s="4">
        <v>32</v>
      </c>
      <c r="D51" s="6">
        <f t="shared" si="0"/>
        <v>624</v>
      </c>
      <c r="E51" s="8">
        <v>41</v>
      </c>
      <c r="F51" s="4">
        <v>4</v>
      </c>
      <c r="G51" s="4">
        <v>0</v>
      </c>
      <c r="H51" s="9">
        <f t="shared" si="1"/>
        <v>45</v>
      </c>
      <c r="I51" s="16">
        <f t="shared" si="2"/>
        <v>669</v>
      </c>
    </row>
    <row r="52" spans="1:9" x14ac:dyDescent="0.25">
      <c r="A52" s="13" t="s">
        <v>36</v>
      </c>
      <c r="B52" s="8">
        <v>372</v>
      </c>
      <c r="C52" s="4">
        <v>8</v>
      </c>
      <c r="D52" s="6">
        <f t="shared" si="0"/>
        <v>380</v>
      </c>
      <c r="E52" s="8">
        <v>172</v>
      </c>
      <c r="F52" s="4">
        <v>17</v>
      </c>
      <c r="G52" s="4">
        <v>0</v>
      </c>
      <c r="H52" s="9">
        <f t="shared" si="1"/>
        <v>189</v>
      </c>
      <c r="I52" s="16">
        <f t="shared" si="2"/>
        <v>569</v>
      </c>
    </row>
    <row r="53" spans="1:9" x14ac:dyDescent="0.25">
      <c r="A53" s="13" t="s">
        <v>37</v>
      </c>
      <c r="B53" s="8">
        <v>67</v>
      </c>
      <c r="C53" s="4">
        <v>0</v>
      </c>
      <c r="D53" s="6">
        <f t="shared" si="0"/>
        <v>67</v>
      </c>
      <c r="E53" s="8">
        <v>101</v>
      </c>
      <c r="F53" s="4">
        <v>42</v>
      </c>
      <c r="G53" s="4">
        <v>1</v>
      </c>
      <c r="H53" s="9">
        <f t="shared" si="1"/>
        <v>144</v>
      </c>
      <c r="I53" s="16">
        <f t="shared" si="2"/>
        <v>211</v>
      </c>
    </row>
    <row r="54" spans="1:9" x14ac:dyDescent="0.25">
      <c r="A54" s="13" t="s">
        <v>156</v>
      </c>
      <c r="B54" s="8">
        <v>0</v>
      </c>
      <c r="C54" s="4">
        <v>0</v>
      </c>
      <c r="D54" s="6">
        <f t="shared" si="0"/>
        <v>0</v>
      </c>
      <c r="E54" s="8">
        <v>30</v>
      </c>
      <c r="F54" s="4">
        <v>0</v>
      </c>
      <c r="G54" s="4">
        <v>0</v>
      </c>
      <c r="H54" s="9">
        <f t="shared" si="1"/>
        <v>30</v>
      </c>
      <c r="I54" s="16">
        <f t="shared" si="2"/>
        <v>30</v>
      </c>
    </row>
    <row r="55" spans="1:9" x14ac:dyDescent="0.25">
      <c r="A55" s="13" t="s">
        <v>151</v>
      </c>
      <c r="B55" s="8">
        <v>267</v>
      </c>
      <c r="C55" s="4">
        <v>5</v>
      </c>
      <c r="D55" s="6">
        <f t="shared" si="0"/>
        <v>272</v>
      </c>
      <c r="E55" s="8">
        <v>0</v>
      </c>
      <c r="F55" s="4">
        <v>0</v>
      </c>
      <c r="G55" s="4">
        <v>0</v>
      </c>
      <c r="H55" s="9">
        <f t="shared" si="1"/>
        <v>0</v>
      </c>
      <c r="I55" s="16">
        <f t="shared" si="2"/>
        <v>272</v>
      </c>
    </row>
    <row r="56" spans="1:9" x14ac:dyDescent="0.25">
      <c r="A56" s="13" t="s">
        <v>40</v>
      </c>
      <c r="B56" s="8">
        <v>160</v>
      </c>
      <c r="C56" s="4">
        <v>1</v>
      </c>
      <c r="D56" s="6">
        <f t="shared" si="0"/>
        <v>161</v>
      </c>
      <c r="E56" s="8">
        <v>69</v>
      </c>
      <c r="F56" s="4">
        <v>19</v>
      </c>
      <c r="G56" s="4">
        <v>1</v>
      </c>
      <c r="H56" s="9">
        <f t="shared" si="1"/>
        <v>89</v>
      </c>
      <c r="I56" s="16">
        <f t="shared" si="2"/>
        <v>250</v>
      </c>
    </row>
    <row r="57" spans="1:9" x14ac:dyDescent="0.25">
      <c r="A57" s="13" t="s">
        <v>43</v>
      </c>
      <c r="B57" s="8">
        <v>357</v>
      </c>
      <c r="C57" s="4">
        <v>59</v>
      </c>
      <c r="D57" s="6">
        <f t="shared" si="0"/>
        <v>416</v>
      </c>
      <c r="E57" s="8">
        <v>148</v>
      </c>
      <c r="F57" s="4">
        <v>3</v>
      </c>
      <c r="G57" s="4">
        <v>2</v>
      </c>
      <c r="H57" s="9">
        <f t="shared" si="1"/>
        <v>153</v>
      </c>
      <c r="I57" s="16">
        <f t="shared" si="2"/>
        <v>569</v>
      </c>
    </row>
    <row r="58" spans="1:9" x14ac:dyDescent="0.25">
      <c r="A58" s="13" t="s">
        <v>136</v>
      </c>
      <c r="B58" s="8">
        <v>51</v>
      </c>
      <c r="C58" s="4">
        <v>0</v>
      </c>
      <c r="D58" s="6">
        <f t="shared" si="0"/>
        <v>51</v>
      </c>
      <c r="E58" s="8">
        <v>345</v>
      </c>
      <c r="F58" s="4">
        <v>63</v>
      </c>
      <c r="G58" s="4">
        <v>0</v>
      </c>
      <c r="H58" s="9">
        <f t="shared" si="1"/>
        <v>408</v>
      </c>
      <c r="I58" s="16">
        <f t="shared" si="2"/>
        <v>459</v>
      </c>
    </row>
    <row r="59" spans="1:9" x14ac:dyDescent="0.25">
      <c r="A59" s="13" t="s">
        <v>157</v>
      </c>
      <c r="B59" s="8">
        <v>652</v>
      </c>
      <c r="C59" s="4">
        <v>11</v>
      </c>
      <c r="D59" s="6">
        <f t="shared" si="0"/>
        <v>663</v>
      </c>
      <c r="E59" s="8">
        <v>693</v>
      </c>
      <c r="F59" s="4">
        <v>225</v>
      </c>
      <c r="G59" s="4">
        <v>3</v>
      </c>
      <c r="H59" s="9">
        <f t="shared" si="1"/>
        <v>921</v>
      </c>
      <c r="I59" s="16">
        <f t="shared" si="2"/>
        <v>1584</v>
      </c>
    </row>
    <row r="60" spans="1:9" x14ac:dyDescent="0.25">
      <c r="A60" s="13" t="s">
        <v>46</v>
      </c>
      <c r="B60" s="8">
        <v>103</v>
      </c>
      <c r="C60" s="4">
        <v>0</v>
      </c>
      <c r="D60" s="6">
        <f t="shared" si="0"/>
        <v>103</v>
      </c>
      <c r="E60" s="8">
        <v>9</v>
      </c>
      <c r="F60" s="4">
        <v>2</v>
      </c>
      <c r="G60" s="4">
        <v>0</v>
      </c>
      <c r="H60" s="9">
        <f t="shared" si="1"/>
        <v>11</v>
      </c>
      <c r="I60" s="16">
        <f t="shared" si="2"/>
        <v>114</v>
      </c>
    </row>
    <row r="61" spans="1:9" x14ac:dyDescent="0.25">
      <c r="A61" s="13" t="s">
        <v>167</v>
      </c>
      <c r="B61" s="8">
        <v>0</v>
      </c>
      <c r="C61" s="4">
        <v>0</v>
      </c>
      <c r="D61" s="6">
        <f t="shared" si="0"/>
        <v>0</v>
      </c>
      <c r="E61" s="8">
        <v>91</v>
      </c>
      <c r="F61" s="4">
        <v>52</v>
      </c>
      <c r="G61" s="4">
        <v>0</v>
      </c>
      <c r="H61" s="9">
        <f t="shared" si="1"/>
        <v>143</v>
      </c>
      <c r="I61" s="16">
        <f t="shared" si="2"/>
        <v>143</v>
      </c>
    </row>
    <row r="62" spans="1:9" x14ac:dyDescent="0.25">
      <c r="A62" s="13" t="s">
        <v>117</v>
      </c>
      <c r="B62" s="8">
        <v>676</v>
      </c>
      <c r="C62" s="4">
        <v>9</v>
      </c>
      <c r="D62" s="6">
        <f t="shared" si="0"/>
        <v>685</v>
      </c>
      <c r="E62" s="8">
        <v>234</v>
      </c>
      <c r="F62" s="4">
        <v>42</v>
      </c>
      <c r="G62" s="4">
        <v>3</v>
      </c>
      <c r="H62" s="9">
        <f t="shared" si="1"/>
        <v>279</v>
      </c>
      <c r="I62" s="16">
        <f t="shared" si="2"/>
        <v>964</v>
      </c>
    </row>
    <row r="63" spans="1:9" x14ac:dyDescent="0.25">
      <c r="A63" s="13" t="s">
        <v>47</v>
      </c>
      <c r="B63" s="8">
        <v>57</v>
      </c>
      <c r="C63" s="4">
        <v>2</v>
      </c>
      <c r="D63" s="6">
        <f t="shared" si="0"/>
        <v>59</v>
      </c>
      <c r="E63" s="8">
        <v>7</v>
      </c>
      <c r="F63" s="4">
        <v>4</v>
      </c>
      <c r="G63" s="4">
        <v>1</v>
      </c>
      <c r="H63" s="9">
        <f t="shared" si="1"/>
        <v>12</v>
      </c>
      <c r="I63" s="16">
        <f t="shared" si="2"/>
        <v>71</v>
      </c>
    </row>
    <row r="64" spans="1:9" x14ac:dyDescent="0.25">
      <c r="A64" s="13" t="s">
        <v>48</v>
      </c>
      <c r="B64" s="8">
        <v>0</v>
      </c>
      <c r="C64" s="4">
        <v>0</v>
      </c>
      <c r="D64" s="6">
        <f t="shared" si="0"/>
        <v>0</v>
      </c>
      <c r="E64" s="8">
        <v>61</v>
      </c>
      <c r="F64" s="4">
        <v>40</v>
      </c>
      <c r="G64" s="4">
        <v>0</v>
      </c>
      <c r="H64" s="9">
        <f t="shared" si="1"/>
        <v>101</v>
      </c>
      <c r="I64" s="16">
        <f t="shared" si="2"/>
        <v>101</v>
      </c>
    </row>
    <row r="65" spans="1:9" x14ac:dyDescent="0.25">
      <c r="A65" s="13" t="s">
        <v>49</v>
      </c>
      <c r="B65" s="8">
        <v>106</v>
      </c>
      <c r="C65" s="4">
        <v>1</v>
      </c>
      <c r="D65" s="6">
        <f t="shared" si="0"/>
        <v>107</v>
      </c>
      <c r="E65" s="8">
        <v>9</v>
      </c>
      <c r="F65" s="4">
        <v>2</v>
      </c>
      <c r="G65" s="4">
        <v>0</v>
      </c>
      <c r="H65" s="9">
        <f t="shared" si="1"/>
        <v>11</v>
      </c>
      <c r="I65" s="16">
        <f t="shared" si="2"/>
        <v>118</v>
      </c>
    </row>
    <row r="66" spans="1:9" x14ac:dyDescent="0.25">
      <c r="A66" s="13" t="s">
        <v>50</v>
      </c>
      <c r="B66" s="8">
        <v>332</v>
      </c>
      <c r="C66" s="4">
        <v>16</v>
      </c>
      <c r="D66" s="6">
        <f t="shared" si="0"/>
        <v>348</v>
      </c>
      <c r="E66" s="8">
        <v>45</v>
      </c>
      <c r="F66" s="4">
        <v>6</v>
      </c>
      <c r="G66" s="4">
        <v>0</v>
      </c>
      <c r="H66" s="9">
        <f t="shared" si="1"/>
        <v>51</v>
      </c>
      <c r="I66" s="16">
        <f t="shared" si="2"/>
        <v>399</v>
      </c>
    </row>
    <row r="67" spans="1:9" x14ac:dyDescent="0.25">
      <c r="A67" s="13" t="s">
        <v>99</v>
      </c>
      <c r="B67" s="8">
        <v>0</v>
      </c>
      <c r="C67" s="4">
        <v>0</v>
      </c>
      <c r="D67" s="6">
        <f t="shared" si="0"/>
        <v>0</v>
      </c>
      <c r="E67" s="8">
        <v>24</v>
      </c>
      <c r="F67" s="4">
        <v>3</v>
      </c>
      <c r="G67" s="4">
        <v>0</v>
      </c>
      <c r="H67" s="9">
        <f t="shared" si="1"/>
        <v>27</v>
      </c>
      <c r="I67" s="16">
        <f t="shared" si="2"/>
        <v>27</v>
      </c>
    </row>
    <row r="68" spans="1:9" x14ac:dyDescent="0.25">
      <c r="A68" s="13" t="s">
        <v>176</v>
      </c>
      <c r="B68" s="8">
        <v>0</v>
      </c>
      <c r="C68" s="4">
        <v>0</v>
      </c>
      <c r="D68" s="6">
        <f t="shared" si="0"/>
        <v>0</v>
      </c>
      <c r="E68" s="8">
        <v>16</v>
      </c>
      <c r="F68" s="4">
        <v>26</v>
      </c>
      <c r="G68" s="4">
        <v>1</v>
      </c>
      <c r="H68" s="9">
        <f t="shared" si="1"/>
        <v>43</v>
      </c>
      <c r="I68" s="16">
        <f t="shared" si="2"/>
        <v>43</v>
      </c>
    </row>
    <row r="69" spans="1:9" x14ac:dyDescent="0.25">
      <c r="A69" s="13" t="s">
        <v>158</v>
      </c>
      <c r="B69" s="8">
        <v>0</v>
      </c>
      <c r="C69" s="4">
        <v>0</v>
      </c>
      <c r="D69" s="6">
        <f t="shared" si="0"/>
        <v>0</v>
      </c>
      <c r="E69" s="8">
        <v>87</v>
      </c>
      <c r="F69" s="4">
        <v>20</v>
      </c>
      <c r="G69" s="4">
        <v>0</v>
      </c>
      <c r="H69" s="9">
        <f t="shared" si="1"/>
        <v>107</v>
      </c>
      <c r="I69" s="16">
        <f t="shared" si="2"/>
        <v>107</v>
      </c>
    </row>
    <row r="70" spans="1:9" x14ac:dyDescent="0.25">
      <c r="A70" s="13" t="s">
        <v>177</v>
      </c>
      <c r="B70" s="8">
        <v>0</v>
      </c>
      <c r="C70" s="4">
        <v>0</v>
      </c>
      <c r="D70" s="6">
        <f t="shared" si="0"/>
        <v>0</v>
      </c>
      <c r="E70" s="8">
        <v>12</v>
      </c>
      <c r="F70" s="4">
        <v>19</v>
      </c>
      <c r="G70" s="4">
        <v>0</v>
      </c>
      <c r="H70" s="9">
        <f t="shared" si="1"/>
        <v>31</v>
      </c>
      <c r="I70" s="16">
        <f t="shared" si="2"/>
        <v>31</v>
      </c>
    </row>
    <row r="71" spans="1:9" x14ac:dyDescent="0.25">
      <c r="A71" s="13" t="s">
        <v>87</v>
      </c>
      <c r="B71" s="8">
        <v>54</v>
      </c>
      <c r="C71" s="4">
        <v>0</v>
      </c>
      <c r="D71" s="6">
        <f t="shared" si="0"/>
        <v>54</v>
      </c>
      <c r="E71" s="8">
        <v>184</v>
      </c>
      <c r="F71" s="4">
        <v>220</v>
      </c>
      <c r="G71" s="4">
        <v>3</v>
      </c>
      <c r="H71" s="9">
        <f t="shared" si="1"/>
        <v>407</v>
      </c>
      <c r="I71" s="16">
        <f t="shared" si="2"/>
        <v>461</v>
      </c>
    </row>
    <row r="72" spans="1:9" x14ac:dyDescent="0.25">
      <c r="A72" s="13" t="s">
        <v>137</v>
      </c>
      <c r="B72" s="8">
        <v>58</v>
      </c>
      <c r="C72" s="4">
        <v>1</v>
      </c>
      <c r="D72" s="6">
        <f t="shared" si="0"/>
        <v>59</v>
      </c>
      <c r="E72" s="8">
        <v>37</v>
      </c>
      <c r="F72" s="4">
        <v>50</v>
      </c>
      <c r="G72" s="4">
        <v>0</v>
      </c>
      <c r="H72" s="9">
        <f t="shared" si="1"/>
        <v>87</v>
      </c>
      <c r="I72" s="16">
        <f t="shared" si="2"/>
        <v>146</v>
      </c>
    </row>
    <row r="73" spans="1:9" x14ac:dyDescent="0.25">
      <c r="A73" s="13" t="s">
        <v>102</v>
      </c>
      <c r="B73" s="8">
        <v>0</v>
      </c>
      <c r="C73" s="4">
        <v>0</v>
      </c>
      <c r="D73" s="6">
        <f t="shared" ref="D73:D82" si="3">B73+C73</f>
        <v>0</v>
      </c>
      <c r="E73" s="8">
        <v>122</v>
      </c>
      <c r="F73" s="4">
        <v>365</v>
      </c>
      <c r="G73" s="4">
        <v>0</v>
      </c>
      <c r="H73" s="9">
        <f t="shared" ref="H73:H82" si="4">E73+F73+G73</f>
        <v>487</v>
      </c>
      <c r="I73" s="16">
        <f t="shared" ref="I73:I82" si="5">H73+D73</f>
        <v>487</v>
      </c>
    </row>
    <row r="74" spans="1:9" x14ac:dyDescent="0.25">
      <c r="A74" s="13" t="s">
        <v>159</v>
      </c>
      <c r="B74" s="8">
        <v>16</v>
      </c>
      <c r="C74" s="4">
        <v>0</v>
      </c>
      <c r="D74" s="6">
        <f t="shared" si="3"/>
        <v>16</v>
      </c>
      <c r="E74" s="8">
        <v>107</v>
      </c>
      <c r="F74" s="4">
        <v>71</v>
      </c>
      <c r="G74" s="4">
        <v>0</v>
      </c>
      <c r="H74" s="9">
        <f t="shared" si="4"/>
        <v>178</v>
      </c>
      <c r="I74" s="16">
        <f t="shared" si="5"/>
        <v>194</v>
      </c>
    </row>
    <row r="75" spans="1:9" x14ac:dyDescent="0.25">
      <c r="A75" s="13" t="s">
        <v>178</v>
      </c>
      <c r="B75" s="8">
        <v>0</v>
      </c>
      <c r="C75" s="4">
        <v>1</v>
      </c>
      <c r="D75" s="6">
        <f t="shared" si="3"/>
        <v>1</v>
      </c>
      <c r="E75" s="8">
        <v>1</v>
      </c>
      <c r="F75" s="4">
        <v>5</v>
      </c>
      <c r="G75" s="4">
        <v>0</v>
      </c>
      <c r="H75" s="9">
        <f t="shared" si="4"/>
        <v>6</v>
      </c>
      <c r="I75" s="16">
        <f t="shared" si="5"/>
        <v>7</v>
      </c>
    </row>
    <row r="76" spans="1:9" x14ac:dyDescent="0.25">
      <c r="A76" s="13" t="s">
        <v>170</v>
      </c>
      <c r="B76" s="8">
        <v>1711</v>
      </c>
      <c r="C76" s="4">
        <v>7</v>
      </c>
      <c r="D76" s="6">
        <f t="shared" si="3"/>
        <v>1718</v>
      </c>
      <c r="E76" s="8">
        <v>2</v>
      </c>
      <c r="F76" s="4">
        <v>69</v>
      </c>
      <c r="G76" s="4">
        <v>0</v>
      </c>
      <c r="H76" s="9">
        <f t="shared" si="4"/>
        <v>71</v>
      </c>
      <c r="I76" s="16">
        <f t="shared" si="5"/>
        <v>1789</v>
      </c>
    </row>
    <row r="77" spans="1:9" x14ac:dyDescent="0.25">
      <c r="A77" s="13" t="s">
        <v>160</v>
      </c>
      <c r="B77" s="8">
        <v>10</v>
      </c>
      <c r="C77" s="4">
        <v>0</v>
      </c>
      <c r="D77" s="6">
        <f t="shared" si="3"/>
        <v>10</v>
      </c>
      <c r="E77" s="8">
        <v>135</v>
      </c>
      <c r="F77" s="4">
        <v>81</v>
      </c>
      <c r="G77" s="4">
        <v>2</v>
      </c>
      <c r="H77" s="9">
        <f t="shared" si="4"/>
        <v>218</v>
      </c>
      <c r="I77" s="16">
        <f t="shared" si="5"/>
        <v>228</v>
      </c>
    </row>
    <row r="78" spans="1:9" x14ac:dyDescent="0.25">
      <c r="A78" s="13" t="s">
        <v>94</v>
      </c>
      <c r="B78" s="8">
        <v>0</v>
      </c>
      <c r="C78" s="4">
        <v>0</v>
      </c>
      <c r="D78" s="6">
        <f t="shared" si="3"/>
        <v>0</v>
      </c>
      <c r="E78" s="8">
        <v>178</v>
      </c>
      <c r="F78" s="4">
        <v>106</v>
      </c>
      <c r="G78" s="4">
        <v>0</v>
      </c>
      <c r="H78" s="9">
        <f t="shared" si="4"/>
        <v>284</v>
      </c>
      <c r="I78" s="16">
        <f t="shared" si="5"/>
        <v>284</v>
      </c>
    </row>
    <row r="79" spans="1:9" x14ac:dyDescent="0.25">
      <c r="A79" s="13" t="s">
        <v>75</v>
      </c>
      <c r="B79" s="8">
        <v>0</v>
      </c>
      <c r="C79" s="4">
        <v>0</v>
      </c>
      <c r="D79" s="6">
        <f t="shared" si="3"/>
        <v>0</v>
      </c>
      <c r="E79" s="8">
        <v>80</v>
      </c>
      <c r="F79" s="4">
        <v>45</v>
      </c>
      <c r="G79" s="4">
        <v>0</v>
      </c>
      <c r="H79" s="9">
        <f t="shared" si="4"/>
        <v>125</v>
      </c>
      <c r="I79" s="16">
        <f t="shared" si="5"/>
        <v>125</v>
      </c>
    </row>
    <row r="80" spans="1:9" x14ac:dyDescent="0.25">
      <c r="A80" s="13" t="s">
        <v>161</v>
      </c>
      <c r="B80" s="8">
        <v>10</v>
      </c>
      <c r="C80" s="4">
        <v>0</v>
      </c>
      <c r="D80" s="6">
        <f t="shared" si="3"/>
        <v>10</v>
      </c>
      <c r="E80" s="8">
        <v>138</v>
      </c>
      <c r="F80" s="4">
        <v>158</v>
      </c>
      <c r="G80" s="4">
        <v>2</v>
      </c>
      <c r="H80" s="9">
        <f t="shared" si="4"/>
        <v>298</v>
      </c>
      <c r="I80" s="16">
        <f t="shared" si="5"/>
        <v>308</v>
      </c>
    </row>
    <row r="81" spans="1:9" x14ac:dyDescent="0.25">
      <c r="A81" s="13" t="s">
        <v>163</v>
      </c>
      <c r="B81" s="8">
        <v>28</v>
      </c>
      <c r="C81" s="4">
        <v>0</v>
      </c>
      <c r="D81" s="6">
        <f t="shared" si="3"/>
        <v>28</v>
      </c>
      <c r="E81" s="8">
        <v>93</v>
      </c>
      <c r="F81" s="4">
        <v>154</v>
      </c>
      <c r="G81" s="4">
        <v>1</v>
      </c>
      <c r="H81" s="9">
        <f t="shared" si="4"/>
        <v>248</v>
      </c>
      <c r="I81" s="16">
        <f t="shared" si="5"/>
        <v>276</v>
      </c>
    </row>
    <row r="82" spans="1:9" ht="15.75" thickBot="1" x14ac:dyDescent="0.3">
      <c r="A82" s="20" t="s">
        <v>164</v>
      </c>
      <c r="B82" s="21">
        <v>0</v>
      </c>
      <c r="C82" s="22">
        <v>0</v>
      </c>
      <c r="D82" s="23">
        <f t="shared" si="3"/>
        <v>0</v>
      </c>
      <c r="E82" s="21">
        <v>28</v>
      </c>
      <c r="F82" s="22">
        <v>51</v>
      </c>
      <c r="G82" s="22">
        <v>0</v>
      </c>
      <c r="H82" s="24">
        <f t="shared" si="4"/>
        <v>79</v>
      </c>
      <c r="I82" s="25">
        <f t="shared" si="5"/>
        <v>79</v>
      </c>
    </row>
    <row r="83" spans="1:9" ht="16.5" thickTop="1" thickBot="1" x14ac:dyDescent="0.3">
      <c r="A83" s="15" t="s">
        <v>0</v>
      </c>
      <c r="B83" s="12">
        <f t="shared" ref="B83:I83" si="6">SUM(B8:B82)</f>
        <v>13504</v>
      </c>
      <c r="C83" s="12">
        <f t="shared" si="6"/>
        <v>268</v>
      </c>
      <c r="D83" s="15">
        <f t="shared" si="6"/>
        <v>13772</v>
      </c>
      <c r="E83" s="12">
        <f t="shared" si="6"/>
        <v>8041</v>
      </c>
      <c r="F83" s="12">
        <f t="shared" si="6"/>
        <v>2993</v>
      </c>
      <c r="G83" s="12">
        <f t="shared" si="6"/>
        <v>53</v>
      </c>
      <c r="H83" s="18">
        <f t="shared" si="6"/>
        <v>11087</v>
      </c>
      <c r="I83" s="18">
        <f t="shared" si="6"/>
        <v>24859</v>
      </c>
    </row>
    <row r="85" spans="1:9" x14ac:dyDescent="0.25">
      <c r="A85" s="33" t="s">
        <v>88</v>
      </c>
      <c r="B85" s="33"/>
      <c r="C85" s="33"/>
      <c r="D85" s="33"/>
      <c r="E85" s="33"/>
      <c r="F85" s="33"/>
      <c r="G85" s="33"/>
      <c r="H85" s="33"/>
      <c r="I85" s="33"/>
    </row>
    <row r="86" spans="1:9" x14ac:dyDescent="0.25">
      <c r="A86" s="33"/>
      <c r="B86" s="33"/>
      <c r="C86" s="33"/>
      <c r="D86" s="33"/>
      <c r="E86" s="33"/>
      <c r="F86" s="33"/>
      <c r="G86" s="33"/>
      <c r="H86" s="33"/>
      <c r="I86" s="33"/>
    </row>
  </sheetData>
  <mergeCells count="13">
    <mergeCell ref="G6:G7"/>
    <mergeCell ref="H6:H7"/>
    <mergeCell ref="A85:I86"/>
    <mergeCell ref="A2:I2"/>
    <mergeCell ref="A5:A7"/>
    <mergeCell ref="B5:D5"/>
    <mergeCell ref="E5:H5"/>
    <mergeCell ref="I5:I7"/>
    <mergeCell ref="B6:B7"/>
    <mergeCell ref="C6:C7"/>
    <mergeCell ref="D6:D7"/>
    <mergeCell ref="E6:E7"/>
    <mergeCell ref="F6:F7"/>
  </mergeCells>
  <pageMargins left="0.7" right="0.7" top="0.75" bottom="0.75" header="0.3" footer="0.3"/>
  <pageSetup paperSize="9" orientation="portrait" r:id="rId1"/>
  <headerFooter>
    <oddHeader>&amp;CUCL Student Data Statistics</oddHeader>
    <oddFooter>&amp;L&amp;F - &amp;A&amp;RPage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86"/>
  <sheetViews>
    <sheetView tabSelected="1" view="pageLayout" zoomScale="85" zoomScaleNormal="100" zoomScalePageLayoutView="85" workbookViewId="0">
      <selection activeCell="A47" sqref="A47"/>
    </sheetView>
  </sheetViews>
  <sheetFormatPr defaultColWidth="9" defaultRowHeight="15" x14ac:dyDescent="0.25"/>
  <cols>
    <col min="1" max="1" width="31.28515625" customWidth="1"/>
    <col min="2" max="9" width="6.7109375" customWidth="1"/>
  </cols>
  <sheetData>
    <row r="1" spans="1:9" ht="18" x14ac:dyDescent="0.25">
      <c r="A1" s="1" t="s">
        <v>2</v>
      </c>
      <c r="B1" s="3"/>
    </row>
    <row r="2" spans="1:9" x14ac:dyDescent="0.25">
      <c r="A2" s="34" t="s">
        <v>3</v>
      </c>
      <c r="B2" s="34"/>
      <c r="C2" s="34"/>
      <c r="D2" s="34"/>
      <c r="E2" s="34"/>
      <c r="F2" s="34"/>
      <c r="G2" s="34"/>
      <c r="H2" s="34"/>
      <c r="I2" s="34"/>
    </row>
    <row r="3" spans="1:9" ht="15.75" customHeight="1" x14ac:dyDescent="0.25">
      <c r="A3" s="28" t="str">
        <f ca="1">RIGHT(CELL("filename",A1),LEN(CELL("filename",A1))-FIND("]",CELL("filename",A1)))</f>
        <v>2010-11</v>
      </c>
      <c r="B3" s="3"/>
    </row>
    <row r="4" spans="1:9" ht="15.75" thickBot="1" x14ac:dyDescent="0.3">
      <c r="A4" s="3"/>
      <c r="B4" s="3"/>
    </row>
    <row r="5" spans="1:9" x14ac:dyDescent="0.25">
      <c r="A5" s="35" t="s">
        <v>4</v>
      </c>
      <c r="B5" s="38" t="s">
        <v>5</v>
      </c>
      <c r="C5" s="39"/>
      <c r="D5" s="39"/>
      <c r="E5" s="38" t="s">
        <v>6</v>
      </c>
      <c r="F5" s="39"/>
      <c r="G5" s="39"/>
      <c r="H5" s="40"/>
      <c r="I5" s="41" t="s">
        <v>0</v>
      </c>
    </row>
    <row r="6" spans="1:9" ht="15" customHeight="1" x14ac:dyDescent="0.25">
      <c r="A6" s="36"/>
      <c r="B6" s="44" t="s">
        <v>76</v>
      </c>
      <c r="C6" s="29" t="s">
        <v>77</v>
      </c>
      <c r="D6" s="46" t="s">
        <v>0</v>
      </c>
      <c r="E6" s="44" t="s">
        <v>76</v>
      </c>
      <c r="F6" s="29" t="s">
        <v>77</v>
      </c>
      <c r="G6" s="29" t="s">
        <v>78</v>
      </c>
      <c r="H6" s="31" t="s">
        <v>0</v>
      </c>
      <c r="I6" s="42"/>
    </row>
    <row r="7" spans="1:9" x14ac:dyDescent="0.25">
      <c r="A7" s="37"/>
      <c r="B7" s="45"/>
      <c r="C7" s="30"/>
      <c r="D7" s="47"/>
      <c r="E7" s="45"/>
      <c r="F7" s="30"/>
      <c r="G7" s="30"/>
      <c r="H7" s="32"/>
      <c r="I7" s="43"/>
    </row>
    <row r="8" spans="1:9" x14ac:dyDescent="0.25">
      <c r="A8" s="13" t="s">
        <v>8</v>
      </c>
      <c r="B8" s="8">
        <v>181</v>
      </c>
      <c r="C8" s="4">
        <v>1</v>
      </c>
      <c r="D8" s="6">
        <f>B8+C8</f>
        <v>182</v>
      </c>
      <c r="E8" s="8">
        <v>148</v>
      </c>
      <c r="F8" s="4">
        <v>47</v>
      </c>
      <c r="G8" s="4">
        <v>25</v>
      </c>
      <c r="H8" s="9">
        <f>E8+F8+G8</f>
        <v>220</v>
      </c>
      <c r="I8" s="16">
        <f>H8+D8</f>
        <v>402</v>
      </c>
    </row>
    <row r="9" spans="1:9" x14ac:dyDescent="0.25">
      <c r="A9" s="13" t="s">
        <v>9</v>
      </c>
      <c r="B9" s="8">
        <v>187</v>
      </c>
      <c r="C9" s="4">
        <v>11</v>
      </c>
      <c r="D9" s="6">
        <f t="shared" ref="D9:D72" si="0">B9+C9</f>
        <v>198</v>
      </c>
      <c r="E9" s="8">
        <v>299</v>
      </c>
      <c r="F9" s="4">
        <v>98</v>
      </c>
      <c r="G9" s="4">
        <v>2</v>
      </c>
      <c r="H9" s="9">
        <f t="shared" ref="H9:H72" si="1">E9+F9+G9</f>
        <v>399</v>
      </c>
      <c r="I9" s="16">
        <f t="shared" ref="I9:I72" si="2">H9+D9</f>
        <v>597</v>
      </c>
    </row>
    <row r="10" spans="1:9" x14ac:dyDescent="0.25">
      <c r="A10" s="13" t="s">
        <v>10</v>
      </c>
      <c r="B10" s="8">
        <v>439</v>
      </c>
      <c r="C10" s="4">
        <v>12</v>
      </c>
      <c r="D10" s="6">
        <f t="shared" si="0"/>
        <v>451</v>
      </c>
      <c r="E10" s="8">
        <v>126</v>
      </c>
      <c r="F10" s="4">
        <v>31</v>
      </c>
      <c r="G10" s="4">
        <v>1</v>
      </c>
      <c r="H10" s="9">
        <f t="shared" si="1"/>
        <v>158</v>
      </c>
      <c r="I10" s="16">
        <f t="shared" si="2"/>
        <v>609</v>
      </c>
    </row>
    <row r="11" spans="1:9" x14ac:dyDescent="0.25">
      <c r="A11" s="13" t="s">
        <v>140</v>
      </c>
      <c r="B11" s="8">
        <v>101</v>
      </c>
      <c r="C11" s="4">
        <v>1</v>
      </c>
      <c r="D11" s="6">
        <f t="shared" si="0"/>
        <v>102</v>
      </c>
      <c r="E11" s="8">
        <v>117</v>
      </c>
      <c r="F11" s="4">
        <v>64</v>
      </c>
      <c r="G11" s="4">
        <v>0</v>
      </c>
      <c r="H11" s="9">
        <f t="shared" si="1"/>
        <v>181</v>
      </c>
      <c r="I11" s="16">
        <f t="shared" si="2"/>
        <v>283</v>
      </c>
    </row>
    <row r="12" spans="1:9" x14ac:dyDescent="0.25">
      <c r="A12" s="13" t="s">
        <v>141</v>
      </c>
      <c r="B12" s="8">
        <v>0</v>
      </c>
      <c r="C12" s="4">
        <v>0</v>
      </c>
      <c r="D12" s="6">
        <f t="shared" si="0"/>
        <v>0</v>
      </c>
      <c r="E12" s="8">
        <v>135</v>
      </c>
      <c r="F12" s="4">
        <v>126</v>
      </c>
      <c r="G12" s="4">
        <v>1</v>
      </c>
      <c r="H12" s="9">
        <f t="shared" si="1"/>
        <v>262</v>
      </c>
      <c r="I12" s="16">
        <f t="shared" si="2"/>
        <v>262</v>
      </c>
    </row>
    <row r="13" spans="1:9" x14ac:dyDescent="0.25">
      <c r="A13" s="13" t="s">
        <v>142</v>
      </c>
      <c r="B13" s="8">
        <v>105</v>
      </c>
      <c r="C13" s="4">
        <v>0</v>
      </c>
      <c r="D13" s="6">
        <f t="shared" si="0"/>
        <v>105</v>
      </c>
      <c r="E13" s="8">
        <v>156</v>
      </c>
      <c r="F13" s="4">
        <v>83</v>
      </c>
      <c r="G13" s="4">
        <v>1</v>
      </c>
      <c r="H13" s="9">
        <f t="shared" si="1"/>
        <v>240</v>
      </c>
      <c r="I13" s="16">
        <f t="shared" si="2"/>
        <v>345</v>
      </c>
    </row>
    <row r="14" spans="1:9" x14ac:dyDescent="0.25">
      <c r="A14" s="13" t="s">
        <v>95</v>
      </c>
      <c r="B14" s="8">
        <v>147</v>
      </c>
      <c r="C14" s="4">
        <v>1</v>
      </c>
      <c r="D14" s="6">
        <f t="shared" si="0"/>
        <v>148</v>
      </c>
      <c r="E14" s="8">
        <v>123</v>
      </c>
      <c r="F14" s="4">
        <v>0</v>
      </c>
      <c r="G14" s="4">
        <v>0</v>
      </c>
      <c r="H14" s="9">
        <f t="shared" si="1"/>
        <v>123</v>
      </c>
      <c r="I14" s="16">
        <f t="shared" si="2"/>
        <v>271</v>
      </c>
    </row>
    <row r="15" spans="1:9" x14ac:dyDescent="0.25">
      <c r="A15" s="13" t="s">
        <v>153</v>
      </c>
      <c r="B15" s="8">
        <v>988</v>
      </c>
      <c r="C15" s="4">
        <v>29</v>
      </c>
      <c r="D15" s="6">
        <f t="shared" si="0"/>
        <v>1017</v>
      </c>
      <c r="E15" s="8">
        <v>308</v>
      </c>
      <c r="F15" s="4">
        <v>13</v>
      </c>
      <c r="G15" s="4">
        <v>0</v>
      </c>
      <c r="H15" s="9">
        <f t="shared" si="1"/>
        <v>321</v>
      </c>
      <c r="I15" s="16">
        <f t="shared" si="2"/>
        <v>1338</v>
      </c>
    </row>
    <row r="16" spans="1:9" x14ac:dyDescent="0.25">
      <c r="A16" s="13" t="s">
        <v>148</v>
      </c>
      <c r="B16" s="8">
        <v>0</v>
      </c>
      <c r="C16" s="4">
        <v>0</v>
      </c>
      <c r="D16" s="6">
        <f t="shared" si="0"/>
        <v>0</v>
      </c>
      <c r="E16" s="8">
        <v>9</v>
      </c>
      <c r="F16" s="4">
        <v>1</v>
      </c>
      <c r="G16" s="4">
        <v>0</v>
      </c>
      <c r="H16" s="9">
        <f t="shared" si="1"/>
        <v>10</v>
      </c>
      <c r="I16" s="16">
        <f t="shared" si="2"/>
        <v>10</v>
      </c>
    </row>
    <row r="17" spans="1:9" x14ac:dyDescent="0.25">
      <c r="A17" s="13" t="s">
        <v>125</v>
      </c>
      <c r="B17" s="8">
        <v>0</v>
      </c>
      <c r="C17" s="4">
        <v>0</v>
      </c>
      <c r="D17" s="6">
        <f t="shared" si="0"/>
        <v>0</v>
      </c>
      <c r="E17" s="8">
        <v>53</v>
      </c>
      <c r="F17" s="4">
        <v>11</v>
      </c>
      <c r="G17" s="4">
        <v>0</v>
      </c>
      <c r="H17" s="9">
        <f t="shared" si="1"/>
        <v>64</v>
      </c>
      <c r="I17" s="16">
        <f t="shared" si="2"/>
        <v>64</v>
      </c>
    </row>
    <row r="18" spans="1:9" x14ac:dyDescent="0.25">
      <c r="A18" s="13" t="s">
        <v>143</v>
      </c>
      <c r="B18" s="8">
        <v>0</v>
      </c>
      <c r="C18" s="4">
        <v>0</v>
      </c>
      <c r="D18" s="6">
        <f t="shared" si="0"/>
        <v>0</v>
      </c>
      <c r="E18" s="8">
        <v>92</v>
      </c>
      <c r="F18" s="4">
        <v>33</v>
      </c>
      <c r="G18" s="4">
        <v>0</v>
      </c>
      <c r="H18" s="9">
        <f t="shared" si="1"/>
        <v>125</v>
      </c>
      <c r="I18" s="16">
        <f t="shared" si="2"/>
        <v>125</v>
      </c>
    </row>
    <row r="19" spans="1:9" x14ac:dyDescent="0.25">
      <c r="A19" s="13" t="s">
        <v>144</v>
      </c>
      <c r="B19" s="8">
        <v>0</v>
      </c>
      <c r="C19" s="4">
        <v>0</v>
      </c>
      <c r="D19" s="6">
        <f t="shared" si="0"/>
        <v>0</v>
      </c>
      <c r="E19" s="8">
        <v>56</v>
      </c>
      <c r="F19" s="4">
        <v>0</v>
      </c>
      <c r="G19" s="4">
        <v>0</v>
      </c>
      <c r="H19" s="9">
        <f t="shared" si="1"/>
        <v>56</v>
      </c>
      <c r="I19" s="16">
        <f t="shared" si="2"/>
        <v>56</v>
      </c>
    </row>
    <row r="20" spans="1:9" x14ac:dyDescent="0.25">
      <c r="A20" s="13" t="s">
        <v>130</v>
      </c>
      <c r="B20" s="8">
        <v>0</v>
      </c>
      <c r="C20" s="4">
        <v>0</v>
      </c>
      <c r="D20" s="6">
        <f t="shared" si="0"/>
        <v>0</v>
      </c>
      <c r="E20" s="8">
        <v>0</v>
      </c>
      <c r="F20" s="4">
        <v>89</v>
      </c>
      <c r="G20" s="4">
        <v>0</v>
      </c>
      <c r="H20" s="9">
        <f t="shared" si="1"/>
        <v>89</v>
      </c>
      <c r="I20" s="16">
        <f t="shared" si="2"/>
        <v>89</v>
      </c>
    </row>
    <row r="21" spans="1:9" x14ac:dyDescent="0.25">
      <c r="A21" s="13" t="s">
        <v>96</v>
      </c>
      <c r="B21" s="8">
        <v>309</v>
      </c>
      <c r="C21" s="4">
        <v>5</v>
      </c>
      <c r="D21" s="6">
        <f t="shared" si="0"/>
        <v>314</v>
      </c>
      <c r="E21" s="8">
        <v>60</v>
      </c>
      <c r="F21" s="4">
        <v>5</v>
      </c>
      <c r="G21" s="4">
        <v>0</v>
      </c>
      <c r="H21" s="9">
        <f t="shared" si="1"/>
        <v>65</v>
      </c>
      <c r="I21" s="16">
        <f t="shared" si="2"/>
        <v>379</v>
      </c>
    </row>
    <row r="22" spans="1:9" x14ac:dyDescent="0.25">
      <c r="A22" s="13" t="s">
        <v>14</v>
      </c>
      <c r="B22" s="8">
        <v>315</v>
      </c>
      <c r="C22" s="4">
        <v>4</v>
      </c>
      <c r="D22" s="6">
        <f t="shared" si="0"/>
        <v>319</v>
      </c>
      <c r="E22" s="8">
        <v>159</v>
      </c>
      <c r="F22" s="4">
        <v>2</v>
      </c>
      <c r="G22" s="4">
        <v>0</v>
      </c>
      <c r="H22" s="9">
        <f t="shared" si="1"/>
        <v>161</v>
      </c>
      <c r="I22" s="16">
        <f t="shared" si="2"/>
        <v>480</v>
      </c>
    </row>
    <row r="23" spans="1:9" x14ac:dyDescent="0.25">
      <c r="A23" s="13" t="s">
        <v>149</v>
      </c>
      <c r="B23" s="8">
        <v>297</v>
      </c>
      <c r="C23" s="4">
        <v>6</v>
      </c>
      <c r="D23" s="6">
        <f t="shared" si="0"/>
        <v>303</v>
      </c>
      <c r="E23" s="8">
        <v>170</v>
      </c>
      <c r="F23" s="4">
        <v>20</v>
      </c>
      <c r="G23" s="4">
        <v>0</v>
      </c>
      <c r="H23" s="9">
        <f t="shared" si="1"/>
        <v>190</v>
      </c>
      <c r="I23" s="16">
        <f t="shared" si="2"/>
        <v>493</v>
      </c>
    </row>
    <row r="24" spans="1:9" x14ac:dyDescent="0.25">
      <c r="A24" s="13" t="s">
        <v>16</v>
      </c>
      <c r="B24" s="8">
        <v>206</v>
      </c>
      <c r="C24" s="4">
        <v>6</v>
      </c>
      <c r="D24" s="6">
        <f t="shared" si="0"/>
        <v>212</v>
      </c>
      <c r="E24" s="8">
        <v>307</v>
      </c>
      <c r="F24" s="4">
        <v>20</v>
      </c>
      <c r="G24" s="4">
        <v>1</v>
      </c>
      <c r="H24" s="9">
        <f t="shared" si="1"/>
        <v>328</v>
      </c>
      <c r="I24" s="16">
        <f t="shared" si="2"/>
        <v>540</v>
      </c>
    </row>
    <row r="25" spans="1:9" x14ac:dyDescent="0.25">
      <c r="A25" s="13" t="s">
        <v>17</v>
      </c>
      <c r="B25" s="8">
        <v>0</v>
      </c>
      <c r="C25" s="4">
        <v>0</v>
      </c>
      <c r="D25" s="6">
        <f t="shared" si="0"/>
        <v>0</v>
      </c>
      <c r="E25" s="8">
        <v>177</v>
      </c>
      <c r="F25" s="4">
        <v>26</v>
      </c>
      <c r="G25" s="4">
        <v>1</v>
      </c>
      <c r="H25" s="9">
        <f t="shared" si="1"/>
        <v>204</v>
      </c>
      <c r="I25" s="16">
        <f t="shared" si="2"/>
        <v>204</v>
      </c>
    </row>
    <row r="26" spans="1:9" x14ac:dyDescent="0.25">
      <c r="A26" s="13" t="s">
        <v>18</v>
      </c>
      <c r="B26" s="8">
        <v>23</v>
      </c>
      <c r="C26" s="4">
        <v>1</v>
      </c>
      <c r="D26" s="6">
        <f t="shared" si="0"/>
        <v>24</v>
      </c>
      <c r="E26" s="8">
        <v>2</v>
      </c>
      <c r="F26" s="4">
        <v>2</v>
      </c>
      <c r="G26" s="4">
        <v>0</v>
      </c>
      <c r="H26" s="9">
        <f t="shared" si="1"/>
        <v>4</v>
      </c>
      <c r="I26" s="16">
        <f t="shared" si="2"/>
        <v>28</v>
      </c>
    </row>
    <row r="27" spans="1:9" x14ac:dyDescent="0.25">
      <c r="A27" s="13" t="s">
        <v>122</v>
      </c>
      <c r="B27" s="8">
        <v>92</v>
      </c>
      <c r="C27" s="4">
        <v>3</v>
      </c>
      <c r="D27" s="6">
        <f t="shared" si="0"/>
        <v>95</v>
      </c>
      <c r="E27" s="8">
        <v>47</v>
      </c>
      <c r="F27" s="4">
        <v>22</v>
      </c>
      <c r="G27" s="4">
        <v>0</v>
      </c>
      <c r="H27" s="9">
        <f t="shared" si="1"/>
        <v>69</v>
      </c>
      <c r="I27" s="16">
        <f t="shared" si="2"/>
        <v>164</v>
      </c>
    </row>
    <row r="28" spans="1:9" x14ac:dyDescent="0.25">
      <c r="A28" s="13" t="s">
        <v>19</v>
      </c>
      <c r="B28" s="8">
        <v>706</v>
      </c>
      <c r="C28" s="4">
        <v>10</v>
      </c>
      <c r="D28" s="6">
        <f t="shared" si="0"/>
        <v>716</v>
      </c>
      <c r="E28" s="8">
        <v>170</v>
      </c>
      <c r="F28" s="4">
        <v>16</v>
      </c>
      <c r="G28" s="4">
        <v>1</v>
      </c>
      <c r="H28" s="9">
        <f t="shared" si="1"/>
        <v>187</v>
      </c>
      <c r="I28" s="16">
        <f t="shared" si="2"/>
        <v>903</v>
      </c>
    </row>
    <row r="29" spans="1:9" x14ac:dyDescent="0.25">
      <c r="A29" s="13" t="s">
        <v>20</v>
      </c>
      <c r="B29" s="8">
        <v>245</v>
      </c>
      <c r="C29" s="4">
        <v>1</v>
      </c>
      <c r="D29" s="6">
        <f t="shared" si="0"/>
        <v>246</v>
      </c>
      <c r="E29" s="8">
        <v>171</v>
      </c>
      <c r="F29" s="4">
        <v>67</v>
      </c>
      <c r="G29" s="4">
        <v>1</v>
      </c>
      <c r="H29" s="9">
        <f t="shared" si="1"/>
        <v>239</v>
      </c>
      <c r="I29" s="16">
        <f t="shared" si="2"/>
        <v>485</v>
      </c>
    </row>
    <row r="30" spans="1:9" x14ac:dyDescent="0.25">
      <c r="A30" s="13" t="s">
        <v>171</v>
      </c>
      <c r="B30" s="8">
        <v>0</v>
      </c>
      <c r="C30" s="4">
        <v>0</v>
      </c>
      <c r="D30" s="6">
        <f t="shared" si="0"/>
        <v>0</v>
      </c>
      <c r="E30" s="8">
        <v>16</v>
      </c>
      <c r="F30" s="4">
        <v>3</v>
      </c>
      <c r="G30" s="4">
        <v>0</v>
      </c>
      <c r="H30" s="9">
        <f t="shared" si="1"/>
        <v>19</v>
      </c>
      <c r="I30" s="16">
        <f t="shared" si="2"/>
        <v>19</v>
      </c>
    </row>
    <row r="31" spans="1:9" x14ac:dyDescent="0.25">
      <c r="A31" s="13" t="s">
        <v>172</v>
      </c>
      <c r="B31" s="8">
        <v>0</v>
      </c>
      <c r="C31" s="4">
        <v>0</v>
      </c>
      <c r="D31" s="6">
        <f t="shared" si="0"/>
        <v>0</v>
      </c>
      <c r="E31" s="8">
        <v>19</v>
      </c>
      <c r="F31" s="4">
        <v>1</v>
      </c>
      <c r="G31" s="4">
        <v>0</v>
      </c>
      <c r="H31" s="9">
        <f t="shared" si="1"/>
        <v>20</v>
      </c>
      <c r="I31" s="16">
        <f t="shared" si="2"/>
        <v>20</v>
      </c>
    </row>
    <row r="32" spans="1:9" x14ac:dyDescent="0.25">
      <c r="A32" s="13" t="s">
        <v>21</v>
      </c>
      <c r="B32" s="8">
        <v>257</v>
      </c>
      <c r="C32" s="4">
        <v>0</v>
      </c>
      <c r="D32" s="6">
        <f t="shared" si="0"/>
        <v>257</v>
      </c>
      <c r="E32" s="8">
        <v>92</v>
      </c>
      <c r="F32" s="4">
        <v>13</v>
      </c>
      <c r="G32" s="4">
        <v>0</v>
      </c>
      <c r="H32" s="9">
        <f t="shared" si="1"/>
        <v>105</v>
      </c>
      <c r="I32" s="16">
        <f t="shared" si="2"/>
        <v>362</v>
      </c>
    </row>
    <row r="33" spans="1:9" x14ac:dyDescent="0.25">
      <c r="A33" s="13" t="s">
        <v>165</v>
      </c>
      <c r="B33" s="8">
        <v>0</v>
      </c>
      <c r="C33" s="4">
        <v>0</v>
      </c>
      <c r="D33" s="6">
        <f t="shared" si="0"/>
        <v>0</v>
      </c>
      <c r="E33" s="8">
        <v>5</v>
      </c>
      <c r="F33" s="4">
        <v>0</v>
      </c>
      <c r="G33" s="4">
        <v>0</v>
      </c>
      <c r="H33" s="9">
        <f t="shared" si="1"/>
        <v>5</v>
      </c>
      <c r="I33" s="16">
        <f t="shared" si="2"/>
        <v>5</v>
      </c>
    </row>
    <row r="34" spans="1:9" x14ac:dyDescent="0.25">
      <c r="A34" s="13" t="s">
        <v>126</v>
      </c>
      <c r="B34" s="8">
        <v>204</v>
      </c>
      <c r="C34" s="4">
        <v>0</v>
      </c>
      <c r="D34" s="6">
        <f t="shared" si="0"/>
        <v>204</v>
      </c>
      <c r="E34" s="8">
        <v>0</v>
      </c>
      <c r="F34" s="4">
        <v>0</v>
      </c>
      <c r="G34" s="4">
        <v>0</v>
      </c>
      <c r="H34" s="9">
        <f t="shared" si="1"/>
        <v>0</v>
      </c>
      <c r="I34" s="16">
        <f t="shared" si="2"/>
        <v>204</v>
      </c>
    </row>
    <row r="35" spans="1:9" x14ac:dyDescent="0.25">
      <c r="A35" s="13" t="s">
        <v>22</v>
      </c>
      <c r="B35" s="8">
        <v>150</v>
      </c>
      <c r="C35" s="4">
        <v>0</v>
      </c>
      <c r="D35" s="6">
        <f t="shared" si="0"/>
        <v>150</v>
      </c>
      <c r="E35" s="8">
        <v>134</v>
      </c>
      <c r="F35" s="4">
        <v>9</v>
      </c>
      <c r="G35" s="4">
        <v>0</v>
      </c>
      <c r="H35" s="9">
        <f t="shared" si="1"/>
        <v>143</v>
      </c>
      <c r="I35" s="16">
        <f t="shared" si="2"/>
        <v>293</v>
      </c>
    </row>
    <row r="36" spans="1:9" x14ac:dyDescent="0.25">
      <c r="A36" s="13" t="s">
        <v>23</v>
      </c>
      <c r="B36" s="8">
        <v>261</v>
      </c>
      <c r="C36" s="4">
        <v>1</v>
      </c>
      <c r="D36" s="6">
        <f t="shared" si="0"/>
        <v>262</v>
      </c>
      <c r="E36" s="8">
        <v>13</v>
      </c>
      <c r="F36" s="4">
        <v>5</v>
      </c>
      <c r="G36" s="4">
        <v>0</v>
      </c>
      <c r="H36" s="9">
        <f t="shared" si="1"/>
        <v>18</v>
      </c>
      <c r="I36" s="16">
        <f t="shared" si="2"/>
        <v>280</v>
      </c>
    </row>
    <row r="37" spans="1:9" x14ac:dyDescent="0.25">
      <c r="A37" s="13" t="s">
        <v>97</v>
      </c>
      <c r="B37" s="8">
        <v>0</v>
      </c>
      <c r="C37" s="4">
        <v>0</v>
      </c>
      <c r="D37" s="6">
        <f t="shared" si="0"/>
        <v>0</v>
      </c>
      <c r="E37" s="8">
        <v>12</v>
      </c>
      <c r="F37" s="4">
        <v>0</v>
      </c>
      <c r="G37" s="4">
        <v>0</v>
      </c>
      <c r="H37" s="9">
        <f t="shared" si="1"/>
        <v>12</v>
      </c>
      <c r="I37" s="16">
        <f t="shared" si="2"/>
        <v>12</v>
      </c>
    </row>
    <row r="38" spans="1:9" x14ac:dyDescent="0.25">
      <c r="A38" s="13" t="s">
        <v>24</v>
      </c>
      <c r="B38" s="8">
        <v>361</v>
      </c>
      <c r="C38" s="4">
        <v>8</v>
      </c>
      <c r="D38" s="6">
        <f t="shared" si="0"/>
        <v>369</v>
      </c>
      <c r="E38" s="8">
        <v>162</v>
      </c>
      <c r="F38" s="4">
        <v>34</v>
      </c>
      <c r="G38" s="4">
        <v>1</v>
      </c>
      <c r="H38" s="9">
        <f t="shared" si="1"/>
        <v>197</v>
      </c>
      <c r="I38" s="16">
        <f t="shared" si="2"/>
        <v>566</v>
      </c>
    </row>
    <row r="39" spans="1:9" x14ac:dyDescent="0.25">
      <c r="A39" s="13" t="s">
        <v>26</v>
      </c>
      <c r="B39" s="8">
        <v>155</v>
      </c>
      <c r="C39" s="4">
        <v>0</v>
      </c>
      <c r="D39" s="6">
        <f t="shared" si="0"/>
        <v>155</v>
      </c>
      <c r="E39" s="8">
        <v>10</v>
      </c>
      <c r="F39" s="4">
        <v>6</v>
      </c>
      <c r="G39" s="4">
        <v>0</v>
      </c>
      <c r="H39" s="9">
        <f t="shared" si="1"/>
        <v>16</v>
      </c>
      <c r="I39" s="16">
        <f t="shared" si="2"/>
        <v>171</v>
      </c>
    </row>
    <row r="40" spans="1:9" x14ac:dyDescent="0.25">
      <c r="A40" s="13" t="s">
        <v>81</v>
      </c>
      <c r="B40" s="8">
        <v>145</v>
      </c>
      <c r="C40" s="4">
        <v>6</v>
      </c>
      <c r="D40" s="6">
        <f t="shared" si="0"/>
        <v>151</v>
      </c>
      <c r="E40" s="8">
        <v>43</v>
      </c>
      <c r="F40" s="4">
        <v>12</v>
      </c>
      <c r="G40" s="4">
        <v>0</v>
      </c>
      <c r="H40" s="9">
        <f t="shared" si="1"/>
        <v>55</v>
      </c>
      <c r="I40" s="16">
        <f t="shared" si="2"/>
        <v>206</v>
      </c>
    </row>
    <row r="41" spans="1:9" x14ac:dyDescent="0.25">
      <c r="A41" s="13" t="s">
        <v>82</v>
      </c>
      <c r="B41" s="8">
        <v>26</v>
      </c>
      <c r="C41" s="4">
        <v>8</v>
      </c>
      <c r="D41" s="6">
        <f t="shared" si="0"/>
        <v>34</v>
      </c>
      <c r="E41" s="8">
        <v>7</v>
      </c>
      <c r="F41" s="4">
        <v>10</v>
      </c>
      <c r="G41" s="4">
        <v>1</v>
      </c>
      <c r="H41" s="9">
        <f t="shared" si="1"/>
        <v>18</v>
      </c>
      <c r="I41" s="16">
        <f t="shared" si="2"/>
        <v>52</v>
      </c>
    </row>
    <row r="42" spans="1:9" x14ac:dyDescent="0.25">
      <c r="A42" s="13" t="s">
        <v>30</v>
      </c>
      <c r="B42" s="8">
        <v>345</v>
      </c>
      <c r="C42" s="4">
        <v>2</v>
      </c>
      <c r="D42" s="6">
        <f t="shared" si="0"/>
        <v>347</v>
      </c>
      <c r="E42" s="8">
        <v>94</v>
      </c>
      <c r="F42" s="4">
        <v>22</v>
      </c>
      <c r="G42" s="4">
        <v>0</v>
      </c>
      <c r="H42" s="9">
        <f t="shared" si="1"/>
        <v>116</v>
      </c>
      <c r="I42" s="16">
        <f t="shared" si="2"/>
        <v>463</v>
      </c>
    </row>
    <row r="43" spans="1:9" x14ac:dyDescent="0.25">
      <c r="A43" s="13" t="s">
        <v>83</v>
      </c>
      <c r="B43" s="8">
        <v>170</v>
      </c>
      <c r="C43" s="4">
        <v>2</v>
      </c>
      <c r="D43" s="6">
        <f t="shared" si="0"/>
        <v>172</v>
      </c>
      <c r="E43" s="8">
        <v>53</v>
      </c>
      <c r="F43" s="4">
        <v>16</v>
      </c>
      <c r="G43" s="4">
        <v>0</v>
      </c>
      <c r="H43" s="9">
        <f t="shared" si="1"/>
        <v>69</v>
      </c>
      <c r="I43" s="16">
        <f t="shared" si="2"/>
        <v>241</v>
      </c>
    </row>
    <row r="44" spans="1:9" x14ac:dyDescent="0.25">
      <c r="A44" s="13" t="s">
        <v>154</v>
      </c>
      <c r="B44" s="8">
        <v>18</v>
      </c>
      <c r="C44" s="4">
        <v>0</v>
      </c>
      <c r="D44" s="6">
        <f t="shared" si="0"/>
        <v>18</v>
      </c>
      <c r="E44" s="8">
        <v>13</v>
      </c>
      <c r="F44" s="4">
        <v>4</v>
      </c>
      <c r="G44" s="4">
        <v>0</v>
      </c>
      <c r="H44" s="9">
        <f t="shared" si="1"/>
        <v>17</v>
      </c>
      <c r="I44" s="16">
        <f t="shared" si="2"/>
        <v>35</v>
      </c>
    </row>
    <row r="45" spans="1:9" x14ac:dyDescent="0.25">
      <c r="A45" s="13" t="s">
        <v>166</v>
      </c>
      <c r="B45" s="8">
        <v>0</v>
      </c>
      <c r="C45" s="4">
        <v>0</v>
      </c>
      <c r="D45" s="6">
        <f t="shared" si="0"/>
        <v>0</v>
      </c>
      <c r="E45" s="8">
        <v>157</v>
      </c>
      <c r="F45" s="4">
        <v>105</v>
      </c>
      <c r="G45" s="4">
        <v>1</v>
      </c>
      <c r="H45" s="9">
        <f t="shared" si="1"/>
        <v>263</v>
      </c>
      <c r="I45" s="16">
        <f t="shared" si="2"/>
        <v>263</v>
      </c>
    </row>
    <row r="46" spans="1:9" x14ac:dyDescent="0.25">
      <c r="A46" s="13" t="s">
        <v>33</v>
      </c>
      <c r="B46" s="8">
        <v>202</v>
      </c>
      <c r="C46" s="4">
        <v>0</v>
      </c>
      <c r="D46" s="6">
        <f t="shared" si="0"/>
        <v>202</v>
      </c>
      <c r="E46" s="8">
        <v>10</v>
      </c>
      <c r="F46" s="4">
        <v>2</v>
      </c>
      <c r="G46" s="4">
        <v>0</v>
      </c>
      <c r="H46" s="9">
        <f t="shared" si="1"/>
        <v>12</v>
      </c>
      <c r="I46" s="16">
        <f t="shared" si="2"/>
        <v>214</v>
      </c>
    </row>
    <row r="47" spans="1:9" x14ac:dyDescent="0.25">
      <c r="A47" s="13" t="s">
        <v>128</v>
      </c>
      <c r="B47" s="8">
        <v>203</v>
      </c>
      <c r="C47" s="4">
        <v>0</v>
      </c>
      <c r="D47" s="6">
        <f t="shared" si="0"/>
        <v>203</v>
      </c>
      <c r="E47" s="8">
        <v>0</v>
      </c>
      <c r="F47" s="4">
        <v>0</v>
      </c>
      <c r="G47" s="4">
        <v>0</v>
      </c>
      <c r="H47" s="9">
        <f t="shared" si="1"/>
        <v>0</v>
      </c>
      <c r="I47" s="16">
        <f t="shared" si="2"/>
        <v>203</v>
      </c>
    </row>
    <row r="48" spans="1:9" x14ac:dyDescent="0.25">
      <c r="A48" s="13" t="s">
        <v>1</v>
      </c>
      <c r="B48" s="8">
        <v>544</v>
      </c>
      <c r="C48" s="4">
        <v>2</v>
      </c>
      <c r="D48" s="6">
        <f t="shared" si="0"/>
        <v>546</v>
      </c>
      <c r="E48" s="8">
        <v>505</v>
      </c>
      <c r="F48" s="4">
        <v>46</v>
      </c>
      <c r="G48" s="4">
        <v>2</v>
      </c>
      <c r="H48" s="9">
        <f t="shared" si="1"/>
        <v>553</v>
      </c>
      <c r="I48" s="16">
        <f t="shared" si="2"/>
        <v>1099</v>
      </c>
    </row>
    <row r="49" spans="1:9" x14ac:dyDescent="0.25">
      <c r="A49" s="13" t="s">
        <v>155</v>
      </c>
      <c r="B49" s="8">
        <v>113</v>
      </c>
      <c r="C49" s="4">
        <v>0</v>
      </c>
      <c r="D49" s="6">
        <f t="shared" si="0"/>
        <v>113</v>
      </c>
      <c r="E49" s="8">
        <v>71</v>
      </c>
      <c r="F49" s="4">
        <v>0</v>
      </c>
      <c r="G49" s="4">
        <v>0</v>
      </c>
      <c r="H49" s="9">
        <f t="shared" si="1"/>
        <v>71</v>
      </c>
      <c r="I49" s="16">
        <f t="shared" si="2"/>
        <v>184</v>
      </c>
    </row>
    <row r="50" spans="1:9" x14ac:dyDescent="0.25">
      <c r="A50" s="13" t="s">
        <v>150</v>
      </c>
      <c r="B50" s="8">
        <v>249</v>
      </c>
      <c r="C50" s="4">
        <v>2</v>
      </c>
      <c r="D50" s="6">
        <f t="shared" si="0"/>
        <v>251</v>
      </c>
      <c r="E50" s="8">
        <v>115</v>
      </c>
      <c r="F50" s="4">
        <v>10</v>
      </c>
      <c r="G50" s="4">
        <v>0</v>
      </c>
      <c r="H50" s="9">
        <f t="shared" si="1"/>
        <v>125</v>
      </c>
      <c r="I50" s="16">
        <f t="shared" si="2"/>
        <v>376</v>
      </c>
    </row>
    <row r="51" spans="1:9" x14ac:dyDescent="0.25">
      <c r="A51" s="13" t="s">
        <v>35</v>
      </c>
      <c r="B51" s="8">
        <v>591</v>
      </c>
      <c r="C51" s="4">
        <v>27</v>
      </c>
      <c r="D51" s="6">
        <f t="shared" si="0"/>
        <v>618</v>
      </c>
      <c r="E51" s="8">
        <v>36</v>
      </c>
      <c r="F51" s="4">
        <v>1</v>
      </c>
      <c r="G51" s="4">
        <v>0</v>
      </c>
      <c r="H51" s="9">
        <f t="shared" si="1"/>
        <v>37</v>
      </c>
      <c r="I51" s="16">
        <f t="shared" si="2"/>
        <v>655</v>
      </c>
    </row>
    <row r="52" spans="1:9" x14ac:dyDescent="0.25">
      <c r="A52" s="13" t="s">
        <v>36</v>
      </c>
      <c r="B52" s="8">
        <v>334</v>
      </c>
      <c r="C52" s="4">
        <v>15</v>
      </c>
      <c r="D52" s="6">
        <f t="shared" si="0"/>
        <v>349</v>
      </c>
      <c r="E52" s="8">
        <v>158</v>
      </c>
      <c r="F52" s="4">
        <v>30</v>
      </c>
      <c r="G52" s="4">
        <v>0</v>
      </c>
      <c r="H52" s="9">
        <f t="shared" si="1"/>
        <v>188</v>
      </c>
      <c r="I52" s="16">
        <f t="shared" si="2"/>
        <v>537</v>
      </c>
    </row>
    <row r="53" spans="1:9" x14ac:dyDescent="0.25">
      <c r="A53" s="13" t="s">
        <v>37</v>
      </c>
      <c r="B53" s="8">
        <v>67</v>
      </c>
      <c r="C53" s="4">
        <v>0</v>
      </c>
      <c r="D53" s="6">
        <f t="shared" si="0"/>
        <v>67</v>
      </c>
      <c r="E53" s="8">
        <v>93</v>
      </c>
      <c r="F53" s="4">
        <v>48</v>
      </c>
      <c r="G53" s="4">
        <v>1</v>
      </c>
      <c r="H53" s="9">
        <f t="shared" si="1"/>
        <v>142</v>
      </c>
      <c r="I53" s="16">
        <f t="shared" si="2"/>
        <v>209</v>
      </c>
    </row>
    <row r="54" spans="1:9" x14ac:dyDescent="0.25">
      <c r="A54" s="13" t="s">
        <v>156</v>
      </c>
      <c r="B54" s="8">
        <v>0</v>
      </c>
      <c r="C54" s="4">
        <v>0</v>
      </c>
      <c r="D54" s="6">
        <f t="shared" si="0"/>
        <v>0</v>
      </c>
      <c r="E54" s="8">
        <v>24</v>
      </c>
      <c r="F54" s="4">
        <v>1</v>
      </c>
      <c r="G54" s="4">
        <v>0</v>
      </c>
      <c r="H54" s="9">
        <f t="shared" si="1"/>
        <v>25</v>
      </c>
      <c r="I54" s="16">
        <f t="shared" si="2"/>
        <v>25</v>
      </c>
    </row>
    <row r="55" spans="1:9" x14ac:dyDescent="0.25">
      <c r="A55" s="13" t="s">
        <v>151</v>
      </c>
      <c r="B55" s="8">
        <v>230</v>
      </c>
      <c r="C55" s="4">
        <v>8</v>
      </c>
      <c r="D55" s="6">
        <f t="shared" si="0"/>
        <v>238</v>
      </c>
      <c r="E55" s="8">
        <v>0</v>
      </c>
      <c r="F55" s="4">
        <v>0</v>
      </c>
      <c r="G55" s="4">
        <v>0</v>
      </c>
      <c r="H55" s="9">
        <f t="shared" si="1"/>
        <v>0</v>
      </c>
      <c r="I55" s="16">
        <f t="shared" si="2"/>
        <v>238</v>
      </c>
    </row>
    <row r="56" spans="1:9" x14ac:dyDescent="0.25">
      <c r="A56" s="13" t="s">
        <v>40</v>
      </c>
      <c r="B56" s="8">
        <v>163</v>
      </c>
      <c r="C56" s="4">
        <v>1</v>
      </c>
      <c r="D56" s="6">
        <f t="shared" si="0"/>
        <v>164</v>
      </c>
      <c r="E56" s="8">
        <v>70</v>
      </c>
      <c r="F56" s="4">
        <v>13</v>
      </c>
      <c r="G56" s="4">
        <v>0</v>
      </c>
      <c r="H56" s="9">
        <f t="shared" si="1"/>
        <v>83</v>
      </c>
      <c r="I56" s="16">
        <f t="shared" si="2"/>
        <v>247</v>
      </c>
    </row>
    <row r="57" spans="1:9" x14ac:dyDescent="0.25">
      <c r="A57" s="13" t="s">
        <v>43</v>
      </c>
      <c r="B57" s="8">
        <v>363</v>
      </c>
      <c r="C57" s="4">
        <v>69</v>
      </c>
      <c r="D57" s="6">
        <f t="shared" si="0"/>
        <v>432</v>
      </c>
      <c r="E57" s="8">
        <v>141</v>
      </c>
      <c r="F57" s="4">
        <v>2</v>
      </c>
      <c r="G57" s="4">
        <v>4</v>
      </c>
      <c r="H57" s="9">
        <f t="shared" si="1"/>
        <v>147</v>
      </c>
      <c r="I57" s="16">
        <f t="shared" si="2"/>
        <v>579</v>
      </c>
    </row>
    <row r="58" spans="1:9" x14ac:dyDescent="0.25">
      <c r="A58" s="13" t="s">
        <v>136</v>
      </c>
      <c r="B58" s="8">
        <v>57</v>
      </c>
      <c r="C58" s="4">
        <v>0</v>
      </c>
      <c r="D58" s="6">
        <f t="shared" si="0"/>
        <v>57</v>
      </c>
      <c r="E58" s="8">
        <v>381</v>
      </c>
      <c r="F58" s="4">
        <v>50</v>
      </c>
      <c r="G58" s="4">
        <v>0</v>
      </c>
      <c r="H58" s="9">
        <f t="shared" si="1"/>
        <v>431</v>
      </c>
      <c r="I58" s="16">
        <f t="shared" si="2"/>
        <v>488</v>
      </c>
    </row>
    <row r="59" spans="1:9" x14ac:dyDescent="0.25">
      <c r="A59" s="13" t="s">
        <v>157</v>
      </c>
      <c r="B59" s="8">
        <v>628</v>
      </c>
      <c r="C59" s="4">
        <v>11</v>
      </c>
      <c r="D59" s="6">
        <f t="shared" si="0"/>
        <v>639</v>
      </c>
      <c r="E59" s="8">
        <v>644</v>
      </c>
      <c r="F59" s="4">
        <v>203</v>
      </c>
      <c r="G59" s="4">
        <v>1</v>
      </c>
      <c r="H59" s="9">
        <f t="shared" si="1"/>
        <v>848</v>
      </c>
      <c r="I59" s="16">
        <f t="shared" si="2"/>
        <v>1487</v>
      </c>
    </row>
    <row r="60" spans="1:9" x14ac:dyDescent="0.25">
      <c r="A60" s="13" t="s">
        <v>46</v>
      </c>
      <c r="B60" s="8">
        <v>105</v>
      </c>
      <c r="C60" s="4">
        <v>1</v>
      </c>
      <c r="D60" s="6">
        <f t="shared" si="0"/>
        <v>106</v>
      </c>
      <c r="E60" s="8">
        <v>9</v>
      </c>
      <c r="F60" s="4">
        <v>3</v>
      </c>
      <c r="G60" s="4">
        <v>0</v>
      </c>
      <c r="H60" s="9">
        <f t="shared" si="1"/>
        <v>12</v>
      </c>
      <c r="I60" s="16">
        <f t="shared" si="2"/>
        <v>118</v>
      </c>
    </row>
    <row r="61" spans="1:9" x14ac:dyDescent="0.25">
      <c r="A61" s="13" t="s">
        <v>167</v>
      </c>
      <c r="B61" s="8">
        <v>0</v>
      </c>
      <c r="C61" s="4">
        <v>0</v>
      </c>
      <c r="D61" s="6">
        <f t="shared" si="0"/>
        <v>0</v>
      </c>
      <c r="E61" s="8">
        <v>71</v>
      </c>
      <c r="F61" s="4">
        <v>69</v>
      </c>
      <c r="G61" s="4">
        <v>0</v>
      </c>
      <c r="H61" s="9">
        <f t="shared" si="1"/>
        <v>140</v>
      </c>
      <c r="I61" s="16">
        <f t="shared" si="2"/>
        <v>140</v>
      </c>
    </row>
    <row r="62" spans="1:9" x14ac:dyDescent="0.25">
      <c r="A62" s="13" t="s">
        <v>117</v>
      </c>
      <c r="B62" s="8">
        <v>663</v>
      </c>
      <c r="C62" s="4">
        <v>14</v>
      </c>
      <c r="D62" s="6">
        <f t="shared" si="0"/>
        <v>677</v>
      </c>
      <c r="E62" s="8">
        <v>245</v>
      </c>
      <c r="F62" s="4">
        <v>42</v>
      </c>
      <c r="G62" s="4">
        <v>1</v>
      </c>
      <c r="H62" s="9">
        <f t="shared" si="1"/>
        <v>288</v>
      </c>
      <c r="I62" s="16">
        <f t="shared" si="2"/>
        <v>965</v>
      </c>
    </row>
    <row r="63" spans="1:9" x14ac:dyDescent="0.25">
      <c r="A63" s="13" t="s">
        <v>47</v>
      </c>
      <c r="B63" s="8">
        <v>64</v>
      </c>
      <c r="C63" s="4">
        <v>3</v>
      </c>
      <c r="D63" s="6">
        <f t="shared" si="0"/>
        <v>67</v>
      </c>
      <c r="E63" s="8">
        <v>9</v>
      </c>
      <c r="F63" s="4">
        <v>4</v>
      </c>
      <c r="G63" s="4">
        <v>0</v>
      </c>
      <c r="H63" s="9">
        <f t="shared" si="1"/>
        <v>13</v>
      </c>
      <c r="I63" s="16">
        <f t="shared" si="2"/>
        <v>80</v>
      </c>
    </row>
    <row r="64" spans="1:9" x14ac:dyDescent="0.25">
      <c r="A64" s="13" t="s">
        <v>48</v>
      </c>
      <c r="B64" s="8">
        <v>0</v>
      </c>
      <c r="C64" s="4">
        <v>0</v>
      </c>
      <c r="D64" s="6">
        <f t="shared" si="0"/>
        <v>0</v>
      </c>
      <c r="E64" s="8">
        <v>51</v>
      </c>
      <c r="F64" s="4">
        <v>43</v>
      </c>
      <c r="G64" s="4">
        <v>0</v>
      </c>
      <c r="H64" s="9">
        <f t="shared" si="1"/>
        <v>94</v>
      </c>
      <c r="I64" s="16">
        <f t="shared" si="2"/>
        <v>94</v>
      </c>
    </row>
    <row r="65" spans="1:9" x14ac:dyDescent="0.25">
      <c r="A65" s="13" t="s">
        <v>49</v>
      </c>
      <c r="B65" s="8">
        <v>94</v>
      </c>
      <c r="C65" s="4">
        <v>0</v>
      </c>
      <c r="D65" s="6">
        <f t="shared" si="0"/>
        <v>94</v>
      </c>
      <c r="E65" s="8">
        <v>12</v>
      </c>
      <c r="F65" s="4">
        <v>4</v>
      </c>
      <c r="G65" s="4">
        <v>0</v>
      </c>
      <c r="H65" s="9">
        <f t="shared" si="1"/>
        <v>16</v>
      </c>
      <c r="I65" s="16">
        <f t="shared" si="2"/>
        <v>110</v>
      </c>
    </row>
    <row r="66" spans="1:9" x14ac:dyDescent="0.25">
      <c r="A66" s="13" t="s">
        <v>50</v>
      </c>
      <c r="B66" s="8">
        <v>313</v>
      </c>
      <c r="C66" s="4">
        <v>14</v>
      </c>
      <c r="D66" s="6">
        <f t="shared" si="0"/>
        <v>327</v>
      </c>
      <c r="E66" s="8">
        <v>33</v>
      </c>
      <c r="F66" s="4">
        <v>6</v>
      </c>
      <c r="G66" s="4">
        <v>0</v>
      </c>
      <c r="H66" s="9">
        <f t="shared" si="1"/>
        <v>39</v>
      </c>
      <c r="I66" s="16">
        <f t="shared" si="2"/>
        <v>366</v>
      </c>
    </row>
    <row r="67" spans="1:9" x14ac:dyDescent="0.25">
      <c r="A67" s="13" t="s">
        <v>168</v>
      </c>
      <c r="B67" s="8">
        <v>0</v>
      </c>
      <c r="C67" s="4">
        <v>0</v>
      </c>
      <c r="D67" s="6">
        <f t="shared" si="0"/>
        <v>0</v>
      </c>
      <c r="E67" s="8">
        <v>5</v>
      </c>
      <c r="F67" s="4">
        <v>20</v>
      </c>
      <c r="G67" s="4">
        <v>0</v>
      </c>
      <c r="H67" s="9">
        <f t="shared" si="1"/>
        <v>25</v>
      </c>
      <c r="I67" s="16">
        <f t="shared" si="2"/>
        <v>25</v>
      </c>
    </row>
    <row r="68" spans="1:9" x14ac:dyDescent="0.25">
      <c r="A68" s="13" t="s">
        <v>99</v>
      </c>
      <c r="B68" s="8">
        <v>0</v>
      </c>
      <c r="C68" s="4">
        <v>0</v>
      </c>
      <c r="D68" s="6">
        <f t="shared" si="0"/>
        <v>0</v>
      </c>
      <c r="E68" s="8">
        <v>23</v>
      </c>
      <c r="F68" s="4">
        <v>4</v>
      </c>
      <c r="G68" s="4">
        <v>0</v>
      </c>
      <c r="H68" s="9">
        <f t="shared" si="1"/>
        <v>27</v>
      </c>
      <c r="I68" s="16">
        <f t="shared" si="2"/>
        <v>27</v>
      </c>
    </row>
    <row r="69" spans="1:9" x14ac:dyDescent="0.25">
      <c r="A69" s="13" t="s">
        <v>158</v>
      </c>
      <c r="B69" s="8">
        <v>0</v>
      </c>
      <c r="C69" s="4">
        <v>0</v>
      </c>
      <c r="D69" s="6">
        <f t="shared" si="0"/>
        <v>0</v>
      </c>
      <c r="E69" s="8">
        <v>75</v>
      </c>
      <c r="F69" s="4">
        <v>19</v>
      </c>
      <c r="G69" s="4">
        <v>0</v>
      </c>
      <c r="H69" s="9">
        <f t="shared" si="1"/>
        <v>94</v>
      </c>
      <c r="I69" s="16">
        <f t="shared" si="2"/>
        <v>94</v>
      </c>
    </row>
    <row r="70" spans="1:9" x14ac:dyDescent="0.25">
      <c r="A70" s="13" t="s">
        <v>87</v>
      </c>
      <c r="B70" s="8">
        <v>56</v>
      </c>
      <c r="C70" s="4">
        <v>0</v>
      </c>
      <c r="D70" s="6">
        <f t="shared" si="0"/>
        <v>56</v>
      </c>
      <c r="E70" s="8">
        <v>177</v>
      </c>
      <c r="F70" s="4">
        <v>211</v>
      </c>
      <c r="G70" s="4">
        <v>4</v>
      </c>
      <c r="H70" s="9">
        <f t="shared" si="1"/>
        <v>392</v>
      </c>
      <c r="I70" s="16">
        <f t="shared" si="2"/>
        <v>448</v>
      </c>
    </row>
    <row r="71" spans="1:9" x14ac:dyDescent="0.25">
      <c r="A71" s="13" t="s">
        <v>137</v>
      </c>
      <c r="B71" s="8">
        <v>65</v>
      </c>
      <c r="C71" s="4">
        <v>2</v>
      </c>
      <c r="D71" s="6">
        <f t="shared" si="0"/>
        <v>67</v>
      </c>
      <c r="E71" s="8">
        <v>25</v>
      </c>
      <c r="F71" s="4">
        <v>43</v>
      </c>
      <c r="G71" s="4">
        <v>0</v>
      </c>
      <c r="H71" s="9">
        <f t="shared" si="1"/>
        <v>68</v>
      </c>
      <c r="I71" s="16">
        <f t="shared" si="2"/>
        <v>135</v>
      </c>
    </row>
    <row r="72" spans="1:9" x14ac:dyDescent="0.25">
      <c r="A72" s="13" t="s">
        <v>102</v>
      </c>
      <c r="B72" s="8">
        <v>0</v>
      </c>
      <c r="C72" s="4">
        <v>0</v>
      </c>
      <c r="D72" s="6">
        <f t="shared" si="0"/>
        <v>0</v>
      </c>
      <c r="E72" s="8">
        <v>122</v>
      </c>
      <c r="F72" s="4">
        <v>373</v>
      </c>
      <c r="G72" s="4">
        <v>0</v>
      </c>
      <c r="H72" s="9">
        <f t="shared" si="1"/>
        <v>495</v>
      </c>
      <c r="I72" s="16">
        <f t="shared" si="2"/>
        <v>495</v>
      </c>
    </row>
    <row r="73" spans="1:9" x14ac:dyDescent="0.25">
      <c r="A73" s="13" t="s">
        <v>159</v>
      </c>
      <c r="B73" s="8">
        <v>17</v>
      </c>
      <c r="C73" s="4">
        <v>0</v>
      </c>
      <c r="D73" s="6">
        <f t="shared" ref="D73:D82" si="3">B73+C73</f>
        <v>17</v>
      </c>
      <c r="E73" s="8">
        <v>94</v>
      </c>
      <c r="F73" s="4">
        <v>81</v>
      </c>
      <c r="G73" s="4">
        <v>1</v>
      </c>
      <c r="H73" s="9">
        <f t="shared" ref="H73:H82" si="4">E73+F73+G73</f>
        <v>176</v>
      </c>
      <c r="I73" s="16">
        <f t="shared" ref="I73:I82" si="5">H73+D73</f>
        <v>193</v>
      </c>
    </row>
    <row r="74" spans="1:9" x14ac:dyDescent="0.25">
      <c r="A74" s="13" t="s">
        <v>169</v>
      </c>
      <c r="B74" s="8">
        <v>0</v>
      </c>
      <c r="C74" s="4">
        <v>0</v>
      </c>
      <c r="D74" s="6">
        <f t="shared" si="3"/>
        <v>0</v>
      </c>
      <c r="E74" s="8">
        <v>1</v>
      </c>
      <c r="F74" s="4">
        <v>59</v>
      </c>
      <c r="G74" s="4">
        <v>0</v>
      </c>
      <c r="H74" s="9">
        <f t="shared" si="4"/>
        <v>60</v>
      </c>
      <c r="I74" s="16">
        <f t="shared" si="5"/>
        <v>60</v>
      </c>
    </row>
    <row r="75" spans="1:9" x14ac:dyDescent="0.25">
      <c r="A75" s="13" t="s">
        <v>170</v>
      </c>
      <c r="B75" s="8">
        <v>1706</v>
      </c>
      <c r="C75" s="4">
        <v>15</v>
      </c>
      <c r="D75" s="6">
        <f t="shared" si="3"/>
        <v>1721</v>
      </c>
      <c r="E75" s="8">
        <v>0</v>
      </c>
      <c r="F75" s="4">
        <v>0</v>
      </c>
      <c r="G75" s="4">
        <v>0</v>
      </c>
      <c r="H75" s="9">
        <f t="shared" si="4"/>
        <v>0</v>
      </c>
      <c r="I75" s="16">
        <f t="shared" si="5"/>
        <v>1721</v>
      </c>
    </row>
    <row r="76" spans="1:9" x14ac:dyDescent="0.25">
      <c r="A76" s="13" t="s">
        <v>160</v>
      </c>
      <c r="B76" s="8">
        <v>10</v>
      </c>
      <c r="C76" s="4">
        <v>0</v>
      </c>
      <c r="D76" s="6">
        <f t="shared" si="3"/>
        <v>10</v>
      </c>
      <c r="E76" s="8">
        <v>102</v>
      </c>
      <c r="F76" s="4">
        <v>85</v>
      </c>
      <c r="G76" s="4">
        <v>1</v>
      </c>
      <c r="H76" s="9">
        <f t="shared" si="4"/>
        <v>188</v>
      </c>
      <c r="I76" s="16">
        <f t="shared" si="5"/>
        <v>198</v>
      </c>
    </row>
    <row r="77" spans="1:9" x14ac:dyDescent="0.25">
      <c r="A77" s="13" t="s">
        <v>94</v>
      </c>
      <c r="B77" s="8">
        <v>0</v>
      </c>
      <c r="C77" s="4">
        <v>0</v>
      </c>
      <c r="D77" s="6">
        <f t="shared" si="3"/>
        <v>0</v>
      </c>
      <c r="E77" s="8">
        <v>136</v>
      </c>
      <c r="F77" s="4">
        <v>97</v>
      </c>
      <c r="G77" s="4">
        <v>0</v>
      </c>
      <c r="H77" s="9">
        <f t="shared" si="4"/>
        <v>233</v>
      </c>
      <c r="I77" s="16">
        <f t="shared" si="5"/>
        <v>233</v>
      </c>
    </row>
    <row r="78" spans="1:9" x14ac:dyDescent="0.25">
      <c r="A78" s="13" t="s">
        <v>75</v>
      </c>
      <c r="B78" s="8">
        <v>0</v>
      </c>
      <c r="C78" s="4">
        <v>0</v>
      </c>
      <c r="D78" s="6">
        <f t="shared" si="3"/>
        <v>0</v>
      </c>
      <c r="E78" s="8">
        <v>58</v>
      </c>
      <c r="F78" s="4">
        <v>47</v>
      </c>
      <c r="G78" s="4">
        <v>1</v>
      </c>
      <c r="H78" s="9">
        <f t="shared" si="4"/>
        <v>106</v>
      </c>
      <c r="I78" s="16">
        <f t="shared" si="5"/>
        <v>106</v>
      </c>
    </row>
    <row r="79" spans="1:9" x14ac:dyDescent="0.25">
      <c r="A79" s="13" t="s">
        <v>161</v>
      </c>
      <c r="B79" s="8">
        <v>9</v>
      </c>
      <c r="C79" s="4">
        <v>0</v>
      </c>
      <c r="D79" s="6">
        <f t="shared" si="3"/>
        <v>9</v>
      </c>
      <c r="E79" s="8">
        <v>137</v>
      </c>
      <c r="F79" s="4">
        <v>155</v>
      </c>
      <c r="G79" s="4">
        <v>1</v>
      </c>
      <c r="H79" s="9">
        <f t="shared" si="4"/>
        <v>293</v>
      </c>
      <c r="I79" s="16">
        <f t="shared" si="5"/>
        <v>302</v>
      </c>
    </row>
    <row r="80" spans="1:9" x14ac:dyDescent="0.25">
      <c r="A80" s="13" t="s">
        <v>162</v>
      </c>
      <c r="B80" s="8">
        <v>0</v>
      </c>
      <c r="C80" s="4">
        <v>0</v>
      </c>
      <c r="D80" s="6">
        <f t="shared" si="3"/>
        <v>0</v>
      </c>
      <c r="E80" s="8">
        <v>2</v>
      </c>
      <c r="F80" s="4">
        <v>2</v>
      </c>
      <c r="G80" s="4">
        <v>0</v>
      </c>
      <c r="H80" s="9">
        <f t="shared" si="4"/>
        <v>4</v>
      </c>
      <c r="I80" s="16">
        <f t="shared" si="5"/>
        <v>4</v>
      </c>
    </row>
    <row r="81" spans="1:9" x14ac:dyDescent="0.25">
      <c r="A81" s="13" t="s">
        <v>163</v>
      </c>
      <c r="B81" s="8">
        <v>31</v>
      </c>
      <c r="C81" s="4">
        <v>0</v>
      </c>
      <c r="D81" s="6">
        <f t="shared" si="3"/>
        <v>31</v>
      </c>
      <c r="E81" s="8">
        <v>70</v>
      </c>
      <c r="F81" s="4">
        <v>116</v>
      </c>
      <c r="G81" s="4">
        <v>0</v>
      </c>
      <c r="H81" s="9">
        <f t="shared" si="4"/>
        <v>186</v>
      </c>
      <c r="I81" s="16">
        <f t="shared" si="5"/>
        <v>217</v>
      </c>
    </row>
    <row r="82" spans="1:9" ht="15.75" thickBot="1" x14ac:dyDescent="0.3">
      <c r="A82" s="20" t="s">
        <v>164</v>
      </c>
      <c r="B82" s="21">
        <v>0</v>
      </c>
      <c r="C82" s="22">
        <v>0</v>
      </c>
      <c r="D82" s="23">
        <f t="shared" si="3"/>
        <v>0</v>
      </c>
      <c r="E82" s="21">
        <v>31</v>
      </c>
      <c r="F82" s="22">
        <v>55</v>
      </c>
      <c r="G82" s="22">
        <v>0</v>
      </c>
      <c r="H82" s="24">
        <f t="shared" si="4"/>
        <v>86</v>
      </c>
      <c r="I82" s="25">
        <f t="shared" si="5"/>
        <v>86</v>
      </c>
    </row>
    <row r="83" spans="1:9" ht="16.5" thickTop="1" thickBot="1" x14ac:dyDescent="0.3">
      <c r="A83" s="15" t="s">
        <v>0</v>
      </c>
      <c r="B83" s="12">
        <f t="shared" ref="B83:I83" si="6">SUM(B8:B82)</f>
        <v>13310</v>
      </c>
      <c r="C83" s="12">
        <f t="shared" si="6"/>
        <v>302</v>
      </c>
      <c r="D83" s="15">
        <f t="shared" si="6"/>
        <v>13612</v>
      </c>
      <c r="E83" s="12">
        <f t="shared" si="6"/>
        <v>7451</v>
      </c>
      <c r="F83" s="12">
        <f t="shared" si="6"/>
        <v>2960</v>
      </c>
      <c r="G83" s="12">
        <f t="shared" si="6"/>
        <v>54</v>
      </c>
      <c r="H83" s="18">
        <f t="shared" si="6"/>
        <v>10465</v>
      </c>
      <c r="I83" s="18">
        <f t="shared" si="6"/>
        <v>24077</v>
      </c>
    </row>
    <row r="85" spans="1:9" x14ac:dyDescent="0.25">
      <c r="A85" s="33" t="s">
        <v>88</v>
      </c>
      <c r="B85" s="33"/>
      <c r="C85" s="33"/>
      <c r="D85" s="33"/>
      <c r="E85" s="33"/>
      <c r="F85" s="33"/>
      <c r="G85" s="33"/>
      <c r="H85" s="33"/>
      <c r="I85" s="33"/>
    </row>
    <row r="86" spans="1:9" x14ac:dyDescent="0.25">
      <c r="A86" s="33"/>
      <c r="B86" s="33"/>
      <c r="C86" s="33"/>
      <c r="D86" s="33"/>
      <c r="E86" s="33"/>
      <c r="F86" s="33"/>
      <c r="G86" s="33"/>
      <c r="H86" s="33"/>
      <c r="I86" s="33"/>
    </row>
  </sheetData>
  <mergeCells count="13">
    <mergeCell ref="G6:G7"/>
    <mergeCell ref="H6:H7"/>
    <mergeCell ref="A85:I86"/>
    <mergeCell ref="A2:I2"/>
    <mergeCell ref="A5:A7"/>
    <mergeCell ref="B5:D5"/>
    <mergeCell ref="E5:H5"/>
    <mergeCell ref="I5:I7"/>
    <mergeCell ref="B6:B7"/>
    <mergeCell ref="C6:C7"/>
    <mergeCell ref="D6:D7"/>
    <mergeCell ref="E6:E7"/>
    <mergeCell ref="F6:F7"/>
  </mergeCells>
  <pageMargins left="0.7" right="0.7" top="0.75" bottom="0.75" header="0.3" footer="0.3"/>
  <pageSetup paperSize="9" orientation="portrait" r:id="rId1"/>
  <headerFooter>
    <oddHeader>&amp;CUCL Student Data Statistics</oddHeader>
    <oddFooter>&amp;L&amp;F - &amp;A&amp;RPage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84"/>
  <sheetViews>
    <sheetView tabSelected="1" view="pageLayout" topLeftCell="A4" zoomScale="85" zoomScaleNormal="100" zoomScalePageLayoutView="85" workbookViewId="0">
      <selection activeCell="A47" sqref="A47"/>
    </sheetView>
  </sheetViews>
  <sheetFormatPr defaultColWidth="9" defaultRowHeight="15" x14ac:dyDescent="0.25"/>
  <cols>
    <col min="1" max="1" width="31.28515625" customWidth="1"/>
    <col min="2" max="9" width="6.7109375" customWidth="1"/>
  </cols>
  <sheetData>
    <row r="1" spans="1:9" ht="18" x14ac:dyDescent="0.25">
      <c r="A1" s="1" t="s">
        <v>2</v>
      </c>
      <c r="B1" s="3"/>
    </row>
    <row r="2" spans="1:9" x14ac:dyDescent="0.25">
      <c r="A2" s="34" t="s">
        <v>3</v>
      </c>
      <c r="B2" s="34"/>
      <c r="C2" s="34"/>
      <c r="D2" s="34"/>
      <c r="E2" s="34"/>
      <c r="F2" s="34"/>
      <c r="G2" s="34"/>
      <c r="H2" s="34"/>
      <c r="I2" s="34"/>
    </row>
    <row r="3" spans="1:9" x14ac:dyDescent="0.25">
      <c r="A3" s="2" t="s">
        <v>152</v>
      </c>
      <c r="B3" s="3"/>
    </row>
    <row r="4" spans="1:9" ht="15.75" customHeight="1" thickBot="1" x14ac:dyDescent="0.3">
      <c r="A4" s="3"/>
      <c r="B4" s="3"/>
    </row>
    <row r="5" spans="1:9" x14ac:dyDescent="0.25">
      <c r="A5" s="35" t="s">
        <v>4</v>
      </c>
      <c r="B5" s="38" t="s">
        <v>5</v>
      </c>
      <c r="C5" s="39"/>
      <c r="D5" s="39"/>
      <c r="E5" s="38" t="s">
        <v>6</v>
      </c>
      <c r="F5" s="39"/>
      <c r="G5" s="39"/>
      <c r="H5" s="40"/>
      <c r="I5" s="41" t="s">
        <v>0</v>
      </c>
    </row>
    <row r="6" spans="1:9" ht="15" customHeight="1" x14ac:dyDescent="0.25">
      <c r="A6" s="36"/>
      <c r="B6" s="44" t="s">
        <v>76</v>
      </c>
      <c r="C6" s="29" t="s">
        <v>77</v>
      </c>
      <c r="D6" s="46" t="s">
        <v>0</v>
      </c>
      <c r="E6" s="44" t="s">
        <v>76</v>
      </c>
      <c r="F6" s="29" t="s">
        <v>77</v>
      </c>
      <c r="G6" s="29" t="s">
        <v>78</v>
      </c>
      <c r="H6" s="31" t="s">
        <v>0</v>
      </c>
      <c r="I6" s="42"/>
    </row>
    <row r="7" spans="1:9" x14ac:dyDescent="0.25">
      <c r="A7" s="37"/>
      <c r="B7" s="45"/>
      <c r="C7" s="30"/>
      <c r="D7" s="47"/>
      <c r="E7" s="45"/>
      <c r="F7" s="30"/>
      <c r="G7" s="30"/>
      <c r="H7" s="32"/>
      <c r="I7" s="43"/>
    </row>
    <row r="8" spans="1:9" x14ac:dyDescent="0.25">
      <c r="A8" s="13" t="s">
        <v>8</v>
      </c>
      <c r="B8" s="8">
        <v>191</v>
      </c>
      <c r="C8" s="4">
        <v>2</v>
      </c>
      <c r="D8" s="6">
        <f>B8+C8</f>
        <v>193</v>
      </c>
      <c r="E8" s="8">
        <v>145</v>
      </c>
      <c r="F8" s="4">
        <v>38</v>
      </c>
      <c r="G8" s="4">
        <v>24</v>
      </c>
      <c r="H8" s="9">
        <f>E8+F8+G8</f>
        <v>207</v>
      </c>
      <c r="I8" s="16">
        <f>H8+D8</f>
        <v>400</v>
      </c>
    </row>
    <row r="9" spans="1:9" x14ac:dyDescent="0.25">
      <c r="A9" s="13" t="s">
        <v>9</v>
      </c>
      <c r="B9" s="8">
        <v>168</v>
      </c>
      <c r="C9" s="4">
        <v>5</v>
      </c>
      <c r="D9" s="6">
        <f t="shared" ref="D9:D72" si="0">B9+C9</f>
        <v>173</v>
      </c>
      <c r="E9" s="8">
        <v>278</v>
      </c>
      <c r="F9" s="4">
        <v>98</v>
      </c>
      <c r="G9" s="4">
        <v>5</v>
      </c>
      <c r="H9" s="9">
        <f t="shared" ref="H9:H72" si="1">E9+F9+G9</f>
        <v>381</v>
      </c>
      <c r="I9" s="16">
        <f t="shared" ref="I9:I72" si="2">H9+D9</f>
        <v>554</v>
      </c>
    </row>
    <row r="10" spans="1:9" x14ac:dyDescent="0.25">
      <c r="A10" s="13" t="s">
        <v>10</v>
      </c>
      <c r="B10" s="8">
        <v>424</v>
      </c>
      <c r="C10" s="4">
        <v>20</v>
      </c>
      <c r="D10" s="6">
        <f t="shared" si="0"/>
        <v>444</v>
      </c>
      <c r="E10" s="8">
        <v>158</v>
      </c>
      <c r="F10" s="4">
        <v>45</v>
      </c>
      <c r="G10" s="4">
        <v>0</v>
      </c>
      <c r="H10" s="9">
        <f t="shared" si="1"/>
        <v>203</v>
      </c>
      <c r="I10" s="16">
        <f t="shared" si="2"/>
        <v>647</v>
      </c>
    </row>
    <row r="11" spans="1:9" x14ac:dyDescent="0.25">
      <c r="A11" s="13" t="s">
        <v>140</v>
      </c>
      <c r="B11" s="8">
        <v>111</v>
      </c>
      <c r="C11" s="4">
        <v>2</v>
      </c>
      <c r="D11" s="6">
        <f t="shared" si="0"/>
        <v>113</v>
      </c>
      <c r="E11" s="8">
        <v>100</v>
      </c>
      <c r="F11" s="4">
        <v>69</v>
      </c>
      <c r="G11" s="4">
        <v>2</v>
      </c>
      <c r="H11" s="9">
        <f t="shared" si="1"/>
        <v>171</v>
      </c>
      <c r="I11" s="16">
        <f t="shared" si="2"/>
        <v>284</v>
      </c>
    </row>
    <row r="12" spans="1:9" x14ac:dyDescent="0.25">
      <c r="A12" s="13" t="s">
        <v>141</v>
      </c>
      <c r="B12" s="8">
        <v>0</v>
      </c>
      <c r="C12" s="4">
        <v>0</v>
      </c>
      <c r="D12" s="6">
        <f t="shared" si="0"/>
        <v>0</v>
      </c>
      <c r="E12" s="8">
        <v>127</v>
      </c>
      <c r="F12" s="4">
        <v>92</v>
      </c>
      <c r="G12" s="4">
        <v>1</v>
      </c>
      <c r="H12" s="9">
        <f t="shared" si="1"/>
        <v>220</v>
      </c>
      <c r="I12" s="16">
        <f t="shared" si="2"/>
        <v>220</v>
      </c>
    </row>
    <row r="13" spans="1:9" x14ac:dyDescent="0.25">
      <c r="A13" s="13" t="s">
        <v>142</v>
      </c>
      <c r="B13" s="8">
        <v>116</v>
      </c>
      <c r="C13" s="4">
        <v>1</v>
      </c>
      <c r="D13" s="6">
        <f t="shared" si="0"/>
        <v>117</v>
      </c>
      <c r="E13" s="8">
        <v>118</v>
      </c>
      <c r="F13" s="4">
        <v>88</v>
      </c>
      <c r="G13" s="4">
        <v>1</v>
      </c>
      <c r="H13" s="9">
        <f t="shared" si="1"/>
        <v>207</v>
      </c>
      <c r="I13" s="16">
        <f t="shared" si="2"/>
        <v>324</v>
      </c>
    </row>
    <row r="14" spans="1:9" x14ac:dyDescent="0.25">
      <c r="A14" s="13" t="s">
        <v>95</v>
      </c>
      <c r="B14" s="8">
        <v>142</v>
      </c>
      <c r="C14" s="4">
        <v>1</v>
      </c>
      <c r="D14" s="6">
        <f t="shared" si="0"/>
        <v>143</v>
      </c>
      <c r="E14" s="8">
        <v>117</v>
      </c>
      <c r="F14" s="4">
        <v>2</v>
      </c>
      <c r="G14" s="4">
        <v>0</v>
      </c>
      <c r="H14" s="9">
        <f t="shared" si="1"/>
        <v>119</v>
      </c>
      <c r="I14" s="16">
        <f t="shared" si="2"/>
        <v>262</v>
      </c>
    </row>
    <row r="15" spans="1:9" x14ac:dyDescent="0.25">
      <c r="A15" s="13" t="s">
        <v>153</v>
      </c>
      <c r="B15" s="8">
        <v>932</v>
      </c>
      <c r="C15" s="4">
        <v>25</v>
      </c>
      <c r="D15" s="6">
        <f t="shared" si="0"/>
        <v>957</v>
      </c>
      <c r="E15" s="8">
        <v>322</v>
      </c>
      <c r="F15" s="4">
        <v>19</v>
      </c>
      <c r="G15" s="4">
        <v>0</v>
      </c>
      <c r="H15" s="9">
        <f t="shared" si="1"/>
        <v>341</v>
      </c>
      <c r="I15" s="16">
        <f t="shared" si="2"/>
        <v>1298</v>
      </c>
    </row>
    <row r="16" spans="1:9" x14ac:dyDescent="0.25">
      <c r="A16" s="13" t="s">
        <v>148</v>
      </c>
      <c r="B16" s="8">
        <v>0</v>
      </c>
      <c r="C16" s="4">
        <v>0</v>
      </c>
      <c r="D16" s="6">
        <f t="shared" si="0"/>
        <v>0</v>
      </c>
      <c r="E16" s="8">
        <v>9</v>
      </c>
      <c r="F16" s="4">
        <v>0</v>
      </c>
      <c r="G16" s="4">
        <v>0</v>
      </c>
      <c r="H16" s="9">
        <f t="shared" si="1"/>
        <v>9</v>
      </c>
      <c r="I16" s="16">
        <f t="shared" si="2"/>
        <v>9</v>
      </c>
    </row>
    <row r="17" spans="1:9" x14ac:dyDescent="0.25">
      <c r="A17" s="13" t="s">
        <v>125</v>
      </c>
      <c r="B17" s="8">
        <v>0</v>
      </c>
      <c r="C17" s="4">
        <v>0</v>
      </c>
      <c r="D17" s="6">
        <f t="shared" si="0"/>
        <v>0</v>
      </c>
      <c r="E17" s="8">
        <v>38</v>
      </c>
      <c r="F17" s="4">
        <v>10</v>
      </c>
      <c r="G17" s="4">
        <v>0</v>
      </c>
      <c r="H17" s="9">
        <f t="shared" si="1"/>
        <v>48</v>
      </c>
      <c r="I17" s="16">
        <f t="shared" si="2"/>
        <v>48</v>
      </c>
    </row>
    <row r="18" spans="1:9" x14ac:dyDescent="0.25">
      <c r="A18" s="13" t="s">
        <v>143</v>
      </c>
      <c r="B18" s="8">
        <v>0</v>
      </c>
      <c r="C18" s="4">
        <v>0</v>
      </c>
      <c r="D18" s="6">
        <f t="shared" si="0"/>
        <v>0</v>
      </c>
      <c r="E18" s="8">
        <v>79</v>
      </c>
      <c r="F18" s="4">
        <v>30</v>
      </c>
      <c r="G18" s="4">
        <v>0</v>
      </c>
      <c r="H18" s="9">
        <f t="shared" si="1"/>
        <v>109</v>
      </c>
      <c r="I18" s="16">
        <f t="shared" si="2"/>
        <v>109</v>
      </c>
    </row>
    <row r="19" spans="1:9" x14ac:dyDescent="0.25">
      <c r="A19" s="13" t="s">
        <v>144</v>
      </c>
      <c r="B19" s="8">
        <v>0</v>
      </c>
      <c r="C19" s="4">
        <v>0</v>
      </c>
      <c r="D19" s="6">
        <f t="shared" si="0"/>
        <v>0</v>
      </c>
      <c r="E19" s="8">
        <v>47</v>
      </c>
      <c r="F19" s="4">
        <v>0</v>
      </c>
      <c r="G19" s="4">
        <v>0</v>
      </c>
      <c r="H19" s="9">
        <f t="shared" si="1"/>
        <v>47</v>
      </c>
      <c r="I19" s="16">
        <f t="shared" si="2"/>
        <v>47</v>
      </c>
    </row>
    <row r="20" spans="1:9" x14ac:dyDescent="0.25">
      <c r="A20" s="13" t="s">
        <v>130</v>
      </c>
      <c r="B20" s="8">
        <v>0</v>
      </c>
      <c r="C20" s="4">
        <v>0</v>
      </c>
      <c r="D20" s="6">
        <f t="shared" si="0"/>
        <v>0</v>
      </c>
      <c r="E20" s="8">
        <v>1</v>
      </c>
      <c r="F20" s="4">
        <v>125</v>
      </c>
      <c r="G20" s="4">
        <v>0</v>
      </c>
      <c r="H20" s="9">
        <f t="shared" si="1"/>
        <v>126</v>
      </c>
      <c r="I20" s="16">
        <f t="shared" si="2"/>
        <v>126</v>
      </c>
    </row>
    <row r="21" spans="1:9" x14ac:dyDescent="0.25">
      <c r="A21" s="13" t="s">
        <v>96</v>
      </c>
      <c r="B21" s="8">
        <v>305</v>
      </c>
      <c r="C21" s="4">
        <v>5</v>
      </c>
      <c r="D21" s="6">
        <f t="shared" si="0"/>
        <v>310</v>
      </c>
      <c r="E21" s="8">
        <v>69</v>
      </c>
      <c r="F21" s="4">
        <v>4</v>
      </c>
      <c r="G21" s="4">
        <v>0</v>
      </c>
      <c r="H21" s="9">
        <f t="shared" si="1"/>
        <v>73</v>
      </c>
      <c r="I21" s="16">
        <f t="shared" si="2"/>
        <v>383</v>
      </c>
    </row>
    <row r="22" spans="1:9" x14ac:dyDescent="0.25">
      <c r="A22" s="13" t="s">
        <v>14</v>
      </c>
      <c r="B22" s="8">
        <v>300</v>
      </c>
      <c r="C22" s="4">
        <v>3</v>
      </c>
      <c r="D22" s="6">
        <f t="shared" si="0"/>
        <v>303</v>
      </c>
      <c r="E22" s="8">
        <v>134</v>
      </c>
      <c r="F22" s="4">
        <v>3</v>
      </c>
      <c r="G22" s="4">
        <v>1</v>
      </c>
      <c r="H22" s="9">
        <f t="shared" si="1"/>
        <v>138</v>
      </c>
      <c r="I22" s="16">
        <f t="shared" si="2"/>
        <v>441</v>
      </c>
    </row>
    <row r="23" spans="1:9" x14ac:dyDescent="0.25">
      <c r="A23" s="13" t="s">
        <v>149</v>
      </c>
      <c r="B23" s="8">
        <v>231</v>
      </c>
      <c r="C23" s="4">
        <v>5</v>
      </c>
      <c r="D23" s="6">
        <f t="shared" si="0"/>
        <v>236</v>
      </c>
      <c r="E23" s="8">
        <v>158</v>
      </c>
      <c r="F23" s="4">
        <v>16</v>
      </c>
      <c r="G23" s="4">
        <v>2</v>
      </c>
      <c r="H23" s="9">
        <f t="shared" si="1"/>
        <v>176</v>
      </c>
      <c r="I23" s="16">
        <f t="shared" si="2"/>
        <v>412</v>
      </c>
    </row>
    <row r="24" spans="1:9" x14ac:dyDescent="0.25">
      <c r="A24" s="13" t="s">
        <v>16</v>
      </c>
      <c r="B24" s="8">
        <v>193</v>
      </c>
      <c r="C24" s="4">
        <v>2</v>
      </c>
      <c r="D24" s="6">
        <f t="shared" si="0"/>
        <v>195</v>
      </c>
      <c r="E24" s="8">
        <v>322</v>
      </c>
      <c r="F24" s="4">
        <v>17</v>
      </c>
      <c r="G24" s="4">
        <v>0</v>
      </c>
      <c r="H24" s="9">
        <f t="shared" si="1"/>
        <v>339</v>
      </c>
      <c r="I24" s="16">
        <f t="shared" si="2"/>
        <v>534</v>
      </c>
    </row>
    <row r="25" spans="1:9" x14ac:dyDescent="0.25">
      <c r="A25" s="13" t="s">
        <v>17</v>
      </c>
      <c r="B25" s="8">
        <v>0</v>
      </c>
      <c r="C25" s="4">
        <v>0</v>
      </c>
      <c r="D25" s="6">
        <f t="shared" si="0"/>
        <v>0</v>
      </c>
      <c r="E25" s="8">
        <v>155</v>
      </c>
      <c r="F25" s="4">
        <v>33</v>
      </c>
      <c r="G25" s="4">
        <v>1</v>
      </c>
      <c r="H25" s="9">
        <f t="shared" si="1"/>
        <v>189</v>
      </c>
      <c r="I25" s="16">
        <f t="shared" si="2"/>
        <v>189</v>
      </c>
    </row>
    <row r="26" spans="1:9" x14ac:dyDescent="0.25">
      <c r="A26" s="13" t="s">
        <v>18</v>
      </c>
      <c r="B26" s="8">
        <v>17</v>
      </c>
      <c r="C26" s="4">
        <v>2</v>
      </c>
      <c r="D26" s="6">
        <f t="shared" si="0"/>
        <v>19</v>
      </c>
      <c r="E26" s="8">
        <v>10</v>
      </c>
      <c r="F26" s="4">
        <v>3</v>
      </c>
      <c r="G26" s="4">
        <v>0</v>
      </c>
      <c r="H26" s="9">
        <f t="shared" si="1"/>
        <v>13</v>
      </c>
      <c r="I26" s="16">
        <f t="shared" si="2"/>
        <v>32</v>
      </c>
    </row>
    <row r="27" spans="1:9" x14ac:dyDescent="0.25">
      <c r="A27" s="13" t="s">
        <v>122</v>
      </c>
      <c r="B27" s="8">
        <v>86</v>
      </c>
      <c r="C27" s="4">
        <v>3</v>
      </c>
      <c r="D27" s="6">
        <f t="shared" si="0"/>
        <v>89</v>
      </c>
      <c r="E27" s="8">
        <v>54</v>
      </c>
      <c r="F27" s="4">
        <v>21</v>
      </c>
      <c r="G27" s="4">
        <v>0</v>
      </c>
      <c r="H27" s="9">
        <f t="shared" si="1"/>
        <v>75</v>
      </c>
      <c r="I27" s="16">
        <f t="shared" si="2"/>
        <v>164</v>
      </c>
    </row>
    <row r="28" spans="1:9" x14ac:dyDescent="0.25">
      <c r="A28" s="13" t="s">
        <v>19</v>
      </c>
      <c r="B28" s="8">
        <v>704</v>
      </c>
      <c r="C28" s="4">
        <v>7</v>
      </c>
      <c r="D28" s="6">
        <f t="shared" si="0"/>
        <v>711</v>
      </c>
      <c r="E28" s="8">
        <v>174</v>
      </c>
      <c r="F28" s="4">
        <v>14</v>
      </c>
      <c r="G28" s="4">
        <v>0</v>
      </c>
      <c r="H28" s="9">
        <f t="shared" si="1"/>
        <v>188</v>
      </c>
      <c r="I28" s="16">
        <f t="shared" si="2"/>
        <v>899</v>
      </c>
    </row>
    <row r="29" spans="1:9" x14ac:dyDescent="0.25">
      <c r="A29" s="13" t="s">
        <v>20</v>
      </c>
      <c r="B29" s="8">
        <v>183</v>
      </c>
      <c r="C29" s="4">
        <v>2</v>
      </c>
      <c r="D29" s="6">
        <f t="shared" si="0"/>
        <v>185</v>
      </c>
      <c r="E29" s="8">
        <v>150</v>
      </c>
      <c r="F29" s="4">
        <v>108</v>
      </c>
      <c r="G29" s="4">
        <v>1</v>
      </c>
      <c r="H29" s="9">
        <f t="shared" si="1"/>
        <v>259</v>
      </c>
      <c r="I29" s="16">
        <f t="shared" si="2"/>
        <v>444</v>
      </c>
    </row>
    <row r="30" spans="1:9" x14ac:dyDescent="0.25">
      <c r="A30" s="13" t="s">
        <v>21</v>
      </c>
      <c r="B30" s="8">
        <v>256</v>
      </c>
      <c r="C30" s="4">
        <v>0</v>
      </c>
      <c r="D30" s="6">
        <f t="shared" si="0"/>
        <v>256</v>
      </c>
      <c r="E30" s="8">
        <v>86</v>
      </c>
      <c r="F30" s="4">
        <v>6</v>
      </c>
      <c r="G30" s="4">
        <v>0</v>
      </c>
      <c r="H30" s="9">
        <f t="shared" si="1"/>
        <v>92</v>
      </c>
      <c r="I30" s="16">
        <f t="shared" si="2"/>
        <v>348</v>
      </c>
    </row>
    <row r="31" spans="1:9" x14ac:dyDescent="0.25">
      <c r="A31" s="13" t="s">
        <v>165</v>
      </c>
      <c r="B31" s="8">
        <v>0</v>
      </c>
      <c r="C31" s="4">
        <v>0</v>
      </c>
      <c r="D31" s="6">
        <f t="shared" si="0"/>
        <v>0</v>
      </c>
      <c r="E31" s="8">
        <v>2</v>
      </c>
      <c r="F31" s="4">
        <v>0</v>
      </c>
      <c r="G31" s="4">
        <v>0</v>
      </c>
      <c r="H31" s="9">
        <f t="shared" si="1"/>
        <v>2</v>
      </c>
      <c r="I31" s="16">
        <f t="shared" si="2"/>
        <v>2</v>
      </c>
    </row>
    <row r="32" spans="1:9" x14ac:dyDescent="0.25">
      <c r="A32" s="13" t="s">
        <v>126</v>
      </c>
      <c r="B32" s="8">
        <v>197</v>
      </c>
      <c r="C32" s="4">
        <v>1</v>
      </c>
      <c r="D32" s="6">
        <f t="shared" si="0"/>
        <v>198</v>
      </c>
      <c r="E32" s="8">
        <v>0</v>
      </c>
      <c r="F32" s="4">
        <v>0</v>
      </c>
      <c r="G32" s="4">
        <v>0</v>
      </c>
      <c r="H32" s="9">
        <f t="shared" si="1"/>
        <v>0</v>
      </c>
      <c r="I32" s="16">
        <f t="shared" si="2"/>
        <v>198</v>
      </c>
    </row>
    <row r="33" spans="1:9" x14ac:dyDescent="0.25">
      <c r="A33" s="13" t="s">
        <v>22</v>
      </c>
      <c r="B33" s="8">
        <v>149</v>
      </c>
      <c r="C33" s="4">
        <v>1</v>
      </c>
      <c r="D33" s="6">
        <f t="shared" si="0"/>
        <v>150</v>
      </c>
      <c r="E33" s="8">
        <v>139</v>
      </c>
      <c r="F33" s="4">
        <v>5</v>
      </c>
      <c r="G33" s="4">
        <v>0</v>
      </c>
      <c r="H33" s="9">
        <f t="shared" si="1"/>
        <v>144</v>
      </c>
      <c r="I33" s="16">
        <f t="shared" si="2"/>
        <v>294</v>
      </c>
    </row>
    <row r="34" spans="1:9" x14ac:dyDescent="0.25">
      <c r="A34" s="13" t="s">
        <v>23</v>
      </c>
      <c r="B34" s="8">
        <v>242</v>
      </c>
      <c r="C34" s="4">
        <v>2</v>
      </c>
      <c r="D34" s="6">
        <f t="shared" si="0"/>
        <v>244</v>
      </c>
      <c r="E34" s="8">
        <v>11</v>
      </c>
      <c r="F34" s="4">
        <v>4</v>
      </c>
      <c r="G34" s="4">
        <v>0</v>
      </c>
      <c r="H34" s="9">
        <f t="shared" si="1"/>
        <v>15</v>
      </c>
      <c r="I34" s="16">
        <f t="shared" si="2"/>
        <v>259</v>
      </c>
    </row>
    <row r="35" spans="1:9" x14ac:dyDescent="0.25">
      <c r="A35" s="13" t="s">
        <v>97</v>
      </c>
      <c r="B35" s="8">
        <v>0</v>
      </c>
      <c r="C35" s="4">
        <v>0</v>
      </c>
      <c r="D35" s="6">
        <f t="shared" si="0"/>
        <v>0</v>
      </c>
      <c r="E35" s="8">
        <v>10</v>
      </c>
      <c r="F35" s="4">
        <v>0</v>
      </c>
      <c r="G35" s="4">
        <v>0</v>
      </c>
      <c r="H35" s="9">
        <f t="shared" si="1"/>
        <v>10</v>
      </c>
      <c r="I35" s="16">
        <f t="shared" si="2"/>
        <v>10</v>
      </c>
    </row>
    <row r="36" spans="1:9" x14ac:dyDescent="0.25">
      <c r="A36" s="13" t="s">
        <v>24</v>
      </c>
      <c r="B36" s="8">
        <v>389</v>
      </c>
      <c r="C36" s="4">
        <v>5</v>
      </c>
      <c r="D36" s="6">
        <f t="shared" si="0"/>
        <v>394</v>
      </c>
      <c r="E36" s="8">
        <v>129</v>
      </c>
      <c r="F36" s="4">
        <v>24</v>
      </c>
      <c r="G36" s="4">
        <v>0</v>
      </c>
      <c r="H36" s="9">
        <f t="shared" si="1"/>
        <v>153</v>
      </c>
      <c r="I36" s="16">
        <f t="shared" si="2"/>
        <v>547</v>
      </c>
    </row>
    <row r="37" spans="1:9" x14ac:dyDescent="0.25">
      <c r="A37" s="13" t="s">
        <v>26</v>
      </c>
      <c r="B37" s="8">
        <v>138</v>
      </c>
      <c r="C37" s="4">
        <v>0</v>
      </c>
      <c r="D37" s="6">
        <f t="shared" si="0"/>
        <v>138</v>
      </c>
      <c r="E37" s="8">
        <v>7</v>
      </c>
      <c r="F37" s="4">
        <v>4</v>
      </c>
      <c r="G37" s="4">
        <v>1</v>
      </c>
      <c r="H37" s="9">
        <f t="shared" si="1"/>
        <v>12</v>
      </c>
      <c r="I37" s="16">
        <f t="shared" si="2"/>
        <v>150</v>
      </c>
    </row>
    <row r="38" spans="1:9" x14ac:dyDescent="0.25">
      <c r="A38" s="13" t="s">
        <v>81</v>
      </c>
      <c r="B38" s="8">
        <v>150</v>
      </c>
      <c r="C38" s="4">
        <v>5</v>
      </c>
      <c r="D38" s="6">
        <f t="shared" si="0"/>
        <v>155</v>
      </c>
      <c r="E38" s="8">
        <v>40</v>
      </c>
      <c r="F38" s="4">
        <v>13</v>
      </c>
      <c r="G38" s="4">
        <v>0</v>
      </c>
      <c r="H38" s="9">
        <f t="shared" si="1"/>
        <v>53</v>
      </c>
      <c r="I38" s="16">
        <f t="shared" si="2"/>
        <v>208</v>
      </c>
    </row>
    <row r="39" spans="1:9" x14ac:dyDescent="0.25">
      <c r="A39" s="13" t="s">
        <v>82</v>
      </c>
      <c r="B39" s="8">
        <v>29</v>
      </c>
      <c r="C39" s="4">
        <v>5</v>
      </c>
      <c r="D39" s="6">
        <f t="shared" si="0"/>
        <v>34</v>
      </c>
      <c r="E39" s="8">
        <v>11</v>
      </c>
      <c r="F39" s="4">
        <v>10</v>
      </c>
      <c r="G39" s="4">
        <v>0</v>
      </c>
      <c r="H39" s="9">
        <f t="shared" si="1"/>
        <v>21</v>
      </c>
      <c r="I39" s="16">
        <f t="shared" si="2"/>
        <v>55</v>
      </c>
    </row>
    <row r="40" spans="1:9" x14ac:dyDescent="0.25">
      <c r="A40" s="13" t="s">
        <v>30</v>
      </c>
      <c r="B40" s="8">
        <v>347</v>
      </c>
      <c r="C40" s="4">
        <v>3</v>
      </c>
      <c r="D40" s="6">
        <f t="shared" si="0"/>
        <v>350</v>
      </c>
      <c r="E40" s="8">
        <v>86</v>
      </c>
      <c r="F40" s="4">
        <v>20</v>
      </c>
      <c r="G40" s="4">
        <v>0</v>
      </c>
      <c r="H40" s="9">
        <f t="shared" si="1"/>
        <v>106</v>
      </c>
      <c r="I40" s="16">
        <f t="shared" si="2"/>
        <v>456</v>
      </c>
    </row>
    <row r="41" spans="1:9" x14ac:dyDescent="0.25">
      <c r="A41" s="13" t="s">
        <v>83</v>
      </c>
      <c r="B41" s="8">
        <v>174</v>
      </c>
      <c r="C41" s="4">
        <v>2</v>
      </c>
      <c r="D41" s="6">
        <f t="shared" si="0"/>
        <v>176</v>
      </c>
      <c r="E41" s="8">
        <v>61</v>
      </c>
      <c r="F41" s="4">
        <v>14</v>
      </c>
      <c r="G41" s="4">
        <v>0</v>
      </c>
      <c r="H41" s="9">
        <f t="shared" si="1"/>
        <v>75</v>
      </c>
      <c r="I41" s="16">
        <f t="shared" si="2"/>
        <v>251</v>
      </c>
    </row>
    <row r="42" spans="1:9" x14ac:dyDescent="0.25">
      <c r="A42" s="13" t="s">
        <v>154</v>
      </c>
      <c r="B42" s="8">
        <v>19</v>
      </c>
      <c r="C42" s="4">
        <v>0</v>
      </c>
      <c r="D42" s="6">
        <f t="shared" si="0"/>
        <v>19</v>
      </c>
      <c r="E42" s="8">
        <v>21</v>
      </c>
      <c r="F42" s="4">
        <v>8</v>
      </c>
      <c r="G42" s="4">
        <v>1</v>
      </c>
      <c r="H42" s="9">
        <f t="shared" si="1"/>
        <v>30</v>
      </c>
      <c r="I42" s="16">
        <f t="shared" si="2"/>
        <v>49</v>
      </c>
    </row>
    <row r="43" spans="1:9" x14ac:dyDescent="0.25">
      <c r="A43" s="13" t="s">
        <v>166</v>
      </c>
      <c r="B43" s="8">
        <v>0</v>
      </c>
      <c r="C43" s="4">
        <v>0</v>
      </c>
      <c r="D43" s="6">
        <f t="shared" si="0"/>
        <v>0</v>
      </c>
      <c r="E43" s="8">
        <v>122</v>
      </c>
      <c r="F43" s="4">
        <v>108</v>
      </c>
      <c r="G43" s="4">
        <v>0</v>
      </c>
      <c r="H43" s="9">
        <f t="shared" si="1"/>
        <v>230</v>
      </c>
      <c r="I43" s="16">
        <f t="shared" si="2"/>
        <v>230</v>
      </c>
    </row>
    <row r="44" spans="1:9" x14ac:dyDescent="0.25">
      <c r="A44" s="13" t="s">
        <v>33</v>
      </c>
      <c r="B44" s="8">
        <v>183</v>
      </c>
      <c r="C44" s="4">
        <v>3</v>
      </c>
      <c r="D44" s="6">
        <f t="shared" si="0"/>
        <v>186</v>
      </c>
      <c r="E44" s="8">
        <v>11</v>
      </c>
      <c r="F44" s="4">
        <v>3</v>
      </c>
      <c r="G44" s="4">
        <v>1</v>
      </c>
      <c r="H44" s="9">
        <f t="shared" si="1"/>
        <v>15</v>
      </c>
      <c r="I44" s="16">
        <f t="shared" si="2"/>
        <v>201</v>
      </c>
    </row>
    <row r="45" spans="1:9" x14ac:dyDescent="0.25">
      <c r="A45" s="13" t="s">
        <v>128</v>
      </c>
      <c r="B45" s="8">
        <v>213</v>
      </c>
      <c r="C45" s="4">
        <v>0</v>
      </c>
      <c r="D45" s="6">
        <f t="shared" si="0"/>
        <v>213</v>
      </c>
      <c r="E45" s="8">
        <v>0</v>
      </c>
      <c r="F45" s="4">
        <v>0</v>
      </c>
      <c r="G45" s="4">
        <v>0</v>
      </c>
      <c r="H45" s="9">
        <f t="shared" si="1"/>
        <v>0</v>
      </c>
      <c r="I45" s="16">
        <f t="shared" si="2"/>
        <v>213</v>
      </c>
    </row>
    <row r="46" spans="1:9" x14ac:dyDescent="0.25">
      <c r="A46" s="13" t="s">
        <v>1</v>
      </c>
      <c r="B46" s="8">
        <v>561</v>
      </c>
      <c r="C46" s="4">
        <v>4</v>
      </c>
      <c r="D46" s="6">
        <f t="shared" si="0"/>
        <v>565</v>
      </c>
      <c r="E46" s="8">
        <v>462</v>
      </c>
      <c r="F46" s="4">
        <v>36</v>
      </c>
      <c r="G46" s="4">
        <v>2</v>
      </c>
      <c r="H46" s="9">
        <f t="shared" si="1"/>
        <v>500</v>
      </c>
      <c r="I46" s="16">
        <f t="shared" si="2"/>
        <v>1065</v>
      </c>
    </row>
    <row r="47" spans="1:9" x14ac:dyDescent="0.25">
      <c r="A47" s="13" t="s">
        <v>155</v>
      </c>
      <c r="B47" s="8">
        <v>114</v>
      </c>
      <c r="C47" s="4">
        <v>2</v>
      </c>
      <c r="D47" s="6">
        <f t="shared" si="0"/>
        <v>116</v>
      </c>
      <c r="E47" s="8">
        <v>0</v>
      </c>
      <c r="F47" s="4">
        <v>0</v>
      </c>
      <c r="G47" s="4">
        <v>0</v>
      </c>
      <c r="H47" s="9">
        <f t="shared" si="1"/>
        <v>0</v>
      </c>
      <c r="I47" s="16">
        <f t="shared" si="2"/>
        <v>116</v>
      </c>
    </row>
    <row r="48" spans="1:9" x14ac:dyDescent="0.25">
      <c r="A48" s="13" t="s">
        <v>150</v>
      </c>
      <c r="B48" s="8">
        <v>177</v>
      </c>
      <c r="C48" s="4">
        <v>2</v>
      </c>
      <c r="D48" s="6">
        <f t="shared" si="0"/>
        <v>179</v>
      </c>
      <c r="E48" s="8">
        <v>52</v>
      </c>
      <c r="F48" s="4">
        <v>3</v>
      </c>
      <c r="G48" s="4">
        <v>0</v>
      </c>
      <c r="H48" s="9">
        <f t="shared" si="1"/>
        <v>55</v>
      </c>
      <c r="I48" s="16">
        <f t="shared" si="2"/>
        <v>234</v>
      </c>
    </row>
    <row r="49" spans="1:9" x14ac:dyDescent="0.25">
      <c r="A49" s="13" t="s">
        <v>35</v>
      </c>
      <c r="B49" s="8">
        <v>588</v>
      </c>
      <c r="C49" s="4">
        <v>25</v>
      </c>
      <c r="D49" s="6">
        <f t="shared" si="0"/>
        <v>613</v>
      </c>
      <c r="E49" s="8">
        <v>53</v>
      </c>
      <c r="F49" s="4">
        <v>0</v>
      </c>
      <c r="G49" s="4">
        <v>0</v>
      </c>
      <c r="H49" s="9">
        <f t="shared" si="1"/>
        <v>53</v>
      </c>
      <c r="I49" s="16">
        <f t="shared" si="2"/>
        <v>666</v>
      </c>
    </row>
    <row r="50" spans="1:9" x14ac:dyDescent="0.25">
      <c r="A50" s="13" t="s">
        <v>36</v>
      </c>
      <c r="B50" s="8">
        <v>309</v>
      </c>
      <c r="C50" s="4">
        <v>14</v>
      </c>
      <c r="D50" s="6">
        <f t="shared" si="0"/>
        <v>323</v>
      </c>
      <c r="E50" s="8">
        <v>115</v>
      </c>
      <c r="F50" s="4">
        <v>18</v>
      </c>
      <c r="G50" s="4">
        <v>0</v>
      </c>
      <c r="H50" s="9">
        <f t="shared" si="1"/>
        <v>133</v>
      </c>
      <c r="I50" s="16">
        <f t="shared" si="2"/>
        <v>456</v>
      </c>
    </row>
    <row r="51" spans="1:9" x14ac:dyDescent="0.25">
      <c r="A51" s="13" t="s">
        <v>37</v>
      </c>
      <c r="B51" s="8">
        <v>42</v>
      </c>
      <c r="C51" s="4">
        <v>0</v>
      </c>
      <c r="D51" s="6">
        <f t="shared" si="0"/>
        <v>42</v>
      </c>
      <c r="E51" s="8">
        <v>79</v>
      </c>
      <c r="F51" s="4">
        <v>53</v>
      </c>
      <c r="G51" s="4">
        <v>1</v>
      </c>
      <c r="H51" s="9">
        <f t="shared" si="1"/>
        <v>133</v>
      </c>
      <c r="I51" s="16">
        <f t="shared" si="2"/>
        <v>175</v>
      </c>
    </row>
    <row r="52" spans="1:9" x14ac:dyDescent="0.25">
      <c r="A52" s="13" t="s">
        <v>156</v>
      </c>
      <c r="B52" s="8">
        <v>0</v>
      </c>
      <c r="C52" s="4">
        <v>0</v>
      </c>
      <c r="D52" s="6">
        <f t="shared" si="0"/>
        <v>0</v>
      </c>
      <c r="E52" s="8">
        <v>17</v>
      </c>
      <c r="F52" s="4">
        <v>2</v>
      </c>
      <c r="G52" s="4">
        <v>0</v>
      </c>
      <c r="H52" s="9">
        <f t="shared" si="1"/>
        <v>19</v>
      </c>
      <c r="I52" s="16">
        <f t="shared" si="2"/>
        <v>19</v>
      </c>
    </row>
    <row r="53" spans="1:9" x14ac:dyDescent="0.25">
      <c r="A53" s="13" t="s">
        <v>151</v>
      </c>
      <c r="B53" s="8">
        <v>180</v>
      </c>
      <c r="C53" s="4">
        <v>5</v>
      </c>
      <c r="D53" s="6">
        <f t="shared" si="0"/>
        <v>185</v>
      </c>
      <c r="E53" s="8">
        <v>0</v>
      </c>
      <c r="F53" s="4">
        <v>0</v>
      </c>
      <c r="G53" s="4">
        <v>0</v>
      </c>
      <c r="H53" s="9">
        <f t="shared" si="1"/>
        <v>0</v>
      </c>
      <c r="I53" s="16">
        <f t="shared" si="2"/>
        <v>185</v>
      </c>
    </row>
    <row r="54" spans="1:9" x14ac:dyDescent="0.25">
      <c r="A54" s="13" t="s">
        <v>40</v>
      </c>
      <c r="B54" s="8">
        <v>151</v>
      </c>
      <c r="C54" s="4">
        <v>0</v>
      </c>
      <c r="D54" s="6">
        <f t="shared" si="0"/>
        <v>151</v>
      </c>
      <c r="E54" s="8">
        <v>59</v>
      </c>
      <c r="F54" s="4">
        <v>7</v>
      </c>
      <c r="G54" s="4">
        <v>0</v>
      </c>
      <c r="H54" s="9">
        <f t="shared" si="1"/>
        <v>66</v>
      </c>
      <c r="I54" s="16">
        <f t="shared" si="2"/>
        <v>217</v>
      </c>
    </row>
    <row r="55" spans="1:9" x14ac:dyDescent="0.25">
      <c r="A55" s="13" t="s">
        <v>43</v>
      </c>
      <c r="B55" s="8">
        <v>334</v>
      </c>
      <c r="C55" s="4">
        <v>58</v>
      </c>
      <c r="D55" s="6">
        <f t="shared" si="0"/>
        <v>392</v>
      </c>
      <c r="E55" s="8">
        <v>124</v>
      </c>
      <c r="F55" s="4">
        <v>3</v>
      </c>
      <c r="G55" s="4">
        <v>0</v>
      </c>
      <c r="H55" s="9">
        <f t="shared" si="1"/>
        <v>127</v>
      </c>
      <c r="I55" s="16">
        <f t="shared" si="2"/>
        <v>519</v>
      </c>
    </row>
    <row r="56" spans="1:9" x14ac:dyDescent="0.25">
      <c r="A56" s="13" t="s">
        <v>136</v>
      </c>
      <c r="B56" s="8">
        <v>37</v>
      </c>
      <c r="C56" s="4">
        <v>0</v>
      </c>
      <c r="D56" s="6">
        <f t="shared" si="0"/>
        <v>37</v>
      </c>
      <c r="E56" s="8">
        <v>356</v>
      </c>
      <c r="F56" s="4">
        <v>44</v>
      </c>
      <c r="G56" s="4">
        <v>0</v>
      </c>
      <c r="H56" s="9">
        <f t="shared" si="1"/>
        <v>400</v>
      </c>
      <c r="I56" s="16">
        <f t="shared" si="2"/>
        <v>437</v>
      </c>
    </row>
    <row r="57" spans="1:9" x14ac:dyDescent="0.25">
      <c r="A57" s="13" t="s">
        <v>157</v>
      </c>
      <c r="B57" s="8">
        <v>630</v>
      </c>
      <c r="C57" s="4">
        <v>6</v>
      </c>
      <c r="D57" s="6">
        <f t="shared" si="0"/>
        <v>636</v>
      </c>
      <c r="E57" s="8">
        <v>610</v>
      </c>
      <c r="F57" s="4">
        <v>152</v>
      </c>
      <c r="G57" s="4">
        <v>0</v>
      </c>
      <c r="H57" s="9">
        <f t="shared" si="1"/>
        <v>762</v>
      </c>
      <c r="I57" s="16">
        <f t="shared" si="2"/>
        <v>1398</v>
      </c>
    </row>
    <row r="58" spans="1:9" x14ac:dyDescent="0.25">
      <c r="A58" s="13" t="s">
        <v>46</v>
      </c>
      <c r="B58" s="8">
        <v>104</v>
      </c>
      <c r="C58" s="4">
        <v>2</v>
      </c>
      <c r="D58" s="6">
        <f t="shared" si="0"/>
        <v>106</v>
      </c>
      <c r="E58" s="8">
        <v>8</v>
      </c>
      <c r="F58" s="4">
        <v>4</v>
      </c>
      <c r="G58" s="4">
        <v>0</v>
      </c>
      <c r="H58" s="9">
        <f t="shared" si="1"/>
        <v>12</v>
      </c>
      <c r="I58" s="16">
        <f t="shared" si="2"/>
        <v>118</v>
      </c>
    </row>
    <row r="59" spans="1:9" x14ac:dyDescent="0.25">
      <c r="A59" s="13" t="s">
        <v>167</v>
      </c>
      <c r="B59" s="8">
        <v>0</v>
      </c>
      <c r="C59" s="4">
        <v>0</v>
      </c>
      <c r="D59" s="6">
        <f t="shared" si="0"/>
        <v>0</v>
      </c>
      <c r="E59" s="8">
        <v>38</v>
      </c>
      <c r="F59" s="4">
        <v>65</v>
      </c>
      <c r="G59" s="4">
        <v>0</v>
      </c>
      <c r="H59" s="9">
        <f t="shared" si="1"/>
        <v>103</v>
      </c>
      <c r="I59" s="16">
        <f t="shared" si="2"/>
        <v>103</v>
      </c>
    </row>
    <row r="60" spans="1:9" x14ac:dyDescent="0.25">
      <c r="A60" s="13" t="s">
        <v>117</v>
      </c>
      <c r="B60" s="8">
        <v>588</v>
      </c>
      <c r="C60" s="4">
        <v>12</v>
      </c>
      <c r="D60" s="6">
        <f t="shared" si="0"/>
        <v>600</v>
      </c>
      <c r="E60" s="8">
        <v>197</v>
      </c>
      <c r="F60" s="4">
        <v>33</v>
      </c>
      <c r="G60" s="4">
        <v>1</v>
      </c>
      <c r="H60" s="9">
        <f t="shared" si="1"/>
        <v>231</v>
      </c>
      <c r="I60" s="16">
        <f t="shared" si="2"/>
        <v>831</v>
      </c>
    </row>
    <row r="61" spans="1:9" x14ac:dyDescent="0.25">
      <c r="A61" s="13" t="s">
        <v>47</v>
      </c>
      <c r="B61" s="8">
        <v>55</v>
      </c>
      <c r="C61" s="4">
        <v>1</v>
      </c>
      <c r="D61" s="6">
        <f t="shared" si="0"/>
        <v>56</v>
      </c>
      <c r="E61" s="8">
        <v>6</v>
      </c>
      <c r="F61" s="4">
        <v>9</v>
      </c>
      <c r="G61" s="4">
        <v>0</v>
      </c>
      <c r="H61" s="9">
        <f t="shared" si="1"/>
        <v>15</v>
      </c>
      <c r="I61" s="16">
        <f t="shared" si="2"/>
        <v>71</v>
      </c>
    </row>
    <row r="62" spans="1:9" x14ac:dyDescent="0.25">
      <c r="A62" s="13" t="s">
        <v>48</v>
      </c>
      <c r="B62" s="8">
        <v>0</v>
      </c>
      <c r="C62" s="4">
        <v>0</v>
      </c>
      <c r="D62" s="6">
        <f t="shared" si="0"/>
        <v>0</v>
      </c>
      <c r="E62" s="8">
        <v>39</v>
      </c>
      <c r="F62" s="4">
        <v>50</v>
      </c>
      <c r="G62" s="4">
        <v>0</v>
      </c>
      <c r="H62" s="9">
        <f t="shared" si="1"/>
        <v>89</v>
      </c>
      <c r="I62" s="16">
        <f t="shared" si="2"/>
        <v>89</v>
      </c>
    </row>
    <row r="63" spans="1:9" x14ac:dyDescent="0.25">
      <c r="A63" s="13" t="s">
        <v>49</v>
      </c>
      <c r="B63" s="8">
        <v>91</v>
      </c>
      <c r="C63" s="4">
        <v>1</v>
      </c>
      <c r="D63" s="6">
        <f t="shared" si="0"/>
        <v>92</v>
      </c>
      <c r="E63" s="8">
        <v>9</v>
      </c>
      <c r="F63" s="4">
        <v>4</v>
      </c>
      <c r="G63" s="4">
        <v>0</v>
      </c>
      <c r="H63" s="9">
        <f t="shared" si="1"/>
        <v>13</v>
      </c>
      <c r="I63" s="16">
        <f t="shared" si="2"/>
        <v>105</v>
      </c>
    </row>
    <row r="64" spans="1:9" x14ac:dyDescent="0.25">
      <c r="A64" s="13" t="s">
        <v>50</v>
      </c>
      <c r="B64" s="8">
        <v>311</v>
      </c>
      <c r="C64" s="4">
        <v>11</v>
      </c>
      <c r="D64" s="6">
        <f t="shared" si="0"/>
        <v>322</v>
      </c>
      <c r="E64" s="8">
        <v>43</v>
      </c>
      <c r="F64" s="4">
        <v>7</v>
      </c>
      <c r="G64" s="4">
        <v>0</v>
      </c>
      <c r="H64" s="9">
        <f t="shared" si="1"/>
        <v>50</v>
      </c>
      <c r="I64" s="16">
        <f t="shared" si="2"/>
        <v>372</v>
      </c>
    </row>
    <row r="65" spans="1:9" x14ac:dyDescent="0.25">
      <c r="A65" s="13" t="s">
        <v>168</v>
      </c>
      <c r="B65" s="8">
        <v>0</v>
      </c>
      <c r="C65" s="4">
        <v>0</v>
      </c>
      <c r="D65" s="6">
        <f t="shared" si="0"/>
        <v>0</v>
      </c>
      <c r="E65" s="8">
        <v>2</v>
      </c>
      <c r="F65" s="4">
        <v>11</v>
      </c>
      <c r="G65" s="4">
        <v>0</v>
      </c>
      <c r="H65" s="9">
        <f t="shared" si="1"/>
        <v>13</v>
      </c>
      <c r="I65" s="16">
        <f t="shared" si="2"/>
        <v>13</v>
      </c>
    </row>
    <row r="66" spans="1:9" x14ac:dyDescent="0.25">
      <c r="A66" s="13" t="s">
        <v>99</v>
      </c>
      <c r="B66" s="8">
        <v>0</v>
      </c>
      <c r="C66" s="4">
        <v>0</v>
      </c>
      <c r="D66" s="6">
        <f t="shared" si="0"/>
        <v>0</v>
      </c>
      <c r="E66" s="8">
        <v>22</v>
      </c>
      <c r="F66" s="4">
        <v>2</v>
      </c>
      <c r="G66" s="4">
        <v>0</v>
      </c>
      <c r="H66" s="9">
        <f t="shared" si="1"/>
        <v>24</v>
      </c>
      <c r="I66" s="16">
        <f t="shared" si="2"/>
        <v>24</v>
      </c>
    </row>
    <row r="67" spans="1:9" x14ac:dyDescent="0.25">
      <c r="A67" s="13" t="s">
        <v>158</v>
      </c>
      <c r="B67" s="8">
        <v>0</v>
      </c>
      <c r="C67" s="4">
        <v>0</v>
      </c>
      <c r="D67" s="6">
        <f t="shared" si="0"/>
        <v>0</v>
      </c>
      <c r="E67" s="8">
        <v>48</v>
      </c>
      <c r="F67" s="4">
        <v>16</v>
      </c>
      <c r="G67" s="4">
        <v>0</v>
      </c>
      <c r="H67" s="9">
        <f t="shared" si="1"/>
        <v>64</v>
      </c>
      <c r="I67" s="16">
        <f t="shared" si="2"/>
        <v>64</v>
      </c>
    </row>
    <row r="68" spans="1:9" x14ac:dyDescent="0.25">
      <c r="A68" s="13" t="s">
        <v>87</v>
      </c>
      <c r="B68" s="8">
        <v>51</v>
      </c>
      <c r="C68" s="4">
        <v>0</v>
      </c>
      <c r="D68" s="6">
        <f t="shared" si="0"/>
        <v>51</v>
      </c>
      <c r="E68" s="8">
        <v>130</v>
      </c>
      <c r="F68" s="4">
        <v>167</v>
      </c>
      <c r="G68" s="4">
        <v>7</v>
      </c>
      <c r="H68" s="9">
        <f t="shared" si="1"/>
        <v>304</v>
      </c>
      <c r="I68" s="16">
        <f t="shared" si="2"/>
        <v>355</v>
      </c>
    </row>
    <row r="69" spans="1:9" x14ac:dyDescent="0.25">
      <c r="A69" s="13" t="s">
        <v>137</v>
      </c>
      <c r="B69" s="8">
        <v>68</v>
      </c>
      <c r="C69" s="4">
        <v>4</v>
      </c>
      <c r="D69" s="6">
        <f t="shared" si="0"/>
        <v>72</v>
      </c>
      <c r="E69" s="8">
        <v>33</v>
      </c>
      <c r="F69" s="4">
        <v>39</v>
      </c>
      <c r="G69" s="4">
        <v>0</v>
      </c>
      <c r="H69" s="9">
        <f t="shared" si="1"/>
        <v>72</v>
      </c>
      <c r="I69" s="16">
        <f t="shared" si="2"/>
        <v>144</v>
      </c>
    </row>
    <row r="70" spans="1:9" x14ac:dyDescent="0.25">
      <c r="A70" s="13" t="s">
        <v>102</v>
      </c>
      <c r="B70" s="8">
        <v>0</v>
      </c>
      <c r="C70" s="4">
        <v>0</v>
      </c>
      <c r="D70" s="6">
        <f t="shared" si="0"/>
        <v>0</v>
      </c>
      <c r="E70" s="8">
        <v>120</v>
      </c>
      <c r="F70" s="4">
        <v>498</v>
      </c>
      <c r="G70" s="4">
        <v>0</v>
      </c>
      <c r="H70" s="9">
        <f t="shared" si="1"/>
        <v>618</v>
      </c>
      <c r="I70" s="16">
        <f t="shared" si="2"/>
        <v>618</v>
      </c>
    </row>
    <row r="71" spans="1:9" x14ac:dyDescent="0.25">
      <c r="A71" s="13" t="s">
        <v>159</v>
      </c>
      <c r="B71" s="8">
        <v>23</v>
      </c>
      <c r="C71" s="4">
        <v>0</v>
      </c>
      <c r="D71" s="6">
        <f t="shared" si="0"/>
        <v>23</v>
      </c>
      <c r="E71" s="8">
        <v>88</v>
      </c>
      <c r="F71" s="4">
        <v>88</v>
      </c>
      <c r="G71" s="4">
        <v>0</v>
      </c>
      <c r="H71" s="9">
        <f t="shared" si="1"/>
        <v>176</v>
      </c>
      <c r="I71" s="16">
        <f t="shared" si="2"/>
        <v>199</v>
      </c>
    </row>
    <row r="72" spans="1:9" x14ac:dyDescent="0.25">
      <c r="A72" s="13" t="s">
        <v>169</v>
      </c>
      <c r="B72" s="8">
        <v>0</v>
      </c>
      <c r="C72" s="4">
        <v>0</v>
      </c>
      <c r="D72" s="6">
        <f t="shared" si="0"/>
        <v>0</v>
      </c>
      <c r="E72" s="8">
        <v>0</v>
      </c>
      <c r="F72" s="4">
        <v>39</v>
      </c>
      <c r="G72" s="4">
        <v>0</v>
      </c>
      <c r="H72" s="9">
        <f t="shared" si="1"/>
        <v>39</v>
      </c>
      <c r="I72" s="16">
        <f t="shared" si="2"/>
        <v>39</v>
      </c>
    </row>
    <row r="73" spans="1:9" x14ac:dyDescent="0.25">
      <c r="A73" s="13" t="s">
        <v>170</v>
      </c>
      <c r="B73" s="8">
        <v>1705</v>
      </c>
      <c r="C73" s="4">
        <v>16</v>
      </c>
      <c r="D73" s="6">
        <f t="shared" ref="D73:D80" si="3">B73+C73</f>
        <v>1721</v>
      </c>
      <c r="E73" s="8">
        <v>0</v>
      </c>
      <c r="F73" s="4">
        <v>0</v>
      </c>
      <c r="G73" s="4">
        <v>0</v>
      </c>
      <c r="H73" s="9">
        <f t="shared" ref="H73:H80" si="4">E73+F73+G73</f>
        <v>0</v>
      </c>
      <c r="I73" s="16">
        <f t="shared" ref="I73:I80" si="5">H73+D73</f>
        <v>1721</v>
      </c>
    </row>
    <row r="74" spans="1:9" x14ac:dyDescent="0.25">
      <c r="A74" s="13" t="s">
        <v>160</v>
      </c>
      <c r="B74" s="8">
        <v>8</v>
      </c>
      <c r="C74" s="4">
        <v>0</v>
      </c>
      <c r="D74" s="6">
        <f t="shared" si="3"/>
        <v>8</v>
      </c>
      <c r="E74" s="8">
        <v>89</v>
      </c>
      <c r="F74" s="4">
        <v>76</v>
      </c>
      <c r="G74" s="4">
        <v>0</v>
      </c>
      <c r="H74" s="9">
        <f t="shared" si="4"/>
        <v>165</v>
      </c>
      <c r="I74" s="16">
        <f t="shared" si="5"/>
        <v>173</v>
      </c>
    </row>
    <row r="75" spans="1:9" x14ac:dyDescent="0.25">
      <c r="A75" s="13" t="s">
        <v>94</v>
      </c>
      <c r="B75" s="8">
        <v>0</v>
      </c>
      <c r="C75" s="4">
        <v>0</v>
      </c>
      <c r="D75" s="6">
        <f t="shared" si="3"/>
        <v>0</v>
      </c>
      <c r="E75" s="8">
        <v>137</v>
      </c>
      <c r="F75" s="4">
        <v>82</v>
      </c>
      <c r="G75" s="4">
        <v>0</v>
      </c>
      <c r="H75" s="9">
        <f t="shared" si="4"/>
        <v>219</v>
      </c>
      <c r="I75" s="16">
        <f t="shared" si="5"/>
        <v>219</v>
      </c>
    </row>
    <row r="76" spans="1:9" x14ac:dyDescent="0.25">
      <c r="A76" s="13" t="s">
        <v>75</v>
      </c>
      <c r="B76" s="8">
        <v>0</v>
      </c>
      <c r="C76" s="4">
        <v>0</v>
      </c>
      <c r="D76" s="6">
        <f t="shared" si="3"/>
        <v>0</v>
      </c>
      <c r="E76" s="8">
        <v>54</v>
      </c>
      <c r="F76" s="4">
        <v>38</v>
      </c>
      <c r="G76" s="4">
        <v>1</v>
      </c>
      <c r="H76" s="9">
        <f t="shared" si="4"/>
        <v>93</v>
      </c>
      <c r="I76" s="16">
        <f t="shared" si="5"/>
        <v>93</v>
      </c>
    </row>
    <row r="77" spans="1:9" x14ac:dyDescent="0.25">
      <c r="A77" s="13" t="s">
        <v>161</v>
      </c>
      <c r="B77" s="8">
        <v>8</v>
      </c>
      <c r="C77" s="4">
        <v>0</v>
      </c>
      <c r="D77" s="6">
        <f t="shared" si="3"/>
        <v>8</v>
      </c>
      <c r="E77" s="8">
        <v>114</v>
      </c>
      <c r="F77" s="4">
        <v>134</v>
      </c>
      <c r="G77" s="4">
        <v>3</v>
      </c>
      <c r="H77" s="9">
        <f t="shared" si="4"/>
        <v>251</v>
      </c>
      <c r="I77" s="16">
        <f t="shared" si="5"/>
        <v>259</v>
      </c>
    </row>
    <row r="78" spans="1:9" x14ac:dyDescent="0.25">
      <c r="A78" s="13" t="s">
        <v>162</v>
      </c>
      <c r="B78" s="8">
        <v>0</v>
      </c>
      <c r="C78" s="4">
        <v>0</v>
      </c>
      <c r="D78" s="6">
        <f t="shared" si="3"/>
        <v>0</v>
      </c>
      <c r="E78" s="8">
        <v>1</v>
      </c>
      <c r="F78" s="4">
        <v>3</v>
      </c>
      <c r="G78" s="4">
        <v>0</v>
      </c>
      <c r="H78" s="9">
        <f t="shared" si="4"/>
        <v>4</v>
      </c>
      <c r="I78" s="16">
        <f t="shared" si="5"/>
        <v>4</v>
      </c>
    </row>
    <row r="79" spans="1:9" x14ac:dyDescent="0.25">
      <c r="A79" s="13" t="s">
        <v>163</v>
      </c>
      <c r="B79" s="8">
        <v>33</v>
      </c>
      <c r="C79" s="4">
        <v>0</v>
      </c>
      <c r="D79" s="6">
        <f t="shared" si="3"/>
        <v>33</v>
      </c>
      <c r="E79" s="8">
        <v>47</v>
      </c>
      <c r="F79" s="4">
        <v>77</v>
      </c>
      <c r="G79" s="4">
        <v>0</v>
      </c>
      <c r="H79" s="9">
        <f t="shared" si="4"/>
        <v>124</v>
      </c>
      <c r="I79" s="16">
        <f t="shared" si="5"/>
        <v>157</v>
      </c>
    </row>
    <row r="80" spans="1:9" ht="15.75" thickBot="1" x14ac:dyDescent="0.3">
      <c r="A80" s="20" t="s">
        <v>164</v>
      </c>
      <c r="B80" s="21">
        <v>0</v>
      </c>
      <c r="C80" s="22">
        <v>0</v>
      </c>
      <c r="D80" s="23">
        <f t="shared" si="3"/>
        <v>0</v>
      </c>
      <c r="E80" s="21">
        <v>38</v>
      </c>
      <c r="F80" s="22">
        <v>35</v>
      </c>
      <c r="G80" s="22">
        <v>0</v>
      </c>
      <c r="H80" s="24">
        <f t="shared" si="4"/>
        <v>73</v>
      </c>
      <c r="I80" s="25">
        <f t="shared" si="5"/>
        <v>73</v>
      </c>
    </row>
    <row r="81" spans="1:9" ht="16.5" thickTop="1" thickBot="1" x14ac:dyDescent="0.3">
      <c r="A81" s="15" t="s">
        <v>0</v>
      </c>
      <c r="B81" s="12">
        <f t="shared" ref="B81:I81" si="6">SUM(B8:B80)</f>
        <v>12757</v>
      </c>
      <c r="C81" s="12">
        <f t="shared" si="6"/>
        <v>275</v>
      </c>
      <c r="D81" s="15">
        <f t="shared" si="6"/>
        <v>13032</v>
      </c>
      <c r="E81" s="12">
        <f t="shared" si="6"/>
        <v>6691</v>
      </c>
      <c r="F81" s="12">
        <f t="shared" si="6"/>
        <v>2849</v>
      </c>
      <c r="G81" s="12">
        <f t="shared" si="6"/>
        <v>56</v>
      </c>
      <c r="H81" s="18">
        <f t="shared" si="6"/>
        <v>9596</v>
      </c>
      <c r="I81" s="18">
        <f t="shared" si="6"/>
        <v>22628</v>
      </c>
    </row>
    <row r="83" spans="1:9" x14ac:dyDescent="0.25">
      <c r="A83" s="33" t="s">
        <v>88</v>
      </c>
      <c r="B83" s="33"/>
      <c r="C83" s="33"/>
      <c r="D83" s="33"/>
      <c r="E83" s="33"/>
      <c r="F83" s="33"/>
      <c r="G83" s="33"/>
      <c r="H83" s="33"/>
      <c r="I83" s="33"/>
    </row>
    <row r="84" spans="1:9" x14ac:dyDescent="0.25">
      <c r="A84" s="33"/>
      <c r="B84" s="33"/>
      <c r="C84" s="33"/>
      <c r="D84" s="33"/>
      <c r="E84" s="33"/>
      <c r="F84" s="33"/>
      <c r="G84" s="33"/>
      <c r="H84" s="33"/>
      <c r="I84" s="33"/>
    </row>
  </sheetData>
  <mergeCells count="13">
    <mergeCell ref="G6:G7"/>
    <mergeCell ref="H6:H7"/>
    <mergeCell ref="A83:I84"/>
    <mergeCell ref="A2:I2"/>
    <mergeCell ref="A5:A7"/>
    <mergeCell ref="B5:D5"/>
    <mergeCell ref="E5:H5"/>
    <mergeCell ref="I5:I7"/>
    <mergeCell ref="B6:B7"/>
    <mergeCell ref="C6:C7"/>
    <mergeCell ref="D6:D7"/>
    <mergeCell ref="E6:E7"/>
    <mergeCell ref="F6:F7"/>
  </mergeCells>
  <pageMargins left="0.7" right="0.7" top="0.75" bottom="0.75" header="0.3" footer="0.3"/>
  <pageSetup paperSize="9" orientation="portrait" r:id="rId1"/>
  <headerFooter>
    <oddHeader>&amp;CUCL Student Data Statistics</oddHeader>
    <oddFooter>&amp;L&amp;F - &amp;A&amp;RPage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FF0000"/>
  </sheetPr>
  <dimension ref="A1:I83"/>
  <sheetViews>
    <sheetView tabSelected="1" view="pageLayout" zoomScale="85" zoomScaleNormal="100" zoomScalePageLayoutView="85" workbookViewId="0">
      <selection activeCell="A47" sqref="A47"/>
    </sheetView>
  </sheetViews>
  <sheetFormatPr defaultColWidth="9" defaultRowHeight="15" x14ac:dyDescent="0.25"/>
  <cols>
    <col min="1" max="1" width="31.28515625" customWidth="1"/>
    <col min="2" max="9" width="6.7109375" customWidth="1"/>
  </cols>
  <sheetData>
    <row r="1" spans="1:9" ht="18" x14ac:dyDescent="0.25">
      <c r="A1" s="1" t="s">
        <v>2</v>
      </c>
      <c r="B1" s="3"/>
    </row>
    <row r="2" spans="1:9" x14ac:dyDescent="0.25">
      <c r="A2" s="34" t="s">
        <v>3</v>
      </c>
      <c r="B2" s="34"/>
      <c r="C2" s="34"/>
      <c r="D2" s="34"/>
      <c r="E2" s="34"/>
      <c r="F2" s="34"/>
      <c r="G2" s="34"/>
      <c r="H2" s="34"/>
      <c r="I2" s="34"/>
    </row>
    <row r="3" spans="1:9" x14ac:dyDescent="0.25">
      <c r="A3" s="28" t="str">
        <f ca="1">RIGHT(CELL("filename",A1),LEN(CELL("filename",A1))-FIND("]",CELL("filename",A1)))</f>
        <v>2008-09</v>
      </c>
      <c r="B3" s="3"/>
    </row>
    <row r="4" spans="1:9" ht="15.75" thickBot="1" x14ac:dyDescent="0.3">
      <c r="A4" s="3"/>
      <c r="B4" s="3"/>
    </row>
    <row r="5" spans="1:9" ht="15" customHeight="1" x14ac:dyDescent="0.25">
      <c r="A5" s="35" t="s">
        <v>4</v>
      </c>
      <c r="B5" s="38" t="s">
        <v>5</v>
      </c>
      <c r="C5" s="39"/>
      <c r="D5" s="39"/>
      <c r="E5" s="38" t="s">
        <v>6</v>
      </c>
      <c r="F5" s="39"/>
      <c r="G5" s="39"/>
      <c r="H5" s="40"/>
      <c r="I5" s="41" t="s">
        <v>0</v>
      </c>
    </row>
    <row r="6" spans="1:9" ht="15" customHeight="1" x14ac:dyDescent="0.25">
      <c r="A6" s="36"/>
      <c r="B6" s="44" t="s">
        <v>76</v>
      </c>
      <c r="C6" s="29" t="s">
        <v>77</v>
      </c>
      <c r="D6" s="46" t="s">
        <v>0</v>
      </c>
      <c r="E6" s="44" t="s">
        <v>76</v>
      </c>
      <c r="F6" s="29" t="s">
        <v>77</v>
      </c>
      <c r="G6" s="29" t="s">
        <v>78</v>
      </c>
      <c r="H6" s="31" t="s">
        <v>0</v>
      </c>
      <c r="I6" s="42"/>
    </row>
    <row r="7" spans="1:9" x14ac:dyDescent="0.25">
      <c r="A7" s="37"/>
      <c r="B7" s="45"/>
      <c r="C7" s="30"/>
      <c r="D7" s="47"/>
      <c r="E7" s="45"/>
      <c r="F7" s="30"/>
      <c r="G7" s="30"/>
      <c r="H7" s="32"/>
      <c r="I7" s="43"/>
    </row>
    <row r="8" spans="1:9" x14ac:dyDescent="0.25">
      <c r="A8" s="13" t="s">
        <v>8</v>
      </c>
      <c r="B8" s="8">
        <v>183</v>
      </c>
      <c r="C8" s="4">
        <v>1</v>
      </c>
      <c r="D8" s="6">
        <f>B8+C8</f>
        <v>184</v>
      </c>
      <c r="E8" s="8">
        <v>103</v>
      </c>
      <c r="F8" s="4">
        <v>23</v>
      </c>
      <c r="G8" s="4">
        <v>28</v>
      </c>
      <c r="H8" s="9">
        <f>E8+F8+G8</f>
        <v>154</v>
      </c>
      <c r="I8" s="16">
        <f>H8+D8</f>
        <v>338</v>
      </c>
    </row>
    <row r="9" spans="1:9" x14ac:dyDescent="0.25">
      <c r="A9" s="13" t="s">
        <v>9</v>
      </c>
      <c r="B9" s="8">
        <v>149</v>
      </c>
      <c r="C9" s="4">
        <v>1</v>
      </c>
      <c r="D9" s="6">
        <f t="shared" ref="D9:D72" si="0">B9+C9</f>
        <v>150</v>
      </c>
      <c r="E9" s="8">
        <v>260</v>
      </c>
      <c r="F9" s="4">
        <v>90</v>
      </c>
      <c r="G9" s="4">
        <v>8</v>
      </c>
      <c r="H9" s="9">
        <f t="shared" ref="H9:H72" si="1">E9+F9+G9</f>
        <v>358</v>
      </c>
      <c r="I9" s="16">
        <f t="shared" ref="I9:I72" si="2">H9+D9</f>
        <v>508</v>
      </c>
    </row>
    <row r="10" spans="1:9" x14ac:dyDescent="0.25">
      <c r="A10" s="13" t="s">
        <v>10</v>
      </c>
      <c r="B10" s="8">
        <v>450</v>
      </c>
      <c r="C10" s="4">
        <v>9</v>
      </c>
      <c r="D10" s="6">
        <f t="shared" si="0"/>
        <v>459</v>
      </c>
      <c r="E10" s="8">
        <v>119</v>
      </c>
      <c r="F10" s="4">
        <v>47</v>
      </c>
      <c r="G10" s="4">
        <v>0</v>
      </c>
      <c r="H10" s="9">
        <f t="shared" si="1"/>
        <v>166</v>
      </c>
      <c r="I10" s="16">
        <f t="shared" si="2"/>
        <v>625</v>
      </c>
    </row>
    <row r="11" spans="1:9" x14ac:dyDescent="0.25">
      <c r="A11" s="13" t="s">
        <v>140</v>
      </c>
      <c r="B11" s="8">
        <v>117</v>
      </c>
      <c r="C11" s="4">
        <v>3</v>
      </c>
      <c r="D11" s="6">
        <f t="shared" si="0"/>
        <v>120</v>
      </c>
      <c r="E11" s="8">
        <v>1</v>
      </c>
      <c r="F11" s="4">
        <v>1</v>
      </c>
      <c r="G11" s="4">
        <v>0</v>
      </c>
      <c r="H11" s="9">
        <f t="shared" si="1"/>
        <v>2</v>
      </c>
      <c r="I11" s="16">
        <f t="shared" si="2"/>
        <v>122</v>
      </c>
    </row>
    <row r="12" spans="1:9" x14ac:dyDescent="0.25">
      <c r="A12" s="13" t="s">
        <v>141</v>
      </c>
      <c r="B12" s="8">
        <v>0</v>
      </c>
      <c r="C12" s="4">
        <v>0</v>
      </c>
      <c r="D12" s="6">
        <f t="shared" si="0"/>
        <v>0</v>
      </c>
      <c r="E12" s="8">
        <v>193</v>
      </c>
      <c r="F12" s="4">
        <v>224</v>
      </c>
      <c r="G12" s="4">
        <v>2</v>
      </c>
      <c r="H12" s="9">
        <f t="shared" si="1"/>
        <v>419</v>
      </c>
      <c r="I12" s="16">
        <f t="shared" si="2"/>
        <v>419</v>
      </c>
    </row>
    <row r="13" spans="1:9" x14ac:dyDescent="0.25">
      <c r="A13" s="13" t="s">
        <v>142</v>
      </c>
      <c r="B13" s="8">
        <v>97</v>
      </c>
      <c r="C13" s="4">
        <v>2</v>
      </c>
      <c r="D13" s="6">
        <f t="shared" si="0"/>
        <v>99</v>
      </c>
      <c r="E13" s="8">
        <v>101</v>
      </c>
      <c r="F13" s="4">
        <v>89</v>
      </c>
      <c r="G13" s="4">
        <v>6</v>
      </c>
      <c r="H13" s="9">
        <f t="shared" si="1"/>
        <v>196</v>
      </c>
      <c r="I13" s="16">
        <f t="shared" si="2"/>
        <v>295</v>
      </c>
    </row>
    <row r="14" spans="1:9" x14ac:dyDescent="0.25">
      <c r="A14" s="13" t="s">
        <v>95</v>
      </c>
      <c r="B14" s="8">
        <v>148</v>
      </c>
      <c r="C14" s="4">
        <v>1</v>
      </c>
      <c r="D14" s="6">
        <f t="shared" si="0"/>
        <v>149</v>
      </c>
      <c r="E14" s="8">
        <v>102</v>
      </c>
      <c r="F14" s="4">
        <v>8</v>
      </c>
      <c r="G14" s="4">
        <v>0</v>
      </c>
      <c r="H14" s="9">
        <f t="shared" si="1"/>
        <v>110</v>
      </c>
      <c r="I14" s="16">
        <f t="shared" si="2"/>
        <v>259</v>
      </c>
    </row>
    <row r="15" spans="1:9" x14ac:dyDescent="0.25">
      <c r="A15" s="13" t="s">
        <v>153</v>
      </c>
      <c r="B15" s="8">
        <v>917</v>
      </c>
      <c r="C15" s="4">
        <v>26</v>
      </c>
      <c r="D15" s="6">
        <f t="shared" si="0"/>
        <v>943</v>
      </c>
      <c r="E15" s="8">
        <v>222</v>
      </c>
      <c r="F15" s="4">
        <v>36</v>
      </c>
      <c r="G15" s="4">
        <v>1</v>
      </c>
      <c r="H15" s="9">
        <f t="shared" si="1"/>
        <v>259</v>
      </c>
      <c r="I15" s="16">
        <f t="shared" si="2"/>
        <v>1202</v>
      </c>
    </row>
    <row r="16" spans="1:9" x14ac:dyDescent="0.25">
      <c r="A16" s="13" t="s">
        <v>148</v>
      </c>
      <c r="B16" s="8">
        <v>0</v>
      </c>
      <c r="C16" s="4">
        <v>0</v>
      </c>
      <c r="D16" s="6">
        <f t="shared" si="0"/>
        <v>0</v>
      </c>
      <c r="E16" s="8">
        <v>6</v>
      </c>
      <c r="F16" s="4">
        <v>0</v>
      </c>
      <c r="G16" s="4">
        <v>0</v>
      </c>
      <c r="H16" s="9">
        <f t="shared" si="1"/>
        <v>6</v>
      </c>
      <c r="I16" s="16">
        <f t="shared" si="2"/>
        <v>6</v>
      </c>
    </row>
    <row r="17" spans="1:9" x14ac:dyDescent="0.25">
      <c r="A17" s="13" t="s">
        <v>125</v>
      </c>
      <c r="B17" s="8">
        <v>0</v>
      </c>
      <c r="C17" s="4">
        <v>0</v>
      </c>
      <c r="D17" s="6">
        <f t="shared" si="0"/>
        <v>0</v>
      </c>
      <c r="E17" s="8">
        <v>30</v>
      </c>
      <c r="F17" s="4">
        <v>8</v>
      </c>
      <c r="G17" s="4">
        <v>1</v>
      </c>
      <c r="H17" s="9">
        <f t="shared" si="1"/>
        <v>39</v>
      </c>
      <c r="I17" s="16">
        <f t="shared" si="2"/>
        <v>39</v>
      </c>
    </row>
    <row r="18" spans="1:9" x14ac:dyDescent="0.25">
      <c r="A18" s="13" t="s">
        <v>143</v>
      </c>
      <c r="B18" s="8">
        <v>0</v>
      </c>
      <c r="C18" s="4">
        <v>0</v>
      </c>
      <c r="D18" s="6">
        <f t="shared" si="0"/>
        <v>0</v>
      </c>
      <c r="E18" s="8">
        <v>77</v>
      </c>
      <c r="F18" s="4">
        <v>27</v>
      </c>
      <c r="G18" s="4">
        <v>0</v>
      </c>
      <c r="H18" s="9">
        <f t="shared" si="1"/>
        <v>104</v>
      </c>
      <c r="I18" s="16">
        <f t="shared" si="2"/>
        <v>104</v>
      </c>
    </row>
    <row r="19" spans="1:9" x14ac:dyDescent="0.25">
      <c r="A19" s="13" t="s">
        <v>144</v>
      </c>
      <c r="B19" s="8">
        <v>0</v>
      </c>
      <c r="C19" s="4">
        <v>0</v>
      </c>
      <c r="D19" s="6">
        <f t="shared" si="0"/>
        <v>0</v>
      </c>
      <c r="E19" s="8">
        <v>47</v>
      </c>
      <c r="F19" s="4">
        <v>0</v>
      </c>
      <c r="G19" s="4">
        <v>0</v>
      </c>
      <c r="H19" s="9">
        <f t="shared" si="1"/>
        <v>47</v>
      </c>
      <c r="I19" s="16">
        <f t="shared" si="2"/>
        <v>47</v>
      </c>
    </row>
    <row r="20" spans="1:9" x14ac:dyDescent="0.25">
      <c r="A20" s="13" t="s">
        <v>130</v>
      </c>
      <c r="B20" s="8">
        <v>0</v>
      </c>
      <c r="C20" s="4">
        <v>0</v>
      </c>
      <c r="D20" s="6">
        <f t="shared" si="0"/>
        <v>0</v>
      </c>
      <c r="E20" s="8">
        <v>1</v>
      </c>
      <c r="F20" s="4">
        <v>116</v>
      </c>
      <c r="G20" s="4">
        <v>0</v>
      </c>
      <c r="H20" s="9">
        <f t="shared" si="1"/>
        <v>117</v>
      </c>
      <c r="I20" s="16">
        <f t="shared" si="2"/>
        <v>117</v>
      </c>
    </row>
    <row r="21" spans="1:9" x14ac:dyDescent="0.25">
      <c r="A21" s="13" t="s">
        <v>96</v>
      </c>
      <c r="B21" s="8">
        <v>281</v>
      </c>
      <c r="C21" s="4">
        <v>7</v>
      </c>
      <c r="D21" s="6">
        <f t="shared" si="0"/>
        <v>288</v>
      </c>
      <c r="E21" s="8">
        <v>44</v>
      </c>
      <c r="F21" s="4">
        <v>5</v>
      </c>
      <c r="G21" s="4">
        <v>0</v>
      </c>
      <c r="H21" s="9">
        <f t="shared" si="1"/>
        <v>49</v>
      </c>
      <c r="I21" s="16">
        <f t="shared" si="2"/>
        <v>337</v>
      </c>
    </row>
    <row r="22" spans="1:9" x14ac:dyDescent="0.25">
      <c r="A22" s="13" t="s">
        <v>14</v>
      </c>
      <c r="B22" s="8">
        <v>274</v>
      </c>
      <c r="C22" s="4">
        <v>6</v>
      </c>
      <c r="D22" s="6">
        <f t="shared" si="0"/>
        <v>280</v>
      </c>
      <c r="E22" s="8">
        <v>118</v>
      </c>
      <c r="F22" s="4">
        <v>4</v>
      </c>
      <c r="G22" s="4">
        <v>0</v>
      </c>
      <c r="H22" s="9">
        <f t="shared" si="1"/>
        <v>122</v>
      </c>
      <c r="I22" s="16">
        <f t="shared" si="2"/>
        <v>402</v>
      </c>
    </row>
    <row r="23" spans="1:9" x14ac:dyDescent="0.25">
      <c r="A23" s="13" t="s">
        <v>149</v>
      </c>
      <c r="B23" s="8">
        <v>231</v>
      </c>
      <c r="C23" s="4">
        <v>2</v>
      </c>
      <c r="D23" s="6">
        <f t="shared" si="0"/>
        <v>233</v>
      </c>
      <c r="E23" s="8">
        <v>121</v>
      </c>
      <c r="F23" s="4">
        <v>19</v>
      </c>
      <c r="G23" s="4">
        <v>3</v>
      </c>
      <c r="H23" s="9">
        <f t="shared" si="1"/>
        <v>143</v>
      </c>
      <c r="I23" s="16">
        <f t="shared" si="2"/>
        <v>376</v>
      </c>
    </row>
    <row r="24" spans="1:9" x14ac:dyDescent="0.25">
      <c r="A24" s="13" t="s">
        <v>16</v>
      </c>
      <c r="B24" s="8">
        <v>171</v>
      </c>
      <c r="C24" s="4">
        <v>9</v>
      </c>
      <c r="D24" s="6">
        <f t="shared" si="0"/>
        <v>180</v>
      </c>
      <c r="E24" s="8">
        <v>229</v>
      </c>
      <c r="F24" s="4">
        <v>15</v>
      </c>
      <c r="G24" s="4">
        <v>0</v>
      </c>
      <c r="H24" s="9">
        <f t="shared" si="1"/>
        <v>244</v>
      </c>
      <c r="I24" s="16">
        <f t="shared" si="2"/>
        <v>424</v>
      </c>
    </row>
    <row r="25" spans="1:9" x14ac:dyDescent="0.25">
      <c r="A25" s="13" t="s">
        <v>17</v>
      </c>
      <c r="B25" s="8">
        <v>0</v>
      </c>
      <c r="C25" s="4">
        <v>0</v>
      </c>
      <c r="D25" s="6">
        <f t="shared" si="0"/>
        <v>0</v>
      </c>
      <c r="E25" s="8">
        <v>117</v>
      </c>
      <c r="F25" s="4">
        <v>39</v>
      </c>
      <c r="G25" s="4">
        <v>1</v>
      </c>
      <c r="H25" s="9">
        <f t="shared" si="1"/>
        <v>157</v>
      </c>
      <c r="I25" s="16">
        <f t="shared" si="2"/>
        <v>157</v>
      </c>
    </row>
    <row r="26" spans="1:9" x14ac:dyDescent="0.25">
      <c r="A26" s="13" t="s">
        <v>18</v>
      </c>
      <c r="B26" s="8">
        <v>22</v>
      </c>
      <c r="C26" s="4">
        <v>3</v>
      </c>
      <c r="D26" s="6">
        <f t="shared" si="0"/>
        <v>25</v>
      </c>
      <c r="E26" s="8">
        <v>4</v>
      </c>
      <c r="F26" s="4">
        <v>0</v>
      </c>
      <c r="G26" s="4">
        <v>0</v>
      </c>
      <c r="H26" s="9">
        <f t="shared" si="1"/>
        <v>4</v>
      </c>
      <c r="I26" s="16">
        <f t="shared" si="2"/>
        <v>29</v>
      </c>
    </row>
    <row r="27" spans="1:9" x14ac:dyDescent="0.25">
      <c r="A27" s="13" t="s">
        <v>122</v>
      </c>
      <c r="B27" s="8">
        <v>86</v>
      </c>
      <c r="C27" s="4">
        <v>2</v>
      </c>
      <c r="D27" s="6">
        <f t="shared" si="0"/>
        <v>88</v>
      </c>
      <c r="E27" s="8">
        <v>58</v>
      </c>
      <c r="F27" s="4">
        <v>22</v>
      </c>
      <c r="G27" s="4">
        <v>1</v>
      </c>
      <c r="H27" s="9">
        <f t="shared" si="1"/>
        <v>81</v>
      </c>
      <c r="I27" s="16">
        <f t="shared" si="2"/>
        <v>169</v>
      </c>
    </row>
    <row r="28" spans="1:9" x14ac:dyDescent="0.25">
      <c r="A28" s="13" t="s">
        <v>19</v>
      </c>
      <c r="B28" s="8">
        <v>702</v>
      </c>
      <c r="C28" s="4">
        <v>10</v>
      </c>
      <c r="D28" s="6">
        <f t="shared" si="0"/>
        <v>712</v>
      </c>
      <c r="E28" s="8">
        <v>129</v>
      </c>
      <c r="F28" s="4">
        <v>11</v>
      </c>
      <c r="G28" s="4">
        <v>0</v>
      </c>
      <c r="H28" s="9">
        <f t="shared" si="1"/>
        <v>140</v>
      </c>
      <c r="I28" s="16">
        <f t="shared" si="2"/>
        <v>852</v>
      </c>
    </row>
    <row r="29" spans="1:9" x14ac:dyDescent="0.25">
      <c r="A29" s="13" t="s">
        <v>20</v>
      </c>
      <c r="B29" s="8">
        <v>161</v>
      </c>
      <c r="C29" s="4">
        <v>2</v>
      </c>
      <c r="D29" s="6">
        <f t="shared" si="0"/>
        <v>163</v>
      </c>
      <c r="E29" s="8">
        <v>173</v>
      </c>
      <c r="F29" s="4">
        <v>145</v>
      </c>
      <c r="G29" s="4">
        <v>0</v>
      </c>
      <c r="H29" s="9">
        <f t="shared" si="1"/>
        <v>318</v>
      </c>
      <c r="I29" s="16">
        <f t="shared" si="2"/>
        <v>481</v>
      </c>
    </row>
    <row r="30" spans="1:9" x14ac:dyDescent="0.25">
      <c r="A30" s="13" t="s">
        <v>21</v>
      </c>
      <c r="B30" s="8">
        <v>237</v>
      </c>
      <c r="C30" s="4">
        <v>0</v>
      </c>
      <c r="D30" s="6">
        <f t="shared" si="0"/>
        <v>237</v>
      </c>
      <c r="E30" s="8">
        <v>79</v>
      </c>
      <c r="F30" s="4">
        <v>3</v>
      </c>
      <c r="G30" s="4">
        <v>0</v>
      </c>
      <c r="H30" s="9">
        <f t="shared" si="1"/>
        <v>82</v>
      </c>
      <c r="I30" s="16">
        <f t="shared" si="2"/>
        <v>319</v>
      </c>
    </row>
    <row r="31" spans="1:9" x14ac:dyDescent="0.25">
      <c r="A31" s="13" t="s">
        <v>126</v>
      </c>
      <c r="B31" s="8">
        <v>175</v>
      </c>
      <c r="C31" s="4">
        <v>1</v>
      </c>
      <c r="D31" s="6">
        <f t="shared" si="0"/>
        <v>176</v>
      </c>
      <c r="E31" s="8">
        <v>0</v>
      </c>
      <c r="F31" s="4">
        <v>0</v>
      </c>
      <c r="G31" s="4">
        <v>0</v>
      </c>
      <c r="H31" s="9">
        <f t="shared" si="1"/>
        <v>0</v>
      </c>
      <c r="I31" s="16">
        <f t="shared" si="2"/>
        <v>176</v>
      </c>
    </row>
    <row r="32" spans="1:9" x14ac:dyDescent="0.25">
      <c r="A32" s="13" t="s">
        <v>22</v>
      </c>
      <c r="B32" s="8">
        <v>151</v>
      </c>
      <c r="C32" s="4">
        <v>2</v>
      </c>
      <c r="D32" s="6">
        <f t="shared" si="0"/>
        <v>153</v>
      </c>
      <c r="E32" s="8">
        <v>118</v>
      </c>
      <c r="F32" s="4">
        <v>4</v>
      </c>
      <c r="G32" s="4">
        <v>0</v>
      </c>
      <c r="H32" s="9">
        <f t="shared" si="1"/>
        <v>122</v>
      </c>
      <c r="I32" s="16">
        <f t="shared" si="2"/>
        <v>275</v>
      </c>
    </row>
    <row r="33" spans="1:9" x14ac:dyDescent="0.25">
      <c r="A33" s="13" t="s">
        <v>23</v>
      </c>
      <c r="B33" s="8">
        <v>248</v>
      </c>
      <c r="C33" s="4">
        <v>3</v>
      </c>
      <c r="D33" s="6">
        <f t="shared" si="0"/>
        <v>251</v>
      </c>
      <c r="E33" s="8">
        <v>9</v>
      </c>
      <c r="F33" s="4">
        <v>4</v>
      </c>
      <c r="G33" s="4">
        <v>0</v>
      </c>
      <c r="H33" s="9">
        <f t="shared" si="1"/>
        <v>13</v>
      </c>
      <c r="I33" s="16">
        <f t="shared" si="2"/>
        <v>264</v>
      </c>
    </row>
    <row r="34" spans="1:9" x14ac:dyDescent="0.25">
      <c r="A34" s="13" t="s">
        <v>97</v>
      </c>
      <c r="B34" s="8">
        <v>0</v>
      </c>
      <c r="C34" s="4">
        <v>0</v>
      </c>
      <c r="D34" s="6">
        <f t="shared" si="0"/>
        <v>0</v>
      </c>
      <c r="E34" s="8">
        <v>10</v>
      </c>
      <c r="F34" s="4">
        <v>0</v>
      </c>
      <c r="G34" s="4">
        <v>0</v>
      </c>
      <c r="H34" s="9">
        <f t="shared" si="1"/>
        <v>10</v>
      </c>
      <c r="I34" s="16">
        <f t="shared" si="2"/>
        <v>10</v>
      </c>
    </row>
    <row r="35" spans="1:9" x14ac:dyDescent="0.25">
      <c r="A35" s="13" t="s">
        <v>24</v>
      </c>
      <c r="B35" s="8">
        <v>359</v>
      </c>
      <c r="C35" s="4">
        <v>4</v>
      </c>
      <c r="D35" s="6">
        <f t="shared" si="0"/>
        <v>363</v>
      </c>
      <c r="E35" s="8">
        <v>111</v>
      </c>
      <c r="F35" s="4">
        <v>22</v>
      </c>
      <c r="G35" s="4">
        <v>2</v>
      </c>
      <c r="H35" s="9">
        <f t="shared" si="1"/>
        <v>135</v>
      </c>
      <c r="I35" s="16">
        <f t="shared" si="2"/>
        <v>498</v>
      </c>
    </row>
    <row r="36" spans="1:9" x14ac:dyDescent="0.25">
      <c r="A36" s="13" t="s">
        <v>26</v>
      </c>
      <c r="B36" s="8">
        <v>145</v>
      </c>
      <c r="C36" s="4">
        <v>0</v>
      </c>
      <c r="D36" s="6">
        <f t="shared" si="0"/>
        <v>145</v>
      </c>
      <c r="E36" s="8">
        <v>5</v>
      </c>
      <c r="F36" s="4">
        <v>2</v>
      </c>
      <c r="G36" s="4">
        <v>1</v>
      </c>
      <c r="H36" s="9">
        <f t="shared" si="1"/>
        <v>8</v>
      </c>
      <c r="I36" s="16">
        <f t="shared" si="2"/>
        <v>153</v>
      </c>
    </row>
    <row r="37" spans="1:9" x14ac:dyDescent="0.25">
      <c r="A37" s="13" t="s">
        <v>81</v>
      </c>
      <c r="B37" s="8">
        <v>159</v>
      </c>
      <c r="C37" s="4">
        <v>5</v>
      </c>
      <c r="D37" s="6">
        <f t="shared" si="0"/>
        <v>164</v>
      </c>
      <c r="E37" s="8">
        <v>29</v>
      </c>
      <c r="F37" s="4">
        <v>15</v>
      </c>
      <c r="G37" s="4">
        <v>1</v>
      </c>
      <c r="H37" s="9">
        <f t="shared" si="1"/>
        <v>45</v>
      </c>
      <c r="I37" s="16">
        <f t="shared" si="2"/>
        <v>209</v>
      </c>
    </row>
    <row r="38" spans="1:9" x14ac:dyDescent="0.25">
      <c r="A38" s="13" t="s">
        <v>82</v>
      </c>
      <c r="B38" s="8">
        <v>29</v>
      </c>
      <c r="C38" s="4">
        <v>4</v>
      </c>
      <c r="D38" s="6">
        <f t="shared" si="0"/>
        <v>33</v>
      </c>
      <c r="E38" s="8">
        <v>9</v>
      </c>
      <c r="F38" s="4">
        <v>12</v>
      </c>
      <c r="G38" s="4">
        <v>1</v>
      </c>
      <c r="H38" s="9">
        <f t="shared" si="1"/>
        <v>22</v>
      </c>
      <c r="I38" s="16">
        <f t="shared" si="2"/>
        <v>55</v>
      </c>
    </row>
    <row r="39" spans="1:9" x14ac:dyDescent="0.25">
      <c r="A39" s="13" t="s">
        <v>30</v>
      </c>
      <c r="B39" s="8">
        <v>340</v>
      </c>
      <c r="C39" s="4">
        <v>1</v>
      </c>
      <c r="D39" s="6">
        <f t="shared" si="0"/>
        <v>341</v>
      </c>
      <c r="E39" s="8">
        <v>84</v>
      </c>
      <c r="F39" s="4">
        <v>18</v>
      </c>
      <c r="G39" s="4">
        <v>0</v>
      </c>
      <c r="H39" s="9">
        <f t="shared" si="1"/>
        <v>102</v>
      </c>
      <c r="I39" s="16">
        <f t="shared" si="2"/>
        <v>443</v>
      </c>
    </row>
    <row r="40" spans="1:9" x14ac:dyDescent="0.25">
      <c r="A40" s="13" t="s">
        <v>83</v>
      </c>
      <c r="B40" s="8">
        <v>158</v>
      </c>
      <c r="C40" s="4">
        <v>1</v>
      </c>
      <c r="D40" s="6">
        <f t="shared" si="0"/>
        <v>159</v>
      </c>
      <c r="E40" s="8">
        <v>50</v>
      </c>
      <c r="F40" s="4">
        <v>11</v>
      </c>
      <c r="G40" s="4">
        <v>0</v>
      </c>
      <c r="H40" s="9">
        <f t="shared" si="1"/>
        <v>61</v>
      </c>
      <c r="I40" s="16">
        <f t="shared" si="2"/>
        <v>220</v>
      </c>
    </row>
    <row r="41" spans="1:9" x14ac:dyDescent="0.25">
      <c r="A41" s="13" t="s">
        <v>154</v>
      </c>
      <c r="B41" s="8">
        <v>21</v>
      </c>
      <c r="C41" s="4">
        <v>0</v>
      </c>
      <c r="D41" s="6">
        <f t="shared" si="0"/>
        <v>21</v>
      </c>
      <c r="E41" s="8">
        <v>24</v>
      </c>
      <c r="F41" s="4">
        <v>12</v>
      </c>
      <c r="G41" s="4">
        <v>3</v>
      </c>
      <c r="H41" s="9">
        <f t="shared" si="1"/>
        <v>39</v>
      </c>
      <c r="I41" s="16">
        <f t="shared" si="2"/>
        <v>60</v>
      </c>
    </row>
    <row r="42" spans="1:9" x14ac:dyDescent="0.25">
      <c r="A42" s="13" t="s">
        <v>33</v>
      </c>
      <c r="B42" s="8">
        <v>160</v>
      </c>
      <c r="C42" s="4">
        <v>9</v>
      </c>
      <c r="D42" s="6">
        <f t="shared" si="0"/>
        <v>169</v>
      </c>
      <c r="E42" s="8">
        <v>8</v>
      </c>
      <c r="F42" s="4">
        <v>6</v>
      </c>
      <c r="G42" s="4">
        <v>0</v>
      </c>
      <c r="H42" s="9">
        <f t="shared" si="1"/>
        <v>14</v>
      </c>
      <c r="I42" s="16">
        <f t="shared" si="2"/>
        <v>183</v>
      </c>
    </row>
    <row r="43" spans="1:9" x14ac:dyDescent="0.25">
      <c r="A43" s="13" t="s">
        <v>145</v>
      </c>
      <c r="B43" s="8">
        <v>0</v>
      </c>
      <c r="C43" s="4">
        <v>0</v>
      </c>
      <c r="D43" s="6">
        <f t="shared" si="0"/>
        <v>0</v>
      </c>
      <c r="E43" s="8">
        <v>13</v>
      </c>
      <c r="F43" s="4">
        <v>46</v>
      </c>
      <c r="G43" s="4">
        <v>0</v>
      </c>
      <c r="H43" s="9">
        <f t="shared" si="1"/>
        <v>59</v>
      </c>
      <c r="I43" s="16">
        <f t="shared" si="2"/>
        <v>59</v>
      </c>
    </row>
    <row r="44" spans="1:9" x14ac:dyDescent="0.25">
      <c r="A44" s="13" t="s">
        <v>128</v>
      </c>
      <c r="B44" s="8">
        <v>191</v>
      </c>
      <c r="C44" s="4">
        <v>0</v>
      </c>
      <c r="D44" s="6">
        <f t="shared" si="0"/>
        <v>191</v>
      </c>
      <c r="E44" s="8">
        <v>0</v>
      </c>
      <c r="F44" s="4">
        <v>0</v>
      </c>
      <c r="G44" s="4">
        <v>0</v>
      </c>
      <c r="H44" s="9">
        <f t="shared" si="1"/>
        <v>0</v>
      </c>
      <c r="I44" s="16">
        <f t="shared" si="2"/>
        <v>191</v>
      </c>
    </row>
    <row r="45" spans="1:9" x14ac:dyDescent="0.25">
      <c r="A45" s="13" t="s">
        <v>1</v>
      </c>
      <c r="B45" s="8">
        <v>605</v>
      </c>
      <c r="C45" s="4">
        <v>1</v>
      </c>
      <c r="D45" s="6">
        <f t="shared" si="0"/>
        <v>606</v>
      </c>
      <c r="E45" s="8">
        <v>460</v>
      </c>
      <c r="F45" s="4">
        <v>31</v>
      </c>
      <c r="G45" s="4">
        <v>0</v>
      </c>
      <c r="H45" s="9">
        <f t="shared" si="1"/>
        <v>491</v>
      </c>
      <c r="I45" s="16">
        <f t="shared" si="2"/>
        <v>1097</v>
      </c>
    </row>
    <row r="46" spans="1:9" x14ac:dyDescent="0.25">
      <c r="A46" s="13" t="s">
        <v>34</v>
      </c>
      <c r="B46" s="8">
        <v>26</v>
      </c>
      <c r="C46" s="4">
        <v>0</v>
      </c>
      <c r="D46" s="6">
        <f t="shared" si="0"/>
        <v>26</v>
      </c>
      <c r="E46" s="8">
        <v>100</v>
      </c>
      <c r="F46" s="4">
        <v>134</v>
      </c>
      <c r="G46" s="4">
        <v>0</v>
      </c>
      <c r="H46" s="9">
        <f t="shared" si="1"/>
        <v>234</v>
      </c>
      <c r="I46" s="16">
        <f t="shared" si="2"/>
        <v>260</v>
      </c>
    </row>
    <row r="47" spans="1:9" x14ac:dyDescent="0.25">
      <c r="A47" s="13" t="s">
        <v>155</v>
      </c>
      <c r="B47" s="8">
        <v>116</v>
      </c>
      <c r="C47" s="4">
        <v>1</v>
      </c>
      <c r="D47" s="6">
        <f t="shared" si="0"/>
        <v>117</v>
      </c>
      <c r="E47" s="8">
        <v>58</v>
      </c>
      <c r="F47" s="4">
        <v>0</v>
      </c>
      <c r="G47" s="4">
        <v>0</v>
      </c>
      <c r="H47" s="9">
        <f t="shared" si="1"/>
        <v>58</v>
      </c>
      <c r="I47" s="16">
        <f t="shared" si="2"/>
        <v>175</v>
      </c>
    </row>
    <row r="48" spans="1:9" x14ac:dyDescent="0.25">
      <c r="A48" s="13" t="s">
        <v>150</v>
      </c>
      <c r="B48" s="8">
        <v>106</v>
      </c>
      <c r="C48" s="4">
        <v>3</v>
      </c>
      <c r="D48" s="6">
        <f t="shared" si="0"/>
        <v>109</v>
      </c>
      <c r="E48" s="8">
        <v>34</v>
      </c>
      <c r="F48" s="4">
        <v>0</v>
      </c>
      <c r="G48" s="4">
        <v>0</v>
      </c>
      <c r="H48" s="9">
        <f t="shared" si="1"/>
        <v>34</v>
      </c>
      <c r="I48" s="16">
        <f t="shared" si="2"/>
        <v>143</v>
      </c>
    </row>
    <row r="49" spans="1:9" x14ac:dyDescent="0.25">
      <c r="A49" s="13" t="s">
        <v>35</v>
      </c>
      <c r="B49" s="8">
        <v>562</v>
      </c>
      <c r="C49" s="4">
        <v>22</v>
      </c>
      <c r="D49" s="6">
        <f t="shared" si="0"/>
        <v>584</v>
      </c>
      <c r="E49" s="8">
        <v>43</v>
      </c>
      <c r="F49" s="4">
        <v>0</v>
      </c>
      <c r="G49" s="4">
        <v>0</v>
      </c>
      <c r="H49" s="9">
        <f t="shared" si="1"/>
        <v>43</v>
      </c>
      <c r="I49" s="16">
        <f t="shared" si="2"/>
        <v>627</v>
      </c>
    </row>
    <row r="50" spans="1:9" x14ac:dyDescent="0.25">
      <c r="A50" s="13" t="s">
        <v>36</v>
      </c>
      <c r="B50" s="8">
        <v>286</v>
      </c>
      <c r="C50" s="4">
        <v>7</v>
      </c>
      <c r="D50" s="6">
        <f t="shared" si="0"/>
        <v>293</v>
      </c>
      <c r="E50" s="8">
        <v>103</v>
      </c>
      <c r="F50" s="4">
        <v>16</v>
      </c>
      <c r="G50" s="4">
        <v>0</v>
      </c>
      <c r="H50" s="9">
        <f t="shared" si="1"/>
        <v>119</v>
      </c>
      <c r="I50" s="16">
        <f t="shared" si="2"/>
        <v>412</v>
      </c>
    </row>
    <row r="51" spans="1:9" x14ac:dyDescent="0.25">
      <c r="A51" s="13" t="s">
        <v>37</v>
      </c>
      <c r="B51" s="8">
        <v>35</v>
      </c>
      <c r="C51" s="4">
        <v>1</v>
      </c>
      <c r="D51" s="6">
        <f t="shared" si="0"/>
        <v>36</v>
      </c>
      <c r="E51" s="8">
        <v>56</v>
      </c>
      <c r="F51" s="4">
        <v>45</v>
      </c>
      <c r="G51" s="4">
        <v>0</v>
      </c>
      <c r="H51" s="9">
        <f t="shared" si="1"/>
        <v>101</v>
      </c>
      <c r="I51" s="16">
        <f t="shared" si="2"/>
        <v>137</v>
      </c>
    </row>
    <row r="52" spans="1:9" x14ac:dyDescent="0.25">
      <c r="A52" s="13" t="s">
        <v>156</v>
      </c>
      <c r="B52" s="8">
        <v>0</v>
      </c>
      <c r="C52" s="4">
        <v>0</v>
      </c>
      <c r="D52" s="6">
        <f t="shared" si="0"/>
        <v>0</v>
      </c>
      <c r="E52" s="8">
        <v>19</v>
      </c>
      <c r="F52" s="4">
        <v>2</v>
      </c>
      <c r="G52" s="4">
        <v>0</v>
      </c>
      <c r="H52" s="9">
        <f t="shared" si="1"/>
        <v>21</v>
      </c>
      <c r="I52" s="16">
        <f t="shared" si="2"/>
        <v>21</v>
      </c>
    </row>
    <row r="53" spans="1:9" x14ac:dyDescent="0.25">
      <c r="A53" s="13" t="s">
        <v>151</v>
      </c>
      <c r="B53" s="8">
        <v>153</v>
      </c>
      <c r="C53" s="4">
        <v>2</v>
      </c>
      <c r="D53" s="6">
        <f t="shared" si="0"/>
        <v>155</v>
      </c>
      <c r="E53" s="8">
        <v>0</v>
      </c>
      <c r="F53" s="4">
        <v>0</v>
      </c>
      <c r="G53" s="4">
        <v>0</v>
      </c>
      <c r="H53" s="9">
        <f t="shared" si="1"/>
        <v>0</v>
      </c>
      <c r="I53" s="16">
        <f t="shared" si="2"/>
        <v>155</v>
      </c>
    </row>
    <row r="54" spans="1:9" x14ac:dyDescent="0.25">
      <c r="A54" s="13" t="s">
        <v>40</v>
      </c>
      <c r="B54" s="8">
        <v>149</v>
      </c>
      <c r="C54" s="4">
        <v>0</v>
      </c>
      <c r="D54" s="6">
        <f t="shared" si="0"/>
        <v>149</v>
      </c>
      <c r="E54" s="8">
        <v>41</v>
      </c>
      <c r="F54" s="4">
        <v>2</v>
      </c>
      <c r="G54" s="4">
        <v>0</v>
      </c>
      <c r="H54" s="9">
        <f t="shared" si="1"/>
        <v>43</v>
      </c>
      <c r="I54" s="16">
        <f t="shared" si="2"/>
        <v>192</v>
      </c>
    </row>
    <row r="55" spans="1:9" x14ac:dyDescent="0.25">
      <c r="A55" s="13" t="s">
        <v>43</v>
      </c>
      <c r="B55" s="8">
        <v>324</v>
      </c>
      <c r="C55" s="4">
        <v>39</v>
      </c>
      <c r="D55" s="6">
        <f t="shared" si="0"/>
        <v>363</v>
      </c>
      <c r="E55" s="8">
        <v>116</v>
      </c>
      <c r="F55" s="4">
        <v>3</v>
      </c>
      <c r="G55" s="4">
        <v>0</v>
      </c>
      <c r="H55" s="9">
        <f t="shared" si="1"/>
        <v>119</v>
      </c>
      <c r="I55" s="16">
        <f t="shared" si="2"/>
        <v>482</v>
      </c>
    </row>
    <row r="56" spans="1:9" x14ac:dyDescent="0.25">
      <c r="A56" s="13" t="s">
        <v>136</v>
      </c>
      <c r="B56" s="8">
        <v>25</v>
      </c>
      <c r="C56" s="4">
        <v>0</v>
      </c>
      <c r="D56" s="6">
        <f t="shared" si="0"/>
        <v>25</v>
      </c>
      <c r="E56" s="8">
        <v>191</v>
      </c>
      <c r="F56" s="4">
        <v>41</v>
      </c>
      <c r="G56" s="4">
        <v>1</v>
      </c>
      <c r="H56" s="9">
        <f t="shared" si="1"/>
        <v>233</v>
      </c>
      <c r="I56" s="16">
        <f t="shared" si="2"/>
        <v>258</v>
      </c>
    </row>
    <row r="57" spans="1:9" x14ac:dyDescent="0.25">
      <c r="A57" s="13" t="s">
        <v>157</v>
      </c>
      <c r="B57" s="8">
        <v>647</v>
      </c>
      <c r="C57" s="4">
        <v>11</v>
      </c>
      <c r="D57" s="6">
        <f t="shared" si="0"/>
        <v>658</v>
      </c>
      <c r="E57" s="8">
        <v>481</v>
      </c>
      <c r="F57" s="4">
        <v>221</v>
      </c>
      <c r="G57" s="4">
        <v>0</v>
      </c>
      <c r="H57" s="9">
        <f t="shared" si="1"/>
        <v>702</v>
      </c>
      <c r="I57" s="16">
        <f t="shared" si="2"/>
        <v>1360</v>
      </c>
    </row>
    <row r="58" spans="1:9" x14ac:dyDescent="0.25">
      <c r="A58" s="13" t="s">
        <v>46</v>
      </c>
      <c r="B58" s="8">
        <v>110</v>
      </c>
      <c r="C58" s="4">
        <v>2</v>
      </c>
      <c r="D58" s="6">
        <f t="shared" si="0"/>
        <v>112</v>
      </c>
      <c r="E58" s="8">
        <v>8</v>
      </c>
      <c r="F58" s="4">
        <v>3</v>
      </c>
      <c r="G58" s="4">
        <v>0</v>
      </c>
      <c r="H58" s="9">
        <f t="shared" si="1"/>
        <v>11</v>
      </c>
      <c r="I58" s="16">
        <f t="shared" si="2"/>
        <v>123</v>
      </c>
    </row>
    <row r="59" spans="1:9" x14ac:dyDescent="0.25">
      <c r="A59" s="13" t="s">
        <v>117</v>
      </c>
      <c r="B59" s="8">
        <v>535</v>
      </c>
      <c r="C59" s="4">
        <v>21</v>
      </c>
      <c r="D59" s="6">
        <f t="shared" si="0"/>
        <v>556</v>
      </c>
      <c r="E59" s="8">
        <v>180</v>
      </c>
      <c r="F59" s="4">
        <v>41</v>
      </c>
      <c r="G59" s="4">
        <v>1</v>
      </c>
      <c r="H59" s="9">
        <f t="shared" si="1"/>
        <v>222</v>
      </c>
      <c r="I59" s="16">
        <f t="shared" si="2"/>
        <v>778</v>
      </c>
    </row>
    <row r="60" spans="1:9" x14ac:dyDescent="0.25">
      <c r="A60" s="13" t="s">
        <v>47</v>
      </c>
      <c r="B60" s="8">
        <v>64</v>
      </c>
      <c r="C60" s="4">
        <v>0</v>
      </c>
      <c r="D60" s="6">
        <f t="shared" si="0"/>
        <v>64</v>
      </c>
      <c r="E60" s="8">
        <v>2</v>
      </c>
      <c r="F60" s="4">
        <v>6</v>
      </c>
      <c r="G60" s="4">
        <v>0</v>
      </c>
      <c r="H60" s="9">
        <f t="shared" si="1"/>
        <v>8</v>
      </c>
      <c r="I60" s="16">
        <f t="shared" si="2"/>
        <v>72</v>
      </c>
    </row>
    <row r="61" spans="1:9" x14ac:dyDescent="0.25">
      <c r="A61" s="13" t="s">
        <v>48</v>
      </c>
      <c r="B61" s="8">
        <v>0</v>
      </c>
      <c r="C61" s="4">
        <v>0</v>
      </c>
      <c r="D61" s="6">
        <f t="shared" si="0"/>
        <v>0</v>
      </c>
      <c r="E61" s="8">
        <v>35</v>
      </c>
      <c r="F61" s="4">
        <v>51</v>
      </c>
      <c r="G61" s="4">
        <v>0</v>
      </c>
      <c r="H61" s="9">
        <f t="shared" si="1"/>
        <v>86</v>
      </c>
      <c r="I61" s="16">
        <f t="shared" si="2"/>
        <v>86</v>
      </c>
    </row>
    <row r="62" spans="1:9" x14ac:dyDescent="0.25">
      <c r="A62" s="13" t="s">
        <v>49</v>
      </c>
      <c r="B62" s="8">
        <v>92</v>
      </c>
      <c r="C62" s="4">
        <v>0</v>
      </c>
      <c r="D62" s="6">
        <f t="shared" si="0"/>
        <v>92</v>
      </c>
      <c r="E62" s="8">
        <v>10</v>
      </c>
      <c r="F62" s="4">
        <v>8</v>
      </c>
      <c r="G62" s="4">
        <v>0</v>
      </c>
      <c r="H62" s="9">
        <f t="shared" si="1"/>
        <v>18</v>
      </c>
      <c r="I62" s="16">
        <f t="shared" si="2"/>
        <v>110</v>
      </c>
    </row>
    <row r="63" spans="1:9" x14ac:dyDescent="0.25">
      <c r="A63" s="13" t="s">
        <v>50</v>
      </c>
      <c r="B63" s="8">
        <v>253</v>
      </c>
      <c r="C63" s="4">
        <v>20</v>
      </c>
      <c r="D63" s="6">
        <f t="shared" si="0"/>
        <v>273</v>
      </c>
      <c r="E63" s="8">
        <v>35</v>
      </c>
      <c r="F63" s="4">
        <v>7</v>
      </c>
      <c r="G63" s="4">
        <v>0</v>
      </c>
      <c r="H63" s="9">
        <f t="shared" si="1"/>
        <v>42</v>
      </c>
      <c r="I63" s="16">
        <f t="shared" si="2"/>
        <v>315</v>
      </c>
    </row>
    <row r="64" spans="1:9" x14ac:dyDescent="0.25">
      <c r="A64" s="13" t="s">
        <v>146</v>
      </c>
      <c r="B64" s="8">
        <v>0</v>
      </c>
      <c r="C64" s="4">
        <v>0</v>
      </c>
      <c r="D64" s="6">
        <f t="shared" si="0"/>
        <v>0</v>
      </c>
      <c r="E64" s="8">
        <v>0</v>
      </c>
      <c r="F64" s="4">
        <v>0</v>
      </c>
      <c r="G64" s="4">
        <v>0</v>
      </c>
      <c r="H64" s="9">
        <f t="shared" si="1"/>
        <v>0</v>
      </c>
      <c r="I64" s="16">
        <f t="shared" si="2"/>
        <v>0</v>
      </c>
    </row>
    <row r="65" spans="1:9" x14ac:dyDescent="0.25">
      <c r="A65" s="13" t="s">
        <v>53</v>
      </c>
      <c r="B65" s="8">
        <v>653</v>
      </c>
      <c r="C65" s="4">
        <v>6</v>
      </c>
      <c r="D65" s="6">
        <f t="shared" si="0"/>
        <v>659</v>
      </c>
      <c r="E65" s="8">
        <v>0</v>
      </c>
      <c r="F65" s="4">
        <v>0</v>
      </c>
      <c r="G65" s="4">
        <v>0</v>
      </c>
      <c r="H65" s="9">
        <f t="shared" si="1"/>
        <v>0</v>
      </c>
      <c r="I65" s="16">
        <f t="shared" si="2"/>
        <v>659</v>
      </c>
    </row>
    <row r="66" spans="1:9" x14ac:dyDescent="0.25">
      <c r="A66" s="13" t="s">
        <v>54</v>
      </c>
      <c r="B66" s="8">
        <v>1086</v>
      </c>
      <c r="C66" s="4">
        <v>1</v>
      </c>
      <c r="D66" s="6">
        <f t="shared" si="0"/>
        <v>1087</v>
      </c>
      <c r="E66" s="8">
        <v>0</v>
      </c>
      <c r="F66" s="4">
        <v>0</v>
      </c>
      <c r="G66" s="4">
        <v>0</v>
      </c>
      <c r="H66" s="9">
        <f t="shared" si="1"/>
        <v>0</v>
      </c>
      <c r="I66" s="16">
        <f t="shared" si="2"/>
        <v>1087</v>
      </c>
    </row>
    <row r="67" spans="1:9" x14ac:dyDescent="0.25">
      <c r="A67" s="13" t="s">
        <v>118</v>
      </c>
      <c r="B67" s="8">
        <v>0</v>
      </c>
      <c r="C67" s="4">
        <v>0</v>
      </c>
      <c r="D67" s="6">
        <f t="shared" si="0"/>
        <v>0</v>
      </c>
      <c r="E67" s="8">
        <v>21</v>
      </c>
      <c r="F67" s="4">
        <v>4</v>
      </c>
      <c r="G67" s="4">
        <v>0</v>
      </c>
      <c r="H67" s="9">
        <f t="shared" si="1"/>
        <v>25</v>
      </c>
      <c r="I67" s="16">
        <f t="shared" si="2"/>
        <v>25</v>
      </c>
    </row>
    <row r="68" spans="1:9" x14ac:dyDescent="0.25">
      <c r="A68" s="13" t="s">
        <v>158</v>
      </c>
      <c r="B68" s="8">
        <v>0</v>
      </c>
      <c r="C68" s="4">
        <v>0</v>
      </c>
      <c r="D68" s="6">
        <f t="shared" si="0"/>
        <v>0</v>
      </c>
      <c r="E68" s="8">
        <v>31</v>
      </c>
      <c r="F68" s="4">
        <v>15</v>
      </c>
      <c r="G68" s="4">
        <v>0</v>
      </c>
      <c r="H68" s="9">
        <f t="shared" si="1"/>
        <v>46</v>
      </c>
      <c r="I68" s="16">
        <f t="shared" si="2"/>
        <v>46</v>
      </c>
    </row>
    <row r="69" spans="1:9" x14ac:dyDescent="0.25">
      <c r="A69" s="13" t="s">
        <v>87</v>
      </c>
      <c r="B69" s="8">
        <v>46</v>
      </c>
      <c r="C69" s="4">
        <v>0</v>
      </c>
      <c r="D69" s="6">
        <f t="shared" si="0"/>
        <v>46</v>
      </c>
      <c r="E69" s="8">
        <v>102</v>
      </c>
      <c r="F69" s="4">
        <v>202</v>
      </c>
      <c r="G69" s="4">
        <v>5</v>
      </c>
      <c r="H69" s="9">
        <f t="shared" si="1"/>
        <v>309</v>
      </c>
      <c r="I69" s="16">
        <f t="shared" si="2"/>
        <v>355</v>
      </c>
    </row>
    <row r="70" spans="1:9" x14ac:dyDescent="0.25">
      <c r="A70" s="13" t="s">
        <v>137</v>
      </c>
      <c r="B70" s="8">
        <v>82</v>
      </c>
      <c r="C70" s="4">
        <v>1</v>
      </c>
      <c r="D70" s="6">
        <f t="shared" si="0"/>
        <v>83</v>
      </c>
      <c r="E70" s="8">
        <v>25</v>
      </c>
      <c r="F70" s="4">
        <v>22</v>
      </c>
      <c r="G70" s="4">
        <v>0</v>
      </c>
      <c r="H70" s="9">
        <f t="shared" si="1"/>
        <v>47</v>
      </c>
      <c r="I70" s="16">
        <f t="shared" si="2"/>
        <v>130</v>
      </c>
    </row>
    <row r="71" spans="1:9" x14ac:dyDescent="0.25">
      <c r="A71" s="13" t="s">
        <v>102</v>
      </c>
      <c r="B71" s="8">
        <v>0</v>
      </c>
      <c r="C71" s="4">
        <v>0</v>
      </c>
      <c r="D71" s="6">
        <f t="shared" si="0"/>
        <v>0</v>
      </c>
      <c r="E71" s="8">
        <v>113</v>
      </c>
      <c r="F71" s="4">
        <v>464</v>
      </c>
      <c r="G71" s="4">
        <v>0</v>
      </c>
      <c r="H71" s="9">
        <f t="shared" si="1"/>
        <v>577</v>
      </c>
      <c r="I71" s="16">
        <f t="shared" si="2"/>
        <v>577</v>
      </c>
    </row>
    <row r="72" spans="1:9" x14ac:dyDescent="0.25">
      <c r="A72" s="13" t="s">
        <v>159</v>
      </c>
      <c r="B72" s="8">
        <v>16</v>
      </c>
      <c r="C72" s="4">
        <v>0</v>
      </c>
      <c r="D72" s="6">
        <f t="shared" si="0"/>
        <v>16</v>
      </c>
      <c r="E72" s="8">
        <v>69</v>
      </c>
      <c r="F72" s="4">
        <v>75</v>
      </c>
      <c r="G72" s="4">
        <v>0</v>
      </c>
      <c r="H72" s="9">
        <f t="shared" si="1"/>
        <v>144</v>
      </c>
      <c r="I72" s="16">
        <f t="shared" si="2"/>
        <v>160</v>
      </c>
    </row>
    <row r="73" spans="1:9" x14ac:dyDescent="0.25">
      <c r="A73" s="13" t="s">
        <v>160</v>
      </c>
      <c r="B73" s="8">
        <v>8</v>
      </c>
      <c r="C73" s="4">
        <v>0</v>
      </c>
      <c r="D73" s="6">
        <f t="shared" ref="D73:D79" si="3">B73+C73</f>
        <v>8</v>
      </c>
      <c r="E73" s="8">
        <v>73</v>
      </c>
      <c r="F73" s="4">
        <v>67</v>
      </c>
      <c r="G73" s="4">
        <v>0</v>
      </c>
      <c r="H73" s="9">
        <f t="shared" ref="H73:H79" si="4">E73+F73+G73</f>
        <v>140</v>
      </c>
      <c r="I73" s="16">
        <f t="shared" ref="I73:I79" si="5">H73+D73</f>
        <v>148</v>
      </c>
    </row>
    <row r="74" spans="1:9" x14ac:dyDescent="0.25">
      <c r="A74" s="13" t="s">
        <v>94</v>
      </c>
      <c r="B74" s="8">
        <v>0</v>
      </c>
      <c r="C74" s="4">
        <v>0</v>
      </c>
      <c r="D74" s="6">
        <f t="shared" si="3"/>
        <v>0</v>
      </c>
      <c r="E74" s="8">
        <v>117</v>
      </c>
      <c r="F74" s="4">
        <v>81</v>
      </c>
      <c r="G74" s="4">
        <v>2</v>
      </c>
      <c r="H74" s="9">
        <f t="shared" si="4"/>
        <v>200</v>
      </c>
      <c r="I74" s="16">
        <f t="shared" si="5"/>
        <v>200</v>
      </c>
    </row>
    <row r="75" spans="1:9" x14ac:dyDescent="0.25">
      <c r="A75" s="13" t="s">
        <v>75</v>
      </c>
      <c r="B75" s="8">
        <v>0</v>
      </c>
      <c r="C75" s="4">
        <v>0</v>
      </c>
      <c r="D75" s="6">
        <f t="shared" si="3"/>
        <v>0</v>
      </c>
      <c r="E75" s="8">
        <v>38</v>
      </c>
      <c r="F75" s="4">
        <v>25</v>
      </c>
      <c r="G75" s="4">
        <v>1</v>
      </c>
      <c r="H75" s="9">
        <f t="shared" si="4"/>
        <v>64</v>
      </c>
      <c r="I75" s="16">
        <f t="shared" si="5"/>
        <v>64</v>
      </c>
    </row>
    <row r="76" spans="1:9" x14ac:dyDescent="0.25">
      <c r="A76" s="13" t="s">
        <v>161</v>
      </c>
      <c r="B76" s="8">
        <v>11</v>
      </c>
      <c r="C76" s="4">
        <v>0</v>
      </c>
      <c r="D76" s="6">
        <f t="shared" si="3"/>
        <v>11</v>
      </c>
      <c r="E76" s="8">
        <v>86</v>
      </c>
      <c r="F76" s="4">
        <v>141</v>
      </c>
      <c r="G76" s="4">
        <v>3</v>
      </c>
      <c r="H76" s="9">
        <f t="shared" si="4"/>
        <v>230</v>
      </c>
      <c r="I76" s="16">
        <f t="shared" si="5"/>
        <v>241</v>
      </c>
    </row>
    <row r="77" spans="1:9" x14ac:dyDescent="0.25">
      <c r="A77" s="13" t="s">
        <v>162</v>
      </c>
      <c r="B77" s="8">
        <v>0</v>
      </c>
      <c r="C77" s="4">
        <v>0</v>
      </c>
      <c r="D77" s="6">
        <f t="shared" si="3"/>
        <v>0</v>
      </c>
      <c r="E77" s="8">
        <v>0</v>
      </c>
      <c r="F77" s="4">
        <v>3</v>
      </c>
      <c r="G77" s="4">
        <v>0</v>
      </c>
      <c r="H77" s="9">
        <f t="shared" si="4"/>
        <v>3</v>
      </c>
      <c r="I77" s="16">
        <f t="shared" si="5"/>
        <v>3</v>
      </c>
    </row>
    <row r="78" spans="1:9" x14ac:dyDescent="0.25">
      <c r="A78" s="13" t="s">
        <v>163</v>
      </c>
      <c r="B78" s="8">
        <v>31</v>
      </c>
      <c r="C78" s="4">
        <v>0</v>
      </c>
      <c r="D78" s="6">
        <f t="shared" si="3"/>
        <v>31</v>
      </c>
      <c r="E78" s="8">
        <v>32</v>
      </c>
      <c r="F78" s="4">
        <v>65</v>
      </c>
      <c r="G78" s="4">
        <v>0</v>
      </c>
      <c r="H78" s="9">
        <f t="shared" si="4"/>
        <v>97</v>
      </c>
      <c r="I78" s="16">
        <f t="shared" si="5"/>
        <v>128</v>
      </c>
    </row>
    <row r="79" spans="1:9" ht="15.75" thickBot="1" x14ac:dyDescent="0.3">
      <c r="A79" s="20" t="s">
        <v>164</v>
      </c>
      <c r="B79" s="21">
        <v>0</v>
      </c>
      <c r="C79" s="22">
        <v>0</v>
      </c>
      <c r="D79" s="23">
        <f t="shared" si="3"/>
        <v>0</v>
      </c>
      <c r="E79" s="21">
        <v>30</v>
      </c>
      <c r="F79" s="22">
        <v>18</v>
      </c>
      <c r="G79" s="22">
        <v>0</v>
      </c>
      <c r="H79" s="24">
        <f t="shared" si="4"/>
        <v>48</v>
      </c>
      <c r="I79" s="25">
        <f t="shared" si="5"/>
        <v>48</v>
      </c>
    </row>
    <row r="80" spans="1:9" ht="16.5" thickTop="1" thickBot="1" x14ac:dyDescent="0.3">
      <c r="A80" s="15" t="s">
        <v>0</v>
      </c>
      <c r="B80" s="12">
        <f t="shared" ref="B80:I80" si="6">SUM(B8:B79)</f>
        <v>12383</v>
      </c>
      <c r="C80" s="12">
        <f t="shared" si="6"/>
        <v>252</v>
      </c>
      <c r="D80" s="15">
        <f t="shared" si="6"/>
        <v>12635</v>
      </c>
      <c r="E80" s="12">
        <f t="shared" si="6"/>
        <v>5513</v>
      </c>
      <c r="F80" s="12">
        <f t="shared" si="6"/>
        <v>2877</v>
      </c>
      <c r="G80" s="12">
        <f t="shared" si="6"/>
        <v>72</v>
      </c>
      <c r="H80" s="18">
        <f t="shared" si="6"/>
        <v>8462</v>
      </c>
      <c r="I80" s="18">
        <f t="shared" si="6"/>
        <v>21097</v>
      </c>
    </row>
    <row r="82" spans="1:9" x14ac:dyDescent="0.25">
      <c r="A82" s="33" t="s">
        <v>88</v>
      </c>
      <c r="B82" s="33"/>
      <c r="C82" s="33"/>
      <c r="D82" s="33"/>
      <c r="E82" s="33"/>
      <c r="F82" s="33"/>
      <c r="G82" s="33"/>
      <c r="H82" s="33"/>
      <c r="I82" s="33"/>
    </row>
    <row r="83" spans="1:9" x14ac:dyDescent="0.25">
      <c r="A83" s="33"/>
      <c r="B83" s="33"/>
      <c r="C83" s="33"/>
      <c r="D83" s="33"/>
      <c r="E83" s="33"/>
      <c r="F83" s="33"/>
      <c r="G83" s="33"/>
      <c r="H83" s="33"/>
      <c r="I83" s="33"/>
    </row>
  </sheetData>
  <mergeCells count="13">
    <mergeCell ref="G6:G7"/>
    <mergeCell ref="H6:H7"/>
    <mergeCell ref="A82:I83"/>
    <mergeCell ref="A2:I2"/>
    <mergeCell ref="A5:A7"/>
    <mergeCell ref="B5:D5"/>
    <mergeCell ref="E5:H5"/>
    <mergeCell ref="I5:I7"/>
    <mergeCell ref="B6:B7"/>
    <mergeCell ref="C6:C7"/>
    <mergeCell ref="D6:D7"/>
    <mergeCell ref="E6:E7"/>
    <mergeCell ref="F6:F7"/>
  </mergeCells>
  <pageMargins left="0.7" right="0.7" top="0.75" bottom="0.75" header="0.3" footer="0.3"/>
  <pageSetup paperSize="9" orientation="portrait" r:id="rId1"/>
  <headerFooter>
    <oddHeader>&amp;CUCL Student Data Statistics</oddHeader>
    <oddFooter>&amp;L&amp;F - &amp;A&amp;RPage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95"/>
  <sheetViews>
    <sheetView tabSelected="1" view="pageLayout" zoomScale="85" zoomScaleNormal="85" zoomScalePageLayoutView="85" workbookViewId="0">
      <selection activeCell="A47" sqref="A47"/>
    </sheetView>
  </sheetViews>
  <sheetFormatPr defaultColWidth="9" defaultRowHeight="15" x14ac:dyDescent="0.25"/>
  <cols>
    <col min="1" max="1" width="31.28515625" customWidth="1"/>
    <col min="2" max="9" width="6.7109375" customWidth="1"/>
  </cols>
  <sheetData>
    <row r="1" spans="1:9" ht="18" x14ac:dyDescent="0.25">
      <c r="A1" s="1" t="s">
        <v>2</v>
      </c>
      <c r="B1" s="3"/>
    </row>
    <row r="2" spans="1:9" x14ac:dyDescent="0.25">
      <c r="A2" s="34" t="s">
        <v>3</v>
      </c>
      <c r="B2" s="34"/>
      <c r="C2" s="34"/>
      <c r="D2" s="34"/>
      <c r="E2" s="34"/>
      <c r="F2" s="34"/>
      <c r="G2" s="34"/>
      <c r="H2" s="34"/>
      <c r="I2" s="34"/>
    </row>
    <row r="3" spans="1:9" x14ac:dyDescent="0.25">
      <c r="A3" s="28" t="str">
        <f ca="1">RIGHT(CELL("filename",A1),LEN(CELL("filename",A1))-FIND("]",CELL("filename",A1)))</f>
        <v>2007-08</v>
      </c>
      <c r="B3" s="3"/>
    </row>
    <row r="4" spans="1:9" ht="15.75" thickBot="1" x14ac:dyDescent="0.3">
      <c r="A4" s="3"/>
      <c r="B4" s="3"/>
    </row>
    <row r="5" spans="1:9" ht="15" customHeight="1" x14ac:dyDescent="0.25">
      <c r="A5" s="35" t="s">
        <v>4</v>
      </c>
      <c r="B5" s="38" t="s">
        <v>5</v>
      </c>
      <c r="C5" s="39"/>
      <c r="D5" s="39"/>
      <c r="E5" s="38" t="s">
        <v>6</v>
      </c>
      <c r="F5" s="39"/>
      <c r="G5" s="39"/>
      <c r="H5" s="40"/>
      <c r="I5" s="41" t="s">
        <v>0</v>
      </c>
    </row>
    <row r="6" spans="1:9" ht="15" customHeight="1" x14ac:dyDescent="0.25">
      <c r="A6" s="36"/>
      <c r="B6" s="44" t="s">
        <v>76</v>
      </c>
      <c r="C6" s="29" t="s">
        <v>77</v>
      </c>
      <c r="D6" s="46" t="s">
        <v>0</v>
      </c>
      <c r="E6" s="44" t="s">
        <v>76</v>
      </c>
      <c r="F6" s="29" t="s">
        <v>77</v>
      </c>
      <c r="G6" s="29" t="s">
        <v>78</v>
      </c>
      <c r="H6" s="31" t="s">
        <v>0</v>
      </c>
      <c r="I6" s="42"/>
    </row>
    <row r="7" spans="1:9" x14ac:dyDescent="0.25">
      <c r="A7" s="37"/>
      <c r="B7" s="45"/>
      <c r="C7" s="30"/>
      <c r="D7" s="47"/>
      <c r="E7" s="45"/>
      <c r="F7" s="30"/>
      <c r="G7" s="30"/>
      <c r="H7" s="32"/>
      <c r="I7" s="43"/>
    </row>
    <row r="8" spans="1:9" x14ac:dyDescent="0.25">
      <c r="A8" s="13" t="s">
        <v>7</v>
      </c>
      <c r="B8" s="8">
        <v>134</v>
      </c>
      <c r="C8" s="4">
        <v>1</v>
      </c>
      <c r="D8" s="6">
        <f>B8+C8</f>
        <v>135</v>
      </c>
      <c r="E8" s="8">
        <v>98</v>
      </c>
      <c r="F8" s="4">
        <v>19</v>
      </c>
      <c r="G8" s="4">
        <v>0</v>
      </c>
      <c r="H8" s="9">
        <f>E8+F8+G8</f>
        <v>117</v>
      </c>
      <c r="I8" s="16">
        <f>H8+D8</f>
        <v>252</v>
      </c>
    </row>
    <row r="9" spans="1:9" x14ac:dyDescent="0.25">
      <c r="A9" s="13" t="s">
        <v>8</v>
      </c>
      <c r="B9" s="8">
        <v>187</v>
      </c>
      <c r="C9" s="4">
        <v>1</v>
      </c>
      <c r="D9" s="6">
        <f t="shared" ref="D9:D72" si="0">B9+C9</f>
        <v>188</v>
      </c>
      <c r="E9" s="8">
        <v>126</v>
      </c>
      <c r="F9" s="4">
        <v>25</v>
      </c>
      <c r="G9" s="4">
        <v>20</v>
      </c>
      <c r="H9" s="9">
        <f t="shared" ref="H9:H72" si="1">E9+F9+G9</f>
        <v>171</v>
      </c>
      <c r="I9" s="16">
        <f t="shared" ref="I9:I72" si="2">H9+D9</f>
        <v>359</v>
      </c>
    </row>
    <row r="10" spans="1:9" x14ac:dyDescent="0.25">
      <c r="A10" s="13" t="s">
        <v>9</v>
      </c>
      <c r="B10" s="8">
        <v>168</v>
      </c>
      <c r="C10" s="4">
        <v>1</v>
      </c>
      <c r="D10" s="6">
        <f t="shared" si="0"/>
        <v>169</v>
      </c>
      <c r="E10" s="8">
        <v>243</v>
      </c>
      <c r="F10" s="4">
        <v>93</v>
      </c>
      <c r="G10" s="4">
        <v>5</v>
      </c>
      <c r="H10" s="9">
        <f t="shared" si="1"/>
        <v>341</v>
      </c>
      <c r="I10" s="16">
        <f t="shared" si="2"/>
        <v>510</v>
      </c>
    </row>
    <row r="11" spans="1:9" x14ac:dyDescent="0.25">
      <c r="A11" s="13" t="s">
        <v>10</v>
      </c>
      <c r="B11" s="8">
        <v>450</v>
      </c>
      <c r="C11" s="4">
        <v>11</v>
      </c>
      <c r="D11" s="6">
        <f t="shared" si="0"/>
        <v>461</v>
      </c>
      <c r="E11" s="8">
        <v>110</v>
      </c>
      <c r="F11" s="4">
        <v>38</v>
      </c>
      <c r="G11" s="4">
        <v>1</v>
      </c>
      <c r="H11" s="9">
        <f t="shared" si="1"/>
        <v>149</v>
      </c>
      <c r="I11" s="16">
        <f t="shared" si="2"/>
        <v>610</v>
      </c>
    </row>
    <row r="12" spans="1:9" x14ac:dyDescent="0.25">
      <c r="A12" s="13" t="s">
        <v>140</v>
      </c>
      <c r="B12" s="8">
        <v>109</v>
      </c>
      <c r="C12" s="4">
        <v>2</v>
      </c>
      <c r="D12" s="6">
        <f t="shared" si="0"/>
        <v>111</v>
      </c>
      <c r="E12" s="8">
        <v>0</v>
      </c>
      <c r="F12" s="4">
        <v>0</v>
      </c>
      <c r="G12" s="4">
        <v>0</v>
      </c>
      <c r="H12" s="9">
        <f t="shared" si="1"/>
        <v>0</v>
      </c>
      <c r="I12" s="16">
        <f t="shared" si="2"/>
        <v>111</v>
      </c>
    </row>
    <row r="13" spans="1:9" x14ac:dyDescent="0.25">
      <c r="A13" s="13" t="s">
        <v>141</v>
      </c>
      <c r="B13" s="8">
        <v>0</v>
      </c>
      <c r="C13" s="4">
        <v>0</v>
      </c>
      <c r="D13" s="6">
        <f t="shared" si="0"/>
        <v>0</v>
      </c>
      <c r="E13" s="8">
        <v>152</v>
      </c>
      <c r="F13" s="4">
        <v>169</v>
      </c>
      <c r="G13" s="4">
        <v>0</v>
      </c>
      <c r="H13" s="9">
        <f t="shared" si="1"/>
        <v>321</v>
      </c>
      <c r="I13" s="16">
        <f t="shared" si="2"/>
        <v>321</v>
      </c>
    </row>
    <row r="14" spans="1:9" x14ac:dyDescent="0.25">
      <c r="A14" s="13" t="s">
        <v>142</v>
      </c>
      <c r="B14" s="8">
        <v>107</v>
      </c>
      <c r="C14" s="4">
        <v>0</v>
      </c>
      <c r="D14" s="6">
        <f t="shared" si="0"/>
        <v>107</v>
      </c>
      <c r="E14" s="8">
        <v>103</v>
      </c>
      <c r="F14" s="4">
        <v>111</v>
      </c>
      <c r="G14" s="4">
        <v>1</v>
      </c>
      <c r="H14" s="9">
        <f t="shared" si="1"/>
        <v>215</v>
      </c>
      <c r="I14" s="16">
        <f t="shared" si="2"/>
        <v>322</v>
      </c>
    </row>
    <row r="15" spans="1:9" x14ac:dyDescent="0.25">
      <c r="A15" s="13" t="s">
        <v>95</v>
      </c>
      <c r="B15" s="8">
        <v>138</v>
      </c>
      <c r="C15" s="4">
        <v>2</v>
      </c>
      <c r="D15" s="6">
        <f t="shared" si="0"/>
        <v>140</v>
      </c>
      <c r="E15" s="8">
        <v>111</v>
      </c>
      <c r="F15" s="4">
        <v>9</v>
      </c>
      <c r="G15" s="4">
        <v>0</v>
      </c>
      <c r="H15" s="9">
        <f t="shared" si="1"/>
        <v>120</v>
      </c>
      <c r="I15" s="16">
        <f t="shared" si="2"/>
        <v>260</v>
      </c>
    </row>
    <row r="16" spans="1:9" x14ac:dyDescent="0.25">
      <c r="A16" s="13" t="s">
        <v>11</v>
      </c>
      <c r="B16" s="8">
        <v>154</v>
      </c>
      <c r="C16" s="4">
        <v>8</v>
      </c>
      <c r="D16" s="6">
        <f t="shared" si="0"/>
        <v>162</v>
      </c>
      <c r="E16" s="8">
        <v>90</v>
      </c>
      <c r="F16" s="4">
        <v>3</v>
      </c>
      <c r="G16" s="4">
        <v>0</v>
      </c>
      <c r="H16" s="9">
        <f t="shared" si="1"/>
        <v>93</v>
      </c>
      <c r="I16" s="16">
        <f t="shared" si="2"/>
        <v>255</v>
      </c>
    </row>
    <row r="17" spans="1:9" x14ac:dyDescent="0.25">
      <c r="A17" s="13" t="s">
        <v>12</v>
      </c>
      <c r="B17" s="8">
        <v>190</v>
      </c>
      <c r="C17" s="4">
        <v>3</v>
      </c>
      <c r="D17" s="6">
        <f t="shared" si="0"/>
        <v>193</v>
      </c>
      <c r="E17" s="8">
        <v>52</v>
      </c>
      <c r="F17" s="4">
        <v>9</v>
      </c>
      <c r="G17" s="4">
        <v>0</v>
      </c>
      <c r="H17" s="9">
        <f t="shared" si="1"/>
        <v>61</v>
      </c>
      <c r="I17" s="16">
        <f t="shared" si="2"/>
        <v>254</v>
      </c>
    </row>
    <row r="18" spans="1:9" x14ac:dyDescent="0.25">
      <c r="A18" s="13" t="s">
        <v>148</v>
      </c>
      <c r="B18" s="8">
        <v>0</v>
      </c>
      <c r="C18" s="4">
        <v>0</v>
      </c>
      <c r="D18" s="6">
        <f t="shared" si="0"/>
        <v>0</v>
      </c>
      <c r="E18" s="8">
        <v>2</v>
      </c>
      <c r="F18" s="4">
        <v>0</v>
      </c>
      <c r="G18" s="4">
        <v>0</v>
      </c>
      <c r="H18" s="9">
        <f t="shared" si="1"/>
        <v>2</v>
      </c>
      <c r="I18" s="16">
        <f t="shared" si="2"/>
        <v>2</v>
      </c>
    </row>
    <row r="19" spans="1:9" x14ac:dyDescent="0.25">
      <c r="A19" s="13" t="s">
        <v>125</v>
      </c>
      <c r="B19" s="8">
        <v>0</v>
      </c>
      <c r="C19" s="4">
        <v>0</v>
      </c>
      <c r="D19" s="6">
        <f t="shared" si="0"/>
        <v>0</v>
      </c>
      <c r="E19" s="8">
        <v>35</v>
      </c>
      <c r="F19" s="4">
        <v>16</v>
      </c>
      <c r="G19" s="4">
        <v>1</v>
      </c>
      <c r="H19" s="9">
        <f t="shared" si="1"/>
        <v>52</v>
      </c>
      <c r="I19" s="16">
        <f t="shared" si="2"/>
        <v>52</v>
      </c>
    </row>
    <row r="20" spans="1:9" x14ac:dyDescent="0.25">
      <c r="A20" s="13" t="s">
        <v>143</v>
      </c>
      <c r="B20" s="8">
        <v>0</v>
      </c>
      <c r="C20" s="4">
        <v>0</v>
      </c>
      <c r="D20" s="6">
        <f t="shared" si="0"/>
        <v>0</v>
      </c>
      <c r="E20" s="8">
        <v>60</v>
      </c>
      <c r="F20" s="4">
        <v>21</v>
      </c>
      <c r="G20" s="4">
        <v>0</v>
      </c>
      <c r="H20" s="9">
        <f t="shared" si="1"/>
        <v>81</v>
      </c>
      <c r="I20" s="16">
        <f t="shared" si="2"/>
        <v>81</v>
      </c>
    </row>
    <row r="21" spans="1:9" x14ac:dyDescent="0.25">
      <c r="A21" s="13" t="s">
        <v>144</v>
      </c>
      <c r="B21" s="8">
        <v>0</v>
      </c>
      <c r="C21" s="4">
        <v>0</v>
      </c>
      <c r="D21" s="6">
        <f t="shared" si="0"/>
        <v>0</v>
      </c>
      <c r="E21" s="8">
        <v>47</v>
      </c>
      <c r="F21" s="4">
        <v>0</v>
      </c>
      <c r="G21" s="4">
        <v>0</v>
      </c>
      <c r="H21" s="9">
        <f t="shared" si="1"/>
        <v>47</v>
      </c>
      <c r="I21" s="16">
        <f t="shared" si="2"/>
        <v>47</v>
      </c>
    </row>
    <row r="22" spans="1:9" x14ac:dyDescent="0.25">
      <c r="A22" s="13" t="s">
        <v>130</v>
      </c>
      <c r="B22" s="8">
        <v>0</v>
      </c>
      <c r="C22" s="4">
        <v>0</v>
      </c>
      <c r="D22" s="6">
        <f t="shared" si="0"/>
        <v>0</v>
      </c>
      <c r="E22" s="8">
        <v>1</v>
      </c>
      <c r="F22" s="4">
        <v>132</v>
      </c>
      <c r="G22" s="4">
        <v>0</v>
      </c>
      <c r="H22" s="9">
        <f t="shared" si="1"/>
        <v>133</v>
      </c>
      <c r="I22" s="16">
        <f t="shared" si="2"/>
        <v>133</v>
      </c>
    </row>
    <row r="23" spans="1:9" x14ac:dyDescent="0.25">
      <c r="A23" s="13" t="s">
        <v>96</v>
      </c>
      <c r="B23" s="8">
        <v>227</v>
      </c>
      <c r="C23" s="4">
        <v>2</v>
      </c>
      <c r="D23" s="6">
        <f t="shared" si="0"/>
        <v>229</v>
      </c>
      <c r="E23" s="8">
        <v>33</v>
      </c>
      <c r="F23" s="4">
        <v>2</v>
      </c>
      <c r="G23" s="4">
        <v>0</v>
      </c>
      <c r="H23" s="9">
        <f t="shared" si="1"/>
        <v>35</v>
      </c>
      <c r="I23" s="16">
        <f t="shared" si="2"/>
        <v>264</v>
      </c>
    </row>
    <row r="24" spans="1:9" x14ac:dyDescent="0.25">
      <c r="A24" s="13" t="s">
        <v>14</v>
      </c>
      <c r="B24" s="8">
        <v>261</v>
      </c>
      <c r="C24" s="4">
        <v>6</v>
      </c>
      <c r="D24" s="6">
        <f t="shared" si="0"/>
        <v>267</v>
      </c>
      <c r="E24" s="8">
        <v>110</v>
      </c>
      <c r="F24" s="4">
        <v>4</v>
      </c>
      <c r="G24" s="4">
        <v>0</v>
      </c>
      <c r="H24" s="9">
        <f t="shared" si="1"/>
        <v>114</v>
      </c>
      <c r="I24" s="16">
        <f t="shared" si="2"/>
        <v>381</v>
      </c>
    </row>
    <row r="25" spans="1:9" x14ac:dyDescent="0.25">
      <c r="A25" s="13" t="s">
        <v>149</v>
      </c>
      <c r="B25" s="8">
        <v>221</v>
      </c>
      <c r="C25" s="4">
        <v>6</v>
      </c>
      <c r="D25" s="6">
        <f t="shared" si="0"/>
        <v>227</v>
      </c>
      <c r="E25" s="8">
        <v>105</v>
      </c>
      <c r="F25" s="4">
        <v>20</v>
      </c>
      <c r="G25" s="4">
        <v>1</v>
      </c>
      <c r="H25" s="9">
        <f t="shared" si="1"/>
        <v>126</v>
      </c>
      <c r="I25" s="16">
        <f t="shared" si="2"/>
        <v>353</v>
      </c>
    </row>
    <row r="26" spans="1:9" x14ac:dyDescent="0.25">
      <c r="A26" s="13" t="s">
        <v>16</v>
      </c>
      <c r="B26" s="8">
        <v>178</v>
      </c>
      <c r="C26" s="4">
        <v>8</v>
      </c>
      <c r="D26" s="6">
        <f t="shared" si="0"/>
        <v>186</v>
      </c>
      <c r="E26" s="8">
        <v>242</v>
      </c>
      <c r="F26" s="4">
        <v>15</v>
      </c>
      <c r="G26" s="4">
        <v>0</v>
      </c>
      <c r="H26" s="9">
        <f t="shared" si="1"/>
        <v>257</v>
      </c>
      <c r="I26" s="16">
        <f t="shared" si="2"/>
        <v>443</v>
      </c>
    </row>
    <row r="27" spans="1:9" x14ac:dyDescent="0.25">
      <c r="A27" s="13" t="s">
        <v>17</v>
      </c>
      <c r="B27" s="8">
        <v>0</v>
      </c>
      <c r="C27" s="4">
        <v>0</v>
      </c>
      <c r="D27" s="6">
        <f t="shared" si="0"/>
        <v>0</v>
      </c>
      <c r="E27" s="8">
        <v>110</v>
      </c>
      <c r="F27" s="4">
        <v>31</v>
      </c>
      <c r="G27" s="4">
        <v>0</v>
      </c>
      <c r="H27" s="9">
        <f t="shared" si="1"/>
        <v>141</v>
      </c>
      <c r="I27" s="16">
        <f t="shared" si="2"/>
        <v>141</v>
      </c>
    </row>
    <row r="28" spans="1:9" x14ac:dyDescent="0.25">
      <c r="A28" s="13" t="s">
        <v>18</v>
      </c>
      <c r="B28" s="8">
        <v>25</v>
      </c>
      <c r="C28" s="4">
        <v>5</v>
      </c>
      <c r="D28" s="6">
        <f t="shared" si="0"/>
        <v>30</v>
      </c>
      <c r="E28" s="8">
        <v>2</v>
      </c>
      <c r="F28" s="4">
        <v>0</v>
      </c>
      <c r="G28" s="4">
        <v>0</v>
      </c>
      <c r="H28" s="9">
        <f t="shared" si="1"/>
        <v>2</v>
      </c>
      <c r="I28" s="16">
        <f t="shared" si="2"/>
        <v>32</v>
      </c>
    </row>
    <row r="29" spans="1:9" x14ac:dyDescent="0.25">
      <c r="A29" s="13" t="s">
        <v>122</v>
      </c>
      <c r="B29" s="8">
        <v>108</v>
      </c>
      <c r="C29" s="4">
        <v>4</v>
      </c>
      <c r="D29" s="6">
        <f t="shared" si="0"/>
        <v>112</v>
      </c>
      <c r="E29" s="8">
        <v>58</v>
      </c>
      <c r="F29" s="4">
        <v>28</v>
      </c>
      <c r="G29" s="4">
        <v>1</v>
      </c>
      <c r="H29" s="9">
        <f t="shared" si="1"/>
        <v>87</v>
      </c>
      <c r="I29" s="16">
        <f t="shared" si="2"/>
        <v>199</v>
      </c>
    </row>
    <row r="30" spans="1:9" x14ac:dyDescent="0.25">
      <c r="A30" s="13" t="s">
        <v>19</v>
      </c>
      <c r="B30" s="8">
        <v>567</v>
      </c>
      <c r="C30" s="4">
        <v>9</v>
      </c>
      <c r="D30" s="6">
        <f t="shared" si="0"/>
        <v>576</v>
      </c>
      <c r="E30" s="8">
        <v>123</v>
      </c>
      <c r="F30" s="4">
        <v>11</v>
      </c>
      <c r="G30" s="4">
        <v>0</v>
      </c>
      <c r="H30" s="9">
        <f t="shared" si="1"/>
        <v>134</v>
      </c>
      <c r="I30" s="16">
        <f t="shared" si="2"/>
        <v>710</v>
      </c>
    </row>
    <row r="31" spans="1:9" x14ac:dyDescent="0.25">
      <c r="A31" s="13" t="s">
        <v>20</v>
      </c>
      <c r="B31" s="8">
        <v>143</v>
      </c>
      <c r="C31" s="4">
        <v>2</v>
      </c>
      <c r="D31" s="6">
        <f t="shared" si="0"/>
        <v>145</v>
      </c>
      <c r="E31" s="8">
        <v>131</v>
      </c>
      <c r="F31" s="4">
        <v>176</v>
      </c>
      <c r="G31" s="4">
        <v>0</v>
      </c>
      <c r="H31" s="9">
        <f t="shared" si="1"/>
        <v>307</v>
      </c>
      <c r="I31" s="16">
        <f t="shared" si="2"/>
        <v>452</v>
      </c>
    </row>
    <row r="32" spans="1:9" x14ac:dyDescent="0.25">
      <c r="A32" s="13" t="s">
        <v>21</v>
      </c>
      <c r="B32" s="8">
        <v>248</v>
      </c>
      <c r="C32" s="4">
        <v>0</v>
      </c>
      <c r="D32" s="6">
        <f t="shared" si="0"/>
        <v>248</v>
      </c>
      <c r="E32" s="8">
        <v>68</v>
      </c>
      <c r="F32" s="4">
        <v>6</v>
      </c>
      <c r="G32" s="4">
        <v>0</v>
      </c>
      <c r="H32" s="9">
        <f t="shared" si="1"/>
        <v>74</v>
      </c>
      <c r="I32" s="16">
        <f t="shared" si="2"/>
        <v>322</v>
      </c>
    </row>
    <row r="33" spans="1:9" x14ac:dyDescent="0.25">
      <c r="A33" s="13" t="s">
        <v>126</v>
      </c>
      <c r="B33" s="8">
        <v>160</v>
      </c>
      <c r="C33" s="4">
        <v>0</v>
      </c>
      <c r="D33" s="6">
        <f t="shared" si="0"/>
        <v>160</v>
      </c>
      <c r="E33" s="8">
        <v>0</v>
      </c>
      <c r="F33" s="4">
        <v>0</v>
      </c>
      <c r="G33" s="4">
        <v>0</v>
      </c>
      <c r="H33" s="9">
        <f t="shared" si="1"/>
        <v>0</v>
      </c>
      <c r="I33" s="16">
        <f t="shared" si="2"/>
        <v>160</v>
      </c>
    </row>
    <row r="34" spans="1:9" x14ac:dyDescent="0.25">
      <c r="A34" s="13" t="s">
        <v>22</v>
      </c>
      <c r="B34" s="8">
        <v>137</v>
      </c>
      <c r="C34" s="4">
        <v>1</v>
      </c>
      <c r="D34" s="6">
        <f t="shared" si="0"/>
        <v>138</v>
      </c>
      <c r="E34" s="8">
        <v>128</v>
      </c>
      <c r="F34" s="4">
        <v>6</v>
      </c>
      <c r="G34" s="4">
        <v>0</v>
      </c>
      <c r="H34" s="9">
        <f t="shared" si="1"/>
        <v>134</v>
      </c>
      <c r="I34" s="16">
        <f t="shared" si="2"/>
        <v>272</v>
      </c>
    </row>
    <row r="35" spans="1:9" x14ac:dyDescent="0.25">
      <c r="A35" s="13" t="s">
        <v>23</v>
      </c>
      <c r="B35" s="8">
        <v>210</v>
      </c>
      <c r="C35" s="4">
        <v>3</v>
      </c>
      <c r="D35" s="6">
        <f t="shared" si="0"/>
        <v>213</v>
      </c>
      <c r="E35" s="8">
        <v>11</v>
      </c>
      <c r="F35" s="4">
        <v>3</v>
      </c>
      <c r="G35" s="4">
        <v>0</v>
      </c>
      <c r="H35" s="9">
        <f t="shared" si="1"/>
        <v>14</v>
      </c>
      <c r="I35" s="16">
        <f t="shared" si="2"/>
        <v>227</v>
      </c>
    </row>
    <row r="36" spans="1:9" x14ac:dyDescent="0.25">
      <c r="A36" s="13" t="s">
        <v>97</v>
      </c>
      <c r="B36" s="8">
        <v>0</v>
      </c>
      <c r="C36" s="4">
        <v>0</v>
      </c>
      <c r="D36" s="6">
        <f t="shared" si="0"/>
        <v>0</v>
      </c>
      <c r="E36" s="8">
        <v>9</v>
      </c>
      <c r="F36" s="4">
        <v>0</v>
      </c>
      <c r="G36" s="4">
        <v>0</v>
      </c>
      <c r="H36" s="9">
        <f t="shared" si="1"/>
        <v>9</v>
      </c>
      <c r="I36" s="16">
        <f t="shared" si="2"/>
        <v>9</v>
      </c>
    </row>
    <row r="37" spans="1:9" x14ac:dyDescent="0.25">
      <c r="A37" s="13" t="s">
        <v>24</v>
      </c>
      <c r="B37" s="8">
        <v>322</v>
      </c>
      <c r="C37" s="4">
        <v>6</v>
      </c>
      <c r="D37" s="6">
        <f t="shared" si="0"/>
        <v>328</v>
      </c>
      <c r="E37" s="8">
        <v>106</v>
      </c>
      <c r="F37" s="4">
        <v>19</v>
      </c>
      <c r="G37" s="4">
        <v>1</v>
      </c>
      <c r="H37" s="9">
        <f t="shared" si="1"/>
        <v>126</v>
      </c>
      <c r="I37" s="16">
        <f t="shared" si="2"/>
        <v>454</v>
      </c>
    </row>
    <row r="38" spans="1:9" x14ac:dyDescent="0.25">
      <c r="A38" s="13" t="s">
        <v>26</v>
      </c>
      <c r="B38" s="8">
        <v>138</v>
      </c>
      <c r="C38" s="4">
        <v>0</v>
      </c>
      <c r="D38" s="6">
        <f t="shared" si="0"/>
        <v>138</v>
      </c>
      <c r="E38" s="8">
        <v>7</v>
      </c>
      <c r="F38" s="4">
        <v>2</v>
      </c>
      <c r="G38" s="4">
        <v>0</v>
      </c>
      <c r="H38" s="9">
        <f t="shared" si="1"/>
        <v>9</v>
      </c>
      <c r="I38" s="16">
        <f t="shared" si="2"/>
        <v>147</v>
      </c>
    </row>
    <row r="39" spans="1:9" x14ac:dyDescent="0.25">
      <c r="A39" s="13" t="s">
        <v>81</v>
      </c>
      <c r="B39" s="8">
        <v>150</v>
      </c>
      <c r="C39" s="4">
        <v>8</v>
      </c>
      <c r="D39" s="6">
        <f t="shared" si="0"/>
        <v>158</v>
      </c>
      <c r="E39" s="8">
        <v>36</v>
      </c>
      <c r="F39" s="4">
        <v>23</v>
      </c>
      <c r="G39" s="4">
        <v>0</v>
      </c>
      <c r="H39" s="9">
        <f t="shared" si="1"/>
        <v>59</v>
      </c>
      <c r="I39" s="16">
        <f t="shared" si="2"/>
        <v>217</v>
      </c>
    </row>
    <row r="40" spans="1:9" x14ac:dyDescent="0.25">
      <c r="A40" s="13" t="s">
        <v>82</v>
      </c>
      <c r="B40" s="8">
        <v>34</v>
      </c>
      <c r="C40" s="4">
        <v>4</v>
      </c>
      <c r="D40" s="6">
        <f t="shared" si="0"/>
        <v>38</v>
      </c>
      <c r="E40" s="8">
        <v>11</v>
      </c>
      <c r="F40" s="4">
        <v>14</v>
      </c>
      <c r="G40" s="4">
        <v>0</v>
      </c>
      <c r="H40" s="9">
        <f t="shared" si="1"/>
        <v>25</v>
      </c>
      <c r="I40" s="16">
        <f t="shared" si="2"/>
        <v>63</v>
      </c>
    </row>
    <row r="41" spans="1:9" x14ac:dyDescent="0.25">
      <c r="A41" s="13" t="s">
        <v>30</v>
      </c>
      <c r="B41" s="8">
        <v>334</v>
      </c>
      <c r="C41" s="4">
        <v>3</v>
      </c>
      <c r="D41" s="6">
        <f t="shared" si="0"/>
        <v>337</v>
      </c>
      <c r="E41" s="8">
        <v>81</v>
      </c>
      <c r="F41" s="4">
        <v>19</v>
      </c>
      <c r="G41" s="4">
        <v>2</v>
      </c>
      <c r="H41" s="9">
        <f t="shared" si="1"/>
        <v>102</v>
      </c>
      <c r="I41" s="16">
        <f t="shared" si="2"/>
        <v>439</v>
      </c>
    </row>
    <row r="42" spans="1:9" x14ac:dyDescent="0.25">
      <c r="A42" s="13" t="s">
        <v>83</v>
      </c>
      <c r="B42" s="8">
        <v>159</v>
      </c>
      <c r="C42" s="4">
        <v>4</v>
      </c>
      <c r="D42" s="6">
        <f t="shared" si="0"/>
        <v>163</v>
      </c>
      <c r="E42" s="8">
        <v>49</v>
      </c>
      <c r="F42" s="4">
        <v>9</v>
      </c>
      <c r="G42" s="4">
        <v>0</v>
      </c>
      <c r="H42" s="9">
        <f t="shared" si="1"/>
        <v>58</v>
      </c>
      <c r="I42" s="16">
        <f t="shared" si="2"/>
        <v>221</v>
      </c>
    </row>
    <row r="43" spans="1:9" x14ac:dyDescent="0.25">
      <c r="A43" s="13" t="s">
        <v>32</v>
      </c>
      <c r="B43" s="8">
        <v>188</v>
      </c>
      <c r="C43" s="4">
        <v>5</v>
      </c>
      <c r="D43" s="6">
        <f t="shared" si="0"/>
        <v>193</v>
      </c>
      <c r="E43" s="8">
        <v>70</v>
      </c>
      <c r="F43" s="4">
        <v>12</v>
      </c>
      <c r="G43" s="4">
        <v>1</v>
      </c>
      <c r="H43" s="9">
        <f t="shared" si="1"/>
        <v>83</v>
      </c>
      <c r="I43" s="16">
        <f t="shared" si="2"/>
        <v>276</v>
      </c>
    </row>
    <row r="44" spans="1:9" x14ac:dyDescent="0.25">
      <c r="A44" s="13" t="s">
        <v>127</v>
      </c>
      <c r="B44" s="8">
        <v>111</v>
      </c>
      <c r="C44" s="4">
        <v>0</v>
      </c>
      <c r="D44" s="6">
        <f t="shared" si="0"/>
        <v>111</v>
      </c>
      <c r="E44" s="8">
        <v>0</v>
      </c>
      <c r="F44" s="4">
        <v>0</v>
      </c>
      <c r="G44" s="4">
        <v>0</v>
      </c>
      <c r="H44" s="9">
        <f t="shared" si="1"/>
        <v>0</v>
      </c>
      <c r="I44" s="16">
        <f t="shared" si="2"/>
        <v>111</v>
      </c>
    </row>
    <row r="45" spans="1:9" x14ac:dyDescent="0.25">
      <c r="A45" s="13" t="s">
        <v>33</v>
      </c>
      <c r="B45" s="8">
        <v>169</v>
      </c>
      <c r="C45" s="4">
        <v>8</v>
      </c>
      <c r="D45" s="6">
        <f t="shared" si="0"/>
        <v>177</v>
      </c>
      <c r="E45" s="8">
        <v>12</v>
      </c>
      <c r="F45" s="4">
        <v>13</v>
      </c>
      <c r="G45" s="4">
        <v>0</v>
      </c>
      <c r="H45" s="9">
        <f t="shared" si="1"/>
        <v>25</v>
      </c>
      <c r="I45" s="16">
        <f t="shared" si="2"/>
        <v>202</v>
      </c>
    </row>
    <row r="46" spans="1:9" x14ac:dyDescent="0.25">
      <c r="A46" s="13" t="s">
        <v>145</v>
      </c>
      <c r="B46" s="8">
        <v>0</v>
      </c>
      <c r="C46" s="4">
        <v>0</v>
      </c>
      <c r="D46" s="6">
        <f t="shared" si="0"/>
        <v>0</v>
      </c>
      <c r="E46" s="8">
        <v>12</v>
      </c>
      <c r="F46" s="4">
        <v>20</v>
      </c>
      <c r="G46" s="4">
        <v>0</v>
      </c>
      <c r="H46" s="9">
        <f t="shared" si="1"/>
        <v>32</v>
      </c>
      <c r="I46" s="16">
        <f t="shared" si="2"/>
        <v>32</v>
      </c>
    </row>
    <row r="47" spans="1:9" x14ac:dyDescent="0.25">
      <c r="A47" s="13" t="s">
        <v>128</v>
      </c>
      <c r="B47" s="8">
        <v>171</v>
      </c>
      <c r="C47" s="4">
        <v>0</v>
      </c>
      <c r="D47" s="6">
        <f t="shared" si="0"/>
        <v>171</v>
      </c>
      <c r="E47" s="8">
        <v>0</v>
      </c>
      <c r="F47" s="4">
        <v>0</v>
      </c>
      <c r="G47" s="4">
        <v>0</v>
      </c>
      <c r="H47" s="9">
        <f t="shared" si="1"/>
        <v>0</v>
      </c>
      <c r="I47" s="16">
        <f t="shared" si="2"/>
        <v>171</v>
      </c>
    </row>
    <row r="48" spans="1:9" x14ac:dyDescent="0.25">
      <c r="A48" s="13" t="s">
        <v>1</v>
      </c>
      <c r="B48" s="8">
        <v>555</v>
      </c>
      <c r="C48" s="4">
        <v>1</v>
      </c>
      <c r="D48" s="6">
        <f t="shared" si="0"/>
        <v>556</v>
      </c>
      <c r="E48" s="8">
        <v>418</v>
      </c>
      <c r="F48" s="4">
        <v>48</v>
      </c>
      <c r="G48" s="4">
        <v>0</v>
      </c>
      <c r="H48" s="9">
        <f t="shared" si="1"/>
        <v>466</v>
      </c>
      <c r="I48" s="16">
        <f t="shared" si="2"/>
        <v>1022</v>
      </c>
    </row>
    <row r="49" spans="1:9" x14ac:dyDescent="0.25">
      <c r="A49" s="13" t="s">
        <v>34</v>
      </c>
      <c r="B49" s="8">
        <v>53</v>
      </c>
      <c r="C49" s="4">
        <v>1</v>
      </c>
      <c r="D49" s="6">
        <f t="shared" si="0"/>
        <v>54</v>
      </c>
      <c r="E49" s="8">
        <v>103</v>
      </c>
      <c r="F49" s="4">
        <v>127</v>
      </c>
      <c r="G49" s="4">
        <v>0</v>
      </c>
      <c r="H49" s="9">
        <f t="shared" si="1"/>
        <v>230</v>
      </c>
      <c r="I49" s="16">
        <f t="shared" si="2"/>
        <v>284</v>
      </c>
    </row>
    <row r="50" spans="1:9" x14ac:dyDescent="0.25">
      <c r="A50" s="13" t="s">
        <v>150</v>
      </c>
      <c r="B50" s="8">
        <v>52</v>
      </c>
      <c r="C50" s="4">
        <v>0</v>
      </c>
      <c r="D50" s="6">
        <f t="shared" si="0"/>
        <v>52</v>
      </c>
      <c r="E50" s="8">
        <v>33</v>
      </c>
      <c r="F50" s="4">
        <v>2</v>
      </c>
      <c r="G50" s="4">
        <v>0</v>
      </c>
      <c r="H50" s="9">
        <f t="shared" si="1"/>
        <v>35</v>
      </c>
      <c r="I50" s="16">
        <f t="shared" si="2"/>
        <v>87</v>
      </c>
    </row>
    <row r="51" spans="1:9" x14ac:dyDescent="0.25">
      <c r="A51" s="13" t="s">
        <v>35</v>
      </c>
      <c r="B51" s="8">
        <v>550</v>
      </c>
      <c r="C51" s="4">
        <v>26</v>
      </c>
      <c r="D51" s="6">
        <f t="shared" si="0"/>
        <v>576</v>
      </c>
      <c r="E51" s="8">
        <v>46</v>
      </c>
      <c r="F51" s="4">
        <v>0</v>
      </c>
      <c r="G51" s="4">
        <v>0</v>
      </c>
      <c r="H51" s="9">
        <f t="shared" si="1"/>
        <v>46</v>
      </c>
      <c r="I51" s="16">
        <f t="shared" si="2"/>
        <v>622</v>
      </c>
    </row>
    <row r="52" spans="1:9" x14ac:dyDescent="0.25">
      <c r="A52" s="13" t="s">
        <v>36</v>
      </c>
      <c r="B52" s="8">
        <v>278</v>
      </c>
      <c r="C52" s="4">
        <v>12</v>
      </c>
      <c r="D52" s="6">
        <f t="shared" si="0"/>
        <v>290</v>
      </c>
      <c r="E52" s="8">
        <v>75</v>
      </c>
      <c r="F52" s="4">
        <v>10</v>
      </c>
      <c r="G52" s="4">
        <v>0</v>
      </c>
      <c r="H52" s="9">
        <f t="shared" si="1"/>
        <v>85</v>
      </c>
      <c r="I52" s="16">
        <f t="shared" si="2"/>
        <v>375</v>
      </c>
    </row>
    <row r="53" spans="1:9" x14ac:dyDescent="0.25">
      <c r="A53" s="13" t="s">
        <v>37</v>
      </c>
      <c r="B53" s="8">
        <v>25</v>
      </c>
      <c r="C53" s="4">
        <v>0</v>
      </c>
      <c r="D53" s="6">
        <f t="shared" si="0"/>
        <v>25</v>
      </c>
      <c r="E53" s="8">
        <v>55</v>
      </c>
      <c r="F53" s="4">
        <v>27</v>
      </c>
      <c r="G53" s="4">
        <v>1</v>
      </c>
      <c r="H53" s="9">
        <f t="shared" si="1"/>
        <v>83</v>
      </c>
      <c r="I53" s="16">
        <f t="shared" si="2"/>
        <v>108</v>
      </c>
    </row>
    <row r="54" spans="1:9" x14ac:dyDescent="0.25">
      <c r="A54" s="13" t="s">
        <v>151</v>
      </c>
      <c r="B54" s="8">
        <v>114</v>
      </c>
      <c r="C54" s="4">
        <v>4</v>
      </c>
      <c r="D54" s="6">
        <f t="shared" si="0"/>
        <v>118</v>
      </c>
      <c r="E54" s="8">
        <v>0</v>
      </c>
      <c r="F54" s="4">
        <v>0</v>
      </c>
      <c r="G54" s="4">
        <v>0</v>
      </c>
      <c r="H54" s="9">
        <f t="shared" si="1"/>
        <v>0</v>
      </c>
      <c r="I54" s="16">
        <f t="shared" si="2"/>
        <v>118</v>
      </c>
    </row>
    <row r="55" spans="1:9" x14ac:dyDescent="0.25">
      <c r="A55" s="13" t="s">
        <v>39</v>
      </c>
      <c r="B55" s="8">
        <v>133</v>
      </c>
      <c r="C55" s="4">
        <v>2</v>
      </c>
      <c r="D55" s="6">
        <f t="shared" si="0"/>
        <v>135</v>
      </c>
      <c r="E55" s="8">
        <v>29</v>
      </c>
      <c r="F55" s="4">
        <v>3</v>
      </c>
      <c r="G55" s="4">
        <v>0</v>
      </c>
      <c r="H55" s="9">
        <f t="shared" si="1"/>
        <v>32</v>
      </c>
      <c r="I55" s="16">
        <f t="shared" si="2"/>
        <v>167</v>
      </c>
    </row>
    <row r="56" spans="1:9" x14ac:dyDescent="0.25">
      <c r="A56" s="13" t="s">
        <v>40</v>
      </c>
      <c r="B56" s="8">
        <v>137</v>
      </c>
      <c r="C56" s="4">
        <v>1</v>
      </c>
      <c r="D56" s="6">
        <f t="shared" si="0"/>
        <v>138</v>
      </c>
      <c r="E56" s="8">
        <v>47</v>
      </c>
      <c r="F56" s="4">
        <v>6</v>
      </c>
      <c r="G56" s="4">
        <v>0</v>
      </c>
      <c r="H56" s="9">
        <f t="shared" si="1"/>
        <v>53</v>
      </c>
      <c r="I56" s="16">
        <f t="shared" si="2"/>
        <v>191</v>
      </c>
    </row>
    <row r="57" spans="1:9" x14ac:dyDescent="0.25">
      <c r="A57" s="13" t="s">
        <v>41</v>
      </c>
      <c r="B57" s="8">
        <v>78</v>
      </c>
      <c r="C57" s="4">
        <v>0</v>
      </c>
      <c r="D57" s="6">
        <f t="shared" si="0"/>
        <v>78</v>
      </c>
      <c r="E57" s="8">
        <v>57</v>
      </c>
      <c r="F57" s="4">
        <v>17</v>
      </c>
      <c r="G57" s="4">
        <v>0</v>
      </c>
      <c r="H57" s="9">
        <f t="shared" si="1"/>
        <v>74</v>
      </c>
      <c r="I57" s="16">
        <f t="shared" si="2"/>
        <v>152</v>
      </c>
    </row>
    <row r="58" spans="1:9" x14ac:dyDescent="0.25">
      <c r="A58" s="13" t="s">
        <v>43</v>
      </c>
      <c r="B58" s="8">
        <v>340</v>
      </c>
      <c r="C58" s="4">
        <v>61</v>
      </c>
      <c r="D58" s="6">
        <f t="shared" si="0"/>
        <v>401</v>
      </c>
      <c r="E58" s="8">
        <v>120</v>
      </c>
      <c r="F58" s="4">
        <v>5</v>
      </c>
      <c r="G58" s="4">
        <v>0</v>
      </c>
      <c r="H58" s="9">
        <f t="shared" si="1"/>
        <v>125</v>
      </c>
      <c r="I58" s="16">
        <f t="shared" si="2"/>
        <v>526</v>
      </c>
    </row>
    <row r="59" spans="1:9" x14ac:dyDescent="0.25">
      <c r="A59" s="13" t="s">
        <v>44</v>
      </c>
      <c r="B59" s="8">
        <v>308</v>
      </c>
      <c r="C59" s="4">
        <v>27</v>
      </c>
      <c r="D59" s="6">
        <f t="shared" si="0"/>
        <v>335</v>
      </c>
      <c r="E59" s="8">
        <v>35</v>
      </c>
      <c r="F59" s="4">
        <v>49</v>
      </c>
      <c r="G59" s="4">
        <v>0</v>
      </c>
      <c r="H59" s="9">
        <f t="shared" si="1"/>
        <v>84</v>
      </c>
      <c r="I59" s="16">
        <f t="shared" si="2"/>
        <v>419</v>
      </c>
    </row>
    <row r="60" spans="1:9" x14ac:dyDescent="0.25">
      <c r="A60" s="13" t="s">
        <v>136</v>
      </c>
      <c r="B60" s="8">
        <v>35</v>
      </c>
      <c r="C60" s="4">
        <v>0</v>
      </c>
      <c r="D60" s="6">
        <f t="shared" si="0"/>
        <v>35</v>
      </c>
      <c r="E60" s="8">
        <v>156</v>
      </c>
      <c r="F60" s="4">
        <v>24</v>
      </c>
      <c r="G60" s="4">
        <v>0</v>
      </c>
      <c r="H60" s="9">
        <f t="shared" si="1"/>
        <v>180</v>
      </c>
      <c r="I60" s="16">
        <f t="shared" si="2"/>
        <v>215</v>
      </c>
    </row>
    <row r="61" spans="1:9" x14ac:dyDescent="0.25">
      <c r="A61" s="13" t="s">
        <v>45</v>
      </c>
      <c r="B61" s="8">
        <v>367</v>
      </c>
      <c r="C61" s="4">
        <v>9</v>
      </c>
      <c r="D61" s="6">
        <f t="shared" si="0"/>
        <v>376</v>
      </c>
      <c r="E61" s="8">
        <v>308</v>
      </c>
      <c r="F61" s="4">
        <v>130</v>
      </c>
      <c r="G61" s="4">
        <v>1</v>
      </c>
      <c r="H61" s="9">
        <f t="shared" si="1"/>
        <v>439</v>
      </c>
      <c r="I61" s="16">
        <f t="shared" si="2"/>
        <v>815</v>
      </c>
    </row>
    <row r="62" spans="1:9" x14ac:dyDescent="0.25">
      <c r="A62" s="13" t="s">
        <v>46</v>
      </c>
      <c r="B62" s="8">
        <v>106</v>
      </c>
      <c r="C62" s="4">
        <v>4</v>
      </c>
      <c r="D62" s="6">
        <f t="shared" si="0"/>
        <v>110</v>
      </c>
      <c r="E62" s="8">
        <v>11</v>
      </c>
      <c r="F62" s="4">
        <v>2</v>
      </c>
      <c r="G62" s="4">
        <v>1</v>
      </c>
      <c r="H62" s="9">
        <f t="shared" si="1"/>
        <v>14</v>
      </c>
      <c r="I62" s="16">
        <f t="shared" si="2"/>
        <v>124</v>
      </c>
    </row>
    <row r="63" spans="1:9" x14ac:dyDescent="0.25">
      <c r="A63" s="13" t="s">
        <v>117</v>
      </c>
      <c r="B63" s="8">
        <v>486</v>
      </c>
      <c r="C63" s="4">
        <v>15</v>
      </c>
      <c r="D63" s="6">
        <f t="shared" si="0"/>
        <v>501</v>
      </c>
      <c r="E63" s="8">
        <v>141</v>
      </c>
      <c r="F63" s="4">
        <v>41</v>
      </c>
      <c r="G63" s="4">
        <v>2</v>
      </c>
      <c r="H63" s="9">
        <f t="shared" si="1"/>
        <v>184</v>
      </c>
      <c r="I63" s="16">
        <f t="shared" si="2"/>
        <v>685</v>
      </c>
    </row>
    <row r="64" spans="1:9" x14ac:dyDescent="0.25">
      <c r="A64" s="13" t="s">
        <v>47</v>
      </c>
      <c r="B64" s="8">
        <v>70</v>
      </c>
      <c r="C64" s="4">
        <v>2</v>
      </c>
      <c r="D64" s="6">
        <f t="shared" si="0"/>
        <v>72</v>
      </c>
      <c r="E64" s="8">
        <v>5</v>
      </c>
      <c r="F64" s="4">
        <v>6</v>
      </c>
      <c r="G64" s="4">
        <v>0</v>
      </c>
      <c r="H64" s="9">
        <f t="shared" si="1"/>
        <v>11</v>
      </c>
      <c r="I64" s="16">
        <f t="shared" si="2"/>
        <v>83</v>
      </c>
    </row>
    <row r="65" spans="1:9" x14ac:dyDescent="0.25">
      <c r="A65" s="13" t="s">
        <v>48</v>
      </c>
      <c r="B65" s="8">
        <v>0</v>
      </c>
      <c r="C65" s="4">
        <v>0</v>
      </c>
      <c r="D65" s="6">
        <f t="shared" si="0"/>
        <v>0</v>
      </c>
      <c r="E65" s="8">
        <v>36</v>
      </c>
      <c r="F65" s="4">
        <v>59</v>
      </c>
      <c r="G65" s="4">
        <v>0</v>
      </c>
      <c r="H65" s="9">
        <f t="shared" si="1"/>
        <v>95</v>
      </c>
      <c r="I65" s="16">
        <f t="shared" si="2"/>
        <v>95</v>
      </c>
    </row>
    <row r="66" spans="1:9" x14ac:dyDescent="0.25">
      <c r="A66" s="13" t="s">
        <v>49</v>
      </c>
      <c r="B66" s="8">
        <v>101</v>
      </c>
      <c r="C66" s="4">
        <v>0</v>
      </c>
      <c r="D66" s="6">
        <f t="shared" si="0"/>
        <v>101</v>
      </c>
      <c r="E66" s="8">
        <v>8</v>
      </c>
      <c r="F66" s="4">
        <v>9</v>
      </c>
      <c r="G66" s="4">
        <v>0</v>
      </c>
      <c r="H66" s="9">
        <f t="shared" si="1"/>
        <v>17</v>
      </c>
      <c r="I66" s="16">
        <f t="shared" si="2"/>
        <v>118</v>
      </c>
    </row>
    <row r="67" spans="1:9" x14ac:dyDescent="0.25">
      <c r="A67" s="13" t="s">
        <v>50</v>
      </c>
      <c r="B67" s="8">
        <v>232</v>
      </c>
      <c r="C67" s="4">
        <v>11</v>
      </c>
      <c r="D67" s="6">
        <f t="shared" si="0"/>
        <v>243</v>
      </c>
      <c r="E67" s="8">
        <v>32</v>
      </c>
      <c r="F67" s="4">
        <v>5</v>
      </c>
      <c r="G67" s="4">
        <v>0</v>
      </c>
      <c r="H67" s="9">
        <f t="shared" si="1"/>
        <v>37</v>
      </c>
      <c r="I67" s="16">
        <f t="shared" si="2"/>
        <v>280</v>
      </c>
    </row>
    <row r="68" spans="1:9" x14ac:dyDescent="0.25">
      <c r="A68" s="13" t="s">
        <v>146</v>
      </c>
      <c r="B68" s="8">
        <v>0</v>
      </c>
      <c r="C68" s="4">
        <v>0</v>
      </c>
      <c r="D68" s="6">
        <f t="shared" si="0"/>
        <v>0</v>
      </c>
      <c r="E68" s="8">
        <v>0</v>
      </c>
      <c r="F68" s="4">
        <v>0</v>
      </c>
      <c r="G68" s="4">
        <v>0</v>
      </c>
      <c r="H68" s="9">
        <f t="shared" si="1"/>
        <v>0</v>
      </c>
      <c r="I68" s="16">
        <f t="shared" si="2"/>
        <v>0</v>
      </c>
    </row>
    <row r="69" spans="1:9" x14ac:dyDescent="0.25">
      <c r="A69" s="13" t="s">
        <v>53</v>
      </c>
      <c r="B69" s="8">
        <v>639</v>
      </c>
      <c r="C69" s="4">
        <v>11</v>
      </c>
      <c r="D69" s="6">
        <f t="shared" si="0"/>
        <v>650</v>
      </c>
      <c r="E69" s="8">
        <v>0</v>
      </c>
      <c r="F69" s="4">
        <v>0</v>
      </c>
      <c r="G69" s="4">
        <v>0</v>
      </c>
      <c r="H69" s="9">
        <f t="shared" si="1"/>
        <v>0</v>
      </c>
      <c r="I69" s="16">
        <f t="shared" si="2"/>
        <v>650</v>
      </c>
    </row>
    <row r="70" spans="1:9" x14ac:dyDescent="0.25">
      <c r="A70" s="13" t="s">
        <v>54</v>
      </c>
      <c r="B70" s="8">
        <v>1102</v>
      </c>
      <c r="C70" s="4">
        <v>0</v>
      </c>
      <c r="D70" s="6">
        <f t="shared" si="0"/>
        <v>1102</v>
      </c>
      <c r="E70" s="8">
        <v>1</v>
      </c>
      <c r="F70" s="4">
        <v>35</v>
      </c>
      <c r="G70" s="4">
        <v>0</v>
      </c>
      <c r="H70" s="9">
        <f t="shared" si="1"/>
        <v>36</v>
      </c>
      <c r="I70" s="16">
        <f t="shared" si="2"/>
        <v>1138</v>
      </c>
    </row>
    <row r="71" spans="1:9" x14ac:dyDescent="0.25">
      <c r="A71" s="13" t="s">
        <v>118</v>
      </c>
      <c r="B71" s="8">
        <v>0</v>
      </c>
      <c r="C71" s="4">
        <v>0</v>
      </c>
      <c r="D71" s="6">
        <f t="shared" si="0"/>
        <v>0</v>
      </c>
      <c r="E71" s="8">
        <v>19</v>
      </c>
      <c r="F71" s="4">
        <v>3</v>
      </c>
      <c r="G71" s="4">
        <v>0</v>
      </c>
      <c r="H71" s="9">
        <f t="shared" si="1"/>
        <v>22</v>
      </c>
      <c r="I71" s="16">
        <f t="shared" si="2"/>
        <v>22</v>
      </c>
    </row>
    <row r="72" spans="1:9" x14ac:dyDescent="0.25">
      <c r="A72" s="13" t="s">
        <v>87</v>
      </c>
      <c r="B72" s="8">
        <v>45</v>
      </c>
      <c r="C72" s="4">
        <v>0</v>
      </c>
      <c r="D72" s="6">
        <f t="shared" si="0"/>
        <v>45</v>
      </c>
      <c r="E72" s="8">
        <v>87</v>
      </c>
      <c r="F72" s="4">
        <v>189</v>
      </c>
      <c r="G72" s="4">
        <v>4</v>
      </c>
      <c r="H72" s="9">
        <f t="shared" si="1"/>
        <v>280</v>
      </c>
      <c r="I72" s="16">
        <f t="shared" si="2"/>
        <v>325</v>
      </c>
    </row>
    <row r="73" spans="1:9" x14ac:dyDescent="0.25">
      <c r="A73" s="13" t="s">
        <v>91</v>
      </c>
      <c r="B73" s="8">
        <v>0</v>
      </c>
      <c r="C73" s="4">
        <v>0</v>
      </c>
      <c r="D73" s="6">
        <f t="shared" ref="D73:D91" si="3">B73+C73</f>
        <v>0</v>
      </c>
      <c r="E73" s="8">
        <v>1</v>
      </c>
      <c r="F73" s="4">
        <v>66</v>
      </c>
      <c r="G73" s="4">
        <v>0</v>
      </c>
      <c r="H73" s="9">
        <f t="shared" ref="H73:H91" si="4">E73+F73+G73</f>
        <v>67</v>
      </c>
      <c r="I73" s="16">
        <f t="shared" ref="I73:I91" si="5">H73+D73</f>
        <v>67</v>
      </c>
    </row>
    <row r="74" spans="1:9" x14ac:dyDescent="0.25">
      <c r="A74" s="13" t="s">
        <v>137</v>
      </c>
      <c r="B74" s="8">
        <v>82</v>
      </c>
      <c r="C74" s="4">
        <v>0</v>
      </c>
      <c r="D74" s="6">
        <f t="shared" si="3"/>
        <v>82</v>
      </c>
      <c r="E74" s="8">
        <v>15</v>
      </c>
      <c r="F74" s="4">
        <v>31</v>
      </c>
      <c r="G74" s="4">
        <v>0</v>
      </c>
      <c r="H74" s="9">
        <f t="shared" si="4"/>
        <v>46</v>
      </c>
      <c r="I74" s="16">
        <f t="shared" si="5"/>
        <v>128</v>
      </c>
    </row>
    <row r="75" spans="1:9" x14ac:dyDescent="0.25">
      <c r="A75" s="13" t="s">
        <v>102</v>
      </c>
      <c r="B75" s="8">
        <v>0</v>
      </c>
      <c r="C75" s="4">
        <v>0</v>
      </c>
      <c r="D75" s="6">
        <f t="shared" si="3"/>
        <v>0</v>
      </c>
      <c r="E75" s="8">
        <v>107</v>
      </c>
      <c r="F75" s="4">
        <v>401</v>
      </c>
      <c r="G75" s="4">
        <v>0</v>
      </c>
      <c r="H75" s="9">
        <f t="shared" si="4"/>
        <v>508</v>
      </c>
      <c r="I75" s="16">
        <f t="shared" si="5"/>
        <v>508</v>
      </c>
    </row>
    <row r="76" spans="1:9" x14ac:dyDescent="0.25">
      <c r="A76" s="13" t="s">
        <v>56</v>
      </c>
      <c r="B76" s="8">
        <v>0</v>
      </c>
      <c r="C76" s="4">
        <v>0</v>
      </c>
      <c r="D76" s="6">
        <f t="shared" si="3"/>
        <v>0</v>
      </c>
      <c r="E76" s="8">
        <v>43</v>
      </c>
      <c r="F76" s="4">
        <v>13</v>
      </c>
      <c r="G76" s="4">
        <v>0</v>
      </c>
      <c r="H76" s="9">
        <f t="shared" si="4"/>
        <v>56</v>
      </c>
      <c r="I76" s="16">
        <f t="shared" si="5"/>
        <v>56</v>
      </c>
    </row>
    <row r="77" spans="1:9" x14ac:dyDescent="0.25">
      <c r="A77" s="13" t="s">
        <v>131</v>
      </c>
      <c r="B77" s="8">
        <v>0</v>
      </c>
      <c r="C77" s="4">
        <v>0</v>
      </c>
      <c r="D77" s="6">
        <f t="shared" si="3"/>
        <v>0</v>
      </c>
      <c r="E77" s="8">
        <v>12</v>
      </c>
      <c r="F77" s="4">
        <v>4</v>
      </c>
      <c r="G77" s="4">
        <v>0</v>
      </c>
      <c r="H77" s="9">
        <f t="shared" si="4"/>
        <v>16</v>
      </c>
      <c r="I77" s="16">
        <f t="shared" si="5"/>
        <v>16</v>
      </c>
    </row>
    <row r="78" spans="1:9" x14ac:dyDescent="0.25">
      <c r="A78" s="13" t="s">
        <v>57</v>
      </c>
      <c r="B78" s="8">
        <v>0</v>
      </c>
      <c r="C78" s="4">
        <v>0</v>
      </c>
      <c r="D78" s="6">
        <f t="shared" si="3"/>
        <v>0</v>
      </c>
      <c r="E78" s="8">
        <v>8</v>
      </c>
      <c r="F78" s="4">
        <v>7</v>
      </c>
      <c r="G78" s="4">
        <v>0</v>
      </c>
      <c r="H78" s="9">
        <f t="shared" si="4"/>
        <v>15</v>
      </c>
      <c r="I78" s="16">
        <f t="shared" si="5"/>
        <v>15</v>
      </c>
    </row>
    <row r="79" spans="1:9" x14ac:dyDescent="0.25">
      <c r="A79" s="13" t="s">
        <v>109</v>
      </c>
      <c r="B79" s="8">
        <v>24</v>
      </c>
      <c r="C79" s="4">
        <v>0</v>
      </c>
      <c r="D79" s="6">
        <f t="shared" si="3"/>
        <v>24</v>
      </c>
      <c r="E79" s="8">
        <v>64</v>
      </c>
      <c r="F79" s="4">
        <v>35</v>
      </c>
      <c r="G79" s="4">
        <v>0</v>
      </c>
      <c r="H79" s="9">
        <f t="shared" si="4"/>
        <v>99</v>
      </c>
      <c r="I79" s="16">
        <f t="shared" si="5"/>
        <v>123</v>
      </c>
    </row>
    <row r="80" spans="1:9" x14ac:dyDescent="0.25">
      <c r="A80" s="13" t="s">
        <v>129</v>
      </c>
      <c r="B80" s="8">
        <v>10</v>
      </c>
      <c r="C80" s="4">
        <v>0</v>
      </c>
      <c r="D80" s="6">
        <f t="shared" si="3"/>
        <v>10</v>
      </c>
      <c r="E80" s="8">
        <v>17</v>
      </c>
      <c r="F80" s="4">
        <v>49</v>
      </c>
      <c r="G80" s="4">
        <v>0</v>
      </c>
      <c r="H80" s="9">
        <f t="shared" si="4"/>
        <v>66</v>
      </c>
      <c r="I80" s="16">
        <f t="shared" si="5"/>
        <v>76</v>
      </c>
    </row>
    <row r="81" spans="1:9" x14ac:dyDescent="0.25">
      <c r="A81" s="13" t="s">
        <v>61</v>
      </c>
      <c r="B81" s="8">
        <v>6</v>
      </c>
      <c r="C81" s="4">
        <v>0</v>
      </c>
      <c r="D81" s="6">
        <f t="shared" si="3"/>
        <v>6</v>
      </c>
      <c r="E81" s="8">
        <v>67</v>
      </c>
      <c r="F81" s="4">
        <v>86</v>
      </c>
      <c r="G81" s="4">
        <v>0</v>
      </c>
      <c r="H81" s="9">
        <f t="shared" si="4"/>
        <v>153</v>
      </c>
      <c r="I81" s="16">
        <f t="shared" si="5"/>
        <v>159</v>
      </c>
    </row>
    <row r="82" spans="1:9" x14ac:dyDescent="0.25">
      <c r="A82" s="13" t="s">
        <v>132</v>
      </c>
      <c r="B82" s="8">
        <v>0</v>
      </c>
      <c r="C82" s="4">
        <v>0</v>
      </c>
      <c r="D82" s="6">
        <f t="shared" si="3"/>
        <v>0</v>
      </c>
      <c r="E82" s="8">
        <v>2</v>
      </c>
      <c r="F82" s="4">
        <v>43</v>
      </c>
      <c r="G82" s="4">
        <v>0</v>
      </c>
      <c r="H82" s="9">
        <f t="shared" si="4"/>
        <v>45</v>
      </c>
      <c r="I82" s="16">
        <f t="shared" si="5"/>
        <v>45</v>
      </c>
    </row>
    <row r="83" spans="1:9" x14ac:dyDescent="0.25">
      <c r="A83" s="13" t="s">
        <v>94</v>
      </c>
      <c r="B83" s="8">
        <v>0</v>
      </c>
      <c r="C83" s="4">
        <v>0</v>
      </c>
      <c r="D83" s="6">
        <f t="shared" si="3"/>
        <v>0</v>
      </c>
      <c r="E83" s="8">
        <v>110</v>
      </c>
      <c r="F83" s="4">
        <v>74</v>
      </c>
      <c r="G83" s="4">
        <v>2</v>
      </c>
      <c r="H83" s="9">
        <f t="shared" si="4"/>
        <v>186</v>
      </c>
      <c r="I83" s="16">
        <f t="shared" si="5"/>
        <v>186</v>
      </c>
    </row>
    <row r="84" spans="1:9" x14ac:dyDescent="0.25">
      <c r="A84" s="13" t="s">
        <v>64</v>
      </c>
      <c r="B84" s="8">
        <v>0</v>
      </c>
      <c r="C84" s="4">
        <v>0</v>
      </c>
      <c r="D84" s="6">
        <f t="shared" si="3"/>
        <v>0</v>
      </c>
      <c r="E84" s="8">
        <v>5</v>
      </c>
      <c r="F84" s="4">
        <v>1</v>
      </c>
      <c r="G84" s="4">
        <v>0</v>
      </c>
      <c r="H84" s="9">
        <f t="shared" si="4"/>
        <v>6</v>
      </c>
      <c r="I84" s="16">
        <f t="shared" si="5"/>
        <v>6</v>
      </c>
    </row>
    <row r="85" spans="1:9" x14ac:dyDescent="0.25">
      <c r="A85" s="13" t="s">
        <v>65</v>
      </c>
      <c r="B85" s="8">
        <v>0</v>
      </c>
      <c r="C85" s="4">
        <v>0</v>
      </c>
      <c r="D85" s="6">
        <f t="shared" si="3"/>
        <v>0</v>
      </c>
      <c r="E85" s="8">
        <v>16</v>
      </c>
      <c r="F85" s="4">
        <v>16</v>
      </c>
      <c r="G85" s="4">
        <v>0</v>
      </c>
      <c r="H85" s="9">
        <f t="shared" si="4"/>
        <v>32</v>
      </c>
      <c r="I85" s="16">
        <f t="shared" si="5"/>
        <v>32</v>
      </c>
    </row>
    <row r="86" spans="1:9" x14ac:dyDescent="0.25">
      <c r="A86" s="13" t="s">
        <v>66</v>
      </c>
      <c r="B86" s="8">
        <v>0</v>
      </c>
      <c r="C86" s="4">
        <v>0</v>
      </c>
      <c r="D86" s="6">
        <f t="shared" si="3"/>
        <v>0</v>
      </c>
      <c r="E86" s="8">
        <v>15</v>
      </c>
      <c r="F86" s="4">
        <v>4</v>
      </c>
      <c r="G86" s="4">
        <v>0</v>
      </c>
      <c r="H86" s="9">
        <f t="shared" si="4"/>
        <v>19</v>
      </c>
      <c r="I86" s="16">
        <f t="shared" si="5"/>
        <v>19</v>
      </c>
    </row>
    <row r="87" spans="1:9" x14ac:dyDescent="0.25">
      <c r="A87" s="13" t="s">
        <v>75</v>
      </c>
      <c r="B87" s="8">
        <v>0</v>
      </c>
      <c r="C87" s="4">
        <v>0</v>
      </c>
      <c r="D87" s="6">
        <f t="shared" si="3"/>
        <v>0</v>
      </c>
      <c r="E87" s="8">
        <v>33</v>
      </c>
      <c r="F87" s="4">
        <v>27</v>
      </c>
      <c r="G87" s="4">
        <v>1</v>
      </c>
      <c r="H87" s="9">
        <f t="shared" si="4"/>
        <v>61</v>
      </c>
      <c r="I87" s="16">
        <f t="shared" si="5"/>
        <v>61</v>
      </c>
    </row>
    <row r="88" spans="1:9" x14ac:dyDescent="0.25">
      <c r="A88" s="13" t="s">
        <v>147</v>
      </c>
      <c r="B88" s="8">
        <v>21</v>
      </c>
      <c r="C88" s="4">
        <v>0</v>
      </c>
      <c r="D88" s="6">
        <f t="shared" si="3"/>
        <v>21</v>
      </c>
      <c r="E88" s="8">
        <v>17</v>
      </c>
      <c r="F88" s="4">
        <v>9</v>
      </c>
      <c r="G88" s="4">
        <v>0</v>
      </c>
      <c r="H88" s="9">
        <f t="shared" si="4"/>
        <v>26</v>
      </c>
      <c r="I88" s="16">
        <f t="shared" si="5"/>
        <v>47</v>
      </c>
    </row>
    <row r="89" spans="1:9" x14ac:dyDescent="0.25">
      <c r="A89" s="13" t="s">
        <v>133</v>
      </c>
      <c r="B89" s="8">
        <v>0</v>
      </c>
      <c r="C89" s="4">
        <v>0</v>
      </c>
      <c r="D89" s="6">
        <f t="shared" si="3"/>
        <v>0</v>
      </c>
      <c r="E89" s="8">
        <v>4</v>
      </c>
      <c r="F89" s="4">
        <v>3</v>
      </c>
      <c r="G89" s="4">
        <v>0</v>
      </c>
      <c r="H89" s="9">
        <f t="shared" si="4"/>
        <v>7</v>
      </c>
      <c r="I89" s="16">
        <f t="shared" si="5"/>
        <v>7</v>
      </c>
    </row>
    <row r="90" spans="1:9" x14ac:dyDescent="0.25">
      <c r="A90" s="13" t="s">
        <v>113</v>
      </c>
      <c r="B90" s="8">
        <v>9</v>
      </c>
      <c r="C90" s="4">
        <v>0</v>
      </c>
      <c r="D90" s="6">
        <f t="shared" si="3"/>
        <v>9</v>
      </c>
      <c r="E90" s="8">
        <v>10</v>
      </c>
      <c r="F90" s="4">
        <v>32</v>
      </c>
      <c r="G90" s="4">
        <v>0</v>
      </c>
      <c r="H90" s="9">
        <f t="shared" si="4"/>
        <v>42</v>
      </c>
      <c r="I90" s="16">
        <f t="shared" si="5"/>
        <v>51</v>
      </c>
    </row>
    <row r="91" spans="1:9" ht="15.75" thickBot="1" x14ac:dyDescent="0.3">
      <c r="A91" s="20" t="s">
        <v>72</v>
      </c>
      <c r="B91" s="21">
        <v>0</v>
      </c>
      <c r="C91" s="22">
        <v>0</v>
      </c>
      <c r="D91" s="23">
        <f t="shared" si="3"/>
        <v>0</v>
      </c>
      <c r="E91" s="21">
        <v>14</v>
      </c>
      <c r="F91" s="22">
        <v>66</v>
      </c>
      <c r="G91" s="22">
        <v>0</v>
      </c>
      <c r="H91" s="24">
        <f t="shared" si="4"/>
        <v>80</v>
      </c>
      <c r="I91" s="25">
        <f t="shared" si="5"/>
        <v>80</v>
      </c>
    </row>
    <row r="92" spans="1:9" ht="16.5" thickTop="1" thickBot="1" x14ac:dyDescent="0.3">
      <c r="A92" s="15" t="s">
        <v>0</v>
      </c>
      <c r="B92" s="12">
        <f t="shared" ref="B92:I92" si="6">SUM(B8:B91)</f>
        <v>11856</v>
      </c>
      <c r="C92" s="12">
        <f t="shared" si="6"/>
        <v>300</v>
      </c>
      <c r="D92" s="15">
        <f t="shared" si="6"/>
        <v>12156</v>
      </c>
      <c r="E92" s="12">
        <f t="shared" si="6"/>
        <v>5126</v>
      </c>
      <c r="F92" s="12">
        <f t="shared" si="6"/>
        <v>2842</v>
      </c>
      <c r="G92" s="12">
        <f t="shared" si="6"/>
        <v>46</v>
      </c>
      <c r="H92" s="18">
        <f t="shared" si="6"/>
        <v>8014</v>
      </c>
      <c r="I92" s="18">
        <f t="shared" si="6"/>
        <v>20170</v>
      </c>
    </row>
    <row r="94" spans="1:9" x14ac:dyDescent="0.25">
      <c r="A94" s="33" t="s">
        <v>88</v>
      </c>
      <c r="B94" s="33"/>
      <c r="C94" s="33"/>
      <c r="D94" s="33"/>
      <c r="E94" s="33"/>
      <c r="F94" s="33"/>
      <c r="G94" s="33"/>
      <c r="H94" s="33"/>
      <c r="I94" s="33"/>
    </row>
    <row r="95" spans="1:9" x14ac:dyDescent="0.25">
      <c r="A95" s="33"/>
      <c r="B95" s="33"/>
      <c r="C95" s="33"/>
      <c r="D95" s="33"/>
      <c r="E95" s="33"/>
      <c r="F95" s="33"/>
      <c r="G95" s="33"/>
      <c r="H95" s="33"/>
      <c r="I95" s="33"/>
    </row>
  </sheetData>
  <mergeCells count="13">
    <mergeCell ref="G6:G7"/>
    <mergeCell ref="H6:H7"/>
    <mergeCell ref="A94:I95"/>
    <mergeCell ref="A2:I2"/>
    <mergeCell ref="A5:A7"/>
    <mergeCell ref="B5:D5"/>
    <mergeCell ref="E5:H5"/>
    <mergeCell ref="I5:I7"/>
    <mergeCell ref="B6:B7"/>
    <mergeCell ref="C6:C7"/>
    <mergeCell ref="D6:D7"/>
    <mergeCell ref="E6:E7"/>
    <mergeCell ref="F6:F7"/>
  </mergeCells>
  <pageMargins left="0.7" right="0.7" top="0.75" bottom="0.75" header="0.3" footer="0.3"/>
  <pageSetup paperSize="9" orientation="portrait" r:id="rId1"/>
  <headerFooter>
    <oddHeader>&amp;CUCL Student Data Statistics</oddHeader>
    <oddFooter>&amp;L&amp;F - &amp;A&amp;RPage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102"/>
  <sheetViews>
    <sheetView tabSelected="1" view="pageLayout" zoomScale="85" zoomScaleNormal="100" zoomScalePageLayoutView="85" workbookViewId="0">
      <selection activeCell="A47" sqref="A47"/>
    </sheetView>
  </sheetViews>
  <sheetFormatPr defaultColWidth="9" defaultRowHeight="15" x14ac:dyDescent="0.25"/>
  <cols>
    <col min="1" max="1" width="31.28515625" customWidth="1"/>
    <col min="2" max="9" width="6.7109375" customWidth="1"/>
  </cols>
  <sheetData>
    <row r="1" spans="1:9" ht="18" x14ac:dyDescent="0.25">
      <c r="A1" s="1" t="s">
        <v>2</v>
      </c>
      <c r="B1" s="3"/>
    </row>
    <row r="2" spans="1:9" x14ac:dyDescent="0.25">
      <c r="A2" s="34" t="s">
        <v>3</v>
      </c>
      <c r="B2" s="34"/>
      <c r="C2" s="34"/>
      <c r="D2" s="34"/>
      <c r="E2" s="34"/>
      <c r="F2" s="34"/>
      <c r="G2" s="34"/>
      <c r="H2" s="34"/>
      <c r="I2" s="34"/>
    </row>
    <row r="3" spans="1:9" x14ac:dyDescent="0.25">
      <c r="A3" s="28" t="str">
        <f ca="1">RIGHT(CELL("filename",A1),LEN(CELL("filename",A1))-FIND("]",CELL("filename",A1)))</f>
        <v>2006-07</v>
      </c>
      <c r="B3" s="3"/>
    </row>
    <row r="4" spans="1:9" ht="15" customHeight="1" thickBot="1" x14ac:dyDescent="0.3">
      <c r="A4" s="3"/>
      <c r="B4" s="3"/>
    </row>
    <row r="5" spans="1:9" x14ac:dyDescent="0.25">
      <c r="A5" s="35" t="s">
        <v>4</v>
      </c>
      <c r="B5" s="38" t="s">
        <v>5</v>
      </c>
      <c r="C5" s="39"/>
      <c r="D5" s="39"/>
      <c r="E5" s="38" t="s">
        <v>6</v>
      </c>
      <c r="F5" s="39"/>
      <c r="G5" s="39"/>
      <c r="H5" s="40"/>
      <c r="I5" s="41" t="s">
        <v>0</v>
      </c>
    </row>
    <row r="6" spans="1:9" ht="15" customHeight="1" x14ac:dyDescent="0.25">
      <c r="A6" s="36"/>
      <c r="B6" s="44" t="s">
        <v>76</v>
      </c>
      <c r="C6" s="29" t="s">
        <v>77</v>
      </c>
      <c r="D6" s="46" t="s">
        <v>0</v>
      </c>
      <c r="E6" s="44" t="s">
        <v>76</v>
      </c>
      <c r="F6" s="29" t="s">
        <v>77</v>
      </c>
      <c r="G6" s="29" t="s">
        <v>78</v>
      </c>
      <c r="H6" s="31" t="s">
        <v>0</v>
      </c>
      <c r="I6" s="42"/>
    </row>
    <row r="7" spans="1:9" x14ac:dyDescent="0.25">
      <c r="A7" s="37"/>
      <c r="B7" s="45"/>
      <c r="C7" s="30"/>
      <c r="D7" s="47"/>
      <c r="E7" s="45"/>
      <c r="F7" s="30"/>
      <c r="G7" s="30"/>
      <c r="H7" s="32"/>
      <c r="I7" s="43"/>
    </row>
    <row r="8" spans="1:9" x14ac:dyDescent="0.25">
      <c r="A8" s="13" t="s">
        <v>7</v>
      </c>
      <c r="B8" s="8">
        <v>149</v>
      </c>
      <c r="C8" s="4">
        <v>0</v>
      </c>
      <c r="D8" s="6">
        <f>B8+C8</f>
        <v>149</v>
      </c>
      <c r="E8" s="8">
        <v>106</v>
      </c>
      <c r="F8" s="4">
        <v>16</v>
      </c>
      <c r="G8" s="4">
        <v>3</v>
      </c>
      <c r="H8" s="9">
        <f>E8+F8+G8</f>
        <v>125</v>
      </c>
      <c r="I8" s="16">
        <f>H8+D8</f>
        <v>274</v>
      </c>
    </row>
    <row r="9" spans="1:9" x14ac:dyDescent="0.25">
      <c r="A9" s="13" t="s">
        <v>8</v>
      </c>
      <c r="B9" s="8">
        <v>180</v>
      </c>
      <c r="C9" s="4">
        <v>1</v>
      </c>
      <c r="D9" s="6">
        <f t="shared" ref="D9:D72" si="0">B9+C9</f>
        <v>181</v>
      </c>
      <c r="E9" s="8">
        <v>112</v>
      </c>
      <c r="F9" s="4">
        <v>23</v>
      </c>
      <c r="G9" s="4">
        <v>20</v>
      </c>
      <c r="H9" s="9">
        <f t="shared" ref="H9:H72" si="1">E9+F9+G9</f>
        <v>155</v>
      </c>
      <c r="I9" s="16">
        <f t="shared" ref="I9:I72" si="2">H9+D9</f>
        <v>336</v>
      </c>
    </row>
    <row r="10" spans="1:9" x14ac:dyDescent="0.25">
      <c r="A10" s="13" t="s">
        <v>9</v>
      </c>
      <c r="B10" s="8">
        <v>191</v>
      </c>
      <c r="C10" s="4">
        <v>0</v>
      </c>
      <c r="D10" s="6">
        <f t="shared" si="0"/>
        <v>191</v>
      </c>
      <c r="E10" s="8">
        <v>253</v>
      </c>
      <c r="F10" s="4">
        <v>77</v>
      </c>
      <c r="G10" s="4">
        <v>3</v>
      </c>
      <c r="H10" s="9">
        <f t="shared" si="1"/>
        <v>333</v>
      </c>
      <c r="I10" s="16">
        <f t="shared" si="2"/>
        <v>524</v>
      </c>
    </row>
    <row r="11" spans="1:9" x14ac:dyDescent="0.25">
      <c r="A11" s="13" t="s">
        <v>10</v>
      </c>
      <c r="B11" s="8">
        <v>439</v>
      </c>
      <c r="C11" s="4">
        <v>10</v>
      </c>
      <c r="D11" s="6">
        <f t="shared" si="0"/>
        <v>449</v>
      </c>
      <c r="E11" s="8">
        <v>46</v>
      </c>
      <c r="F11" s="4">
        <v>18</v>
      </c>
      <c r="G11" s="4">
        <v>1</v>
      </c>
      <c r="H11" s="9">
        <f t="shared" si="1"/>
        <v>65</v>
      </c>
      <c r="I11" s="16">
        <f t="shared" si="2"/>
        <v>514</v>
      </c>
    </row>
    <row r="12" spans="1:9" x14ac:dyDescent="0.25">
      <c r="A12" s="13" t="s">
        <v>140</v>
      </c>
      <c r="B12" s="8">
        <v>94</v>
      </c>
      <c r="C12" s="4">
        <v>3</v>
      </c>
      <c r="D12" s="6">
        <f t="shared" si="0"/>
        <v>97</v>
      </c>
      <c r="E12" s="8">
        <v>0</v>
      </c>
      <c r="F12" s="4">
        <v>0</v>
      </c>
      <c r="G12" s="4">
        <v>0</v>
      </c>
      <c r="H12" s="9">
        <f t="shared" si="1"/>
        <v>0</v>
      </c>
      <c r="I12" s="16">
        <f t="shared" si="2"/>
        <v>97</v>
      </c>
    </row>
    <row r="13" spans="1:9" x14ac:dyDescent="0.25">
      <c r="A13" s="13" t="s">
        <v>141</v>
      </c>
      <c r="B13" s="8">
        <v>0</v>
      </c>
      <c r="C13" s="4">
        <v>0</v>
      </c>
      <c r="D13" s="6">
        <f t="shared" si="0"/>
        <v>0</v>
      </c>
      <c r="E13" s="8">
        <v>190</v>
      </c>
      <c r="F13" s="4">
        <v>162</v>
      </c>
      <c r="G13" s="4">
        <v>2</v>
      </c>
      <c r="H13" s="9">
        <f t="shared" si="1"/>
        <v>354</v>
      </c>
      <c r="I13" s="16">
        <f t="shared" si="2"/>
        <v>354</v>
      </c>
    </row>
    <row r="14" spans="1:9" x14ac:dyDescent="0.25">
      <c r="A14" s="13" t="s">
        <v>142</v>
      </c>
      <c r="B14" s="8">
        <v>99</v>
      </c>
      <c r="C14" s="4">
        <v>2</v>
      </c>
      <c r="D14" s="6">
        <f t="shared" si="0"/>
        <v>101</v>
      </c>
      <c r="E14" s="8">
        <v>94</v>
      </c>
      <c r="F14" s="4">
        <v>115</v>
      </c>
      <c r="G14" s="4">
        <v>0</v>
      </c>
      <c r="H14" s="9">
        <f t="shared" si="1"/>
        <v>209</v>
      </c>
      <c r="I14" s="16">
        <f t="shared" si="2"/>
        <v>310</v>
      </c>
    </row>
    <row r="15" spans="1:9" x14ac:dyDescent="0.25">
      <c r="A15" s="13" t="s">
        <v>95</v>
      </c>
      <c r="B15" s="8">
        <v>121</v>
      </c>
      <c r="C15" s="4">
        <v>5</v>
      </c>
      <c r="D15" s="6">
        <f t="shared" si="0"/>
        <v>126</v>
      </c>
      <c r="E15" s="8">
        <v>100</v>
      </c>
      <c r="F15" s="4">
        <v>6</v>
      </c>
      <c r="G15" s="4">
        <v>0</v>
      </c>
      <c r="H15" s="9">
        <f t="shared" si="1"/>
        <v>106</v>
      </c>
      <c r="I15" s="16">
        <f t="shared" si="2"/>
        <v>232</v>
      </c>
    </row>
    <row r="16" spans="1:9" x14ac:dyDescent="0.25">
      <c r="A16" s="13" t="s">
        <v>11</v>
      </c>
      <c r="B16" s="8">
        <v>160</v>
      </c>
      <c r="C16" s="4">
        <v>10</v>
      </c>
      <c r="D16" s="6">
        <f t="shared" si="0"/>
        <v>170</v>
      </c>
      <c r="E16" s="8">
        <v>96</v>
      </c>
      <c r="F16" s="4">
        <v>5</v>
      </c>
      <c r="G16" s="4">
        <v>0</v>
      </c>
      <c r="H16" s="9">
        <f t="shared" si="1"/>
        <v>101</v>
      </c>
      <c r="I16" s="16">
        <f t="shared" si="2"/>
        <v>271</v>
      </c>
    </row>
    <row r="17" spans="1:9" x14ac:dyDescent="0.25">
      <c r="A17" s="13" t="s">
        <v>12</v>
      </c>
      <c r="B17" s="8">
        <v>196</v>
      </c>
      <c r="C17" s="4">
        <v>7</v>
      </c>
      <c r="D17" s="6">
        <f t="shared" si="0"/>
        <v>203</v>
      </c>
      <c r="E17" s="8">
        <v>51</v>
      </c>
      <c r="F17" s="4">
        <v>9</v>
      </c>
      <c r="G17" s="4">
        <v>1</v>
      </c>
      <c r="H17" s="9">
        <f t="shared" si="1"/>
        <v>61</v>
      </c>
      <c r="I17" s="16">
        <f t="shared" si="2"/>
        <v>264</v>
      </c>
    </row>
    <row r="18" spans="1:9" x14ac:dyDescent="0.25">
      <c r="A18" s="13" t="s">
        <v>125</v>
      </c>
      <c r="B18" s="8">
        <v>0</v>
      </c>
      <c r="C18" s="4">
        <v>0</v>
      </c>
      <c r="D18" s="6">
        <f t="shared" si="0"/>
        <v>0</v>
      </c>
      <c r="E18" s="8">
        <v>41</v>
      </c>
      <c r="F18" s="4">
        <v>13</v>
      </c>
      <c r="G18" s="4">
        <v>4</v>
      </c>
      <c r="H18" s="9">
        <f t="shared" si="1"/>
        <v>58</v>
      </c>
      <c r="I18" s="16">
        <f t="shared" si="2"/>
        <v>58</v>
      </c>
    </row>
    <row r="19" spans="1:9" x14ac:dyDescent="0.25">
      <c r="A19" s="13" t="s">
        <v>143</v>
      </c>
      <c r="B19" s="8">
        <v>0</v>
      </c>
      <c r="C19" s="4">
        <v>0</v>
      </c>
      <c r="D19" s="6">
        <f t="shared" si="0"/>
        <v>0</v>
      </c>
      <c r="E19" s="8">
        <v>29</v>
      </c>
      <c r="F19" s="4">
        <v>10</v>
      </c>
      <c r="G19" s="4">
        <v>0</v>
      </c>
      <c r="H19" s="9">
        <f t="shared" si="1"/>
        <v>39</v>
      </c>
      <c r="I19" s="16">
        <f t="shared" si="2"/>
        <v>39</v>
      </c>
    </row>
    <row r="20" spans="1:9" x14ac:dyDescent="0.25">
      <c r="A20" s="13" t="s">
        <v>144</v>
      </c>
      <c r="B20" s="8">
        <v>0</v>
      </c>
      <c r="C20" s="4">
        <v>0</v>
      </c>
      <c r="D20" s="6">
        <f t="shared" si="0"/>
        <v>0</v>
      </c>
      <c r="E20" s="8">
        <v>41</v>
      </c>
      <c r="F20" s="4">
        <v>0</v>
      </c>
      <c r="G20" s="4">
        <v>0</v>
      </c>
      <c r="H20" s="9">
        <f t="shared" si="1"/>
        <v>41</v>
      </c>
      <c r="I20" s="16">
        <f t="shared" si="2"/>
        <v>41</v>
      </c>
    </row>
    <row r="21" spans="1:9" x14ac:dyDescent="0.25">
      <c r="A21" s="13" t="s">
        <v>130</v>
      </c>
      <c r="B21" s="8">
        <v>0</v>
      </c>
      <c r="C21" s="4">
        <v>0</v>
      </c>
      <c r="D21" s="6">
        <f t="shared" si="0"/>
        <v>0</v>
      </c>
      <c r="E21" s="8">
        <v>1</v>
      </c>
      <c r="F21" s="4">
        <v>135</v>
      </c>
      <c r="G21" s="4">
        <v>0</v>
      </c>
      <c r="H21" s="9">
        <f t="shared" si="1"/>
        <v>136</v>
      </c>
      <c r="I21" s="16">
        <f t="shared" si="2"/>
        <v>136</v>
      </c>
    </row>
    <row r="22" spans="1:9" x14ac:dyDescent="0.25">
      <c r="A22" s="13" t="s">
        <v>96</v>
      </c>
      <c r="B22" s="8">
        <v>180</v>
      </c>
      <c r="C22" s="4">
        <v>2</v>
      </c>
      <c r="D22" s="6">
        <f t="shared" si="0"/>
        <v>182</v>
      </c>
      <c r="E22" s="8">
        <v>37</v>
      </c>
      <c r="F22" s="4">
        <v>3</v>
      </c>
      <c r="G22" s="4">
        <v>0</v>
      </c>
      <c r="H22" s="9">
        <f t="shared" si="1"/>
        <v>40</v>
      </c>
      <c r="I22" s="16">
        <f t="shared" si="2"/>
        <v>222</v>
      </c>
    </row>
    <row r="23" spans="1:9" x14ac:dyDescent="0.25">
      <c r="A23" s="13" t="s">
        <v>14</v>
      </c>
      <c r="B23" s="8">
        <v>279</v>
      </c>
      <c r="C23" s="4">
        <v>3</v>
      </c>
      <c r="D23" s="6">
        <f t="shared" si="0"/>
        <v>282</v>
      </c>
      <c r="E23" s="8">
        <v>112</v>
      </c>
      <c r="F23" s="4">
        <v>2</v>
      </c>
      <c r="G23" s="4">
        <v>1</v>
      </c>
      <c r="H23" s="9">
        <f t="shared" si="1"/>
        <v>115</v>
      </c>
      <c r="I23" s="16">
        <f t="shared" si="2"/>
        <v>397</v>
      </c>
    </row>
    <row r="24" spans="1:9" x14ac:dyDescent="0.25">
      <c r="A24" s="13" t="s">
        <v>15</v>
      </c>
      <c r="B24" s="8">
        <v>204</v>
      </c>
      <c r="C24" s="4">
        <v>8</v>
      </c>
      <c r="D24" s="6">
        <f t="shared" si="0"/>
        <v>212</v>
      </c>
      <c r="E24" s="8">
        <v>53</v>
      </c>
      <c r="F24" s="4">
        <v>7</v>
      </c>
      <c r="G24" s="4">
        <v>0</v>
      </c>
      <c r="H24" s="9">
        <f t="shared" si="1"/>
        <v>60</v>
      </c>
      <c r="I24" s="16">
        <f t="shared" si="2"/>
        <v>272</v>
      </c>
    </row>
    <row r="25" spans="1:9" x14ac:dyDescent="0.25">
      <c r="A25" s="13" t="s">
        <v>16</v>
      </c>
      <c r="B25" s="8">
        <v>173</v>
      </c>
      <c r="C25" s="4">
        <v>9</v>
      </c>
      <c r="D25" s="6">
        <f t="shared" si="0"/>
        <v>182</v>
      </c>
      <c r="E25" s="8">
        <v>171</v>
      </c>
      <c r="F25" s="4">
        <v>15</v>
      </c>
      <c r="G25" s="4">
        <v>0</v>
      </c>
      <c r="H25" s="9">
        <f t="shared" si="1"/>
        <v>186</v>
      </c>
      <c r="I25" s="16">
        <f t="shared" si="2"/>
        <v>368</v>
      </c>
    </row>
    <row r="26" spans="1:9" x14ac:dyDescent="0.25">
      <c r="A26" s="13" t="s">
        <v>17</v>
      </c>
      <c r="B26" s="8">
        <v>0</v>
      </c>
      <c r="C26" s="4">
        <v>0</v>
      </c>
      <c r="D26" s="6">
        <f t="shared" si="0"/>
        <v>0</v>
      </c>
      <c r="E26" s="8">
        <v>98</v>
      </c>
      <c r="F26" s="4">
        <v>25</v>
      </c>
      <c r="G26" s="4">
        <v>7</v>
      </c>
      <c r="H26" s="9">
        <f t="shared" si="1"/>
        <v>130</v>
      </c>
      <c r="I26" s="16">
        <f t="shared" si="2"/>
        <v>130</v>
      </c>
    </row>
    <row r="27" spans="1:9" x14ac:dyDescent="0.25">
      <c r="A27" s="13" t="s">
        <v>18</v>
      </c>
      <c r="B27" s="8">
        <v>29</v>
      </c>
      <c r="C27" s="4">
        <v>2</v>
      </c>
      <c r="D27" s="6">
        <f t="shared" si="0"/>
        <v>31</v>
      </c>
      <c r="E27" s="8">
        <v>5</v>
      </c>
      <c r="F27" s="4">
        <v>1</v>
      </c>
      <c r="G27" s="4">
        <v>0</v>
      </c>
      <c r="H27" s="9">
        <f t="shared" si="1"/>
        <v>6</v>
      </c>
      <c r="I27" s="16">
        <f t="shared" si="2"/>
        <v>37</v>
      </c>
    </row>
    <row r="28" spans="1:9" x14ac:dyDescent="0.25">
      <c r="A28" s="13" t="s">
        <v>122</v>
      </c>
      <c r="B28" s="8">
        <v>119</v>
      </c>
      <c r="C28" s="4">
        <v>4</v>
      </c>
      <c r="D28" s="6">
        <f t="shared" si="0"/>
        <v>123</v>
      </c>
      <c r="E28" s="8">
        <v>64</v>
      </c>
      <c r="F28" s="4">
        <v>24</v>
      </c>
      <c r="G28" s="4">
        <v>0</v>
      </c>
      <c r="H28" s="9">
        <f t="shared" si="1"/>
        <v>88</v>
      </c>
      <c r="I28" s="16">
        <f t="shared" si="2"/>
        <v>211</v>
      </c>
    </row>
    <row r="29" spans="1:9" x14ac:dyDescent="0.25">
      <c r="A29" s="13" t="s">
        <v>19</v>
      </c>
      <c r="B29" s="8">
        <v>580</v>
      </c>
      <c r="C29" s="4">
        <v>8</v>
      </c>
      <c r="D29" s="6">
        <f t="shared" si="0"/>
        <v>588</v>
      </c>
      <c r="E29" s="8">
        <v>127</v>
      </c>
      <c r="F29" s="4">
        <v>11</v>
      </c>
      <c r="G29" s="4">
        <v>0</v>
      </c>
      <c r="H29" s="9">
        <f t="shared" si="1"/>
        <v>138</v>
      </c>
      <c r="I29" s="16">
        <f t="shared" si="2"/>
        <v>726</v>
      </c>
    </row>
    <row r="30" spans="1:9" x14ac:dyDescent="0.25">
      <c r="A30" s="13" t="s">
        <v>20</v>
      </c>
      <c r="B30" s="8">
        <v>157</v>
      </c>
      <c r="C30" s="4">
        <v>0</v>
      </c>
      <c r="D30" s="6">
        <f t="shared" si="0"/>
        <v>157</v>
      </c>
      <c r="E30" s="8">
        <v>114</v>
      </c>
      <c r="F30" s="4">
        <v>182</v>
      </c>
      <c r="G30" s="4">
        <v>0</v>
      </c>
      <c r="H30" s="9">
        <f t="shared" si="1"/>
        <v>296</v>
      </c>
      <c r="I30" s="16">
        <f t="shared" si="2"/>
        <v>453</v>
      </c>
    </row>
    <row r="31" spans="1:9" x14ac:dyDescent="0.25">
      <c r="A31" s="13" t="s">
        <v>21</v>
      </c>
      <c r="B31" s="8">
        <v>278</v>
      </c>
      <c r="C31" s="4">
        <v>0</v>
      </c>
      <c r="D31" s="6">
        <f t="shared" si="0"/>
        <v>278</v>
      </c>
      <c r="E31" s="8">
        <v>64</v>
      </c>
      <c r="F31" s="4">
        <v>9</v>
      </c>
      <c r="G31" s="4">
        <v>0</v>
      </c>
      <c r="H31" s="9">
        <f t="shared" si="1"/>
        <v>73</v>
      </c>
      <c r="I31" s="16">
        <f t="shared" si="2"/>
        <v>351</v>
      </c>
    </row>
    <row r="32" spans="1:9" x14ac:dyDescent="0.25">
      <c r="A32" s="13" t="s">
        <v>126</v>
      </c>
      <c r="B32" s="8">
        <v>136</v>
      </c>
      <c r="C32" s="4">
        <v>1</v>
      </c>
      <c r="D32" s="6">
        <f t="shared" si="0"/>
        <v>137</v>
      </c>
      <c r="E32" s="8">
        <v>0</v>
      </c>
      <c r="F32" s="4">
        <v>0</v>
      </c>
      <c r="G32" s="4">
        <v>0</v>
      </c>
      <c r="H32" s="9">
        <f t="shared" si="1"/>
        <v>0</v>
      </c>
      <c r="I32" s="16">
        <f t="shared" si="2"/>
        <v>137</v>
      </c>
    </row>
    <row r="33" spans="1:9" x14ac:dyDescent="0.25">
      <c r="A33" s="13" t="s">
        <v>22</v>
      </c>
      <c r="B33" s="8">
        <v>150</v>
      </c>
      <c r="C33" s="4">
        <v>0</v>
      </c>
      <c r="D33" s="6">
        <f t="shared" si="0"/>
        <v>150</v>
      </c>
      <c r="E33" s="8">
        <v>126</v>
      </c>
      <c r="F33" s="4">
        <v>3</v>
      </c>
      <c r="G33" s="4">
        <v>1</v>
      </c>
      <c r="H33" s="9">
        <f t="shared" si="1"/>
        <v>130</v>
      </c>
      <c r="I33" s="16">
        <f t="shared" si="2"/>
        <v>280</v>
      </c>
    </row>
    <row r="34" spans="1:9" x14ac:dyDescent="0.25">
      <c r="A34" s="13" t="s">
        <v>23</v>
      </c>
      <c r="B34" s="8">
        <v>223</v>
      </c>
      <c r="C34" s="4">
        <v>1</v>
      </c>
      <c r="D34" s="6">
        <f t="shared" si="0"/>
        <v>224</v>
      </c>
      <c r="E34" s="8">
        <v>8</v>
      </c>
      <c r="F34" s="4">
        <v>4</v>
      </c>
      <c r="G34" s="4">
        <v>0</v>
      </c>
      <c r="H34" s="9">
        <f t="shared" si="1"/>
        <v>12</v>
      </c>
      <c r="I34" s="16">
        <f t="shared" si="2"/>
        <v>236</v>
      </c>
    </row>
    <row r="35" spans="1:9" x14ac:dyDescent="0.25">
      <c r="A35" s="13" t="s">
        <v>97</v>
      </c>
      <c r="B35" s="8">
        <v>0</v>
      </c>
      <c r="C35" s="4">
        <v>0</v>
      </c>
      <c r="D35" s="6">
        <f t="shared" si="0"/>
        <v>0</v>
      </c>
      <c r="E35" s="8">
        <v>8</v>
      </c>
      <c r="F35" s="4">
        <v>0</v>
      </c>
      <c r="G35" s="4">
        <v>0</v>
      </c>
      <c r="H35" s="9">
        <f t="shared" si="1"/>
        <v>8</v>
      </c>
      <c r="I35" s="16">
        <f t="shared" si="2"/>
        <v>8</v>
      </c>
    </row>
    <row r="36" spans="1:9" x14ac:dyDescent="0.25">
      <c r="A36" s="13" t="s">
        <v>24</v>
      </c>
      <c r="B36" s="8">
        <v>332</v>
      </c>
      <c r="C36" s="4">
        <v>0</v>
      </c>
      <c r="D36" s="6">
        <f t="shared" si="0"/>
        <v>332</v>
      </c>
      <c r="E36" s="8">
        <v>82</v>
      </c>
      <c r="F36" s="4">
        <v>18</v>
      </c>
      <c r="G36" s="4">
        <v>4</v>
      </c>
      <c r="H36" s="9">
        <f t="shared" si="1"/>
        <v>104</v>
      </c>
      <c r="I36" s="16">
        <f t="shared" si="2"/>
        <v>436</v>
      </c>
    </row>
    <row r="37" spans="1:9" x14ac:dyDescent="0.25">
      <c r="A37" s="13" t="s">
        <v>89</v>
      </c>
      <c r="B37" s="8">
        <v>36</v>
      </c>
      <c r="C37" s="4">
        <v>0</v>
      </c>
      <c r="D37" s="6">
        <f t="shared" si="0"/>
        <v>36</v>
      </c>
      <c r="E37" s="8">
        <v>52</v>
      </c>
      <c r="F37" s="4">
        <v>16</v>
      </c>
      <c r="G37" s="4">
        <v>0</v>
      </c>
      <c r="H37" s="9">
        <f t="shared" si="1"/>
        <v>68</v>
      </c>
      <c r="I37" s="16">
        <f t="shared" si="2"/>
        <v>104</v>
      </c>
    </row>
    <row r="38" spans="1:9" x14ac:dyDescent="0.25">
      <c r="A38" s="13" t="s">
        <v>26</v>
      </c>
      <c r="B38" s="8">
        <v>133</v>
      </c>
      <c r="C38" s="4">
        <v>1</v>
      </c>
      <c r="D38" s="6">
        <f t="shared" si="0"/>
        <v>134</v>
      </c>
      <c r="E38" s="8">
        <v>5</v>
      </c>
      <c r="F38" s="4">
        <v>1</v>
      </c>
      <c r="G38" s="4">
        <v>0</v>
      </c>
      <c r="H38" s="9">
        <f t="shared" si="1"/>
        <v>6</v>
      </c>
      <c r="I38" s="16">
        <f t="shared" si="2"/>
        <v>140</v>
      </c>
    </row>
    <row r="39" spans="1:9" x14ac:dyDescent="0.25">
      <c r="A39" s="13" t="s">
        <v>81</v>
      </c>
      <c r="B39" s="8">
        <v>153</v>
      </c>
      <c r="C39" s="4">
        <v>7</v>
      </c>
      <c r="D39" s="6">
        <f t="shared" si="0"/>
        <v>160</v>
      </c>
      <c r="E39" s="8">
        <v>29</v>
      </c>
      <c r="F39" s="4">
        <v>14</v>
      </c>
      <c r="G39" s="4">
        <v>0</v>
      </c>
      <c r="H39" s="9">
        <f t="shared" si="1"/>
        <v>43</v>
      </c>
      <c r="I39" s="16">
        <f t="shared" si="2"/>
        <v>203</v>
      </c>
    </row>
    <row r="40" spans="1:9" x14ac:dyDescent="0.25">
      <c r="A40" s="13" t="s">
        <v>82</v>
      </c>
      <c r="B40" s="8">
        <v>34</v>
      </c>
      <c r="C40" s="4">
        <v>5</v>
      </c>
      <c r="D40" s="6">
        <f t="shared" si="0"/>
        <v>39</v>
      </c>
      <c r="E40" s="8">
        <v>12</v>
      </c>
      <c r="F40" s="4">
        <v>22</v>
      </c>
      <c r="G40" s="4">
        <v>0</v>
      </c>
      <c r="H40" s="9">
        <f t="shared" si="1"/>
        <v>34</v>
      </c>
      <c r="I40" s="16">
        <f t="shared" si="2"/>
        <v>73</v>
      </c>
    </row>
    <row r="41" spans="1:9" x14ac:dyDescent="0.25">
      <c r="A41" s="13" t="s">
        <v>30</v>
      </c>
      <c r="B41" s="8">
        <v>294</v>
      </c>
      <c r="C41" s="4">
        <v>3</v>
      </c>
      <c r="D41" s="6">
        <f t="shared" si="0"/>
        <v>297</v>
      </c>
      <c r="E41" s="8">
        <v>76</v>
      </c>
      <c r="F41" s="4">
        <v>16</v>
      </c>
      <c r="G41" s="4">
        <v>0</v>
      </c>
      <c r="H41" s="9">
        <f t="shared" si="1"/>
        <v>92</v>
      </c>
      <c r="I41" s="16">
        <f t="shared" si="2"/>
        <v>389</v>
      </c>
    </row>
    <row r="42" spans="1:9" x14ac:dyDescent="0.25">
      <c r="A42" s="13" t="s">
        <v>83</v>
      </c>
      <c r="B42" s="8">
        <v>146</v>
      </c>
      <c r="C42" s="4">
        <v>4</v>
      </c>
      <c r="D42" s="6">
        <f t="shared" si="0"/>
        <v>150</v>
      </c>
      <c r="E42" s="8">
        <v>62</v>
      </c>
      <c r="F42" s="4">
        <v>16</v>
      </c>
      <c r="G42" s="4">
        <v>0</v>
      </c>
      <c r="H42" s="9">
        <f t="shared" si="1"/>
        <v>78</v>
      </c>
      <c r="I42" s="16">
        <f t="shared" si="2"/>
        <v>228</v>
      </c>
    </row>
    <row r="43" spans="1:9" x14ac:dyDescent="0.25">
      <c r="A43" s="13" t="s">
        <v>32</v>
      </c>
      <c r="B43" s="8">
        <v>206</v>
      </c>
      <c r="C43" s="4">
        <v>2</v>
      </c>
      <c r="D43" s="6">
        <f t="shared" si="0"/>
        <v>208</v>
      </c>
      <c r="E43" s="8">
        <v>65</v>
      </c>
      <c r="F43" s="4">
        <v>10</v>
      </c>
      <c r="G43" s="4">
        <v>0</v>
      </c>
      <c r="H43" s="9">
        <f t="shared" si="1"/>
        <v>75</v>
      </c>
      <c r="I43" s="16">
        <f t="shared" si="2"/>
        <v>283</v>
      </c>
    </row>
    <row r="44" spans="1:9" x14ac:dyDescent="0.25">
      <c r="A44" s="13" t="s">
        <v>127</v>
      </c>
      <c r="B44" s="8">
        <v>114</v>
      </c>
      <c r="C44" s="4">
        <v>0</v>
      </c>
      <c r="D44" s="6">
        <f t="shared" si="0"/>
        <v>114</v>
      </c>
      <c r="E44" s="8">
        <v>0</v>
      </c>
      <c r="F44" s="4">
        <v>0</v>
      </c>
      <c r="G44" s="4">
        <v>0</v>
      </c>
      <c r="H44" s="9">
        <f t="shared" si="1"/>
        <v>0</v>
      </c>
      <c r="I44" s="16">
        <f t="shared" si="2"/>
        <v>114</v>
      </c>
    </row>
    <row r="45" spans="1:9" x14ac:dyDescent="0.25">
      <c r="A45" s="13" t="s">
        <v>33</v>
      </c>
      <c r="B45" s="8">
        <v>172</v>
      </c>
      <c r="C45" s="4">
        <v>5</v>
      </c>
      <c r="D45" s="6">
        <f t="shared" si="0"/>
        <v>177</v>
      </c>
      <c r="E45" s="8">
        <v>42</v>
      </c>
      <c r="F45" s="4">
        <v>17</v>
      </c>
      <c r="G45" s="4">
        <v>0</v>
      </c>
      <c r="H45" s="9">
        <f t="shared" si="1"/>
        <v>59</v>
      </c>
      <c r="I45" s="16">
        <f t="shared" si="2"/>
        <v>236</v>
      </c>
    </row>
    <row r="46" spans="1:9" x14ac:dyDescent="0.25">
      <c r="A46" s="13" t="s">
        <v>145</v>
      </c>
      <c r="B46" s="8">
        <v>0</v>
      </c>
      <c r="C46" s="4">
        <v>0</v>
      </c>
      <c r="D46" s="6">
        <f t="shared" si="0"/>
        <v>0</v>
      </c>
      <c r="E46" s="8">
        <v>12</v>
      </c>
      <c r="F46" s="4">
        <v>22</v>
      </c>
      <c r="G46" s="4">
        <v>0</v>
      </c>
      <c r="H46" s="9">
        <f t="shared" si="1"/>
        <v>34</v>
      </c>
      <c r="I46" s="16">
        <f t="shared" si="2"/>
        <v>34</v>
      </c>
    </row>
    <row r="47" spans="1:9" x14ac:dyDescent="0.25">
      <c r="A47" s="13" t="s">
        <v>128</v>
      </c>
      <c r="B47" s="8">
        <v>146</v>
      </c>
      <c r="C47" s="4">
        <v>0</v>
      </c>
      <c r="D47" s="6">
        <f t="shared" si="0"/>
        <v>146</v>
      </c>
      <c r="E47" s="8">
        <v>0</v>
      </c>
      <c r="F47" s="4">
        <v>0</v>
      </c>
      <c r="G47" s="4">
        <v>0</v>
      </c>
      <c r="H47" s="9">
        <f t="shared" si="1"/>
        <v>0</v>
      </c>
      <c r="I47" s="16">
        <f t="shared" si="2"/>
        <v>146</v>
      </c>
    </row>
    <row r="48" spans="1:9" x14ac:dyDescent="0.25">
      <c r="A48" s="13" t="s">
        <v>1</v>
      </c>
      <c r="B48" s="8">
        <v>544</v>
      </c>
      <c r="C48" s="4">
        <v>1</v>
      </c>
      <c r="D48" s="6">
        <f t="shared" si="0"/>
        <v>545</v>
      </c>
      <c r="E48" s="8">
        <v>382</v>
      </c>
      <c r="F48" s="4">
        <v>44</v>
      </c>
      <c r="G48" s="4">
        <v>0</v>
      </c>
      <c r="H48" s="9">
        <f t="shared" si="1"/>
        <v>426</v>
      </c>
      <c r="I48" s="16">
        <f t="shared" si="2"/>
        <v>971</v>
      </c>
    </row>
    <row r="49" spans="1:9" x14ac:dyDescent="0.25">
      <c r="A49" s="13" t="s">
        <v>34</v>
      </c>
      <c r="B49" s="8">
        <v>88</v>
      </c>
      <c r="C49" s="4">
        <v>0</v>
      </c>
      <c r="D49" s="6">
        <f t="shared" si="0"/>
        <v>88</v>
      </c>
      <c r="E49" s="8">
        <v>79</v>
      </c>
      <c r="F49" s="4">
        <v>112</v>
      </c>
      <c r="G49" s="4">
        <v>1</v>
      </c>
      <c r="H49" s="9">
        <f t="shared" si="1"/>
        <v>192</v>
      </c>
      <c r="I49" s="16">
        <f t="shared" si="2"/>
        <v>280</v>
      </c>
    </row>
    <row r="50" spans="1:9" x14ac:dyDescent="0.25">
      <c r="A50" s="13" t="s">
        <v>134</v>
      </c>
      <c r="B50" s="8">
        <v>0</v>
      </c>
      <c r="C50" s="4">
        <v>0</v>
      </c>
      <c r="D50" s="6">
        <f t="shared" si="0"/>
        <v>0</v>
      </c>
      <c r="E50" s="8">
        <v>36</v>
      </c>
      <c r="F50" s="4">
        <v>8</v>
      </c>
      <c r="G50" s="4">
        <v>0</v>
      </c>
      <c r="H50" s="9">
        <f t="shared" si="1"/>
        <v>44</v>
      </c>
      <c r="I50" s="16">
        <f t="shared" si="2"/>
        <v>44</v>
      </c>
    </row>
    <row r="51" spans="1:9" x14ac:dyDescent="0.25">
      <c r="A51" s="13" t="s">
        <v>35</v>
      </c>
      <c r="B51" s="8">
        <v>500</v>
      </c>
      <c r="C51" s="4">
        <v>27</v>
      </c>
      <c r="D51" s="6">
        <f t="shared" si="0"/>
        <v>527</v>
      </c>
      <c r="E51" s="8">
        <v>40</v>
      </c>
      <c r="F51" s="4">
        <v>0</v>
      </c>
      <c r="G51" s="4">
        <v>0</v>
      </c>
      <c r="H51" s="9">
        <f t="shared" si="1"/>
        <v>40</v>
      </c>
      <c r="I51" s="16">
        <f t="shared" si="2"/>
        <v>567</v>
      </c>
    </row>
    <row r="52" spans="1:9" x14ac:dyDescent="0.25">
      <c r="A52" s="13" t="s">
        <v>36</v>
      </c>
      <c r="B52" s="8">
        <v>243</v>
      </c>
      <c r="C52" s="4">
        <v>15</v>
      </c>
      <c r="D52" s="6">
        <f t="shared" si="0"/>
        <v>258</v>
      </c>
      <c r="E52" s="8">
        <v>94</v>
      </c>
      <c r="F52" s="4">
        <v>55</v>
      </c>
      <c r="G52" s="4">
        <v>0</v>
      </c>
      <c r="H52" s="9">
        <f t="shared" si="1"/>
        <v>149</v>
      </c>
      <c r="I52" s="16">
        <f t="shared" si="2"/>
        <v>407</v>
      </c>
    </row>
    <row r="53" spans="1:9" x14ac:dyDescent="0.25">
      <c r="A53" s="13" t="s">
        <v>37</v>
      </c>
      <c r="B53" s="8">
        <v>17</v>
      </c>
      <c r="C53" s="4">
        <v>0</v>
      </c>
      <c r="D53" s="6">
        <f t="shared" si="0"/>
        <v>17</v>
      </c>
      <c r="E53" s="8">
        <v>63</v>
      </c>
      <c r="F53" s="4">
        <v>33</v>
      </c>
      <c r="G53" s="4">
        <v>1</v>
      </c>
      <c r="H53" s="9">
        <f t="shared" si="1"/>
        <v>97</v>
      </c>
      <c r="I53" s="16">
        <f t="shared" si="2"/>
        <v>114</v>
      </c>
    </row>
    <row r="54" spans="1:9" x14ac:dyDescent="0.25">
      <c r="A54" s="13" t="s">
        <v>135</v>
      </c>
      <c r="B54" s="8">
        <v>77</v>
      </c>
      <c r="C54" s="4">
        <v>1</v>
      </c>
      <c r="D54" s="6">
        <f t="shared" si="0"/>
        <v>78</v>
      </c>
      <c r="E54" s="8">
        <v>0</v>
      </c>
      <c r="F54" s="4">
        <v>0</v>
      </c>
      <c r="G54" s="4">
        <v>0</v>
      </c>
      <c r="H54" s="9">
        <f t="shared" si="1"/>
        <v>0</v>
      </c>
      <c r="I54" s="16">
        <f t="shared" si="2"/>
        <v>78</v>
      </c>
    </row>
    <row r="55" spans="1:9" x14ac:dyDescent="0.25">
      <c r="A55" s="13" t="s">
        <v>39</v>
      </c>
      <c r="B55" s="8">
        <v>101</v>
      </c>
      <c r="C55" s="4">
        <v>4</v>
      </c>
      <c r="D55" s="6">
        <f t="shared" si="0"/>
        <v>105</v>
      </c>
      <c r="E55" s="8">
        <v>28</v>
      </c>
      <c r="F55" s="4">
        <v>3</v>
      </c>
      <c r="G55" s="4">
        <v>0</v>
      </c>
      <c r="H55" s="9">
        <f t="shared" si="1"/>
        <v>31</v>
      </c>
      <c r="I55" s="16">
        <f t="shared" si="2"/>
        <v>136</v>
      </c>
    </row>
    <row r="56" spans="1:9" x14ac:dyDescent="0.25">
      <c r="A56" s="13" t="s">
        <v>40</v>
      </c>
      <c r="B56" s="8">
        <v>135</v>
      </c>
      <c r="C56" s="4">
        <v>0</v>
      </c>
      <c r="D56" s="6">
        <f t="shared" si="0"/>
        <v>135</v>
      </c>
      <c r="E56" s="8">
        <v>38</v>
      </c>
      <c r="F56" s="4">
        <v>5</v>
      </c>
      <c r="G56" s="4">
        <v>0</v>
      </c>
      <c r="H56" s="9">
        <f t="shared" si="1"/>
        <v>43</v>
      </c>
      <c r="I56" s="16">
        <f t="shared" si="2"/>
        <v>178</v>
      </c>
    </row>
    <row r="57" spans="1:9" x14ac:dyDescent="0.25">
      <c r="A57" s="13" t="s">
        <v>41</v>
      </c>
      <c r="B57" s="8">
        <v>88</v>
      </c>
      <c r="C57" s="4">
        <v>2</v>
      </c>
      <c r="D57" s="6">
        <f t="shared" si="0"/>
        <v>90</v>
      </c>
      <c r="E57" s="8">
        <v>58</v>
      </c>
      <c r="F57" s="4">
        <v>9</v>
      </c>
      <c r="G57" s="4">
        <v>0</v>
      </c>
      <c r="H57" s="9">
        <f t="shared" si="1"/>
        <v>67</v>
      </c>
      <c r="I57" s="16">
        <f t="shared" si="2"/>
        <v>157</v>
      </c>
    </row>
    <row r="58" spans="1:9" x14ac:dyDescent="0.25">
      <c r="A58" s="13" t="s">
        <v>43</v>
      </c>
      <c r="B58" s="8">
        <v>352</v>
      </c>
      <c r="C58" s="4">
        <v>49</v>
      </c>
      <c r="D58" s="6">
        <f t="shared" si="0"/>
        <v>401</v>
      </c>
      <c r="E58" s="8">
        <v>109</v>
      </c>
      <c r="F58" s="4">
        <v>5</v>
      </c>
      <c r="G58" s="4">
        <v>1</v>
      </c>
      <c r="H58" s="9">
        <f t="shared" si="1"/>
        <v>115</v>
      </c>
      <c r="I58" s="16">
        <f t="shared" si="2"/>
        <v>516</v>
      </c>
    </row>
    <row r="59" spans="1:9" x14ac:dyDescent="0.25">
      <c r="A59" s="13" t="s">
        <v>44</v>
      </c>
      <c r="B59" s="8">
        <v>337</v>
      </c>
      <c r="C59" s="4">
        <v>9</v>
      </c>
      <c r="D59" s="6">
        <f t="shared" si="0"/>
        <v>346</v>
      </c>
      <c r="E59" s="8">
        <v>53</v>
      </c>
      <c r="F59" s="4">
        <v>95</v>
      </c>
      <c r="G59" s="4">
        <v>0</v>
      </c>
      <c r="H59" s="9">
        <f t="shared" si="1"/>
        <v>148</v>
      </c>
      <c r="I59" s="16">
        <f t="shared" si="2"/>
        <v>494</v>
      </c>
    </row>
    <row r="60" spans="1:9" x14ac:dyDescent="0.25">
      <c r="A60" s="13" t="s">
        <v>136</v>
      </c>
      <c r="B60" s="8">
        <v>29</v>
      </c>
      <c r="C60" s="4">
        <v>0</v>
      </c>
      <c r="D60" s="6">
        <f t="shared" si="0"/>
        <v>29</v>
      </c>
      <c r="E60" s="8">
        <v>138</v>
      </c>
      <c r="F60" s="4">
        <v>28</v>
      </c>
      <c r="G60" s="4">
        <v>0</v>
      </c>
      <c r="H60" s="9">
        <f t="shared" si="1"/>
        <v>166</v>
      </c>
      <c r="I60" s="16">
        <f t="shared" si="2"/>
        <v>195</v>
      </c>
    </row>
    <row r="61" spans="1:9" x14ac:dyDescent="0.25">
      <c r="A61" s="13" t="s">
        <v>45</v>
      </c>
      <c r="B61" s="8">
        <v>356</v>
      </c>
      <c r="C61" s="4">
        <v>3</v>
      </c>
      <c r="D61" s="6">
        <f t="shared" si="0"/>
        <v>359</v>
      </c>
      <c r="E61" s="8">
        <v>285</v>
      </c>
      <c r="F61" s="4">
        <v>149</v>
      </c>
      <c r="G61" s="4">
        <v>0</v>
      </c>
      <c r="H61" s="9">
        <f t="shared" si="1"/>
        <v>434</v>
      </c>
      <c r="I61" s="16">
        <f t="shared" si="2"/>
        <v>793</v>
      </c>
    </row>
    <row r="62" spans="1:9" x14ac:dyDescent="0.25">
      <c r="A62" s="13" t="s">
        <v>46</v>
      </c>
      <c r="B62" s="8">
        <v>89</v>
      </c>
      <c r="C62" s="4">
        <v>4</v>
      </c>
      <c r="D62" s="6">
        <f t="shared" si="0"/>
        <v>93</v>
      </c>
      <c r="E62" s="8">
        <v>9</v>
      </c>
      <c r="F62" s="4">
        <v>3</v>
      </c>
      <c r="G62" s="4">
        <v>1</v>
      </c>
      <c r="H62" s="9">
        <f t="shared" si="1"/>
        <v>13</v>
      </c>
      <c r="I62" s="16">
        <f t="shared" si="2"/>
        <v>106</v>
      </c>
    </row>
    <row r="63" spans="1:9" x14ac:dyDescent="0.25">
      <c r="A63" s="13" t="s">
        <v>117</v>
      </c>
      <c r="B63" s="8">
        <v>497</v>
      </c>
      <c r="C63" s="4">
        <v>10</v>
      </c>
      <c r="D63" s="6">
        <f t="shared" si="0"/>
        <v>507</v>
      </c>
      <c r="E63" s="8">
        <v>106</v>
      </c>
      <c r="F63" s="4">
        <v>31</v>
      </c>
      <c r="G63" s="4">
        <v>2</v>
      </c>
      <c r="H63" s="9">
        <f t="shared" si="1"/>
        <v>139</v>
      </c>
      <c r="I63" s="16">
        <f t="shared" si="2"/>
        <v>646</v>
      </c>
    </row>
    <row r="64" spans="1:9" x14ac:dyDescent="0.25">
      <c r="A64" s="13" t="s">
        <v>47</v>
      </c>
      <c r="B64" s="8">
        <v>61</v>
      </c>
      <c r="C64" s="4">
        <v>3</v>
      </c>
      <c r="D64" s="6">
        <f t="shared" si="0"/>
        <v>64</v>
      </c>
      <c r="E64" s="8">
        <v>5</v>
      </c>
      <c r="F64" s="4">
        <v>4</v>
      </c>
      <c r="G64" s="4">
        <v>0</v>
      </c>
      <c r="H64" s="9">
        <f t="shared" si="1"/>
        <v>9</v>
      </c>
      <c r="I64" s="16">
        <f t="shared" si="2"/>
        <v>73</v>
      </c>
    </row>
    <row r="65" spans="1:9" x14ac:dyDescent="0.25">
      <c r="A65" s="13" t="s">
        <v>48</v>
      </c>
      <c r="B65" s="8">
        <v>0</v>
      </c>
      <c r="C65" s="4">
        <v>0</v>
      </c>
      <c r="D65" s="6">
        <f t="shared" si="0"/>
        <v>0</v>
      </c>
      <c r="E65" s="8">
        <v>23</v>
      </c>
      <c r="F65" s="4">
        <v>2</v>
      </c>
      <c r="G65" s="4">
        <v>0</v>
      </c>
      <c r="H65" s="9">
        <f t="shared" si="1"/>
        <v>25</v>
      </c>
      <c r="I65" s="16">
        <f t="shared" si="2"/>
        <v>25</v>
      </c>
    </row>
    <row r="66" spans="1:9" x14ac:dyDescent="0.25">
      <c r="A66" s="13" t="s">
        <v>49</v>
      </c>
      <c r="B66" s="8">
        <v>112</v>
      </c>
      <c r="C66" s="4">
        <v>0</v>
      </c>
      <c r="D66" s="6">
        <f t="shared" si="0"/>
        <v>112</v>
      </c>
      <c r="E66" s="8">
        <v>8</v>
      </c>
      <c r="F66" s="4">
        <v>7</v>
      </c>
      <c r="G66" s="4">
        <v>0</v>
      </c>
      <c r="H66" s="9">
        <f t="shared" si="1"/>
        <v>15</v>
      </c>
      <c r="I66" s="16">
        <f t="shared" si="2"/>
        <v>127</v>
      </c>
    </row>
    <row r="67" spans="1:9" x14ac:dyDescent="0.25">
      <c r="A67" s="13" t="s">
        <v>50</v>
      </c>
      <c r="B67" s="8">
        <v>201</v>
      </c>
      <c r="C67" s="4">
        <v>10</v>
      </c>
      <c r="D67" s="6">
        <f t="shared" si="0"/>
        <v>211</v>
      </c>
      <c r="E67" s="8">
        <v>24</v>
      </c>
      <c r="F67" s="4">
        <v>5</v>
      </c>
      <c r="G67" s="4">
        <v>1</v>
      </c>
      <c r="H67" s="9">
        <f t="shared" si="1"/>
        <v>30</v>
      </c>
      <c r="I67" s="16">
        <f t="shared" si="2"/>
        <v>241</v>
      </c>
    </row>
    <row r="68" spans="1:9" x14ac:dyDescent="0.25">
      <c r="A68" s="13" t="s">
        <v>146</v>
      </c>
      <c r="B68" s="8">
        <v>0</v>
      </c>
      <c r="C68" s="4">
        <v>0</v>
      </c>
      <c r="D68" s="6">
        <f t="shared" si="0"/>
        <v>0</v>
      </c>
      <c r="E68" s="8">
        <v>0</v>
      </c>
      <c r="F68" s="4">
        <v>1</v>
      </c>
      <c r="G68" s="4">
        <v>0</v>
      </c>
      <c r="H68" s="9">
        <f t="shared" si="1"/>
        <v>1</v>
      </c>
      <c r="I68" s="16">
        <f t="shared" si="2"/>
        <v>1</v>
      </c>
    </row>
    <row r="69" spans="1:9" x14ac:dyDescent="0.25">
      <c r="A69" s="13" t="s">
        <v>53</v>
      </c>
      <c r="B69" s="8">
        <v>665</v>
      </c>
      <c r="C69" s="4">
        <v>9</v>
      </c>
      <c r="D69" s="6">
        <f t="shared" si="0"/>
        <v>674</v>
      </c>
      <c r="E69" s="8">
        <v>0</v>
      </c>
      <c r="F69" s="4">
        <v>0</v>
      </c>
      <c r="G69" s="4">
        <v>0</v>
      </c>
      <c r="H69" s="9">
        <f t="shared" si="1"/>
        <v>0</v>
      </c>
      <c r="I69" s="16">
        <f t="shared" si="2"/>
        <v>674</v>
      </c>
    </row>
    <row r="70" spans="1:9" x14ac:dyDescent="0.25">
      <c r="A70" s="13" t="s">
        <v>54</v>
      </c>
      <c r="B70" s="8">
        <v>1120</v>
      </c>
      <c r="C70" s="4">
        <v>0</v>
      </c>
      <c r="D70" s="6">
        <f t="shared" si="0"/>
        <v>1120</v>
      </c>
      <c r="E70" s="8">
        <v>1</v>
      </c>
      <c r="F70" s="4">
        <v>27</v>
      </c>
      <c r="G70" s="4">
        <v>0</v>
      </c>
      <c r="H70" s="9">
        <f t="shared" si="1"/>
        <v>28</v>
      </c>
      <c r="I70" s="16">
        <f t="shared" si="2"/>
        <v>1148</v>
      </c>
    </row>
    <row r="71" spans="1:9" x14ac:dyDescent="0.25">
      <c r="A71" s="13" t="s">
        <v>118</v>
      </c>
      <c r="B71" s="8">
        <v>0</v>
      </c>
      <c r="C71" s="4">
        <v>0</v>
      </c>
      <c r="D71" s="6">
        <f t="shared" si="0"/>
        <v>0</v>
      </c>
      <c r="E71" s="8">
        <v>15</v>
      </c>
      <c r="F71" s="4">
        <v>5</v>
      </c>
      <c r="G71" s="4">
        <v>0</v>
      </c>
      <c r="H71" s="9">
        <f t="shared" si="1"/>
        <v>20</v>
      </c>
      <c r="I71" s="16">
        <f t="shared" si="2"/>
        <v>20</v>
      </c>
    </row>
    <row r="72" spans="1:9" x14ac:dyDescent="0.25">
      <c r="A72" s="13" t="s">
        <v>87</v>
      </c>
      <c r="B72" s="8">
        <v>26</v>
      </c>
      <c r="C72" s="4">
        <v>0</v>
      </c>
      <c r="D72" s="6">
        <f t="shared" si="0"/>
        <v>26</v>
      </c>
      <c r="E72" s="8">
        <v>82</v>
      </c>
      <c r="F72" s="4">
        <v>144</v>
      </c>
      <c r="G72" s="4">
        <v>3</v>
      </c>
      <c r="H72" s="9">
        <f t="shared" si="1"/>
        <v>229</v>
      </c>
      <c r="I72" s="16">
        <f t="shared" si="2"/>
        <v>255</v>
      </c>
    </row>
    <row r="73" spans="1:9" x14ac:dyDescent="0.25">
      <c r="A73" s="13" t="s">
        <v>91</v>
      </c>
      <c r="B73" s="8">
        <v>0</v>
      </c>
      <c r="C73" s="4">
        <v>0</v>
      </c>
      <c r="D73" s="6">
        <f t="shared" ref="D73:D98" si="3">B73+C73</f>
        <v>0</v>
      </c>
      <c r="E73" s="8">
        <v>0</v>
      </c>
      <c r="F73" s="4">
        <v>79</v>
      </c>
      <c r="G73" s="4">
        <v>0</v>
      </c>
      <c r="H73" s="9">
        <f t="shared" ref="H73:H97" si="4">E73+F73+G73</f>
        <v>79</v>
      </c>
      <c r="I73" s="16">
        <f t="shared" ref="I73:I98" si="5">H73+D73</f>
        <v>79</v>
      </c>
    </row>
    <row r="74" spans="1:9" x14ac:dyDescent="0.25">
      <c r="A74" s="13" t="s">
        <v>137</v>
      </c>
      <c r="B74" s="8">
        <v>79</v>
      </c>
      <c r="C74" s="4">
        <v>1</v>
      </c>
      <c r="D74" s="6">
        <f t="shared" si="3"/>
        <v>80</v>
      </c>
      <c r="E74" s="8">
        <v>14</v>
      </c>
      <c r="F74" s="4">
        <v>31</v>
      </c>
      <c r="G74" s="4">
        <v>0</v>
      </c>
      <c r="H74" s="9">
        <f t="shared" si="4"/>
        <v>45</v>
      </c>
      <c r="I74" s="16">
        <f t="shared" si="5"/>
        <v>125</v>
      </c>
    </row>
    <row r="75" spans="1:9" x14ac:dyDescent="0.25">
      <c r="A75" s="13" t="s">
        <v>102</v>
      </c>
      <c r="B75" s="8">
        <v>0</v>
      </c>
      <c r="C75" s="4">
        <v>0</v>
      </c>
      <c r="D75" s="6">
        <f t="shared" si="3"/>
        <v>0</v>
      </c>
      <c r="E75" s="8">
        <v>117</v>
      </c>
      <c r="F75" s="4">
        <v>281</v>
      </c>
      <c r="G75" s="4">
        <v>0</v>
      </c>
      <c r="H75" s="9">
        <f t="shared" si="4"/>
        <v>398</v>
      </c>
      <c r="I75" s="16">
        <f t="shared" si="5"/>
        <v>398</v>
      </c>
    </row>
    <row r="76" spans="1:9" x14ac:dyDescent="0.25">
      <c r="A76" s="13" t="s">
        <v>56</v>
      </c>
      <c r="B76" s="8">
        <v>0</v>
      </c>
      <c r="C76" s="4">
        <v>0</v>
      </c>
      <c r="D76" s="6">
        <f t="shared" si="3"/>
        <v>0</v>
      </c>
      <c r="E76" s="8">
        <v>44</v>
      </c>
      <c r="F76" s="4">
        <v>17</v>
      </c>
      <c r="G76" s="4">
        <v>1</v>
      </c>
      <c r="H76" s="9">
        <f t="shared" si="4"/>
        <v>62</v>
      </c>
      <c r="I76" s="16">
        <f t="shared" si="5"/>
        <v>62</v>
      </c>
    </row>
    <row r="77" spans="1:9" x14ac:dyDescent="0.25">
      <c r="A77" s="13" t="s">
        <v>131</v>
      </c>
      <c r="B77" s="8">
        <v>0</v>
      </c>
      <c r="C77" s="4">
        <v>0</v>
      </c>
      <c r="D77" s="6">
        <f t="shared" si="3"/>
        <v>0</v>
      </c>
      <c r="E77" s="8">
        <v>10</v>
      </c>
      <c r="F77" s="4">
        <v>0</v>
      </c>
      <c r="G77" s="4">
        <v>0</v>
      </c>
      <c r="H77" s="9">
        <f t="shared" si="4"/>
        <v>10</v>
      </c>
      <c r="I77" s="16">
        <f t="shared" si="5"/>
        <v>10</v>
      </c>
    </row>
    <row r="78" spans="1:9" x14ac:dyDescent="0.25">
      <c r="A78" s="13" t="s">
        <v>57</v>
      </c>
      <c r="B78" s="8">
        <v>0</v>
      </c>
      <c r="C78" s="4">
        <v>0</v>
      </c>
      <c r="D78" s="6">
        <f t="shared" si="3"/>
        <v>0</v>
      </c>
      <c r="E78" s="8">
        <v>11</v>
      </c>
      <c r="F78" s="4">
        <v>6</v>
      </c>
      <c r="G78" s="4">
        <v>0</v>
      </c>
      <c r="H78" s="9">
        <f t="shared" si="4"/>
        <v>17</v>
      </c>
      <c r="I78" s="16">
        <f t="shared" si="5"/>
        <v>17</v>
      </c>
    </row>
    <row r="79" spans="1:9" x14ac:dyDescent="0.25">
      <c r="A79" s="13" t="s">
        <v>109</v>
      </c>
      <c r="B79" s="8">
        <v>15</v>
      </c>
      <c r="C79" s="4">
        <v>0</v>
      </c>
      <c r="D79" s="6">
        <f t="shared" si="3"/>
        <v>15</v>
      </c>
      <c r="E79" s="8">
        <v>55</v>
      </c>
      <c r="F79" s="4">
        <v>24</v>
      </c>
      <c r="G79" s="4">
        <v>0</v>
      </c>
      <c r="H79" s="9">
        <f t="shared" si="4"/>
        <v>79</v>
      </c>
      <c r="I79" s="16">
        <f t="shared" si="5"/>
        <v>94</v>
      </c>
    </row>
    <row r="80" spans="1:9" x14ac:dyDescent="0.25">
      <c r="A80" s="13" t="s">
        <v>129</v>
      </c>
      <c r="B80" s="8">
        <v>0</v>
      </c>
      <c r="C80" s="4">
        <v>0</v>
      </c>
      <c r="D80" s="6">
        <f t="shared" si="3"/>
        <v>0</v>
      </c>
      <c r="E80" s="8">
        <v>19</v>
      </c>
      <c r="F80" s="4">
        <v>36</v>
      </c>
      <c r="G80" s="4">
        <v>0</v>
      </c>
      <c r="H80" s="9">
        <f t="shared" si="4"/>
        <v>55</v>
      </c>
      <c r="I80" s="16">
        <f t="shared" si="5"/>
        <v>55</v>
      </c>
    </row>
    <row r="81" spans="1:9" x14ac:dyDescent="0.25">
      <c r="A81" s="13" t="s">
        <v>61</v>
      </c>
      <c r="B81" s="8">
        <v>13</v>
      </c>
      <c r="C81" s="4">
        <v>0</v>
      </c>
      <c r="D81" s="6">
        <f t="shared" si="3"/>
        <v>13</v>
      </c>
      <c r="E81" s="8">
        <v>59</v>
      </c>
      <c r="F81" s="4">
        <v>69</v>
      </c>
      <c r="G81" s="4">
        <v>0</v>
      </c>
      <c r="H81" s="9">
        <f t="shared" si="4"/>
        <v>128</v>
      </c>
      <c r="I81" s="16">
        <f t="shared" si="5"/>
        <v>141</v>
      </c>
    </row>
    <row r="82" spans="1:9" x14ac:dyDescent="0.25">
      <c r="A82" s="13" t="s">
        <v>132</v>
      </c>
      <c r="B82" s="8">
        <v>0</v>
      </c>
      <c r="C82" s="4">
        <v>0</v>
      </c>
      <c r="D82" s="6">
        <f t="shared" si="3"/>
        <v>0</v>
      </c>
      <c r="E82" s="8">
        <v>3</v>
      </c>
      <c r="F82" s="4">
        <v>53</v>
      </c>
      <c r="G82" s="4">
        <v>0</v>
      </c>
      <c r="H82" s="9">
        <f t="shared" si="4"/>
        <v>56</v>
      </c>
      <c r="I82" s="16">
        <f t="shared" si="5"/>
        <v>56</v>
      </c>
    </row>
    <row r="83" spans="1:9" x14ac:dyDescent="0.25">
      <c r="A83" s="13" t="s">
        <v>111</v>
      </c>
      <c r="B83" s="8">
        <v>0</v>
      </c>
      <c r="C83" s="4">
        <v>0</v>
      </c>
      <c r="D83" s="6">
        <f t="shared" si="3"/>
        <v>0</v>
      </c>
      <c r="E83" s="8">
        <v>1</v>
      </c>
      <c r="F83" s="4">
        <v>2</v>
      </c>
      <c r="G83" s="4">
        <v>0</v>
      </c>
      <c r="H83" s="9">
        <f t="shared" si="4"/>
        <v>3</v>
      </c>
      <c r="I83" s="16">
        <f t="shared" si="5"/>
        <v>3</v>
      </c>
    </row>
    <row r="84" spans="1:9" x14ac:dyDescent="0.25">
      <c r="A84" s="13" t="s">
        <v>94</v>
      </c>
      <c r="B84" s="8">
        <v>0</v>
      </c>
      <c r="C84" s="4">
        <v>0</v>
      </c>
      <c r="D84" s="6">
        <f t="shared" si="3"/>
        <v>0</v>
      </c>
      <c r="E84" s="8">
        <v>73</v>
      </c>
      <c r="F84" s="4">
        <v>54</v>
      </c>
      <c r="G84" s="4">
        <v>1</v>
      </c>
      <c r="H84" s="9">
        <f t="shared" si="4"/>
        <v>128</v>
      </c>
      <c r="I84" s="16">
        <f t="shared" si="5"/>
        <v>128</v>
      </c>
    </row>
    <row r="85" spans="1:9" x14ac:dyDescent="0.25">
      <c r="A85" s="13" t="s">
        <v>64</v>
      </c>
      <c r="B85" s="8">
        <v>0</v>
      </c>
      <c r="C85" s="4">
        <v>0</v>
      </c>
      <c r="D85" s="6">
        <f t="shared" si="3"/>
        <v>0</v>
      </c>
      <c r="E85" s="8">
        <v>3</v>
      </c>
      <c r="F85" s="4">
        <v>0</v>
      </c>
      <c r="G85" s="4">
        <v>0</v>
      </c>
      <c r="H85" s="9">
        <f t="shared" si="4"/>
        <v>3</v>
      </c>
      <c r="I85" s="16">
        <f t="shared" si="5"/>
        <v>3</v>
      </c>
    </row>
    <row r="86" spans="1:9" x14ac:dyDescent="0.25">
      <c r="A86" s="13" t="s">
        <v>65</v>
      </c>
      <c r="B86" s="8">
        <v>0</v>
      </c>
      <c r="C86" s="4">
        <v>0</v>
      </c>
      <c r="D86" s="6">
        <f t="shared" si="3"/>
        <v>0</v>
      </c>
      <c r="E86" s="8">
        <v>14</v>
      </c>
      <c r="F86" s="4">
        <v>14</v>
      </c>
      <c r="G86" s="4">
        <v>0</v>
      </c>
      <c r="H86" s="9">
        <f t="shared" si="4"/>
        <v>28</v>
      </c>
      <c r="I86" s="16">
        <f t="shared" si="5"/>
        <v>28</v>
      </c>
    </row>
    <row r="87" spans="1:9" x14ac:dyDescent="0.25">
      <c r="A87" s="13" t="s">
        <v>66</v>
      </c>
      <c r="B87" s="8">
        <v>0</v>
      </c>
      <c r="C87" s="4">
        <v>0</v>
      </c>
      <c r="D87" s="6">
        <f t="shared" si="3"/>
        <v>0</v>
      </c>
      <c r="E87" s="8">
        <v>20</v>
      </c>
      <c r="F87" s="4">
        <v>4</v>
      </c>
      <c r="G87" s="4">
        <v>0</v>
      </c>
      <c r="H87" s="9">
        <f t="shared" si="4"/>
        <v>24</v>
      </c>
      <c r="I87" s="16">
        <f t="shared" si="5"/>
        <v>24</v>
      </c>
    </row>
    <row r="88" spans="1:9" x14ac:dyDescent="0.25">
      <c r="A88" s="13" t="s">
        <v>75</v>
      </c>
      <c r="B88" s="8">
        <v>0</v>
      </c>
      <c r="C88" s="4">
        <v>0</v>
      </c>
      <c r="D88" s="6">
        <f t="shared" si="3"/>
        <v>0</v>
      </c>
      <c r="E88" s="8">
        <v>28</v>
      </c>
      <c r="F88" s="4">
        <v>18</v>
      </c>
      <c r="G88" s="4">
        <v>1</v>
      </c>
      <c r="H88" s="9">
        <f t="shared" si="4"/>
        <v>47</v>
      </c>
      <c r="I88" s="16">
        <f t="shared" si="5"/>
        <v>47</v>
      </c>
    </row>
    <row r="89" spans="1:9" x14ac:dyDescent="0.25">
      <c r="A89" s="13" t="s">
        <v>147</v>
      </c>
      <c r="B89" s="8">
        <v>20</v>
      </c>
      <c r="C89" s="4">
        <v>0</v>
      </c>
      <c r="D89" s="6">
        <f t="shared" si="3"/>
        <v>20</v>
      </c>
      <c r="E89" s="8">
        <v>11</v>
      </c>
      <c r="F89" s="4">
        <v>4</v>
      </c>
      <c r="G89" s="4">
        <v>0</v>
      </c>
      <c r="H89" s="9">
        <f t="shared" si="4"/>
        <v>15</v>
      </c>
      <c r="I89" s="16">
        <f t="shared" si="5"/>
        <v>35</v>
      </c>
    </row>
    <row r="90" spans="1:9" x14ac:dyDescent="0.25">
      <c r="A90" s="13" t="s">
        <v>133</v>
      </c>
      <c r="B90" s="8">
        <v>0</v>
      </c>
      <c r="C90" s="4">
        <v>0</v>
      </c>
      <c r="D90" s="6">
        <f t="shared" si="3"/>
        <v>0</v>
      </c>
      <c r="E90" s="8">
        <v>5</v>
      </c>
      <c r="F90" s="4">
        <v>4</v>
      </c>
      <c r="G90" s="4">
        <v>0</v>
      </c>
      <c r="H90" s="9">
        <f t="shared" si="4"/>
        <v>9</v>
      </c>
      <c r="I90" s="16">
        <f t="shared" si="5"/>
        <v>9</v>
      </c>
    </row>
    <row r="91" spans="1:9" x14ac:dyDescent="0.25">
      <c r="A91" s="13" t="s">
        <v>113</v>
      </c>
      <c r="B91" s="8">
        <v>11</v>
      </c>
      <c r="C91" s="4">
        <v>0</v>
      </c>
      <c r="D91" s="6">
        <f t="shared" si="3"/>
        <v>11</v>
      </c>
      <c r="E91" s="8">
        <v>13</v>
      </c>
      <c r="F91" s="4">
        <v>32</v>
      </c>
      <c r="G91" s="4">
        <v>0</v>
      </c>
      <c r="H91" s="9">
        <f t="shared" si="4"/>
        <v>45</v>
      </c>
      <c r="I91" s="16">
        <f t="shared" si="5"/>
        <v>56</v>
      </c>
    </row>
    <row r="92" spans="1:9" x14ac:dyDescent="0.25">
      <c r="A92" s="13" t="s">
        <v>72</v>
      </c>
      <c r="B92" s="8">
        <v>0</v>
      </c>
      <c r="C92" s="4">
        <v>0</v>
      </c>
      <c r="D92" s="6">
        <f t="shared" si="3"/>
        <v>0</v>
      </c>
      <c r="E92" s="8">
        <v>10</v>
      </c>
      <c r="F92" s="4">
        <v>43</v>
      </c>
      <c r="G92" s="4">
        <v>0</v>
      </c>
      <c r="H92" s="9">
        <f t="shared" si="4"/>
        <v>53</v>
      </c>
      <c r="I92" s="16">
        <f t="shared" si="5"/>
        <v>53</v>
      </c>
    </row>
    <row r="93" spans="1:9" x14ac:dyDescent="0.25">
      <c r="A93" s="13" t="s">
        <v>139</v>
      </c>
      <c r="B93" s="8">
        <v>0</v>
      </c>
      <c r="C93" s="4">
        <v>0</v>
      </c>
      <c r="D93" s="6">
        <f t="shared" si="3"/>
        <v>0</v>
      </c>
      <c r="E93" s="8">
        <v>5</v>
      </c>
      <c r="F93" s="4">
        <v>27</v>
      </c>
      <c r="G93" s="4">
        <v>0</v>
      </c>
      <c r="H93" s="9">
        <f t="shared" si="4"/>
        <v>32</v>
      </c>
      <c r="I93" s="16">
        <f t="shared" si="5"/>
        <v>32</v>
      </c>
    </row>
    <row r="94" spans="1:9" x14ac:dyDescent="0.25">
      <c r="A94" s="13"/>
      <c r="B94" s="8"/>
      <c r="C94" s="4"/>
      <c r="D94" s="6">
        <f t="shared" si="3"/>
        <v>0</v>
      </c>
      <c r="E94" s="8"/>
      <c r="F94" s="4"/>
      <c r="G94" s="4"/>
      <c r="H94" s="9">
        <f t="shared" si="4"/>
        <v>0</v>
      </c>
      <c r="I94" s="16">
        <f t="shared" si="5"/>
        <v>0</v>
      </c>
    </row>
    <row r="95" spans="1:9" x14ac:dyDescent="0.25">
      <c r="A95" s="13"/>
      <c r="B95" s="8"/>
      <c r="C95" s="4"/>
      <c r="D95" s="6">
        <f t="shared" si="3"/>
        <v>0</v>
      </c>
      <c r="E95" s="8"/>
      <c r="F95" s="4"/>
      <c r="G95" s="4"/>
      <c r="H95" s="9">
        <f t="shared" si="4"/>
        <v>0</v>
      </c>
      <c r="I95" s="16">
        <f t="shared" si="5"/>
        <v>0</v>
      </c>
    </row>
    <row r="96" spans="1:9" x14ac:dyDescent="0.25">
      <c r="A96" s="13"/>
      <c r="B96" s="8"/>
      <c r="C96" s="4"/>
      <c r="D96" s="6">
        <f t="shared" si="3"/>
        <v>0</v>
      </c>
      <c r="E96" s="8"/>
      <c r="F96" s="4"/>
      <c r="G96" s="4"/>
      <c r="H96" s="9">
        <f t="shared" si="4"/>
        <v>0</v>
      </c>
      <c r="I96" s="16">
        <f t="shared" si="5"/>
        <v>0</v>
      </c>
    </row>
    <row r="97" spans="1:9" x14ac:dyDescent="0.25">
      <c r="A97" s="13"/>
      <c r="B97" s="8"/>
      <c r="C97" s="4"/>
      <c r="D97" s="6">
        <f t="shared" si="3"/>
        <v>0</v>
      </c>
      <c r="E97" s="8"/>
      <c r="F97" s="4"/>
      <c r="G97" s="4"/>
      <c r="H97" s="9">
        <f t="shared" si="4"/>
        <v>0</v>
      </c>
      <c r="I97" s="16">
        <f t="shared" si="5"/>
        <v>0</v>
      </c>
    </row>
    <row r="98" spans="1:9" ht="15.75" thickBot="1" x14ac:dyDescent="0.3">
      <c r="A98" s="14"/>
      <c r="B98" s="10"/>
      <c r="C98" s="5"/>
      <c r="D98" s="7">
        <f t="shared" si="3"/>
        <v>0</v>
      </c>
      <c r="E98" s="10"/>
      <c r="F98" s="5"/>
      <c r="G98" s="5"/>
      <c r="H98" s="11">
        <f>E98+F98+G98</f>
        <v>0</v>
      </c>
      <c r="I98" s="25">
        <f t="shared" si="5"/>
        <v>0</v>
      </c>
    </row>
    <row r="99" spans="1:9" ht="16.5" thickTop="1" thickBot="1" x14ac:dyDescent="0.3">
      <c r="A99" s="15" t="s">
        <v>0</v>
      </c>
      <c r="B99" s="12">
        <f>SUM(B8:B98)</f>
        <v>11679</v>
      </c>
      <c r="C99" s="12">
        <f t="shared" ref="C99:I99" si="6">SUM(C8:C98)</f>
        <v>251</v>
      </c>
      <c r="D99" s="15">
        <f t="shared" si="6"/>
        <v>11930</v>
      </c>
      <c r="E99" s="12">
        <f t="shared" si="6"/>
        <v>4775</v>
      </c>
      <c r="F99" s="12">
        <f t="shared" si="6"/>
        <v>2600</v>
      </c>
      <c r="G99" s="12">
        <f t="shared" si="6"/>
        <v>60</v>
      </c>
      <c r="H99" s="18">
        <f t="shared" si="6"/>
        <v>7435</v>
      </c>
      <c r="I99" s="18">
        <f t="shared" si="6"/>
        <v>19365</v>
      </c>
    </row>
    <row r="101" spans="1:9" x14ac:dyDescent="0.25">
      <c r="A101" s="33" t="s">
        <v>88</v>
      </c>
      <c r="B101" s="33"/>
      <c r="C101" s="33"/>
      <c r="D101" s="33"/>
      <c r="E101" s="33"/>
      <c r="F101" s="33"/>
      <c r="G101" s="33"/>
      <c r="H101" s="33"/>
      <c r="I101" s="33"/>
    </row>
    <row r="102" spans="1:9" x14ac:dyDescent="0.25">
      <c r="A102" s="33"/>
      <c r="B102" s="33"/>
      <c r="C102" s="33"/>
      <c r="D102" s="33"/>
      <c r="E102" s="33"/>
      <c r="F102" s="33"/>
      <c r="G102" s="33"/>
      <c r="H102" s="33"/>
      <c r="I102" s="33"/>
    </row>
  </sheetData>
  <mergeCells count="13">
    <mergeCell ref="H6:H7"/>
    <mergeCell ref="A101:I102"/>
    <mergeCell ref="A2:I2"/>
    <mergeCell ref="A5:A7"/>
    <mergeCell ref="B5:D5"/>
    <mergeCell ref="E5:H5"/>
    <mergeCell ref="I5:I7"/>
    <mergeCell ref="B6:B7"/>
    <mergeCell ref="C6:C7"/>
    <mergeCell ref="D6:D7"/>
    <mergeCell ref="E6:E7"/>
    <mergeCell ref="F6:F7"/>
    <mergeCell ref="G6:G7"/>
  </mergeCells>
  <pageMargins left="0.7" right="0.7" top="0.75" bottom="0.75" header="0.3" footer="0.3"/>
  <pageSetup paperSize="9" orientation="portrait" r:id="rId1"/>
  <headerFooter>
    <oddHeader>&amp;CUCL Student Data Statistics</oddHeader>
    <oddFooter>&amp;L&amp;F - &amp;A&amp;RPage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I95"/>
  <sheetViews>
    <sheetView tabSelected="1" view="pageLayout" zoomScale="85" zoomScaleNormal="100" zoomScalePageLayoutView="85" workbookViewId="0">
      <selection activeCell="A47" sqref="A47"/>
    </sheetView>
  </sheetViews>
  <sheetFormatPr defaultColWidth="9" defaultRowHeight="15" x14ac:dyDescent="0.25"/>
  <cols>
    <col min="1" max="1" width="31.28515625" customWidth="1"/>
    <col min="2" max="9" width="6.7109375" customWidth="1"/>
  </cols>
  <sheetData>
    <row r="1" spans="1:9" ht="18" x14ac:dyDescent="0.25">
      <c r="A1" s="1" t="s">
        <v>2</v>
      </c>
      <c r="B1" s="3"/>
    </row>
    <row r="2" spans="1:9" x14ac:dyDescent="0.25">
      <c r="A2" s="34" t="s">
        <v>3</v>
      </c>
      <c r="B2" s="34"/>
      <c r="C2" s="34"/>
      <c r="D2" s="34"/>
      <c r="E2" s="34"/>
      <c r="F2" s="34"/>
      <c r="G2" s="34"/>
      <c r="H2" s="34"/>
      <c r="I2" s="34"/>
    </row>
    <row r="3" spans="1:9" x14ac:dyDescent="0.25">
      <c r="A3" s="28" t="str">
        <f ca="1">RIGHT(CELL("filename",A1),LEN(CELL("filename",A1))-FIND("]",CELL("filename",A1)))</f>
        <v>2005-06</v>
      </c>
      <c r="B3" s="3"/>
    </row>
    <row r="4" spans="1:9" ht="15.75" thickBot="1" x14ac:dyDescent="0.3">
      <c r="A4" s="3"/>
      <c r="B4" s="3"/>
    </row>
    <row r="5" spans="1:9" x14ac:dyDescent="0.25">
      <c r="A5" s="35" t="s">
        <v>4</v>
      </c>
      <c r="B5" s="38" t="s">
        <v>5</v>
      </c>
      <c r="C5" s="39"/>
      <c r="D5" s="39"/>
      <c r="E5" s="38" t="s">
        <v>6</v>
      </c>
      <c r="F5" s="39"/>
      <c r="G5" s="39"/>
      <c r="H5" s="40"/>
      <c r="I5" s="41" t="s">
        <v>0</v>
      </c>
    </row>
    <row r="6" spans="1:9" ht="15" customHeight="1" x14ac:dyDescent="0.25">
      <c r="A6" s="36"/>
      <c r="B6" s="44" t="s">
        <v>76</v>
      </c>
      <c r="C6" s="29" t="s">
        <v>77</v>
      </c>
      <c r="D6" s="46" t="s">
        <v>0</v>
      </c>
      <c r="E6" s="44" t="s">
        <v>76</v>
      </c>
      <c r="F6" s="29" t="s">
        <v>77</v>
      </c>
      <c r="G6" s="29" t="s">
        <v>78</v>
      </c>
      <c r="H6" s="31" t="s">
        <v>0</v>
      </c>
      <c r="I6" s="42"/>
    </row>
    <row r="7" spans="1:9" x14ac:dyDescent="0.25">
      <c r="A7" s="37"/>
      <c r="B7" s="45"/>
      <c r="C7" s="30"/>
      <c r="D7" s="47"/>
      <c r="E7" s="45"/>
      <c r="F7" s="30"/>
      <c r="G7" s="30"/>
      <c r="H7" s="32"/>
      <c r="I7" s="43"/>
    </row>
    <row r="8" spans="1:9" x14ac:dyDescent="0.25">
      <c r="A8" s="13" t="s">
        <v>7</v>
      </c>
      <c r="B8" s="8">
        <v>141</v>
      </c>
      <c r="C8" s="4">
        <v>1</v>
      </c>
      <c r="D8" s="6">
        <f>B8+C8</f>
        <v>142</v>
      </c>
      <c r="E8" s="8">
        <v>101</v>
      </c>
      <c r="F8" s="4">
        <v>17</v>
      </c>
      <c r="G8" s="4">
        <v>2</v>
      </c>
      <c r="H8" s="9">
        <f>E8+F8+G8</f>
        <v>120</v>
      </c>
      <c r="I8" s="16">
        <f>H8+D8</f>
        <v>262</v>
      </c>
    </row>
    <row r="9" spans="1:9" x14ac:dyDescent="0.25">
      <c r="A9" s="13" t="s">
        <v>8</v>
      </c>
      <c r="B9" s="8">
        <v>209</v>
      </c>
      <c r="C9" s="4">
        <v>0</v>
      </c>
      <c r="D9" s="6">
        <f t="shared" ref="D9:D72" si="0">B9+C9</f>
        <v>209</v>
      </c>
      <c r="E9" s="8">
        <v>110</v>
      </c>
      <c r="F9" s="4">
        <v>17</v>
      </c>
      <c r="G9" s="4">
        <v>21</v>
      </c>
      <c r="H9" s="9">
        <f t="shared" ref="H9:H72" si="1">E9+F9+G9</f>
        <v>148</v>
      </c>
      <c r="I9" s="16">
        <f t="shared" ref="I9:I72" si="2">H9+D9</f>
        <v>357</v>
      </c>
    </row>
    <row r="10" spans="1:9" x14ac:dyDescent="0.25">
      <c r="A10" s="13" t="s">
        <v>9</v>
      </c>
      <c r="B10" s="8">
        <v>216</v>
      </c>
      <c r="C10" s="4">
        <v>1</v>
      </c>
      <c r="D10" s="6">
        <f t="shared" si="0"/>
        <v>217</v>
      </c>
      <c r="E10" s="8">
        <v>241</v>
      </c>
      <c r="F10" s="4">
        <v>88</v>
      </c>
      <c r="G10" s="4">
        <v>3</v>
      </c>
      <c r="H10" s="9">
        <f t="shared" si="1"/>
        <v>332</v>
      </c>
      <c r="I10" s="16">
        <f t="shared" si="2"/>
        <v>549</v>
      </c>
    </row>
    <row r="11" spans="1:9" x14ac:dyDescent="0.25">
      <c r="A11" s="13" t="s">
        <v>10</v>
      </c>
      <c r="B11" s="8">
        <v>631</v>
      </c>
      <c r="C11" s="4">
        <v>8</v>
      </c>
      <c r="D11" s="6">
        <f t="shared" si="0"/>
        <v>639</v>
      </c>
      <c r="E11" s="8">
        <v>351</v>
      </c>
      <c r="F11" s="4">
        <v>273</v>
      </c>
      <c r="G11" s="4">
        <v>3</v>
      </c>
      <c r="H11" s="9">
        <f t="shared" si="1"/>
        <v>627</v>
      </c>
      <c r="I11" s="16">
        <f t="shared" si="2"/>
        <v>1266</v>
      </c>
    </row>
    <row r="12" spans="1:9" x14ac:dyDescent="0.25">
      <c r="A12" s="13" t="s">
        <v>95</v>
      </c>
      <c r="B12" s="8">
        <v>118</v>
      </c>
      <c r="C12" s="4">
        <v>0</v>
      </c>
      <c r="D12" s="6">
        <f t="shared" si="0"/>
        <v>118</v>
      </c>
      <c r="E12" s="8">
        <v>97</v>
      </c>
      <c r="F12" s="4">
        <v>10</v>
      </c>
      <c r="G12" s="4">
        <v>1</v>
      </c>
      <c r="H12" s="9">
        <f t="shared" si="1"/>
        <v>108</v>
      </c>
      <c r="I12" s="16">
        <f t="shared" si="2"/>
        <v>226</v>
      </c>
    </row>
    <row r="13" spans="1:9" x14ac:dyDescent="0.25">
      <c r="A13" s="13" t="s">
        <v>11</v>
      </c>
      <c r="B13" s="8">
        <v>187</v>
      </c>
      <c r="C13" s="4">
        <v>3</v>
      </c>
      <c r="D13" s="6">
        <f t="shared" si="0"/>
        <v>190</v>
      </c>
      <c r="E13" s="8">
        <v>101</v>
      </c>
      <c r="F13" s="4">
        <v>4</v>
      </c>
      <c r="G13" s="4">
        <v>0</v>
      </c>
      <c r="H13" s="9">
        <f t="shared" si="1"/>
        <v>105</v>
      </c>
      <c r="I13" s="16">
        <f t="shared" si="2"/>
        <v>295</v>
      </c>
    </row>
    <row r="14" spans="1:9" x14ac:dyDescent="0.25">
      <c r="A14" s="13" t="s">
        <v>12</v>
      </c>
      <c r="B14" s="8">
        <v>214</v>
      </c>
      <c r="C14" s="4">
        <v>2</v>
      </c>
      <c r="D14" s="6">
        <f t="shared" si="0"/>
        <v>216</v>
      </c>
      <c r="E14" s="8">
        <v>61</v>
      </c>
      <c r="F14" s="4">
        <v>7</v>
      </c>
      <c r="G14" s="4">
        <v>0</v>
      </c>
      <c r="H14" s="9">
        <f t="shared" si="1"/>
        <v>68</v>
      </c>
      <c r="I14" s="16">
        <f t="shared" si="2"/>
        <v>284</v>
      </c>
    </row>
    <row r="15" spans="1:9" x14ac:dyDescent="0.25">
      <c r="A15" s="13" t="s">
        <v>116</v>
      </c>
      <c r="B15" s="8">
        <v>0</v>
      </c>
      <c r="C15" s="4">
        <v>0</v>
      </c>
      <c r="D15" s="6">
        <f t="shared" si="0"/>
        <v>0</v>
      </c>
      <c r="E15" s="8">
        <v>0</v>
      </c>
      <c r="F15" s="4">
        <v>2</v>
      </c>
      <c r="G15" s="4">
        <v>0</v>
      </c>
      <c r="H15" s="9">
        <f t="shared" si="1"/>
        <v>2</v>
      </c>
      <c r="I15" s="16">
        <f t="shared" si="2"/>
        <v>2</v>
      </c>
    </row>
    <row r="16" spans="1:9" x14ac:dyDescent="0.25">
      <c r="A16" s="13" t="s">
        <v>125</v>
      </c>
      <c r="B16" s="8">
        <v>0</v>
      </c>
      <c r="C16" s="4">
        <v>0</v>
      </c>
      <c r="D16" s="6">
        <f t="shared" si="0"/>
        <v>0</v>
      </c>
      <c r="E16" s="8">
        <v>37</v>
      </c>
      <c r="F16" s="4">
        <v>14</v>
      </c>
      <c r="G16" s="4">
        <v>2</v>
      </c>
      <c r="H16" s="9">
        <f t="shared" si="1"/>
        <v>53</v>
      </c>
      <c r="I16" s="16">
        <f t="shared" si="2"/>
        <v>53</v>
      </c>
    </row>
    <row r="17" spans="1:9" x14ac:dyDescent="0.25">
      <c r="A17" s="13" t="s">
        <v>101</v>
      </c>
      <c r="B17" s="8">
        <v>0</v>
      </c>
      <c r="C17" s="4">
        <v>0</v>
      </c>
      <c r="D17" s="6">
        <f t="shared" si="0"/>
        <v>0</v>
      </c>
      <c r="E17" s="8">
        <v>36</v>
      </c>
      <c r="F17" s="4">
        <v>0</v>
      </c>
      <c r="G17" s="4">
        <v>0</v>
      </c>
      <c r="H17" s="9">
        <f t="shared" si="1"/>
        <v>36</v>
      </c>
      <c r="I17" s="16">
        <f t="shared" si="2"/>
        <v>36</v>
      </c>
    </row>
    <row r="18" spans="1:9" x14ac:dyDescent="0.25">
      <c r="A18" s="13" t="s">
        <v>130</v>
      </c>
      <c r="B18" s="8">
        <v>0</v>
      </c>
      <c r="C18" s="4">
        <v>0</v>
      </c>
      <c r="D18" s="6">
        <f t="shared" si="0"/>
        <v>0</v>
      </c>
      <c r="E18" s="8">
        <v>0</v>
      </c>
      <c r="F18" s="4">
        <v>100</v>
      </c>
      <c r="G18" s="4">
        <v>0</v>
      </c>
      <c r="H18" s="9">
        <f t="shared" si="1"/>
        <v>100</v>
      </c>
      <c r="I18" s="16">
        <f t="shared" si="2"/>
        <v>100</v>
      </c>
    </row>
    <row r="19" spans="1:9" x14ac:dyDescent="0.25">
      <c r="A19" s="13" t="s">
        <v>96</v>
      </c>
      <c r="B19" s="8">
        <v>149</v>
      </c>
      <c r="C19" s="4">
        <v>2</v>
      </c>
      <c r="D19" s="6">
        <f t="shared" si="0"/>
        <v>151</v>
      </c>
      <c r="E19" s="8">
        <v>32</v>
      </c>
      <c r="F19" s="4">
        <v>7</v>
      </c>
      <c r="G19" s="4">
        <v>0</v>
      </c>
      <c r="H19" s="9">
        <f t="shared" si="1"/>
        <v>39</v>
      </c>
      <c r="I19" s="16">
        <f t="shared" si="2"/>
        <v>190</v>
      </c>
    </row>
    <row r="20" spans="1:9" x14ac:dyDescent="0.25">
      <c r="A20" s="13" t="s">
        <v>14</v>
      </c>
      <c r="B20" s="8">
        <v>269</v>
      </c>
      <c r="C20" s="4">
        <v>1</v>
      </c>
      <c r="D20" s="6">
        <f t="shared" si="0"/>
        <v>270</v>
      </c>
      <c r="E20" s="8">
        <v>106</v>
      </c>
      <c r="F20" s="4">
        <v>4</v>
      </c>
      <c r="G20" s="4">
        <v>1</v>
      </c>
      <c r="H20" s="9">
        <f t="shared" si="1"/>
        <v>111</v>
      </c>
      <c r="I20" s="16">
        <f t="shared" si="2"/>
        <v>381</v>
      </c>
    </row>
    <row r="21" spans="1:9" x14ac:dyDescent="0.25">
      <c r="A21" s="13" t="s">
        <v>15</v>
      </c>
      <c r="B21" s="8">
        <v>211</v>
      </c>
      <c r="C21" s="4">
        <v>0</v>
      </c>
      <c r="D21" s="6">
        <f t="shared" si="0"/>
        <v>211</v>
      </c>
      <c r="E21" s="8">
        <v>47</v>
      </c>
      <c r="F21" s="4">
        <v>6</v>
      </c>
      <c r="G21" s="4">
        <v>0</v>
      </c>
      <c r="H21" s="9">
        <f t="shared" si="1"/>
        <v>53</v>
      </c>
      <c r="I21" s="16">
        <f t="shared" si="2"/>
        <v>264</v>
      </c>
    </row>
    <row r="22" spans="1:9" x14ac:dyDescent="0.25">
      <c r="A22" s="13" t="s">
        <v>16</v>
      </c>
      <c r="B22" s="8">
        <v>208</v>
      </c>
      <c r="C22" s="4">
        <v>1</v>
      </c>
      <c r="D22" s="6">
        <f t="shared" si="0"/>
        <v>209</v>
      </c>
      <c r="E22" s="8">
        <v>199</v>
      </c>
      <c r="F22" s="4">
        <v>17</v>
      </c>
      <c r="G22" s="4">
        <v>0</v>
      </c>
      <c r="H22" s="9">
        <f t="shared" si="1"/>
        <v>216</v>
      </c>
      <c r="I22" s="16">
        <f t="shared" si="2"/>
        <v>425</v>
      </c>
    </row>
    <row r="23" spans="1:9" x14ac:dyDescent="0.25">
      <c r="A23" s="13" t="s">
        <v>17</v>
      </c>
      <c r="B23" s="8">
        <v>0</v>
      </c>
      <c r="C23" s="4">
        <v>0</v>
      </c>
      <c r="D23" s="6">
        <f t="shared" si="0"/>
        <v>0</v>
      </c>
      <c r="E23" s="8">
        <v>100</v>
      </c>
      <c r="F23" s="4">
        <v>15</v>
      </c>
      <c r="G23" s="4">
        <v>7</v>
      </c>
      <c r="H23" s="9">
        <f t="shared" si="1"/>
        <v>122</v>
      </c>
      <c r="I23" s="16">
        <f t="shared" si="2"/>
        <v>122</v>
      </c>
    </row>
    <row r="24" spans="1:9" x14ac:dyDescent="0.25">
      <c r="A24" s="13" t="s">
        <v>18</v>
      </c>
      <c r="B24" s="8">
        <v>32</v>
      </c>
      <c r="C24" s="4">
        <v>2</v>
      </c>
      <c r="D24" s="6">
        <f t="shared" si="0"/>
        <v>34</v>
      </c>
      <c r="E24" s="8">
        <v>29</v>
      </c>
      <c r="F24" s="4">
        <v>9</v>
      </c>
      <c r="G24" s="4">
        <v>0</v>
      </c>
      <c r="H24" s="9">
        <f t="shared" si="1"/>
        <v>38</v>
      </c>
      <c r="I24" s="16">
        <f t="shared" si="2"/>
        <v>72</v>
      </c>
    </row>
    <row r="25" spans="1:9" x14ac:dyDescent="0.25">
      <c r="A25" s="13" t="s">
        <v>122</v>
      </c>
      <c r="B25" s="8">
        <v>144</v>
      </c>
      <c r="C25" s="4">
        <v>1</v>
      </c>
      <c r="D25" s="6">
        <f t="shared" si="0"/>
        <v>145</v>
      </c>
      <c r="E25" s="8">
        <v>55</v>
      </c>
      <c r="F25" s="4">
        <v>21</v>
      </c>
      <c r="G25" s="4">
        <v>1</v>
      </c>
      <c r="H25" s="9">
        <f t="shared" si="1"/>
        <v>77</v>
      </c>
      <c r="I25" s="16">
        <f t="shared" si="2"/>
        <v>222</v>
      </c>
    </row>
    <row r="26" spans="1:9" x14ac:dyDescent="0.25">
      <c r="A26" s="13" t="s">
        <v>19</v>
      </c>
      <c r="B26" s="8">
        <v>554</v>
      </c>
      <c r="C26" s="4">
        <v>11</v>
      </c>
      <c r="D26" s="6">
        <f t="shared" si="0"/>
        <v>565</v>
      </c>
      <c r="E26" s="8">
        <v>129</v>
      </c>
      <c r="F26" s="4">
        <v>8</v>
      </c>
      <c r="G26" s="4">
        <v>0</v>
      </c>
      <c r="H26" s="9">
        <f t="shared" si="1"/>
        <v>137</v>
      </c>
      <c r="I26" s="16">
        <f t="shared" si="2"/>
        <v>702</v>
      </c>
    </row>
    <row r="27" spans="1:9" x14ac:dyDescent="0.25">
      <c r="A27" s="13" t="s">
        <v>20</v>
      </c>
      <c r="B27" s="8">
        <v>178</v>
      </c>
      <c r="C27" s="4">
        <v>0</v>
      </c>
      <c r="D27" s="6">
        <f t="shared" si="0"/>
        <v>178</v>
      </c>
      <c r="E27" s="8">
        <v>130</v>
      </c>
      <c r="F27" s="4">
        <v>191</v>
      </c>
      <c r="G27" s="4">
        <v>0</v>
      </c>
      <c r="H27" s="9">
        <f t="shared" si="1"/>
        <v>321</v>
      </c>
      <c r="I27" s="16">
        <f t="shared" si="2"/>
        <v>499</v>
      </c>
    </row>
    <row r="28" spans="1:9" x14ac:dyDescent="0.25">
      <c r="A28" s="13" t="s">
        <v>21</v>
      </c>
      <c r="B28" s="8">
        <v>277</v>
      </c>
      <c r="C28" s="4">
        <v>0</v>
      </c>
      <c r="D28" s="6">
        <f t="shared" si="0"/>
        <v>277</v>
      </c>
      <c r="E28" s="8">
        <v>56</v>
      </c>
      <c r="F28" s="4">
        <v>11</v>
      </c>
      <c r="G28" s="4">
        <v>0</v>
      </c>
      <c r="H28" s="9">
        <f t="shared" si="1"/>
        <v>67</v>
      </c>
      <c r="I28" s="16">
        <f t="shared" si="2"/>
        <v>344</v>
      </c>
    </row>
    <row r="29" spans="1:9" x14ac:dyDescent="0.25">
      <c r="A29" s="13" t="s">
        <v>126</v>
      </c>
      <c r="B29" s="8">
        <v>148</v>
      </c>
      <c r="C29" s="4">
        <v>1</v>
      </c>
      <c r="D29" s="6">
        <f t="shared" si="0"/>
        <v>149</v>
      </c>
      <c r="E29" s="8">
        <v>0</v>
      </c>
      <c r="F29" s="4">
        <v>0</v>
      </c>
      <c r="G29" s="4">
        <v>0</v>
      </c>
      <c r="H29" s="9">
        <f t="shared" si="1"/>
        <v>0</v>
      </c>
      <c r="I29" s="16">
        <f t="shared" si="2"/>
        <v>149</v>
      </c>
    </row>
    <row r="30" spans="1:9" x14ac:dyDescent="0.25">
      <c r="A30" s="13" t="s">
        <v>22</v>
      </c>
      <c r="B30" s="8">
        <v>151</v>
      </c>
      <c r="C30" s="4">
        <v>0</v>
      </c>
      <c r="D30" s="6">
        <f t="shared" si="0"/>
        <v>151</v>
      </c>
      <c r="E30" s="8">
        <v>114</v>
      </c>
      <c r="F30" s="4">
        <v>3</v>
      </c>
      <c r="G30" s="4">
        <v>0</v>
      </c>
      <c r="H30" s="9">
        <f t="shared" si="1"/>
        <v>117</v>
      </c>
      <c r="I30" s="16">
        <f t="shared" si="2"/>
        <v>268</v>
      </c>
    </row>
    <row r="31" spans="1:9" x14ac:dyDescent="0.25">
      <c r="A31" s="13" t="s">
        <v>23</v>
      </c>
      <c r="B31" s="8">
        <v>229</v>
      </c>
      <c r="C31" s="4">
        <v>0</v>
      </c>
      <c r="D31" s="6">
        <f t="shared" si="0"/>
        <v>229</v>
      </c>
      <c r="E31" s="8">
        <v>10</v>
      </c>
      <c r="F31" s="4">
        <v>5</v>
      </c>
      <c r="G31" s="4">
        <v>1</v>
      </c>
      <c r="H31" s="9">
        <f t="shared" si="1"/>
        <v>16</v>
      </c>
      <c r="I31" s="16">
        <f t="shared" si="2"/>
        <v>245</v>
      </c>
    </row>
    <row r="32" spans="1:9" x14ac:dyDescent="0.25">
      <c r="A32" s="13" t="s">
        <v>97</v>
      </c>
      <c r="B32" s="8">
        <v>0</v>
      </c>
      <c r="C32" s="4">
        <v>0</v>
      </c>
      <c r="D32" s="6">
        <f t="shared" si="0"/>
        <v>0</v>
      </c>
      <c r="E32" s="8">
        <v>9</v>
      </c>
      <c r="F32" s="4">
        <v>0</v>
      </c>
      <c r="G32" s="4">
        <v>0</v>
      </c>
      <c r="H32" s="9">
        <f t="shared" si="1"/>
        <v>9</v>
      </c>
      <c r="I32" s="16">
        <f t="shared" si="2"/>
        <v>9</v>
      </c>
    </row>
    <row r="33" spans="1:9" x14ac:dyDescent="0.25">
      <c r="A33" s="13" t="s">
        <v>24</v>
      </c>
      <c r="B33" s="8">
        <v>338</v>
      </c>
      <c r="C33" s="4">
        <v>2</v>
      </c>
      <c r="D33" s="6">
        <f t="shared" si="0"/>
        <v>340</v>
      </c>
      <c r="E33" s="8">
        <v>110</v>
      </c>
      <c r="F33" s="4">
        <v>19</v>
      </c>
      <c r="G33" s="4">
        <v>3</v>
      </c>
      <c r="H33" s="9">
        <f t="shared" si="1"/>
        <v>132</v>
      </c>
      <c r="I33" s="16">
        <f t="shared" si="2"/>
        <v>472</v>
      </c>
    </row>
    <row r="34" spans="1:9" x14ac:dyDescent="0.25">
      <c r="A34" s="13" t="s">
        <v>89</v>
      </c>
      <c r="B34" s="8">
        <v>32</v>
      </c>
      <c r="C34" s="4">
        <v>0</v>
      </c>
      <c r="D34" s="6">
        <f t="shared" si="0"/>
        <v>32</v>
      </c>
      <c r="E34" s="8">
        <v>57</v>
      </c>
      <c r="F34" s="4">
        <v>13</v>
      </c>
      <c r="G34" s="4">
        <v>0</v>
      </c>
      <c r="H34" s="9">
        <f t="shared" si="1"/>
        <v>70</v>
      </c>
      <c r="I34" s="16">
        <f t="shared" si="2"/>
        <v>102</v>
      </c>
    </row>
    <row r="35" spans="1:9" x14ac:dyDescent="0.25">
      <c r="A35" s="13" t="s">
        <v>26</v>
      </c>
      <c r="B35" s="8">
        <v>154</v>
      </c>
      <c r="C35" s="4">
        <v>0</v>
      </c>
      <c r="D35" s="6">
        <f t="shared" si="0"/>
        <v>154</v>
      </c>
      <c r="E35" s="8">
        <v>4</v>
      </c>
      <c r="F35" s="4">
        <v>2</v>
      </c>
      <c r="G35" s="4">
        <v>0</v>
      </c>
      <c r="H35" s="9">
        <f t="shared" si="1"/>
        <v>6</v>
      </c>
      <c r="I35" s="16">
        <f t="shared" si="2"/>
        <v>160</v>
      </c>
    </row>
    <row r="36" spans="1:9" x14ac:dyDescent="0.25">
      <c r="A36" s="13" t="s">
        <v>81</v>
      </c>
      <c r="B36" s="8">
        <v>153</v>
      </c>
      <c r="C36" s="4">
        <v>4</v>
      </c>
      <c r="D36" s="6">
        <f t="shared" si="0"/>
        <v>157</v>
      </c>
      <c r="E36" s="8">
        <v>22</v>
      </c>
      <c r="F36" s="4">
        <v>14</v>
      </c>
      <c r="G36" s="4">
        <v>0</v>
      </c>
      <c r="H36" s="9">
        <f t="shared" si="1"/>
        <v>36</v>
      </c>
      <c r="I36" s="16">
        <f t="shared" si="2"/>
        <v>193</v>
      </c>
    </row>
    <row r="37" spans="1:9" x14ac:dyDescent="0.25">
      <c r="A37" s="13" t="s">
        <v>82</v>
      </c>
      <c r="B37" s="8">
        <v>31</v>
      </c>
      <c r="C37" s="4">
        <v>8</v>
      </c>
      <c r="D37" s="6">
        <f t="shared" si="0"/>
        <v>39</v>
      </c>
      <c r="E37" s="8">
        <v>14</v>
      </c>
      <c r="F37" s="4">
        <v>18</v>
      </c>
      <c r="G37" s="4">
        <v>0</v>
      </c>
      <c r="H37" s="9">
        <f t="shared" si="1"/>
        <v>32</v>
      </c>
      <c r="I37" s="16">
        <f t="shared" si="2"/>
        <v>71</v>
      </c>
    </row>
    <row r="38" spans="1:9" x14ac:dyDescent="0.25">
      <c r="A38" s="13" t="s">
        <v>30</v>
      </c>
      <c r="B38" s="8">
        <v>320</v>
      </c>
      <c r="C38" s="4">
        <v>2</v>
      </c>
      <c r="D38" s="6">
        <f t="shared" si="0"/>
        <v>322</v>
      </c>
      <c r="E38" s="8">
        <v>72</v>
      </c>
      <c r="F38" s="4">
        <v>22</v>
      </c>
      <c r="G38" s="4">
        <v>0</v>
      </c>
      <c r="H38" s="9">
        <f t="shared" si="1"/>
        <v>94</v>
      </c>
      <c r="I38" s="16">
        <f t="shared" si="2"/>
        <v>416</v>
      </c>
    </row>
    <row r="39" spans="1:9" x14ac:dyDescent="0.25">
      <c r="A39" s="13" t="s">
        <v>83</v>
      </c>
      <c r="B39" s="8">
        <v>168</v>
      </c>
      <c r="C39" s="4">
        <v>2</v>
      </c>
      <c r="D39" s="6">
        <f t="shared" si="0"/>
        <v>170</v>
      </c>
      <c r="E39" s="8">
        <v>48</v>
      </c>
      <c r="F39" s="4">
        <v>14</v>
      </c>
      <c r="G39" s="4">
        <v>0</v>
      </c>
      <c r="H39" s="9">
        <f t="shared" si="1"/>
        <v>62</v>
      </c>
      <c r="I39" s="16">
        <f t="shared" si="2"/>
        <v>232</v>
      </c>
    </row>
    <row r="40" spans="1:9" x14ac:dyDescent="0.25">
      <c r="A40" s="13" t="s">
        <v>32</v>
      </c>
      <c r="B40" s="8">
        <v>205</v>
      </c>
      <c r="C40" s="4">
        <v>8</v>
      </c>
      <c r="D40" s="6">
        <f t="shared" si="0"/>
        <v>213</v>
      </c>
      <c r="E40" s="8">
        <v>67</v>
      </c>
      <c r="F40" s="4">
        <v>9</v>
      </c>
      <c r="G40" s="4">
        <v>0</v>
      </c>
      <c r="H40" s="9">
        <f t="shared" si="1"/>
        <v>76</v>
      </c>
      <c r="I40" s="16">
        <f t="shared" si="2"/>
        <v>289</v>
      </c>
    </row>
    <row r="41" spans="1:9" x14ac:dyDescent="0.25">
      <c r="A41" s="13" t="s">
        <v>127</v>
      </c>
      <c r="B41" s="8">
        <v>112</v>
      </c>
      <c r="C41" s="4">
        <v>0</v>
      </c>
      <c r="D41" s="6">
        <f t="shared" si="0"/>
        <v>112</v>
      </c>
      <c r="E41" s="8">
        <v>0</v>
      </c>
      <c r="F41" s="4">
        <v>0</v>
      </c>
      <c r="G41" s="4">
        <v>0</v>
      </c>
      <c r="H41" s="9">
        <f t="shared" si="1"/>
        <v>0</v>
      </c>
      <c r="I41" s="16">
        <f t="shared" si="2"/>
        <v>112</v>
      </c>
    </row>
    <row r="42" spans="1:9" x14ac:dyDescent="0.25">
      <c r="A42" s="13" t="s">
        <v>33</v>
      </c>
      <c r="B42" s="8">
        <v>196</v>
      </c>
      <c r="C42" s="4">
        <v>7</v>
      </c>
      <c r="D42" s="6">
        <f t="shared" si="0"/>
        <v>203</v>
      </c>
      <c r="E42" s="8">
        <v>38</v>
      </c>
      <c r="F42" s="4">
        <v>13</v>
      </c>
      <c r="G42" s="4">
        <v>0</v>
      </c>
      <c r="H42" s="9">
        <f t="shared" si="1"/>
        <v>51</v>
      </c>
      <c r="I42" s="16">
        <f t="shared" si="2"/>
        <v>254</v>
      </c>
    </row>
    <row r="43" spans="1:9" x14ac:dyDescent="0.25">
      <c r="A43" s="13" t="s">
        <v>128</v>
      </c>
      <c r="B43" s="8">
        <v>87</v>
      </c>
      <c r="C43" s="4">
        <v>0</v>
      </c>
      <c r="D43" s="6">
        <f t="shared" si="0"/>
        <v>87</v>
      </c>
      <c r="E43" s="8">
        <v>0</v>
      </c>
      <c r="F43" s="4">
        <v>0</v>
      </c>
      <c r="G43" s="4">
        <v>0</v>
      </c>
      <c r="H43" s="9">
        <f t="shared" si="1"/>
        <v>0</v>
      </c>
      <c r="I43" s="16">
        <f t="shared" si="2"/>
        <v>87</v>
      </c>
    </row>
    <row r="44" spans="1:9" x14ac:dyDescent="0.25">
      <c r="A44" s="13" t="s">
        <v>1</v>
      </c>
      <c r="B44" s="8">
        <v>560</v>
      </c>
      <c r="C44" s="4">
        <v>0</v>
      </c>
      <c r="D44" s="6">
        <f t="shared" si="0"/>
        <v>560</v>
      </c>
      <c r="E44" s="8">
        <v>393</v>
      </c>
      <c r="F44" s="4">
        <v>44</v>
      </c>
      <c r="G44" s="4">
        <v>0</v>
      </c>
      <c r="H44" s="9">
        <f t="shared" si="1"/>
        <v>437</v>
      </c>
      <c r="I44" s="16">
        <f t="shared" si="2"/>
        <v>997</v>
      </c>
    </row>
    <row r="45" spans="1:9" x14ac:dyDescent="0.25">
      <c r="A45" s="13" t="s">
        <v>34</v>
      </c>
      <c r="B45" s="8">
        <v>91</v>
      </c>
      <c r="C45" s="4">
        <v>1</v>
      </c>
      <c r="D45" s="6">
        <f t="shared" si="0"/>
        <v>92</v>
      </c>
      <c r="E45" s="8">
        <v>78</v>
      </c>
      <c r="F45" s="4">
        <v>79</v>
      </c>
      <c r="G45" s="4">
        <v>0</v>
      </c>
      <c r="H45" s="9">
        <f t="shared" si="1"/>
        <v>157</v>
      </c>
      <c r="I45" s="16">
        <f t="shared" si="2"/>
        <v>249</v>
      </c>
    </row>
    <row r="46" spans="1:9" x14ac:dyDescent="0.25">
      <c r="A46" s="13" t="s">
        <v>134</v>
      </c>
      <c r="B46" s="8">
        <v>0</v>
      </c>
      <c r="C46" s="4">
        <v>0</v>
      </c>
      <c r="D46" s="6">
        <f t="shared" si="0"/>
        <v>0</v>
      </c>
      <c r="E46" s="8">
        <v>11</v>
      </c>
      <c r="F46" s="4">
        <v>9</v>
      </c>
      <c r="G46" s="4">
        <v>0</v>
      </c>
      <c r="H46" s="9">
        <f t="shared" si="1"/>
        <v>20</v>
      </c>
      <c r="I46" s="16">
        <f t="shared" si="2"/>
        <v>20</v>
      </c>
    </row>
    <row r="47" spans="1:9" x14ac:dyDescent="0.25">
      <c r="A47" s="13" t="s">
        <v>35</v>
      </c>
      <c r="B47" s="8">
        <v>480</v>
      </c>
      <c r="C47" s="4">
        <v>11</v>
      </c>
      <c r="D47" s="6">
        <f t="shared" si="0"/>
        <v>491</v>
      </c>
      <c r="E47" s="8">
        <v>32</v>
      </c>
      <c r="F47" s="4">
        <v>0</v>
      </c>
      <c r="G47" s="4">
        <v>0</v>
      </c>
      <c r="H47" s="9">
        <f t="shared" si="1"/>
        <v>32</v>
      </c>
      <c r="I47" s="16">
        <f t="shared" si="2"/>
        <v>523</v>
      </c>
    </row>
    <row r="48" spans="1:9" x14ac:dyDescent="0.25">
      <c r="A48" s="13" t="s">
        <v>36</v>
      </c>
      <c r="B48" s="8">
        <v>268</v>
      </c>
      <c r="C48" s="4">
        <v>11</v>
      </c>
      <c r="D48" s="6">
        <f t="shared" si="0"/>
        <v>279</v>
      </c>
      <c r="E48" s="8">
        <v>62</v>
      </c>
      <c r="F48" s="4">
        <v>51</v>
      </c>
      <c r="G48" s="4">
        <v>0</v>
      </c>
      <c r="H48" s="9">
        <f t="shared" si="1"/>
        <v>113</v>
      </c>
      <c r="I48" s="16">
        <f t="shared" si="2"/>
        <v>392</v>
      </c>
    </row>
    <row r="49" spans="1:9" x14ac:dyDescent="0.25">
      <c r="A49" s="13" t="s">
        <v>37</v>
      </c>
      <c r="B49" s="8">
        <v>19</v>
      </c>
      <c r="C49" s="4">
        <v>1</v>
      </c>
      <c r="D49" s="6">
        <f t="shared" si="0"/>
        <v>20</v>
      </c>
      <c r="E49" s="8">
        <v>56</v>
      </c>
      <c r="F49" s="4">
        <v>41</v>
      </c>
      <c r="G49" s="4">
        <v>0</v>
      </c>
      <c r="H49" s="9">
        <f t="shared" si="1"/>
        <v>97</v>
      </c>
      <c r="I49" s="16">
        <f t="shared" si="2"/>
        <v>117</v>
      </c>
    </row>
    <row r="50" spans="1:9" x14ac:dyDescent="0.25">
      <c r="A50" s="13" t="s">
        <v>135</v>
      </c>
      <c r="B50" s="8">
        <v>25</v>
      </c>
      <c r="C50" s="4">
        <v>0</v>
      </c>
      <c r="D50" s="6">
        <f t="shared" si="0"/>
        <v>25</v>
      </c>
      <c r="E50" s="8">
        <v>0</v>
      </c>
      <c r="F50" s="4">
        <v>0</v>
      </c>
      <c r="G50" s="4">
        <v>0</v>
      </c>
      <c r="H50" s="9">
        <f t="shared" si="1"/>
        <v>0</v>
      </c>
      <c r="I50" s="16">
        <f t="shared" si="2"/>
        <v>25</v>
      </c>
    </row>
    <row r="51" spans="1:9" x14ac:dyDescent="0.25">
      <c r="A51" s="13" t="s">
        <v>39</v>
      </c>
      <c r="B51" s="8">
        <v>108</v>
      </c>
      <c r="C51" s="4">
        <v>3</v>
      </c>
      <c r="D51" s="6">
        <f t="shared" si="0"/>
        <v>111</v>
      </c>
      <c r="E51" s="8">
        <v>25</v>
      </c>
      <c r="F51" s="4">
        <v>2</v>
      </c>
      <c r="G51" s="4">
        <v>0</v>
      </c>
      <c r="H51" s="9">
        <f t="shared" si="1"/>
        <v>27</v>
      </c>
      <c r="I51" s="16">
        <f t="shared" si="2"/>
        <v>138</v>
      </c>
    </row>
    <row r="52" spans="1:9" x14ac:dyDescent="0.25">
      <c r="A52" s="13" t="s">
        <v>40</v>
      </c>
      <c r="B52" s="8">
        <v>146</v>
      </c>
      <c r="C52" s="4">
        <v>0</v>
      </c>
      <c r="D52" s="6">
        <f t="shared" si="0"/>
        <v>146</v>
      </c>
      <c r="E52" s="8">
        <v>37</v>
      </c>
      <c r="F52" s="4">
        <v>8</v>
      </c>
      <c r="G52" s="4">
        <v>0</v>
      </c>
      <c r="H52" s="9">
        <f t="shared" si="1"/>
        <v>45</v>
      </c>
      <c r="I52" s="16">
        <f t="shared" si="2"/>
        <v>191</v>
      </c>
    </row>
    <row r="53" spans="1:9" x14ac:dyDescent="0.25">
      <c r="A53" s="13" t="s">
        <v>41</v>
      </c>
      <c r="B53" s="8">
        <v>104</v>
      </c>
      <c r="C53" s="4">
        <v>0</v>
      </c>
      <c r="D53" s="6">
        <f t="shared" si="0"/>
        <v>104</v>
      </c>
      <c r="E53" s="8">
        <v>63</v>
      </c>
      <c r="F53" s="4">
        <v>19</v>
      </c>
      <c r="G53" s="4">
        <v>0</v>
      </c>
      <c r="H53" s="9">
        <f t="shared" si="1"/>
        <v>82</v>
      </c>
      <c r="I53" s="16">
        <f t="shared" si="2"/>
        <v>186</v>
      </c>
    </row>
    <row r="54" spans="1:9" x14ac:dyDescent="0.25">
      <c r="A54" s="13" t="s">
        <v>43</v>
      </c>
      <c r="B54" s="8">
        <v>333</v>
      </c>
      <c r="C54" s="4">
        <v>70</v>
      </c>
      <c r="D54" s="6">
        <f t="shared" si="0"/>
        <v>403</v>
      </c>
      <c r="E54" s="8">
        <v>102</v>
      </c>
      <c r="F54" s="4">
        <v>5</v>
      </c>
      <c r="G54" s="4">
        <v>1</v>
      </c>
      <c r="H54" s="9">
        <f t="shared" si="1"/>
        <v>108</v>
      </c>
      <c r="I54" s="16">
        <f t="shared" si="2"/>
        <v>511</v>
      </c>
    </row>
    <row r="55" spans="1:9" x14ac:dyDescent="0.25">
      <c r="A55" s="13" t="s">
        <v>44</v>
      </c>
      <c r="B55" s="8">
        <v>293</v>
      </c>
      <c r="C55" s="4">
        <v>4</v>
      </c>
      <c r="D55" s="6">
        <f t="shared" si="0"/>
        <v>297</v>
      </c>
      <c r="E55" s="8">
        <v>37</v>
      </c>
      <c r="F55" s="4">
        <v>84</v>
      </c>
      <c r="G55" s="4">
        <v>0</v>
      </c>
      <c r="H55" s="9">
        <f t="shared" si="1"/>
        <v>121</v>
      </c>
      <c r="I55" s="16">
        <f t="shared" si="2"/>
        <v>418</v>
      </c>
    </row>
    <row r="56" spans="1:9" x14ac:dyDescent="0.25">
      <c r="A56" s="13" t="s">
        <v>136</v>
      </c>
      <c r="B56" s="8">
        <v>0</v>
      </c>
      <c r="C56" s="4">
        <v>0</v>
      </c>
      <c r="D56" s="6">
        <f t="shared" si="0"/>
        <v>0</v>
      </c>
      <c r="E56" s="8">
        <v>165</v>
      </c>
      <c r="F56" s="4">
        <v>51</v>
      </c>
      <c r="G56" s="4">
        <v>0</v>
      </c>
      <c r="H56" s="9">
        <f t="shared" si="1"/>
        <v>216</v>
      </c>
      <c r="I56" s="16">
        <f t="shared" si="2"/>
        <v>216</v>
      </c>
    </row>
    <row r="57" spans="1:9" x14ac:dyDescent="0.25">
      <c r="A57" s="13" t="s">
        <v>45</v>
      </c>
      <c r="B57" s="8">
        <v>357</v>
      </c>
      <c r="C57" s="4">
        <v>3</v>
      </c>
      <c r="D57" s="6">
        <f t="shared" si="0"/>
        <v>360</v>
      </c>
      <c r="E57" s="8">
        <v>261</v>
      </c>
      <c r="F57" s="4">
        <v>130</v>
      </c>
      <c r="G57" s="4">
        <v>0</v>
      </c>
      <c r="H57" s="9">
        <f t="shared" si="1"/>
        <v>391</v>
      </c>
      <c r="I57" s="16">
        <f t="shared" si="2"/>
        <v>751</v>
      </c>
    </row>
    <row r="58" spans="1:9" x14ac:dyDescent="0.25">
      <c r="A58" s="13" t="s">
        <v>46</v>
      </c>
      <c r="B58" s="8">
        <v>101</v>
      </c>
      <c r="C58" s="4">
        <v>2</v>
      </c>
      <c r="D58" s="6">
        <f t="shared" si="0"/>
        <v>103</v>
      </c>
      <c r="E58" s="8">
        <v>13</v>
      </c>
      <c r="F58" s="4">
        <v>7</v>
      </c>
      <c r="G58" s="4">
        <v>1</v>
      </c>
      <c r="H58" s="9">
        <f t="shared" si="1"/>
        <v>21</v>
      </c>
      <c r="I58" s="16">
        <f t="shared" si="2"/>
        <v>124</v>
      </c>
    </row>
    <row r="59" spans="1:9" x14ac:dyDescent="0.25">
      <c r="A59" s="13" t="s">
        <v>117</v>
      </c>
      <c r="B59" s="8">
        <v>556</v>
      </c>
      <c r="C59" s="4">
        <v>6</v>
      </c>
      <c r="D59" s="6">
        <f t="shared" si="0"/>
        <v>562</v>
      </c>
      <c r="E59" s="8">
        <v>82</v>
      </c>
      <c r="F59" s="4">
        <v>40</v>
      </c>
      <c r="G59" s="4">
        <v>1</v>
      </c>
      <c r="H59" s="9">
        <f t="shared" si="1"/>
        <v>123</v>
      </c>
      <c r="I59" s="16">
        <f t="shared" si="2"/>
        <v>685</v>
      </c>
    </row>
    <row r="60" spans="1:9" x14ac:dyDescent="0.25">
      <c r="A60" s="13" t="s">
        <v>47</v>
      </c>
      <c r="B60" s="8">
        <v>66</v>
      </c>
      <c r="C60" s="4">
        <v>1</v>
      </c>
      <c r="D60" s="6">
        <f t="shared" si="0"/>
        <v>67</v>
      </c>
      <c r="E60" s="8">
        <v>6</v>
      </c>
      <c r="F60" s="4">
        <v>5</v>
      </c>
      <c r="G60" s="4">
        <v>0</v>
      </c>
      <c r="H60" s="9">
        <f t="shared" si="1"/>
        <v>11</v>
      </c>
      <c r="I60" s="16">
        <f t="shared" si="2"/>
        <v>78</v>
      </c>
    </row>
    <row r="61" spans="1:9" x14ac:dyDescent="0.25">
      <c r="A61" s="13" t="s">
        <v>48</v>
      </c>
      <c r="B61" s="8">
        <v>0</v>
      </c>
      <c r="C61" s="4">
        <v>0</v>
      </c>
      <c r="D61" s="6">
        <f t="shared" si="0"/>
        <v>0</v>
      </c>
      <c r="E61" s="8">
        <v>31</v>
      </c>
      <c r="F61" s="4">
        <v>2</v>
      </c>
      <c r="G61" s="4">
        <v>0</v>
      </c>
      <c r="H61" s="9">
        <f t="shared" si="1"/>
        <v>33</v>
      </c>
      <c r="I61" s="16">
        <f t="shared" si="2"/>
        <v>33</v>
      </c>
    </row>
    <row r="62" spans="1:9" x14ac:dyDescent="0.25">
      <c r="A62" s="13" t="s">
        <v>49</v>
      </c>
      <c r="B62" s="8">
        <v>128</v>
      </c>
      <c r="C62" s="4">
        <v>0</v>
      </c>
      <c r="D62" s="6">
        <f t="shared" si="0"/>
        <v>128</v>
      </c>
      <c r="E62" s="8">
        <v>7</v>
      </c>
      <c r="F62" s="4">
        <v>7</v>
      </c>
      <c r="G62" s="4">
        <v>0</v>
      </c>
      <c r="H62" s="9">
        <f t="shared" si="1"/>
        <v>14</v>
      </c>
      <c r="I62" s="16">
        <f t="shared" si="2"/>
        <v>142</v>
      </c>
    </row>
    <row r="63" spans="1:9" x14ac:dyDescent="0.25">
      <c r="A63" s="13" t="s">
        <v>50</v>
      </c>
      <c r="B63" s="8">
        <v>203</v>
      </c>
      <c r="C63" s="4">
        <v>5</v>
      </c>
      <c r="D63" s="6">
        <f t="shared" si="0"/>
        <v>208</v>
      </c>
      <c r="E63" s="8">
        <v>36</v>
      </c>
      <c r="F63" s="4">
        <v>5</v>
      </c>
      <c r="G63" s="4">
        <v>0</v>
      </c>
      <c r="H63" s="9">
        <f t="shared" si="1"/>
        <v>41</v>
      </c>
      <c r="I63" s="16">
        <f t="shared" si="2"/>
        <v>249</v>
      </c>
    </row>
    <row r="64" spans="1:9" x14ac:dyDescent="0.25">
      <c r="A64" s="13" t="s">
        <v>53</v>
      </c>
      <c r="B64" s="8">
        <v>673</v>
      </c>
      <c r="C64" s="4">
        <v>0</v>
      </c>
      <c r="D64" s="6">
        <f t="shared" si="0"/>
        <v>673</v>
      </c>
      <c r="E64" s="8">
        <v>0</v>
      </c>
      <c r="F64" s="4">
        <v>0</v>
      </c>
      <c r="G64" s="4">
        <v>0</v>
      </c>
      <c r="H64" s="9">
        <f t="shared" si="1"/>
        <v>0</v>
      </c>
      <c r="I64" s="16">
        <f t="shared" si="2"/>
        <v>673</v>
      </c>
    </row>
    <row r="65" spans="1:9" x14ac:dyDescent="0.25">
      <c r="A65" s="13" t="s">
        <v>54</v>
      </c>
      <c r="B65" s="8">
        <v>1175</v>
      </c>
      <c r="C65" s="4">
        <v>1</v>
      </c>
      <c r="D65" s="6">
        <f t="shared" si="0"/>
        <v>1176</v>
      </c>
      <c r="E65" s="8">
        <v>2</v>
      </c>
      <c r="F65" s="4">
        <v>28</v>
      </c>
      <c r="G65" s="4">
        <v>0</v>
      </c>
      <c r="H65" s="9">
        <f t="shared" si="1"/>
        <v>30</v>
      </c>
      <c r="I65" s="16">
        <f t="shared" si="2"/>
        <v>1206</v>
      </c>
    </row>
    <row r="66" spans="1:9" x14ac:dyDescent="0.25">
      <c r="A66" s="13" t="s">
        <v>118</v>
      </c>
      <c r="B66" s="8">
        <v>0</v>
      </c>
      <c r="C66" s="4">
        <v>0</v>
      </c>
      <c r="D66" s="6">
        <f t="shared" si="0"/>
        <v>0</v>
      </c>
      <c r="E66" s="8">
        <v>13</v>
      </c>
      <c r="F66" s="4">
        <v>6</v>
      </c>
      <c r="G66" s="4">
        <v>0</v>
      </c>
      <c r="H66" s="9">
        <f t="shared" si="1"/>
        <v>19</v>
      </c>
      <c r="I66" s="16">
        <f t="shared" si="2"/>
        <v>19</v>
      </c>
    </row>
    <row r="67" spans="1:9" x14ac:dyDescent="0.25">
      <c r="A67" s="13" t="s">
        <v>87</v>
      </c>
      <c r="B67" s="8">
        <v>0</v>
      </c>
      <c r="C67" s="4">
        <v>0</v>
      </c>
      <c r="D67" s="6">
        <f t="shared" si="0"/>
        <v>0</v>
      </c>
      <c r="E67" s="8">
        <v>103</v>
      </c>
      <c r="F67" s="4">
        <v>121</v>
      </c>
      <c r="G67" s="4">
        <v>5</v>
      </c>
      <c r="H67" s="9">
        <f t="shared" si="1"/>
        <v>229</v>
      </c>
      <c r="I67" s="16">
        <f t="shared" si="2"/>
        <v>229</v>
      </c>
    </row>
    <row r="68" spans="1:9" x14ac:dyDescent="0.25">
      <c r="A68" s="13" t="s">
        <v>91</v>
      </c>
      <c r="B68" s="8">
        <v>23</v>
      </c>
      <c r="C68" s="4">
        <v>0</v>
      </c>
      <c r="D68" s="6">
        <f t="shared" si="0"/>
        <v>23</v>
      </c>
      <c r="E68" s="8">
        <v>0</v>
      </c>
      <c r="F68" s="4">
        <v>78</v>
      </c>
      <c r="G68" s="4">
        <v>0</v>
      </c>
      <c r="H68" s="9">
        <f t="shared" si="1"/>
        <v>78</v>
      </c>
      <c r="I68" s="16">
        <f t="shared" si="2"/>
        <v>101</v>
      </c>
    </row>
    <row r="69" spans="1:9" x14ac:dyDescent="0.25">
      <c r="A69" s="13" t="s">
        <v>108</v>
      </c>
      <c r="B69" s="8">
        <v>0</v>
      </c>
      <c r="C69" s="4">
        <v>0</v>
      </c>
      <c r="D69" s="6">
        <f t="shared" si="0"/>
        <v>0</v>
      </c>
      <c r="E69" s="8">
        <v>0</v>
      </c>
      <c r="F69" s="4">
        <v>2</v>
      </c>
      <c r="G69" s="4">
        <v>0</v>
      </c>
      <c r="H69" s="9">
        <f t="shared" si="1"/>
        <v>2</v>
      </c>
      <c r="I69" s="16">
        <f t="shared" si="2"/>
        <v>2</v>
      </c>
    </row>
    <row r="70" spans="1:9" x14ac:dyDescent="0.25">
      <c r="A70" s="13" t="s">
        <v>137</v>
      </c>
      <c r="B70" s="8">
        <v>58</v>
      </c>
      <c r="C70" s="4">
        <v>1</v>
      </c>
      <c r="D70" s="6">
        <f t="shared" si="0"/>
        <v>59</v>
      </c>
      <c r="E70" s="8">
        <v>19</v>
      </c>
      <c r="F70" s="4">
        <v>44</v>
      </c>
      <c r="G70" s="4">
        <v>0</v>
      </c>
      <c r="H70" s="9">
        <f t="shared" si="1"/>
        <v>63</v>
      </c>
      <c r="I70" s="16">
        <f t="shared" si="2"/>
        <v>122</v>
      </c>
    </row>
    <row r="71" spans="1:9" x14ac:dyDescent="0.25">
      <c r="A71" s="13" t="s">
        <v>102</v>
      </c>
      <c r="B71" s="8">
        <v>0</v>
      </c>
      <c r="C71" s="4">
        <v>0</v>
      </c>
      <c r="D71" s="6">
        <f t="shared" si="0"/>
        <v>0</v>
      </c>
      <c r="E71" s="8">
        <v>110</v>
      </c>
      <c r="F71" s="4">
        <v>225</v>
      </c>
      <c r="G71" s="4">
        <v>1</v>
      </c>
      <c r="H71" s="9">
        <f t="shared" si="1"/>
        <v>336</v>
      </c>
      <c r="I71" s="16">
        <f t="shared" si="2"/>
        <v>336</v>
      </c>
    </row>
    <row r="72" spans="1:9" x14ac:dyDescent="0.25">
      <c r="A72" s="13" t="s">
        <v>56</v>
      </c>
      <c r="B72" s="8">
        <v>0</v>
      </c>
      <c r="C72" s="4">
        <v>0</v>
      </c>
      <c r="D72" s="6">
        <f t="shared" si="0"/>
        <v>0</v>
      </c>
      <c r="E72" s="8">
        <v>34</v>
      </c>
      <c r="F72" s="4">
        <v>14</v>
      </c>
      <c r="G72" s="4">
        <v>1</v>
      </c>
      <c r="H72" s="9">
        <f t="shared" si="1"/>
        <v>49</v>
      </c>
      <c r="I72" s="16">
        <f t="shared" si="2"/>
        <v>49</v>
      </c>
    </row>
    <row r="73" spans="1:9" x14ac:dyDescent="0.25">
      <c r="A73" s="13" t="s">
        <v>131</v>
      </c>
      <c r="B73" s="8">
        <v>0</v>
      </c>
      <c r="C73" s="4">
        <v>0</v>
      </c>
      <c r="D73" s="6">
        <f t="shared" ref="D73:D91" si="3">B73+C73</f>
        <v>0</v>
      </c>
      <c r="E73" s="8">
        <v>3</v>
      </c>
      <c r="F73" s="4">
        <v>0</v>
      </c>
      <c r="G73" s="4">
        <v>0</v>
      </c>
      <c r="H73" s="9">
        <f t="shared" ref="H73:H89" si="4">E73+F73+G73</f>
        <v>3</v>
      </c>
      <c r="I73" s="16">
        <f t="shared" ref="I73:I91" si="5">H73+D73</f>
        <v>3</v>
      </c>
    </row>
    <row r="74" spans="1:9" x14ac:dyDescent="0.25">
      <c r="A74" s="13" t="s">
        <v>57</v>
      </c>
      <c r="B74" s="8">
        <v>0</v>
      </c>
      <c r="C74" s="4">
        <v>0</v>
      </c>
      <c r="D74" s="6">
        <f t="shared" si="3"/>
        <v>0</v>
      </c>
      <c r="E74" s="8">
        <v>9</v>
      </c>
      <c r="F74" s="4">
        <v>10</v>
      </c>
      <c r="G74" s="4">
        <v>0</v>
      </c>
      <c r="H74" s="9">
        <f t="shared" si="4"/>
        <v>19</v>
      </c>
      <c r="I74" s="16">
        <f t="shared" si="5"/>
        <v>19</v>
      </c>
    </row>
    <row r="75" spans="1:9" x14ac:dyDescent="0.25">
      <c r="A75" s="13" t="s">
        <v>109</v>
      </c>
      <c r="B75" s="8">
        <v>18</v>
      </c>
      <c r="C75" s="4">
        <v>0</v>
      </c>
      <c r="D75" s="6">
        <f t="shared" si="3"/>
        <v>18</v>
      </c>
      <c r="E75" s="8">
        <v>52</v>
      </c>
      <c r="F75" s="4">
        <v>23</v>
      </c>
      <c r="G75" s="4">
        <v>0</v>
      </c>
      <c r="H75" s="9">
        <f t="shared" si="4"/>
        <v>75</v>
      </c>
      <c r="I75" s="16">
        <f t="shared" si="5"/>
        <v>93</v>
      </c>
    </row>
    <row r="76" spans="1:9" x14ac:dyDescent="0.25">
      <c r="A76" s="13" t="s">
        <v>129</v>
      </c>
      <c r="B76" s="8">
        <v>0</v>
      </c>
      <c r="C76" s="4">
        <v>0</v>
      </c>
      <c r="D76" s="6">
        <f t="shared" si="3"/>
        <v>0</v>
      </c>
      <c r="E76" s="8">
        <v>15</v>
      </c>
      <c r="F76" s="4">
        <v>37</v>
      </c>
      <c r="G76" s="4">
        <v>0</v>
      </c>
      <c r="H76" s="9">
        <f t="shared" si="4"/>
        <v>52</v>
      </c>
      <c r="I76" s="16">
        <f t="shared" si="5"/>
        <v>52</v>
      </c>
    </row>
    <row r="77" spans="1:9" x14ac:dyDescent="0.25">
      <c r="A77" s="13" t="s">
        <v>61</v>
      </c>
      <c r="B77" s="8">
        <v>0</v>
      </c>
      <c r="C77" s="4">
        <v>0</v>
      </c>
      <c r="D77" s="6">
        <f t="shared" si="3"/>
        <v>0</v>
      </c>
      <c r="E77" s="8">
        <v>59</v>
      </c>
      <c r="F77" s="4">
        <v>60</v>
      </c>
      <c r="G77" s="4">
        <v>0</v>
      </c>
      <c r="H77" s="9">
        <f t="shared" si="4"/>
        <v>119</v>
      </c>
      <c r="I77" s="16">
        <f t="shared" si="5"/>
        <v>119</v>
      </c>
    </row>
    <row r="78" spans="1:9" x14ac:dyDescent="0.25">
      <c r="A78" s="13" t="s">
        <v>132</v>
      </c>
      <c r="B78" s="8">
        <v>0</v>
      </c>
      <c r="C78" s="4">
        <v>0</v>
      </c>
      <c r="D78" s="6">
        <f t="shared" si="3"/>
        <v>0</v>
      </c>
      <c r="E78" s="8">
        <v>4</v>
      </c>
      <c r="F78" s="4">
        <v>49</v>
      </c>
      <c r="G78" s="4">
        <v>0</v>
      </c>
      <c r="H78" s="9">
        <f t="shared" si="4"/>
        <v>53</v>
      </c>
      <c r="I78" s="16">
        <f t="shared" si="5"/>
        <v>53</v>
      </c>
    </row>
    <row r="79" spans="1:9" x14ac:dyDescent="0.25">
      <c r="A79" s="13" t="s">
        <v>111</v>
      </c>
      <c r="B79" s="8">
        <v>0</v>
      </c>
      <c r="C79" s="4">
        <v>0</v>
      </c>
      <c r="D79" s="6">
        <f t="shared" si="3"/>
        <v>0</v>
      </c>
      <c r="E79" s="8">
        <v>0</v>
      </c>
      <c r="F79" s="4">
        <v>2</v>
      </c>
      <c r="G79" s="4">
        <v>1</v>
      </c>
      <c r="H79" s="9">
        <f t="shared" si="4"/>
        <v>3</v>
      </c>
      <c r="I79" s="16">
        <f t="shared" si="5"/>
        <v>3</v>
      </c>
    </row>
    <row r="80" spans="1:9" x14ac:dyDescent="0.25">
      <c r="A80" s="13" t="s">
        <v>94</v>
      </c>
      <c r="B80" s="8">
        <v>0</v>
      </c>
      <c r="C80" s="4">
        <v>0</v>
      </c>
      <c r="D80" s="6">
        <f t="shared" si="3"/>
        <v>0</v>
      </c>
      <c r="E80" s="8">
        <v>74</v>
      </c>
      <c r="F80" s="4">
        <v>63</v>
      </c>
      <c r="G80" s="4">
        <v>0</v>
      </c>
      <c r="H80" s="9">
        <f t="shared" si="4"/>
        <v>137</v>
      </c>
      <c r="I80" s="16">
        <f t="shared" si="5"/>
        <v>137</v>
      </c>
    </row>
    <row r="81" spans="1:9" x14ac:dyDescent="0.25">
      <c r="A81" s="13" t="s">
        <v>64</v>
      </c>
      <c r="B81" s="8">
        <v>0</v>
      </c>
      <c r="C81" s="4">
        <v>0</v>
      </c>
      <c r="D81" s="6">
        <f t="shared" si="3"/>
        <v>0</v>
      </c>
      <c r="E81" s="8">
        <v>2</v>
      </c>
      <c r="F81" s="4">
        <v>0</v>
      </c>
      <c r="G81" s="4">
        <v>0</v>
      </c>
      <c r="H81" s="9">
        <f t="shared" si="4"/>
        <v>2</v>
      </c>
      <c r="I81" s="16">
        <f t="shared" si="5"/>
        <v>2</v>
      </c>
    </row>
    <row r="82" spans="1:9" x14ac:dyDescent="0.25">
      <c r="A82" s="13" t="s">
        <v>65</v>
      </c>
      <c r="B82" s="8">
        <v>0</v>
      </c>
      <c r="C82" s="4">
        <v>0</v>
      </c>
      <c r="D82" s="6">
        <f t="shared" si="3"/>
        <v>0</v>
      </c>
      <c r="E82" s="8">
        <v>15</v>
      </c>
      <c r="F82" s="4">
        <v>13</v>
      </c>
      <c r="G82" s="4">
        <v>0</v>
      </c>
      <c r="H82" s="9">
        <f t="shared" si="4"/>
        <v>28</v>
      </c>
      <c r="I82" s="16">
        <f t="shared" si="5"/>
        <v>28</v>
      </c>
    </row>
    <row r="83" spans="1:9" x14ac:dyDescent="0.25">
      <c r="A83" s="13" t="s">
        <v>66</v>
      </c>
      <c r="B83" s="8">
        <v>0</v>
      </c>
      <c r="C83" s="4">
        <v>0</v>
      </c>
      <c r="D83" s="6">
        <f t="shared" si="3"/>
        <v>0</v>
      </c>
      <c r="E83" s="8">
        <v>22</v>
      </c>
      <c r="F83" s="4">
        <v>3</v>
      </c>
      <c r="G83" s="4">
        <v>0</v>
      </c>
      <c r="H83" s="9">
        <f t="shared" si="4"/>
        <v>25</v>
      </c>
      <c r="I83" s="16">
        <f t="shared" si="5"/>
        <v>25</v>
      </c>
    </row>
    <row r="84" spans="1:9" x14ac:dyDescent="0.25">
      <c r="A84" s="13" t="s">
        <v>75</v>
      </c>
      <c r="B84" s="8">
        <v>0</v>
      </c>
      <c r="C84" s="4">
        <v>0</v>
      </c>
      <c r="D84" s="6">
        <f t="shared" si="3"/>
        <v>0</v>
      </c>
      <c r="E84" s="8">
        <v>25</v>
      </c>
      <c r="F84" s="4">
        <v>19</v>
      </c>
      <c r="G84" s="4">
        <v>0</v>
      </c>
      <c r="H84" s="9">
        <f t="shared" si="4"/>
        <v>44</v>
      </c>
      <c r="I84" s="16">
        <f t="shared" si="5"/>
        <v>44</v>
      </c>
    </row>
    <row r="85" spans="1:9" x14ac:dyDescent="0.25">
      <c r="A85" s="13" t="s">
        <v>138</v>
      </c>
      <c r="B85" s="8">
        <v>18</v>
      </c>
      <c r="C85" s="4">
        <v>0</v>
      </c>
      <c r="D85" s="6">
        <f t="shared" si="3"/>
        <v>18</v>
      </c>
      <c r="E85" s="8">
        <v>7</v>
      </c>
      <c r="F85" s="4">
        <v>10</v>
      </c>
      <c r="G85" s="4">
        <v>0</v>
      </c>
      <c r="H85" s="9">
        <f t="shared" si="4"/>
        <v>17</v>
      </c>
      <c r="I85" s="16">
        <f t="shared" si="5"/>
        <v>35</v>
      </c>
    </row>
    <row r="86" spans="1:9" x14ac:dyDescent="0.25">
      <c r="A86" s="13" t="s">
        <v>112</v>
      </c>
      <c r="B86" s="8">
        <v>0</v>
      </c>
      <c r="C86" s="4">
        <v>0</v>
      </c>
      <c r="D86" s="6">
        <f t="shared" si="3"/>
        <v>0</v>
      </c>
      <c r="E86" s="8">
        <v>5</v>
      </c>
      <c r="F86" s="4">
        <v>3</v>
      </c>
      <c r="G86" s="4">
        <v>0</v>
      </c>
      <c r="H86" s="9">
        <f t="shared" si="4"/>
        <v>8</v>
      </c>
      <c r="I86" s="16">
        <f t="shared" si="5"/>
        <v>8</v>
      </c>
    </row>
    <row r="87" spans="1:9" x14ac:dyDescent="0.25">
      <c r="A87" s="13" t="s">
        <v>133</v>
      </c>
      <c r="B87" s="8">
        <v>0</v>
      </c>
      <c r="C87" s="4">
        <v>0</v>
      </c>
      <c r="D87" s="6">
        <f t="shared" si="3"/>
        <v>0</v>
      </c>
      <c r="E87" s="8">
        <v>6</v>
      </c>
      <c r="F87" s="4">
        <v>4</v>
      </c>
      <c r="G87" s="4">
        <v>0</v>
      </c>
      <c r="H87" s="9">
        <f t="shared" si="4"/>
        <v>10</v>
      </c>
      <c r="I87" s="16">
        <f t="shared" si="5"/>
        <v>10</v>
      </c>
    </row>
    <row r="88" spans="1:9" x14ac:dyDescent="0.25">
      <c r="A88" s="13" t="s">
        <v>120</v>
      </c>
      <c r="B88" s="8">
        <v>4</v>
      </c>
      <c r="C88" s="4">
        <v>3</v>
      </c>
      <c r="D88" s="6">
        <f t="shared" si="3"/>
        <v>7</v>
      </c>
      <c r="E88" s="8">
        <v>0</v>
      </c>
      <c r="F88" s="4">
        <v>0</v>
      </c>
      <c r="G88" s="4">
        <v>0</v>
      </c>
      <c r="H88" s="9">
        <f t="shared" si="4"/>
        <v>0</v>
      </c>
      <c r="I88" s="16">
        <f t="shared" si="5"/>
        <v>7</v>
      </c>
    </row>
    <row r="89" spans="1:9" x14ac:dyDescent="0.25">
      <c r="A89" s="13" t="s">
        <v>113</v>
      </c>
      <c r="B89" s="8">
        <v>22</v>
      </c>
      <c r="C89" s="4">
        <v>0</v>
      </c>
      <c r="D89" s="6">
        <f t="shared" si="3"/>
        <v>22</v>
      </c>
      <c r="E89" s="8">
        <v>6</v>
      </c>
      <c r="F89" s="4">
        <v>33</v>
      </c>
      <c r="G89" s="4">
        <v>2</v>
      </c>
      <c r="H89" s="9">
        <f t="shared" si="4"/>
        <v>41</v>
      </c>
      <c r="I89" s="16">
        <f t="shared" si="5"/>
        <v>63</v>
      </c>
    </row>
    <row r="90" spans="1:9" x14ac:dyDescent="0.25">
      <c r="A90" s="13" t="s">
        <v>72</v>
      </c>
      <c r="B90" s="8">
        <v>3</v>
      </c>
      <c r="C90" s="4">
        <v>0</v>
      </c>
      <c r="D90" s="6">
        <f t="shared" si="3"/>
        <v>3</v>
      </c>
      <c r="E90" s="8">
        <v>14</v>
      </c>
      <c r="F90" s="4">
        <v>43</v>
      </c>
      <c r="G90" s="4">
        <v>0</v>
      </c>
      <c r="H90" s="9">
        <f>E90+F90+G90</f>
        <v>57</v>
      </c>
      <c r="I90" s="16">
        <f t="shared" si="5"/>
        <v>60</v>
      </c>
    </row>
    <row r="91" spans="1:9" ht="15.75" thickBot="1" x14ac:dyDescent="0.3">
      <c r="A91" s="14" t="s">
        <v>139</v>
      </c>
      <c r="B91" s="10">
        <v>0</v>
      </c>
      <c r="C91" s="5">
        <v>0</v>
      </c>
      <c r="D91" s="7">
        <f t="shared" si="3"/>
        <v>0</v>
      </c>
      <c r="E91" s="10">
        <v>8</v>
      </c>
      <c r="F91" s="5">
        <v>38</v>
      </c>
      <c r="G91" s="5">
        <v>0</v>
      </c>
      <c r="H91" s="26">
        <f>E91+F91+G91</f>
        <v>46</v>
      </c>
      <c r="I91" s="25">
        <f t="shared" si="5"/>
        <v>46</v>
      </c>
    </row>
    <row r="92" spans="1:9" ht="16.5" thickTop="1" thickBot="1" x14ac:dyDescent="0.3">
      <c r="A92" s="15" t="s">
        <v>0</v>
      </c>
      <c r="B92" s="12">
        <f t="shared" ref="B92:I92" si="6">SUM(B8:B91)</f>
        <v>11894</v>
      </c>
      <c r="C92" s="12">
        <f t="shared" si="6"/>
        <v>190</v>
      </c>
      <c r="D92" s="15">
        <f t="shared" si="6"/>
        <v>12084</v>
      </c>
      <c r="E92" s="12">
        <f t="shared" si="6"/>
        <v>4687</v>
      </c>
      <c r="F92" s="12">
        <f t="shared" si="6"/>
        <v>2470</v>
      </c>
      <c r="G92" s="12">
        <f t="shared" si="6"/>
        <v>58</v>
      </c>
      <c r="H92" s="18">
        <f t="shared" si="6"/>
        <v>7215</v>
      </c>
      <c r="I92" s="18">
        <f t="shared" si="6"/>
        <v>19299</v>
      </c>
    </row>
    <row r="94" spans="1:9" x14ac:dyDescent="0.25">
      <c r="A94" s="33" t="s">
        <v>88</v>
      </c>
      <c r="B94" s="33"/>
      <c r="C94" s="33"/>
      <c r="D94" s="33"/>
      <c r="E94" s="33"/>
      <c r="F94" s="33"/>
      <c r="G94" s="33"/>
      <c r="H94" s="33"/>
      <c r="I94" s="33"/>
    </row>
    <row r="95" spans="1:9" x14ac:dyDescent="0.25">
      <c r="A95" s="33"/>
      <c r="B95" s="33"/>
      <c r="C95" s="33"/>
      <c r="D95" s="33"/>
      <c r="E95" s="33"/>
      <c r="F95" s="33"/>
      <c r="G95" s="33"/>
      <c r="H95" s="33"/>
      <c r="I95" s="33"/>
    </row>
  </sheetData>
  <mergeCells count="13">
    <mergeCell ref="G6:G7"/>
    <mergeCell ref="H6:H7"/>
    <mergeCell ref="A94:I95"/>
    <mergeCell ref="A2:I2"/>
    <mergeCell ref="A5:A7"/>
    <mergeCell ref="B5:D5"/>
    <mergeCell ref="E5:H5"/>
    <mergeCell ref="I5:I7"/>
    <mergeCell ref="B6:B7"/>
    <mergeCell ref="C6:C7"/>
    <mergeCell ref="D6:D7"/>
    <mergeCell ref="E6:E7"/>
    <mergeCell ref="F6:F7"/>
  </mergeCells>
  <pageMargins left="0.7" right="0.7" top="0.75" bottom="0.75" header="0.3" footer="0.3"/>
  <pageSetup paperSize="9" orientation="portrait" r:id="rId1"/>
  <headerFooter>
    <oddHeader>&amp;CUCL Student Data Statistics</oddHeader>
    <oddFooter>&amp;L&amp;F - &amp;A&amp;RPage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I94"/>
  <sheetViews>
    <sheetView tabSelected="1" view="pageLayout" topLeftCell="A40" zoomScale="85" zoomScaleNormal="100" zoomScalePageLayoutView="85" workbookViewId="0">
      <selection activeCell="A47" sqref="A47"/>
    </sheetView>
  </sheetViews>
  <sheetFormatPr defaultColWidth="9" defaultRowHeight="15" x14ac:dyDescent="0.25"/>
  <cols>
    <col min="1" max="1" width="31.28515625" customWidth="1"/>
    <col min="2" max="9" width="6.7109375" customWidth="1"/>
  </cols>
  <sheetData>
    <row r="1" spans="1:9" ht="18" x14ac:dyDescent="0.25">
      <c r="A1" s="1" t="s">
        <v>2</v>
      </c>
      <c r="B1" s="3"/>
    </row>
    <row r="2" spans="1:9" x14ac:dyDescent="0.25">
      <c r="A2" s="34" t="s">
        <v>3</v>
      </c>
      <c r="B2" s="34"/>
      <c r="C2" s="34"/>
      <c r="D2" s="34"/>
      <c r="E2" s="34"/>
      <c r="F2" s="34"/>
      <c r="G2" s="34"/>
      <c r="H2" s="34"/>
      <c r="I2" s="34"/>
    </row>
    <row r="3" spans="1:9" x14ac:dyDescent="0.25">
      <c r="A3" s="28" t="str">
        <f ca="1">RIGHT(CELL("filename",A1),LEN(CELL("filename",A1))-FIND("]",CELL("filename",A1)))</f>
        <v>2004-05</v>
      </c>
      <c r="B3" s="3"/>
    </row>
    <row r="4" spans="1:9" ht="15.75" customHeight="1" thickBot="1" x14ac:dyDescent="0.3">
      <c r="A4" s="3"/>
      <c r="B4" s="3"/>
    </row>
    <row r="5" spans="1:9" x14ac:dyDescent="0.25">
      <c r="A5" s="35" t="s">
        <v>4</v>
      </c>
      <c r="B5" s="38" t="s">
        <v>5</v>
      </c>
      <c r="C5" s="39"/>
      <c r="D5" s="39"/>
      <c r="E5" s="38" t="s">
        <v>6</v>
      </c>
      <c r="F5" s="39"/>
      <c r="G5" s="39"/>
      <c r="H5" s="40"/>
      <c r="I5" s="41" t="s">
        <v>0</v>
      </c>
    </row>
    <row r="6" spans="1:9" ht="15" customHeight="1" x14ac:dyDescent="0.25">
      <c r="A6" s="36"/>
      <c r="B6" s="44" t="s">
        <v>76</v>
      </c>
      <c r="C6" s="29" t="s">
        <v>77</v>
      </c>
      <c r="D6" s="46" t="s">
        <v>0</v>
      </c>
      <c r="E6" s="44" t="s">
        <v>76</v>
      </c>
      <c r="F6" s="29" t="s">
        <v>77</v>
      </c>
      <c r="G6" s="29" t="s">
        <v>78</v>
      </c>
      <c r="H6" s="31" t="s">
        <v>0</v>
      </c>
      <c r="I6" s="42"/>
    </row>
    <row r="7" spans="1:9" x14ac:dyDescent="0.25">
      <c r="A7" s="37"/>
      <c r="B7" s="45"/>
      <c r="C7" s="30"/>
      <c r="D7" s="47"/>
      <c r="E7" s="45"/>
      <c r="F7" s="30"/>
      <c r="G7" s="30"/>
      <c r="H7" s="32"/>
      <c r="I7" s="43"/>
    </row>
    <row r="8" spans="1:9" x14ac:dyDescent="0.25">
      <c r="A8" s="13" t="s">
        <v>7</v>
      </c>
      <c r="B8" s="8">
        <v>163</v>
      </c>
      <c r="C8" s="4">
        <v>0</v>
      </c>
      <c r="D8" s="6">
        <f>B8+C8</f>
        <v>163</v>
      </c>
      <c r="E8" s="8">
        <v>124</v>
      </c>
      <c r="F8" s="4">
        <v>16</v>
      </c>
      <c r="G8" s="4">
        <v>1</v>
      </c>
      <c r="H8" s="9">
        <f>E8+F8+G8</f>
        <v>141</v>
      </c>
      <c r="I8" s="16">
        <f>H8+D8</f>
        <v>304</v>
      </c>
    </row>
    <row r="9" spans="1:9" x14ac:dyDescent="0.25">
      <c r="A9" s="13" t="s">
        <v>8</v>
      </c>
      <c r="B9" s="8">
        <v>204</v>
      </c>
      <c r="C9" s="4">
        <v>2</v>
      </c>
      <c r="D9" s="6">
        <f t="shared" ref="D9:D72" si="0">B9+C9</f>
        <v>206</v>
      </c>
      <c r="E9" s="8">
        <v>108</v>
      </c>
      <c r="F9" s="4">
        <v>18</v>
      </c>
      <c r="G9" s="4">
        <v>15</v>
      </c>
      <c r="H9" s="9">
        <f t="shared" ref="H9:H72" si="1">E9+F9+G9</f>
        <v>141</v>
      </c>
      <c r="I9" s="16">
        <f t="shared" ref="I9:I72" si="2">H9+D9</f>
        <v>347</v>
      </c>
    </row>
    <row r="10" spans="1:9" x14ac:dyDescent="0.25">
      <c r="A10" s="13" t="s">
        <v>9</v>
      </c>
      <c r="B10" s="8">
        <v>245</v>
      </c>
      <c r="C10" s="4">
        <v>1</v>
      </c>
      <c r="D10" s="6">
        <f t="shared" si="0"/>
        <v>246</v>
      </c>
      <c r="E10" s="8">
        <v>226</v>
      </c>
      <c r="F10" s="4">
        <v>88</v>
      </c>
      <c r="G10" s="4">
        <v>4</v>
      </c>
      <c r="H10" s="9">
        <f t="shared" si="1"/>
        <v>318</v>
      </c>
      <c r="I10" s="16">
        <f t="shared" si="2"/>
        <v>564</v>
      </c>
    </row>
    <row r="11" spans="1:9" x14ac:dyDescent="0.25">
      <c r="A11" s="13" t="s">
        <v>10</v>
      </c>
      <c r="B11" s="8">
        <v>431</v>
      </c>
      <c r="C11" s="4">
        <v>18</v>
      </c>
      <c r="D11" s="6">
        <f t="shared" si="0"/>
        <v>449</v>
      </c>
      <c r="E11" s="8">
        <v>527</v>
      </c>
      <c r="F11" s="4">
        <v>272</v>
      </c>
      <c r="G11" s="4">
        <v>3</v>
      </c>
      <c r="H11" s="9">
        <f t="shared" si="1"/>
        <v>802</v>
      </c>
      <c r="I11" s="16">
        <f t="shared" si="2"/>
        <v>1251</v>
      </c>
    </row>
    <row r="12" spans="1:9" x14ac:dyDescent="0.25">
      <c r="A12" s="13" t="s">
        <v>95</v>
      </c>
      <c r="B12" s="8">
        <v>118</v>
      </c>
      <c r="C12" s="4">
        <v>3</v>
      </c>
      <c r="D12" s="6">
        <f t="shared" si="0"/>
        <v>121</v>
      </c>
      <c r="E12" s="8">
        <v>109</v>
      </c>
      <c r="F12" s="4">
        <v>7</v>
      </c>
      <c r="G12" s="4">
        <v>1</v>
      </c>
      <c r="H12" s="9">
        <f t="shared" si="1"/>
        <v>117</v>
      </c>
      <c r="I12" s="16">
        <f t="shared" si="2"/>
        <v>238</v>
      </c>
    </row>
    <row r="13" spans="1:9" x14ac:dyDescent="0.25">
      <c r="A13" s="13" t="s">
        <v>11</v>
      </c>
      <c r="B13" s="8">
        <v>207</v>
      </c>
      <c r="C13" s="4">
        <v>10</v>
      </c>
      <c r="D13" s="6">
        <f t="shared" si="0"/>
        <v>217</v>
      </c>
      <c r="E13" s="8">
        <v>100</v>
      </c>
      <c r="F13" s="4">
        <v>6</v>
      </c>
      <c r="G13" s="4">
        <v>0</v>
      </c>
      <c r="H13" s="9">
        <f t="shared" si="1"/>
        <v>106</v>
      </c>
      <c r="I13" s="16">
        <f t="shared" si="2"/>
        <v>323</v>
      </c>
    </row>
    <row r="14" spans="1:9" x14ac:dyDescent="0.25">
      <c r="A14" s="13" t="s">
        <v>12</v>
      </c>
      <c r="B14" s="8">
        <v>252</v>
      </c>
      <c r="C14" s="4">
        <v>4</v>
      </c>
      <c r="D14" s="6">
        <f t="shared" si="0"/>
        <v>256</v>
      </c>
      <c r="E14" s="8">
        <v>74</v>
      </c>
      <c r="F14" s="4">
        <v>7</v>
      </c>
      <c r="G14" s="4">
        <v>0</v>
      </c>
      <c r="H14" s="9">
        <f t="shared" si="1"/>
        <v>81</v>
      </c>
      <c r="I14" s="16">
        <f t="shared" si="2"/>
        <v>337</v>
      </c>
    </row>
    <row r="15" spans="1:9" x14ac:dyDescent="0.25">
      <c r="A15" s="13" t="s">
        <v>116</v>
      </c>
      <c r="B15" s="8">
        <v>0</v>
      </c>
      <c r="C15" s="4">
        <v>0</v>
      </c>
      <c r="D15" s="6">
        <f t="shared" si="0"/>
        <v>0</v>
      </c>
      <c r="E15" s="8">
        <v>0</v>
      </c>
      <c r="F15" s="4">
        <v>1</v>
      </c>
      <c r="G15" s="4">
        <v>0</v>
      </c>
      <c r="H15" s="9">
        <f t="shared" si="1"/>
        <v>1</v>
      </c>
      <c r="I15" s="16">
        <f t="shared" si="2"/>
        <v>1</v>
      </c>
    </row>
    <row r="16" spans="1:9" x14ac:dyDescent="0.25">
      <c r="A16" s="13" t="s">
        <v>125</v>
      </c>
      <c r="B16" s="8">
        <v>0</v>
      </c>
      <c r="C16" s="4">
        <v>0</v>
      </c>
      <c r="D16" s="6">
        <f t="shared" si="0"/>
        <v>0</v>
      </c>
      <c r="E16" s="8">
        <v>33</v>
      </c>
      <c r="F16" s="4">
        <v>7</v>
      </c>
      <c r="G16" s="4">
        <v>1</v>
      </c>
      <c r="H16" s="9">
        <f t="shared" si="1"/>
        <v>41</v>
      </c>
      <c r="I16" s="16">
        <f t="shared" si="2"/>
        <v>41</v>
      </c>
    </row>
    <row r="17" spans="1:9" x14ac:dyDescent="0.25">
      <c r="A17" s="13" t="s">
        <v>101</v>
      </c>
      <c r="B17" s="8">
        <v>0</v>
      </c>
      <c r="C17" s="4">
        <v>0</v>
      </c>
      <c r="D17" s="6">
        <f t="shared" si="0"/>
        <v>0</v>
      </c>
      <c r="E17" s="8">
        <v>28</v>
      </c>
      <c r="F17" s="4">
        <v>0</v>
      </c>
      <c r="G17" s="4">
        <v>0</v>
      </c>
      <c r="H17" s="9">
        <f t="shared" si="1"/>
        <v>28</v>
      </c>
      <c r="I17" s="16">
        <f t="shared" si="2"/>
        <v>28</v>
      </c>
    </row>
    <row r="18" spans="1:9" x14ac:dyDescent="0.25">
      <c r="A18" s="13" t="s">
        <v>130</v>
      </c>
      <c r="B18" s="8">
        <v>0</v>
      </c>
      <c r="C18" s="4">
        <v>0</v>
      </c>
      <c r="D18" s="6">
        <f t="shared" si="0"/>
        <v>0</v>
      </c>
      <c r="E18" s="8">
        <v>3</v>
      </c>
      <c r="F18" s="4">
        <v>100</v>
      </c>
      <c r="G18" s="4">
        <v>0</v>
      </c>
      <c r="H18" s="9">
        <f t="shared" si="1"/>
        <v>103</v>
      </c>
      <c r="I18" s="16">
        <f t="shared" si="2"/>
        <v>103</v>
      </c>
    </row>
    <row r="19" spans="1:9" x14ac:dyDescent="0.25">
      <c r="A19" s="13" t="s">
        <v>96</v>
      </c>
      <c r="B19" s="8">
        <v>147</v>
      </c>
      <c r="C19" s="4">
        <v>6</v>
      </c>
      <c r="D19" s="6">
        <f t="shared" si="0"/>
        <v>153</v>
      </c>
      <c r="E19" s="8">
        <v>41</v>
      </c>
      <c r="F19" s="4">
        <v>7</v>
      </c>
      <c r="G19" s="4">
        <v>1</v>
      </c>
      <c r="H19" s="9">
        <f t="shared" si="1"/>
        <v>49</v>
      </c>
      <c r="I19" s="16">
        <f t="shared" si="2"/>
        <v>202</v>
      </c>
    </row>
    <row r="20" spans="1:9" x14ac:dyDescent="0.25">
      <c r="A20" s="13" t="s">
        <v>14</v>
      </c>
      <c r="B20" s="8">
        <v>261</v>
      </c>
      <c r="C20" s="4">
        <v>0</v>
      </c>
      <c r="D20" s="6">
        <f t="shared" si="0"/>
        <v>261</v>
      </c>
      <c r="E20" s="8">
        <v>97</v>
      </c>
      <c r="F20" s="4">
        <v>3</v>
      </c>
      <c r="G20" s="4">
        <v>0</v>
      </c>
      <c r="H20" s="9">
        <f t="shared" si="1"/>
        <v>100</v>
      </c>
      <c r="I20" s="16">
        <f t="shared" si="2"/>
        <v>361</v>
      </c>
    </row>
    <row r="21" spans="1:9" x14ac:dyDescent="0.25">
      <c r="A21" s="13" t="s">
        <v>15</v>
      </c>
      <c r="B21" s="8">
        <v>198</v>
      </c>
      <c r="C21" s="4">
        <v>8</v>
      </c>
      <c r="D21" s="6">
        <f t="shared" si="0"/>
        <v>206</v>
      </c>
      <c r="E21" s="8">
        <v>46</v>
      </c>
      <c r="F21" s="4">
        <v>6</v>
      </c>
      <c r="G21" s="4">
        <v>0</v>
      </c>
      <c r="H21" s="9">
        <f t="shared" si="1"/>
        <v>52</v>
      </c>
      <c r="I21" s="16">
        <f t="shared" si="2"/>
        <v>258</v>
      </c>
    </row>
    <row r="22" spans="1:9" x14ac:dyDescent="0.25">
      <c r="A22" s="13" t="s">
        <v>16</v>
      </c>
      <c r="B22" s="8">
        <v>241</v>
      </c>
      <c r="C22" s="4">
        <v>2</v>
      </c>
      <c r="D22" s="6">
        <f t="shared" si="0"/>
        <v>243</v>
      </c>
      <c r="E22" s="8">
        <v>166</v>
      </c>
      <c r="F22" s="4">
        <v>16</v>
      </c>
      <c r="G22" s="4">
        <v>0</v>
      </c>
      <c r="H22" s="9">
        <f t="shared" si="1"/>
        <v>182</v>
      </c>
      <c r="I22" s="16">
        <f t="shared" si="2"/>
        <v>425</v>
      </c>
    </row>
    <row r="23" spans="1:9" x14ac:dyDescent="0.25">
      <c r="A23" s="13" t="s">
        <v>17</v>
      </c>
      <c r="B23" s="8">
        <v>0</v>
      </c>
      <c r="C23" s="4">
        <v>0</v>
      </c>
      <c r="D23" s="6">
        <f t="shared" si="0"/>
        <v>0</v>
      </c>
      <c r="E23" s="8">
        <v>96</v>
      </c>
      <c r="F23" s="4">
        <v>17</v>
      </c>
      <c r="G23" s="4">
        <v>5</v>
      </c>
      <c r="H23" s="9">
        <f t="shared" si="1"/>
        <v>118</v>
      </c>
      <c r="I23" s="16">
        <f t="shared" si="2"/>
        <v>118</v>
      </c>
    </row>
    <row r="24" spans="1:9" x14ac:dyDescent="0.25">
      <c r="A24" s="13" t="s">
        <v>18</v>
      </c>
      <c r="B24" s="8">
        <v>28</v>
      </c>
      <c r="C24" s="4">
        <v>2</v>
      </c>
      <c r="D24" s="6">
        <f t="shared" si="0"/>
        <v>30</v>
      </c>
      <c r="E24" s="8">
        <v>28</v>
      </c>
      <c r="F24" s="4">
        <v>8</v>
      </c>
      <c r="G24" s="4">
        <v>1</v>
      </c>
      <c r="H24" s="9">
        <f t="shared" si="1"/>
        <v>37</v>
      </c>
      <c r="I24" s="16">
        <f t="shared" si="2"/>
        <v>67</v>
      </c>
    </row>
    <row r="25" spans="1:9" x14ac:dyDescent="0.25">
      <c r="A25" s="13" t="s">
        <v>122</v>
      </c>
      <c r="B25" s="8">
        <v>143</v>
      </c>
      <c r="C25" s="4">
        <v>5</v>
      </c>
      <c r="D25" s="6">
        <f t="shared" si="0"/>
        <v>148</v>
      </c>
      <c r="E25" s="8">
        <v>41</v>
      </c>
      <c r="F25" s="4">
        <v>11</v>
      </c>
      <c r="G25" s="4">
        <v>1</v>
      </c>
      <c r="H25" s="9">
        <f t="shared" si="1"/>
        <v>53</v>
      </c>
      <c r="I25" s="16">
        <f t="shared" si="2"/>
        <v>201</v>
      </c>
    </row>
    <row r="26" spans="1:9" x14ac:dyDescent="0.25">
      <c r="A26" s="13" t="s">
        <v>19</v>
      </c>
      <c r="B26" s="8">
        <v>573</v>
      </c>
      <c r="C26" s="4">
        <v>2</v>
      </c>
      <c r="D26" s="6">
        <f t="shared" si="0"/>
        <v>575</v>
      </c>
      <c r="E26" s="8">
        <v>151</v>
      </c>
      <c r="F26" s="4">
        <v>12</v>
      </c>
      <c r="G26" s="4">
        <v>0</v>
      </c>
      <c r="H26" s="9">
        <f t="shared" si="1"/>
        <v>163</v>
      </c>
      <c r="I26" s="16">
        <f t="shared" si="2"/>
        <v>738</v>
      </c>
    </row>
    <row r="27" spans="1:9" x14ac:dyDescent="0.25">
      <c r="A27" s="13" t="s">
        <v>20</v>
      </c>
      <c r="B27" s="8">
        <v>222</v>
      </c>
      <c r="C27" s="4">
        <v>1</v>
      </c>
      <c r="D27" s="6">
        <f t="shared" si="0"/>
        <v>223</v>
      </c>
      <c r="E27" s="8">
        <v>125</v>
      </c>
      <c r="F27" s="4">
        <v>239</v>
      </c>
      <c r="G27" s="4">
        <v>0</v>
      </c>
      <c r="H27" s="9">
        <f t="shared" si="1"/>
        <v>364</v>
      </c>
      <c r="I27" s="16">
        <f t="shared" si="2"/>
        <v>587</v>
      </c>
    </row>
    <row r="28" spans="1:9" x14ac:dyDescent="0.25">
      <c r="A28" s="13" t="s">
        <v>21</v>
      </c>
      <c r="B28" s="8">
        <v>270</v>
      </c>
      <c r="C28" s="4">
        <v>0</v>
      </c>
      <c r="D28" s="6">
        <f t="shared" si="0"/>
        <v>270</v>
      </c>
      <c r="E28" s="8">
        <v>60</v>
      </c>
      <c r="F28" s="4">
        <v>8</v>
      </c>
      <c r="G28" s="4">
        <v>0</v>
      </c>
      <c r="H28" s="9">
        <f t="shared" si="1"/>
        <v>68</v>
      </c>
      <c r="I28" s="16">
        <f t="shared" si="2"/>
        <v>338</v>
      </c>
    </row>
    <row r="29" spans="1:9" x14ac:dyDescent="0.25">
      <c r="A29" s="13" t="s">
        <v>126</v>
      </c>
      <c r="B29" s="8">
        <v>155</v>
      </c>
      <c r="C29" s="4">
        <v>0</v>
      </c>
      <c r="D29" s="6">
        <f t="shared" si="0"/>
        <v>155</v>
      </c>
      <c r="E29" s="8">
        <v>0</v>
      </c>
      <c r="F29" s="4">
        <v>0</v>
      </c>
      <c r="G29" s="4">
        <v>0</v>
      </c>
      <c r="H29" s="9">
        <f t="shared" si="1"/>
        <v>0</v>
      </c>
      <c r="I29" s="16">
        <f t="shared" si="2"/>
        <v>155</v>
      </c>
    </row>
    <row r="30" spans="1:9" x14ac:dyDescent="0.25">
      <c r="A30" s="13" t="s">
        <v>22</v>
      </c>
      <c r="B30" s="8">
        <v>148</v>
      </c>
      <c r="C30" s="4">
        <v>2</v>
      </c>
      <c r="D30" s="6">
        <f t="shared" si="0"/>
        <v>150</v>
      </c>
      <c r="E30" s="8">
        <v>120</v>
      </c>
      <c r="F30" s="4">
        <v>1</v>
      </c>
      <c r="G30" s="4">
        <v>0</v>
      </c>
      <c r="H30" s="9">
        <f t="shared" si="1"/>
        <v>121</v>
      </c>
      <c r="I30" s="16">
        <f t="shared" si="2"/>
        <v>271</v>
      </c>
    </row>
    <row r="31" spans="1:9" x14ac:dyDescent="0.25">
      <c r="A31" s="13" t="s">
        <v>23</v>
      </c>
      <c r="B31" s="8">
        <v>201</v>
      </c>
      <c r="C31" s="4">
        <v>4</v>
      </c>
      <c r="D31" s="6">
        <f t="shared" si="0"/>
        <v>205</v>
      </c>
      <c r="E31" s="8">
        <v>11</v>
      </c>
      <c r="F31" s="4">
        <v>5</v>
      </c>
      <c r="G31" s="4">
        <v>0</v>
      </c>
      <c r="H31" s="9">
        <f t="shared" si="1"/>
        <v>16</v>
      </c>
      <c r="I31" s="16">
        <f t="shared" si="2"/>
        <v>221</v>
      </c>
    </row>
    <row r="32" spans="1:9" x14ac:dyDescent="0.25">
      <c r="A32" s="13" t="s">
        <v>97</v>
      </c>
      <c r="B32" s="8">
        <v>0</v>
      </c>
      <c r="C32" s="4">
        <v>0</v>
      </c>
      <c r="D32" s="6">
        <f t="shared" si="0"/>
        <v>0</v>
      </c>
      <c r="E32" s="8">
        <v>8</v>
      </c>
      <c r="F32" s="4">
        <v>0</v>
      </c>
      <c r="G32" s="4">
        <v>0</v>
      </c>
      <c r="H32" s="9">
        <f t="shared" si="1"/>
        <v>8</v>
      </c>
      <c r="I32" s="16">
        <f t="shared" si="2"/>
        <v>8</v>
      </c>
    </row>
    <row r="33" spans="1:9" x14ac:dyDescent="0.25">
      <c r="A33" s="13" t="s">
        <v>24</v>
      </c>
      <c r="B33" s="8">
        <v>341</v>
      </c>
      <c r="C33" s="4">
        <v>0</v>
      </c>
      <c r="D33" s="6">
        <f t="shared" si="0"/>
        <v>341</v>
      </c>
      <c r="E33" s="8">
        <v>122</v>
      </c>
      <c r="F33" s="4">
        <v>15</v>
      </c>
      <c r="G33" s="4">
        <v>2</v>
      </c>
      <c r="H33" s="9">
        <f t="shared" si="1"/>
        <v>139</v>
      </c>
      <c r="I33" s="16">
        <f t="shared" si="2"/>
        <v>480</v>
      </c>
    </row>
    <row r="34" spans="1:9" x14ac:dyDescent="0.25">
      <c r="A34" s="13" t="s">
        <v>89</v>
      </c>
      <c r="B34" s="8">
        <v>24</v>
      </c>
      <c r="C34" s="4">
        <v>0</v>
      </c>
      <c r="D34" s="6">
        <f t="shared" si="0"/>
        <v>24</v>
      </c>
      <c r="E34" s="8">
        <v>49</v>
      </c>
      <c r="F34" s="4">
        <v>17</v>
      </c>
      <c r="G34" s="4">
        <v>1</v>
      </c>
      <c r="H34" s="9">
        <f t="shared" si="1"/>
        <v>67</v>
      </c>
      <c r="I34" s="16">
        <f t="shared" si="2"/>
        <v>91</v>
      </c>
    </row>
    <row r="35" spans="1:9" x14ac:dyDescent="0.25">
      <c r="A35" s="13" t="s">
        <v>26</v>
      </c>
      <c r="B35" s="8">
        <v>161</v>
      </c>
      <c r="C35" s="4">
        <v>0</v>
      </c>
      <c r="D35" s="6">
        <f t="shared" si="0"/>
        <v>161</v>
      </c>
      <c r="E35" s="8">
        <v>11</v>
      </c>
      <c r="F35" s="4">
        <v>4</v>
      </c>
      <c r="G35" s="4">
        <v>0</v>
      </c>
      <c r="H35" s="9">
        <f t="shared" si="1"/>
        <v>15</v>
      </c>
      <c r="I35" s="16">
        <f t="shared" si="2"/>
        <v>176</v>
      </c>
    </row>
    <row r="36" spans="1:9" x14ac:dyDescent="0.25">
      <c r="A36" s="13" t="s">
        <v>81</v>
      </c>
      <c r="B36" s="8">
        <v>130</v>
      </c>
      <c r="C36" s="4">
        <v>8</v>
      </c>
      <c r="D36" s="6">
        <f t="shared" si="0"/>
        <v>138</v>
      </c>
      <c r="E36" s="8">
        <v>19</v>
      </c>
      <c r="F36" s="4">
        <v>14</v>
      </c>
      <c r="G36" s="4">
        <v>0</v>
      </c>
      <c r="H36" s="9">
        <f t="shared" si="1"/>
        <v>33</v>
      </c>
      <c r="I36" s="16">
        <f t="shared" si="2"/>
        <v>171</v>
      </c>
    </row>
    <row r="37" spans="1:9" x14ac:dyDescent="0.25">
      <c r="A37" s="13" t="s">
        <v>82</v>
      </c>
      <c r="B37" s="8">
        <v>28</v>
      </c>
      <c r="C37" s="4">
        <v>5</v>
      </c>
      <c r="D37" s="6">
        <f t="shared" si="0"/>
        <v>33</v>
      </c>
      <c r="E37" s="8">
        <v>11</v>
      </c>
      <c r="F37" s="4">
        <v>13</v>
      </c>
      <c r="G37" s="4">
        <v>0</v>
      </c>
      <c r="H37" s="9">
        <f t="shared" si="1"/>
        <v>24</v>
      </c>
      <c r="I37" s="16">
        <f t="shared" si="2"/>
        <v>57</v>
      </c>
    </row>
    <row r="38" spans="1:9" x14ac:dyDescent="0.25">
      <c r="A38" s="13" t="s">
        <v>30</v>
      </c>
      <c r="B38" s="8">
        <v>354</v>
      </c>
      <c r="C38" s="4">
        <v>2</v>
      </c>
      <c r="D38" s="6">
        <f t="shared" si="0"/>
        <v>356</v>
      </c>
      <c r="E38" s="8">
        <v>68</v>
      </c>
      <c r="F38" s="4">
        <v>31</v>
      </c>
      <c r="G38" s="4">
        <v>2</v>
      </c>
      <c r="H38" s="9">
        <f t="shared" si="1"/>
        <v>101</v>
      </c>
      <c r="I38" s="16">
        <f t="shared" si="2"/>
        <v>457</v>
      </c>
    </row>
    <row r="39" spans="1:9" x14ac:dyDescent="0.25">
      <c r="A39" s="13" t="s">
        <v>83</v>
      </c>
      <c r="B39" s="8">
        <v>179</v>
      </c>
      <c r="C39" s="4">
        <v>5</v>
      </c>
      <c r="D39" s="6">
        <f t="shared" si="0"/>
        <v>184</v>
      </c>
      <c r="E39" s="8">
        <v>48</v>
      </c>
      <c r="F39" s="4">
        <v>19</v>
      </c>
      <c r="G39" s="4">
        <v>1</v>
      </c>
      <c r="H39" s="9">
        <f t="shared" si="1"/>
        <v>68</v>
      </c>
      <c r="I39" s="16">
        <f t="shared" si="2"/>
        <v>252</v>
      </c>
    </row>
    <row r="40" spans="1:9" x14ac:dyDescent="0.25">
      <c r="A40" s="13" t="s">
        <v>32</v>
      </c>
      <c r="B40" s="8">
        <v>193</v>
      </c>
      <c r="C40" s="4">
        <v>5</v>
      </c>
      <c r="D40" s="6">
        <f t="shared" si="0"/>
        <v>198</v>
      </c>
      <c r="E40" s="8">
        <v>63</v>
      </c>
      <c r="F40" s="4">
        <v>8</v>
      </c>
      <c r="G40" s="4">
        <v>0</v>
      </c>
      <c r="H40" s="9">
        <f t="shared" si="1"/>
        <v>71</v>
      </c>
      <c r="I40" s="16">
        <f t="shared" si="2"/>
        <v>269</v>
      </c>
    </row>
    <row r="41" spans="1:9" x14ac:dyDescent="0.25">
      <c r="A41" s="13" t="s">
        <v>127</v>
      </c>
      <c r="B41" s="8">
        <v>112</v>
      </c>
      <c r="C41" s="4">
        <v>1</v>
      </c>
      <c r="D41" s="6">
        <f t="shared" si="0"/>
        <v>113</v>
      </c>
      <c r="E41" s="8">
        <v>0</v>
      </c>
      <c r="F41" s="4">
        <v>0</v>
      </c>
      <c r="G41" s="4">
        <v>0</v>
      </c>
      <c r="H41" s="9">
        <f t="shared" si="1"/>
        <v>0</v>
      </c>
      <c r="I41" s="16">
        <f t="shared" si="2"/>
        <v>113</v>
      </c>
    </row>
    <row r="42" spans="1:9" x14ac:dyDescent="0.25">
      <c r="A42" s="13" t="s">
        <v>33</v>
      </c>
      <c r="B42" s="8">
        <v>233</v>
      </c>
      <c r="C42" s="4">
        <v>9</v>
      </c>
      <c r="D42" s="6">
        <f t="shared" si="0"/>
        <v>242</v>
      </c>
      <c r="E42" s="8">
        <v>42</v>
      </c>
      <c r="F42" s="4">
        <v>15</v>
      </c>
      <c r="G42" s="4">
        <v>0</v>
      </c>
      <c r="H42" s="9">
        <f t="shared" si="1"/>
        <v>57</v>
      </c>
      <c r="I42" s="16">
        <f t="shared" si="2"/>
        <v>299</v>
      </c>
    </row>
    <row r="43" spans="1:9" x14ac:dyDescent="0.25">
      <c r="A43" s="13" t="s">
        <v>128</v>
      </c>
      <c r="B43" s="8">
        <v>96</v>
      </c>
      <c r="C43" s="4">
        <v>0</v>
      </c>
      <c r="D43" s="6">
        <f t="shared" si="0"/>
        <v>96</v>
      </c>
      <c r="E43" s="8">
        <v>0</v>
      </c>
      <c r="F43" s="4">
        <v>0</v>
      </c>
      <c r="G43" s="4">
        <v>0</v>
      </c>
      <c r="H43" s="9">
        <f t="shared" si="1"/>
        <v>0</v>
      </c>
      <c r="I43" s="16">
        <f t="shared" si="2"/>
        <v>96</v>
      </c>
    </row>
    <row r="44" spans="1:9" x14ac:dyDescent="0.25">
      <c r="A44" s="13" t="s">
        <v>1</v>
      </c>
      <c r="B44" s="8">
        <v>576</v>
      </c>
      <c r="C44" s="4">
        <v>0</v>
      </c>
      <c r="D44" s="6">
        <f t="shared" si="0"/>
        <v>576</v>
      </c>
      <c r="E44" s="8">
        <v>392</v>
      </c>
      <c r="F44" s="4">
        <v>47</v>
      </c>
      <c r="G44" s="4">
        <v>0</v>
      </c>
      <c r="H44" s="9">
        <f t="shared" si="1"/>
        <v>439</v>
      </c>
      <c r="I44" s="16">
        <f t="shared" si="2"/>
        <v>1015</v>
      </c>
    </row>
    <row r="45" spans="1:9" x14ac:dyDescent="0.25">
      <c r="A45" s="13" t="s">
        <v>34</v>
      </c>
      <c r="B45" s="8">
        <v>113</v>
      </c>
      <c r="C45" s="4">
        <v>2</v>
      </c>
      <c r="D45" s="6">
        <f t="shared" si="0"/>
        <v>115</v>
      </c>
      <c r="E45" s="8">
        <v>82</v>
      </c>
      <c r="F45" s="4">
        <v>86</v>
      </c>
      <c r="G45" s="4">
        <v>0</v>
      </c>
      <c r="H45" s="9">
        <f t="shared" si="1"/>
        <v>168</v>
      </c>
      <c r="I45" s="16">
        <f t="shared" si="2"/>
        <v>283</v>
      </c>
    </row>
    <row r="46" spans="1:9" x14ac:dyDescent="0.25">
      <c r="A46" s="13" t="s">
        <v>35</v>
      </c>
      <c r="B46" s="8">
        <v>469</v>
      </c>
      <c r="C46" s="4">
        <v>19</v>
      </c>
      <c r="D46" s="6">
        <f t="shared" si="0"/>
        <v>488</v>
      </c>
      <c r="E46" s="8">
        <v>19</v>
      </c>
      <c r="F46" s="4">
        <v>0</v>
      </c>
      <c r="G46" s="4">
        <v>0</v>
      </c>
      <c r="H46" s="9">
        <f t="shared" si="1"/>
        <v>19</v>
      </c>
      <c r="I46" s="16">
        <f t="shared" si="2"/>
        <v>507</v>
      </c>
    </row>
    <row r="47" spans="1:9" x14ac:dyDescent="0.25">
      <c r="A47" s="13" t="s">
        <v>36</v>
      </c>
      <c r="B47" s="8">
        <v>271</v>
      </c>
      <c r="C47" s="4">
        <v>7</v>
      </c>
      <c r="D47" s="6">
        <f t="shared" si="0"/>
        <v>278</v>
      </c>
      <c r="E47" s="8">
        <v>60</v>
      </c>
      <c r="F47" s="4">
        <v>41</v>
      </c>
      <c r="G47" s="4">
        <v>0</v>
      </c>
      <c r="H47" s="9">
        <f t="shared" si="1"/>
        <v>101</v>
      </c>
      <c r="I47" s="16">
        <f t="shared" si="2"/>
        <v>379</v>
      </c>
    </row>
    <row r="48" spans="1:9" x14ac:dyDescent="0.25">
      <c r="A48" s="13" t="s">
        <v>37</v>
      </c>
      <c r="B48" s="8">
        <v>16</v>
      </c>
      <c r="C48" s="4">
        <v>0</v>
      </c>
      <c r="D48" s="6">
        <f t="shared" si="0"/>
        <v>16</v>
      </c>
      <c r="E48" s="8">
        <v>40</v>
      </c>
      <c r="F48" s="4">
        <v>39</v>
      </c>
      <c r="G48" s="4">
        <v>1</v>
      </c>
      <c r="H48" s="9">
        <f t="shared" si="1"/>
        <v>80</v>
      </c>
      <c r="I48" s="16">
        <f t="shared" si="2"/>
        <v>96</v>
      </c>
    </row>
    <row r="49" spans="1:9" x14ac:dyDescent="0.25">
      <c r="A49" s="13" t="s">
        <v>39</v>
      </c>
      <c r="B49" s="8">
        <v>96</v>
      </c>
      <c r="C49" s="4">
        <v>1</v>
      </c>
      <c r="D49" s="6">
        <f t="shared" si="0"/>
        <v>97</v>
      </c>
      <c r="E49" s="8">
        <v>27</v>
      </c>
      <c r="F49" s="4">
        <v>3</v>
      </c>
      <c r="G49" s="4">
        <v>0</v>
      </c>
      <c r="H49" s="9">
        <f t="shared" si="1"/>
        <v>30</v>
      </c>
      <c r="I49" s="16">
        <f t="shared" si="2"/>
        <v>127</v>
      </c>
    </row>
    <row r="50" spans="1:9" x14ac:dyDescent="0.25">
      <c r="A50" s="13" t="s">
        <v>40</v>
      </c>
      <c r="B50" s="8">
        <v>157</v>
      </c>
      <c r="C50" s="4">
        <v>1</v>
      </c>
      <c r="D50" s="6">
        <f t="shared" si="0"/>
        <v>158</v>
      </c>
      <c r="E50" s="8">
        <v>44</v>
      </c>
      <c r="F50" s="4">
        <v>7</v>
      </c>
      <c r="G50" s="4">
        <v>0</v>
      </c>
      <c r="H50" s="9">
        <f t="shared" si="1"/>
        <v>51</v>
      </c>
      <c r="I50" s="16">
        <f t="shared" si="2"/>
        <v>209</v>
      </c>
    </row>
    <row r="51" spans="1:9" x14ac:dyDescent="0.25">
      <c r="A51" s="13" t="s">
        <v>41</v>
      </c>
      <c r="B51" s="8">
        <v>95</v>
      </c>
      <c r="C51" s="4">
        <v>3</v>
      </c>
      <c r="D51" s="6">
        <f t="shared" si="0"/>
        <v>98</v>
      </c>
      <c r="E51" s="8">
        <v>49</v>
      </c>
      <c r="F51" s="4">
        <v>20</v>
      </c>
      <c r="G51" s="4">
        <v>0</v>
      </c>
      <c r="H51" s="9">
        <f t="shared" si="1"/>
        <v>69</v>
      </c>
      <c r="I51" s="16">
        <f t="shared" si="2"/>
        <v>167</v>
      </c>
    </row>
    <row r="52" spans="1:9" x14ac:dyDescent="0.25">
      <c r="A52" s="13" t="s">
        <v>124</v>
      </c>
      <c r="B52" s="8">
        <v>34</v>
      </c>
      <c r="C52" s="4">
        <v>0</v>
      </c>
      <c r="D52" s="6">
        <f t="shared" si="0"/>
        <v>34</v>
      </c>
      <c r="E52" s="8">
        <v>0</v>
      </c>
      <c r="F52" s="4">
        <v>0</v>
      </c>
      <c r="G52" s="4">
        <v>0</v>
      </c>
      <c r="H52" s="9">
        <f t="shared" si="1"/>
        <v>0</v>
      </c>
      <c r="I52" s="16">
        <f t="shared" si="2"/>
        <v>34</v>
      </c>
    </row>
    <row r="53" spans="1:9" x14ac:dyDescent="0.25">
      <c r="A53" s="13" t="s">
        <v>43</v>
      </c>
      <c r="B53" s="8">
        <v>367</v>
      </c>
      <c r="C53" s="4">
        <v>72</v>
      </c>
      <c r="D53" s="6">
        <f t="shared" si="0"/>
        <v>439</v>
      </c>
      <c r="E53" s="8">
        <v>92</v>
      </c>
      <c r="F53" s="4">
        <v>3</v>
      </c>
      <c r="G53" s="4">
        <v>1</v>
      </c>
      <c r="H53" s="9">
        <f t="shared" si="1"/>
        <v>96</v>
      </c>
      <c r="I53" s="16">
        <f t="shared" si="2"/>
        <v>535</v>
      </c>
    </row>
    <row r="54" spans="1:9" x14ac:dyDescent="0.25">
      <c r="A54" s="13" t="s">
        <v>44</v>
      </c>
      <c r="B54" s="8">
        <v>267</v>
      </c>
      <c r="C54" s="4">
        <v>14</v>
      </c>
      <c r="D54" s="6">
        <f t="shared" si="0"/>
        <v>281</v>
      </c>
      <c r="E54" s="8">
        <v>40</v>
      </c>
      <c r="F54" s="4">
        <v>65</v>
      </c>
      <c r="G54" s="4">
        <v>0</v>
      </c>
      <c r="H54" s="9">
        <f t="shared" si="1"/>
        <v>105</v>
      </c>
      <c r="I54" s="16">
        <f t="shared" si="2"/>
        <v>386</v>
      </c>
    </row>
    <row r="55" spans="1:9" x14ac:dyDescent="0.25">
      <c r="A55" s="13" t="s">
        <v>45</v>
      </c>
      <c r="B55" s="8">
        <v>371</v>
      </c>
      <c r="C55" s="4">
        <v>1</v>
      </c>
      <c r="D55" s="6">
        <f t="shared" si="0"/>
        <v>372</v>
      </c>
      <c r="E55" s="8">
        <v>252</v>
      </c>
      <c r="F55" s="4">
        <v>121</v>
      </c>
      <c r="G55" s="4">
        <v>0</v>
      </c>
      <c r="H55" s="9">
        <f t="shared" si="1"/>
        <v>373</v>
      </c>
      <c r="I55" s="16">
        <f t="shared" si="2"/>
        <v>745</v>
      </c>
    </row>
    <row r="56" spans="1:9" x14ac:dyDescent="0.25">
      <c r="A56" s="13" t="s">
        <v>98</v>
      </c>
      <c r="B56" s="8">
        <v>0</v>
      </c>
      <c r="C56" s="4">
        <v>0</v>
      </c>
      <c r="D56" s="6">
        <f t="shared" si="0"/>
        <v>0</v>
      </c>
      <c r="E56" s="8">
        <v>121</v>
      </c>
      <c r="F56" s="4">
        <v>54</v>
      </c>
      <c r="G56" s="4">
        <v>0</v>
      </c>
      <c r="H56" s="9">
        <f t="shared" si="1"/>
        <v>175</v>
      </c>
      <c r="I56" s="16">
        <f t="shared" si="2"/>
        <v>175</v>
      </c>
    </row>
    <row r="57" spans="1:9" x14ac:dyDescent="0.25">
      <c r="A57" s="13" t="s">
        <v>46</v>
      </c>
      <c r="B57" s="8">
        <v>89</v>
      </c>
      <c r="C57" s="4">
        <v>3</v>
      </c>
      <c r="D57" s="6">
        <f t="shared" si="0"/>
        <v>92</v>
      </c>
      <c r="E57" s="8">
        <v>9</v>
      </c>
      <c r="F57" s="4">
        <v>4</v>
      </c>
      <c r="G57" s="4">
        <v>1</v>
      </c>
      <c r="H57" s="9">
        <f t="shared" si="1"/>
        <v>14</v>
      </c>
      <c r="I57" s="16">
        <f t="shared" si="2"/>
        <v>106</v>
      </c>
    </row>
    <row r="58" spans="1:9" x14ac:dyDescent="0.25">
      <c r="A58" s="13" t="s">
        <v>117</v>
      </c>
      <c r="B58" s="8">
        <v>569</v>
      </c>
      <c r="C58" s="4">
        <v>9</v>
      </c>
      <c r="D58" s="6">
        <f t="shared" si="0"/>
        <v>578</v>
      </c>
      <c r="E58" s="8">
        <v>96</v>
      </c>
      <c r="F58" s="4">
        <v>41</v>
      </c>
      <c r="G58" s="4">
        <v>0</v>
      </c>
      <c r="H58" s="9">
        <f t="shared" si="1"/>
        <v>137</v>
      </c>
      <c r="I58" s="16">
        <f t="shared" si="2"/>
        <v>715</v>
      </c>
    </row>
    <row r="59" spans="1:9" x14ac:dyDescent="0.25">
      <c r="A59" s="13" t="s">
        <v>47</v>
      </c>
      <c r="B59" s="8">
        <v>68</v>
      </c>
      <c r="C59" s="4">
        <v>4</v>
      </c>
      <c r="D59" s="6">
        <f t="shared" si="0"/>
        <v>72</v>
      </c>
      <c r="E59" s="8">
        <v>6</v>
      </c>
      <c r="F59" s="4">
        <v>7</v>
      </c>
      <c r="G59" s="4">
        <v>0</v>
      </c>
      <c r="H59" s="9">
        <f t="shared" si="1"/>
        <v>13</v>
      </c>
      <c r="I59" s="16">
        <f t="shared" si="2"/>
        <v>85</v>
      </c>
    </row>
    <row r="60" spans="1:9" x14ac:dyDescent="0.25">
      <c r="A60" s="13" t="s">
        <v>48</v>
      </c>
      <c r="B60" s="8">
        <v>0</v>
      </c>
      <c r="C60" s="4">
        <v>0</v>
      </c>
      <c r="D60" s="6">
        <f t="shared" si="0"/>
        <v>0</v>
      </c>
      <c r="E60" s="8">
        <v>29</v>
      </c>
      <c r="F60" s="4">
        <v>4</v>
      </c>
      <c r="G60" s="4">
        <v>0</v>
      </c>
      <c r="H60" s="9">
        <f t="shared" si="1"/>
        <v>33</v>
      </c>
      <c r="I60" s="16">
        <f t="shared" si="2"/>
        <v>33</v>
      </c>
    </row>
    <row r="61" spans="1:9" x14ac:dyDescent="0.25">
      <c r="A61" s="13" t="s">
        <v>49</v>
      </c>
      <c r="B61" s="8">
        <v>119</v>
      </c>
      <c r="C61" s="4">
        <v>0</v>
      </c>
      <c r="D61" s="6">
        <f t="shared" si="0"/>
        <v>119</v>
      </c>
      <c r="E61" s="8">
        <v>7</v>
      </c>
      <c r="F61" s="4">
        <v>5</v>
      </c>
      <c r="G61" s="4">
        <v>1</v>
      </c>
      <c r="H61" s="9">
        <f t="shared" si="1"/>
        <v>13</v>
      </c>
      <c r="I61" s="16">
        <f t="shared" si="2"/>
        <v>132</v>
      </c>
    </row>
    <row r="62" spans="1:9" x14ac:dyDescent="0.25">
      <c r="A62" s="13" t="s">
        <v>50</v>
      </c>
      <c r="B62" s="8">
        <v>201</v>
      </c>
      <c r="C62" s="4">
        <v>7</v>
      </c>
      <c r="D62" s="6">
        <f t="shared" si="0"/>
        <v>208</v>
      </c>
      <c r="E62" s="8">
        <v>35</v>
      </c>
      <c r="F62" s="4">
        <v>5</v>
      </c>
      <c r="G62" s="4">
        <v>0</v>
      </c>
      <c r="H62" s="9">
        <f t="shared" si="1"/>
        <v>40</v>
      </c>
      <c r="I62" s="16">
        <f t="shared" si="2"/>
        <v>248</v>
      </c>
    </row>
    <row r="63" spans="1:9" x14ac:dyDescent="0.25">
      <c r="A63" s="13" t="s">
        <v>53</v>
      </c>
      <c r="B63" s="8">
        <v>657</v>
      </c>
      <c r="C63" s="4">
        <v>1</v>
      </c>
      <c r="D63" s="6">
        <f t="shared" si="0"/>
        <v>658</v>
      </c>
      <c r="E63" s="8">
        <v>0</v>
      </c>
      <c r="F63" s="4">
        <v>0</v>
      </c>
      <c r="G63" s="4">
        <v>0</v>
      </c>
      <c r="H63" s="9">
        <f t="shared" si="1"/>
        <v>0</v>
      </c>
      <c r="I63" s="16">
        <f t="shared" si="2"/>
        <v>658</v>
      </c>
    </row>
    <row r="64" spans="1:9" x14ac:dyDescent="0.25">
      <c r="A64" s="13" t="s">
        <v>54</v>
      </c>
      <c r="B64" s="8">
        <v>1117</v>
      </c>
      <c r="C64" s="4">
        <v>0</v>
      </c>
      <c r="D64" s="6">
        <f t="shared" si="0"/>
        <v>1117</v>
      </c>
      <c r="E64" s="8">
        <v>0</v>
      </c>
      <c r="F64" s="4">
        <v>44</v>
      </c>
      <c r="G64" s="4">
        <v>0</v>
      </c>
      <c r="H64" s="9">
        <f t="shared" si="1"/>
        <v>44</v>
      </c>
      <c r="I64" s="16">
        <f t="shared" si="2"/>
        <v>1161</v>
      </c>
    </row>
    <row r="65" spans="1:9" x14ac:dyDescent="0.25">
      <c r="A65" s="13" t="s">
        <v>118</v>
      </c>
      <c r="B65" s="8">
        <v>0</v>
      </c>
      <c r="C65" s="4">
        <v>0</v>
      </c>
      <c r="D65" s="6">
        <f t="shared" si="0"/>
        <v>0</v>
      </c>
      <c r="E65" s="8">
        <v>17</v>
      </c>
      <c r="F65" s="4">
        <v>8</v>
      </c>
      <c r="G65" s="4">
        <v>0</v>
      </c>
      <c r="H65" s="9">
        <f t="shared" si="1"/>
        <v>25</v>
      </c>
      <c r="I65" s="16">
        <f t="shared" si="2"/>
        <v>25</v>
      </c>
    </row>
    <row r="66" spans="1:9" x14ac:dyDescent="0.25">
      <c r="A66" s="13" t="s">
        <v>87</v>
      </c>
      <c r="B66" s="8">
        <v>0</v>
      </c>
      <c r="C66" s="4">
        <v>0</v>
      </c>
      <c r="D66" s="6">
        <f t="shared" si="0"/>
        <v>0</v>
      </c>
      <c r="E66" s="8">
        <v>95</v>
      </c>
      <c r="F66" s="4">
        <v>129</v>
      </c>
      <c r="G66" s="4">
        <v>4</v>
      </c>
      <c r="H66" s="9">
        <f t="shared" si="1"/>
        <v>228</v>
      </c>
      <c r="I66" s="16">
        <f t="shared" si="2"/>
        <v>228</v>
      </c>
    </row>
    <row r="67" spans="1:9" x14ac:dyDescent="0.25">
      <c r="A67" s="13" t="s">
        <v>91</v>
      </c>
      <c r="B67" s="8">
        <v>20</v>
      </c>
      <c r="C67" s="4">
        <v>0</v>
      </c>
      <c r="D67" s="6">
        <f t="shared" si="0"/>
        <v>20</v>
      </c>
      <c r="E67" s="8">
        <v>1</v>
      </c>
      <c r="F67" s="4">
        <v>97</v>
      </c>
      <c r="G67" s="4">
        <v>0</v>
      </c>
      <c r="H67" s="9">
        <f t="shared" si="1"/>
        <v>98</v>
      </c>
      <c r="I67" s="16">
        <f t="shared" si="2"/>
        <v>118</v>
      </c>
    </row>
    <row r="68" spans="1:9" x14ac:dyDescent="0.25">
      <c r="A68" s="13" t="s">
        <v>108</v>
      </c>
      <c r="B68" s="8">
        <v>0</v>
      </c>
      <c r="C68" s="4">
        <v>0</v>
      </c>
      <c r="D68" s="6">
        <f t="shared" si="0"/>
        <v>0</v>
      </c>
      <c r="E68" s="8">
        <v>0</v>
      </c>
      <c r="F68" s="4">
        <v>2</v>
      </c>
      <c r="G68" s="4">
        <v>0</v>
      </c>
      <c r="H68" s="9">
        <f t="shared" si="1"/>
        <v>2</v>
      </c>
      <c r="I68" s="16">
        <f t="shared" si="2"/>
        <v>2</v>
      </c>
    </row>
    <row r="69" spans="1:9" x14ac:dyDescent="0.25">
      <c r="A69" s="13" t="s">
        <v>102</v>
      </c>
      <c r="B69" s="8">
        <v>0</v>
      </c>
      <c r="C69" s="4">
        <v>0</v>
      </c>
      <c r="D69" s="6">
        <f t="shared" si="0"/>
        <v>0</v>
      </c>
      <c r="E69" s="8">
        <v>117</v>
      </c>
      <c r="F69" s="4">
        <v>192</v>
      </c>
      <c r="G69" s="4">
        <v>0</v>
      </c>
      <c r="H69" s="9">
        <f t="shared" si="1"/>
        <v>309</v>
      </c>
      <c r="I69" s="16">
        <f t="shared" si="2"/>
        <v>309</v>
      </c>
    </row>
    <row r="70" spans="1:9" x14ac:dyDescent="0.25">
      <c r="A70" s="13" t="s">
        <v>56</v>
      </c>
      <c r="B70" s="8">
        <v>0</v>
      </c>
      <c r="C70" s="4">
        <v>0</v>
      </c>
      <c r="D70" s="6">
        <f t="shared" si="0"/>
        <v>0</v>
      </c>
      <c r="E70" s="8">
        <v>28</v>
      </c>
      <c r="F70" s="4">
        <v>8</v>
      </c>
      <c r="G70" s="4">
        <v>1</v>
      </c>
      <c r="H70" s="9">
        <f t="shared" si="1"/>
        <v>37</v>
      </c>
      <c r="I70" s="16">
        <f t="shared" si="2"/>
        <v>37</v>
      </c>
    </row>
    <row r="71" spans="1:9" x14ac:dyDescent="0.25">
      <c r="A71" s="13" t="s">
        <v>131</v>
      </c>
      <c r="B71" s="8">
        <v>0</v>
      </c>
      <c r="C71" s="4">
        <v>0</v>
      </c>
      <c r="D71" s="6">
        <f t="shared" si="0"/>
        <v>0</v>
      </c>
      <c r="E71" s="8">
        <v>1</v>
      </c>
      <c r="F71" s="4">
        <v>0</v>
      </c>
      <c r="G71" s="4">
        <v>0</v>
      </c>
      <c r="H71" s="9">
        <f t="shared" si="1"/>
        <v>1</v>
      </c>
      <c r="I71" s="16">
        <f t="shared" si="2"/>
        <v>1</v>
      </c>
    </row>
    <row r="72" spans="1:9" x14ac:dyDescent="0.25">
      <c r="A72" s="13" t="s">
        <v>57</v>
      </c>
      <c r="B72" s="8">
        <v>0</v>
      </c>
      <c r="C72" s="4">
        <v>0</v>
      </c>
      <c r="D72" s="6">
        <f t="shared" si="0"/>
        <v>0</v>
      </c>
      <c r="E72" s="8">
        <v>10</v>
      </c>
      <c r="F72" s="4">
        <v>8</v>
      </c>
      <c r="G72" s="4">
        <v>0</v>
      </c>
      <c r="H72" s="9">
        <f t="shared" si="1"/>
        <v>18</v>
      </c>
      <c r="I72" s="16">
        <f t="shared" si="2"/>
        <v>18</v>
      </c>
    </row>
    <row r="73" spans="1:9" x14ac:dyDescent="0.25">
      <c r="A73" s="13" t="s">
        <v>109</v>
      </c>
      <c r="B73" s="8">
        <v>29</v>
      </c>
      <c r="C73" s="4">
        <v>0</v>
      </c>
      <c r="D73" s="6">
        <f t="shared" ref="D73:D88" si="3">B73+C73</f>
        <v>29</v>
      </c>
      <c r="E73" s="8">
        <v>47</v>
      </c>
      <c r="F73" s="4">
        <v>22</v>
      </c>
      <c r="G73" s="4">
        <v>0</v>
      </c>
      <c r="H73" s="9">
        <f t="shared" ref="H73:H89" si="4">E73+F73+G73</f>
        <v>69</v>
      </c>
      <c r="I73" s="16">
        <f t="shared" ref="I73:I90" si="5">H73+D73</f>
        <v>98</v>
      </c>
    </row>
    <row r="74" spans="1:9" x14ac:dyDescent="0.25">
      <c r="A74" s="13" t="s">
        <v>129</v>
      </c>
      <c r="B74" s="8">
        <v>0</v>
      </c>
      <c r="C74" s="4">
        <v>0</v>
      </c>
      <c r="D74" s="6">
        <f t="shared" si="3"/>
        <v>0</v>
      </c>
      <c r="E74" s="8">
        <v>16</v>
      </c>
      <c r="F74" s="4">
        <v>27</v>
      </c>
      <c r="G74" s="4">
        <v>0</v>
      </c>
      <c r="H74" s="9">
        <f t="shared" si="4"/>
        <v>43</v>
      </c>
      <c r="I74" s="16">
        <f t="shared" si="5"/>
        <v>43</v>
      </c>
    </row>
    <row r="75" spans="1:9" x14ac:dyDescent="0.25">
      <c r="A75" s="13" t="s">
        <v>119</v>
      </c>
      <c r="B75" s="8">
        <v>42</v>
      </c>
      <c r="C75" s="4">
        <v>0</v>
      </c>
      <c r="D75" s="6">
        <f t="shared" si="3"/>
        <v>42</v>
      </c>
      <c r="E75" s="8">
        <v>23</v>
      </c>
      <c r="F75" s="4">
        <v>48</v>
      </c>
      <c r="G75" s="4">
        <v>0</v>
      </c>
      <c r="H75" s="9">
        <f t="shared" si="4"/>
        <v>71</v>
      </c>
      <c r="I75" s="16">
        <f t="shared" si="5"/>
        <v>113</v>
      </c>
    </row>
    <row r="76" spans="1:9" x14ac:dyDescent="0.25">
      <c r="A76" s="13" t="s">
        <v>61</v>
      </c>
      <c r="B76" s="8">
        <v>7</v>
      </c>
      <c r="C76" s="4">
        <v>0</v>
      </c>
      <c r="D76" s="6">
        <f t="shared" si="3"/>
        <v>7</v>
      </c>
      <c r="E76" s="8">
        <v>50</v>
      </c>
      <c r="F76" s="4">
        <v>70</v>
      </c>
      <c r="G76" s="4">
        <v>1</v>
      </c>
      <c r="H76" s="9">
        <f t="shared" si="4"/>
        <v>121</v>
      </c>
      <c r="I76" s="16">
        <f t="shared" si="5"/>
        <v>128</v>
      </c>
    </row>
    <row r="77" spans="1:9" x14ac:dyDescent="0.25">
      <c r="A77" s="13" t="s">
        <v>132</v>
      </c>
      <c r="B77" s="8">
        <v>0</v>
      </c>
      <c r="C77" s="4">
        <v>0</v>
      </c>
      <c r="D77" s="6">
        <f t="shared" si="3"/>
        <v>0</v>
      </c>
      <c r="E77" s="8">
        <v>6</v>
      </c>
      <c r="F77" s="4">
        <v>43</v>
      </c>
      <c r="G77" s="4">
        <v>0</v>
      </c>
      <c r="H77" s="9">
        <f t="shared" si="4"/>
        <v>49</v>
      </c>
      <c r="I77" s="16">
        <f t="shared" si="5"/>
        <v>49</v>
      </c>
    </row>
    <row r="78" spans="1:9" x14ac:dyDescent="0.25">
      <c r="A78" s="13" t="s">
        <v>111</v>
      </c>
      <c r="B78" s="8">
        <v>0</v>
      </c>
      <c r="C78" s="4">
        <v>0</v>
      </c>
      <c r="D78" s="6">
        <f t="shared" si="3"/>
        <v>0</v>
      </c>
      <c r="E78" s="8">
        <v>0</v>
      </c>
      <c r="F78" s="4">
        <v>1</v>
      </c>
      <c r="G78" s="4">
        <v>1</v>
      </c>
      <c r="H78" s="9">
        <f t="shared" si="4"/>
        <v>2</v>
      </c>
      <c r="I78" s="16">
        <f t="shared" si="5"/>
        <v>2</v>
      </c>
    </row>
    <row r="79" spans="1:9" x14ac:dyDescent="0.25">
      <c r="A79" s="13" t="s">
        <v>94</v>
      </c>
      <c r="B79" s="8">
        <v>0</v>
      </c>
      <c r="C79" s="4">
        <v>0</v>
      </c>
      <c r="D79" s="6">
        <f t="shared" si="3"/>
        <v>0</v>
      </c>
      <c r="E79" s="8">
        <v>74</v>
      </c>
      <c r="F79" s="4">
        <v>42</v>
      </c>
      <c r="G79" s="4">
        <v>0</v>
      </c>
      <c r="H79" s="9">
        <f t="shared" si="4"/>
        <v>116</v>
      </c>
      <c r="I79" s="16">
        <f t="shared" si="5"/>
        <v>116</v>
      </c>
    </row>
    <row r="80" spans="1:9" x14ac:dyDescent="0.25">
      <c r="A80" s="13" t="s">
        <v>64</v>
      </c>
      <c r="B80" s="8">
        <v>0</v>
      </c>
      <c r="C80" s="4">
        <v>0</v>
      </c>
      <c r="D80" s="6">
        <f t="shared" si="3"/>
        <v>0</v>
      </c>
      <c r="E80" s="8">
        <v>1</v>
      </c>
      <c r="F80" s="4">
        <v>1</v>
      </c>
      <c r="G80" s="4">
        <v>0</v>
      </c>
      <c r="H80" s="9">
        <f t="shared" si="4"/>
        <v>2</v>
      </c>
      <c r="I80" s="16">
        <f t="shared" si="5"/>
        <v>2</v>
      </c>
    </row>
    <row r="81" spans="1:9" x14ac:dyDescent="0.25">
      <c r="A81" s="13" t="s">
        <v>65</v>
      </c>
      <c r="B81" s="8">
        <v>0</v>
      </c>
      <c r="C81" s="4">
        <v>0</v>
      </c>
      <c r="D81" s="6">
        <f t="shared" si="3"/>
        <v>0</v>
      </c>
      <c r="E81" s="8">
        <v>15</v>
      </c>
      <c r="F81" s="4">
        <v>16</v>
      </c>
      <c r="G81" s="4">
        <v>0</v>
      </c>
      <c r="H81" s="9">
        <f t="shared" si="4"/>
        <v>31</v>
      </c>
      <c r="I81" s="16">
        <f t="shared" si="5"/>
        <v>31</v>
      </c>
    </row>
    <row r="82" spans="1:9" x14ac:dyDescent="0.25">
      <c r="A82" s="13" t="s">
        <v>66</v>
      </c>
      <c r="B82" s="8">
        <v>0</v>
      </c>
      <c r="C82" s="4">
        <v>0</v>
      </c>
      <c r="D82" s="6">
        <f t="shared" si="3"/>
        <v>0</v>
      </c>
      <c r="E82" s="8">
        <v>18</v>
      </c>
      <c r="F82" s="4">
        <v>5</v>
      </c>
      <c r="G82" s="4">
        <v>0</v>
      </c>
      <c r="H82" s="9">
        <f t="shared" si="4"/>
        <v>23</v>
      </c>
      <c r="I82" s="16">
        <f t="shared" si="5"/>
        <v>23</v>
      </c>
    </row>
    <row r="83" spans="1:9" x14ac:dyDescent="0.25">
      <c r="A83" s="13" t="s">
        <v>75</v>
      </c>
      <c r="B83" s="8">
        <v>0</v>
      </c>
      <c r="C83" s="4">
        <v>0</v>
      </c>
      <c r="D83" s="6">
        <f t="shared" si="3"/>
        <v>0</v>
      </c>
      <c r="E83" s="8">
        <v>22</v>
      </c>
      <c r="F83" s="4">
        <v>19</v>
      </c>
      <c r="G83" s="4">
        <v>0</v>
      </c>
      <c r="H83" s="9">
        <f t="shared" si="4"/>
        <v>41</v>
      </c>
      <c r="I83" s="16">
        <f t="shared" si="5"/>
        <v>41</v>
      </c>
    </row>
    <row r="84" spans="1:9" x14ac:dyDescent="0.25">
      <c r="A84" s="13" t="s">
        <v>67</v>
      </c>
      <c r="B84" s="8">
        <v>19</v>
      </c>
      <c r="C84" s="4">
        <v>0</v>
      </c>
      <c r="D84" s="6">
        <f t="shared" si="3"/>
        <v>19</v>
      </c>
      <c r="E84" s="8">
        <v>14</v>
      </c>
      <c r="F84" s="4">
        <v>17</v>
      </c>
      <c r="G84" s="4">
        <v>0</v>
      </c>
      <c r="H84" s="9">
        <f t="shared" si="4"/>
        <v>31</v>
      </c>
      <c r="I84" s="16">
        <f t="shared" si="5"/>
        <v>50</v>
      </c>
    </row>
    <row r="85" spans="1:9" x14ac:dyDescent="0.25">
      <c r="A85" s="13" t="s">
        <v>112</v>
      </c>
      <c r="B85" s="8">
        <v>0</v>
      </c>
      <c r="C85" s="4">
        <v>0</v>
      </c>
      <c r="D85" s="6">
        <f t="shared" si="3"/>
        <v>0</v>
      </c>
      <c r="E85" s="8">
        <v>5</v>
      </c>
      <c r="F85" s="4">
        <v>4</v>
      </c>
      <c r="G85" s="4">
        <v>0</v>
      </c>
      <c r="H85" s="9">
        <f t="shared" si="4"/>
        <v>9</v>
      </c>
      <c r="I85" s="16">
        <f t="shared" si="5"/>
        <v>9</v>
      </c>
    </row>
    <row r="86" spans="1:9" x14ac:dyDescent="0.25">
      <c r="A86" s="13" t="s">
        <v>133</v>
      </c>
      <c r="B86" s="8">
        <v>0</v>
      </c>
      <c r="C86" s="4">
        <v>0</v>
      </c>
      <c r="D86" s="6">
        <f t="shared" si="3"/>
        <v>0</v>
      </c>
      <c r="E86" s="8">
        <v>2</v>
      </c>
      <c r="F86" s="4">
        <v>3</v>
      </c>
      <c r="G86" s="4">
        <v>0</v>
      </c>
      <c r="H86" s="9">
        <f t="shared" si="4"/>
        <v>5</v>
      </c>
      <c r="I86" s="16">
        <f t="shared" ref="I86:I87" si="6">H86+D86</f>
        <v>5</v>
      </c>
    </row>
    <row r="87" spans="1:9" x14ac:dyDescent="0.25">
      <c r="A87" s="13" t="s">
        <v>120</v>
      </c>
      <c r="B87" s="8">
        <v>41</v>
      </c>
      <c r="C87" s="4">
        <v>4</v>
      </c>
      <c r="D87" s="6">
        <f t="shared" si="3"/>
        <v>45</v>
      </c>
      <c r="E87" s="8">
        <v>0</v>
      </c>
      <c r="F87" s="4">
        <v>0</v>
      </c>
      <c r="G87" s="4">
        <v>0</v>
      </c>
      <c r="H87" s="9">
        <f t="shared" si="4"/>
        <v>0</v>
      </c>
      <c r="I87" s="16">
        <f t="shared" si="6"/>
        <v>45</v>
      </c>
    </row>
    <row r="88" spans="1:9" x14ac:dyDescent="0.25">
      <c r="A88" s="13" t="s">
        <v>113</v>
      </c>
      <c r="B88" s="8">
        <v>19</v>
      </c>
      <c r="C88" s="4">
        <v>0</v>
      </c>
      <c r="D88" s="6">
        <f t="shared" si="3"/>
        <v>19</v>
      </c>
      <c r="E88" s="8">
        <v>15</v>
      </c>
      <c r="F88" s="4">
        <v>34</v>
      </c>
      <c r="G88" s="4">
        <v>0</v>
      </c>
      <c r="H88" s="9">
        <f t="shared" si="4"/>
        <v>49</v>
      </c>
      <c r="I88" s="16">
        <f t="shared" si="5"/>
        <v>68</v>
      </c>
    </row>
    <row r="89" spans="1:9" x14ac:dyDescent="0.25">
      <c r="A89" s="13" t="s">
        <v>72</v>
      </c>
      <c r="B89" s="8">
        <v>1</v>
      </c>
      <c r="C89" s="4">
        <v>0</v>
      </c>
      <c r="D89" s="6">
        <f t="shared" ref="D89:D90" si="7">B89+C89</f>
        <v>1</v>
      </c>
      <c r="E89" s="8">
        <v>15</v>
      </c>
      <c r="F89" s="4">
        <v>35</v>
      </c>
      <c r="G89" s="4">
        <v>0</v>
      </c>
      <c r="H89" s="9">
        <f t="shared" si="4"/>
        <v>50</v>
      </c>
      <c r="I89" s="16">
        <f t="shared" si="5"/>
        <v>51</v>
      </c>
    </row>
    <row r="90" spans="1:9" ht="15.75" thickBot="1" x14ac:dyDescent="0.3">
      <c r="A90" s="14" t="s">
        <v>121</v>
      </c>
      <c r="B90" s="10">
        <v>0</v>
      </c>
      <c r="C90" s="5">
        <v>0</v>
      </c>
      <c r="D90" s="7">
        <f t="shared" si="7"/>
        <v>0</v>
      </c>
      <c r="E90" s="10">
        <v>8</v>
      </c>
      <c r="F90" s="5">
        <v>50</v>
      </c>
      <c r="G90" s="5">
        <v>0</v>
      </c>
      <c r="H90" s="11">
        <f>E90+F90+G90</f>
        <v>58</v>
      </c>
      <c r="I90" s="17">
        <f t="shared" si="5"/>
        <v>58</v>
      </c>
    </row>
    <row r="91" spans="1:9" ht="16.5" thickTop="1" thickBot="1" x14ac:dyDescent="0.3">
      <c r="A91" s="15" t="s">
        <v>0</v>
      </c>
      <c r="B91" s="12">
        <f t="shared" ref="B91:I91" si="8">SUM(B8:B90)</f>
        <v>11888</v>
      </c>
      <c r="C91" s="12">
        <f t="shared" si="8"/>
        <v>253</v>
      </c>
      <c r="D91" s="15">
        <f t="shared" si="8"/>
        <v>12141</v>
      </c>
      <c r="E91" s="12">
        <f t="shared" si="8"/>
        <v>4755</v>
      </c>
      <c r="F91" s="12">
        <f t="shared" si="8"/>
        <v>2468</v>
      </c>
      <c r="G91" s="12">
        <f t="shared" si="8"/>
        <v>50</v>
      </c>
      <c r="H91" s="18">
        <f t="shared" si="8"/>
        <v>7273</v>
      </c>
      <c r="I91" s="18">
        <f t="shared" si="8"/>
        <v>19414</v>
      </c>
    </row>
    <row r="93" spans="1:9" x14ac:dyDescent="0.25">
      <c r="A93" s="33" t="s">
        <v>88</v>
      </c>
      <c r="B93" s="33"/>
      <c r="C93" s="33"/>
      <c r="D93" s="33"/>
      <c r="E93" s="33"/>
      <c r="F93" s="33"/>
      <c r="G93" s="33"/>
      <c r="H93" s="33"/>
      <c r="I93" s="33"/>
    </row>
    <row r="94" spans="1:9" x14ac:dyDescent="0.25">
      <c r="A94" s="33"/>
      <c r="B94" s="33"/>
      <c r="C94" s="33"/>
      <c r="D94" s="33"/>
      <c r="E94" s="33"/>
      <c r="F94" s="33"/>
      <c r="G94" s="33"/>
      <c r="H94" s="33"/>
      <c r="I94" s="33"/>
    </row>
  </sheetData>
  <mergeCells count="13">
    <mergeCell ref="G6:G7"/>
    <mergeCell ref="H6:H7"/>
    <mergeCell ref="A93:I94"/>
    <mergeCell ref="A2:I2"/>
    <mergeCell ref="A5:A7"/>
    <mergeCell ref="B5:D5"/>
    <mergeCell ref="E5:H5"/>
    <mergeCell ref="I5:I7"/>
    <mergeCell ref="B6:B7"/>
    <mergeCell ref="C6:C7"/>
    <mergeCell ref="D6:D7"/>
    <mergeCell ref="E6:E7"/>
    <mergeCell ref="F6:F7"/>
  </mergeCells>
  <pageMargins left="0.7" right="0.7" top="0.75" bottom="0.75" header="0.3" footer="0.3"/>
  <pageSetup paperSize="9" orientation="portrait" r:id="rId1"/>
  <headerFooter>
    <oddHeader>&amp;CUCL Student Data Statistics</oddHeader>
    <oddFooter>&amp;L&amp;F - &amp;A&amp;RPage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I94"/>
  <sheetViews>
    <sheetView tabSelected="1" view="pageLayout" topLeftCell="A91" zoomScale="85" zoomScaleNormal="100" zoomScalePageLayoutView="85" workbookViewId="0">
      <selection activeCell="A47" sqref="A47"/>
    </sheetView>
  </sheetViews>
  <sheetFormatPr defaultColWidth="9" defaultRowHeight="15" x14ac:dyDescent="0.25"/>
  <cols>
    <col min="1" max="1" width="31.28515625" customWidth="1"/>
    <col min="2" max="9" width="6.7109375" customWidth="1"/>
  </cols>
  <sheetData>
    <row r="1" spans="1:9" ht="18" x14ac:dyDescent="0.25">
      <c r="A1" s="1" t="s">
        <v>2</v>
      </c>
      <c r="B1" s="3"/>
    </row>
    <row r="2" spans="1:9" x14ac:dyDescent="0.25">
      <c r="A2" s="34" t="s">
        <v>3</v>
      </c>
      <c r="B2" s="34"/>
      <c r="C2" s="34"/>
      <c r="D2" s="34"/>
      <c r="E2" s="34"/>
      <c r="F2" s="34"/>
      <c r="G2" s="34"/>
      <c r="H2" s="34"/>
      <c r="I2" s="34"/>
    </row>
    <row r="3" spans="1:9" ht="15" customHeight="1" x14ac:dyDescent="0.25">
      <c r="A3" s="28" t="str">
        <f ca="1">RIGHT(CELL("filename",A1),LEN(CELL("filename",A1))-FIND("]",CELL("filename",A1)))</f>
        <v>2003-04</v>
      </c>
      <c r="B3" s="3"/>
    </row>
    <row r="4" spans="1:9" ht="15.75" thickBot="1" x14ac:dyDescent="0.3">
      <c r="A4" s="3"/>
      <c r="B4" s="3"/>
    </row>
    <row r="5" spans="1:9" x14ac:dyDescent="0.25">
      <c r="A5" s="35" t="s">
        <v>4</v>
      </c>
      <c r="B5" s="38" t="s">
        <v>5</v>
      </c>
      <c r="C5" s="39"/>
      <c r="D5" s="39"/>
      <c r="E5" s="38" t="s">
        <v>6</v>
      </c>
      <c r="F5" s="39"/>
      <c r="G5" s="39"/>
      <c r="H5" s="40"/>
      <c r="I5" s="41" t="s">
        <v>0</v>
      </c>
    </row>
    <row r="6" spans="1:9" x14ac:dyDescent="0.25">
      <c r="A6" s="36"/>
      <c r="B6" s="44" t="s">
        <v>76</v>
      </c>
      <c r="C6" s="29" t="s">
        <v>77</v>
      </c>
      <c r="D6" s="46" t="s">
        <v>0</v>
      </c>
      <c r="E6" s="44" t="s">
        <v>76</v>
      </c>
      <c r="F6" s="29" t="s">
        <v>77</v>
      </c>
      <c r="G6" s="29" t="s">
        <v>78</v>
      </c>
      <c r="H6" s="31" t="s">
        <v>0</v>
      </c>
      <c r="I6" s="42"/>
    </row>
    <row r="7" spans="1:9" x14ac:dyDescent="0.25">
      <c r="A7" s="37"/>
      <c r="B7" s="45"/>
      <c r="C7" s="30"/>
      <c r="D7" s="47"/>
      <c r="E7" s="45"/>
      <c r="F7" s="30"/>
      <c r="G7" s="30"/>
      <c r="H7" s="32"/>
      <c r="I7" s="43"/>
    </row>
    <row r="8" spans="1:9" x14ac:dyDescent="0.25">
      <c r="A8" s="13" t="s">
        <v>7</v>
      </c>
      <c r="B8" s="8">
        <v>161</v>
      </c>
      <c r="C8" s="4">
        <v>1</v>
      </c>
      <c r="D8" s="6">
        <f>B8+C8</f>
        <v>162</v>
      </c>
      <c r="E8" s="8">
        <v>103</v>
      </c>
      <c r="F8" s="4">
        <v>24</v>
      </c>
      <c r="G8" s="4">
        <v>4</v>
      </c>
      <c r="H8" s="9">
        <f>E8+F8+G8</f>
        <v>131</v>
      </c>
      <c r="I8" s="16">
        <f>H8+D8</f>
        <v>293</v>
      </c>
    </row>
    <row r="9" spans="1:9" x14ac:dyDescent="0.25">
      <c r="A9" s="13" t="s">
        <v>8</v>
      </c>
      <c r="B9" s="8">
        <v>194</v>
      </c>
      <c r="C9" s="4">
        <v>0</v>
      </c>
      <c r="D9" s="6">
        <f t="shared" ref="D9:D72" si="0">B9+C9</f>
        <v>194</v>
      </c>
      <c r="E9" s="8">
        <v>101</v>
      </c>
      <c r="F9" s="4">
        <v>11</v>
      </c>
      <c r="G9" s="4">
        <v>18</v>
      </c>
      <c r="H9" s="9">
        <f t="shared" ref="H9:H72" si="1">E9+F9+G9</f>
        <v>130</v>
      </c>
      <c r="I9" s="16">
        <f t="shared" ref="I9:I72" si="2">H9+D9</f>
        <v>324</v>
      </c>
    </row>
    <row r="10" spans="1:9" x14ac:dyDescent="0.25">
      <c r="A10" s="13" t="s">
        <v>9</v>
      </c>
      <c r="B10" s="8">
        <v>240</v>
      </c>
      <c r="C10" s="4">
        <v>3</v>
      </c>
      <c r="D10" s="6">
        <f t="shared" si="0"/>
        <v>243</v>
      </c>
      <c r="E10" s="8">
        <v>217</v>
      </c>
      <c r="F10" s="4">
        <v>86</v>
      </c>
      <c r="G10" s="4">
        <v>5</v>
      </c>
      <c r="H10" s="9">
        <f t="shared" si="1"/>
        <v>308</v>
      </c>
      <c r="I10" s="16">
        <f t="shared" si="2"/>
        <v>551</v>
      </c>
    </row>
    <row r="11" spans="1:9" x14ac:dyDescent="0.25">
      <c r="A11" s="13" t="s">
        <v>10</v>
      </c>
      <c r="B11" s="8">
        <v>409</v>
      </c>
      <c r="C11" s="4">
        <v>13</v>
      </c>
      <c r="D11" s="6">
        <f t="shared" si="0"/>
        <v>422</v>
      </c>
      <c r="E11" s="8">
        <v>527</v>
      </c>
      <c r="F11" s="4">
        <v>209</v>
      </c>
      <c r="G11" s="4">
        <v>5</v>
      </c>
      <c r="H11" s="9">
        <f t="shared" si="1"/>
        <v>741</v>
      </c>
      <c r="I11" s="16">
        <f t="shared" si="2"/>
        <v>1163</v>
      </c>
    </row>
    <row r="12" spans="1:9" x14ac:dyDescent="0.25">
      <c r="A12" s="13" t="s">
        <v>95</v>
      </c>
      <c r="B12" s="8">
        <v>118</v>
      </c>
      <c r="C12" s="4">
        <v>1</v>
      </c>
      <c r="D12" s="6">
        <f t="shared" si="0"/>
        <v>119</v>
      </c>
      <c r="E12" s="8">
        <v>99</v>
      </c>
      <c r="F12" s="4">
        <v>6</v>
      </c>
      <c r="G12" s="4">
        <v>1</v>
      </c>
      <c r="H12" s="9">
        <f t="shared" si="1"/>
        <v>106</v>
      </c>
      <c r="I12" s="16">
        <f t="shared" si="2"/>
        <v>225</v>
      </c>
    </row>
    <row r="13" spans="1:9" x14ac:dyDescent="0.25">
      <c r="A13" s="13" t="s">
        <v>11</v>
      </c>
      <c r="B13" s="8">
        <v>202</v>
      </c>
      <c r="C13" s="4">
        <v>7</v>
      </c>
      <c r="D13" s="6">
        <f t="shared" si="0"/>
        <v>209</v>
      </c>
      <c r="E13" s="8">
        <v>100</v>
      </c>
      <c r="F13" s="4">
        <v>6</v>
      </c>
      <c r="G13" s="4">
        <v>0</v>
      </c>
      <c r="H13" s="9">
        <f t="shared" si="1"/>
        <v>106</v>
      </c>
      <c r="I13" s="16">
        <f t="shared" si="2"/>
        <v>315</v>
      </c>
    </row>
    <row r="14" spans="1:9" x14ac:dyDescent="0.25">
      <c r="A14" s="13" t="s">
        <v>12</v>
      </c>
      <c r="B14" s="8">
        <v>271</v>
      </c>
      <c r="C14" s="4">
        <v>1</v>
      </c>
      <c r="D14" s="6">
        <f t="shared" si="0"/>
        <v>272</v>
      </c>
      <c r="E14" s="8">
        <v>78</v>
      </c>
      <c r="F14" s="4">
        <v>7</v>
      </c>
      <c r="G14" s="4">
        <v>0</v>
      </c>
      <c r="H14" s="9">
        <f t="shared" si="1"/>
        <v>85</v>
      </c>
      <c r="I14" s="16">
        <f t="shared" si="2"/>
        <v>357</v>
      </c>
    </row>
    <row r="15" spans="1:9" x14ac:dyDescent="0.25">
      <c r="A15" s="13" t="s">
        <v>116</v>
      </c>
      <c r="B15" s="8">
        <v>0</v>
      </c>
      <c r="C15" s="4">
        <v>0</v>
      </c>
      <c r="D15" s="6">
        <f t="shared" si="0"/>
        <v>0</v>
      </c>
      <c r="E15" s="8">
        <v>12</v>
      </c>
      <c r="F15" s="4">
        <v>0</v>
      </c>
      <c r="G15" s="4">
        <v>0</v>
      </c>
      <c r="H15" s="9">
        <f t="shared" si="1"/>
        <v>12</v>
      </c>
      <c r="I15" s="16">
        <f t="shared" si="2"/>
        <v>12</v>
      </c>
    </row>
    <row r="16" spans="1:9" x14ac:dyDescent="0.25">
      <c r="A16" s="13" t="s">
        <v>125</v>
      </c>
      <c r="B16" s="8">
        <v>0</v>
      </c>
      <c r="C16" s="4">
        <v>0</v>
      </c>
      <c r="D16" s="6">
        <f t="shared" si="0"/>
        <v>0</v>
      </c>
      <c r="E16" s="8">
        <v>20</v>
      </c>
      <c r="F16" s="4">
        <v>4</v>
      </c>
      <c r="G16" s="4">
        <v>0</v>
      </c>
      <c r="H16" s="9">
        <f t="shared" si="1"/>
        <v>24</v>
      </c>
      <c r="I16" s="16">
        <f t="shared" si="2"/>
        <v>24</v>
      </c>
    </row>
    <row r="17" spans="1:9" x14ac:dyDescent="0.25">
      <c r="A17" s="13" t="s">
        <v>101</v>
      </c>
      <c r="B17" s="8">
        <v>0</v>
      </c>
      <c r="C17" s="4">
        <v>0</v>
      </c>
      <c r="D17" s="6">
        <f t="shared" si="0"/>
        <v>0</v>
      </c>
      <c r="E17" s="8">
        <v>19</v>
      </c>
      <c r="F17" s="4">
        <v>0</v>
      </c>
      <c r="G17" s="4">
        <v>0</v>
      </c>
      <c r="H17" s="9">
        <f t="shared" si="1"/>
        <v>19</v>
      </c>
      <c r="I17" s="16">
        <f t="shared" si="2"/>
        <v>19</v>
      </c>
    </row>
    <row r="18" spans="1:9" x14ac:dyDescent="0.25">
      <c r="A18" s="13" t="s">
        <v>96</v>
      </c>
      <c r="B18" s="8">
        <v>125</v>
      </c>
      <c r="C18" s="4">
        <v>3</v>
      </c>
      <c r="D18" s="6">
        <f t="shared" si="0"/>
        <v>128</v>
      </c>
      <c r="E18" s="8">
        <v>41</v>
      </c>
      <c r="F18" s="4">
        <v>8</v>
      </c>
      <c r="G18" s="4">
        <v>0</v>
      </c>
      <c r="H18" s="9">
        <f t="shared" si="1"/>
        <v>49</v>
      </c>
      <c r="I18" s="16">
        <f t="shared" si="2"/>
        <v>177</v>
      </c>
    </row>
    <row r="19" spans="1:9" x14ac:dyDescent="0.25">
      <c r="A19" s="13" t="s">
        <v>14</v>
      </c>
      <c r="B19" s="8">
        <v>270</v>
      </c>
      <c r="C19" s="4">
        <v>0</v>
      </c>
      <c r="D19" s="6">
        <f t="shared" si="0"/>
        <v>270</v>
      </c>
      <c r="E19" s="8">
        <v>95</v>
      </c>
      <c r="F19" s="4">
        <v>4</v>
      </c>
      <c r="G19" s="4">
        <v>1</v>
      </c>
      <c r="H19" s="9">
        <f t="shared" si="1"/>
        <v>100</v>
      </c>
      <c r="I19" s="16">
        <f t="shared" si="2"/>
        <v>370</v>
      </c>
    </row>
    <row r="20" spans="1:9" x14ac:dyDescent="0.25">
      <c r="A20" s="13" t="s">
        <v>15</v>
      </c>
      <c r="B20" s="8">
        <v>183</v>
      </c>
      <c r="C20" s="4">
        <v>3</v>
      </c>
      <c r="D20" s="6">
        <f t="shared" si="0"/>
        <v>186</v>
      </c>
      <c r="E20" s="8">
        <v>30</v>
      </c>
      <c r="F20" s="4">
        <v>4</v>
      </c>
      <c r="G20" s="4">
        <v>0</v>
      </c>
      <c r="H20" s="9">
        <f t="shared" si="1"/>
        <v>34</v>
      </c>
      <c r="I20" s="16">
        <f t="shared" si="2"/>
        <v>220</v>
      </c>
    </row>
    <row r="21" spans="1:9" x14ac:dyDescent="0.25">
      <c r="A21" s="13" t="s">
        <v>16</v>
      </c>
      <c r="B21" s="8">
        <v>251</v>
      </c>
      <c r="C21" s="4">
        <v>4</v>
      </c>
      <c r="D21" s="6">
        <f t="shared" si="0"/>
        <v>255</v>
      </c>
      <c r="E21" s="8">
        <v>202</v>
      </c>
      <c r="F21" s="4">
        <v>16</v>
      </c>
      <c r="G21" s="4">
        <v>0</v>
      </c>
      <c r="H21" s="9">
        <f t="shared" si="1"/>
        <v>218</v>
      </c>
      <c r="I21" s="16">
        <f t="shared" si="2"/>
        <v>473</v>
      </c>
    </row>
    <row r="22" spans="1:9" x14ac:dyDescent="0.25">
      <c r="A22" s="13" t="s">
        <v>17</v>
      </c>
      <c r="B22" s="8">
        <v>0</v>
      </c>
      <c r="C22" s="4">
        <v>0</v>
      </c>
      <c r="D22" s="6">
        <f t="shared" si="0"/>
        <v>0</v>
      </c>
      <c r="E22" s="8">
        <v>103</v>
      </c>
      <c r="F22" s="4">
        <v>11</v>
      </c>
      <c r="G22" s="4">
        <v>2</v>
      </c>
      <c r="H22" s="9">
        <f t="shared" si="1"/>
        <v>116</v>
      </c>
      <c r="I22" s="16">
        <f t="shared" si="2"/>
        <v>116</v>
      </c>
    </row>
    <row r="23" spans="1:9" x14ac:dyDescent="0.25">
      <c r="A23" s="13" t="s">
        <v>18</v>
      </c>
      <c r="B23" s="8">
        <v>31</v>
      </c>
      <c r="C23" s="4">
        <v>1</v>
      </c>
      <c r="D23" s="6">
        <f t="shared" si="0"/>
        <v>32</v>
      </c>
      <c r="E23" s="8">
        <v>16</v>
      </c>
      <c r="F23" s="4">
        <v>7</v>
      </c>
      <c r="G23" s="4">
        <v>1</v>
      </c>
      <c r="H23" s="9">
        <f t="shared" si="1"/>
        <v>24</v>
      </c>
      <c r="I23" s="16">
        <f t="shared" si="2"/>
        <v>56</v>
      </c>
    </row>
    <row r="24" spans="1:9" x14ac:dyDescent="0.25">
      <c r="A24" s="13" t="s">
        <v>122</v>
      </c>
      <c r="B24" s="8">
        <v>145</v>
      </c>
      <c r="C24" s="4">
        <v>0</v>
      </c>
      <c r="D24" s="6">
        <f t="shared" si="0"/>
        <v>145</v>
      </c>
      <c r="E24" s="8">
        <v>45</v>
      </c>
      <c r="F24" s="4">
        <v>10</v>
      </c>
      <c r="G24" s="4">
        <v>0</v>
      </c>
      <c r="H24" s="9">
        <f t="shared" si="1"/>
        <v>55</v>
      </c>
      <c r="I24" s="16">
        <f t="shared" si="2"/>
        <v>200</v>
      </c>
    </row>
    <row r="25" spans="1:9" x14ac:dyDescent="0.25">
      <c r="A25" s="13" t="s">
        <v>19</v>
      </c>
      <c r="B25" s="8">
        <v>549</v>
      </c>
      <c r="C25" s="4">
        <v>9</v>
      </c>
      <c r="D25" s="6">
        <f t="shared" si="0"/>
        <v>558</v>
      </c>
      <c r="E25" s="8">
        <v>123</v>
      </c>
      <c r="F25" s="4">
        <v>12</v>
      </c>
      <c r="G25" s="4">
        <v>1</v>
      </c>
      <c r="H25" s="9">
        <f t="shared" si="1"/>
        <v>136</v>
      </c>
      <c r="I25" s="16">
        <f t="shared" si="2"/>
        <v>694</v>
      </c>
    </row>
    <row r="26" spans="1:9" x14ac:dyDescent="0.25">
      <c r="A26" s="13" t="s">
        <v>123</v>
      </c>
      <c r="B26" s="8">
        <v>0</v>
      </c>
      <c r="C26" s="4">
        <v>0</v>
      </c>
      <c r="D26" s="6">
        <f t="shared" si="0"/>
        <v>0</v>
      </c>
      <c r="E26" s="8">
        <v>2</v>
      </c>
      <c r="F26" s="4">
        <v>77</v>
      </c>
      <c r="G26" s="4">
        <v>0</v>
      </c>
      <c r="H26" s="9">
        <f t="shared" si="1"/>
        <v>79</v>
      </c>
      <c r="I26" s="16">
        <f t="shared" si="2"/>
        <v>79</v>
      </c>
    </row>
    <row r="27" spans="1:9" x14ac:dyDescent="0.25">
      <c r="A27" s="13" t="s">
        <v>20</v>
      </c>
      <c r="B27" s="8">
        <v>255</v>
      </c>
      <c r="C27" s="4">
        <v>2</v>
      </c>
      <c r="D27" s="6">
        <f t="shared" si="0"/>
        <v>257</v>
      </c>
      <c r="E27" s="8">
        <v>148</v>
      </c>
      <c r="F27" s="4">
        <v>222</v>
      </c>
      <c r="G27" s="4">
        <v>0</v>
      </c>
      <c r="H27" s="9">
        <f t="shared" si="1"/>
        <v>370</v>
      </c>
      <c r="I27" s="16">
        <f t="shared" si="2"/>
        <v>627</v>
      </c>
    </row>
    <row r="28" spans="1:9" x14ac:dyDescent="0.25">
      <c r="A28" s="13" t="s">
        <v>21</v>
      </c>
      <c r="B28" s="8">
        <v>261</v>
      </c>
      <c r="C28" s="4">
        <v>0</v>
      </c>
      <c r="D28" s="6">
        <f t="shared" si="0"/>
        <v>261</v>
      </c>
      <c r="E28" s="8">
        <v>43</v>
      </c>
      <c r="F28" s="4">
        <v>10</v>
      </c>
      <c r="G28" s="4">
        <v>0</v>
      </c>
      <c r="H28" s="9">
        <f t="shared" si="1"/>
        <v>53</v>
      </c>
      <c r="I28" s="16">
        <f t="shared" si="2"/>
        <v>314</v>
      </c>
    </row>
    <row r="29" spans="1:9" x14ac:dyDescent="0.25">
      <c r="A29" s="13" t="s">
        <v>126</v>
      </c>
      <c r="B29" s="8">
        <v>156</v>
      </c>
      <c r="C29" s="4">
        <v>1</v>
      </c>
      <c r="D29" s="6">
        <f t="shared" si="0"/>
        <v>157</v>
      </c>
      <c r="E29" s="8">
        <v>0</v>
      </c>
      <c r="F29" s="4">
        <v>0</v>
      </c>
      <c r="G29" s="4">
        <v>0</v>
      </c>
      <c r="H29" s="9">
        <f t="shared" si="1"/>
        <v>0</v>
      </c>
      <c r="I29" s="16">
        <f t="shared" si="2"/>
        <v>157</v>
      </c>
    </row>
    <row r="30" spans="1:9" x14ac:dyDescent="0.25">
      <c r="A30" s="13" t="s">
        <v>22</v>
      </c>
      <c r="B30" s="8">
        <v>152</v>
      </c>
      <c r="C30" s="4">
        <v>2</v>
      </c>
      <c r="D30" s="6">
        <f t="shared" si="0"/>
        <v>154</v>
      </c>
      <c r="E30" s="8">
        <v>125</v>
      </c>
      <c r="F30" s="4">
        <v>1</v>
      </c>
      <c r="G30" s="4">
        <v>1</v>
      </c>
      <c r="H30" s="9">
        <f t="shared" si="1"/>
        <v>127</v>
      </c>
      <c r="I30" s="16">
        <f t="shared" si="2"/>
        <v>281</v>
      </c>
    </row>
    <row r="31" spans="1:9" x14ac:dyDescent="0.25">
      <c r="A31" s="13" t="s">
        <v>23</v>
      </c>
      <c r="B31" s="8">
        <v>205</v>
      </c>
      <c r="C31" s="4">
        <v>4</v>
      </c>
      <c r="D31" s="6">
        <f t="shared" si="0"/>
        <v>209</v>
      </c>
      <c r="E31" s="8">
        <v>7</v>
      </c>
      <c r="F31" s="4">
        <v>3</v>
      </c>
      <c r="G31" s="4">
        <v>0</v>
      </c>
      <c r="H31" s="9">
        <f t="shared" si="1"/>
        <v>10</v>
      </c>
      <c r="I31" s="16">
        <f t="shared" si="2"/>
        <v>219</v>
      </c>
    </row>
    <row r="32" spans="1:9" x14ac:dyDescent="0.25">
      <c r="A32" s="13" t="s">
        <v>97</v>
      </c>
      <c r="B32" s="8">
        <v>0</v>
      </c>
      <c r="C32" s="4">
        <v>0</v>
      </c>
      <c r="D32" s="6">
        <f t="shared" si="0"/>
        <v>0</v>
      </c>
      <c r="E32" s="8">
        <v>8</v>
      </c>
      <c r="F32" s="4">
        <v>0</v>
      </c>
      <c r="G32" s="4">
        <v>0</v>
      </c>
      <c r="H32" s="9">
        <f t="shared" si="1"/>
        <v>8</v>
      </c>
      <c r="I32" s="16">
        <f t="shared" si="2"/>
        <v>8</v>
      </c>
    </row>
    <row r="33" spans="1:9" x14ac:dyDescent="0.25">
      <c r="A33" s="13" t="s">
        <v>24</v>
      </c>
      <c r="B33" s="8">
        <v>354</v>
      </c>
      <c r="C33" s="4">
        <v>0</v>
      </c>
      <c r="D33" s="6">
        <f t="shared" si="0"/>
        <v>354</v>
      </c>
      <c r="E33" s="8">
        <v>102</v>
      </c>
      <c r="F33" s="4">
        <v>9</v>
      </c>
      <c r="G33" s="4">
        <v>1</v>
      </c>
      <c r="H33" s="9">
        <f t="shared" si="1"/>
        <v>112</v>
      </c>
      <c r="I33" s="16">
        <f t="shared" si="2"/>
        <v>466</v>
      </c>
    </row>
    <row r="34" spans="1:9" x14ac:dyDescent="0.25">
      <c r="A34" s="13" t="s">
        <v>89</v>
      </c>
      <c r="B34" s="8">
        <v>9</v>
      </c>
      <c r="C34" s="4">
        <v>0</v>
      </c>
      <c r="D34" s="6">
        <f t="shared" si="0"/>
        <v>9</v>
      </c>
      <c r="E34" s="8">
        <v>42</v>
      </c>
      <c r="F34" s="4">
        <v>15</v>
      </c>
      <c r="G34" s="4">
        <v>2</v>
      </c>
      <c r="H34" s="9">
        <f t="shared" si="1"/>
        <v>59</v>
      </c>
      <c r="I34" s="16">
        <f t="shared" si="2"/>
        <v>68</v>
      </c>
    </row>
    <row r="35" spans="1:9" x14ac:dyDescent="0.25">
      <c r="A35" s="13" t="s">
        <v>26</v>
      </c>
      <c r="B35" s="8">
        <v>147</v>
      </c>
      <c r="C35" s="4">
        <v>0</v>
      </c>
      <c r="D35" s="6">
        <f t="shared" si="0"/>
        <v>147</v>
      </c>
      <c r="E35" s="8">
        <v>12</v>
      </c>
      <c r="F35" s="4">
        <v>5</v>
      </c>
      <c r="G35" s="4">
        <v>1</v>
      </c>
      <c r="H35" s="9">
        <f t="shared" si="1"/>
        <v>18</v>
      </c>
      <c r="I35" s="16">
        <f t="shared" si="2"/>
        <v>165</v>
      </c>
    </row>
    <row r="36" spans="1:9" x14ac:dyDescent="0.25">
      <c r="A36" s="13" t="s">
        <v>81</v>
      </c>
      <c r="B36" s="8">
        <v>101</v>
      </c>
      <c r="C36" s="4">
        <v>9</v>
      </c>
      <c r="D36" s="6">
        <f t="shared" si="0"/>
        <v>110</v>
      </c>
      <c r="E36" s="8">
        <v>21</v>
      </c>
      <c r="F36" s="4">
        <v>17</v>
      </c>
      <c r="G36" s="4">
        <v>0</v>
      </c>
      <c r="H36" s="9">
        <f t="shared" si="1"/>
        <v>38</v>
      </c>
      <c r="I36" s="16">
        <f t="shared" si="2"/>
        <v>148</v>
      </c>
    </row>
    <row r="37" spans="1:9" x14ac:dyDescent="0.25">
      <c r="A37" s="13" t="s">
        <v>82</v>
      </c>
      <c r="B37" s="8">
        <v>32</v>
      </c>
      <c r="C37" s="4">
        <v>6</v>
      </c>
      <c r="D37" s="6">
        <f t="shared" si="0"/>
        <v>38</v>
      </c>
      <c r="E37" s="8">
        <v>8</v>
      </c>
      <c r="F37" s="4">
        <v>17</v>
      </c>
      <c r="G37" s="4">
        <v>1</v>
      </c>
      <c r="H37" s="9">
        <f t="shared" si="1"/>
        <v>26</v>
      </c>
      <c r="I37" s="16">
        <f t="shared" si="2"/>
        <v>64</v>
      </c>
    </row>
    <row r="38" spans="1:9" x14ac:dyDescent="0.25">
      <c r="A38" s="13" t="s">
        <v>30</v>
      </c>
      <c r="B38" s="8">
        <v>373</v>
      </c>
      <c r="C38" s="4">
        <v>1</v>
      </c>
      <c r="D38" s="6">
        <f t="shared" si="0"/>
        <v>374</v>
      </c>
      <c r="E38" s="8">
        <v>53</v>
      </c>
      <c r="F38" s="4">
        <v>30</v>
      </c>
      <c r="G38" s="4">
        <v>1</v>
      </c>
      <c r="H38" s="9">
        <f t="shared" si="1"/>
        <v>84</v>
      </c>
      <c r="I38" s="16">
        <f t="shared" si="2"/>
        <v>458</v>
      </c>
    </row>
    <row r="39" spans="1:9" x14ac:dyDescent="0.25">
      <c r="A39" s="13" t="s">
        <v>83</v>
      </c>
      <c r="B39" s="8">
        <v>173</v>
      </c>
      <c r="C39" s="4">
        <v>4</v>
      </c>
      <c r="D39" s="6">
        <f t="shared" si="0"/>
        <v>177</v>
      </c>
      <c r="E39" s="8">
        <v>50</v>
      </c>
      <c r="F39" s="4">
        <v>19</v>
      </c>
      <c r="G39" s="4">
        <v>0</v>
      </c>
      <c r="H39" s="9">
        <f t="shared" si="1"/>
        <v>69</v>
      </c>
      <c r="I39" s="16">
        <f t="shared" si="2"/>
        <v>246</v>
      </c>
    </row>
    <row r="40" spans="1:9" x14ac:dyDescent="0.25">
      <c r="A40" s="13" t="s">
        <v>32</v>
      </c>
      <c r="B40" s="8">
        <v>191</v>
      </c>
      <c r="C40" s="4">
        <v>6</v>
      </c>
      <c r="D40" s="6">
        <f t="shared" si="0"/>
        <v>197</v>
      </c>
      <c r="E40" s="8">
        <v>71</v>
      </c>
      <c r="F40" s="4">
        <v>9</v>
      </c>
      <c r="G40" s="4">
        <v>1</v>
      </c>
      <c r="H40" s="9">
        <f t="shared" si="1"/>
        <v>81</v>
      </c>
      <c r="I40" s="16">
        <f t="shared" si="2"/>
        <v>278</v>
      </c>
    </row>
    <row r="41" spans="1:9" x14ac:dyDescent="0.25">
      <c r="A41" s="13" t="s">
        <v>127</v>
      </c>
      <c r="B41" s="8">
        <v>104</v>
      </c>
      <c r="C41" s="4">
        <v>0</v>
      </c>
      <c r="D41" s="6">
        <f t="shared" si="0"/>
        <v>104</v>
      </c>
      <c r="E41" s="8">
        <v>0</v>
      </c>
      <c r="F41" s="4">
        <v>0</v>
      </c>
      <c r="G41" s="4">
        <v>0</v>
      </c>
      <c r="H41" s="9">
        <f t="shared" si="1"/>
        <v>0</v>
      </c>
      <c r="I41" s="16">
        <f t="shared" si="2"/>
        <v>104</v>
      </c>
    </row>
    <row r="42" spans="1:9" x14ac:dyDescent="0.25">
      <c r="A42" s="13" t="s">
        <v>33</v>
      </c>
      <c r="B42" s="8">
        <v>244</v>
      </c>
      <c r="C42" s="4">
        <v>7</v>
      </c>
      <c r="D42" s="6">
        <f t="shared" si="0"/>
        <v>251</v>
      </c>
      <c r="E42" s="8">
        <v>36</v>
      </c>
      <c r="F42" s="4">
        <v>15</v>
      </c>
      <c r="G42" s="4">
        <v>0</v>
      </c>
      <c r="H42" s="9">
        <f t="shared" si="1"/>
        <v>51</v>
      </c>
      <c r="I42" s="16">
        <f t="shared" si="2"/>
        <v>302</v>
      </c>
    </row>
    <row r="43" spans="1:9" x14ac:dyDescent="0.25">
      <c r="A43" s="13" t="s">
        <v>128</v>
      </c>
      <c r="B43" s="8">
        <v>107</v>
      </c>
      <c r="C43" s="4">
        <v>0</v>
      </c>
      <c r="D43" s="6">
        <f t="shared" si="0"/>
        <v>107</v>
      </c>
      <c r="E43" s="8">
        <v>0</v>
      </c>
      <c r="F43" s="4">
        <v>0</v>
      </c>
      <c r="G43" s="4">
        <v>0</v>
      </c>
      <c r="H43" s="9">
        <f t="shared" si="1"/>
        <v>0</v>
      </c>
      <c r="I43" s="16">
        <f t="shared" si="2"/>
        <v>107</v>
      </c>
    </row>
    <row r="44" spans="1:9" x14ac:dyDescent="0.25">
      <c r="A44" s="13" t="s">
        <v>1</v>
      </c>
      <c r="B44" s="8">
        <v>591</v>
      </c>
      <c r="C44" s="4">
        <v>1</v>
      </c>
      <c r="D44" s="6">
        <f t="shared" si="0"/>
        <v>592</v>
      </c>
      <c r="E44" s="8">
        <v>365</v>
      </c>
      <c r="F44" s="4">
        <v>41</v>
      </c>
      <c r="G44" s="4">
        <v>2</v>
      </c>
      <c r="H44" s="9">
        <f t="shared" si="1"/>
        <v>408</v>
      </c>
      <c r="I44" s="16">
        <f t="shared" si="2"/>
        <v>1000</v>
      </c>
    </row>
    <row r="45" spans="1:9" x14ac:dyDescent="0.25">
      <c r="A45" s="13" t="s">
        <v>34</v>
      </c>
      <c r="B45" s="8">
        <v>127</v>
      </c>
      <c r="C45" s="4">
        <v>1</v>
      </c>
      <c r="D45" s="6">
        <f t="shared" si="0"/>
        <v>128</v>
      </c>
      <c r="E45" s="8">
        <v>78</v>
      </c>
      <c r="F45" s="4">
        <v>84</v>
      </c>
      <c r="G45" s="4">
        <v>0</v>
      </c>
      <c r="H45" s="9">
        <f t="shared" si="1"/>
        <v>162</v>
      </c>
      <c r="I45" s="16">
        <f t="shared" si="2"/>
        <v>290</v>
      </c>
    </row>
    <row r="46" spans="1:9" x14ac:dyDescent="0.25">
      <c r="A46" s="13" t="s">
        <v>35</v>
      </c>
      <c r="B46" s="8">
        <v>443</v>
      </c>
      <c r="C46" s="4">
        <v>9</v>
      </c>
      <c r="D46" s="6">
        <f t="shared" si="0"/>
        <v>452</v>
      </c>
      <c r="E46" s="8">
        <v>20</v>
      </c>
      <c r="F46" s="4">
        <v>0</v>
      </c>
      <c r="G46" s="4">
        <v>1</v>
      </c>
      <c r="H46" s="9">
        <f t="shared" si="1"/>
        <v>21</v>
      </c>
      <c r="I46" s="16">
        <f t="shared" si="2"/>
        <v>473</v>
      </c>
    </row>
    <row r="47" spans="1:9" x14ac:dyDescent="0.25">
      <c r="A47" s="13" t="s">
        <v>36</v>
      </c>
      <c r="B47" s="8">
        <v>254</v>
      </c>
      <c r="C47" s="4">
        <v>10</v>
      </c>
      <c r="D47" s="6">
        <f t="shared" si="0"/>
        <v>264</v>
      </c>
      <c r="E47" s="8">
        <v>70</v>
      </c>
      <c r="F47" s="4">
        <v>49</v>
      </c>
      <c r="G47" s="4">
        <v>0</v>
      </c>
      <c r="H47" s="9">
        <f t="shared" si="1"/>
        <v>119</v>
      </c>
      <c r="I47" s="16">
        <f t="shared" si="2"/>
        <v>383</v>
      </c>
    </row>
    <row r="48" spans="1:9" x14ac:dyDescent="0.25">
      <c r="A48" s="13" t="s">
        <v>37</v>
      </c>
      <c r="B48" s="8">
        <v>12</v>
      </c>
      <c r="C48" s="4">
        <v>0</v>
      </c>
      <c r="D48" s="6">
        <f t="shared" si="0"/>
        <v>12</v>
      </c>
      <c r="E48" s="8">
        <v>39</v>
      </c>
      <c r="F48" s="4">
        <v>38</v>
      </c>
      <c r="G48" s="4">
        <v>0</v>
      </c>
      <c r="H48" s="9">
        <f t="shared" si="1"/>
        <v>77</v>
      </c>
      <c r="I48" s="16">
        <f t="shared" si="2"/>
        <v>89</v>
      </c>
    </row>
    <row r="49" spans="1:9" x14ac:dyDescent="0.25">
      <c r="A49" s="13" t="s">
        <v>39</v>
      </c>
      <c r="B49" s="8">
        <v>89</v>
      </c>
      <c r="C49" s="4">
        <v>2</v>
      </c>
      <c r="D49" s="6">
        <f t="shared" si="0"/>
        <v>91</v>
      </c>
      <c r="E49" s="8">
        <v>29</v>
      </c>
      <c r="F49" s="4">
        <v>3</v>
      </c>
      <c r="G49" s="4">
        <v>0</v>
      </c>
      <c r="H49" s="9">
        <f t="shared" si="1"/>
        <v>32</v>
      </c>
      <c r="I49" s="16">
        <f t="shared" si="2"/>
        <v>123</v>
      </c>
    </row>
    <row r="50" spans="1:9" x14ac:dyDescent="0.25">
      <c r="A50" s="13" t="s">
        <v>40</v>
      </c>
      <c r="B50" s="8">
        <v>157</v>
      </c>
      <c r="C50" s="4">
        <v>0</v>
      </c>
      <c r="D50" s="6">
        <f t="shared" si="0"/>
        <v>157</v>
      </c>
      <c r="E50" s="8">
        <v>45</v>
      </c>
      <c r="F50" s="4">
        <v>9</v>
      </c>
      <c r="G50" s="4">
        <v>1</v>
      </c>
      <c r="H50" s="9">
        <f t="shared" si="1"/>
        <v>55</v>
      </c>
      <c r="I50" s="16">
        <f t="shared" si="2"/>
        <v>212</v>
      </c>
    </row>
    <row r="51" spans="1:9" x14ac:dyDescent="0.25">
      <c r="A51" s="13" t="s">
        <v>41</v>
      </c>
      <c r="B51" s="8">
        <v>84</v>
      </c>
      <c r="C51" s="4">
        <v>2</v>
      </c>
      <c r="D51" s="6">
        <f t="shared" si="0"/>
        <v>86</v>
      </c>
      <c r="E51" s="8">
        <v>42</v>
      </c>
      <c r="F51" s="4">
        <v>17</v>
      </c>
      <c r="G51" s="4">
        <v>0</v>
      </c>
      <c r="H51" s="9">
        <f t="shared" si="1"/>
        <v>59</v>
      </c>
      <c r="I51" s="16">
        <f t="shared" si="2"/>
        <v>145</v>
      </c>
    </row>
    <row r="52" spans="1:9" x14ac:dyDescent="0.25">
      <c r="A52" s="13" t="s">
        <v>124</v>
      </c>
      <c r="B52" s="8">
        <v>46</v>
      </c>
      <c r="C52" s="4">
        <v>1</v>
      </c>
      <c r="D52" s="6">
        <f t="shared" si="0"/>
        <v>47</v>
      </c>
      <c r="E52" s="8">
        <v>0</v>
      </c>
      <c r="F52" s="4">
        <v>0</v>
      </c>
      <c r="G52" s="4">
        <v>0</v>
      </c>
      <c r="H52" s="9">
        <f t="shared" si="1"/>
        <v>0</v>
      </c>
      <c r="I52" s="16">
        <f t="shared" si="2"/>
        <v>47</v>
      </c>
    </row>
    <row r="53" spans="1:9" x14ac:dyDescent="0.25">
      <c r="A53" s="13" t="s">
        <v>43</v>
      </c>
      <c r="B53" s="8">
        <v>358</v>
      </c>
      <c r="C53" s="4">
        <v>87</v>
      </c>
      <c r="D53" s="6">
        <f t="shared" si="0"/>
        <v>445</v>
      </c>
      <c r="E53" s="8">
        <v>76</v>
      </c>
      <c r="F53" s="4">
        <v>2</v>
      </c>
      <c r="G53" s="4">
        <v>2</v>
      </c>
      <c r="H53" s="9">
        <f t="shared" si="1"/>
        <v>80</v>
      </c>
      <c r="I53" s="16">
        <f t="shared" si="2"/>
        <v>525</v>
      </c>
    </row>
    <row r="54" spans="1:9" x14ac:dyDescent="0.25">
      <c r="A54" s="13" t="s">
        <v>44</v>
      </c>
      <c r="B54" s="8">
        <v>245</v>
      </c>
      <c r="C54" s="4">
        <v>3</v>
      </c>
      <c r="D54" s="6">
        <f t="shared" si="0"/>
        <v>248</v>
      </c>
      <c r="E54" s="8">
        <v>49</v>
      </c>
      <c r="F54" s="4">
        <v>44</v>
      </c>
      <c r="G54" s="4">
        <v>0</v>
      </c>
      <c r="H54" s="9">
        <f t="shared" si="1"/>
        <v>93</v>
      </c>
      <c r="I54" s="16">
        <f t="shared" si="2"/>
        <v>341</v>
      </c>
    </row>
    <row r="55" spans="1:9" x14ac:dyDescent="0.25">
      <c r="A55" s="13" t="s">
        <v>45</v>
      </c>
      <c r="B55" s="8">
        <v>365</v>
      </c>
      <c r="C55" s="4">
        <v>1</v>
      </c>
      <c r="D55" s="6">
        <f t="shared" si="0"/>
        <v>366</v>
      </c>
      <c r="E55" s="8">
        <v>253</v>
      </c>
      <c r="F55" s="4">
        <v>113</v>
      </c>
      <c r="G55" s="4">
        <v>0</v>
      </c>
      <c r="H55" s="9">
        <f t="shared" si="1"/>
        <v>366</v>
      </c>
      <c r="I55" s="16">
        <f t="shared" si="2"/>
        <v>732</v>
      </c>
    </row>
    <row r="56" spans="1:9" x14ac:dyDescent="0.25">
      <c r="A56" s="13" t="s">
        <v>98</v>
      </c>
      <c r="B56" s="8">
        <v>0</v>
      </c>
      <c r="C56" s="4">
        <v>0</v>
      </c>
      <c r="D56" s="6">
        <f t="shared" si="0"/>
        <v>0</v>
      </c>
      <c r="E56" s="8">
        <v>93</v>
      </c>
      <c r="F56" s="4">
        <v>30</v>
      </c>
      <c r="G56" s="4">
        <v>0</v>
      </c>
      <c r="H56" s="9">
        <f t="shared" si="1"/>
        <v>123</v>
      </c>
      <c r="I56" s="16">
        <f t="shared" si="2"/>
        <v>123</v>
      </c>
    </row>
    <row r="57" spans="1:9" x14ac:dyDescent="0.25">
      <c r="A57" s="13" t="s">
        <v>46</v>
      </c>
      <c r="B57" s="8">
        <v>70</v>
      </c>
      <c r="C57" s="4">
        <v>2</v>
      </c>
      <c r="D57" s="6">
        <f t="shared" si="0"/>
        <v>72</v>
      </c>
      <c r="E57" s="8">
        <v>7</v>
      </c>
      <c r="F57" s="4">
        <v>4</v>
      </c>
      <c r="G57" s="4">
        <v>0</v>
      </c>
      <c r="H57" s="9">
        <f t="shared" si="1"/>
        <v>11</v>
      </c>
      <c r="I57" s="16">
        <f t="shared" si="2"/>
        <v>83</v>
      </c>
    </row>
    <row r="58" spans="1:9" x14ac:dyDescent="0.25">
      <c r="A58" s="13" t="s">
        <v>117</v>
      </c>
      <c r="B58" s="8">
        <v>582</v>
      </c>
      <c r="C58" s="4">
        <v>13</v>
      </c>
      <c r="D58" s="6">
        <f t="shared" si="0"/>
        <v>595</v>
      </c>
      <c r="E58" s="8">
        <v>98</v>
      </c>
      <c r="F58" s="4">
        <v>40</v>
      </c>
      <c r="G58" s="4">
        <v>3</v>
      </c>
      <c r="H58" s="9">
        <f t="shared" si="1"/>
        <v>141</v>
      </c>
      <c r="I58" s="16">
        <f t="shared" si="2"/>
        <v>736</v>
      </c>
    </row>
    <row r="59" spans="1:9" x14ac:dyDescent="0.25">
      <c r="A59" s="13" t="s">
        <v>47</v>
      </c>
      <c r="B59" s="8">
        <v>81</v>
      </c>
      <c r="C59" s="4">
        <v>4</v>
      </c>
      <c r="D59" s="6">
        <f t="shared" si="0"/>
        <v>85</v>
      </c>
      <c r="E59" s="8">
        <v>5</v>
      </c>
      <c r="F59" s="4">
        <v>4</v>
      </c>
      <c r="G59" s="4">
        <v>0</v>
      </c>
      <c r="H59" s="9">
        <f t="shared" si="1"/>
        <v>9</v>
      </c>
      <c r="I59" s="16">
        <f t="shared" si="2"/>
        <v>94</v>
      </c>
    </row>
    <row r="60" spans="1:9" x14ac:dyDescent="0.25">
      <c r="A60" s="13" t="s">
        <v>48</v>
      </c>
      <c r="B60" s="8">
        <v>0</v>
      </c>
      <c r="C60" s="4">
        <v>0</v>
      </c>
      <c r="D60" s="6">
        <f t="shared" si="0"/>
        <v>0</v>
      </c>
      <c r="E60" s="8">
        <v>41</v>
      </c>
      <c r="F60" s="4">
        <v>5</v>
      </c>
      <c r="G60" s="4">
        <v>0</v>
      </c>
      <c r="H60" s="9">
        <f t="shared" si="1"/>
        <v>46</v>
      </c>
      <c r="I60" s="16">
        <f t="shared" si="2"/>
        <v>46</v>
      </c>
    </row>
    <row r="61" spans="1:9" x14ac:dyDescent="0.25">
      <c r="A61" s="13" t="s">
        <v>49</v>
      </c>
      <c r="B61" s="8">
        <v>105</v>
      </c>
      <c r="C61" s="4">
        <v>0</v>
      </c>
      <c r="D61" s="6">
        <f t="shared" si="0"/>
        <v>105</v>
      </c>
      <c r="E61" s="8">
        <v>5</v>
      </c>
      <c r="F61" s="4">
        <v>4</v>
      </c>
      <c r="G61" s="4">
        <v>1</v>
      </c>
      <c r="H61" s="9">
        <f t="shared" si="1"/>
        <v>10</v>
      </c>
      <c r="I61" s="16">
        <f t="shared" si="2"/>
        <v>115</v>
      </c>
    </row>
    <row r="62" spans="1:9" x14ac:dyDescent="0.25">
      <c r="A62" s="13" t="s">
        <v>50</v>
      </c>
      <c r="B62" s="8">
        <v>194</v>
      </c>
      <c r="C62" s="4">
        <v>5</v>
      </c>
      <c r="D62" s="6">
        <f t="shared" si="0"/>
        <v>199</v>
      </c>
      <c r="E62" s="8">
        <v>35</v>
      </c>
      <c r="F62" s="4">
        <v>6</v>
      </c>
      <c r="G62" s="4">
        <v>0</v>
      </c>
      <c r="H62" s="9">
        <f t="shared" si="1"/>
        <v>41</v>
      </c>
      <c r="I62" s="16">
        <f t="shared" si="2"/>
        <v>240</v>
      </c>
    </row>
    <row r="63" spans="1:9" x14ac:dyDescent="0.25">
      <c r="A63" s="13" t="s">
        <v>52</v>
      </c>
      <c r="B63" s="8">
        <v>1</v>
      </c>
      <c r="C63" s="4">
        <v>0</v>
      </c>
      <c r="D63" s="6">
        <f t="shared" si="0"/>
        <v>1</v>
      </c>
      <c r="E63" s="8">
        <v>0</v>
      </c>
      <c r="F63" s="4">
        <v>0</v>
      </c>
      <c r="G63" s="4">
        <v>0</v>
      </c>
      <c r="H63" s="9">
        <f t="shared" si="1"/>
        <v>0</v>
      </c>
      <c r="I63" s="16">
        <f t="shared" si="2"/>
        <v>1</v>
      </c>
    </row>
    <row r="64" spans="1:9" x14ac:dyDescent="0.25">
      <c r="A64" s="13" t="s">
        <v>53</v>
      </c>
      <c r="B64" s="8">
        <v>687</v>
      </c>
      <c r="C64" s="4">
        <v>0</v>
      </c>
      <c r="D64" s="6">
        <f t="shared" si="0"/>
        <v>687</v>
      </c>
      <c r="E64" s="8">
        <v>0</v>
      </c>
      <c r="F64" s="4">
        <v>0</v>
      </c>
      <c r="G64" s="4">
        <v>0</v>
      </c>
      <c r="H64" s="9">
        <f t="shared" si="1"/>
        <v>0</v>
      </c>
      <c r="I64" s="16">
        <f t="shared" si="2"/>
        <v>687</v>
      </c>
    </row>
    <row r="65" spans="1:9" x14ac:dyDescent="0.25">
      <c r="A65" s="13" t="s">
        <v>54</v>
      </c>
      <c r="B65" s="8">
        <v>1074</v>
      </c>
      <c r="C65" s="4">
        <v>17</v>
      </c>
      <c r="D65" s="6">
        <f t="shared" si="0"/>
        <v>1091</v>
      </c>
      <c r="E65" s="8">
        <v>0</v>
      </c>
      <c r="F65" s="4">
        <v>23</v>
      </c>
      <c r="G65" s="4">
        <v>0</v>
      </c>
      <c r="H65" s="9">
        <f t="shared" si="1"/>
        <v>23</v>
      </c>
      <c r="I65" s="16">
        <f t="shared" si="2"/>
        <v>1114</v>
      </c>
    </row>
    <row r="66" spans="1:9" x14ac:dyDescent="0.25">
      <c r="A66" s="13" t="s">
        <v>118</v>
      </c>
      <c r="B66" s="8">
        <v>0</v>
      </c>
      <c r="C66" s="4">
        <v>0</v>
      </c>
      <c r="D66" s="6">
        <f t="shared" si="0"/>
        <v>0</v>
      </c>
      <c r="E66" s="8">
        <v>21</v>
      </c>
      <c r="F66" s="4">
        <v>10</v>
      </c>
      <c r="G66" s="4">
        <v>0</v>
      </c>
      <c r="H66" s="9">
        <f t="shared" si="1"/>
        <v>31</v>
      </c>
      <c r="I66" s="16">
        <f t="shared" si="2"/>
        <v>31</v>
      </c>
    </row>
    <row r="67" spans="1:9" x14ac:dyDescent="0.25">
      <c r="A67" s="13" t="s">
        <v>87</v>
      </c>
      <c r="B67" s="8">
        <v>0</v>
      </c>
      <c r="C67" s="4">
        <v>0</v>
      </c>
      <c r="D67" s="6">
        <f t="shared" si="0"/>
        <v>0</v>
      </c>
      <c r="E67" s="8">
        <v>88</v>
      </c>
      <c r="F67" s="4">
        <v>137</v>
      </c>
      <c r="G67" s="4">
        <v>6</v>
      </c>
      <c r="H67" s="9">
        <f t="shared" si="1"/>
        <v>231</v>
      </c>
      <c r="I67" s="16">
        <f t="shared" si="2"/>
        <v>231</v>
      </c>
    </row>
    <row r="68" spans="1:9" x14ac:dyDescent="0.25">
      <c r="A68" s="13" t="s">
        <v>91</v>
      </c>
      <c r="B68" s="8">
        <v>17</v>
      </c>
      <c r="C68" s="4">
        <v>0</v>
      </c>
      <c r="D68" s="6">
        <f t="shared" si="0"/>
        <v>17</v>
      </c>
      <c r="E68" s="8">
        <v>0</v>
      </c>
      <c r="F68" s="4">
        <v>108</v>
      </c>
      <c r="G68" s="4">
        <v>1</v>
      </c>
      <c r="H68" s="9">
        <f t="shared" si="1"/>
        <v>109</v>
      </c>
      <c r="I68" s="16">
        <f t="shared" si="2"/>
        <v>126</v>
      </c>
    </row>
    <row r="69" spans="1:9" x14ac:dyDescent="0.25">
      <c r="A69" s="13" t="s">
        <v>108</v>
      </c>
      <c r="B69" s="8">
        <v>0</v>
      </c>
      <c r="C69" s="4">
        <v>0</v>
      </c>
      <c r="D69" s="6">
        <f t="shared" si="0"/>
        <v>0</v>
      </c>
      <c r="E69" s="8">
        <v>0</v>
      </c>
      <c r="F69" s="4">
        <v>3</v>
      </c>
      <c r="G69" s="4">
        <v>0</v>
      </c>
      <c r="H69" s="9">
        <f t="shared" si="1"/>
        <v>3</v>
      </c>
      <c r="I69" s="16">
        <f t="shared" si="2"/>
        <v>3</v>
      </c>
    </row>
    <row r="70" spans="1:9" x14ac:dyDescent="0.25">
      <c r="A70" s="13" t="s">
        <v>102</v>
      </c>
      <c r="B70" s="8">
        <v>0</v>
      </c>
      <c r="C70" s="4">
        <v>0</v>
      </c>
      <c r="D70" s="6">
        <f t="shared" si="0"/>
        <v>0</v>
      </c>
      <c r="E70" s="8">
        <v>143</v>
      </c>
      <c r="F70" s="4">
        <v>208</v>
      </c>
      <c r="G70" s="4">
        <v>0</v>
      </c>
      <c r="H70" s="9">
        <f t="shared" si="1"/>
        <v>351</v>
      </c>
      <c r="I70" s="16">
        <f t="shared" si="2"/>
        <v>351</v>
      </c>
    </row>
    <row r="71" spans="1:9" x14ac:dyDescent="0.25">
      <c r="A71" s="13" t="s">
        <v>56</v>
      </c>
      <c r="B71" s="8">
        <v>0</v>
      </c>
      <c r="C71" s="4">
        <v>0</v>
      </c>
      <c r="D71" s="6">
        <f t="shared" si="0"/>
        <v>0</v>
      </c>
      <c r="E71" s="8">
        <v>25</v>
      </c>
      <c r="F71" s="4">
        <v>11</v>
      </c>
      <c r="G71" s="4">
        <v>3</v>
      </c>
      <c r="H71" s="9">
        <f t="shared" si="1"/>
        <v>39</v>
      </c>
      <c r="I71" s="16">
        <f t="shared" si="2"/>
        <v>39</v>
      </c>
    </row>
    <row r="72" spans="1:9" x14ac:dyDescent="0.25">
      <c r="A72" s="13" t="s">
        <v>57</v>
      </c>
      <c r="B72" s="8">
        <v>0</v>
      </c>
      <c r="C72" s="4">
        <v>0</v>
      </c>
      <c r="D72" s="6">
        <f t="shared" si="0"/>
        <v>0</v>
      </c>
      <c r="E72" s="8">
        <v>10</v>
      </c>
      <c r="F72" s="4">
        <v>16</v>
      </c>
      <c r="G72" s="4">
        <v>0</v>
      </c>
      <c r="H72" s="9">
        <f t="shared" si="1"/>
        <v>26</v>
      </c>
      <c r="I72" s="16">
        <f t="shared" si="2"/>
        <v>26</v>
      </c>
    </row>
    <row r="73" spans="1:9" x14ac:dyDescent="0.25">
      <c r="A73" s="13" t="s">
        <v>58</v>
      </c>
      <c r="B73" s="8">
        <v>0</v>
      </c>
      <c r="C73" s="4">
        <v>0</v>
      </c>
      <c r="D73" s="6">
        <f t="shared" ref="D73:D87" si="3">B73+C73</f>
        <v>0</v>
      </c>
      <c r="E73" s="8">
        <v>4</v>
      </c>
      <c r="F73" s="4">
        <v>1</v>
      </c>
      <c r="G73" s="4">
        <v>0</v>
      </c>
      <c r="H73" s="9">
        <f t="shared" ref="H73:H88" si="4">E73+F73+G73</f>
        <v>5</v>
      </c>
      <c r="I73" s="16">
        <f t="shared" ref="I73:I88" si="5">H73+D73</f>
        <v>5</v>
      </c>
    </row>
    <row r="74" spans="1:9" x14ac:dyDescent="0.25">
      <c r="A74" s="13" t="s">
        <v>109</v>
      </c>
      <c r="B74" s="8">
        <v>18</v>
      </c>
      <c r="C74" s="4">
        <v>0</v>
      </c>
      <c r="D74" s="6">
        <f t="shared" si="3"/>
        <v>18</v>
      </c>
      <c r="E74" s="8">
        <v>56</v>
      </c>
      <c r="F74" s="4">
        <v>21</v>
      </c>
      <c r="G74" s="4">
        <v>0</v>
      </c>
      <c r="H74" s="9">
        <f t="shared" si="4"/>
        <v>77</v>
      </c>
      <c r="I74" s="16">
        <f t="shared" si="5"/>
        <v>95</v>
      </c>
    </row>
    <row r="75" spans="1:9" x14ac:dyDescent="0.25">
      <c r="A75" s="13" t="s">
        <v>129</v>
      </c>
      <c r="B75" s="8">
        <v>0</v>
      </c>
      <c r="C75" s="4">
        <v>0</v>
      </c>
      <c r="D75" s="6">
        <f t="shared" si="3"/>
        <v>0</v>
      </c>
      <c r="E75" s="8">
        <v>26</v>
      </c>
      <c r="F75" s="4">
        <v>11</v>
      </c>
      <c r="G75" s="4">
        <v>0</v>
      </c>
      <c r="H75" s="9">
        <f t="shared" si="4"/>
        <v>37</v>
      </c>
      <c r="I75" s="16">
        <f t="shared" si="5"/>
        <v>37</v>
      </c>
    </row>
    <row r="76" spans="1:9" x14ac:dyDescent="0.25">
      <c r="A76" s="13" t="s">
        <v>119</v>
      </c>
      <c r="B76" s="8">
        <v>17</v>
      </c>
      <c r="C76" s="4">
        <v>0</v>
      </c>
      <c r="D76" s="6">
        <f t="shared" si="3"/>
        <v>17</v>
      </c>
      <c r="E76" s="8">
        <v>9</v>
      </c>
      <c r="F76" s="4">
        <v>49</v>
      </c>
      <c r="G76" s="4">
        <v>0</v>
      </c>
      <c r="H76" s="9">
        <f t="shared" si="4"/>
        <v>58</v>
      </c>
      <c r="I76" s="16">
        <f t="shared" si="5"/>
        <v>75</v>
      </c>
    </row>
    <row r="77" spans="1:9" x14ac:dyDescent="0.25">
      <c r="A77" s="13" t="s">
        <v>61</v>
      </c>
      <c r="B77" s="8">
        <v>8</v>
      </c>
      <c r="C77" s="4">
        <v>0</v>
      </c>
      <c r="D77" s="6">
        <f t="shared" si="3"/>
        <v>8</v>
      </c>
      <c r="E77" s="8">
        <v>31</v>
      </c>
      <c r="F77" s="4">
        <v>40</v>
      </c>
      <c r="G77" s="4">
        <v>0</v>
      </c>
      <c r="H77" s="9">
        <f t="shared" si="4"/>
        <v>71</v>
      </c>
      <c r="I77" s="16">
        <f t="shared" si="5"/>
        <v>79</v>
      </c>
    </row>
    <row r="78" spans="1:9" x14ac:dyDescent="0.25">
      <c r="A78" s="13" t="s">
        <v>111</v>
      </c>
      <c r="B78" s="8">
        <v>0</v>
      </c>
      <c r="C78" s="4">
        <v>0</v>
      </c>
      <c r="D78" s="6">
        <f t="shared" si="3"/>
        <v>0</v>
      </c>
      <c r="E78" s="8">
        <v>1</v>
      </c>
      <c r="F78" s="4">
        <v>0</v>
      </c>
      <c r="G78" s="4">
        <v>0</v>
      </c>
      <c r="H78" s="9">
        <f t="shared" si="4"/>
        <v>1</v>
      </c>
      <c r="I78" s="16">
        <f t="shared" si="5"/>
        <v>1</v>
      </c>
    </row>
    <row r="79" spans="1:9" x14ac:dyDescent="0.25">
      <c r="A79" s="13" t="s">
        <v>94</v>
      </c>
      <c r="B79" s="8">
        <v>0</v>
      </c>
      <c r="C79" s="4">
        <v>0</v>
      </c>
      <c r="D79" s="6">
        <f t="shared" si="3"/>
        <v>0</v>
      </c>
      <c r="E79" s="8">
        <v>64</v>
      </c>
      <c r="F79" s="4">
        <v>45</v>
      </c>
      <c r="G79" s="4">
        <v>0</v>
      </c>
      <c r="H79" s="9">
        <f t="shared" si="4"/>
        <v>109</v>
      </c>
      <c r="I79" s="16">
        <f t="shared" si="5"/>
        <v>109</v>
      </c>
    </row>
    <row r="80" spans="1:9" x14ac:dyDescent="0.25">
      <c r="A80" s="13" t="s">
        <v>65</v>
      </c>
      <c r="B80" s="8">
        <v>0</v>
      </c>
      <c r="C80" s="4">
        <v>0</v>
      </c>
      <c r="D80" s="6">
        <f t="shared" si="3"/>
        <v>0</v>
      </c>
      <c r="E80" s="8">
        <v>11</v>
      </c>
      <c r="F80" s="4">
        <v>15</v>
      </c>
      <c r="G80" s="4">
        <v>0</v>
      </c>
      <c r="H80" s="9">
        <f t="shared" si="4"/>
        <v>26</v>
      </c>
      <c r="I80" s="16">
        <f t="shared" si="5"/>
        <v>26</v>
      </c>
    </row>
    <row r="81" spans="1:9" x14ac:dyDescent="0.25">
      <c r="A81" s="13" t="s">
        <v>66</v>
      </c>
      <c r="B81" s="8">
        <v>0</v>
      </c>
      <c r="C81" s="4">
        <v>0</v>
      </c>
      <c r="D81" s="6">
        <f t="shared" si="3"/>
        <v>0</v>
      </c>
      <c r="E81" s="8">
        <v>20</v>
      </c>
      <c r="F81" s="4">
        <v>5</v>
      </c>
      <c r="G81" s="4">
        <v>0</v>
      </c>
      <c r="H81" s="9">
        <f t="shared" si="4"/>
        <v>25</v>
      </c>
      <c r="I81" s="16">
        <f t="shared" si="5"/>
        <v>25</v>
      </c>
    </row>
    <row r="82" spans="1:9" x14ac:dyDescent="0.25">
      <c r="A82" s="13" t="s">
        <v>75</v>
      </c>
      <c r="B82" s="8">
        <v>0</v>
      </c>
      <c r="C82" s="4">
        <v>0</v>
      </c>
      <c r="D82" s="6">
        <f t="shared" si="3"/>
        <v>0</v>
      </c>
      <c r="E82" s="8">
        <v>21</v>
      </c>
      <c r="F82" s="4">
        <v>21</v>
      </c>
      <c r="G82" s="4">
        <v>0</v>
      </c>
      <c r="H82" s="9">
        <f t="shared" si="4"/>
        <v>42</v>
      </c>
      <c r="I82" s="16">
        <f t="shared" si="5"/>
        <v>42</v>
      </c>
    </row>
    <row r="83" spans="1:9" x14ac:dyDescent="0.25">
      <c r="A83" s="13" t="s">
        <v>67</v>
      </c>
      <c r="B83" s="8">
        <v>10</v>
      </c>
      <c r="C83" s="4">
        <v>0</v>
      </c>
      <c r="D83" s="6">
        <f t="shared" si="3"/>
        <v>10</v>
      </c>
      <c r="E83" s="8">
        <v>15</v>
      </c>
      <c r="F83" s="4">
        <v>13</v>
      </c>
      <c r="G83" s="4">
        <v>0</v>
      </c>
      <c r="H83" s="9">
        <f t="shared" si="4"/>
        <v>28</v>
      </c>
      <c r="I83" s="16">
        <f t="shared" si="5"/>
        <v>38</v>
      </c>
    </row>
    <row r="84" spans="1:9" x14ac:dyDescent="0.25">
      <c r="A84" s="13" t="s">
        <v>112</v>
      </c>
      <c r="B84" s="8">
        <v>0</v>
      </c>
      <c r="C84" s="4">
        <v>0</v>
      </c>
      <c r="D84" s="6">
        <f t="shared" si="3"/>
        <v>0</v>
      </c>
      <c r="E84" s="8">
        <v>4</v>
      </c>
      <c r="F84" s="4">
        <v>5</v>
      </c>
      <c r="G84" s="4">
        <v>0</v>
      </c>
      <c r="H84" s="9">
        <f t="shared" si="4"/>
        <v>9</v>
      </c>
      <c r="I84" s="16">
        <f t="shared" si="5"/>
        <v>9</v>
      </c>
    </row>
    <row r="85" spans="1:9" x14ac:dyDescent="0.25">
      <c r="A85" s="13" t="s">
        <v>120</v>
      </c>
      <c r="B85" s="8">
        <v>61</v>
      </c>
      <c r="C85" s="4">
        <v>4</v>
      </c>
      <c r="D85" s="6">
        <f t="shared" si="3"/>
        <v>65</v>
      </c>
      <c r="E85" s="8">
        <v>0</v>
      </c>
      <c r="F85" s="4">
        <v>0</v>
      </c>
      <c r="G85" s="4">
        <v>0</v>
      </c>
      <c r="H85" s="9">
        <f t="shared" si="4"/>
        <v>0</v>
      </c>
      <c r="I85" s="16">
        <f t="shared" si="5"/>
        <v>65</v>
      </c>
    </row>
    <row r="86" spans="1:9" x14ac:dyDescent="0.25">
      <c r="A86" s="13" t="s">
        <v>113</v>
      </c>
      <c r="B86" s="8">
        <v>20</v>
      </c>
      <c r="C86" s="4">
        <v>0</v>
      </c>
      <c r="D86" s="6">
        <f t="shared" si="3"/>
        <v>20</v>
      </c>
      <c r="E86" s="8">
        <v>2</v>
      </c>
      <c r="F86" s="4">
        <v>33</v>
      </c>
      <c r="G86" s="4">
        <v>1</v>
      </c>
      <c r="H86" s="9">
        <f t="shared" si="4"/>
        <v>36</v>
      </c>
      <c r="I86" s="16">
        <f t="shared" si="5"/>
        <v>56</v>
      </c>
    </row>
    <row r="87" spans="1:9" x14ac:dyDescent="0.25">
      <c r="A87" s="13" t="s">
        <v>114</v>
      </c>
      <c r="B87" s="8">
        <v>0</v>
      </c>
      <c r="C87" s="4">
        <v>0</v>
      </c>
      <c r="D87" s="6">
        <f t="shared" si="3"/>
        <v>0</v>
      </c>
      <c r="E87" s="8">
        <v>20</v>
      </c>
      <c r="F87" s="4">
        <v>66</v>
      </c>
      <c r="G87" s="4">
        <v>1</v>
      </c>
      <c r="H87" s="9">
        <f t="shared" si="4"/>
        <v>87</v>
      </c>
      <c r="I87" s="16">
        <f t="shared" si="5"/>
        <v>87</v>
      </c>
    </row>
    <row r="88" spans="1:9" x14ac:dyDescent="0.25">
      <c r="A88" s="13" t="s">
        <v>71</v>
      </c>
      <c r="B88" s="8">
        <v>0</v>
      </c>
      <c r="C88" s="4">
        <v>0</v>
      </c>
      <c r="D88" s="6">
        <f t="shared" ref="D88:D90" si="6">B88+C88</f>
        <v>0</v>
      </c>
      <c r="E88" s="8">
        <v>14</v>
      </c>
      <c r="F88" s="4">
        <v>8</v>
      </c>
      <c r="G88" s="4">
        <v>0</v>
      </c>
      <c r="H88" s="9">
        <f t="shared" si="4"/>
        <v>22</v>
      </c>
      <c r="I88" s="16">
        <f t="shared" si="5"/>
        <v>22</v>
      </c>
    </row>
    <row r="89" spans="1:9" x14ac:dyDescent="0.25">
      <c r="A89" s="13" t="s">
        <v>72</v>
      </c>
      <c r="B89" s="8">
        <v>7</v>
      </c>
      <c r="C89" s="4">
        <v>0</v>
      </c>
      <c r="D89" s="6">
        <f t="shared" si="6"/>
        <v>7</v>
      </c>
      <c r="E89" s="8">
        <v>21</v>
      </c>
      <c r="F89" s="4">
        <v>33</v>
      </c>
      <c r="G89" s="4">
        <v>1</v>
      </c>
      <c r="H89" s="9">
        <f>E89+F89+G89</f>
        <v>55</v>
      </c>
      <c r="I89" s="16">
        <f t="shared" ref="I89:I90" si="7">H89+D89</f>
        <v>62</v>
      </c>
    </row>
    <row r="90" spans="1:9" ht="15.75" thickBot="1" x14ac:dyDescent="0.3">
      <c r="A90" s="14" t="s">
        <v>121</v>
      </c>
      <c r="B90" s="10">
        <v>0</v>
      </c>
      <c r="C90" s="5">
        <v>0</v>
      </c>
      <c r="D90" s="7">
        <f t="shared" si="6"/>
        <v>0</v>
      </c>
      <c r="E90" s="10">
        <v>12</v>
      </c>
      <c r="F90" s="5">
        <v>60</v>
      </c>
      <c r="G90" s="5">
        <v>0</v>
      </c>
      <c r="H90" s="11">
        <f>E90+F90+G90</f>
        <v>72</v>
      </c>
      <c r="I90" s="17">
        <f t="shared" si="7"/>
        <v>72</v>
      </c>
    </row>
    <row r="91" spans="1:9" ht="16.5" thickTop="1" thickBot="1" x14ac:dyDescent="0.3">
      <c r="A91" s="15" t="s">
        <v>0</v>
      </c>
      <c r="B91" s="12">
        <f t="shared" ref="B91:I91" si="8">SUM(B8:B90)</f>
        <v>11736</v>
      </c>
      <c r="C91" s="12">
        <f t="shared" si="8"/>
        <v>250</v>
      </c>
      <c r="D91" s="15">
        <f t="shared" si="8"/>
        <v>11986</v>
      </c>
      <c r="E91" s="12">
        <f t="shared" si="8"/>
        <v>4627</v>
      </c>
      <c r="F91" s="12">
        <f t="shared" si="8"/>
        <v>2309</v>
      </c>
      <c r="G91" s="12">
        <f t="shared" si="8"/>
        <v>69</v>
      </c>
      <c r="H91" s="18">
        <f t="shared" si="8"/>
        <v>7005</v>
      </c>
      <c r="I91" s="18">
        <f t="shared" si="8"/>
        <v>18991</v>
      </c>
    </row>
    <row r="93" spans="1:9" x14ac:dyDescent="0.25">
      <c r="A93" s="33" t="s">
        <v>88</v>
      </c>
      <c r="B93" s="33"/>
      <c r="C93" s="33"/>
      <c r="D93" s="33"/>
      <c r="E93" s="33"/>
      <c r="F93" s="33"/>
      <c r="G93" s="33"/>
      <c r="H93" s="33"/>
      <c r="I93" s="33"/>
    </row>
    <row r="94" spans="1:9" x14ac:dyDescent="0.25">
      <c r="A94" s="33"/>
      <c r="B94" s="33"/>
      <c r="C94" s="33"/>
      <c r="D94" s="33"/>
      <c r="E94" s="33"/>
      <c r="F94" s="33"/>
      <c r="G94" s="33"/>
      <c r="H94" s="33"/>
      <c r="I94" s="33"/>
    </row>
  </sheetData>
  <mergeCells count="13">
    <mergeCell ref="G6:G7"/>
    <mergeCell ref="H6:H7"/>
    <mergeCell ref="A93:I94"/>
    <mergeCell ref="A2:I2"/>
    <mergeCell ref="A5:A7"/>
    <mergeCell ref="B5:D5"/>
    <mergeCell ref="E5:H5"/>
    <mergeCell ref="I5:I7"/>
    <mergeCell ref="B6:B7"/>
    <mergeCell ref="C6:C7"/>
    <mergeCell ref="D6:D7"/>
    <mergeCell ref="E6:E7"/>
    <mergeCell ref="F6:F7"/>
  </mergeCells>
  <pageMargins left="0.7" right="0.7" top="0.75" bottom="0.75" header="0.3" footer="0.3"/>
  <pageSetup paperSize="9" orientation="portrait" r:id="rId1"/>
  <headerFooter>
    <oddHeader>&amp;CUCL Student Data Statistics</oddHeader>
    <oddFooter>&amp;L&amp;F - &amp;A&amp;RPage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I93"/>
  <sheetViews>
    <sheetView tabSelected="1" view="pageLayout" zoomScale="85" zoomScaleNormal="70" zoomScalePageLayoutView="85" workbookViewId="0">
      <selection activeCell="A47" sqref="A47"/>
    </sheetView>
  </sheetViews>
  <sheetFormatPr defaultColWidth="9" defaultRowHeight="15" x14ac:dyDescent="0.25"/>
  <cols>
    <col min="1" max="1" width="31.28515625" customWidth="1"/>
    <col min="2" max="9" width="6.7109375" customWidth="1"/>
  </cols>
  <sheetData>
    <row r="1" spans="1:9" ht="18" x14ac:dyDescent="0.25">
      <c r="A1" s="1" t="s">
        <v>2</v>
      </c>
      <c r="B1" s="3"/>
    </row>
    <row r="2" spans="1:9" x14ac:dyDescent="0.25">
      <c r="A2" s="34" t="s">
        <v>3</v>
      </c>
      <c r="B2" s="34"/>
      <c r="C2" s="34"/>
      <c r="D2" s="34"/>
      <c r="E2" s="34"/>
      <c r="F2" s="34"/>
      <c r="G2" s="34"/>
      <c r="H2" s="34"/>
      <c r="I2" s="34"/>
    </row>
    <row r="3" spans="1:9" x14ac:dyDescent="0.25">
      <c r="A3" s="28" t="str">
        <f ca="1">RIGHT(CELL("filename",A1),LEN(CELL("filename",A1))-FIND("]",CELL("filename",A1)))</f>
        <v>2002-03</v>
      </c>
      <c r="B3" s="3"/>
    </row>
    <row r="4" spans="1:9" ht="15.75" thickBot="1" x14ac:dyDescent="0.3">
      <c r="A4" s="3"/>
      <c r="B4" s="3"/>
    </row>
    <row r="5" spans="1:9" ht="15" customHeight="1" x14ac:dyDescent="0.25">
      <c r="A5" s="35" t="s">
        <v>4</v>
      </c>
      <c r="B5" s="38" t="s">
        <v>5</v>
      </c>
      <c r="C5" s="39"/>
      <c r="D5" s="39"/>
      <c r="E5" s="38" t="s">
        <v>6</v>
      </c>
      <c r="F5" s="39"/>
      <c r="G5" s="39"/>
      <c r="H5" s="40"/>
      <c r="I5" s="41" t="s">
        <v>0</v>
      </c>
    </row>
    <row r="6" spans="1:9" x14ac:dyDescent="0.25">
      <c r="A6" s="36"/>
      <c r="B6" s="44" t="s">
        <v>76</v>
      </c>
      <c r="C6" s="29" t="s">
        <v>77</v>
      </c>
      <c r="D6" s="46" t="s">
        <v>0</v>
      </c>
      <c r="E6" s="44" t="s">
        <v>76</v>
      </c>
      <c r="F6" s="29" t="s">
        <v>77</v>
      </c>
      <c r="G6" s="29" t="s">
        <v>78</v>
      </c>
      <c r="H6" s="31" t="s">
        <v>0</v>
      </c>
      <c r="I6" s="42"/>
    </row>
    <row r="7" spans="1:9" x14ac:dyDescent="0.25">
      <c r="A7" s="37"/>
      <c r="B7" s="45"/>
      <c r="C7" s="30"/>
      <c r="D7" s="47"/>
      <c r="E7" s="45"/>
      <c r="F7" s="30"/>
      <c r="G7" s="30"/>
      <c r="H7" s="32"/>
      <c r="I7" s="43"/>
    </row>
    <row r="8" spans="1:9" x14ac:dyDescent="0.25">
      <c r="A8" s="13" t="s">
        <v>7</v>
      </c>
      <c r="B8" s="8">
        <v>245</v>
      </c>
      <c r="C8" s="4">
        <v>1</v>
      </c>
      <c r="D8" s="6">
        <f>B8+C8</f>
        <v>246</v>
      </c>
      <c r="E8" s="8">
        <v>111</v>
      </c>
      <c r="F8" s="4">
        <v>20</v>
      </c>
      <c r="G8" s="4">
        <v>0</v>
      </c>
      <c r="H8" s="9">
        <f>E8+F8+G8</f>
        <v>131</v>
      </c>
      <c r="I8" s="16">
        <f>D8+H8</f>
        <v>377</v>
      </c>
    </row>
    <row r="9" spans="1:9" x14ac:dyDescent="0.25">
      <c r="A9" s="13" t="s">
        <v>8</v>
      </c>
      <c r="B9" s="8">
        <v>192</v>
      </c>
      <c r="C9" s="4">
        <v>3</v>
      </c>
      <c r="D9" s="6">
        <f t="shared" ref="D9:D72" si="0">B9+C9</f>
        <v>195</v>
      </c>
      <c r="E9" s="8">
        <v>91</v>
      </c>
      <c r="F9" s="4">
        <v>20</v>
      </c>
      <c r="G9" s="4">
        <v>12</v>
      </c>
      <c r="H9" s="9">
        <f t="shared" ref="H9:H72" si="1">E9+F9+G9</f>
        <v>123</v>
      </c>
      <c r="I9" s="16">
        <f t="shared" ref="I9:I71" si="2">H9+D9</f>
        <v>318</v>
      </c>
    </row>
    <row r="10" spans="1:9" x14ac:dyDescent="0.25">
      <c r="A10" s="13" t="s">
        <v>9</v>
      </c>
      <c r="B10" s="8">
        <v>257</v>
      </c>
      <c r="C10" s="4">
        <v>2</v>
      </c>
      <c r="D10" s="6">
        <f t="shared" si="0"/>
        <v>259</v>
      </c>
      <c r="E10" s="8">
        <v>232</v>
      </c>
      <c r="F10" s="4">
        <v>63</v>
      </c>
      <c r="G10" s="4">
        <v>2</v>
      </c>
      <c r="H10" s="9">
        <f t="shared" si="1"/>
        <v>297</v>
      </c>
      <c r="I10" s="16">
        <f t="shared" si="2"/>
        <v>556</v>
      </c>
    </row>
    <row r="11" spans="1:9" x14ac:dyDescent="0.25">
      <c r="A11" s="13" t="s">
        <v>10</v>
      </c>
      <c r="B11" s="8">
        <v>411</v>
      </c>
      <c r="C11" s="4">
        <v>2</v>
      </c>
      <c r="D11" s="6">
        <f t="shared" si="0"/>
        <v>413</v>
      </c>
      <c r="E11" s="8">
        <v>534</v>
      </c>
      <c r="F11" s="4">
        <v>166</v>
      </c>
      <c r="G11" s="4">
        <v>5</v>
      </c>
      <c r="H11" s="9">
        <f t="shared" si="1"/>
        <v>705</v>
      </c>
      <c r="I11" s="16">
        <f t="shared" si="2"/>
        <v>1118</v>
      </c>
    </row>
    <row r="12" spans="1:9" x14ac:dyDescent="0.25">
      <c r="A12" s="13" t="s">
        <v>95</v>
      </c>
      <c r="B12" s="8">
        <v>122</v>
      </c>
      <c r="C12" s="4">
        <v>0</v>
      </c>
      <c r="D12" s="6">
        <f t="shared" si="0"/>
        <v>122</v>
      </c>
      <c r="E12" s="8">
        <v>90</v>
      </c>
      <c r="F12" s="4">
        <v>7</v>
      </c>
      <c r="G12" s="4">
        <v>0</v>
      </c>
      <c r="H12" s="9">
        <f t="shared" si="1"/>
        <v>97</v>
      </c>
      <c r="I12" s="16">
        <f t="shared" si="2"/>
        <v>219</v>
      </c>
    </row>
    <row r="13" spans="1:9" x14ac:dyDescent="0.25">
      <c r="A13" s="13" t="s">
        <v>11</v>
      </c>
      <c r="B13" s="8">
        <v>208</v>
      </c>
      <c r="C13" s="4">
        <v>4</v>
      </c>
      <c r="D13" s="6">
        <f t="shared" si="0"/>
        <v>212</v>
      </c>
      <c r="E13" s="8">
        <v>98</v>
      </c>
      <c r="F13" s="4">
        <v>6</v>
      </c>
      <c r="G13" s="4">
        <v>0</v>
      </c>
      <c r="H13" s="9">
        <f t="shared" si="1"/>
        <v>104</v>
      </c>
      <c r="I13" s="16">
        <f t="shared" si="2"/>
        <v>316</v>
      </c>
    </row>
    <row r="14" spans="1:9" x14ac:dyDescent="0.25">
      <c r="A14" s="13" t="s">
        <v>12</v>
      </c>
      <c r="B14" s="8">
        <v>283</v>
      </c>
      <c r="C14" s="4">
        <v>4</v>
      </c>
      <c r="D14" s="6">
        <f t="shared" si="0"/>
        <v>287</v>
      </c>
      <c r="E14" s="8">
        <v>82</v>
      </c>
      <c r="F14" s="4">
        <v>7</v>
      </c>
      <c r="G14" s="4">
        <v>1</v>
      </c>
      <c r="H14" s="9">
        <f t="shared" si="1"/>
        <v>90</v>
      </c>
      <c r="I14" s="16">
        <f t="shared" si="2"/>
        <v>377</v>
      </c>
    </row>
    <row r="15" spans="1:9" x14ac:dyDescent="0.25">
      <c r="A15" s="13" t="s">
        <v>116</v>
      </c>
      <c r="B15" s="8">
        <v>0</v>
      </c>
      <c r="C15" s="4">
        <v>0</v>
      </c>
      <c r="D15" s="6">
        <f t="shared" si="0"/>
        <v>0</v>
      </c>
      <c r="E15" s="8">
        <v>11</v>
      </c>
      <c r="F15" s="4">
        <v>0</v>
      </c>
      <c r="G15" s="4">
        <v>0</v>
      </c>
      <c r="H15" s="9">
        <f t="shared" si="1"/>
        <v>11</v>
      </c>
      <c r="I15" s="16">
        <f t="shared" si="2"/>
        <v>11</v>
      </c>
    </row>
    <row r="16" spans="1:9" x14ac:dyDescent="0.25">
      <c r="A16" s="13" t="s">
        <v>101</v>
      </c>
      <c r="B16" s="8">
        <v>0</v>
      </c>
      <c r="C16" s="4">
        <v>0</v>
      </c>
      <c r="D16" s="6">
        <f t="shared" si="0"/>
        <v>0</v>
      </c>
      <c r="E16" s="8">
        <v>13</v>
      </c>
      <c r="F16" s="4">
        <v>0</v>
      </c>
      <c r="G16" s="4">
        <v>0</v>
      </c>
      <c r="H16" s="9">
        <f t="shared" si="1"/>
        <v>13</v>
      </c>
      <c r="I16" s="16">
        <f t="shared" si="2"/>
        <v>13</v>
      </c>
    </row>
    <row r="17" spans="1:9" x14ac:dyDescent="0.25">
      <c r="A17" s="13" t="s">
        <v>96</v>
      </c>
      <c r="B17" s="8">
        <v>138</v>
      </c>
      <c r="C17" s="4">
        <v>0</v>
      </c>
      <c r="D17" s="6">
        <f t="shared" si="0"/>
        <v>138</v>
      </c>
      <c r="E17" s="8">
        <v>36</v>
      </c>
      <c r="F17" s="4">
        <v>9</v>
      </c>
      <c r="G17" s="4">
        <v>0</v>
      </c>
      <c r="H17" s="9">
        <f t="shared" si="1"/>
        <v>45</v>
      </c>
      <c r="I17" s="16">
        <f t="shared" si="2"/>
        <v>183</v>
      </c>
    </row>
    <row r="18" spans="1:9" x14ac:dyDescent="0.25">
      <c r="A18" s="13" t="s">
        <v>14</v>
      </c>
      <c r="B18" s="8">
        <v>245</v>
      </c>
      <c r="C18" s="4">
        <v>1</v>
      </c>
      <c r="D18" s="6">
        <f t="shared" si="0"/>
        <v>246</v>
      </c>
      <c r="E18" s="8">
        <v>71</v>
      </c>
      <c r="F18" s="4">
        <v>4</v>
      </c>
      <c r="G18" s="4">
        <v>0</v>
      </c>
      <c r="H18" s="9">
        <f t="shared" si="1"/>
        <v>75</v>
      </c>
      <c r="I18" s="16">
        <f t="shared" si="2"/>
        <v>321</v>
      </c>
    </row>
    <row r="19" spans="1:9" x14ac:dyDescent="0.25">
      <c r="A19" s="13" t="s">
        <v>15</v>
      </c>
      <c r="B19" s="8">
        <v>168</v>
      </c>
      <c r="C19" s="4">
        <v>3</v>
      </c>
      <c r="D19" s="6">
        <f t="shared" si="0"/>
        <v>171</v>
      </c>
      <c r="E19" s="8">
        <v>26</v>
      </c>
      <c r="F19" s="4">
        <v>3</v>
      </c>
      <c r="G19" s="4">
        <v>0</v>
      </c>
      <c r="H19" s="9">
        <f t="shared" si="1"/>
        <v>29</v>
      </c>
      <c r="I19" s="16">
        <f t="shared" si="2"/>
        <v>200</v>
      </c>
    </row>
    <row r="20" spans="1:9" x14ac:dyDescent="0.25">
      <c r="A20" s="13" t="s">
        <v>16</v>
      </c>
      <c r="B20" s="8">
        <v>222</v>
      </c>
      <c r="C20" s="4">
        <v>3</v>
      </c>
      <c r="D20" s="6">
        <f t="shared" si="0"/>
        <v>225</v>
      </c>
      <c r="E20" s="8">
        <v>157</v>
      </c>
      <c r="F20" s="4">
        <v>15</v>
      </c>
      <c r="G20" s="4">
        <v>0</v>
      </c>
      <c r="H20" s="9">
        <f t="shared" si="1"/>
        <v>172</v>
      </c>
      <c r="I20" s="16">
        <f t="shared" si="2"/>
        <v>397</v>
      </c>
    </row>
    <row r="21" spans="1:9" x14ac:dyDescent="0.25">
      <c r="A21" s="13" t="s">
        <v>17</v>
      </c>
      <c r="B21" s="8">
        <v>0</v>
      </c>
      <c r="C21" s="4">
        <v>0</v>
      </c>
      <c r="D21" s="6">
        <f t="shared" si="0"/>
        <v>0</v>
      </c>
      <c r="E21" s="8">
        <v>98</v>
      </c>
      <c r="F21" s="4">
        <v>14</v>
      </c>
      <c r="G21" s="4">
        <v>2</v>
      </c>
      <c r="H21" s="9">
        <f t="shared" si="1"/>
        <v>114</v>
      </c>
      <c r="I21" s="16">
        <f t="shared" si="2"/>
        <v>114</v>
      </c>
    </row>
    <row r="22" spans="1:9" x14ac:dyDescent="0.25">
      <c r="A22" s="13" t="s">
        <v>18</v>
      </c>
      <c r="B22" s="8">
        <v>30</v>
      </c>
      <c r="C22" s="4">
        <v>2</v>
      </c>
      <c r="D22" s="6">
        <f t="shared" si="0"/>
        <v>32</v>
      </c>
      <c r="E22" s="8">
        <v>22</v>
      </c>
      <c r="F22" s="4">
        <v>6</v>
      </c>
      <c r="G22" s="4">
        <v>0</v>
      </c>
      <c r="H22" s="9">
        <f t="shared" si="1"/>
        <v>28</v>
      </c>
      <c r="I22" s="16">
        <f t="shared" si="2"/>
        <v>60</v>
      </c>
    </row>
    <row r="23" spans="1:9" x14ac:dyDescent="0.25">
      <c r="A23" s="13" t="s">
        <v>122</v>
      </c>
      <c r="B23" s="8">
        <v>141</v>
      </c>
      <c r="C23" s="4">
        <v>0</v>
      </c>
      <c r="D23" s="6">
        <f t="shared" si="0"/>
        <v>141</v>
      </c>
      <c r="E23" s="8">
        <v>33</v>
      </c>
      <c r="F23" s="4">
        <v>17</v>
      </c>
      <c r="G23" s="4">
        <v>0</v>
      </c>
      <c r="H23" s="9">
        <f t="shared" si="1"/>
        <v>50</v>
      </c>
      <c r="I23" s="16">
        <f t="shared" si="2"/>
        <v>191</v>
      </c>
    </row>
    <row r="24" spans="1:9" x14ac:dyDescent="0.25">
      <c r="A24" s="13" t="s">
        <v>19</v>
      </c>
      <c r="B24" s="8">
        <v>548</v>
      </c>
      <c r="C24" s="4">
        <v>22</v>
      </c>
      <c r="D24" s="6">
        <f t="shared" si="0"/>
        <v>570</v>
      </c>
      <c r="E24" s="8">
        <v>124</v>
      </c>
      <c r="F24" s="4">
        <v>11</v>
      </c>
      <c r="G24" s="4">
        <v>2</v>
      </c>
      <c r="H24" s="9">
        <f t="shared" si="1"/>
        <v>137</v>
      </c>
      <c r="I24" s="16">
        <f t="shared" si="2"/>
        <v>707</v>
      </c>
    </row>
    <row r="25" spans="1:9" x14ac:dyDescent="0.25">
      <c r="A25" s="13" t="s">
        <v>123</v>
      </c>
      <c r="B25" s="8">
        <v>0</v>
      </c>
      <c r="C25" s="4">
        <v>0</v>
      </c>
      <c r="D25" s="6">
        <f t="shared" si="0"/>
        <v>0</v>
      </c>
      <c r="E25" s="8">
        <v>2</v>
      </c>
      <c r="F25" s="4">
        <v>39</v>
      </c>
      <c r="G25" s="4">
        <v>0</v>
      </c>
      <c r="H25" s="9">
        <f t="shared" si="1"/>
        <v>41</v>
      </c>
      <c r="I25" s="16">
        <f t="shared" si="2"/>
        <v>41</v>
      </c>
    </row>
    <row r="26" spans="1:9" x14ac:dyDescent="0.25">
      <c r="A26" s="13" t="s">
        <v>20</v>
      </c>
      <c r="B26" s="8">
        <v>277</v>
      </c>
      <c r="C26" s="4">
        <v>4</v>
      </c>
      <c r="D26" s="6">
        <f t="shared" si="0"/>
        <v>281</v>
      </c>
      <c r="E26" s="8">
        <v>154</v>
      </c>
      <c r="F26" s="4">
        <v>225</v>
      </c>
      <c r="G26" s="4">
        <v>0</v>
      </c>
      <c r="H26" s="9">
        <f t="shared" si="1"/>
        <v>379</v>
      </c>
      <c r="I26" s="16">
        <f t="shared" si="2"/>
        <v>660</v>
      </c>
    </row>
    <row r="27" spans="1:9" x14ac:dyDescent="0.25">
      <c r="A27" s="13" t="s">
        <v>21</v>
      </c>
      <c r="B27" s="8">
        <v>259</v>
      </c>
      <c r="C27" s="4">
        <v>0</v>
      </c>
      <c r="D27" s="6">
        <f t="shared" si="0"/>
        <v>259</v>
      </c>
      <c r="E27" s="8">
        <v>44</v>
      </c>
      <c r="F27" s="4">
        <v>8</v>
      </c>
      <c r="G27" s="4">
        <v>0</v>
      </c>
      <c r="H27" s="9">
        <f t="shared" si="1"/>
        <v>52</v>
      </c>
      <c r="I27" s="16">
        <f t="shared" si="2"/>
        <v>311</v>
      </c>
    </row>
    <row r="28" spans="1:9" x14ac:dyDescent="0.25">
      <c r="A28" s="13" t="s">
        <v>22</v>
      </c>
      <c r="B28" s="8">
        <v>166</v>
      </c>
      <c r="C28" s="4">
        <v>3</v>
      </c>
      <c r="D28" s="6">
        <f t="shared" si="0"/>
        <v>169</v>
      </c>
      <c r="E28" s="8">
        <v>117</v>
      </c>
      <c r="F28" s="4">
        <v>1</v>
      </c>
      <c r="G28" s="4">
        <v>0</v>
      </c>
      <c r="H28" s="9">
        <f t="shared" si="1"/>
        <v>118</v>
      </c>
      <c r="I28" s="16">
        <f t="shared" si="2"/>
        <v>287</v>
      </c>
    </row>
    <row r="29" spans="1:9" x14ac:dyDescent="0.25">
      <c r="A29" s="13" t="s">
        <v>23</v>
      </c>
      <c r="B29" s="8">
        <v>218</v>
      </c>
      <c r="C29" s="4">
        <v>2</v>
      </c>
      <c r="D29" s="6">
        <f t="shared" si="0"/>
        <v>220</v>
      </c>
      <c r="E29" s="8">
        <v>6</v>
      </c>
      <c r="F29" s="4">
        <v>4</v>
      </c>
      <c r="G29" s="4">
        <v>0</v>
      </c>
      <c r="H29" s="9">
        <f t="shared" si="1"/>
        <v>10</v>
      </c>
      <c r="I29" s="16">
        <f t="shared" si="2"/>
        <v>230</v>
      </c>
    </row>
    <row r="30" spans="1:9" x14ac:dyDescent="0.25">
      <c r="A30" s="13" t="s">
        <v>97</v>
      </c>
      <c r="B30" s="8">
        <v>0</v>
      </c>
      <c r="C30" s="4">
        <v>0</v>
      </c>
      <c r="D30" s="6">
        <f t="shared" si="0"/>
        <v>0</v>
      </c>
      <c r="E30" s="8">
        <v>7</v>
      </c>
      <c r="F30" s="4">
        <v>0</v>
      </c>
      <c r="G30" s="4">
        <v>0</v>
      </c>
      <c r="H30" s="9">
        <f t="shared" si="1"/>
        <v>7</v>
      </c>
      <c r="I30" s="16">
        <f t="shared" si="2"/>
        <v>7</v>
      </c>
    </row>
    <row r="31" spans="1:9" x14ac:dyDescent="0.25">
      <c r="A31" s="13" t="s">
        <v>24</v>
      </c>
      <c r="B31" s="8">
        <v>321</v>
      </c>
      <c r="C31" s="4">
        <v>2</v>
      </c>
      <c r="D31" s="6">
        <f t="shared" si="0"/>
        <v>323</v>
      </c>
      <c r="E31" s="8">
        <v>111</v>
      </c>
      <c r="F31" s="4">
        <v>12</v>
      </c>
      <c r="G31" s="4">
        <v>1</v>
      </c>
      <c r="H31" s="9">
        <f t="shared" si="1"/>
        <v>124</v>
      </c>
      <c r="I31" s="16">
        <f t="shared" si="2"/>
        <v>447</v>
      </c>
    </row>
    <row r="32" spans="1:9" x14ac:dyDescent="0.25">
      <c r="A32" s="13" t="s">
        <v>89</v>
      </c>
      <c r="B32" s="8">
        <v>2</v>
      </c>
      <c r="C32" s="4">
        <v>0</v>
      </c>
      <c r="D32" s="6">
        <f t="shared" si="0"/>
        <v>2</v>
      </c>
      <c r="E32" s="8">
        <v>48</v>
      </c>
      <c r="F32" s="4">
        <v>16</v>
      </c>
      <c r="G32" s="4">
        <v>0</v>
      </c>
      <c r="H32" s="9">
        <f t="shared" si="1"/>
        <v>64</v>
      </c>
      <c r="I32" s="16">
        <f t="shared" si="2"/>
        <v>66</v>
      </c>
    </row>
    <row r="33" spans="1:9" x14ac:dyDescent="0.25">
      <c r="A33" s="13" t="s">
        <v>26</v>
      </c>
      <c r="B33" s="8">
        <v>148</v>
      </c>
      <c r="C33" s="4">
        <v>0</v>
      </c>
      <c r="D33" s="6">
        <f t="shared" si="0"/>
        <v>148</v>
      </c>
      <c r="E33" s="8">
        <v>17</v>
      </c>
      <c r="F33" s="4">
        <v>5</v>
      </c>
      <c r="G33" s="4">
        <v>1</v>
      </c>
      <c r="H33" s="9">
        <f t="shared" si="1"/>
        <v>23</v>
      </c>
      <c r="I33" s="16">
        <f t="shared" si="2"/>
        <v>171</v>
      </c>
    </row>
    <row r="34" spans="1:9" x14ac:dyDescent="0.25">
      <c r="A34" s="13" t="s">
        <v>81</v>
      </c>
      <c r="B34" s="8">
        <v>101</v>
      </c>
      <c r="C34" s="4">
        <v>11</v>
      </c>
      <c r="D34" s="6">
        <f t="shared" si="0"/>
        <v>112</v>
      </c>
      <c r="E34" s="8">
        <v>22</v>
      </c>
      <c r="F34" s="4">
        <v>12</v>
      </c>
      <c r="G34" s="4">
        <v>0</v>
      </c>
      <c r="H34" s="9">
        <f t="shared" si="1"/>
        <v>34</v>
      </c>
      <c r="I34" s="16">
        <f t="shared" si="2"/>
        <v>146</v>
      </c>
    </row>
    <row r="35" spans="1:9" x14ac:dyDescent="0.25">
      <c r="A35" s="13" t="s">
        <v>82</v>
      </c>
      <c r="B35" s="8">
        <v>34</v>
      </c>
      <c r="C35" s="4">
        <v>4</v>
      </c>
      <c r="D35" s="6">
        <f t="shared" si="0"/>
        <v>38</v>
      </c>
      <c r="E35" s="8">
        <v>9</v>
      </c>
      <c r="F35" s="4">
        <v>30</v>
      </c>
      <c r="G35" s="4">
        <v>0</v>
      </c>
      <c r="H35" s="9">
        <f t="shared" si="1"/>
        <v>39</v>
      </c>
      <c r="I35" s="16">
        <f t="shared" si="2"/>
        <v>77</v>
      </c>
    </row>
    <row r="36" spans="1:9" x14ac:dyDescent="0.25">
      <c r="A36" s="13" t="s">
        <v>30</v>
      </c>
      <c r="B36" s="8">
        <v>349</v>
      </c>
      <c r="C36" s="4">
        <v>8</v>
      </c>
      <c r="D36" s="6">
        <f t="shared" si="0"/>
        <v>357</v>
      </c>
      <c r="E36" s="8">
        <v>60</v>
      </c>
      <c r="F36" s="4">
        <v>31</v>
      </c>
      <c r="G36" s="4">
        <v>3</v>
      </c>
      <c r="H36" s="9">
        <f t="shared" si="1"/>
        <v>94</v>
      </c>
      <c r="I36" s="16">
        <f t="shared" si="2"/>
        <v>451</v>
      </c>
    </row>
    <row r="37" spans="1:9" x14ac:dyDescent="0.25">
      <c r="A37" s="13" t="s">
        <v>83</v>
      </c>
      <c r="B37" s="8">
        <v>173</v>
      </c>
      <c r="C37" s="4">
        <v>3</v>
      </c>
      <c r="D37" s="6">
        <f t="shared" si="0"/>
        <v>176</v>
      </c>
      <c r="E37" s="8">
        <v>39</v>
      </c>
      <c r="F37" s="4">
        <v>14</v>
      </c>
      <c r="G37" s="4">
        <v>0</v>
      </c>
      <c r="H37" s="9">
        <f t="shared" si="1"/>
        <v>53</v>
      </c>
      <c r="I37" s="16">
        <f t="shared" si="2"/>
        <v>229</v>
      </c>
    </row>
    <row r="38" spans="1:9" x14ac:dyDescent="0.25">
      <c r="A38" s="13" t="s">
        <v>32</v>
      </c>
      <c r="B38" s="8">
        <v>200</v>
      </c>
      <c r="C38" s="4">
        <v>3</v>
      </c>
      <c r="D38" s="6">
        <f t="shared" si="0"/>
        <v>203</v>
      </c>
      <c r="E38" s="8">
        <v>67</v>
      </c>
      <c r="F38" s="4">
        <v>11</v>
      </c>
      <c r="G38" s="4">
        <v>1</v>
      </c>
      <c r="H38" s="9">
        <f t="shared" si="1"/>
        <v>79</v>
      </c>
      <c r="I38" s="16">
        <f t="shared" si="2"/>
        <v>282</v>
      </c>
    </row>
    <row r="39" spans="1:9" x14ac:dyDescent="0.25">
      <c r="A39" s="13" t="s">
        <v>33</v>
      </c>
      <c r="B39" s="8">
        <v>252</v>
      </c>
      <c r="C39" s="4">
        <v>4</v>
      </c>
      <c r="D39" s="6">
        <f t="shared" si="0"/>
        <v>256</v>
      </c>
      <c r="E39" s="8">
        <v>33</v>
      </c>
      <c r="F39" s="4">
        <v>20</v>
      </c>
      <c r="G39" s="4">
        <v>0</v>
      </c>
      <c r="H39" s="9">
        <f t="shared" si="1"/>
        <v>53</v>
      </c>
      <c r="I39" s="16">
        <f t="shared" si="2"/>
        <v>309</v>
      </c>
    </row>
    <row r="40" spans="1:9" x14ac:dyDescent="0.25">
      <c r="A40" s="13" t="s">
        <v>1</v>
      </c>
      <c r="B40" s="8">
        <v>533</v>
      </c>
      <c r="C40" s="4">
        <v>0</v>
      </c>
      <c r="D40" s="6">
        <f t="shared" si="0"/>
        <v>533</v>
      </c>
      <c r="E40" s="8">
        <v>436</v>
      </c>
      <c r="F40" s="4">
        <v>30</v>
      </c>
      <c r="G40" s="4">
        <v>1</v>
      </c>
      <c r="H40" s="9">
        <f t="shared" si="1"/>
        <v>467</v>
      </c>
      <c r="I40" s="16">
        <f t="shared" si="2"/>
        <v>1000</v>
      </c>
    </row>
    <row r="41" spans="1:9" x14ac:dyDescent="0.25">
      <c r="A41" s="13" t="s">
        <v>34</v>
      </c>
      <c r="B41" s="8">
        <v>126</v>
      </c>
      <c r="C41" s="4">
        <v>0</v>
      </c>
      <c r="D41" s="6">
        <f t="shared" si="0"/>
        <v>126</v>
      </c>
      <c r="E41" s="8">
        <v>75</v>
      </c>
      <c r="F41" s="4">
        <v>59</v>
      </c>
      <c r="G41" s="4">
        <v>0</v>
      </c>
      <c r="H41" s="9">
        <f t="shared" si="1"/>
        <v>134</v>
      </c>
      <c r="I41" s="16">
        <f t="shared" si="2"/>
        <v>260</v>
      </c>
    </row>
    <row r="42" spans="1:9" x14ac:dyDescent="0.25">
      <c r="A42" s="13" t="s">
        <v>35</v>
      </c>
      <c r="B42" s="8">
        <v>399</v>
      </c>
      <c r="C42" s="4">
        <v>8</v>
      </c>
      <c r="D42" s="6">
        <f t="shared" si="0"/>
        <v>407</v>
      </c>
      <c r="E42" s="8">
        <v>17</v>
      </c>
      <c r="F42" s="4">
        <v>0</v>
      </c>
      <c r="G42" s="4">
        <v>0</v>
      </c>
      <c r="H42" s="9">
        <f t="shared" si="1"/>
        <v>17</v>
      </c>
      <c r="I42" s="16">
        <f t="shared" si="2"/>
        <v>424</v>
      </c>
    </row>
    <row r="43" spans="1:9" x14ac:dyDescent="0.25">
      <c r="A43" s="13" t="s">
        <v>36</v>
      </c>
      <c r="B43" s="8">
        <v>227</v>
      </c>
      <c r="C43" s="4">
        <v>21</v>
      </c>
      <c r="D43" s="6">
        <f t="shared" si="0"/>
        <v>248</v>
      </c>
      <c r="E43" s="8">
        <v>55</v>
      </c>
      <c r="F43" s="4">
        <v>50</v>
      </c>
      <c r="G43" s="4">
        <v>0</v>
      </c>
      <c r="H43" s="9">
        <f t="shared" si="1"/>
        <v>105</v>
      </c>
      <c r="I43" s="16">
        <f t="shared" si="2"/>
        <v>353</v>
      </c>
    </row>
    <row r="44" spans="1:9" x14ac:dyDescent="0.25">
      <c r="A44" s="13" t="s">
        <v>37</v>
      </c>
      <c r="B44" s="8">
        <v>12</v>
      </c>
      <c r="C44" s="4">
        <v>0</v>
      </c>
      <c r="D44" s="6">
        <f t="shared" si="0"/>
        <v>12</v>
      </c>
      <c r="E44" s="8">
        <v>19</v>
      </c>
      <c r="F44" s="4">
        <v>37</v>
      </c>
      <c r="G44" s="4">
        <v>0</v>
      </c>
      <c r="H44" s="9">
        <f t="shared" si="1"/>
        <v>56</v>
      </c>
      <c r="I44" s="16">
        <f t="shared" si="2"/>
        <v>68</v>
      </c>
    </row>
    <row r="45" spans="1:9" x14ac:dyDescent="0.25">
      <c r="A45" s="13" t="s">
        <v>38</v>
      </c>
      <c r="B45" s="8">
        <v>158</v>
      </c>
      <c r="C45" s="4">
        <v>0</v>
      </c>
      <c r="D45" s="6">
        <f t="shared" si="0"/>
        <v>158</v>
      </c>
      <c r="E45" s="8">
        <v>0</v>
      </c>
      <c r="F45" s="4">
        <v>0</v>
      </c>
      <c r="G45" s="4">
        <v>0</v>
      </c>
      <c r="H45" s="9">
        <f t="shared" si="1"/>
        <v>0</v>
      </c>
      <c r="I45" s="16">
        <f t="shared" si="2"/>
        <v>158</v>
      </c>
    </row>
    <row r="46" spans="1:9" x14ac:dyDescent="0.25">
      <c r="A46" s="13" t="s">
        <v>39</v>
      </c>
      <c r="B46" s="8">
        <v>91</v>
      </c>
      <c r="C46" s="4">
        <v>1</v>
      </c>
      <c r="D46" s="6">
        <f t="shared" si="0"/>
        <v>92</v>
      </c>
      <c r="E46" s="8">
        <v>33</v>
      </c>
      <c r="F46" s="4">
        <v>5</v>
      </c>
      <c r="G46" s="4">
        <v>0</v>
      </c>
      <c r="H46" s="9">
        <f t="shared" si="1"/>
        <v>38</v>
      </c>
      <c r="I46" s="16">
        <f t="shared" si="2"/>
        <v>130</v>
      </c>
    </row>
    <row r="47" spans="1:9" x14ac:dyDescent="0.25">
      <c r="A47" s="13" t="s">
        <v>40</v>
      </c>
      <c r="B47" s="8">
        <v>168</v>
      </c>
      <c r="C47" s="4">
        <v>0</v>
      </c>
      <c r="D47" s="6">
        <f t="shared" si="0"/>
        <v>168</v>
      </c>
      <c r="E47" s="8">
        <v>46</v>
      </c>
      <c r="F47" s="4">
        <v>12</v>
      </c>
      <c r="G47" s="4">
        <v>0</v>
      </c>
      <c r="H47" s="9">
        <f t="shared" si="1"/>
        <v>58</v>
      </c>
      <c r="I47" s="16">
        <f t="shared" si="2"/>
        <v>226</v>
      </c>
    </row>
    <row r="48" spans="1:9" x14ac:dyDescent="0.25">
      <c r="A48" s="13" t="s">
        <v>41</v>
      </c>
      <c r="B48" s="8">
        <v>92</v>
      </c>
      <c r="C48" s="4">
        <v>1</v>
      </c>
      <c r="D48" s="6">
        <f t="shared" si="0"/>
        <v>93</v>
      </c>
      <c r="E48" s="8">
        <v>31</v>
      </c>
      <c r="F48" s="4">
        <v>13</v>
      </c>
      <c r="G48" s="4">
        <v>0</v>
      </c>
      <c r="H48" s="9">
        <f t="shared" si="1"/>
        <v>44</v>
      </c>
      <c r="I48" s="16">
        <f t="shared" si="2"/>
        <v>137</v>
      </c>
    </row>
    <row r="49" spans="1:9" x14ac:dyDescent="0.25">
      <c r="A49" s="13" t="s">
        <v>124</v>
      </c>
      <c r="B49" s="8">
        <v>51</v>
      </c>
      <c r="C49" s="4">
        <v>1</v>
      </c>
      <c r="D49" s="6">
        <f t="shared" si="0"/>
        <v>52</v>
      </c>
      <c r="E49" s="8">
        <v>0</v>
      </c>
      <c r="F49" s="4">
        <v>0</v>
      </c>
      <c r="G49" s="4">
        <v>0</v>
      </c>
      <c r="H49" s="9">
        <f t="shared" si="1"/>
        <v>0</v>
      </c>
      <c r="I49" s="16">
        <f t="shared" si="2"/>
        <v>52</v>
      </c>
    </row>
    <row r="50" spans="1:9" x14ac:dyDescent="0.25">
      <c r="A50" s="13" t="s">
        <v>43</v>
      </c>
      <c r="B50" s="8">
        <v>356</v>
      </c>
      <c r="C50" s="4">
        <v>90</v>
      </c>
      <c r="D50" s="6">
        <f t="shared" si="0"/>
        <v>446</v>
      </c>
      <c r="E50" s="8">
        <v>65</v>
      </c>
      <c r="F50" s="4">
        <v>2</v>
      </c>
      <c r="G50" s="4">
        <v>0</v>
      </c>
      <c r="H50" s="9">
        <f t="shared" si="1"/>
        <v>67</v>
      </c>
      <c r="I50" s="16">
        <f t="shared" si="2"/>
        <v>513</v>
      </c>
    </row>
    <row r="51" spans="1:9" x14ac:dyDescent="0.25">
      <c r="A51" s="13" t="s">
        <v>44</v>
      </c>
      <c r="B51" s="8">
        <v>219</v>
      </c>
      <c r="C51" s="4">
        <v>5</v>
      </c>
      <c r="D51" s="6">
        <f t="shared" si="0"/>
        <v>224</v>
      </c>
      <c r="E51" s="8">
        <v>58</v>
      </c>
      <c r="F51" s="4">
        <v>43</v>
      </c>
      <c r="G51" s="4">
        <v>0</v>
      </c>
      <c r="H51" s="9">
        <f t="shared" si="1"/>
        <v>101</v>
      </c>
      <c r="I51" s="16">
        <f t="shared" si="2"/>
        <v>325</v>
      </c>
    </row>
    <row r="52" spans="1:9" x14ac:dyDescent="0.25">
      <c r="A52" s="13" t="s">
        <v>45</v>
      </c>
      <c r="B52" s="8">
        <v>352</v>
      </c>
      <c r="C52" s="4">
        <v>3</v>
      </c>
      <c r="D52" s="6">
        <f t="shared" si="0"/>
        <v>355</v>
      </c>
      <c r="E52" s="8">
        <v>244</v>
      </c>
      <c r="F52" s="4">
        <v>127</v>
      </c>
      <c r="G52" s="4">
        <v>0</v>
      </c>
      <c r="H52" s="9">
        <f t="shared" si="1"/>
        <v>371</v>
      </c>
      <c r="I52" s="16">
        <f t="shared" si="2"/>
        <v>726</v>
      </c>
    </row>
    <row r="53" spans="1:9" x14ac:dyDescent="0.25">
      <c r="A53" s="13" t="s">
        <v>98</v>
      </c>
      <c r="B53" s="8">
        <v>0</v>
      </c>
      <c r="C53" s="4">
        <v>0</v>
      </c>
      <c r="D53" s="6">
        <f t="shared" si="0"/>
        <v>0</v>
      </c>
      <c r="E53" s="8">
        <v>72</v>
      </c>
      <c r="F53" s="4">
        <v>15</v>
      </c>
      <c r="G53" s="4">
        <v>0</v>
      </c>
      <c r="H53" s="9">
        <f t="shared" si="1"/>
        <v>87</v>
      </c>
      <c r="I53" s="16">
        <f t="shared" si="2"/>
        <v>87</v>
      </c>
    </row>
    <row r="54" spans="1:9" x14ac:dyDescent="0.25">
      <c r="A54" s="13" t="s">
        <v>117</v>
      </c>
      <c r="B54" s="8">
        <v>581</v>
      </c>
      <c r="C54" s="4">
        <v>5</v>
      </c>
      <c r="D54" s="6">
        <f t="shared" si="0"/>
        <v>586</v>
      </c>
      <c r="E54" s="8">
        <v>83</v>
      </c>
      <c r="F54" s="4">
        <v>40</v>
      </c>
      <c r="G54" s="4">
        <v>4</v>
      </c>
      <c r="H54" s="9">
        <f t="shared" si="1"/>
        <v>127</v>
      </c>
      <c r="I54" s="16">
        <f t="shared" si="2"/>
        <v>713</v>
      </c>
    </row>
    <row r="55" spans="1:9" x14ac:dyDescent="0.25">
      <c r="A55" s="13" t="s">
        <v>46</v>
      </c>
      <c r="B55" s="8">
        <v>47</v>
      </c>
      <c r="C55" s="4">
        <v>4</v>
      </c>
      <c r="D55" s="6">
        <f t="shared" si="0"/>
        <v>51</v>
      </c>
      <c r="E55" s="8">
        <v>7</v>
      </c>
      <c r="F55" s="4">
        <v>5</v>
      </c>
      <c r="G55" s="4">
        <v>0</v>
      </c>
      <c r="H55" s="9">
        <f t="shared" si="1"/>
        <v>12</v>
      </c>
      <c r="I55" s="16">
        <f t="shared" si="2"/>
        <v>63</v>
      </c>
    </row>
    <row r="56" spans="1:9" x14ac:dyDescent="0.25">
      <c r="A56" s="13" t="s">
        <v>47</v>
      </c>
      <c r="B56" s="8">
        <v>78</v>
      </c>
      <c r="C56" s="4">
        <v>1</v>
      </c>
      <c r="D56" s="6">
        <f t="shared" si="0"/>
        <v>79</v>
      </c>
      <c r="E56" s="8">
        <v>8</v>
      </c>
      <c r="F56" s="4">
        <v>2</v>
      </c>
      <c r="G56" s="4">
        <v>0</v>
      </c>
      <c r="H56" s="9">
        <f t="shared" si="1"/>
        <v>10</v>
      </c>
      <c r="I56" s="16">
        <f t="shared" si="2"/>
        <v>89</v>
      </c>
    </row>
    <row r="57" spans="1:9" x14ac:dyDescent="0.25">
      <c r="A57" s="13" t="s">
        <v>48</v>
      </c>
      <c r="B57" s="8">
        <v>0</v>
      </c>
      <c r="C57" s="4">
        <v>0</v>
      </c>
      <c r="D57" s="6">
        <f t="shared" si="0"/>
        <v>0</v>
      </c>
      <c r="E57" s="8">
        <v>31</v>
      </c>
      <c r="F57" s="4">
        <v>6</v>
      </c>
      <c r="G57" s="4">
        <v>0</v>
      </c>
      <c r="H57" s="9">
        <f t="shared" si="1"/>
        <v>37</v>
      </c>
      <c r="I57" s="16">
        <f t="shared" si="2"/>
        <v>37</v>
      </c>
    </row>
    <row r="58" spans="1:9" x14ac:dyDescent="0.25">
      <c r="A58" s="13" t="s">
        <v>49</v>
      </c>
      <c r="B58" s="8">
        <v>85</v>
      </c>
      <c r="C58" s="4">
        <v>2</v>
      </c>
      <c r="D58" s="6">
        <f t="shared" si="0"/>
        <v>87</v>
      </c>
      <c r="E58" s="8">
        <v>10</v>
      </c>
      <c r="F58" s="4">
        <v>3</v>
      </c>
      <c r="G58" s="4">
        <v>0</v>
      </c>
      <c r="H58" s="9">
        <f t="shared" si="1"/>
        <v>13</v>
      </c>
      <c r="I58" s="16">
        <f t="shared" si="2"/>
        <v>100</v>
      </c>
    </row>
    <row r="59" spans="1:9" x14ac:dyDescent="0.25">
      <c r="A59" s="13" t="s">
        <v>50</v>
      </c>
      <c r="B59" s="8">
        <v>187</v>
      </c>
      <c r="C59" s="4">
        <v>4</v>
      </c>
      <c r="D59" s="6">
        <f t="shared" si="0"/>
        <v>191</v>
      </c>
      <c r="E59" s="8">
        <v>23</v>
      </c>
      <c r="F59" s="4">
        <v>5</v>
      </c>
      <c r="G59" s="4">
        <v>0</v>
      </c>
      <c r="H59" s="9">
        <f t="shared" si="1"/>
        <v>28</v>
      </c>
      <c r="I59" s="16">
        <f t="shared" si="2"/>
        <v>219</v>
      </c>
    </row>
    <row r="60" spans="1:9" x14ac:dyDescent="0.25">
      <c r="A60" s="13" t="s">
        <v>52</v>
      </c>
      <c r="B60" s="8">
        <v>0</v>
      </c>
      <c r="C60" s="4">
        <v>0</v>
      </c>
      <c r="D60" s="6">
        <f t="shared" si="0"/>
        <v>0</v>
      </c>
      <c r="E60" s="8">
        <v>0</v>
      </c>
      <c r="F60" s="4">
        <v>0</v>
      </c>
      <c r="G60" s="4">
        <v>0</v>
      </c>
      <c r="H60" s="9">
        <f t="shared" si="1"/>
        <v>0</v>
      </c>
      <c r="I60" s="16">
        <f t="shared" si="2"/>
        <v>0</v>
      </c>
    </row>
    <row r="61" spans="1:9" x14ac:dyDescent="0.25">
      <c r="A61" s="13" t="s">
        <v>53</v>
      </c>
      <c r="B61" s="8">
        <v>683</v>
      </c>
      <c r="C61" s="4">
        <v>0</v>
      </c>
      <c r="D61" s="6">
        <f t="shared" si="0"/>
        <v>683</v>
      </c>
      <c r="E61" s="8">
        <v>0</v>
      </c>
      <c r="F61" s="4">
        <v>0</v>
      </c>
      <c r="G61" s="4">
        <v>0</v>
      </c>
      <c r="H61" s="9">
        <f t="shared" si="1"/>
        <v>0</v>
      </c>
      <c r="I61" s="16">
        <f t="shared" si="2"/>
        <v>683</v>
      </c>
    </row>
    <row r="62" spans="1:9" ht="15" customHeight="1" x14ac:dyDescent="0.25">
      <c r="A62" s="13" t="s">
        <v>54</v>
      </c>
      <c r="B62" s="8">
        <v>1070</v>
      </c>
      <c r="C62" s="4">
        <v>16</v>
      </c>
      <c r="D62" s="6">
        <f t="shared" si="0"/>
        <v>1086</v>
      </c>
      <c r="E62" s="8">
        <v>0</v>
      </c>
      <c r="F62" s="4">
        <v>0</v>
      </c>
      <c r="G62" s="4">
        <v>0</v>
      </c>
      <c r="H62" s="9">
        <f t="shared" si="1"/>
        <v>0</v>
      </c>
      <c r="I62" s="16">
        <f t="shared" si="2"/>
        <v>1086</v>
      </c>
    </row>
    <row r="63" spans="1:9" x14ac:dyDescent="0.25">
      <c r="A63" s="13" t="s">
        <v>118</v>
      </c>
      <c r="B63" s="8">
        <v>0</v>
      </c>
      <c r="C63" s="4">
        <v>0</v>
      </c>
      <c r="D63" s="6">
        <f t="shared" si="0"/>
        <v>0</v>
      </c>
      <c r="E63" s="8">
        <v>16</v>
      </c>
      <c r="F63" s="4">
        <v>11</v>
      </c>
      <c r="G63" s="4">
        <v>0</v>
      </c>
      <c r="H63" s="9">
        <f t="shared" si="1"/>
        <v>27</v>
      </c>
      <c r="I63" s="16">
        <f t="shared" si="2"/>
        <v>27</v>
      </c>
    </row>
    <row r="64" spans="1:9" x14ac:dyDescent="0.25">
      <c r="A64" s="13" t="s">
        <v>87</v>
      </c>
      <c r="B64" s="8">
        <v>0</v>
      </c>
      <c r="C64" s="4">
        <v>0</v>
      </c>
      <c r="D64" s="6">
        <f t="shared" si="0"/>
        <v>0</v>
      </c>
      <c r="E64" s="8">
        <v>87</v>
      </c>
      <c r="F64" s="4">
        <v>126</v>
      </c>
      <c r="G64" s="4">
        <v>5</v>
      </c>
      <c r="H64" s="9">
        <f t="shared" si="1"/>
        <v>218</v>
      </c>
      <c r="I64" s="16">
        <f t="shared" si="2"/>
        <v>218</v>
      </c>
    </row>
    <row r="65" spans="1:9" x14ac:dyDescent="0.25">
      <c r="A65" s="13" t="s">
        <v>91</v>
      </c>
      <c r="B65" s="8">
        <v>15</v>
      </c>
      <c r="C65" s="4">
        <v>0</v>
      </c>
      <c r="D65" s="6">
        <f t="shared" si="0"/>
        <v>15</v>
      </c>
      <c r="E65" s="8">
        <v>0</v>
      </c>
      <c r="F65" s="4">
        <v>107</v>
      </c>
      <c r="G65" s="4">
        <v>0</v>
      </c>
      <c r="H65" s="9">
        <f t="shared" si="1"/>
        <v>107</v>
      </c>
      <c r="I65" s="16">
        <f t="shared" si="2"/>
        <v>122</v>
      </c>
    </row>
    <row r="66" spans="1:9" x14ac:dyDescent="0.25">
      <c r="A66" s="13" t="s">
        <v>108</v>
      </c>
      <c r="B66" s="8">
        <v>0</v>
      </c>
      <c r="C66" s="4">
        <v>0</v>
      </c>
      <c r="D66" s="6">
        <f t="shared" si="0"/>
        <v>0</v>
      </c>
      <c r="E66" s="8">
        <v>0</v>
      </c>
      <c r="F66" s="4">
        <v>7</v>
      </c>
      <c r="G66" s="4">
        <v>0</v>
      </c>
      <c r="H66" s="9">
        <f t="shared" si="1"/>
        <v>7</v>
      </c>
      <c r="I66" s="16">
        <f t="shared" si="2"/>
        <v>7</v>
      </c>
    </row>
    <row r="67" spans="1:9" x14ac:dyDescent="0.25">
      <c r="A67" s="13" t="s">
        <v>102</v>
      </c>
      <c r="B67" s="8">
        <v>0</v>
      </c>
      <c r="C67" s="4">
        <v>0</v>
      </c>
      <c r="D67" s="6">
        <f t="shared" si="0"/>
        <v>0</v>
      </c>
      <c r="E67" s="8">
        <v>138</v>
      </c>
      <c r="F67" s="4">
        <v>210</v>
      </c>
      <c r="G67" s="4">
        <v>1</v>
      </c>
      <c r="H67" s="9">
        <f t="shared" si="1"/>
        <v>349</v>
      </c>
      <c r="I67" s="16">
        <f t="shared" si="2"/>
        <v>349</v>
      </c>
    </row>
    <row r="68" spans="1:9" x14ac:dyDescent="0.25">
      <c r="A68" s="13" t="s">
        <v>56</v>
      </c>
      <c r="B68" s="8">
        <v>0</v>
      </c>
      <c r="C68" s="4">
        <v>0</v>
      </c>
      <c r="D68" s="6">
        <f t="shared" si="0"/>
        <v>0</v>
      </c>
      <c r="E68" s="8">
        <v>28</v>
      </c>
      <c r="F68" s="4">
        <v>10</v>
      </c>
      <c r="G68" s="4">
        <v>0</v>
      </c>
      <c r="H68" s="9">
        <f t="shared" si="1"/>
        <v>38</v>
      </c>
      <c r="I68" s="16">
        <f t="shared" si="2"/>
        <v>38</v>
      </c>
    </row>
    <row r="69" spans="1:9" x14ac:dyDescent="0.25">
      <c r="A69" s="13" t="s">
        <v>57</v>
      </c>
      <c r="B69" s="8">
        <v>0</v>
      </c>
      <c r="C69" s="4">
        <v>0</v>
      </c>
      <c r="D69" s="6">
        <f t="shared" si="0"/>
        <v>0</v>
      </c>
      <c r="E69" s="8">
        <v>10</v>
      </c>
      <c r="F69" s="4">
        <v>20</v>
      </c>
      <c r="G69" s="4">
        <v>0</v>
      </c>
      <c r="H69" s="9">
        <f t="shared" si="1"/>
        <v>30</v>
      </c>
      <c r="I69" s="16">
        <f t="shared" si="2"/>
        <v>30</v>
      </c>
    </row>
    <row r="70" spans="1:9" x14ac:dyDescent="0.25">
      <c r="A70" s="13" t="s">
        <v>58</v>
      </c>
      <c r="B70" s="8">
        <v>0</v>
      </c>
      <c r="C70" s="4">
        <v>0</v>
      </c>
      <c r="D70" s="6">
        <f t="shared" si="0"/>
        <v>0</v>
      </c>
      <c r="E70" s="8">
        <v>4</v>
      </c>
      <c r="F70" s="4">
        <v>2</v>
      </c>
      <c r="G70" s="4">
        <v>0</v>
      </c>
      <c r="H70" s="9">
        <f t="shared" si="1"/>
        <v>6</v>
      </c>
      <c r="I70" s="16">
        <f t="shared" si="2"/>
        <v>6</v>
      </c>
    </row>
    <row r="71" spans="1:9" x14ac:dyDescent="0.25">
      <c r="A71" s="13" t="s">
        <v>109</v>
      </c>
      <c r="B71" s="8">
        <v>28</v>
      </c>
      <c r="C71" s="4">
        <v>0</v>
      </c>
      <c r="D71" s="6">
        <f t="shared" si="0"/>
        <v>28</v>
      </c>
      <c r="E71" s="8">
        <v>67</v>
      </c>
      <c r="F71" s="4">
        <v>23</v>
      </c>
      <c r="G71" s="4">
        <v>2</v>
      </c>
      <c r="H71" s="9">
        <f t="shared" si="1"/>
        <v>92</v>
      </c>
      <c r="I71" s="16">
        <f t="shared" si="2"/>
        <v>120</v>
      </c>
    </row>
    <row r="72" spans="1:9" x14ac:dyDescent="0.25">
      <c r="A72" s="13" t="s">
        <v>119</v>
      </c>
      <c r="B72" s="8">
        <v>0</v>
      </c>
      <c r="C72" s="4">
        <v>0</v>
      </c>
      <c r="D72" s="6">
        <f t="shared" si="0"/>
        <v>0</v>
      </c>
      <c r="E72" s="8">
        <v>17</v>
      </c>
      <c r="F72" s="4">
        <v>52</v>
      </c>
      <c r="G72" s="4">
        <v>0</v>
      </c>
      <c r="H72" s="9">
        <f t="shared" si="1"/>
        <v>69</v>
      </c>
      <c r="I72" s="16">
        <f t="shared" ref="I72:I87" si="3">H72+D72</f>
        <v>69</v>
      </c>
    </row>
    <row r="73" spans="1:9" x14ac:dyDescent="0.25">
      <c r="A73" s="13" t="s">
        <v>110</v>
      </c>
      <c r="B73" s="8">
        <v>1</v>
      </c>
      <c r="C73" s="4">
        <v>0</v>
      </c>
      <c r="D73" s="6">
        <f t="shared" ref="D73:D88" si="4">B73+C73</f>
        <v>1</v>
      </c>
      <c r="E73" s="8">
        <v>16</v>
      </c>
      <c r="F73" s="4">
        <v>6</v>
      </c>
      <c r="G73" s="4">
        <v>0</v>
      </c>
      <c r="H73" s="9">
        <f t="shared" ref="H73:H88" si="5">E73+F73+G73</f>
        <v>22</v>
      </c>
      <c r="I73" s="16">
        <f t="shared" si="3"/>
        <v>23</v>
      </c>
    </row>
    <row r="74" spans="1:9" x14ac:dyDescent="0.25">
      <c r="A74" s="13" t="s">
        <v>61</v>
      </c>
      <c r="B74" s="8">
        <v>11</v>
      </c>
      <c r="C74" s="4">
        <v>0</v>
      </c>
      <c r="D74" s="6">
        <f t="shared" si="4"/>
        <v>11</v>
      </c>
      <c r="E74" s="8">
        <v>39</v>
      </c>
      <c r="F74" s="4">
        <v>42</v>
      </c>
      <c r="G74" s="4">
        <v>0</v>
      </c>
      <c r="H74" s="9">
        <f t="shared" si="5"/>
        <v>81</v>
      </c>
      <c r="I74" s="16">
        <f t="shared" si="3"/>
        <v>92</v>
      </c>
    </row>
    <row r="75" spans="1:9" x14ac:dyDescent="0.25">
      <c r="A75" s="13" t="s">
        <v>111</v>
      </c>
      <c r="B75" s="8">
        <v>0</v>
      </c>
      <c r="C75" s="4">
        <v>0</v>
      </c>
      <c r="D75" s="6">
        <f t="shared" si="4"/>
        <v>0</v>
      </c>
      <c r="E75" s="8">
        <v>1</v>
      </c>
      <c r="F75" s="4">
        <v>1</v>
      </c>
      <c r="G75" s="4">
        <v>0</v>
      </c>
      <c r="H75" s="9">
        <f t="shared" si="5"/>
        <v>2</v>
      </c>
      <c r="I75" s="16">
        <f t="shared" si="3"/>
        <v>2</v>
      </c>
    </row>
    <row r="76" spans="1:9" x14ac:dyDescent="0.25">
      <c r="A76" s="13" t="s">
        <v>94</v>
      </c>
      <c r="B76" s="8">
        <v>0</v>
      </c>
      <c r="C76" s="4">
        <v>0</v>
      </c>
      <c r="D76" s="6">
        <f t="shared" si="4"/>
        <v>0</v>
      </c>
      <c r="E76" s="8">
        <v>58</v>
      </c>
      <c r="F76" s="4">
        <v>44</v>
      </c>
      <c r="G76" s="4">
        <v>3</v>
      </c>
      <c r="H76" s="9">
        <f t="shared" si="5"/>
        <v>105</v>
      </c>
      <c r="I76" s="16">
        <f t="shared" si="3"/>
        <v>105</v>
      </c>
    </row>
    <row r="77" spans="1:9" x14ac:dyDescent="0.25">
      <c r="A77" s="13" t="s">
        <v>64</v>
      </c>
      <c r="B77" s="8">
        <v>0</v>
      </c>
      <c r="C77" s="4">
        <v>0</v>
      </c>
      <c r="D77" s="6">
        <f t="shared" si="4"/>
        <v>0</v>
      </c>
      <c r="E77" s="8">
        <v>1</v>
      </c>
      <c r="F77" s="4">
        <v>2</v>
      </c>
      <c r="G77" s="4">
        <v>0</v>
      </c>
      <c r="H77" s="9">
        <f t="shared" si="5"/>
        <v>3</v>
      </c>
      <c r="I77" s="16">
        <f t="shared" si="3"/>
        <v>3</v>
      </c>
    </row>
    <row r="78" spans="1:9" x14ac:dyDescent="0.25">
      <c r="A78" s="13" t="s">
        <v>65</v>
      </c>
      <c r="B78" s="8">
        <v>0</v>
      </c>
      <c r="C78" s="4">
        <v>0</v>
      </c>
      <c r="D78" s="6">
        <f t="shared" si="4"/>
        <v>0</v>
      </c>
      <c r="E78" s="8">
        <v>13</v>
      </c>
      <c r="F78" s="4">
        <v>12</v>
      </c>
      <c r="G78" s="4">
        <v>0</v>
      </c>
      <c r="H78" s="9">
        <f t="shared" si="5"/>
        <v>25</v>
      </c>
      <c r="I78" s="16">
        <f t="shared" si="3"/>
        <v>25</v>
      </c>
    </row>
    <row r="79" spans="1:9" x14ac:dyDescent="0.25">
      <c r="A79" s="13" t="s">
        <v>66</v>
      </c>
      <c r="B79" s="8">
        <v>0</v>
      </c>
      <c r="C79" s="4">
        <v>0</v>
      </c>
      <c r="D79" s="6">
        <f t="shared" si="4"/>
        <v>0</v>
      </c>
      <c r="E79" s="8">
        <v>17</v>
      </c>
      <c r="F79" s="4">
        <v>5</v>
      </c>
      <c r="G79" s="4">
        <v>0</v>
      </c>
      <c r="H79" s="9">
        <f t="shared" si="5"/>
        <v>22</v>
      </c>
      <c r="I79" s="16">
        <f t="shared" si="3"/>
        <v>22</v>
      </c>
    </row>
    <row r="80" spans="1:9" x14ac:dyDescent="0.25">
      <c r="A80" s="13" t="s">
        <v>75</v>
      </c>
      <c r="B80" s="8">
        <v>0</v>
      </c>
      <c r="C80" s="4">
        <v>0</v>
      </c>
      <c r="D80" s="6">
        <f t="shared" si="4"/>
        <v>0</v>
      </c>
      <c r="E80" s="8">
        <v>20</v>
      </c>
      <c r="F80" s="4">
        <v>22</v>
      </c>
      <c r="G80" s="4">
        <v>0</v>
      </c>
      <c r="H80" s="9">
        <f t="shared" si="5"/>
        <v>42</v>
      </c>
      <c r="I80" s="16">
        <f t="shared" si="3"/>
        <v>42</v>
      </c>
    </row>
    <row r="81" spans="1:9" x14ac:dyDescent="0.25">
      <c r="A81" s="13" t="s">
        <v>67</v>
      </c>
      <c r="B81" s="8">
        <v>16</v>
      </c>
      <c r="C81" s="4">
        <v>0</v>
      </c>
      <c r="D81" s="6">
        <f t="shared" si="4"/>
        <v>16</v>
      </c>
      <c r="E81" s="8">
        <v>11</v>
      </c>
      <c r="F81" s="4">
        <v>7</v>
      </c>
      <c r="G81" s="4">
        <v>0</v>
      </c>
      <c r="H81" s="9">
        <f t="shared" si="5"/>
        <v>18</v>
      </c>
      <c r="I81" s="16">
        <f t="shared" si="3"/>
        <v>34</v>
      </c>
    </row>
    <row r="82" spans="1:9" x14ac:dyDescent="0.25">
      <c r="A82" s="13" t="s">
        <v>112</v>
      </c>
      <c r="B82" s="8">
        <v>0</v>
      </c>
      <c r="C82" s="4">
        <v>0</v>
      </c>
      <c r="D82" s="6">
        <f t="shared" si="4"/>
        <v>0</v>
      </c>
      <c r="E82" s="8">
        <v>4</v>
      </c>
      <c r="F82" s="4">
        <v>3</v>
      </c>
      <c r="G82" s="4">
        <v>0</v>
      </c>
      <c r="H82" s="9">
        <f t="shared" si="5"/>
        <v>7</v>
      </c>
      <c r="I82" s="16">
        <f t="shared" si="3"/>
        <v>7</v>
      </c>
    </row>
    <row r="83" spans="1:9" x14ac:dyDescent="0.25">
      <c r="A83" s="13" t="s">
        <v>120</v>
      </c>
      <c r="B83" s="8">
        <v>83</v>
      </c>
      <c r="C83" s="4">
        <v>14</v>
      </c>
      <c r="D83" s="6">
        <f t="shared" si="4"/>
        <v>97</v>
      </c>
      <c r="E83" s="8">
        <v>0</v>
      </c>
      <c r="F83" s="4">
        <v>0</v>
      </c>
      <c r="G83" s="4">
        <v>0</v>
      </c>
      <c r="H83" s="9">
        <f t="shared" si="5"/>
        <v>0</v>
      </c>
      <c r="I83" s="16">
        <f t="shared" si="3"/>
        <v>97</v>
      </c>
    </row>
    <row r="84" spans="1:9" x14ac:dyDescent="0.25">
      <c r="A84" s="13" t="s">
        <v>113</v>
      </c>
      <c r="B84" s="8">
        <v>11</v>
      </c>
      <c r="C84" s="4">
        <v>0</v>
      </c>
      <c r="D84" s="6">
        <f t="shared" si="4"/>
        <v>11</v>
      </c>
      <c r="E84" s="8">
        <v>6</v>
      </c>
      <c r="F84" s="4">
        <v>38</v>
      </c>
      <c r="G84" s="4">
        <v>1</v>
      </c>
      <c r="H84" s="9">
        <f t="shared" si="5"/>
        <v>45</v>
      </c>
      <c r="I84" s="16">
        <f t="shared" si="3"/>
        <v>56</v>
      </c>
    </row>
    <row r="85" spans="1:9" x14ac:dyDescent="0.25">
      <c r="A85" s="13" t="s">
        <v>114</v>
      </c>
      <c r="B85" s="8">
        <v>0</v>
      </c>
      <c r="C85" s="4">
        <v>0</v>
      </c>
      <c r="D85" s="6">
        <f t="shared" si="4"/>
        <v>0</v>
      </c>
      <c r="E85" s="8">
        <v>15</v>
      </c>
      <c r="F85" s="4">
        <v>60</v>
      </c>
      <c r="G85" s="4">
        <v>0</v>
      </c>
      <c r="H85" s="9">
        <f t="shared" ref="H85" si="6">E85+F85+G85</f>
        <v>75</v>
      </c>
      <c r="I85" s="16">
        <f t="shared" si="3"/>
        <v>75</v>
      </c>
    </row>
    <row r="86" spans="1:9" x14ac:dyDescent="0.25">
      <c r="A86" s="13" t="s">
        <v>71</v>
      </c>
      <c r="B86" s="8">
        <v>0</v>
      </c>
      <c r="C86" s="4">
        <v>0</v>
      </c>
      <c r="D86" s="6">
        <f t="shared" si="4"/>
        <v>0</v>
      </c>
      <c r="E86" s="8">
        <v>7</v>
      </c>
      <c r="F86" s="4">
        <v>4</v>
      </c>
      <c r="G86" s="4">
        <v>0</v>
      </c>
      <c r="H86" s="9">
        <f>E86+F86+G86</f>
        <v>11</v>
      </c>
      <c r="I86" s="16">
        <f t="shared" si="3"/>
        <v>11</v>
      </c>
    </row>
    <row r="87" spans="1:9" x14ac:dyDescent="0.25">
      <c r="A87" s="13" t="s">
        <v>72</v>
      </c>
      <c r="B87" s="8">
        <v>12</v>
      </c>
      <c r="C87" s="4">
        <v>0</v>
      </c>
      <c r="D87" s="6">
        <f t="shared" si="4"/>
        <v>12</v>
      </c>
      <c r="E87" s="8">
        <v>9</v>
      </c>
      <c r="F87" s="4">
        <v>37</v>
      </c>
      <c r="G87" s="4">
        <v>0</v>
      </c>
      <c r="H87" s="9">
        <f>E87+F87+G87</f>
        <v>46</v>
      </c>
      <c r="I87" s="16">
        <f t="shared" si="3"/>
        <v>58</v>
      </c>
    </row>
    <row r="88" spans="1:9" x14ac:dyDescent="0.25">
      <c r="A88" s="13" t="s">
        <v>121</v>
      </c>
      <c r="B88" s="8">
        <v>0</v>
      </c>
      <c r="C88" s="4">
        <v>0</v>
      </c>
      <c r="D88" s="6">
        <f t="shared" si="4"/>
        <v>0</v>
      </c>
      <c r="E88" s="8">
        <v>8</v>
      </c>
      <c r="F88" s="4">
        <v>36</v>
      </c>
      <c r="G88" s="4">
        <v>0</v>
      </c>
      <c r="H88" s="9">
        <f t="shared" si="5"/>
        <v>44</v>
      </c>
      <c r="I88" s="16">
        <f t="shared" ref="I88:I89" si="7">H88+D88</f>
        <v>44</v>
      </c>
    </row>
    <row r="89" spans="1:9" ht="15.75" thickBot="1" x14ac:dyDescent="0.3">
      <c r="A89" s="20" t="s">
        <v>74</v>
      </c>
      <c r="B89" s="21">
        <v>0</v>
      </c>
      <c r="C89" s="22">
        <v>0</v>
      </c>
      <c r="D89" s="23">
        <f t="shared" ref="D89" si="8">B89+C89</f>
        <v>0</v>
      </c>
      <c r="E89" s="21">
        <v>8</v>
      </c>
      <c r="F89" s="22">
        <v>6</v>
      </c>
      <c r="G89" s="22">
        <v>0</v>
      </c>
      <c r="H89" s="24">
        <f>E89+F89+G89</f>
        <v>14</v>
      </c>
      <c r="I89" s="25">
        <f t="shared" si="7"/>
        <v>14</v>
      </c>
    </row>
    <row r="90" spans="1:9" ht="16.5" thickTop="1" thickBot="1" x14ac:dyDescent="0.3">
      <c r="A90" s="15" t="s">
        <v>0</v>
      </c>
      <c r="B90" s="12">
        <f t="shared" ref="B90:I90" si="9">SUM(B8:B89)</f>
        <v>11402</v>
      </c>
      <c r="C90" s="12">
        <f t="shared" si="9"/>
        <v>267</v>
      </c>
      <c r="D90" s="15">
        <f t="shared" si="9"/>
        <v>11669</v>
      </c>
      <c r="E90" s="12">
        <f t="shared" si="9"/>
        <v>4478</v>
      </c>
      <c r="F90" s="12">
        <f t="shared" si="9"/>
        <v>2143</v>
      </c>
      <c r="G90" s="12">
        <f t="shared" si="9"/>
        <v>47</v>
      </c>
      <c r="H90" s="18">
        <f t="shared" si="9"/>
        <v>6668</v>
      </c>
      <c r="I90" s="18">
        <f t="shared" si="9"/>
        <v>18337</v>
      </c>
    </row>
    <row r="92" spans="1:9" x14ac:dyDescent="0.25">
      <c r="A92" s="33" t="s">
        <v>88</v>
      </c>
      <c r="B92" s="33"/>
      <c r="C92" s="33"/>
      <c r="D92" s="33"/>
      <c r="E92" s="33"/>
      <c r="F92" s="33"/>
      <c r="G92" s="33"/>
      <c r="H92" s="33"/>
      <c r="I92" s="33"/>
    </row>
    <row r="93" spans="1:9" x14ac:dyDescent="0.25">
      <c r="A93" s="33"/>
      <c r="B93" s="33"/>
      <c r="C93" s="33"/>
      <c r="D93" s="33"/>
      <c r="E93" s="33"/>
      <c r="F93" s="33"/>
      <c r="G93" s="33"/>
      <c r="H93" s="33"/>
      <c r="I93" s="33"/>
    </row>
  </sheetData>
  <mergeCells count="13">
    <mergeCell ref="G6:G7"/>
    <mergeCell ref="H6:H7"/>
    <mergeCell ref="A92:I93"/>
    <mergeCell ref="A2:I2"/>
    <mergeCell ref="A5:A7"/>
    <mergeCell ref="B5:D5"/>
    <mergeCell ref="E5:H5"/>
    <mergeCell ref="I5:I7"/>
    <mergeCell ref="B6:B7"/>
    <mergeCell ref="C6:C7"/>
    <mergeCell ref="D6:D7"/>
    <mergeCell ref="E6:E7"/>
    <mergeCell ref="F6:F7"/>
  </mergeCells>
  <pageMargins left="0.7" right="0.7" top="0.75" bottom="0.75" header="0.3" footer="0.3"/>
  <pageSetup paperSize="9" orientation="portrait" r:id="rId1"/>
  <headerFooter>
    <oddHeader>&amp;CUCL Student Data Statistics</oddHeader>
    <oddFooter>&amp;L&amp;F - &amp;A&amp;RPage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J92"/>
  <sheetViews>
    <sheetView tabSelected="1" view="pageLayout" zoomScale="85" zoomScaleNormal="70" zoomScalePageLayoutView="85" workbookViewId="0">
      <selection activeCell="A47" sqref="A47"/>
    </sheetView>
  </sheetViews>
  <sheetFormatPr defaultColWidth="9" defaultRowHeight="15" x14ac:dyDescent="0.25"/>
  <cols>
    <col min="1" max="1" width="31.28515625" customWidth="1"/>
    <col min="2" max="9" width="6.7109375" customWidth="1"/>
  </cols>
  <sheetData>
    <row r="1" spans="1:9" ht="18" x14ac:dyDescent="0.25">
      <c r="A1" s="1" t="s">
        <v>2</v>
      </c>
      <c r="B1" s="3"/>
    </row>
    <row r="2" spans="1:9" x14ac:dyDescent="0.25">
      <c r="A2" s="34" t="s">
        <v>3</v>
      </c>
      <c r="B2" s="34"/>
      <c r="C2" s="34"/>
      <c r="D2" s="34"/>
      <c r="E2" s="34"/>
      <c r="F2" s="34"/>
      <c r="G2" s="34"/>
      <c r="H2" s="34"/>
      <c r="I2" s="34"/>
    </row>
    <row r="3" spans="1:9" x14ac:dyDescent="0.25">
      <c r="A3" s="28" t="str">
        <f ca="1">RIGHT(CELL("filename",A1),LEN(CELL("filename",A1))-FIND("]",CELL("filename",A1)))</f>
        <v>2001-02</v>
      </c>
      <c r="B3" s="3"/>
    </row>
    <row r="4" spans="1:9" ht="15.75" thickBot="1" x14ac:dyDescent="0.3">
      <c r="A4" s="3"/>
      <c r="B4" s="3"/>
    </row>
    <row r="5" spans="1:9" ht="15" customHeight="1" x14ac:dyDescent="0.25">
      <c r="A5" s="35" t="s">
        <v>4</v>
      </c>
      <c r="B5" s="38" t="s">
        <v>5</v>
      </c>
      <c r="C5" s="39"/>
      <c r="D5" s="39"/>
      <c r="E5" s="38" t="s">
        <v>6</v>
      </c>
      <c r="F5" s="39"/>
      <c r="G5" s="39"/>
      <c r="H5" s="40"/>
      <c r="I5" s="41" t="s">
        <v>0</v>
      </c>
    </row>
    <row r="6" spans="1:9" ht="15" customHeight="1" x14ac:dyDescent="0.25">
      <c r="A6" s="36"/>
      <c r="B6" s="44" t="s">
        <v>76</v>
      </c>
      <c r="C6" s="29" t="s">
        <v>77</v>
      </c>
      <c r="D6" s="46" t="s">
        <v>0</v>
      </c>
      <c r="E6" s="44" t="s">
        <v>76</v>
      </c>
      <c r="F6" s="29" t="s">
        <v>77</v>
      </c>
      <c r="G6" s="29" t="s">
        <v>78</v>
      </c>
      <c r="H6" s="31" t="s">
        <v>0</v>
      </c>
      <c r="I6" s="42"/>
    </row>
    <row r="7" spans="1:9" x14ac:dyDescent="0.25">
      <c r="A7" s="37"/>
      <c r="B7" s="45"/>
      <c r="C7" s="30"/>
      <c r="D7" s="47"/>
      <c r="E7" s="45"/>
      <c r="F7" s="30"/>
      <c r="G7" s="30"/>
      <c r="H7" s="32"/>
      <c r="I7" s="43"/>
    </row>
    <row r="8" spans="1:9" x14ac:dyDescent="0.25">
      <c r="A8" s="13" t="s">
        <v>7</v>
      </c>
      <c r="B8" s="8">
        <v>243</v>
      </c>
      <c r="C8" s="4">
        <v>2</v>
      </c>
      <c r="D8" s="6">
        <f>B8+C8</f>
        <v>245</v>
      </c>
      <c r="E8" s="8">
        <v>93</v>
      </c>
      <c r="F8" s="4">
        <v>17</v>
      </c>
      <c r="G8" s="4">
        <v>0</v>
      </c>
      <c r="H8" s="9">
        <f>E8+F8+G8</f>
        <v>110</v>
      </c>
      <c r="I8" s="16">
        <f>H8+D8</f>
        <v>355</v>
      </c>
    </row>
    <row r="9" spans="1:9" x14ac:dyDescent="0.25">
      <c r="A9" s="13" t="s">
        <v>8</v>
      </c>
      <c r="B9" s="8">
        <v>186</v>
      </c>
      <c r="C9" s="4">
        <v>0</v>
      </c>
      <c r="D9" s="6">
        <f t="shared" ref="D9:D72" si="0">B9+C9</f>
        <v>186</v>
      </c>
      <c r="E9" s="8">
        <v>92</v>
      </c>
      <c r="F9" s="4">
        <v>20</v>
      </c>
      <c r="G9" s="4">
        <v>9</v>
      </c>
      <c r="H9" s="9">
        <f t="shared" ref="H9:H72" si="1">E9+F9+G9</f>
        <v>121</v>
      </c>
      <c r="I9" s="16">
        <f t="shared" ref="I9:I72" si="2">H9+D9</f>
        <v>307</v>
      </c>
    </row>
    <row r="10" spans="1:9" x14ac:dyDescent="0.25">
      <c r="A10" s="13" t="s">
        <v>9</v>
      </c>
      <c r="B10" s="8">
        <v>260</v>
      </c>
      <c r="C10" s="4">
        <v>4</v>
      </c>
      <c r="D10" s="6">
        <f t="shared" si="0"/>
        <v>264</v>
      </c>
      <c r="E10" s="8">
        <v>200</v>
      </c>
      <c r="F10" s="4">
        <v>67</v>
      </c>
      <c r="G10" s="4">
        <v>2</v>
      </c>
      <c r="H10" s="9">
        <f t="shared" si="1"/>
        <v>269</v>
      </c>
      <c r="I10" s="16">
        <f t="shared" si="2"/>
        <v>533</v>
      </c>
    </row>
    <row r="11" spans="1:9" x14ac:dyDescent="0.25">
      <c r="A11" s="13" t="s">
        <v>10</v>
      </c>
      <c r="B11" s="8">
        <v>350</v>
      </c>
      <c r="C11" s="4">
        <v>4</v>
      </c>
      <c r="D11" s="6">
        <f t="shared" si="0"/>
        <v>354</v>
      </c>
      <c r="E11" s="8">
        <v>426</v>
      </c>
      <c r="F11" s="4">
        <v>129</v>
      </c>
      <c r="G11" s="4">
        <v>5</v>
      </c>
      <c r="H11" s="9">
        <f t="shared" si="1"/>
        <v>560</v>
      </c>
      <c r="I11" s="16">
        <f t="shared" si="2"/>
        <v>914</v>
      </c>
    </row>
    <row r="12" spans="1:9" x14ac:dyDescent="0.25">
      <c r="A12" s="13" t="s">
        <v>95</v>
      </c>
      <c r="B12" s="8">
        <v>126</v>
      </c>
      <c r="C12" s="4">
        <v>2</v>
      </c>
      <c r="D12" s="6">
        <f t="shared" si="0"/>
        <v>128</v>
      </c>
      <c r="E12" s="8">
        <v>82</v>
      </c>
      <c r="F12" s="4">
        <v>6</v>
      </c>
      <c r="G12" s="4">
        <v>0</v>
      </c>
      <c r="H12" s="9">
        <f t="shared" si="1"/>
        <v>88</v>
      </c>
      <c r="I12" s="16">
        <f t="shared" si="2"/>
        <v>216</v>
      </c>
    </row>
    <row r="13" spans="1:9" x14ac:dyDescent="0.25">
      <c r="A13" s="13" t="s">
        <v>11</v>
      </c>
      <c r="B13" s="8">
        <v>183</v>
      </c>
      <c r="C13" s="4">
        <v>4</v>
      </c>
      <c r="D13" s="6">
        <f t="shared" si="0"/>
        <v>187</v>
      </c>
      <c r="E13" s="8">
        <v>91</v>
      </c>
      <c r="F13" s="4">
        <v>8</v>
      </c>
      <c r="G13" s="4">
        <v>0</v>
      </c>
      <c r="H13" s="9">
        <f t="shared" si="1"/>
        <v>99</v>
      </c>
      <c r="I13" s="16">
        <f t="shared" si="2"/>
        <v>286</v>
      </c>
    </row>
    <row r="14" spans="1:9" x14ac:dyDescent="0.25">
      <c r="A14" s="13" t="s">
        <v>12</v>
      </c>
      <c r="B14" s="8">
        <v>274</v>
      </c>
      <c r="C14" s="4">
        <v>2</v>
      </c>
      <c r="D14" s="6">
        <f t="shared" si="0"/>
        <v>276</v>
      </c>
      <c r="E14" s="8">
        <v>94</v>
      </c>
      <c r="F14" s="4">
        <v>7</v>
      </c>
      <c r="G14" s="4">
        <v>0</v>
      </c>
      <c r="H14" s="9">
        <f t="shared" si="1"/>
        <v>101</v>
      </c>
      <c r="I14" s="16">
        <f t="shared" si="2"/>
        <v>377</v>
      </c>
    </row>
    <row r="15" spans="1:9" x14ac:dyDescent="0.25">
      <c r="A15" s="13" t="s">
        <v>116</v>
      </c>
      <c r="B15" s="8">
        <v>0</v>
      </c>
      <c r="C15" s="4">
        <v>0</v>
      </c>
      <c r="D15" s="6">
        <f t="shared" si="0"/>
        <v>0</v>
      </c>
      <c r="E15" s="8">
        <v>20</v>
      </c>
      <c r="F15" s="4">
        <v>0</v>
      </c>
      <c r="G15" s="4">
        <v>0</v>
      </c>
      <c r="H15" s="9">
        <f t="shared" si="1"/>
        <v>20</v>
      </c>
      <c r="I15" s="16">
        <f t="shared" si="2"/>
        <v>20</v>
      </c>
    </row>
    <row r="16" spans="1:9" x14ac:dyDescent="0.25">
      <c r="A16" s="13" t="s">
        <v>101</v>
      </c>
      <c r="B16" s="8">
        <v>0</v>
      </c>
      <c r="C16" s="4">
        <v>0</v>
      </c>
      <c r="D16" s="6">
        <f t="shared" si="0"/>
        <v>0</v>
      </c>
      <c r="E16" s="8">
        <v>10</v>
      </c>
      <c r="F16" s="4">
        <v>0</v>
      </c>
      <c r="G16" s="4">
        <v>0</v>
      </c>
      <c r="H16" s="9">
        <f t="shared" si="1"/>
        <v>10</v>
      </c>
      <c r="I16" s="16">
        <f t="shared" si="2"/>
        <v>10</v>
      </c>
    </row>
    <row r="17" spans="1:9" x14ac:dyDescent="0.25">
      <c r="A17" s="13" t="s">
        <v>96</v>
      </c>
      <c r="B17" s="8">
        <v>121</v>
      </c>
      <c r="C17" s="4">
        <v>2</v>
      </c>
      <c r="D17" s="6">
        <f t="shared" si="0"/>
        <v>123</v>
      </c>
      <c r="E17" s="8">
        <v>38</v>
      </c>
      <c r="F17" s="4">
        <v>10</v>
      </c>
      <c r="G17" s="4">
        <v>0</v>
      </c>
      <c r="H17" s="9">
        <f t="shared" si="1"/>
        <v>48</v>
      </c>
      <c r="I17" s="16">
        <f t="shared" si="2"/>
        <v>171</v>
      </c>
    </row>
    <row r="18" spans="1:9" x14ac:dyDescent="0.25">
      <c r="A18" s="13" t="s">
        <v>14</v>
      </c>
      <c r="B18" s="8">
        <v>259</v>
      </c>
      <c r="C18" s="4">
        <v>0</v>
      </c>
      <c r="D18" s="6">
        <f t="shared" si="0"/>
        <v>259</v>
      </c>
      <c r="E18" s="8">
        <v>78</v>
      </c>
      <c r="F18" s="4">
        <v>4</v>
      </c>
      <c r="G18" s="4">
        <v>0</v>
      </c>
      <c r="H18" s="9">
        <f t="shared" si="1"/>
        <v>82</v>
      </c>
      <c r="I18" s="16">
        <f t="shared" si="2"/>
        <v>341</v>
      </c>
    </row>
    <row r="19" spans="1:9" x14ac:dyDescent="0.25">
      <c r="A19" s="13" t="s">
        <v>15</v>
      </c>
      <c r="B19" s="8">
        <v>169</v>
      </c>
      <c r="C19" s="4">
        <v>4</v>
      </c>
      <c r="D19" s="6">
        <f t="shared" si="0"/>
        <v>173</v>
      </c>
      <c r="E19" s="8">
        <v>33</v>
      </c>
      <c r="F19" s="4">
        <v>3</v>
      </c>
      <c r="G19" s="4">
        <v>0</v>
      </c>
      <c r="H19" s="9">
        <f t="shared" si="1"/>
        <v>36</v>
      </c>
      <c r="I19" s="16">
        <f t="shared" si="2"/>
        <v>209</v>
      </c>
    </row>
    <row r="20" spans="1:9" x14ac:dyDescent="0.25">
      <c r="A20" s="13" t="s">
        <v>16</v>
      </c>
      <c r="B20" s="8">
        <v>210</v>
      </c>
      <c r="C20" s="4">
        <v>4</v>
      </c>
      <c r="D20" s="6">
        <f t="shared" si="0"/>
        <v>214</v>
      </c>
      <c r="E20" s="8">
        <v>140</v>
      </c>
      <c r="F20" s="4">
        <v>13</v>
      </c>
      <c r="G20" s="4">
        <v>0</v>
      </c>
      <c r="H20" s="9">
        <f t="shared" si="1"/>
        <v>153</v>
      </c>
      <c r="I20" s="16">
        <f t="shared" si="2"/>
        <v>367</v>
      </c>
    </row>
    <row r="21" spans="1:9" x14ac:dyDescent="0.25">
      <c r="A21" s="13" t="s">
        <v>17</v>
      </c>
      <c r="B21" s="8">
        <v>0</v>
      </c>
      <c r="C21" s="4">
        <v>0</v>
      </c>
      <c r="D21" s="6">
        <f t="shared" si="0"/>
        <v>0</v>
      </c>
      <c r="E21" s="8">
        <v>88</v>
      </c>
      <c r="F21" s="4">
        <v>14</v>
      </c>
      <c r="G21" s="4">
        <v>9</v>
      </c>
      <c r="H21" s="9">
        <f t="shared" si="1"/>
        <v>111</v>
      </c>
      <c r="I21" s="16">
        <f t="shared" si="2"/>
        <v>111</v>
      </c>
    </row>
    <row r="22" spans="1:9" x14ac:dyDescent="0.25">
      <c r="A22" s="13" t="s">
        <v>18</v>
      </c>
      <c r="B22" s="8">
        <v>28</v>
      </c>
      <c r="C22" s="4">
        <v>2</v>
      </c>
      <c r="D22" s="6">
        <f t="shared" si="0"/>
        <v>30</v>
      </c>
      <c r="E22" s="8">
        <v>4</v>
      </c>
      <c r="F22" s="4">
        <v>7</v>
      </c>
      <c r="G22" s="4">
        <v>0</v>
      </c>
      <c r="H22" s="9">
        <f t="shared" si="1"/>
        <v>11</v>
      </c>
      <c r="I22" s="16">
        <f t="shared" si="2"/>
        <v>41</v>
      </c>
    </row>
    <row r="23" spans="1:9" x14ac:dyDescent="0.25">
      <c r="A23" s="13" t="s">
        <v>19</v>
      </c>
      <c r="B23" s="8">
        <v>475</v>
      </c>
      <c r="C23" s="4">
        <v>6</v>
      </c>
      <c r="D23" s="6">
        <f t="shared" si="0"/>
        <v>481</v>
      </c>
      <c r="E23" s="8">
        <v>110</v>
      </c>
      <c r="F23" s="4">
        <v>7</v>
      </c>
      <c r="G23" s="4">
        <v>0</v>
      </c>
      <c r="H23" s="9">
        <f t="shared" si="1"/>
        <v>117</v>
      </c>
      <c r="I23" s="16">
        <f t="shared" si="2"/>
        <v>598</v>
      </c>
    </row>
    <row r="24" spans="1:9" x14ac:dyDescent="0.25">
      <c r="A24" s="13" t="s">
        <v>20</v>
      </c>
      <c r="B24" s="8">
        <v>246</v>
      </c>
      <c r="C24" s="4">
        <v>2</v>
      </c>
      <c r="D24" s="6">
        <f t="shared" si="0"/>
        <v>248</v>
      </c>
      <c r="E24" s="8">
        <v>127</v>
      </c>
      <c r="F24" s="4">
        <v>209</v>
      </c>
      <c r="G24" s="4">
        <v>0</v>
      </c>
      <c r="H24" s="9">
        <f t="shared" si="1"/>
        <v>336</v>
      </c>
      <c r="I24" s="16">
        <f t="shared" si="2"/>
        <v>584</v>
      </c>
    </row>
    <row r="25" spans="1:9" x14ac:dyDescent="0.25">
      <c r="A25" s="13" t="s">
        <v>21</v>
      </c>
      <c r="B25" s="8">
        <v>270</v>
      </c>
      <c r="C25" s="4">
        <v>1</v>
      </c>
      <c r="D25" s="6">
        <f t="shared" si="0"/>
        <v>271</v>
      </c>
      <c r="E25" s="8">
        <v>46</v>
      </c>
      <c r="F25" s="4">
        <v>9</v>
      </c>
      <c r="G25" s="4">
        <v>0</v>
      </c>
      <c r="H25" s="9">
        <f t="shared" si="1"/>
        <v>55</v>
      </c>
      <c r="I25" s="16">
        <f t="shared" si="2"/>
        <v>326</v>
      </c>
    </row>
    <row r="26" spans="1:9" x14ac:dyDescent="0.25">
      <c r="A26" s="13" t="s">
        <v>22</v>
      </c>
      <c r="B26" s="8">
        <v>161</v>
      </c>
      <c r="C26" s="4">
        <v>6</v>
      </c>
      <c r="D26" s="6">
        <f t="shared" si="0"/>
        <v>167</v>
      </c>
      <c r="E26" s="8">
        <v>109</v>
      </c>
      <c r="F26" s="4">
        <v>0</v>
      </c>
      <c r="G26" s="4">
        <v>0</v>
      </c>
      <c r="H26" s="9">
        <f t="shared" si="1"/>
        <v>109</v>
      </c>
      <c r="I26" s="16">
        <f t="shared" si="2"/>
        <v>276</v>
      </c>
    </row>
    <row r="27" spans="1:9" x14ac:dyDescent="0.25">
      <c r="A27" s="13" t="s">
        <v>23</v>
      </c>
      <c r="B27" s="8">
        <v>244</v>
      </c>
      <c r="C27" s="4">
        <v>3</v>
      </c>
      <c r="D27" s="6">
        <f t="shared" si="0"/>
        <v>247</v>
      </c>
      <c r="E27" s="8">
        <v>9</v>
      </c>
      <c r="F27" s="4">
        <v>6</v>
      </c>
      <c r="G27" s="4">
        <v>0</v>
      </c>
      <c r="H27" s="9">
        <f t="shared" si="1"/>
        <v>15</v>
      </c>
      <c r="I27" s="16">
        <f t="shared" si="2"/>
        <v>262</v>
      </c>
    </row>
    <row r="28" spans="1:9" x14ac:dyDescent="0.25">
      <c r="A28" s="13" t="s">
        <v>97</v>
      </c>
      <c r="B28" s="8">
        <v>0</v>
      </c>
      <c r="C28" s="4">
        <v>0</v>
      </c>
      <c r="D28" s="6">
        <f t="shared" si="0"/>
        <v>0</v>
      </c>
      <c r="E28" s="8">
        <v>7</v>
      </c>
      <c r="F28" s="4">
        <v>0</v>
      </c>
      <c r="G28" s="4">
        <v>0</v>
      </c>
      <c r="H28" s="9">
        <f t="shared" si="1"/>
        <v>7</v>
      </c>
      <c r="I28" s="16">
        <f t="shared" si="2"/>
        <v>7</v>
      </c>
    </row>
    <row r="29" spans="1:9" x14ac:dyDescent="0.25">
      <c r="A29" s="13" t="s">
        <v>24</v>
      </c>
      <c r="B29" s="8">
        <v>290</v>
      </c>
      <c r="C29" s="4">
        <v>0</v>
      </c>
      <c r="D29" s="6">
        <f t="shared" si="0"/>
        <v>290</v>
      </c>
      <c r="E29" s="8">
        <v>84</v>
      </c>
      <c r="F29" s="4">
        <v>14</v>
      </c>
      <c r="G29" s="4">
        <v>0</v>
      </c>
      <c r="H29" s="9">
        <f t="shared" si="1"/>
        <v>98</v>
      </c>
      <c r="I29" s="16">
        <f t="shared" si="2"/>
        <v>388</v>
      </c>
    </row>
    <row r="30" spans="1:9" x14ac:dyDescent="0.25">
      <c r="A30" s="13" t="s">
        <v>25</v>
      </c>
      <c r="B30" s="8">
        <v>220</v>
      </c>
      <c r="C30" s="4">
        <v>3</v>
      </c>
      <c r="D30" s="6">
        <f t="shared" si="0"/>
        <v>223</v>
      </c>
      <c r="E30" s="8">
        <v>30</v>
      </c>
      <c r="F30" s="4">
        <v>5</v>
      </c>
      <c r="G30" s="4">
        <v>0</v>
      </c>
      <c r="H30" s="9">
        <f t="shared" si="1"/>
        <v>35</v>
      </c>
      <c r="I30" s="16">
        <f t="shared" si="2"/>
        <v>258</v>
      </c>
    </row>
    <row r="31" spans="1:9" x14ac:dyDescent="0.25">
      <c r="A31" s="13" t="s">
        <v>89</v>
      </c>
      <c r="B31" s="8">
        <v>4</v>
      </c>
      <c r="C31" s="4">
        <v>0</v>
      </c>
      <c r="D31" s="6">
        <f t="shared" si="0"/>
        <v>4</v>
      </c>
      <c r="E31" s="8">
        <v>41</v>
      </c>
      <c r="F31" s="4">
        <v>14</v>
      </c>
      <c r="G31" s="4">
        <v>0</v>
      </c>
      <c r="H31" s="9">
        <f t="shared" si="1"/>
        <v>55</v>
      </c>
      <c r="I31" s="16">
        <f t="shared" si="2"/>
        <v>59</v>
      </c>
    </row>
    <row r="32" spans="1:9" x14ac:dyDescent="0.25">
      <c r="A32" s="13" t="s">
        <v>26</v>
      </c>
      <c r="B32" s="8">
        <v>87</v>
      </c>
      <c r="C32" s="4">
        <v>1</v>
      </c>
      <c r="D32" s="6">
        <f t="shared" si="0"/>
        <v>88</v>
      </c>
      <c r="E32" s="8">
        <v>18</v>
      </c>
      <c r="F32" s="4">
        <v>8</v>
      </c>
      <c r="G32" s="4">
        <v>0</v>
      </c>
      <c r="H32" s="9">
        <f t="shared" si="1"/>
        <v>26</v>
      </c>
      <c r="I32" s="16">
        <f t="shared" si="2"/>
        <v>114</v>
      </c>
    </row>
    <row r="33" spans="1:9" x14ac:dyDescent="0.25">
      <c r="A33" s="13" t="s">
        <v>81</v>
      </c>
      <c r="B33" s="8">
        <v>100</v>
      </c>
      <c r="C33" s="4">
        <v>11</v>
      </c>
      <c r="D33" s="6">
        <f t="shared" si="0"/>
        <v>111</v>
      </c>
      <c r="E33" s="8">
        <v>23</v>
      </c>
      <c r="F33" s="4">
        <v>13</v>
      </c>
      <c r="G33" s="4">
        <v>0</v>
      </c>
      <c r="H33" s="9">
        <f t="shared" si="1"/>
        <v>36</v>
      </c>
      <c r="I33" s="16">
        <f t="shared" si="2"/>
        <v>147</v>
      </c>
    </row>
    <row r="34" spans="1:9" x14ac:dyDescent="0.25">
      <c r="A34" s="13" t="s">
        <v>82</v>
      </c>
      <c r="B34" s="8">
        <v>30</v>
      </c>
      <c r="C34" s="4">
        <v>7</v>
      </c>
      <c r="D34" s="6">
        <f t="shared" si="0"/>
        <v>37</v>
      </c>
      <c r="E34" s="8">
        <v>12</v>
      </c>
      <c r="F34" s="4">
        <v>24</v>
      </c>
      <c r="G34" s="4">
        <v>1</v>
      </c>
      <c r="H34" s="9">
        <f t="shared" si="1"/>
        <v>37</v>
      </c>
      <c r="I34" s="16">
        <f t="shared" si="2"/>
        <v>74</v>
      </c>
    </row>
    <row r="35" spans="1:9" x14ac:dyDescent="0.25">
      <c r="A35" s="13" t="s">
        <v>29</v>
      </c>
      <c r="B35" s="8">
        <v>0</v>
      </c>
      <c r="C35" s="4">
        <v>0</v>
      </c>
      <c r="D35" s="6">
        <f t="shared" si="0"/>
        <v>0</v>
      </c>
      <c r="E35" s="8">
        <v>0</v>
      </c>
      <c r="F35" s="4">
        <v>6</v>
      </c>
      <c r="G35" s="4">
        <v>0</v>
      </c>
      <c r="H35" s="9">
        <f t="shared" si="1"/>
        <v>6</v>
      </c>
      <c r="I35" s="16">
        <f t="shared" si="2"/>
        <v>6</v>
      </c>
    </row>
    <row r="36" spans="1:9" x14ac:dyDescent="0.25">
      <c r="A36" s="13" t="s">
        <v>30</v>
      </c>
      <c r="B36" s="8">
        <v>350</v>
      </c>
      <c r="C36" s="4">
        <v>7</v>
      </c>
      <c r="D36" s="6">
        <f t="shared" si="0"/>
        <v>357</v>
      </c>
      <c r="E36" s="8">
        <v>63</v>
      </c>
      <c r="F36" s="4">
        <v>34</v>
      </c>
      <c r="G36" s="4">
        <v>2</v>
      </c>
      <c r="H36" s="9">
        <f t="shared" si="1"/>
        <v>99</v>
      </c>
      <c r="I36" s="16">
        <f t="shared" si="2"/>
        <v>456</v>
      </c>
    </row>
    <row r="37" spans="1:9" x14ac:dyDescent="0.25">
      <c r="A37" s="13" t="s">
        <v>83</v>
      </c>
      <c r="B37" s="8">
        <v>158</v>
      </c>
      <c r="C37" s="4">
        <v>0</v>
      </c>
      <c r="D37" s="6">
        <f t="shared" si="0"/>
        <v>158</v>
      </c>
      <c r="E37" s="8">
        <v>26</v>
      </c>
      <c r="F37" s="4">
        <v>11</v>
      </c>
      <c r="G37" s="4">
        <v>0</v>
      </c>
      <c r="H37" s="9">
        <f t="shared" si="1"/>
        <v>37</v>
      </c>
      <c r="I37" s="16">
        <f t="shared" si="2"/>
        <v>195</v>
      </c>
    </row>
    <row r="38" spans="1:9" x14ac:dyDescent="0.25">
      <c r="A38" s="13" t="s">
        <v>32</v>
      </c>
      <c r="B38" s="8">
        <v>207</v>
      </c>
      <c r="C38" s="4">
        <v>2</v>
      </c>
      <c r="D38" s="6">
        <f t="shared" si="0"/>
        <v>209</v>
      </c>
      <c r="E38" s="8">
        <v>64</v>
      </c>
      <c r="F38" s="4">
        <v>18</v>
      </c>
      <c r="G38" s="4">
        <v>1</v>
      </c>
      <c r="H38" s="9">
        <f t="shared" si="1"/>
        <v>83</v>
      </c>
      <c r="I38" s="16">
        <f t="shared" si="2"/>
        <v>292</v>
      </c>
    </row>
    <row r="39" spans="1:9" x14ac:dyDescent="0.25">
      <c r="A39" s="13" t="s">
        <v>33</v>
      </c>
      <c r="B39" s="8">
        <v>273</v>
      </c>
      <c r="C39" s="4">
        <v>6</v>
      </c>
      <c r="D39" s="6">
        <f t="shared" si="0"/>
        <v>279</v>
      </c>
      <c r="E39" s="8">
        <v>16</v>
      </c>
      <c r="F39" s="4">
        <v>13</v>
      </c>
      <c r="G39" s="4">
        <v>0</v>
      </c>
      <c r="H39" s="9">
        <f t="shared" si="1"/>
        <v>29</v>
      </c>
      <c r="I39" s="16">
        <f t="shared" si="2"/>
        <v>308</v>
      </c>
    </row>
    <row r="40" spans="1:9" x14ac:dyDescent="0.25">
      <c r="A40" s="13" t="s">
        <v>1</v>
      </c>
      <c r="B40" s="8">
        <v>506</v>
      </c>
      <c r="C40" s="4">
        <v>0</v>
      </c>
      <c r="D40" s="6">
        <f t="shared" si="0"/>
        <v>506</v>
      </c>
      <c r="E40" s="8">
        <v>335</v>
      </c>
      <c r="F40" s="4">
        <v>33</v>
      </c>
      <c r="G40" s="4">
        <v>0</v>
      </c>
      <c r="H40" s="9">
        <f t="shared" si="1"/>
        <v>368</v>
      </c>
      <c r="I40" s="16">
        <f t="shared" si="2"/>
        <v>874</v>
      </c>
    </row>
    <row r="41" spans="1:9" x14ac:dyDescent="0.25">
      <c r="A41" s="13" t="s">
        <v>34</v>
      </c>
      <c r="B41" s="8">
        <v>113</v>
      </c>
      <c r="C41" s="4">
        <v>0</v>
      </c>
      <c r="D41" s="6">
        <f t="shared" si="0"/>
        <v>113</v>
      </c>
      <c r="E41" s="8">
        <v>82</v>
      </c>
      <c r="F41" s="4">
        <v>70</v>
      </c>
      <c r="G41" s="4">
        <v>0</v>
      </c>
      <c r="H41" s="9">
        <f t="shared" si="1"/>
        <v>152</v>
      </c>
      <c r="I41" s="16">
        <f t="shared" si="2"/>
        <v>265</v>
      </c>
    </row>
    <row r="42" spans="1:9" x14ac:dyDescent="0.25">
      <c r="A42" s="13" t="s">
        <v>35</v>
      </c>
      <c r="B42" s="8">
        <v>370</v>
      </c>
      <c r="C42" s="4">
        <v>13</v>
      </c>
      <c r="D42" s="6">
        <f t="shared" si="0"/>
        <v>383</v>
      </c>
      <c r="E42" s="8">
        <v>12</v>
      </c>
      <c r="F42" s="4">
        <v>0</v>
      </c>
      <c r="G42" s="4">
        <v>0</v>
      </c>
      <c r="H42" s="9">
        <f t="shared" si="1"/>
        <v>12</v>
      </c>
      <c r="I42" s="16">
        <f t="shared" si="2"/>
        <v>395</v>
      </c>
    </row>
    <row r="43" spans="1:9" x14ac:dyDescent="0.25">
      <c r="A43" s="13" t="s">
        <v>36</v>
      </c>
      <c r="B43" s="8">
        <v>222</v>
      </c>
      <c r="C43" s="4">
        <v>12</v>
      </c>
      <c r="D43" s="6">
        <f t="shared" si="0"/>
        <v>234</v>
      </c>
      <c r="E43" s="8">
        <v>68</v>
      </c>
      <c r="F43" s="4">
        <v>47</v>
      </c>
      <c r="G43" s="4">
        <v>0</v>
      </c>
      <c r="H43" s="9">
        <f t="shared" si="1"/>
        <v>115</v>
      </c>
      <c r="I43" s="16">
        <f t="shared" si="2"/>
        <v>349</v>
      </c>
    </row>
    <row r="44" spans="1:9" x14ac:dyDescent="0.25">
      <c r="A44" s="13" t="s">
        <v>37</v>
      </c>
      <c r="B44" s="8">
        <v>13</v>
      </c>
      <c r="C44" s="4">
        <v>0</v>
      </c>
      <c r="D44" s="6">
        <f t="shared" si="0"/>
        <v>13</v>
      </c>
      <c r="E44" s="8">
        <v>22</v>
      </c>
      <c r="F44" s="4">
        <v>26</v>
      </c>
      <c r="G44" s="4">
        <v>0</v>
      </c>
      <c r="H44" s="9">
        <f t="shared" si="1"/>
        <v>48</v>
      </c>
      <c r="I44" s="16">
        <f t="shared" si="2"/>
        <v>61</v>
      </c>
    </row>
    <row r="45" spans="1:9" x14ac:dyDescent="0.25">
      <c r="A45" s="13" t="s">
        <v>38</v>
      </c>
      <c r="B45" s="8">
        <v>157</v>
      </c>
      <c r="C45" s="4">
        <v>0</v>
      </c>
      <c r="D45" s="6">
        <f t="shared" si="0"/>
        <v>157</v>
      </c>
      <c r="E45" s="8">
        <v>0</v>
      </c>
      <c r="F45" s="4">
        <v>0</v>
      </c>
      <c r="G45" s="4">
        <v>0</v>
      </c>
      <c r="H45" s="9">
        <f t="shared" si="1"/>
        <v>0</v>
      </c>
      <c r="I45" s="16">
        <f t="shared" si="2"/>
        <v>157</v>
      </c>
    </row>
    <row r="46" spans="1:9" x14ac:dyDescent="0.25">
      <c r="A46" s="13" t="s">
        <v>39</v>
      </c>
      <c r="B46" s="8">
        <v>129</v>
      </c>
      <c r="C46" s="4">
        <v>0</v>
      </c>
      <c r="D46" s="6">
        <f t="shared" si="0"/>
        <v>129</v>
      </c>
      <c r="E46" s="8">
        <v>26</v>
      </c>
      <c r="F46" s="4">
        <v>4</v>
      </c>
      <c r="G46" s="4">
        <v>0</v>
      </c>
      <c r="H46" s="9">
        <f t="shared" si="1"/>
        <v>30</v>
      </c>
      <c r="I46" s="16">
        <f t="shared" si="2"/>
        <v>159</v>
      </c>
    </row>
    <row r="47" spans="1:9" x14ac:dyDescent="0.25">
      <c r="A47" s="13" t="s">
        <v>40</v>
      </c>
      <c r="B47" s="8">
        <v>177</v>
      </c>
      <c r="C47" s="4">
        <v>1</v>
      </c>
      <c r="D47" s="6">
        <f t="shared" si="0"/>
        <v>178</v>
      </c>
      <c r="E47" s="8">
        <v>49</v>
      </c>
      <c r="F47" s="4">
        <v>6</v>
      </c>
      <c r="G47" s="4">
        <v>0</v>
      </c>
      <c r="H47" s="9">
        <f t="shared" si="1"/>
        <v>55</v>
      </c>
      <c r="I47" s="16">
        <f t="shared" si="2"/>
        <v>233</v>
      </c>
    </row>
    <row r="48" spans="1:9" x14ac:dyDescent="0.25">
      <c r="A48" s="13" t="s">
        <v>41</v>
      </c>
      <c r="B48" s="8">
        <v>89</v>
      </c>
      <c r="C48" s="4">
        <v>1</v>
      </c>
      <c r="D48" s="6">
        <f t="shared" si="0"/>
        <v>90</v>
      </c>
      <c r="E48" s="8">
        <v>48</v>
      </c>
      <c r="F48" s="4">
        <v>10</v>
      </c>
      <c r="G48" s="4">
        <v>1</v>
      </c>
      <c r="H48" s="9">
        <f t="shared" si="1"/>
        <v>59</v>
      </c>
      <c r="I48" s="16">
        <f t="shared" si="2"/>
        <v>149</v>
      </c>
    </row>
    <row r="49" spans="1:9" x14ac:dyDescent="0.25">
      <c r="A49" s="13" t="s">
        <v>43</v>
      </c>
      <c r="B49" s="8">
        <v>347</v>
      </c>
      <c r="C49" s="4">
        <v>52</v>
      </c>
      <c r="D49" s="6">
        <f t="shared" si="0"/>
        <v>399</v>
      </c>
      <c r="E49" s="8">
        <v>61</v>
      </c>
      <c r="F49" s="4">
        <v>1</v>
      </c>
      <c r="G49" s="4">
        <v>0</v>
      </c>
      <c r="H49" s="9">
        <f t="shared" si="1"/>
        <v>62</v>
      </c>
      <c r="I49" s="16">
        <f t="shared" si="2"/>
        <v>461</v>
      </c>
    </row>
    <row r="50" spans="1:9" x14ac:dyDescent="0.25">
      <c r="A50" s="13" t="s">
        <v>44</v>
      </c>
      <c r="B50" s="8">
        <v>127</v>
      </c>
      <c r="C50" s="4">
        <v>3</v>
      </c>
      <c r="D50" s="6">
        <f t="shared" si="0"/>
        <v>130</v>
      </c>
      <c r="E50" s="8">
        <v>46</v>
      </c>
      <c r="F50" s="4">
        <v>35</v>
      </c>
      <c r="G50" s="4">
        <v>0</v>
      </c>
      <c r="H50" s="9">
        <f t="shared" si="1"/>
        <v>81</v>
      </c>
      <c r="I50" s="16">
        <f t="shared" si="2"/>
        <v>211</v>
      </c>
    </row>
    <row r="51" spans="1:9" x14ac:dyDescent="0.25">
      <c r="A51" s="13" t="s">
        <v>45</v>
      </c>
      <c r="B51" s="8">
        <v>354</v>
      </c>
      <c r="C51" s="4">
        <v>1</v>
      </c>
      <c r="D51" s="6">
        <f t="shared" si="0"/>
        <v>355</v>
      </c>
      <c r="E51" s="8">
        <v>240</v>
      </c>
      <c r="F51" s="4">
        <v>107</v>
      </c>
      <c r="G51" s="4">
        <v>0</v>
      </c>
      <c r="H51" s="9">
        <f t="shared" si="1"/>
        <v>347</v>
      </c>
      <c r="I51" s="16">
        <f t="shared" si="2"/>
        <v>702</v>
      </c>
    </row>
    <row r="52" spans="1:9" x14ac:dyDescent="0.25">
      <c r="A52" s="13" t="s">
        <v>98</v>
      </c>
      <c r="B52" s="8">
        <v>0</v>
      </c>
      <c r="C52" s="4">
        <v>0</v>
      </c>
      <c r="D52" s="6">
        <f t="shared" si="0"/>
        <v>0</v>
      </c>
      <c r="E52" s="8">
        <v>46</v>
      </c>
      <c r="F52" s="4">
        <v>13</v>
      </c>
      <c r="G52" s="4">
        <v>0</v>
      </c>
      <c r="H52" s="9">
        <f t="shared" si="1"/>
        <v>59</v>
      </c>
      <c r="I52" s="16">
        <f t="shared" si="2"/>
        <v>59</v>
      </c>
    </row>
    <row r="53" spans="1:9" x14ac:dyDescent="0.25">
      <c r="A53" s="13" t="s">
        <v>117</v>
      </c>
      <c r="B53" s="8">
        <v>533</v>
      </c>
      <c r="C53" s="4">
        <v>3</v>
      </c>
      <c r="D53" s="6">
        <f t="shared" si="0"/>
        <v>536</v>
      </c>
      <c r="E53" s="8">
        <v>105</v>
      </c>
      <c r="F53" s="4">
        <v>45</v>
      </c>
      <c r="G53" s="4">
        <v>5</v>
      </c>
      <c r="H53" s="9">
        <f t="shared" si="1"/>
        <v>155</v>
      </c>
      <c r="I53" s="16">
        <f t="shared" si="2"/>
        <v>691</v>
      </c>
    </row>
    <row r="54" spans="1:9" x14ac:dyDescent="0.25">
      <c r="A54" s="13" t="s">
        <v>46</v>
      </c>
      <c r="B54" s="8">
        <v>58</v>
      </c>
      <c r="C54" s="4">
        <v>2</v>
      </c>
      <c r="D54" s="6">
        <f t="shared" si="0"/>
        <v>60</v>
      </c>
      <c r="E54" s="8">
        <v>5</v>
      </c>
      <c r="F54" s="4">
        <v>3</v>
      </c>
      <c r="G54" s="4">
        <v>0</v>
      </c>
      <c r="H54" s="9">
        <f t="shared" si="1"/>
        <v>8</v>
      </c>
      <c r="I54" s="16">
        <f t="shared" si="2"/>
        <v>68</v>
      </c>
    </row>
    <row r="55" spans="1:9" x14ac:dyDescent="0.25">
      <c r="A55" s="13" t="s">
        <v>47</v>
      </c>
      <c r="B55" s="8">
        <v>73</v>
      </c>
      <c r="C55" s="4">
        <v>3</v>
      </c>
      <c r="D55" s="6">
        <f t="shared" si="0"/>
        <v>76</v>
      </c>
      <c r="E55" s="8">
        <v>7</v>
      </c>
      <c r="F55" s="4">
        <v>2</v>
      </c>
      <c r="G55" s="4">
        <v>0</v>
      </c>
      <c r="H55" s="9">
        <f t="shared" si="1"/>
        <v>9</v>
      </c>
      <c r="I55" s="16">
        <f t="shared" si="2"/>
        <v>85</v>
      </c>
    </row>
    <row r="56" spans="1:9" x14ac:dyDescent="0.25">
      <c r="A56" s="13" t="s">
        <v>48</v>
      </c>
      <c r="B56" s="8">
        <v>0</v>
      </c>
      <c r="C56" s="4">
        <v>0</v>
      </c>
      <c r="D56" s="6">
        <f t="shared" si="0"/>
        <v>0</v>
      </c>
      <c r="E56" s="8">
        <v>30</v>
      </c>
      <c r="F56" s="4">
        <v>4</v>
      </c>
      <c r="G56" s="4">
        <v>0</v>
      </c>
      <c r="H56" s="9">
        <f t="shared" si="1"/>
        <v>34</v>
      </c>
      <c r="I56" s="16">
        <f t="shared" si="2"/>
        <v>34</v>
      </c>
    </row>
    <row r="57" spans="1:9" x14ac:dyDescent="0.25">
      <c r="A57" s="13" t="s">
        <v>49</v>
      </c>
      <c r="B57" s="8">
        <v>65</v>
      </c>
      <c r="C57" s="4">
        <v>1</v>
      </c>
      <c r="D57" s="6">
        <f t="shared" si="0"/>
        <v>66</v>
      </c>
      <c r="E57" s="8">
        <v>8</v>
      </c>
      <c r="F57" s="4">
        <v>5</v>
      </c>
      <c r="G57" s="4">
        <v>0</v>
      </c>
      <c r="H57" s="9">
        <f t="shared" si="1"/>
        <v>13</v>
      </c>
      <c r="I57" s="16">
        <f t="shared" si="2"/>
        <v>79</v>
      </c>
    </row>
    <row r="58" spans="1:9" x14ac:dyDescent="0.25">
      <c r="A58" s="13" t="s">
        <v>50</v>
      </c>
      <c r="B58" s="8">
        <v>172</v>
      </c>
      <c r="C58" s="4">
        <v>11</v>
      </c>
      <c r="D58" s="6">
        <f t="shared" si="0"/>
        <v>183</v>
      </c>
      <c r="E58" s="8">
        <v>16</v>
      </c>
      <c r="F58" s="4">
        <v>3</v>
      </c>
      <c r="G58" s="4">
        <v>0</v>
      </c>
      <c r="H58" s="9">
        <f t="shared" si="1"/>
        <v>19</v>
      </c>
      <c r="I58" s="16">
        <f t="shared" si="2"/>
        <v>202</v>
      </c>
    </row>
    <row r="59" spans="1:9" x14ac:dyDescent="0.25">
      <c r="A59" s="13" t="s">
        <v>52</v>
      </c>
      <c r="B59" s="8">
        <v>22</v>
      </c>
      <c r="C59" s="4">
        <v>0</v>
      </c>
      <c r="D59" s="6">
        <f t="shared" si="0"/>
        <v>22</v>
      </c>
      <c r="E59" s="8">
        <v>12</v>
      </c>
      <c r="F59" s="4">
        <v>2</v>
      </c>
      <c r="G59" s="4">
        <v>0</v>
      </c>
      <c r="H59" s="9">
        <f t="shared" si="1"/>
        <v>14</v>
      </c>
      <c r="I59" s="16">
        <f t="shared" si="2"/>
        <v>36</v>
      </c>
    </row>
    <row r="60" spans="1:9" x14ac:dyDescent="0.25">
      <c r="A60" s="13" t="s">
        <v>53</v>
      </c>
      <c r="B60" s="8">
        <v>657</v>
      </c>
      <c r="C60" s="4">
        <v>7</v>
      </c>
      <c r="D60" s="6">
        <f t="shared" si="0"/>
        <v>664</v>
      </c>
      <c r="E60" s="8">
        <v>0</v>
      </c>
      <c r="F60" s="4">
        <v>0</v>
      </c>
      <c r="G60" s="4">
        <v>0</v>
      </c>
      <c r="H60" s="9">
        <f t="shared" si="1"/>
        <v>0</v>
      </c>
      <c r="I60" s="16">
        <f t="shared" si="2"/>
        <v>664</v>
      </c>
    </row>
    <row r="61" spans="1:9" x14ac:dyDescent="0.25">
      <c r="A61" s="13" t="s">
        <v>54</v>
      </c>
      <c r="B61" s="8">
        <v>1077</v>
      </c>
      <c r="C61" s="4">
        <v>9</v>
      </c>
      <c r="D61" s="6">
        <f t="shared" si="0"/>
        <v>1086</v>
      </c>
      <c r="E61" s="8">
        <v>0</v>
      </c>
      <c r="F61" s="4">
        <v>6</v>
      </c>
      <c r="G61" s="4">
        <v>0</v>
      </c>
      <c r="H61" s="9">
        <f t="shared" si="1"/>
        <v>6</v>
      </c>
      <c r="I61" s="16">
        <f t="shared" si="2"/>
        <v>1092</v>
      </c>
    </row>
    <row r="62" spans="1:9" x14ac:dyDescent="0.25">
      <c r="A62" s="13" t="s">
        <v>118</v>
      </c>
      <c r="B62" s="8">
        <v>0</v>
      </c>
      <c r="C62" s="4">
        <v>0</v>
      </c>
      <c r="D62" s="6">
        <f t="shared" si="0"/>
        <v>0</v>
      </c>
      <c r="E62" s="8">
        <v>14</v>
      </c>
      <c r="F62" s="4">
        <v>4</v>
      </c>
      <c r="G62" s="4">
        <v>0</v>
      </c>
      <c r="H62" s="9">
        <f t="shared" si="1"/>
        <v>18</v>
      </c>
      <c r="I62" s="16">
        <f t="shared" si="2"/>
        <v>18</v>
      </c>
    </row>
    <row r="63" spans="1:9" x14ac:dyDescent="0.25">
      <c r="A63" s="13" t="s">
        <v>87</v>
      </c>
      <c r="B63" s="8">
        <v>0</v>
      </c>
      <c r="C63" s="4">
        <v>0</v>
      </c>
      <c r="D63" s="6">
        <f t="shared" si="0"/>
        <v>0</v>
      </c>
      <c r="E63" s="8">
        <v>88</v>
      </c>
      <c r="F63" s="4">
        <v>115</v>
      </c>
      <c r="G63" s="4">
        <v>6</v>
      </c>
      <c r="H63" s="9">
        <f t="shared" si="1"/>
        <v>209</v>
      </c>
      <c r="I63" s="16">
        <f t="shared" si="2"/>
        <v>209</v>
      </c>
    </row>
    <row r="64" spans="1:9" x14ac:dyDescent="0.25">
      <c r="A64" s="13" t="s">
        <v>91</v>
      </c>
      <c r="B64" s="8">
        <v>17</v>
      </c>
      <c r="C64" s="4">
        <v>0</v>
      </c>
      <c r="D64" s="6">
        <f t="shared" si="0"/>
        <v>17</v>
      </c>
      <c r="E64" s="8">
        <v>0</v>
      </c>
      <c r="F64" s="4">
        <v>76</v>
      </c>
      <c r="G64" s="4">
        <v>0</v>
      </c>
      <c r="H64" s="9">
        <f t="shared" si="1"/>
        <v>76</v>
      </c>
      <c r="I64" s="16">
        <f t="shared" si="2"/>
        <v>93</v>
      </c>
    </row>
    <row r="65" spans="1:9" x14ac:dyDescent="0.25">
      <c r="A65" s="13" t="s">
        <v>108</v>
      </c>
      <c r="B65" s="8">
        <v>0</v>
      </c>
      <c r="C65" s="4">
        <v>0</v>
      </c>
      <c r="D65" s="6">
        <f t="shared" si="0"/>
        <v>0</v>
      </c>
      <c r="E65" s="8">
        <v>0</v>
      </c>
      <c r="F65" s="4">
        <v>9</v>
      </c>
      <c r="G65" s="4">
        <v>0</v>
      </c>
      <c r="H65" s="9">
        <f t="shared" si="1"/>
        <v>9</v>
      </c>
      <c r="I65" s="16">
        <f t="shared" si="2"/>
        <v>9</v>
      </c>
    </row>
    <row r="66" spans="1:9" x14ac:dyDescent="0.25">
      <c r="A66" s="13" t="s">
        <v>102</v>
      </c>
      <c r="B66" s="8">
        <v>0</v>
      </c>
      <c r="C66" s="4">
        <v>0</v>
      </c>
      <c r="D66" s="6">
        <f t="shared" si="0"/>
        <v>0</v>
      </c>
      <c r="E66" s="8">
        <v>145</v>
      </c>
      <c r="F66" s="4">
        <v>223</v>
      </c>
      <c r="G66" s="4">
        <v>0</v>
      </c>
      <c r="H66" s="9">
        <f t="shared" si="1"/>
        <v>368</v>
      </c>
      <c r="I66" s="16">
        <f t="shared" si="2"/>
        <v>368</v>
      </c>
    </row>
    <row r="67" spans="1:9" x14ac:dyDescent="0.25">
      <c r="A67" s="13" t="s">
        <v>56</v>
      </c>
      <c r="B67" s="8">
        <v>0</v>
      </c>
      <c r="C67" s="4">
        <v>0</v>
      </c>
      <c r="D67" s="6">
        <f t="shared" si="0"/>
        <v>0</v>
      </c>
      <c r="E67" s="8">
        <v>17</v>
      </c>
      <c r="F67" s="4">
        <v>8</v>
      </c>
      <c r="G67" s="4">
        <v>0</v>
      </c>
      <c r="H67" s="9">
        <f t="shared" si="1"/>
        <v>25</v>
      </c>
      <c r="I67" s="16">
        <f t="shared" si="2"/>
        <v>25</v>
      </c>
    </row>
    <row r="68" spans="1:9" x14ac:dyDescent="0.25">
      <c r="A68" s="13" t="s">
        <v>57</v>
      </c>
      <c r="B68" s="8">
        <v>0</v>
      </c>
      <c r="C68" s="4">
        <v>0</v>
      </c>
      <c r="D68" s="6">
        <f t="shared" si="0"/>
        <v>0</v>
      </c>
      <c r="E68" s="8">
        <v>8</v>
      </c>
      <c r="F68" s="4">
        <v>17</v>
      </c>
      <c r="G68" s="4">
        <v>0</v>
      </c>
      <c r="H68" s="9">
        <f t="shared" si="1"/>
        <v>25</v>
      </c>
      <c r="I68" s="16">
        <f t="shared" si="2"/>
        <v>25</v>
      </c>
    </row>
    <row r="69" spans="1:9" x14ac:dyDescent="0.25">
      <c r="A69" s="13" t="s">
        <v>58</v>
      </c>
      <c r="B69" s="8">
        <v>0</v>
      </c>
      <c r="C69" s="4">
        <v>0</v>
      </c>
      <c r="D69" s="6">
        <f t="shared" si="0"/>
        <v>0</v>
      </c>
      <c r="E69" s="8">
        <v>6</v>
      </c>
      <c r="F69" s="4">
        <v>2</v>
      </c>
      <c r="G69" s="4">
        <v>0</v>
      </c>
      <c r="H69" s="9">
        <f t="shared" si="1"/>
        <v>8</v>
      </c>
      <c r="I69" s="16">
        <f t="shared" si="2"/>
        <v>8</v>
      </c>
    </row>
    <row r="70" spans="1:9" x14ac:dyDescent="0.25">
      <c r="A70" s="13" t="s">
        <v>109</v>
      </c>
      <c r="B70" s="8">
        <v>32</v>
      </c>
      <c r="C70" s="4">
        <v>0</v>
      </c>
      <c r="D70" s="6">
        <f t="shared" si="0"/>
        <v>32</v>
      </c>
      <c r="E70" s="8">
        <v>69</v>
      </c>
      <c r="F70" s="4">
        <v>17</v>
      </c>
      <c r="G70" s="4">
        <v>0</v>
      </c>
      <c r="H70" s="9">
        <f t="shared" si="1"/>
        <v>86</v>
      </c>
      <c r="I70" s="16">
        <f t="shared" si="2"/>
        <v>118</v>
      </c>
    </row>
    <row r="71" spans="1:9" x14ac:dyDescent="0.25">
      <c r="A71" s="13" t="s">
        <v>119</v>
      </c>
      <c r="B71" s="8">
        <v>0</v>
      </c>
      <c r="C71" s="4">
        <v>0</v>
      </c>
      <c r="D71" s="6">
        <f t="shared" si="0"/>
        <v>0</v>
      </c>
      <c r="E71" s="8">
        <v>16</v>
      </c>
      <c r="F71" s="4">
        <v>40</v>
      </c>
      <c r="G71" s="4">
        <v>0</v>
      </c>
      <c r="H71" s="9">
        <f t="shared" si="1"/>
        <v>56</v>
      </c>
      <c r="I71" s="16">
        <f t="shared" si="2"/>
        <v>56</v>
      </c>
    </row>
    <row r="72" spans="1:9" x14ac:dyDescent="0.25">
      <c r="A72" s="13" t="s">
        <v>110</v>
      </c>
      <c r="B72" s="8">
        <v>0</v>
      </c>
      <c r="C72" s="4">
        <v>0</v>
      </c>
      <c r="D72" s="6">
        <f t="shared" si="0"/>
        <v>0</v>
      </c>
      <c r="E72" s="8">
        <v>19</v>
      </c>
      <c r="F72" s="4">
        <v>11</v>
      </c>
      <c r="G72" s="4">
        <v>0</v>
      </c>
      <c r="H72" s="9">
        <f t="shared" si="1"/>
        <v>30</v>
      </c>
      <c r="I72" s="16">
        <f t="shared" si="2"/>
        <v>30</v>
      </c>
    </row>
    <row r="73" spans="1:9" x14ac:dyDescent="0.25">
      <c r="A73" s="13" t="s">
        <v>61</v>
      </c>
      <c r="B73" s="8">
        <v>6</v>
      </c>
      <c r="C73" s="4">
        <v>0</v>
      </c>
      <c r="D73" s="6">
        <f t="shared" ref="D73:D88" si="3">B73+C73</f>
        <v>6</v>
      </c>
      <c r="E73" s="8">
        <v>42</v>
      </c>
      <c r="F73" s="4">
        <v>46</v>
      </c>
      <c r="G73" s="4">
        <v>0</v>
      </c>
      <c r="H73" s="9">
        <f t="shared" ref="H73:H85" si="4">E73+F73+G73</f>
        <v>88</v>
      </c>
      <c r="I73" s="16">
        <f t="shared" ref="I73:I88" si="5">H73+D73</f>
        <v>94</v>
      </c>
    </row>
    <row r="74" spans="1:9" x14ac:dyDescent="0.25">
      <c r="A74" s="13" t="s">
        <v>111</v>
      </c>
      <c r="B74" s="8">
        <v>0</v>
      </c>
      <c r="C74" s="4">
        <v>0</v>
      </c>
      <c r="D74" s="6">
        <f t="shared" si="3"/>
        <v>0</v>
      </c>
      <c r="E74" s="8">
        <v>1</v>
      </c>
      <c r="F74" s="4">
        <v>2</v>
      </c>
      <c r="G74" s="4">
        <v>0</v>
      </c>
      <c r="H74" s="9">
        <f t="shared" si="4"/>
        <v>3</v>
      </c>
      <c r="I74" s="16">
        <f t="shared" si="5"/>
        <v>3</v>
      </c>
    </row>
    <row r="75" spans="1:9" x14ac:dyDescent="0.25">
      <c r="A75" s="13" t="s">
        <v>94</v>
      </c>
      <c r="B75" s="8">
        <v>0</v>
      </c>
      <c r="C75" s="4">
        <v>0</v>
      </c>
      <c r="D75" s="6">
        <f t="shared" si="3"/>
        <v>0</v>
      </c>
      <c r="E75" s="8">
        <v>55</v>
      </c>
      <c r="F75" s="4">
        <v>50</v>
      </c>
      <c r="G75" s="4">
        <v>1</v>
      </c>
      <c r="H75" s="9">
        <f t="shared" si="4"/>
        <v>106</v>
      </c>
      <c r="I75" s="16">
        <f t="shared" si="5"/>
        <v>106</v>
      </c>
    </row>
    <row r="76" spans="1:9" x14ac:dyDescent="0.25">
      <c r="A76" s="13" t="s">
        <v>64</v>
      </c>
      <c r="B76" s="8">
        <v>0</v>
      </c>
      <c r="C76" s="4">
        <v>0</v>
      </c>
      <c r="D76" s="6">
        <f t="shared" si="3"/>
        <v>0</v>
      </c>
      <c r="E76" s="8">
        <v>1</v>
      </c>
      <c r="F76" s="4">
        <v>0</v>
      </c>
      <c r="G76" s="4">
        <v>0</v>
      </c>
      <c r="H76" s="9">
        <f t="shared" si="4"/>
        <v>1</v>
      </c>
      <c r="I76" s="16">
        <f t="shared" si="5"/>
        <v>1</v>
      </c>
    </row>
    <row r="77" spans="1:9" x14ac:dyDescent="0.25">
      <c r="A77" s="13" t="s">
        <v>65</v>
      </c>
      <c r="B77" s="8">
        <v>0</v>
      </c>
      <c r="C77" s="4">
        <v>0</v>
      </c>
      <c r="D77" s="6">
        <f t="shared" si="3"/>
        <v>0</v>
      </c>
      <c r="E77" s="8">
        <v>14</v>
      </c>
      <c r="F77" s="4">
        <v>13</v>
      </c>
      <c r="G77" s="4">
        <v>0</v>
      </c>
      <c r="H77" s="9">
        <f t="shared" si="4"/>
        <v>27</v>
      </c>
      <c r="I77" s="16">
        <f t="shared" si="5"/>
        <v>27</v>
      </c>
    </row>
    <row r="78" spans="1:9" x14ac:dyDescent="0.25">
      <c r="A78" s="13" t="s">
        <v>66</v>
      </c>
      <c r="B78" s="8">
        <v>0</v>
      </c>
      <c r="C78" s="4">
        <v>0</v>
      </c>
      <c r="D78" s="6">
        <f t="shared" si="3"/>
        <v>0</v>
      </c>
      <c r="E78" s="8">
        <v>25</v>
      </c>
      <c r="F78" s="4">
        <v>7</v>
      </c>
      <c r="G78" s="4">
        <v>0</v>
      </c>
      <c r="H78" s="9">
        <f t="shared" si="4"/>
        <v>32</v>
      </c>
      <c r="I78" s="16">
        <f t="shared" si="5"/>
        <v>32</v>
      </c>
    </row>
    <row r="79" spans="1:9" x14ac:dyDescent="0.25">
      <c r="A79" s="13" t="s">
        <v>75</v>
      </c>
      <c r="B79" s="8">
        <v>0</v>
      </c>
      <c r="C79" s="4">
        <v>0</v>
      </c>
      <c r="D79" s="6">
        <f t="shared" ref="D79:D84" si="6">B79+C79</f>
        <v>0</v>
      </c>
      <c r="E79" s="8">
        <v>43</v>
      </c>
      <c r="F79" s="4">
        <v>29</v>
      </c>
      <c r="G79" s="4">
        <v>2</v>
      </c>
      <c r="H79" s="9">
        <f t="shared" ref="H79:H80" si="7">E79+F79+G79</f>
        <v>74</v>
      </c>
      <c r="I79" s="16">
        <f t="shared" ref="I79:I85" si="8">H79+D79</f>
        <v>74</v>
      </c>
    </row>
    <row r="80" spans="1:9" x14ac:dyDescent="0.25">
      <c r="A80" s="13" t="s">
        <v>67</v>
      </c>
      <c r="B80" s="8">
        <v>20</v>
      </c>
      <c r="C80" s="4">
        <v>0</v>
      </c>
      <c r="D80" s="6">
        <f t="shared" si="6"/>
        <v>20</v>
      </c>
      <c r="E80" s="8">
        <v>8</v>
      </c>
      <c r="F80" s="4">
        <v>5</v>
      </c>
      <c r="G80" s="4">
        <v>0</v>
      </c>
      <c r="H80" s="9">
        <f t="shared" si="7"/>
        <v>13</v>
      </c>
      <c r="I80" s="16">
        <f t="shared" si="8"/>
        <v>33</v>
      </c>
    </row>
    <row r="81" spans="1:10" x14ac:dyDescent="0.25">
      <c r="A81" s="13" t="s">
        <v>112</v>
      </c>
      <c r="B81" s="8">
        <v>0</v>
      </c>
      <c r="C81" s="4">
        <v>0</v>
      </c>
      <c r="D81" s="6">
        <v>0</v>
      </c>
      <c r="E81" s="8">
        <v>7</v>
      </c>
      <c r="F81" s="4">
        <v>4</v>
      </c>
      <c r="G81" s="4">
        <v>0</v>
      </c>
      <c r="H81" s="9">
        <v>11</v>
      </c>
      <c r="I81" s="16">
        <f t="shared" si="8"/>
        <v>11</v>
      </c>
    </row>
    <row r="82" spans="1:10" x14ac:dyDescent="0.25">
      <c r="A82" s="13" t="s">
        <v>120</v>
      </c>
      <c r="B82" s="8">
        <v>78</v>
      </c>
      <c r="C82" s="4">
        <v>4</v>
      </c>
      <c r="D82" s="6">
        <v>82</v>
      </c>
      <c r="E82" s="8">
        <v>0</v>
      </c>
      <c r="F82" s="4">
        <v>0</v>
      </c>
      <c r="G82" s="4">
        <v>0</v>
      </c>
      <c r="H82" s="9">
        <v>0</v>
      </c>
      <c r="I82" s="16">
        <f t="shared" si="8"/>
        <v>82</v>
      </c>
    </row>
    <row r="83" spans="1:10" x14ac:dyDescent="0.25">
      <c r="A83" s="13" t="s">
        <v>113</v>
      </c>
      <c r="B83" s="8">
        <v>7</v>
      </c>
      <c r="C83" s="4">
        <v>0</v>
      </c>
      <c r="D83" s="6">
        <v>7</v>
      </c>
      <c r="E83" s="8">
        <v>5</v>
      </c>
      <c r="F83" s="4">
        <v>34</v>
      </c>
      <c r="G83" s="4">
        <v>0</v>
      </c>
      <c r="H83" s="9">
        <v>39</v>
      </c>
      <c r="I83" s="16">
        <f t="shared" si="8"/>
        <v>46</v>
      </c>
    </row>
    <row r="84" spans="1:10" x14ac:dyDescent="0.25">
      <c r="A84" s="13" t="s">
        <v>114</v>
      </c>
      <c r="B84" s="8">
        <v>0</v>
      </c>
      <c r="C84" s="4">
        <v>0</v>
      </c>
      <c r="D84" s="6">
        <f t="shared" si="6"/>
        <v>0</v>
      </c>
      <c r="E84" s="8">
        <v>20</v>
      </c>
      <c r="F84" s="4">
        <v>56</v>
      </c>
      <c r="G84" s="4">
        <v>0</v>
      </c>
      <c r="H84" s="9">
        <v>76</v>
      </c>
      <c r="I84" s="16">
        <f t="shared" si="8"/>
        <v>76</v>
      </c>
    </row>
    <row r="85" spans="1:10" x14ac:dyDescent="0.25">
      <c r="A85" s="13" t="s">
        <v>71</v>
      </c>
      <c r="B85" s="8">
        <v>0</v>
      </c>
      <c r="C85" s="4">
        <v>0</v>
      </c>
      <c r="D85" s="6">
        <f t="shared" si="3"/>
        <v>0</v>
      </c>
      <c r="E85" s="8">
        <v>8</v>
      </c>
      <c r="F85" s="4">
        <v>11</v>
      </c>
      <c r="G85" s="4">
        <v>0</v>
      </c>
      <c r="H85" s="9">
        <f t="shared" si="4"/>
        <v>19</v>
      </c>
      <c r="I85" s="16">
        <f t="shared" si="8"/>
        <v>19</v>
      </c>
      <c r="J85" s="19"/>
    </row>
    <row r="86" spans="1:10" x14ac:dyDescent="0.25">
      <c r="A86" s="13" t="s">
        <v>72</v>
      </c>
      <c r="B86" s="8">
        <v>13</v>
      </c>
      <c r="C86" s="4">
        <v>0</v>
      </c>
      <c r="D86" s="6">
        <f t="shared" si="3"/>
        <v>13</v>
      </c>
      <c r="E86" s="8">
        <v>8</v>
      </c>
      <c r="F86" s="4">
        <v>41</v>
      </c>
      <c r="G86" s="4">
        <v>0</v>
      </c>
      <c r="H86" s="9">
        <f>E86+F86+G86</f>
        <v>49</v>
      </c>
      <c r="I86" s="16">
        <f t="shared" si="5"/>
        <v>62</v>
      </c>
      <c r="J86" s="19"/>
    </row>
    <row r="87" spans="1:10" x14ac:dyDescent="0.25">
      <c r="A87" s="13" t="s">
        <v>121</v>
      </c>
      <c r="B87" s="8">
        <v>0</v>
      </c>
      <c r="C87" s="4">
        <v>0</v>
      </c>
      <c r="D87" s="6">
        <f t="shared" si="3"/>
        <v>0</v>
      </c>
      <c r="E87" s="8">
        <v>5</v>
      </c>
      <c r="F87" s="4">
        <v>41</v>
      </c>
      <c r="G87" s="4">
        <v>0</v>
      </c>
      <c r="H87" s="9">
        <f>E87+F87+G87</f>
        <v>46</v>
      </c>
      <c r="I87" s="16">
        <f t="shared" si="5"/>
        <v>46</v>
      </c>
    </row>
    <row r="88" spans="1:10" ht="15.75" thickBot="1" x14ac:dyDescent="0.3">
      <c r="A88" s="14" t="s">
        <v>74</v>
      </c>
      <c r="B88" s="10">
        <v>0</v>
      </c>
      <c r="C88" s="5">
        <v>0</v>
      </c>
      <c r="D88" s="7">
        <f t="shared" si="3"/>
        <v>0</v>
      </c>
      <c r="E88" s="10">
        <v>7</v>
      </c>
      <c r="F88" s="5">
        <v>5</v>
      </c>
      <c r="G88" s="5">
        <v>0</v>
      </c>
      <c r="H88" s="11">
        <f>E88+F88+G88</f>
        <v>12</v>
      </c>
      <c r="I88" s="17">
        <f t="shared" si="5"/>
        <v>12</v>
      </c>
    </row>
    <row r="89" spans="1:10" ht="16.5" thickTop="1" thickBot="1" x14ac:dyDescent="0.3">
      <c r="A89" s="15" t="s">
        <v>0</v>
      </c>
      <c r="B89" s="12">
        <f>SUM(B8:B88)</f>
        <v>10958</v>
      </c>
      <c r="C89" s="12">
        <f t="shared" ref="C89:I89" si="9">SUM(C8:C88)</f>
        <v>208</v>
      </c>
      <c r="D89" s="15">
        <f t="shared" si="9"/>
        <v>11166</v>
      </c>
      <c r="E89" s="12">
        <f t="shared" si="9"/>
        <v>4123</v>
      </c>
      <c r="F89" s="12">
        <f t="shared" si="9"/>
        <v>1984</v>
      </c>
      <c r="G89" s="12">
        <f t="shared" si="9"/>
        <v>44</v>
      </c>
      <c r="H89" s="18">
        <f t="shared" si="9"/>
        <v>6151</v>
      </c>
      <c r="I89" s="18">
        <f t="shared" si="9"/>
        <v>17317</v>
      </c>
    </row>
    <row r="91" spans="1:10" ht="28.5" customHeight="1" x14ac:dyDescent="0.25">
      <c r="A91" s="33" t="s">
        <v>88</v>
      </c>
      <c r="B91" s="33"/>
      <c r="C91" s="33"/>
      <c r="D91" s="33"/>
      <c r="E91" s="33"/>
      <c r="F91" s="33"/>
      <c r="G91" s="33"/>
      <c r="H91" s="33"/>
      <c r="I91" s="33"/>
    </row>
    <row r="92" spans="1:10" x14ac:dyDescent="0.25">
      <c r="A92" s="19"/>
      <c r="B92" s="19"/>
      <c r="C92" s="19"/>
      <c r="D92" s="19"/>
      <c r="E92" s="19"/>
      <c r="F92" s="19"/>
      <c r="G92" s="19"/>
      <c r="H92" s="19"/>
      <c r="I92" s="19"/>
    </row>
  </sheetData>
  <mergeCells count="13">
    <mergeCell ref="A91:I91"/>
    <mergeCell ref="E6:E7"/>
    <mergeCell ref="F6:F7"/>
    <mergeCell ref="G6:G7"/>
    <mergeCell ref="H6:H7"/>
    <mergeCell ref="A2:I2"/>
    <mergeCell ref="A5:A7"/>
    <mergeCell ref="B5:D5"/>
    <mergeCell ref="E5:H5"/>
    <mergeCell ref="I5:I7"/>
    <mergeCell ref="B6:B7"/>
    <mergeCell ref="C6:C7"/>
    <mergeCell ref="D6:D7"/>
  </mergeCells>
  <pageMargins left="0.7" right="0.7" top="0.75" bottom="0.75" header="0.3" footer="0.3"/>
  <pageSetup paperSize="9" orientation="portrait" r:id="rId1"/>
  <headerFooter>
    <oddHeader>&amp;CUCL Student Data Statistics</oddHeader>
    <oddFooter>&amp;L&amp;F - &amp;A&amp;RPage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J93"/>
  <sheetViews>
    <sheetView tabSelected="1" view="pageLayout" zoomScale="85" zoomScaleNormal="100" zoomScalePageLayoutView="85" workbookViewId="0">
      <selection activeCell="A47" sqref="A47"/>
    </sheetView>
  </sheetViews>
  <sheetFormatPr defaultColWidth="9" defaultRowHeight="15" x14ac:dyDescent="0.25"/>
  <cols>
    <col min="1" max="1" width="31.28515625" customWidth="1"/>
    <col min="2" max="9" width="6.7109375" customWidth="1"/>
  </cols>
  <sheetData>
    <row r="1" spans="1:9" ht="18" x14ac:dyDescent="0.25">
      <c r="A1" s="1" t="s">
        <v>2</v>
      </c>
      <c r="B1" s="3"/>
    </row>
    <row r="2" spans="1:9" x14ac:dyDescent="0.25">
      <c r="A2" s="34" t="s">
        <v>3</v>
      </c>
      <c r="B2" s="34"/>
      <c r="C2" s="34"/>
      <c r="D2" s="34"/>
      <c r="E2" s="34"/>
      <c r="F2" s="34"/>
      <c r="G2" s="34"/>
      <c r="H2" s="34"/>
      <c r="I2" s="34"/>
    </row>
    <row r="3" spans="1:9" ht="15" customHeight="1" x14ac:dyDescent="0.25">
      <c r="A3" s="28" t="str">
        <f ca="1">RIGHT(CELL("filename",A1),LEN(CELL("filename",A1))-FIND("]",CELL("filename",A1)))</f>
        <v>2000-01</v>
      </c>
      <c r="B3" s="3"/>
    </row>
    <row r="4" spans="1:9" ht="15.75" thickBot="1" x14ac:dyDescent="0.3">
      <c r="A4" s="3"/>
      <c r="B4" s="3"/>
    </row>
    <row r="5" spans="1:9" x14ac:dyDescent="0.25">
      <c r="A5" s="35" t="s">
        <v>4</v>
      </c>
      <c r="B5" s="38" t="s">
        <v>5</v>
      </c>
      <c r="C5" s="39"/>
      <c r="D5" s="39"/>
      <c r="E5" s="38" t="s">
        <v>6</v>
      </c>
      <c r="F5" s="39"/>
      <c r="G5" s="39"/>
      <c r="H5" s="40"/>
      <c r="I5" s="41" t="s">
        <v>0</v>
      </c>
    </row>
    <row r="6" spans="1:9" ht="15" customHeight="1" x14ac:dyDescent="0.25">
      <c r="A6" s="36"/>
      <c r="B6" s="44" t="s">
        <v>76</v>
      </c>
      <c r="C6" s="29" t="s">
        <v>77</v>
      </c>
      <c r="D6" s="46" t="s">
        <v>0</v>
      </c>
      <c r="E6" s="44" t="s">
        <v>76</v>
      </c>
      <c r="F6" s="29" t="s">
        <v>77</v>
      </c>
      <c r="G6" s="29" t="s">
        <v>78</v>
      </c>
      <c r="H6" s="31" t="s">
        <v>0</v>
      </c>
      <c r="I6" s="42"/>
    </row>
    <row r="7" spans="1:9" x14ac:dyDescent="0.25">
      <c r="A7" s="37"/>
      <c r="B7" s="45"/>
      <c r="C7" s="30"/>
      <c r="D7" s="47"/>
      <c r="E7" s="45"/>
      <c r="F7" s="30"/>
      <c r="G7" s="30"/>
      <c r="H7" s="32"/>
      <c r="I7" s="43"/>
    </row>
    <row r="8" spans="1:9" x14ac:dyDescent="0.25">
      <c r="A8" s="13" t="s">
        <v>7</v>
      </c>
      <c r="B8" s="8">
        <v>248</v>
      </c>
      <c r="C8" s="4">
        <v>1</v>
      </c>
      <c r="D8" s="6">
        <f>B8+C8</f>
        <v>249</v>
      </c>
      <c r="E8" s="8">
        <v>109</v>
      </c>
      <c r="F8" s="4">
        <v>12</v>
      </c>
      <c r="G8" s="4">
        <v>0</v>
      </c>
      <c r="H8" s="9">
        <f>E8+F8+G8</f>
        <v>121</v>
      </c>
      <c r="I8" s="16">
        <f>H8+D8</f>
        <v>370</v>
      </c>
    </row>
    <row r="9" spans="1:9" x14ac:dyDescent="0.25">
      <c r="A9" s="13" t="s">
        <v>8</v>
      </c>
      <c r="B9" s="8">
        <v>191</v>
      </c>
      <c r="C9" s="4">
        <v>0</v>
      </c>
      <c r="D9" s="6">
        <f t="shared" ref="D9:D79" si="0">B9+C9</f>
        <v>191</v>
      </c>
      <c r="E9" s="8">
        <v>96</v>
      </c>
      <c r="F9" s="4">
        <v>22</v>
      </c>
      <c r="G9" s="4">
        <v>17</v>
      </c>
      <c r="H9" s="9">
        <f t="shared" ref="H9:H79" si="1">E9+F9+G9</f>
        <v>135</v>
      </c>
      <c r="I9" s="16">
        <f t="shared" ref="I9:I79" si="2">H9+D9</f>
        <v>326</v>
      </c>
    </row>
    <row r="10" spans="1:9" x14ac:dyDescent="0.25">
      <c r="A10" s="13" t="s">
        <v>9</v>
      </c>
      <c r="B10" s="8">
        <v>263</v>
      </c>
      <c r="C10" s="4">
        <v>11</v>
      </c>
      <c r="D10" s="6">
        <f t="shared" si="0"/>
        <v>274</v>
      </c>
      <c r="E10" s="8">
        <v>181</v>
      </c>
      <c r="F10" s="4">
        <v>54</v>
      </c>
      <c r="G10" s="4">
        <v>6</v>
      </c>
      <c r="H10" s="9">
        <f t="shared" si="1"/>
        <v>241</v>
      </c>
      <c r="I10" s="16">
        <f t="shared" si="2"/>
        <v>515</v>
      </c>
    </row>
    <row r="11" spans="1:9" x14ac:dyDescent="0.25">
      <c r="A11" s="13" t="s">
        <v>79</v>
      </c>
      <c r="B11" s="8">
        <v>331</v>
      </c>
      <c r="C11" s="4">
        <v>3</v>
      </c>
      <c r="D11" s="6">
        <f t="shared" si="0"/>
        <v>334</v>
      </c>
      <c r="E11" s="8">
        <v>431</v>
      </c>
      <c r="F11" s="4">
        <v>115</v>
      </c>
      <c r="G11" s="4">
        <v>4</v>
      </c>
      <c r="H11" s="9">
        <f t="shared" si="1"/>
        <v>550</v>
      </c>
      <c r="I11" s="16">
        <f t="shared" si="2"/>
        <v>884</v>
      </c>
    </row>
    <row r="12" spans="1:9" x14ac:dyDescent="0.25">
      <c r="A12" s="13" t="s">
        <v>95</v>
      </c>
      <c r="B12" s="8">
        <v>121</v>
      </c>
      <c r="C12" s="4">
        <v>1</v>
      </c>
      <c r="D12" s="6">
        <f t="shared" si="0"/>
        <v>122</v>
      </c>
      <c r="E12" s="8">
        <v>76</v>
      </c>
      <c r="F12" s="4">
        <v>6</v>
      </c>
      <c r="G12" s="4">
        <v>0</v>
      </c>
      <c r="H12" s="9">
        <f t="shared" si="1"/>
        <v>82</v>
      </c>
      <c r="I12" s="16">
        <f t="shared" si="2"/>
        <v>204</v>
      </c>
    </row>
    <row r="13" spans="1:9" x14ac:dyDescent="0.25">
      <c r="A13" s="13" t="s">
        <v>11</v>
      </c>
      <c r="B13" s="8">
        <v>183</v>
      </c>
      <c r="C13" s="4">
        <v>2</v>
      </c>
      <c r="D13" s="6">
        <f t="shared" si="0"/>
        <v>185</v>
      </c>
      <c r="E13" s="8">
        <v>98</v>
      </c>
      <c r="F13" s="4">
        <v>7</v>
      </c>
      <c r="G13" s="4">
        <v>0</v>
      </c>
      <c r="H13" s="9">
        <f t="shared" si="1"/>
        <v>105</v>
      </c>
      <c r="I13" s="16">
        <f t="shared" si="2"/>
        <v>290</v>
      </c>
    </row>
    <row r="14" spans="1:9" x14ac:dyDescent="0.25">
      <c r="A14" s="13" t="s">
        <v>12</v>
      </c>
      <c r="B14" s="8">
        <v>277</v>
      </c>
      <c r="C14" s="4">
        <v>3</v>
      </c>
      <c r="D14" s="6">
        <f t="shared" si="0"/>
        <v>280</v>
      </c>
      <c r="E14" s="8">
        <v>76</v>
      </c>
      <c r="F14" s="4">
        <v>7</v>
      </c>
      <c r="G14" s="4">
        <v>1</v>
      </c>
      <c r="H14" s="9">
        <f t="shared" si="1"/>
        <v>84</v>
      </c>
      <c r="I14" s="16">
        <f t="shared" si="2"/>
        <v>364</v>
      </c>
    </row>
    <row r="15" spans="1:9" x14ac:dyDescent="0.25">
      <c r="A15" s="13" t="s">
        <v>80</v>
      </c>
      <c r="B15" s="8">
        <v>0</v>
      </c>
      <c r="C15" s="4">
        <v>0</v>
      </c>
      <c r="D15" s="6">
        <f t="shared" si="0"/>
        <v>0</v>
      </c>
      <c r="E15" s="8">
        <v>21</v>
      </c>
      <c r="F15" s="4">
        <v>0</v>
      </c>
      <c r="G15" s="4">
        <v>0</v>
      </c>
      <c r="H15" s="9">
        <f t="shared" si="1"/>
        <v>21</v>
      </c>
      <c r="I15" s="16">
        <f t="shared" si="2"/>
        <v>21</v>
      </c>
    </row>
    <row r="16" spans="1:9" x14ac:dyDescent="0.25">
      <c r="A16" s="13" t="s">
        <v>101</v>
      </c>
      <c r="B16" s="8">
        <v>0</v>
      </c>
      <c r="C16" s="4">
        <v>0</v>
      </c>
      <c r="D16" s="6">
        <f t="shared" si="0"/>
        <v>0</v>
      </c>
      <c r="E16" s="8">
        <v>6</v>
      </c>
      <c r="F16" s="4">
        <v>0</v>
      </c>
      <c r="G16" s="4">
        <v>0</v>
      </c>
      <c r="H16" s="9">
        <f t="shared" si="1"/>
        <v>6</v>
      </c>
      <c r="I16" s="16">
        <f t="shared" si="2"/>
        <v>6</v>
      </c>
    </row>
    <row r="17" spans="1:9" x14ac:dyDescent="0.25">
      <c r="A17" s="13" t="s">
        <v>96</v>
      </c>
      <c r="B17" s="8">
        <v>153</v>
      </c>
      <c r="C17" s="4">
        <v>2</v>
      </c>
      <c r="D17" s="6">
        <f t="shared" si="0"/>
        <v>155</v>
      </c>
      <c r="E17" s="8">
        <v>33</v>
      </c>
      <c r="F17" s="4">
        <v>7</v>
      </c>
      <c r="G17" s="4">
        <v>0</v>
      </c>
      <c r="H17" s="9">
        <f t="shared" si="1"/>
        <v>40</v>
      </c>
      <c r="I17" s="16">
        <f t="shared" si="2"/>
        <v>195</v>
      </c>
    </row>
    <row r="18" spans="1:9" x14ac:dyDescent="0.25">
      <c r="A18" s="13" t="s">
        <v>14</v>
      </c>
      <c r="B18" s="8">
        <v>251</v>
      </c>
      <c r="C18" s="4">
        <v>0</v>
      </c>
      <c r="D18" s="6">
        <f t="shared" si="0"/>
        <v>251</v>
      </c>
      <c r="E18" s="8">
        <v>80</v>
      </c>
      <c r="F18" s="4">
        <v>5</v>
      </c>
      <c r="G18" s="4">
        <v>0</v>
      </c>
      <c r="H18" s="9">
        <f t="shared" si="1"/>
        <v>85</v>
      </c>
      <c r="I18" s="16">
        <f t="shared" si="2"/>
        <v>336</v>
      </c>
    </row>
    <row r="19" spans="1:9" x14ac:dyDescent="0.25">
      <c r="A19" s="13" t="s">
        <v>15</v>
      </c>
      <c r="B19" s="8">
        <v>188</v>
      </c>
      <c r="C19" s="4">
        <v>5</v>
      </c>
      <c r="D19" s="6">
        <f t="shared" si="0"/>
        <v>193</v>
      </c>
      <c r="E19" s="8">
        <v>23</v>
      </c>
      <c r="F19" s="4">
        <v>4</v>
      </c>
      <c r="G19" s="4">
        <v>0</v>
      </c>
      <c r="H19" s="9">
        <f t="shared" si="1"/>
        <v>27</v>
      </c>
      <c r="I19" s="16">
        <f t="shared" si="2"/>
        <v>220</v>
      </c>
    </row>
    <row r="20" spans="1:9" x14ac:dyDescent="0.25">
      <c r="A20" s="13" t="s">
        <v>16</v>
      </c>
      <c r="B20" s="8">
        <v>172</v>
      </c>
      <c r="C20" s="4">
        <v>5</v>
      </c>
      <c r="D20" s="6">
        <f t="shared" si="0"/>
        <v>177</v>
      </c>
      <c r="E20" s="8">
        <v>120</v>
      </c>
      <c r="F20" s="4">
        <v>10</v>
      </c>
      <c r="G20" s="4">
        <v>0</v>
      </c>
      <c r="H20" s="9">
        <f t="shared" si="1"/>
        <v>130</v>
      </c>
      <c r="I20" s="16">
        <f t="shared" si="2"/>
        <v>307</v>
      </c>
    </row>
    <row r="21" spans="1:9" x14ac:dyDescent="0.25">
      <c r="A21" s="13" t="s">
        <v>17</v>
      </c>
      <c r="B21" s="8">
        <v>0</v>
      </c>
      <c r="C21" s="4">
        <v>0</v>
      </c>
      <c r="D21" s="6">
        <f t="shared" ref="D21:D27" si="3">B21+C21</f>
        <v>0</v>
      </c>
      <c r="E21" s="8">
        <v>116</v>
      </c>
      <c r="F21" s="4">
        <v>16</v>
      </c>
      <c r="G21" s="4">
        <v>3</v>
      </c>
      <c r="H21" s="9">
        <f t="shared" ref="H21:H27" si="4">E21+F21+G21</f>
        <v>135</v>
      </c>
      <c r="I21" s="16">
        <f t="shared" ref="I21:I27" si="5">H21+D21</f>
        <v>135</v>
      </c>
    </row>
    <row r="22" spans="1:9" x14ac:dyDescent="0.25">
      <c r="A22" s="13" t="s">
        <v>18</v>
      </c>
      <c r="B22" s="8">
        <v>32</v>
      </c>
      <c r="C22" s="4">
        <v>3</v>
      </c>
      <c r="D22" s="6">
        <f t="shared" si="3"/>
        <v>35</v>
      </c>
      <c r="E22" s="8">
        <v>3</v>
      </c>
      <c r="F22" s="4">
        <v>8</v>
      </c>
      <c r="G22" s="4">
        <v>0</v>
      </c>
      <c r="H22" s="9">
        <f t="shared" si="4"/>
        <v>11</v>
      </c>
      <c r="I22" s="16">
        <f t="shared" si="5"/>
        <v>46</v>
      </c>
    </row>
    <row r="23" spans="1:9" x14ac:dyDescent="0.25">
      <c r="A23" s="13" t="s">
        <v>19</v>
      </c>
      <c r="B23" s="8">
        <v>418</v>
      </c>
      <c r="C23" s="4">
        <v>12</v>
      </c>
      <c r="D23" s="6">
        <f t="shared" si="3"/>
        <v>430</v>
      </c>
      <c r="E23" s="8">
        <v>105</v>
      </c>
      <c r="F23" s="4">
        <v>12</v>
      </c>
      <c r="G23" s="4">
        <v>0</v>
      </c>
      <c r="H23" s="9">
        <f t="shared" si="4"/>
        <v>117</v>
      </c>
      <c r="I23" s="16">
        <f t="shared" si="5"/>
        <v>547</v>
      </c>
    </row>
    <row r="24" spans="1:9" x14ac:dyDescent="0.25">
      <c r="A24" s="13" t="s">
        <v>20</v>
      </c>
      <c r="B24" s="8">
        <v>211</v>
      </c>
      <c r="C24" s="4">
        <v>1</v>
      </c>
      <c r="D24" s="6">
        <f t="shared" si="3"/>
        <v>212</v>
      </c>
      <c r="E24" s="8">
        <v>119</v>
      </c>
      <c r="F24" s="4">
        <v>229</v>
      </c>
      <c r="G24" s="4">
        <v>1</v>
      </c>
      <c r="H24" s="9">
        <f t="shared" si="4"/>
        <v>349</v>
      </c>
      <c r="I24" s="16">
        <f t="shared" si="5"/>
        <v>561</v>
      </c>
    </row>
    <row r="25" spans="1:9" x14ac:dyDescent="0.25">
      <c r="A25" s="13" t="s">
        <v>21</v>
      </c>
      <c r="B25" s="8">
        <v>289</v>
      </c>
      <c r="C25" s="4">
        <v>1</v>
      </c>
      <c r="D25" s="6">
        <f t="shared" si="3"/>
        <v>290</v>
      </c>
      <c r="E25" s="8">
        <v>38</v>
      </c>
      <c r="F25" s="4">
        <v>9</v>
      </c>
      <c r="G25" s="4">
        <v>0</v>
      </c>
      <c r="H25" s="9">
        <f t="shared" si="4"/>
        <v>47</v>
      </c>
      <c r="I25" s="16">
        <f t="shared" si="5"/>
        <v>337</v>
      </c>
    </row>
    <row r="26" spans="1:9" x14ac:dyDescent="0.25">
      <c r="A26" s="13" t="s">
        <v>22</v>
      </c>
      <c r="B26" s="8">
        <v>148</v>
      </c>
      <c r="C26" s="4">
        <v>3</v>
      </c>
      <c r="D26" s="6">
        <f t="shared" si="3"/>
        <v>151</v>
      </c>
      <c r="E26" s="8">
        <v>103</v>
      </c>
      <c r="F26" s="4">
        <v>1</v>
      </c>
      <c r="G26" s="4">
        <v>0</v>
      </c>
      <c r="H26" s="9">
        <f t="shared" si="4"/>
        <v>104</v>
      </c>
      <c r="I26" s="16">
        <f t="shared" si="5"/>
        <v>255</v>
      </c>
    </row>
    <row r="27" spans="1:9" x14ac:dyDescent="0.25">
      <c r="A27" s="13" t="s">
        <v>23</v>
      </c>
      <c r="B27" s="8">
        <v>262</v>
      </c>
      <c r="C27" s="4">
        <v>3</v>
      </c>
      <c r="D27" s="6">
        <f t="shared" si="3"/>
        <v>265</v>
      </c>
      <c r="E27" s="8">
        <v>10</v>
      </c>
      <c r="F27" s="4">
        <v>8</v>
      </c>
      <c r="G27" s="4">
        <v>0</v>
      </c>
      <c r="H27" s="9">
        <f t="shared" si="4"/>
        <v>18</v>
      </c>
      <c r="I27" s="16">
        <f t="shared" si="5"/>
        <v>283</v>
      </c>
    </row>
    <row r="28" spans="1:9" x14ac:dyDescent="0.25">
      <c r="A28" s="13" t="s">
        <v>97</v>
      </c>
      <c r="B28" s="8">
        <v>0</v>
      </c>
      <c r="C28" s="4">
        <v>0</v>
      </c>
      <c r="D28" s="6">
        <f t="shared" si="0"/>
        <v>0</v>
      </c>
      <c r="E28" s="8">
        <v>13</v>
      </c>
      <c r="F28" s="4">
        <v>0</v>
      </c>
      <c r="G28" s="4">
        <v>0</v>
      </c>
      <c r="H28" s="9">
        <f t="shared" si="1"/>
        <v>13</v>
      </c>
      <c r="I28" s="16">
        <f t="shared" si="2"/>
        <v>13</v>
      </c>
    </row>
    <row r="29" spans="1:9" x14ac:dyDescent="0.25">
      <c r="A29" s="13" t="s">
        <v>24</v>
      </c>
      <c r="B29" s="8">
        <v>295</v>
      </c>
      <c r="C29" s="4">
        <v>1</v>
      </c>
      <c r="D29" s="6">
        <f t="shared" si="0"/>
        <v>296</v>
      </c>
      <c r="E29" s="8">
        <v>79</v>
      </c>
      <c r="F29" s="4">
        <v>9</v>
      </c>
      <c r="G29" s="4">
        <v>1</v>
      </c>
      <c r="H29" s="9">
        <f t="shared" si="1"/>
        <v>89</v>
      </c>
      <c r="I29" s="16">
        <f t="shared" si="2"/>
        <v>385</v>
      </c>
    </row>
    <row r="30" spans="1:9" x14ac:dyDescent="0.25">
      <c r="A30" s="13" t="s">
        <v>25</v>
      </c>
      <c r="B30" s="8">
        <v>224</v>
      </c>
      <c r="C30" s="4">
        <v>7</v>
      </c>
      <c r="D30" s="6">
        <f t="shared" si="0"/>
        <v>231</v>
      </c>
      <c r="E30" s="8">
        <v>43</v>
      </c>
      <c r="F30" s="4">
        <v>8</v>
      </c>
      <c r="G30" s="4">
        <v>0</v>
      </c>
      <c r="H30" s="9">
        <f t="shared" si="1"/>
        <v>51</v>
      </c>
      <c r="I30" s="16">
        <f t="shared" si="2"/>
        <v>282</v>
      </c>
    </row>
    <row r="31" spans="1:9" x14ac:dyDescent="0.25">
      <c r="A31" s="13" t="s">
        <v>89</v>
      </c>
      <c r="B31" s="8">
        <v>1</v>
      </c>
      <c r="C31" s="4">
        <v>0</v>
      </c>
      <c r="D31" s="6">
        <f t="shared" si="0"/>
        <v>1</v>
      </c>
      <c r="E31" s="8">
        <v>49</v>
      </c>
      <c r="F31" s="4">
        <v>7</v>
      </c>
      <c r="G31" s="4">
        <v>0</v>
      </c>
      <c r="H31" s="9">
        <f t="shared" si="1"/>
        <v>56</v>
      </c>
      <c r="I31" s="16">
        <f t="shared" si="2"/>
        <v>57</v>
      </c>
    </row>
    <row r="32" spans="1:9" x14ac:dyDescent="0.25">
      <c r="A32" s="13" t="s">
        <v>26</v>
      </c>
      <c r="B32" s="8">
        <v>86</v>
      </c>
      <c r="C32" s="4">
        <v>1</v>
      </c>
      <c r="D32" s="6">
        <f t="shared" si="0"/>
        <v>87</v>
      </c>
      <c r="E32" s="8">
        <v>16</v>
      </c>
      <c r="F32" s="4">
        <v>7</v>
      </c>
      <c r="G32" s="4">
        <v>2</v>
      </c>
      <c r="H32" s="9">
        <f t="shared" si="1"/>
        <v>25</v>
      </c>
      <c r="I32" s="16">
        <f t="shared" si="2"/>
        <v>112</v>
      </c>
    </row>
    <row r="33" spans="1:9" x14ac:dyDescent="0.25">
      <c r="A33" s="13" t="s">
        <v>81</v>
      </c>
      <c r="B33" s="8">
        <v>100</v>
      </c>
      <c r="C33" s="4">
        <v>17</v>
      </c>
      <c r="D33" s="6">
        <f t="shared" si="0"/>
        <v>117</v>
      </c>
      <c r="E33" s="8">
        <v>24</v>
      </c>
      <c r="F33" s="4">
        <v>5</v>
      </c>
      <c r="G33" s="4">
        <v>0</v>
      </c>
      <c r="H33" s="9">
        <f t="shared" si="1"/>
        <v>29</v>
      </c>
      <c r="I33" s="16">
        <f t="shared" si="2"/>
        <v>146</v>
      </c>
    </row>
    <row r="34" spans="1:9" x14ac:dyDescent="0.25">
      <c r="A34" s="13" t="s">
        <v>82</v>
      </c>
      <c r="B34" s="8">
        <v>36</v>
      </c>
      <c r="C34" s="4">
        <v>3</v>
      </c>
      <c r="D34" s="6">
        <f t="shared" si="0"/>
        <v>39</v>
      </c>
      <c r="E34" s="8">
        <v>20</v>
      </c>
      <c r="F34" s="4">
        <v>12</v>
      </c>
      <c r="G34" s="4">
        <v>1</v>
      </c>
      <c r="H34" s="9">
        <f t="shared" si="1"/>
        <v>33</v>
      </c>
      <c r="I34" s="16">
        <f t="shared" si="2"/>
        <v>72</v>
      </c>
    </row>
    <row r="35" spans="1:9" x14ac:dyDescent="0.25">
      <c r="A35" s="13" t="s">
        <v>29</v>
      </c>
      <c r="B35" s="8">
        <v>0</v>
      </c>
      <c r="C35" s="4">
        <v>0</v>
      </c>
      <c r="D35" s="6">
        <f t="shared" si="0"/>
        <v>0</v>
      </c>
      <c r="E35" s="8">
        <v>0</v>
      </c>
      <c r="F35" s="4">
        <v>3</v>
      </c>
      <c r="G35" s="4">
        <v>0</v>
      </c>
      <c r="H35" s="9">
        <f t="shared" si="1"/>
        <v>3</v>
      </c>
      <c r="I35" s="16">
        <f t="shared" si="2"/>
        <v>3</v>
      </c>
    </row>
    <row r="36" spans="1:9" x14ac:dyDescent="0.25">
      <c r="A36" s="13" t="s">
        <v>30</v>
      </c>
      <c r="B36" s="8">
        <v>348</v>
      </c>
      <c r="C36" s="4">
        <v>5</v>
      </c>
      <c r="D36" s="6">
        <f t="shared" si="0"/>
        <v>353</v>
      </c>
      <c r="E36" s="8">
        <v>69</v>
      </c>
      <c r="F36" s="4">
        <v>35</v>
      </c>
      <c r="G36" s="4">
        <v>4</v>
      </c>
      <c r="H36" s="9">
        <f t="shared" si="1"/>
        <v>108</v>
      </c>
      <c r="I36" s="16">
        <f t="shared" si="2"/>
        <v>461</v>
      </c>
    </row>
    <row r="37" spans="1:9" x14ac:dyDescent="0.25">
      <c r="A37" s="13" t="s">
        <v>83</v>
      </c>
      <c r="B37" s="8">
        <v>153</v>
      </c>
      <c r="C37" s="4">
        <v>0</v>
      </c>
      <c r="D37" s="6">
        <f t="shared" si="0"/>
        <v>153</v>
      </c>
      <c r="E37" s="8">
        <v>43</v>
      </c>
      <c r="F37" s="4">
        <v>11</v>
      </c>
      <c r="G37" s="4">
        <v>0</v>
      </c>
      <c r="H37" s="9">
        <f t="shared" si="1"/>
        <v>54</v>
      </c>
      <c r="I37" s="16">
        <f t="shared" si="2"/>
        <v>207</v>
      </c>
    </row>
    <row r="38" spans="1:9" x14ac:dyDescent="0.25">
      <c r="A38" s="13" t="s">
        <v>32</v>
      </c>
      <c r="B38" s="8">
        <v>210</v>
      </c>
      <c r="C38" s="4">
        <v>2</v>
      </c>
      <c r="D38" s="6">
        <f t="shared" si="0"/>
        <v>212</v>
      </c>
      <c r="E38" s="8">
        <v>64</v>
      </c>
      <c r="F38" s="4">
        <v>21</v>
      </c>
      <c r="G38" s="4">
        <v>1</v>
      </c>
      <c r="H38" s="9">
        <f t="shared" si="1"/>
        <v>86</v>
      </c>
      <c r="I38" s="16">
        <f t="shared" si="2"/>
        <v>298</v>
      </c>
    </row>
    <row r="39" spans="1:9" x14ac:dyDescent="0.25">
      <c r="A39" s="13" t="s">
        <v>33</v>
      </c>
      <c r="B39" s="8">
        <v>276</v>
      </c>
      <c r="C39" s="4">
        <v>4</v>
      </c>
      <c r="D39" s="6">
        <f t="shared" si="0"/>
        <v>280</v>
      </c>
      <c r="E39" s="8">
        <v>16</v>
      </c>
      <c r="F39" s="4">
        <v>4</v>
      </c>
      <c r="G39" s="4">
        <v>0</v>
      </c>
      <c r="H39" s="9">
        <f t="shared" si="1"/>
        <v>20</v>
      </c>
      <c r="I39" s="16">
        <f t="shared" si="2"/>
        <v>300</v>
      </c>
    </row>
    <row r="40" spans="1:9" x14ac:dyDescent="0.25">
      <c r="A40" s="13" t="s">
        <v>1</v>
      </c>
      <c r="B40" s="8">
        <v>471</v>
      </c>
      <c r="C40" s="4">
        <v>0</v>
      </c>
      <c r="D40" s="6">
        <f t="shared" si="0"/>
        <v>471</v>
      </c>
      <c r="E40" s="8">
        <v>280</v>
      </c>
      <c r="F40" s="4">
        <v>41</v>
      </c>
      <c r="G40" s="4">
        <v>0</v>
      </c>
      <c r="H40" s="9">
        <f t="shared" si="1"/>
        <v>321</v>
      </c>
      <c r="I40" s="16">
        <f t="shared" si="2"/>
        <v>792</v>
      </c>
    </row>
    <row r="41" spans="1:9" x14ac:dyDescent="0.25">
      <c r="A41" s="13" t="s">
        <v>107</v>
      </c>
      <c r="B41" s="8">
        <v>114</v>
      </c>
      <c r="C41" s="4">
        <v>0</v>
      </c>
      <c r="D41" s="6">
        <f t="shared" si="0"/>
        <v>114</v>
      </c>
      <c r="E41" s="8">
        <v>83</v>
      </c>
      <c r="F41" s="4">
        <v>83</v>
      </c>
      <c r="G41" s="4">
        <v>3</v>
      </c>
      <c r="H41" s="9">
        <f t="shared" si="1"/>
        <v>169</v>
      </c>
      <c r="I41" s="16">
        <f t="shared" si="2"/>
        <v>283</v>
      </c>
    </row>
    <row r="42" spans="1:9" x14ac:dyDescent="0.25">
      <c r="A42" s="13" t="s">
        <v>35</v>
      </c>
      <c r="B42" s="8">
        <v>367</v>
      </c>
      <c r="C42" s="4">
        <v>5</v>
      </c>
      <c r="D42" s="6">
        <f t="shared" si="0"/>
        <v>372</v>
      </c>
      <c r="E42" s="8">
        <v>10</v>
      </c>
      <c r="F42" s="4">
        <v>0</v>
      </c>
      <c r="G42" s="4">
        <v>0</v>
      </c>
      <c r="H42" s="9">
        <f t="shared" si="1"/>
        <v>10</v>
      </c>
      <c r="I42" s="16">
        <f t="shared" si="2"/>
        <v>382</v>
      </c>
    </row>
    <row r="43" spans="1:9" x14ac:dyDescent="0.25">
      <c r="A43" s="13" t="s">
        <v>36</v>
      </c>
      <c r="B43" s="8">
        <v>233</v>
      </c>
      <c r="C43" s="4">
        <v>7</v>
      </c>
      <c r="D43" s="6">
        <f t="shared" si="0"/>
        <v>240</v>
      </c>
      <c r="E43" s="8">
        <v>75</v>
      </c>
      <c r="F43" s="4">
        <v>53</v>
      </c>
      <c r="G43" s="4">
        <v>0</v>
      </c>
      <c r="H43" s="9">
        <f t="shared" si="1"/>
        <v>128</v>
      </c>
      <c r="I43" s="16">
        <f t="shared" si="2"/>
        <v>368</v>
      </c>
    </row>
    <row r="44" spans="1:9" x14ac:dyDescent="0.25">
      <c r="A44" s="13" t="s">
        <v>37</v>
      </c>
      <c r="B44" s="8">
        <v>10</v>
      </c>
      <c r="C44" s="4">
        <v>0</v>
      </c>
      <c r="D44" s="6">
        <f t="shared" si="0"/>
        <v>10</v>
      </c>
      <c r="E44" s="8">
        <v>19</v>
      </c>
      <c r="F44" s="4">
        <v>26</v>
      </c>
      <c r="G44" s="4">
        <v>0</v>
      </c>
      <c r="H44" s="9">
        <f t="shared" si="1"/>
        <v>45</v>
      </c>
      <c r="I44" s="16">
        <f t="shared" si="2"/>
        <v>55</v>
      </c>
    </row>
    <row r="45" spans="1:9" x14ac:dyDescent="0.25">
      <c r="A45" s="13" t="s">
        <v>38</v>
      </c>
      <c r="B45" s="8">
        <v>153</v>
      </c>
      <c r="C45" s="4">
        <v>0</v>
      </c>
      <c r="D45" s="6">
        <f t="shared" si="0"/>
        <v>153</v>
      </c>
      <c r="E45" s="8">
        <v>0</v>
      </c>
      <c r="F45" s="4">
        <v>0</v>
      </c>
      <c r="G45" s="4">
        <v>0</v>
      </c>
      <c r="H45" s="9">
        <f t="shared" si="1"/>
        <v>0</v>
      </c>
      <c r="I45" s="16">
        <f t="shared" si="2"/>
        <v>153</v>
      </c>
    </row>
    <row r="46" spans="1:9" x14ac:dyDescent="0.25">
      <c r="A46" s="13" t="s">
        <v>39</v>
      </c>
      <c r="B46" s="8">
        <v>135</v>
      </c>
      <c r="C46" s="4">
        <v>0</v>
      </c>
      <c r="D46" s="6">
        <f t="shared" si="0"/>
        <v>135</v>
      </c>
      <c r="E46" s="8">
        <v>26</v>
      </c>
      <c r="F46" s="4">
        <v>6</v>
      </c>
      <c r="G46" s="4">
        <v>0</v>
      </c>
      <c r="H46" s="9">
        <f t="shared" si="1"/>
        <v>32</v>
      </c>
      <c r="I46" s="16">
        <f t="shared" si="2"/>
        <v>167</v>
      </c>
    </row>
    <row r="47" spans="1:9" x14ac:dyDescent="0.25">
      <c r="A47" s="13" t="s">
        <v>40</v>
      </c>
      <c r="B47" s="8">
        <v>170</v>
      </c>
      <c r="C47" s="4">
        <v>0</v>
      </c>
      <c r="D47" s="6">
        <f t="shared" si="0"/>
        <v>170</v>
      </c>
      <c r="E47" s="8">
        <v>41</v>
      </c>
      <c r="F47" s="4">
        <v>7</v>
      </c>
      <c r="G47" s="4">
        <v>0</v>
      </c>
      <c r="H47" s="9">
        <f t="shared" si="1"/>
        <v>48</v>
      </c>
      <c r="I47" s="16">
        <f t="shared" si="2"/>
        <v>218</v>
      </c>
    </row>
    <row r="48" spans="1:9" x14ac:dyDescent="0.25">
      <c r="A48" s="13" t="s">
        <v>41</v>
      </c>
      <c r="B48" s="8">
        <v>81</v>
      </c>
      <c r="C48" s="4">
        <v>3</v>
      </c>
      <c r="D48" s="6">
        <f t="shared" si="0"/>
        <v>84</v>
      </c>
      <c r="E48" s="8">
        <v>56</v>
      </c>
      <c r="F48" s="4">
        <v>7</v>
      </c>
      <c r="G48" s="4">
        <v>0</v>
      </c>
      <c r="H48" s="9">
        <f t="shared" si="1"/>
        <v>63</v>
      </c>
      <c r="I48" s="16">
        <f t="shared" si="2"/>
        <v>147</v>
      </c>
    </row>
    <row r="49" spans="1:9" x14ac:dyDescent="0.25">
      <c r="A49" s="13" t="s">
        <v>43</v>
      </c>
      <c r="B49" s="8">
        <v>384</v>
      </c>
      <c r="C49" s="4">
        <v>45</v>
      </c>
      <c r="D49" s="6">
        <f t="shared" si="0"/>
        <v>429</v>
      </c>
      <c r="E49" s="8">
        <v>54</v>
      </c>
      <c r="F49" s="4">
        <v>3</v>
      </c>
      <c r="G49" s="4">
        <v>0</v>
      </c>
      <c r="H49" s="9">
        <f t="shared" si="1"/>
        <v>57</v>
      </c>
      <c r="I49" s="16">
        <f t="shared" si="2"/>
        <v>486</v>
      </c>
    </row>
    <row r="50" spans="1:9" x14ac:dyDescent="0.25">
      <c r="A50" s="13" t="s">
        <v>44</v>
      </c>
      <c r="B50" s="8">
        <v>98</v>
      </c>
      <c r="C50" s="4">
        <v>1</v>
      </c>
      <c r="D50" s="6">
        <f t="shared" si="0"/>
        <v>99</v>
      </c>
      <c r="E50" s="8">
        <v>43</v>
      </c>
      <c r="F50" s="4">
        <v>24</v>
      </c>
      <c r="G50" s="4">
        <v>0</v>
      </c>
      <c r="H50" s="9">
        <f t="shared" si="1"/>
        <v>67</v>
      </c>
      <c r="I50" s="16">
        <f t="shared" si="2"/>
        <v>166</v>
      </c>
    </row>
    <row r="51" spans="1:9" x14ac:dyDescent="0.25">
      <c r="A51" s="13" t="s">
        <v>45</v>
      </c>
      <c r="B51" s="8">
        <v>350</v>
      </c>
      <c r="C51" s="4">
        <v>3</v>
      </c>
      <c r="D51" s="6">
        <f t="shared" si="0"/>
        <v>353</v>
      </c>
      <c r="E51" s="8">
        <v>223</v>
      </c>
      <c r="F51" s="4">
        <v>92</v>
      </c>
      <c r="G51" s="4">
        <v>0</v>
      </c>
      <c r="H51" s="9">
        <f t="shared" si="1"/>
        <v>315</v>
      </c>
      <c r="I51" s="16">
        <f t="shared" si="2"/>
        <v>668</v>
      </c>
    </row>
    <row r="52" spans="1:9" x14ac:dyDescent="0.25">
      <c r="A52" s="13" t="s">
        <v>98</v>
      </c>
      <c r="B52" s="8">
        <v>0</v>
      </c>
      <c r="C52" s="4">
        <v>0</v>
      </c>
      <c r="D52" s="6">
        <f t="shared" si="0"/>
        <v>0</v>
      </c>
      <c r="E52" s="8">
        <v>44</v>
      </c>
      <c r="F52" s="4">
        <v>24</v>
      </c>
      <c r="G52" s="4">
        <v>0</v>
      </c>
      <c r="H52" s="9">
        <f t="shared" si="1"/>
        <v>68</v>
      </c>
      <c r="I52" s="16">
        <f t="shared" si="2"/>
        <v>68</v>
      </c>
    </row>
    <row r="53" spans="1:9" x14ac:dyDescent="0.25">
      <c r="A53" s="13" t="s">
        <v>46</v>
      </c>
      <c r="B53" s="8">
        <v>75</v>
      </c>
      <c r="C53" s="4">
        <v>0</v>
      </c>
      <c r="D53" s="6">
        <f t="shared" si="0"/>
        <v>75</v>
      </c>
      <c r="E53" s="8">
        <v>4</v>
      </c>
      <c r="F53" s="4">
        <v>3</v>
      </c>
      <c r="G53" s="4">
        <v>0</v>
      </c>
      <c r="H53" s="9">
        <f t="shared" si="1"/>
        <v>7</v>
      </c>
      <c r="I53" s="16">
        <f t="shared" si="2"/>
        <v>82</v>
      </c>
    </row>
    <row r="54" spans="1:9" x14ac:dyDescent="0.25">
      <c r="A54" s="13" t="s">
        <v>47</v>
      </c>
      <c r="B54" s="8">
        <v>68</v>
      </c>
      <c r="C54" s="4">
        <v>2</v>
      </c>
      <c r="D54" s="6">
        <f t="shared" si="0"/>
        <v>70</v>
      </c>
      <c r="E54" s="8">
        <v>6</v>
      </c>
      <c r="F54" s="4">
        <v>1</v>
      </c>
      <c r="G54" s="4">
        <v>0</v>
      </c>
      <c r="H54" s="9">
        <f t="shared" si="1"/>
        <v>7</v>
      </c>
      <c r="I54" s="16">
        <f t="shared" si="2"/>
        <v>77</v>
      </c>
    </row>
    <row r="55" spans="1:9" x14ac:dyDescent="0.25">
      <c r="A55" s="13" t="s">
        <v>48</v>
      </c>
      <c r="B55" s="8">
        <v>0</v>
      </c>
      <c r="C55" s="4">
        <v>0</v>
      </c>
      <c r="D55" s="6">
        <f t="shared" si="0"/>
        <v>0</v>
      </c>
      <c r="E55" s="8">
        <v>28</v>
      </c>
      <c r="F55" s="4">
        <v>4</v>
      </c>
      <c r="G55" s="4">
        <v>0</v>
      </c>
      <c r="H55" s="9">
        <f t="shared" si="1"/>
        <v>32</v>
      </c>
      <c r="I55" s="16">
        <f t="shared" si="2"/>
        <v>32</v>
      </c>
    </row>
    <row r="56" spans="1:9" x14ac:dyDescent="0.25">
      <c r="A56" s="13" t="s">
        <v>49</v>
      </c>
      <c r="B56" s="8">
        <v>68</v>
      </c>
      <c r="C56" s="4">
        <v>0</v>
      </c>
      <c r="D56" s="6">
        <f t="shared" si="0"/>
        <v>68</v>
      </c>
      <c r="E56" s="8">
        <v>7</v>
      </c>
      <c r="F56" s="4">
        <v>7</v>
      </c>
      <c r="G56" s="4">
        <v>0</v>
      </c>
      <c r="H56" s="9">
        <f t="shared" si="1"/>
        <v>14</v>
      </c>
      <c r="I56" s="16">
        <f t="shared" si="2"/>
        <v>82</v>
      </c>
    </row>
    <row r="57" spans="1:9" x14ac:dyDescent="0.25">
      <c r="A57" s="13" t="s">
        <v>50</v>
      </c>
      <c r="B57" s="8">
        <v>157</v>
      </c>
      <c r="C57" s="4">
        <v>3</v>
      </c>
      <c r="D57" s="6">
        <f t="shared" si="0"/>
        <v>160</v>
      </c>
      <c r="E57" s="8">
        <v>21</v>
      </c>
      <c r="F57" s="4">
        <v>4</v>
      </c>
      <c r="G57" s="4">
        <v>0</v>
      </c>
      <c r="H57" s="9">
        <f t="shared" si="1"/>
        <v>25</v>
      </c>
      <c r="I57" s="16">
        <f t="shared" si="2"/>
        <v>185</v>
      </c>
    </row>
    <row r="58" spans="1:9" x14ac:dyDescent="0.25">
      <c r="A58" s="13" t="s">
        <v>52</v>
      </c>
      <c r="B58" s="8">
        <v>8</v>
      </c>
      <c r="C58" s="4">
        <v>0</v>
      </c>
      <c r="D58" s="6">
        <f t="shared" si="0"/>
        <v>8</v>
      </c>
      <c r="E58" s="8">
        <v>16</v>
      </c>
      <c r="F58" s="4">
        <v>1</v>
      </c>
      <c r="G58" s="4">
        <v>0</v>
      </c>
      <c r="H58" s="9">
        <f t="shared" si="1"/>
        <v>17</v>
      </c>
      <c r="I58" s="16">
        <f t="shared" si="2"/>
        <v>25</v>
      </c>
    </row>
    <row r="59" spans="1:9" x14ac:dyDescent="0.25">
      <c r="A59" s="13" t="s">
        <v>53</v>
      </c>
      <c r="B59" s="8">
        <v>649</v>
      </c>
      <c r="C59" s="4">
        <v>5</v>
      </c>
      <c r="D59" s="6">
        <f t="shared" si="0"/>
        <v>654</v>
      </c>
      <c r="E59" s="8">
        <v>0</v>
      </c>
      <c r="F59" s="4">
        <v>0</v>
      </c>
      <c r="G59" s="4">
        <v>0</v>
      </c>
      <c r="H59" s="9">
        <f t="shared" si="1"/>
        <v>0</v>
      </c>
      <c r="I59" s="16">
        <f t="shared" si="2"/>
        <v>654</v>
      </c>
    </row>
    <row r="60" spans="1:9" x14ac:dyDescent="0.25">
      <c r="A60" s="13" t="s">
        <v>54</v>
      </c>
      <c r="B60" s="8">
        <v>1009</v>
      </c>
      <c r="C60" s="4">
        <v>20</v>
      </c>
      <c r="D60" s="6">
        <f t="shared" si="0"/>
        <v>1029</v>
      </c>
      <c r="E60" s="8">
        <v>0</v>
      </c>
      <c r="F60" s="4">
        <v>1</v>
      </c>
      <c r="G60" s="4">
        <v>0</v>
      </c>
      <c r="H60" s="9">
        <f t="shared" si="1"/>
        <v>1</v>
      </c>
      <c r="I60" s="16">
        <f t="shared" si="2"/>
        <v>1030</v>
      </c>
    </row>
    <row r="61" spans="1:9" x14ac:dyDescent="0.25">
      <c r="A61" s="13" t="s">
        <v>99</v>
      </c>
      <c r="B61" s="8">
        <v>0</v>
      </c>
      <c r="C61" s="4">
        <v>0</v>
      </c>
      <c r="D61" s="6">
        <f t="shared" si="0"/>
        <v>0</v>
      </c>
      <c r="E61" s="8">
        <v>10</v>
      </c>
      <c r="F61" s="4">
        <v>2</v>
      </c>
      <c r="G61" s="4">
        <v>0</v>
      </c>
      <c r="H61" s="9">
        <f t="shared" si="1"/>
        <v>12</v>
      </c>
      <c r="I61" s="16">
        <f t="shared" si="2"/>
        <v>12</v>
      </c>
    </row>
    <row r="62" spans="1:9" x14ac:dyDescent="0.25">
      <c r="A62" s="13" t="s">
        <v>87</v>
      </c>
      <c r="B62" s="8">
        <v>0</v>
      </c>
      <c r="C62" s="4">
        <v>0</v>
      </c>
      <c r="D62" s="6">
        <f t="shared" si="0"/>
        <v>0</v>
      </c>
      <c r="E62" s="8">
        <v>100</v>
      </c>
      <c r="F62" s="4">
        <v>134</v>
      </c>
      <c r="G62" s="4">
        <v>6</v>
      </c>
      <c r="H62" s="9">
        <f t="shared" si="1"/>
        <v>240</v>
      </c>
      <c r="I62" s="16">
        <f t="shared" si="2"/>
        <v>240</v>
      </c>
    </row>
    <row r="63" spans="1:9" x14ac:dyDescent="0.25">
      <c r="A63" s="13" t="s">
        <v>91</v>
      </c>
      <c r="B63" s="8">
        <v>0</v>
      </c>
      <c r="C63" s="4">
        <v>0</v>
      </c>
      <c r="D63" s="6">
        <f t="shared" si="0"/>
        <v>0</v>
      </c>
      <c r="E63" s="8">
        <v>0</v>
      </c>
      <c r="F63" s="4">
        <v>53</v>
      </c>
      <c r="G63" s="4">
        <v>0</v>
      </c>
      <c r="H63" s="9">
        <f t="shared" si="1"/>
        <v>53</v>
      </c>
      <c r="I63" s="16">
        <f t="shared" si="2"/>
        <v>53</v>
      </c>
    </row>
    <row r="64" spans="1:9" x14ac:dyDescent="0.25">
      <c r="A64" s="13" t="s">
        <v>108</v>
      </c>
      <c r="B64" s="8">
        <v>0</v>
      </c>
      <c r="C64" s="4">
        <v>0</v>
      </c>
      <c r="D64" s="6">
        <f t="shared" si="0"/>
        <v>0</v>
      </c>
      <c r="E64" s="8">
        <v>0</v>
      </c>
      <c r="F64" s="4">
        <v>9</v>
      </c>
      <c r="G64" s="4">
        <v>0</v>
      </c>
      <c r="H64" s="9">
        <f t="shared" si="1"/>
        <v>9</v>
      </c>
      <c r="I64" s="16">
        <f t="shared" si="2"/>
        <v>9</v>
      </c>
    </row>
    <row r="65" spans="1:9" x14ac:dyDescent="0.25">
      <c r="A65" s="13" t="s">
        <v>102</v>
      </c>
      <c r="B65" s="8">
        <v>0</v>
      </c>
      <c r="C65" s="4">
        <v>0</v>
      </c>
      <c r="D65" s="6">
        <f t="shared" si="0"/>
        <v>0</v>
      </c>
      <c r="E65" s="8">
        <v>136</v>
      </c>
      <c r="F65" s="4">
        <v>184</v>
      </c>
      <c r="G65" s="4">
        <v>0</v>
      </c>
      <c r="H65" s="9">
        <f t="shared" si="1"/>
        <v>320</v>
      </c>
      <c r="I65" s="16">
        <f t="shared" si="2"/>
        <v>320</v>
      </c>
    </row>
    <row r="66" spans="1:9" x14ac:dyDescent="0.25">
      <c r="A66" s="13" t="s">
        <v>84</v>
      </c>
      <c r="B66" s="8">
        <v>0</v>
      </c>
      <c r="C66" s="4">
        <v>0</v>
      </c>
      <c r="D66" s="6">
        <f t="shared" si="0"/>
        <v>0</v>
      </c>
      <c r="E66" s="8">
        <v>19</v>
      </c>
      <c r="F66" s="4">
        <v>6</v>
      </c>
      <c r="G66" s="4">
        <v>1</v>
      </c>
      <c r="H66" s="9">
        <f t="shared" si="1"/>
        <v>26</v>
      </c>
      <c r="I66" s="16">
        <f t="shared" si="2"/>
        <v>26</v>
      </c>
    </row>
    <row r="67" spans="1:9" x14ac:dyDescent="0.25">
      <c r="A67" s="13" t="s">
        <v>57</v>
      </c>
      <c r="B67" s="8">
        <v>0</v>
      </c>
      <c r="C67" s="4">
        <v>0</v>
      </c>
      <c r="D67" s="6">
        <f t="shared" si="0"/>
        <v>0</v>
      </c>
      <c r="E67" s="8">
        <v>12</v>
      </c>
      <c r="F67" s="4">
        <v>19</v>
      </c>
      <c r="G67" s="4">
        <v>0</v>
      </c>
      <c r="H67" s="9">
        <f t="shared" si="1"/>
        <v>31</v>
      </c>
      <c r="I67" s="16">
        <f t="shared" si="2"/>
        <v>31</v>
      </c>
    </row>
    <row r="68" spans="1:9" x14ac:dyDescent="0.25">
      <c r="A68" s="13" t="s">
        <v>58</v>
      </c>
      <c r="B68" s="8">
        <v>0</v>
      </c>
      <c r="C68" s="4">
        <v>0</v>
      </c>
      <c r="D68" s="6">
        <f t="shared" si="0"/>
        <v>0</v>
      </c>
      <c r="E68" s="8">
        <v>4</v>
      </c>
      <c r="F68" s="4">
        <v>2</v>
      </c>
      <c r="G68" s="4">
        <v>0</v>
      </c>
      <c r="H68" s="9">
        <f t="shared" si="1"/>
        <v>6</v>
      </c>
      <c r="I68" s="16">
        <f t="shared" si="2"/>
        <v>6</v>
      </c>
    </row>
    <row r="69" spans="1:9" x14ac:dyDescent="0.25">
      <c r="A69" s="13" t="s">
        <v>109</v>
      </c>
      <c r="B69" s="8">
        <v>56</v>
      </c>
      <c r="C69" s="4">
        <v>1</v>
      </c>
      <c r="D69" s="6">
        <f t="shared" si="0"/>
        <v>57</v>
      </c>
      <c r="E69" s="8">
        <v>55</v>
      </c>
      <c r="F69" s="4">
        <v>13</v>
      </c>
      <c r="G69" s="4">
        <v>0</v>
      </c>
      <c r="H69" s="9">
        <f t="shared" si="1"/>
        <v>68</v>
      </c>
      <c r="I69" s="16">
        <f t="shared" si="2"/>
        <v>125</v>
      </c>
    </row>
    <row r="70" spans="1:9" x14ac:dyDescent="0.25">
      <c r="A70" s="13" t="s">
        <v>60</v>
      </c>
      <c r="B70" s="8">
        <v>0</v>
      </c>
      <c r="C70" s="4">
        <v>0</v>
      </c>
      <c r="D70" s="6">
        <f t="shared" si="0"/>
        <v>0</v>
      </c>
      <c r="E70" s="8">
        <v>14</v>
      </c>
      <c r="F70" s="4">
        <v>19</v>
      </c>
      <c r="G70" s="4">
        <v>0</v>
      </c>
      <c r="H70" s="9">
        <f t="shared" si="1"/>
        <v>33</v>
      </c>
      <c r="I70" s="16">
        <f t="shared" si="2"/>
        <v>33</v>
      </c>
    </row>
    <row r="71" spans="1:9" x14ac:dyDescent="0.25">
      <c r="A71" s="13" t="s">
        <v>110</v>
      </c>
      <c r="B71" s="8">
        <v>0</v>
      </c>
      <c r="C71" s="4">
        <v>0</v>
      </c>
      <c r="D71" s="6">
        <f t="shared" si="0"/>
        <v>0</v>
      </c>
      <c r="E71" s="8">
        <v>20</v>
      </c>
      <c r="F71" s="4">
        <v>15</v>
      </c>
      <c r="G71" s="4">
        <v>0</v>
      </c>
      <c r="H71" s="9">
        <f t="shared" si="1"/>
        <v>35</v>
      </c>
      <c r="I71" s="16">
        <f t="shared" si="2"/>
        <v>35</v>
      </c>
    </row>
    <row r="72" spans="1:9" x14ac:dyDescent="0.25">
      <c r="A72" s="13" t="s">
        <v>61</v>
      </c>
      <c r="B72" s="8">
        <v>8</v>
      </c>
      <c r="C72" s="4">
        <v>0</v>
      </c>
      <c r="D72" s="6">
        <f t="shared" si="0"/>
        <v>8</v>
      </c>
      <c r="E72" s="8">
        <v>41</v>
      </c>
      <c r="F72" s="4">
        <v>54</v>
      </c>
      <c r="G72" s="4">
        <v>0</v>
      </c>
      <c r="H72" s="9">
        <f t="shared" si="1"/>
        <v>95</v>
      </c>
      <c r="I72" s="16">
        <f t="shared" si="2"/>
        <v>103</v>
      </c>
    </row>
    <row r="73" spans="1:9" x14ac:dyDescent="0.25">
      <c r="A73" s="13" t="s">
        <v>86</v>
      </c>
      <c r="B73" s="8">
        <v>0</v>
      </c>
      <c r="C73" s="4">
        <v>0</v>
      </c>
      <c r="D73" s="6">
        <f t="shared" si="0"/>
        <v>0</v>
      </c>
      <c r="E73" s="8">
        <v>1</v>
      </c>
      <c r="F73" s="4">
        <v>0</v>
      </c>
      <c r="G73" s="4">
        <v>0</v>
      </c>
      <c r="H73" s="9">
        <f t="shared" si="1"/>
        <v>1</v>
      </c>
      <c r="I73" s="16">
        <f t="shared" si="2"/>
        <v>1</v>
      </c>
    </row>
    <row r="74" spans="1:9" x14ac:dyDescent="0.25">
      <c r="A74" s="13" t="s">
        <v>111</v>
      </c>
      <c r="B74" s="8">
        <v>0</v>
      </c>
      <c r="C74" s="4">
        <v>0</v>
      </c>
      <c r="D74" s="6">
        <f t="shared" si="0"/>
        <v>0</v>
      </c>
      <c r="E74" s="8">
        <v>3</v>
      </c>
      <c r="F74" s="4">
        <v>1</v>
      </c>
      <c r="G74" s="4">
        <v>0</v>
      </c>
      <c r="H74" s="9">
        <f t="shared" si="1"/>
        <v>4</v>
      </c>
      <c r="I74" s="16">
        <f t="shared" si="2"/>
        <v>4</v>
      </c>
    </row>
    <row r="75" spans="1:9" x14ac:dyDescent="0.25">
      <c r="A75" s="13" t="s">
        <v>94</v>
      </c>
      <c r="B75" s="8">
        <v>0</v>
      </c>
      <c r="C75" s="4">
        <v>0</v>
      </c>
      <c r="D75" s="6">
        <f t="shared" si="0"/>
        <v>0</v>
      </c>
      <c r="E75" s="8">
        <v>49</v>
      </c>
      <c r="F75" s="4">
        <v>54</v>
      </c>
      <c r="G75" s="4">
        <v>0</v>
      </c>
      <c r="H75" s="9">
        <f t="shared" si="1"/>
        <v>103</v>
      </c>
      <c r="I75" s="16">
        <f t="shared" si="2"/>
        <v>103</v>
      </c>
    </row>
    <row r="76" spans="1:9" x14ac:dyDescent="0.25">
      <c r="A76" s="13" t="s">
        <v>64</v>
      </c>
      <c r="B76" s="8">
        <v>0</v>
      </c>
      <c r="C76" s="4">
        <v>0</v>
      </c>
      <c r="D76" s="6">
        <f t="shared" si="0"/>
        <v>0</v>
      </c>
      <c r="E76" s="8">
        <v>2</v>
      </c>
      <c r="F76" s="4">
        <v>0</v>
      </c>
      <c r="G76" s="4">
        <v>0</v>
      </c>
      <c r="H76" s="9">
        <f t="shared" si="1"/>
        <v>2</v>
      </c>
      <c r="I76" s="16">
        <f t="shared" si="2"/>
        <v>2</v>
      </c>
    </row>
    <row r="77" spans="1:9" x14ac:dyDescent="0.25">
      <c r="A77" s="13" t="s">
        <v>65</v>
      </c>
      <c r="B77" s="8">
        <v>0</v>
      </c>
      <c r="C77" s="4">
        <v>0</v>
      </c>
      <c r="D77" s="6">
        <f t="shared" si="0"/>
        <v>0</v>
      </c>
      <c r="E77" s="8">
        <v>12</v>
      </c>
      <c r="F77" s="4">
        <v>15</v>
      </c>
      <c r="G77" s="4">
        <v>1</v>
      </c>
      <c r="H77" s="9">
        <f t="shared" si="1"/>
        <v>28</v>
      </c>
      <c r="I77" s="16">
        <f t="shared" si="2"/>
        <v>28</v>
      </c>
    </row>
    <row r="78" spans="1:9" x14ac:dyDescent="0.25">
      <c r="A78" s="13" t="s">
        <v>66</v>
      </c>
      <c r="B78" s="8">
        <v>0</v>
      </c>
      <c r="C78" s="4">
        <v>0</v>
      </c>
      <c r="D78" s="6">
        <f t="shared" si="0"/>
        <v>0</v>
      </c>
      <c r="E78" s="8">
        <v>23</v>
      </c>
      <c r="F78" s="4">
        <v>6</v>
      </c>
      <c r="G78" s="4">
        <v>0</v>
      </c>
      <c r="H78" s="9">
        <f t="shared" si="1"/>
        <v>29</v>
      </c>
      <c r="I78" s="16">
        <f t="shared" si="2"/>
        <v>29</v>
      </c>
    </row>
    <row r="79" spans="1:9" x14ac:dyDescent="0.25">
      <c r="A79" s="13" t="s">
        <v>75</v>
      </c>
      <c r="B79" s="8">
        <v>0</v>
      </c>
      <c r="C79" s="4">
        <v>0</v>
      </c>
      <c r="D79" s="6">
        <f t="shared" si="0"/>
        <v>0</v>
      </c>
      <c r="E79" s="8">
        <v>46</v>
      </c>
      <c r="F79" s="4">
        <v>31</v>
      </c>
      <c r="G79" s="4">
        <v>1</v>
      </c>
      <c r="H79" s="9">
        <f t="shared" si="1"/>
        <v>78</v>
      </c>
      <c r="I79" s="16">
        <f t="shared" si="2"/>
        <v>78</v>
      </c>
    </row>
    <row r="80" spans="1:9" x14ac:dyDescent="0.25">
      <c r="A80" s="13" t="s">
        <v>67</v>
      </c>
      <c r="B80" s="8">
        <v>19</v>
      </c>
      <c r="C80" s="4">
        <v>0</v>
      </c>
      <c r="D80" s="6">
        <f t="shared" ref="D80:D89" si="6">B80+C80</f>
        <v>19</v>
      </c>
      <c r="E80" s="8">
        <v>15</v>
      </c>
      <c r="F80" s="4">
        <v>1</v>
      </c>
      <c r="G80" s="4">
        <v>0</v>
      </c>
      <c r="H80" s="9">
        <f t="shared" ref="H80:H89" si="7">E80+F80+G80</f>
        <v>16</v>
      </c>
      <c r="I80" s="16">
        <f t="shared" ref="I80:I89" si="8">H80+D80</f>
        <v>35</v>
      </c>
    </row>
    <row r="81" spans="1:10" x14ac:dyDescent="0.25">
      <c r="A81" s="13" t="s">
        <v>112</v>
      </c>
      <c r="B81" s="8">
        <v>0</v>
      </c>
      <c r="C81" s="4">
        <v>0</v>
      </c>
      <c r="D81" s="6">
        <f t="shared" si="6"/>
        <v>0</v>
      </c>
      <c r="E81" s="8">
        <v>7</v>
      </c>
      <c r="F81" s="4">
        <v>3</v>
      </c>
      <c r="G81" s="4">
        <v>0</v>
      </c>
      <c r="H81" s="9">
        <f t="shared" si="7"/>
        <v>10</v>
      </c>
      <c r="I81" s="16">
        <f t="shared" si="8"/>
        <v>10</v>
      </c>
    </row>
    <row r="82" spans="1:10" x14ac:dyDescent="0.25">
      <c r="A82" s="13" t="s">
        <v>92</v>
      </c>
      <c r="B82" s="8">
        <v>65</v>
      </c>
      <c r="C82" s="4">
        <v>7</v>
      </c>
      <c r="D82" s="6">
        <f t="shared" si="6"/>
        <v>72</v>
      </c>
      <c r="E82" s="8">
        <v>0</v>
      </c>
      <c r="F82" s="4">
        <v>0</v>
      </c>
      <c r="G82" s="4">
        <v>0</v>
      </c>
      <c r="H82" s="9">
        <f t="shared" si="7"/>
        <v>0</v>
      </c>
      <c r="I82" s="16">
        <f t="shared" si="8"/>
        <v>72</v>
      </c>
    </row>
    <row r="83" spans="1:10" x14ac:dyDescent="0.25">
      <c r="A83" s="13" t="s">
        <v>113</v>
      </c>
      <c r="B83" s="8">
        <v>8</v>
      </c>
      <c r="C83" s="4">
        <v>1</v>
      </c>
      <c r="D83" s="6">
        <f t="shared" si="6"/>
        <v>9</v>
      </c>
      <c r="E83" s="8">
        <v>0</v>
      </c>
      <c r="F83" s="4">
        <v>22</v>
      </c>
      <c r="G83" s="4">
        <v>0</v>
      </c>
      <c r="H83" s="9">
        <f t="shared" si="7"/>
        <v>22</v>
      </c>
      <c r="I83" s="16">
        <f t="shared" si="8"/>
        <v>31</v>
      </c>
    </row>
    <row r="84" spans="1:10" x14ac:dyDescent="0.25">
      <c r="A84" s="13" t="s">
        <v>114</v>
      </c>
      <c r="B84" s="8">
        <v>0</v>
      </c>
      <c r="C84" s="4">
        <v>0</v>
      </c>
      <c r="D84" s="6">
        <f t="shared" si="6"/>
        <v>0</v>
      </c>
      <c r="E84" s="8">
        <v>16</v>
      </c>
      <c r="F84" s="4">
        <v>71</v>
      </c>
      <c r="G84" s="4">
        <v>0</v>
      </c>
      <c r="H84" s="9">
        <f t="shared" si="7"/>
        <v>87</v>
      </c>
      <c r="I84" s="16">
        <f t="shared" si="8"/>
        <v>87</v>
      </c>
    </row>
    <row r="85" spans="1:10" ht="15" customHeight="1" x14ac:dyDescent="0.25">
      <c r="A85" s="13" t="s">
        <v>71</v>
      </c>
      <c r="B85" s="8">
        <v>0</v>
      </c>
      <c r="C85" s="4">
        <v>0</v>
      </c>
      <c r="D85" s="6">
        <f t="shared" si="6"/>
        <v>0</v>
      </c>
      <c r="E85" s="8">
        <v>7</v>
      </c>
      <c r="F85" s="4">
        <v>15</v>
      </c>
      <c r="G85" s="4">
        <v>0</v>
      </c>
      <c r="H85" s="9">
        <f t="shared" si="7"/>
        <v>22</v>
      </c>
      <c r="I85" s="16">
        <f t="shared" si="8"/>
        <v>22</v>
      </c>
      <c r="J85" s="19"/>
    </row>
    <row r="86" spans="1:10" x14ac:dyDescent="0.25">
      <c r="A86" s="13" t="s">
        <v>72</v>
      </c>
      <c r="B86" s="8">
        <v>13</v>
      </c>
      <c r="C86" s="4">
        <v>0</v>
      </c>
      <c r="D86" s="6">
        <f t="shared" si="6"/>
        <v>13</v>
      </c>
      <c r="E86" s="8">
        <v>14</v>
      </c>
      <c r="F86" s="4">
        <v>33</v>
      </c>
      <c r="G86" s="4">
        <v>0</v>
      </c>
      <c r="H86" s="9">
        <f t="shared" si="7"/>
        <v>47</v>
      </c>
      <c r="I86" s="16">
        <f t="shared" si="8"/>
        <v>60</v>
      </c>
      <c r="J86" s="19"/>
    </row>
    <row r="87" spans="1:10" x14ac:dyDescent="0.25">
      <c r="A87" s="13" t="s">
        <v>73</v>
      </c>
      <c r="B87" s="8">
        <v>0</v>
      </c>
      <c r="C87" s="4">
        <v>0</v>
      </c>
      <c r="D87" s="6">
        <f t="shared" si="6"/>
        <v>0</v>
      </c>
      <c r="E87" s="8">
        <v>2</v>
      </c>
      <c r="F87" s="4">
        <v>38</v>
      </c>
      <c r="G87" s="4">
        <v>0</v>
      </c>
      <c r="H87" s="9">
        <f t="shared" si="7"/>
        <v>40</v>
      </c>
      <c r="I87" s="16">
        <f t="shared" si="8"/>
        <v>40</v>
      </c>
    </row>
    <row r="88" spans="1:10" x14ac:dyDescent="0.25">
      <c r="A88" s="13" t="s">
        <v>74</v>
      </c>
      <c r="B88" s="8">
        <v>0</v>
      </c>
      <c r="C88" s="4">
        <v>0</v>
      </c>
      <c r="D88" s="6">
        <f t="shared" si="6"/>
        <v>0</v>
      </c>
      <c r="E88" s="8">
        <v>7</v>
      </c>
      <c r="F88" s="4">
        <v>7</v>
      </c>
      <c r="G88" s="4">
        <v>0</v>
      </c>
      <c r="H88" s="9">
        <f t="shared" si="7"/>
        <v>14</v>
      </c>
      <c r="I88" s="16">
        <f t="shared" si="8"/>
        <v>14</v>
      </c>
    </row>
    <row r="89" spans="1:10" ht="15.75" thickBot="1" x14ac:dyDescent="0.3">
      <c r="A89" s="14" t="s">
        <v>115</v>
      </c>
      <c r="B89" s="10">
        <v>458</v>
      </c>
      <c r="C89" s="5">
        <v>4</v>
      </c>
      <c r="D89" s="7">
        <f t="shared" si="6"/>
        <v>462</v>
      </c>
      <c r="E89" s="10">
        <v>82</v>
      </c>
      <c r="F89" s="5">
        <v>37</v>
      </c>
      <c r="G89" s="5">
        <v>2</v>
      </c>
      <c r="H89" s="11">
        <f t="shared" si="7"/>
        <v>121</v>
      </c>
      <c r="I89" s="17">
        <f t="shared" si="8"/>
        <v>583</v>
      </c>
    </row>
    <row r="90" spans="1:10" ht="16.5" thickTop="1" thickBot="1" x14ac:dyDescent="0.3">
      <c r="A90" s="15" t="s">
        <v>0</v>
      </c>
      <c r="B90" s="12">
        <f>SUM(B8:B89)</f>
        <v>10694</v>
      </c>
      <c r="C90" s="12">
        <f t="shared" ref="C90:I90" si="9">SUM(C8:C89)</f>
        <v>203</v>
      </c>
      <c r="D90" s="15">
        <f t="shared" si="9"/>
        <v>10897</v>
      </c>
      <c r="E90" s="12">
        <f t="shared" si="9"/>
        <v>4013</v>
      </c>
      <c r="F90" s="12">
        <f t="shared" si="9"/>
        <v>1885</v>
      </c>
      <c r="G90" s="12">
        <f t="shared" si="9"/>
        <v>55</v>
      </c>
      <c r="H90" s="18">
        <f t="shared" si="9"/>
        <v>5953</v>
      </c>
      <c r="I90" s="18">
        <f t="shared" si="9"/>
        <v>16850</v>
      </c>
    </row>
    <row r="92" spans="1:10" x14ac:dyDescent="0.25">
      <c r="A92" s="33" t="s">
        <v>88</v>
      </c>
      <c r="B92" s="33"/>
      <c r="C92" s="33"/>
      <c r="D92" s="33"/>
      <c r="E92" s="33"/>
      <c r="F92" s="33"/>
      <c r="G92" s="33"/>
      <c r="H92" s="33"/>
      <c r="I92" s="33"/>
    </row>
    <row r="93" spans="1:10" x14ac:dyDescent="0.25">
      <c r="A93" s="33"/>
      <c r="B93" s="33"/>
      <c r="C93" s="33"/>
      <c r="D93" s="33"/>
      <c r="E93" s="33"/>
      <c r="F93" s="33"/>
      <c r="G93" s="33"/>
      <c r="H93" s="33"/>
      <c r="I93" s="33"/>
    </row>
  </sheetData>
  <mergeCells count="13">
    <mergeCell ref="A92:I93"/>
    <mergeCell ref="G6:G7"/>
    <mergeCell ref="H6:H7"/>
    <mergeCell ref="A2:I2"/>
    <mergeCell ref="A5:A7"/>
    <mergeCell ref="B5:D5"/>
    <mergeCell ref="E5:H5"/>
    <mergeCell ref="I5:I7"/>
    <mergeCell ref="B6:B7"/>
    <mergeCell ref="C6:C7"/>
    <mergeCell ref="D6:D7"/>
    <mergeCell ref="E6:E7"/>
    <mergeCell ref="F6:F7"/>
  </mergeCells>
  <pageMargins left="0.7" right="0.7" top="0.75" bottom="0.75" header="0.3" footer="0.3"/>
  <pageSetup paperSize="9" orientation="portrait" r:id="rId1"/>
  <headerFooter>
    <oddHeader>&amp;CUCL Student Data Statistics</oddHeader>
    <oddFooter>&amp;L&amp;F - &amp;A&amp;RPage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J104"/>
  <sheetViews>
    <sheetView tabSelected="1" view="pageLayout" zoomScale="85" zoomScaleNormal="100" zoomScalePageLayoutView="85" workbookViewId="0">
      <selection activeCell="A47" sqref="A47"/>
    </sheetView>
  </sheetViews>
  <sheetFormatPr defaultColWidth="9" defaultRowHeight="15" x14ac:dyDescent="0.25"/>
  <cols>
    <col min="1" max="1" width="31.28515625" customWidth="1"/>
    <col min="2" max="9" width="6.7109375" customWidth="1"/>
  </cols>
  <sheetData>
    <row r="1" spans="1:9" ht="18" x14ac:dyDescent="0.25">
      <c r="A1" s="1" t="s">
        <v>2</v>
      </c>
      <c r="B1" s="3"/>
    </row>
    <row r="2" spans="1:9" x14ac:dyDescent="0.25">
      <c r="A2" s="34" t="s">
        <v>3</v>
      </c>
      <c r="B2" s="34"/>
      <c r="C2" s="34"/>
      <c r="D2" s="34"/>
      <c r="E2" s="34"/>
      <c r="F2" s="34"/>
      <c r="G2" s="34"/>
      <c r="H2" s="34"/>
      <c r="I2" s="34"/>
    </row>
    <row r="3" spans="1:9" ht="15" customHeight="1" x14ac:dyDescent="0.25">
      <c r="A3" s="28" t="str">
        <f ca="1">RIGHT(CELL("filename",A1),LEN(CELL("filename",A1))-FIND("]",CELL("filename",A1)))</f>
        <v>1999-00</v>
      </c>
      <c r="B3" s="3"/>
    </row>
    <row r="4" spans="1:9" ht="15.75" thickBot="1" x14ac:dyDescent="0.3">
      <c r="A4" s="3"/>
      <c r="B4" s="3"/>
    </row>
    <row r="5" spans="1:9" x14ac:dyDescent="0.25">
      <c r="A5" s="35" t="s">
        <v>4</v>
      </c>
      <c r="B5" s="38" t="s">
        <v>5</v>
      </c>
      <c r="C5" s="39"/>
      <c r="D5" s="39"/>
      <c r="E5" s="38" t="s">
        <v>6</v>
      </c>
      <c r="F5" s="39"/>
      <c r="G5" s="39"/>
      <c r="H5" s="40"/>
      <c r="I5" s="41" t="s">
        <v>0</v>
      </c>
    </row>
    <row r="6" spans="1:9" ht="15" customHeight="1" x14ac:dyDescent="0.25">
      <c r="A6" s="36"/>
      <c r="B6" s="44" t="s">
        <v>76</v>
      </c>
      <c r="C6" s="29" t="s">
        <v>77</v>
      </c>
      <c r="D6" s="46" t="s">
        <v>0</v>
      </c>
      <c r="E6" s="44" t="s">
        <v>76</v>
      </c>
      <c r="F6" s="29" t="s">
        <v>77</v>
      </c>
      <c r="G6" s="29" t="s">
        <v>78</v>
      </c>
      <c r="H6" s="31" t="s">
        <v>0</v>
      </c>
      <c r="I6" s="42"/>
    </row>
    <row r="7" spans="1:9" x14ac:dyDescent="0.25">
      <c r="A7" s="37"/>
      <c r="B7" s="45"/>
      <c r="C7" s="30"/>
      <c r="D7" s="47"/>
      <c r="E7" s="45"/>
      <c r="F7" s="30"/>
      <c r="G7" s="30"/>
      <c r="H7" s="32"/>
      <c r="I7" s="43"/>
    </row>
    <row r="8" spans="1:9" x14ac:dyDescent="0.25">
      <c r="A8" s="13" t="s">
        <v>7</v>
      </c>
      <c r="B8" s="8">
        <v>230</v>
      </c>
      <c r="C8" s="4">
        <v>2</v>
      </c>
      <c r="D8" s="6">
        <f>B8+C8</f>
        <v>232</v>
      </c>
      <c r="E8" s="8">
        <v>92</v>
      </c>
      <c r="F8" s="4">
        <v>18</v>
      </c>
      <c r="G8" s="4">
        <v>0</v>
      </c>
      <c r="H8" s="9">
        <f>E8+F8+G8</f>
        <v>110</v>
      </c>
      <c r="I8" s="16">
        <f>H8+D8</f>
        <v>342</v>
      </c>
    </row>
    <row r="9" spans="1:9" x14ac:dyDescent="0.25">
      <c r="A9" s="13" t="s">
        <v>8</v>
      </c>
      <c r="B9" s="8">
        <v>171</v>
      </c>
      <c r="C9" s="4">
        <v>0</v>
      </c>
      <c r="D9" s="6">
        <f t="shared" ref="D9:D90" si="0">B9+C9</f>
        <v>171</v>
      </c>
      <c r="E9" s="8">
        <v>84</v>
      </c>
      <c r="F9" s="4">
        <v>20</v>
      </c>
      <c r="G9" s="4">
        <v>23</v>
      </c>
      <c r="H9" s="9">
        <f t="shared" ref="H9:H90" si="1">E9+F9+G9</f>
        <v>127</v>
      </c>
      <c r="I9" s="16">
        <f t="shared" ref="I9:I90" si="2">H9+D9</f>
        <v>298</v>
      </c>
    </row>
    <row r="10" spans="1:9" x14ac:dyDescent="0.25">
      <c r="A10" s="13" t="s">
        <v>9</v>
      </c>
      <c r="B10" s="8">
        <v>258</v>
      </c>
      <c r="C10" s="4">
        <v>8</v>
      </c>
      <c r="D10" s="6">
        <f t="shared" si="0"/>
        <v>266</v>
      </c>
      <c r="E10" s="8">
        <v>145</v>
      </c>
      <c r="F10" s="4">
        <v>46</v>
      </c>
      <c r="G10" s="4">
        <v>7</v>
      </c>
      <c r="H10" s="9">
        <f t="shared" si="1"/>
        <v>198</v>
      </c>
      <c r="I10" s="16">
        <f t="shared" si="2"/>
        <v>464</v>
      </c>
    </row>
    <row r="11" spans="1:9" x14ac:dyDescent="0.25">
      <c r="A11" s="13" t="s">
        <v>79</v>
      </c>
      <c r="B11" s="8">
        <v>314</v>
      </c>
      <c r="C11" s="4">
        <v>3</v>
      </c>
      <c r="D11" s="6">
        <f t="shared" si="0"/>
        <v>317</v>
      </c>
      <c r="E11" s="8">
        <v>439</v>
      </c>
      <c r="F11" s="4">
        <v>106</v>
      </c>
      <c r="G11" s="4">
        <v>3</v>
      </c>
      <c r="H11" s="9">
        <f t="shared" si="1"/>
        <v>548</v>
      </c>
      <c r="I11" s="16">
        <f t="shared" si="2"/>
        <v>865</v>
      </c>
    </row>
    <row r="12" spans="1:9" x14ac:dyDescent="0.25">
      <c r="A12" s="13" t="s">
        <v>95</v>
      </c>
      <c r="B12" s="8">
        <v>95</v>
      </c>
      <c r="C12" s="4">
        <v>1</v>
      </c>
      <c r="D12" s="6">
        <f t="shared" si="0"/>
        <v>96</v>
      </c>
      <c r="E12" s="8">
        <v>64</v>
      </c>
      <c r="F12" s="4">
        <v>8</v>
      </c>
      <c r="G12" s="4">
        <v>0</v>
      </c>
      <c r="H12" s="9">
        <f t="shared" si="1"/>
        <v>72</v>
      </c>
      <c r="I12" s="16">
        <f t="shared" si="2"/>
        <v>168</v>
      </c>
    </row>
    <row r="13" spans="1:9" x14ac:dyDescent="0.25">
      <c r="A13" s="13" t="s">
        <v>11</v>
      </c>
      <c r="B13" s="8">
        <v>151</v>
      </c>
      <c r="C13" s="4">
        <v>3</v>
      </c>
      <c r="D13" s="6">
        <f t="shared" si="0"/>
        <v>154</v>
      </c>
      <c r="E13" s="8">
        <v>85</v>
      </c>
      <c r="F13" s="4">
        <v>3</v>
      </c>
      <c r="G13" s="4">
        <v>1</v>
      </c>
      <c r="H13" s="9">
        <f t="shared" si="1"/>
        <v>89</v>
      </c>
      <c r="I13" s="16">
        <f t="shared" si="2"/>
        <v>243</v>
      </c>
    </row>
    <row r="14" spans="1:9" x14ac:dyDescent="0.25">
      <c r="A14" s="13" t="s">
        <v>12</v>
      </c>
      <c r="B14" s="8">
        <v>285</v>
      </c>
      <c r="C14" s="4">
        <v>2</v>
      </c>
      <c r="D14" s="6">
        <f t="shared" si="0"/>
        <v>287</v>
      </c>
      <c r="E14" s="8">
        <v>95</v>
      </c>
      <c r="F14" s="4">
        <v>8</v>
      </c>
      <c r="G14" s="4">
        <v>1</v>
      </c>
      <c r="H14" s="9">
        <f t="shared" si="1"/>
        <v>104</v>
      </c>
      <c r="I14" s="16">
        <f t="shared" si="2"/>
        <v>391</v>
      </c>
    </row>
    <row r="15" spans="1:9" x14ac:dyDescent="0.25">
      <c r="A15" s="13" t="s">
        <v>80</v>
      </c>
      <c r="B15" s="8">
        <v>0</v>
      </c>
      <c r="C15" s="4">
        <v>0</v>
      </c>
      <c r="D15" s="6">
        <f t="shared" si="0"/>
        <v>0</v>
      </c>
      <c r="E15" s="8">
        <v>32</v>
      </c>
      <c r="F15" s="4">
        <v>0</v>
      </c>
      <c r="G15" s="4">
        <v>0</v>
      </c>
      <c r="H15" s="9">
        <f t="shared" si="1"/>
        <v>32</v>
      </c>
      <c r="I15" s="16">
        <f t="shared" si="2"/>
        <v>32</v>
      </c>
    </row>
    <row r="16" spans="1:9" x14ac:dyDescent="0.25">
      <c r="A16" s="13" t="s">
        <v>101</v>
      </c>
      <c r="B16" s="8">
        <v>0</v>
      </c>
      <c r="C16" s="4">
        <v>0</v>
      </c>
      <c r="D16" s="6">
        <f t="shared" si="0"/>
        <v>0</v>
      </c>
      <c r="E16" s="8">
        <v>6</v>
      </c>
      <c r="F16" s="4">
        <v>0</v>
      </c>
      <c r="G16" s="4">
        <v>0</v>
      </c>
      <c r="H16" s="9">
        <f t="shared" si="1"/>
        <v>6</v>
      </c>
      <c r="I16" s="16">
        <f t="shared" si="2"/>
        <v>6</v>
      </c>
    </row>
    <row r="17" spans="1:9" x14ac:dyDescent="0.25">
      <c r="A17" s="13" t="s">
        <v>96</v>
      </c>
      <c r="B17" s="8">
        <v>175</v>
      </c>
      <c r="C17" s="4">
        <v>1</v>
      </c>
      <c r="D17" s="6">
        <f t="shared" si="0"/>
        <v>176</v>
      </c>
      <c r="E17" s="8">
        <v>33</v>
      </c>
      <c r="F17" s="4">
        <v>4</v>
      </c>
      <c r="G17" s="4">
        <v>0</v>
      </c>
      <c r="H17" s="9">
        <f t="shared" si="1"/>
        <v>37</v>
      </c>
      <c r="I17" s="16">
        <f t="shared" si="2"/>
        <v>213</v>
      </c>
    </row>
    <row r="18" spans="1:9" x14ac:dyDescent="0.25">
      <c r="A18" s="13" t="s">
        <v>14</v>
      </c>
      <c r="B18" s="8">
        <v>248</v>
      </c>
      <c r="C18" s="4">
        <v>1</v>
      </c>
      <c r="D18" s="6">
        <f t="shared" si="0"/>
        <v>249</v>
      </c>
      <c r="E18" s="8">
        <v>88</v>
      </c>
      <c r="F18" s="4">
        <v>5</v>
      </c>
      <c r="G18" s="4">
        <v>0</v>
      </c>
      <c r="H18" s="9">
        <f t="shared" si="1"/>
        <v>93</v>
      </c>
      <c r="I18" s="16">
        <f t="shared" si="2"/>
        <v>342</v>
      </c>
    </row>
    <row r="19" spans="1:9" x14ac:dyDescent="0.25">
      <c r="A19" s="13" t="s">
        <v>15</v>
      </c>
      <c r="B19" s="8">
        <v>205</v>
      </c>
      <c r="C19" s="4">
        <v>3</v>
      </c>
      <c r="D19" s="6">
        <f t="shared" si="0"/>
        <v>208</v>
      </c>
      <c r="E19" s="8">
        <v>28</v>
      </c>
      <c r="F19" s="4">
        <v>6</v>
      </c>
      <c r="G19" s="4">
        <v>0</v>
      </c>
      <c r="H19" s="9">
        <f t="shared" si="1"/>
        <v>34</v>
      </c>
      <c r="I19" s="16">
        <f t="shared" si="2"/>
        <v>242</v>
      </c>
    </row>
    <row r="20" spans="1:9" x14ac:dyDescent="0.25">
      <c r="A20" s="13" t="s">
        <v>16</v>
      </c>
      <c r="B20" s="8">
        <v>160</v>
      </c>
      <c r="C20" s="4">
        <v>2</v>
      </c>
      <c r="D20" s="6">
        <f t="shared" si="0"/>
        <v>162</v>
      </c>
      <c r="E20" s="8">
        <v>128</v>
      </c>
      <c r="F20" s="4">
        <v>16</v>
      </c>
      <c r="G20" s="4">
        <v>0</v>
      </c>
      <c r="H20" s="9">
        <f t="shared" si="1"/>
        <v>144</v>
      </c>
      <c r="I20" s="16">
        <f t="shared" si="2"/>
        <v>306</v>
      </c>
    </row>
    <row r="21" spans="1:9" x14ac:dyDescent="0.25">
      <c r="A21" s="13" t="s">
        <v>17</v>
      </c>
      <c r="B21" s="8">
        <v>0</v>
      </c>
      <c r="C21" s="4">
        <v>0</v>
      </c>
      <c r="D21" s="6">
        <f t="shared" si="0"/>
        <v>0</v>
      </c>
      <c r="E21" s="8">
        <v>110</v>
      </c>
      <c r="F21" s="4">
        <v>5</v>
      </c>
      <c r="G21" s="4">
        <v>1</v>
      </c>
      <c r="H21" s="9">
        <f t="shared" si="1"/>
        <v>116</v>
      </c>
      <c r="I21" s="16">
        <f t="shared" si="2"/>
        <v>116</v>
      </c>
    </row>
    <row r="22" spans="1:9" x14ac:dyDescent="0.25">
      <c r="A22" s="13" t="s">
        <v>18</v>
      </c>
      <c r="B22" s="8">
        <v>33</v>
      </c>
      <c r="C22" s="4">
        <v>0</v>
      </c>
      <c r="D22" s="6">
        <f t="shared" si="0"/>
        <v>33</v>
      </c>
      <c r="E22" s="8">
        <v>4</v>
      </c>
      <c r="F22" s="4">
        <v>5</v>
      </c>
      <c r="G22" s="4">
        <v>0</v>
      </c>
      <c r="H22" s="9">
        <f t="shared" si="1"/>
        <v>9</v>
      </c>
      <c r="I22" s="16">
        <f t="shared" si="2"/>
        <v>42</v>
      </c>
    </row>
    <row r="23" spans="1:9" x14ac:dyDescent="0.25">
      <c r="A23" s="13" t="s">
        <v>19</v>
      </c>
      <c r="B23" s="8">
        <v>462</v>
      </c>
      <c r="C23" s="4">
        <v>6</v>
      </c>
      <c r="D23" s="6">
        <f t="shared" si="0"/>
        <v>468</v>
      </c>
      <c r="E23" s="8">
        <v>104</v>
      </c>
      <c r="F23" s="4">
        <v>15</v>
      </c>
      <c r="G23" s="4">
        <v>0</v>
      </c>
      <c r="H23" s="9">
        <f t="shared" si="1"/>
        <v>119</v>
      </c>
      <c r="I23" s="16">
        <f t="shared" si="2"/>
        <v>587</v>
      </c>
    </row>
    <row r="24" spans="1:9" x14ac:dyDescent="0.25">
      <c r="A24" s="13" t="s">
        <v>20</v>
      </c>
      <c r="B24" s="8">
        <v>187</v>
      </c>
      <c r="C24" s="4">
        <v>2</v>
      </c>
      <c r="D24" s="6">
        <f t="shared" si="0"/>
        <v>189</v>
      </c>
      <c r="E24" s="8">
        <v>119</v>
      </c>
      <c r="F24" s="4">
        <v>218</v>
      </c>
      <c r="G24" s="4">
        <v>0</v>
      </c>
      <c r="H24" s="9">
        <f t="shared" si="1"/>
        <v>337</v>
      </c>
      <c r="I24" s="16">
        <f t="shared" si="2"/>
        <v>526</v>
      </c>
    </row>
    <row r="25" spans="1:9" x14ac:dyDescent="0.25">
      <c r="A25" s="13" t="s">
        <v>21</v>
      </c>
      <c r="B25" s="8">
        <v>292</v>
      </c>
      <c r="C25" s="4">
        <v>0</v>
      </c>
      <c r="D25" s="6">
        <f t="shared" si="0"/>
        <v>292</v>
      </c>
      <c r="E25" s="8">
        <v>43</v>
      </c>
      <c r="F25" s="4">
        <v>5</v>
      </c>
      <c r="G25" s="4">
        <v>0</v>
      </c>
      <c r="H25" s="9">
        <f t="shared" si="1"/>
        <v>48</v>
      </c>
      <c r="I25" s="16">
        <f t="shared" si="2"/>
        <v>340</v>
      </c>
    </row>
    <row r="26" spans="1:9" x14ac:dyDescent="0.25">
      <c r="A26" s="13" t="s">
        <v>22</v>
      </c>
      <c r="B26" s="8">
        <v>140</v>
      </c>
      <c r="C26" s="4">
        <v>4</v>
      </c>
      <c r="D26" s="6">
        <f t="shared" si="0"/>
        <v>144</v>
      </c>
      <c r="E26" s="8">
        <v>107</v>
      </c>
      <c r="F26" s="4">
        <v>3</v>
      </c>
      <c r="G26" s="4">
        <v>0</v>
      </c>
      <c r="H26" s="9">
        <f t="shared" si="1"/>
        <v>110</v>
      </c>
      <c r="I26" s="16">
        <f t="shared" si="2"/>
        <v>254</v>
      </c>
    </row>
    <row r="27" spans="1:9" x14ac:dyDescent="0.25">
      <c r="A27" s="13" t="s">
        <v>23</v>
      </c>
      <c r="B27" s="8">
        <v>254</v>
      </c>
      <c r="C27" s="4">
        <v>3</v>
      </c>
      <c r="D27" s="6">
        <f t="shared" si="0"/>
        <v>257</v>
      </c>
      <c r="E27" s="8">
        <v>20</v>
      </c>
      <c r="F27" s="4">
        <v>5</v>
      </c>
      <c r="G27" s="4">
        <v>1</v>
      </c>
      <c r="H27" s="9">
        <f t="shared" si="1"/>
        <v>26</v>
      </c>
      <c r="I27" s="16">
        <f t="shared" si="2"/>
        <v>283</v>
      </c>
    </row>
    <row r="28" spans="1:9" x14ac:dyDescent="0.25">
      <c r="A28" s="13" t="s">
        <v>97</v>
      </c>
      <c r="B28" s="8">
        <v>0</v>
      </c>
      <c r="C28" s="4">
        <v>0</v>
      </c>
      <c r="D28" s="6">
        <f t="shared" si="0"/>
        <v>0</v>
      </c>
      <c r="E28" s="8">
        <v>12</v>
      </c>
      <c r="F28" s="4">
        <v>0</v>
      </c>
      <c r="G28" s="4">
        <v>0</v>
      </c>
      <c r="H28" s="9">
        <f t="shared" si="1"/>
        <v>12</v>
      </c>
      <c r="I28" s="16">
        <f t="shared" si="2"/>
        <v>12</v>
      </c>
    </row>
    <row r="29" spans="1:9" x14ac:dyDescent="0.25">
      <c r="A29" s="13" t="s">
        <v>24</v>
      </c>
      <c r="B29" s="8">
        <v>278</v>
      </c>
      <c r="C29" s="4">
        <v>2</v>
      </c>
      <c r="D29" s="6">
        <f t="shared" si="0"/>
        <v>280</v>
      </c>
      <c r="E29" s="8">
        <v>88</v>
      </c>
      <c r="F29" s="4">
        <v>6</v>
      </c>
      <c r="G29" s="4">
        <v>1</v>
      </c>
      <c r="H29" s="9">
        <f t="shared" si="1"/>
        <v>95</v>
      </c>
      <c r="I29" s="16">
        <f t="shared" si="2"/>
        <v>375</v>
      </c>
    </row>
    <row r="30" spans="1:9" x14ac:dyDescent="0.25">
      <c r="A30" s="13" t="s">
        <v>25</v>
      </c>
      <c r="B30" s="8">
        <v>236</v>
      </c>
      <c r="C30" s="4">
        <v>11</v>
      </c>
      <c r="D30" s="6">
        <f t="shared" si="0"/>
        <v>247</v>
      </c>
      <c r="E30" s="8">
        <v>47</v>
      </c>
      <c r="F30" s="4">
        <v>9</v>
      </c>
      <c r="G30" s="4">
        <v>0</v>
      </c>
      <c r="H30" s="9">
        <f t="shared" si="1"/>
        <v>56</v>
      </c>
      <c r="I30" s="16">
        <f t="shared" si="2"/>
        <v>303</v>
      </c>
    </row>
    <row r="31" spans="1:9" x14ac:dyDescent="0.25">
      <c r="A31" s="13" t="s">
        <v>89</v>
      </c>
      <c r="B31" s="8">
        <v>0</v>
      </c>
      <c r="C31" s="4">
        <v>0</v>
      </c>
      <c r="D31" s="6">
        <f t="shared" si="0"/>
        <v>0</v>
      </c>
      <c r="E31" s="8">
        <v>46</v>
      </c>
      <c r="F31" s="4">
        <v>4</v>
      </c>
      <c r="G31" s="4">
        <v>0</v>
      </c>
      <c r="H31" s="9">
        <f t="shared" si="1"/>
        <v>50</v>
      </c>
      <c r="I31" s="16">
        <f t="shared" si="2"/>
        <v>50</v>
      </c>
    </row>
    <row r="32" spans="1:9" x14ac:dyDescent="0.25">
      <c r="A32" s="13" t="s">
        <v>26</v>
      </c>
      <c r="B32" s="8">
        <v>85</v>
      </c>
      <c r="C32" s="4">
        <v>1</v>
      </c>
      <c r="D32" s="6">
        <f t="shared" si="0"/>
        <v>86</v>
      </c>
      <c r="E32" s="8">
        <v>17</v>
      </c>
      <c r="F32" s="4">
        <v>7</v>
      </c>
      <c r="G32" s="4">
        <v>1</v>
      </c>
      <c r="H32" s="9">
        <f t="shared" si="1"/>
        <v>25</v>
      </c>
      <c r="I32" s="16">
        <f t="shared" si="2"/>
        <v>111</v>
      </c>
    </row>
    <row r="33" spans="1:9" x14ac:dyDescent="0.25">
      <c r="A33" s="13" t="s">
        <v>81</v>
      </c>
      <c r="B33" s="8">
        <v>93</v>
      </c>
      <c r="C33" s="4">
        <v>11</v>
      </c>
      <c r="D33" s="6">
        <f t="shared" si="0"/>
        <v>104</v>
      </c>
      <c r="E33" s="8">
        <v>24</v>
      </c>
      <c r="F33" s="4">
        <v>7</v>
      </c>
      <c r="G33" s="4">
        <v>1</v>
      </c>
      <c r="H33" s="9">
        <f t="shared" si="1"/>
        <v>32</v>
      </c>
      <c r="I33" s="16">
        <f t="shared" si="2"/>
        <v>136</v>
      </c>
    </row>
    <row r="34" spans="1:9" x14ac:dyDescent="0.25">
      <c r="A34" s="13" t="s">
        <v>82</v>
      </c>
      <c r="B34" s="8">
        <v>48</v>
      </c>
      <c r="C34" s="4">
        <v>6</v>
      </c>
      <c r="D34" s="6">
        <f t="shared" si="0"/>
        <v>54</v>
      </c>
      <c r="E34" s="8">
        <v>16</v>
      </c>
      <c r="F34" s="4">
        <v>11</v>
      </c>
      <c r="G34" s="4">
        <v>0</v>
      </c>
      <c r="H34" s="9">
        <f t="shared" si="1"/>
        <v>27</v>
      </c>
      <c r="I34" s="16">
        <f t="shared" si="2"/>
        <v>81</v>
      </c>
    </row>
    <row r="35" spans="1:9" x14ac:dyDescent="0.25">
      <c r="A35" s="13" t="s">
        <v>29</v>
      </c>
      <c r="B35" s="8">
        <v>0</v>
      </c>
      <c r="C35" s="4">
        <v>0</v>
      </c>
      <c r="D35" s="6">
        <f t="shared" si="0"/>
        <v>0</v>
      </c>
      <c r="E35" s="8">
        <v>0</v>
      </c>
      <c r="F35" s="4">
        <v>9</v>
      </c>
      <c r="G35" s="4">
        <v>0</v>
      </c>
      <c r="H35" s="9">
        <f t="shared" si="1"/>
        <v>9</v>
      </c>
      <c r="I35" s="16">
        <f t="shared" si="2"/>
        <v>9</v>
      </c>
    </row>
    <row r="36" spans="1:9" x14ac:dyDescent="0.25">
      <c r="A36" s="13" t="s">
        <v>30</v>
      </c>
      <c r="B36" s="8">
        <v>320</v>
      </c>
      <c r="C36" s="4">
        <v>4</v>
      </c>
      <c r="D36" s="6">
        <f t="shared" si="0"/>
        <v>324</v>
      </c>
      <c r="E36" s="8">
        <v>68</v>
      </c>
      <c r="F36" s="4">
        <v>39</v>
      </c>
      <c r="G36" s="4">
        <v>2</v>
      </c>
      <c r="H36" s="9">
        <f t="shared" si="1"/>
        <v>109</v>
      </c>
      <c r="I36" s="16">
        <f t="shared" si="2"/>
        <v>433</v>
      </c>
    </row>
    <row r="37" spans="1:9" x14ac:dyDescent="0.25">
      <c r="A37" s="13" t="s">
        <v>83</v>
      </c>
      <c r="B37" s="8">
        <v>142</v>
      </c>
      <c r="C37" s="4">
        <v>0</v>
      </c>
      <c r="D37" s="6">
        <f t="shared" si="0"/>
        <v>142</v>
      </c>
      <c r="E37" s="8">
        <v>32</v>
      </c>
      <c r="F37" s="4">
        <v>14</v>
      </c>
      <c r="G37" s="4">
        <v>0</v>
      </c>
      <c r="H37" s="9">
        <f t="shared" si="1"/>
        <v>46</v>
      </c>
      <c r="I37" s="16">
        <f t="shared" si="2"/>
        <v>188</v>
      </c>
    </row>
    <row r="38" spans="1:9" x14ac:dyDescent="0.25">
      <c r="A38" s="13" t="s">
        <v>32</v>
      </c>
      <c r="B38" s="8">
        <v>200</v>
      </c>
      <c r="C38" s="4">
        <v>5</v>
      </c>
      <c r="D38" s="6">
        <f t="shared" si="0"/>
        <v>205</v>
      </c>
      <c r="E38" s="8">
        <v>52</v>
      </c>
      <c r="F38" s="4">
        <v>18</v>
      </c>
      <c r="G38" s="4">
        <v>1</v>
      </c>
      <c r="H38" s="9">
        <f t="shared" si="1"/>
        <v>71</v>
      </c>
      <c r="I38" s="16">
        <f t="shared" si="2"/>
        <v>276</v>
      </c>
    </row>
    <row r="39" spans="1:9" x14ac:dyDescent="0.25">
      <c r="A39" s="13" t="s">
        <v>33</v>
      </c>
      <c r="B39" s="8">
        <v>280</v>
      </c>
      <c r="C39" s="4">
        <v>6</v>
      </c>
      <c r="D39" s="6">
        <f t="shared" si="0"/>
        <v>286</v>
      </c>
      <c r="E39" s="8">
        <v>10</v>
      </c>
      <c r="F39" s="4">
        <v>1</v>
      </c>
      <c r="G39" s="4">
        <v>1</v>
      </c>
      <c r="H39" s="9">
        <f t="shared" si="1"/>
        <v>12</v>
      </c>
      <c r="I39" s="16">
        <f t="shared" si="2"/>
        <v>298</v>
      </c>
    </row>
    <row r="40" spans="1:9" x14ac:dyDescent="0.25">
      <c r="A40" s="13" t="s">
        <v>1</v>
      </c>
      <c r="B40" s="8">
        <v>490</v>
      </c>
      <c r="C40" s="4">
        <v>0</v>
      </c>
      <c r="D40" s="6">
        <f t="shared" si="0"/>
        <v>490</v>
      </c>
      <c r="E40" s="8">
        <v>309</v>
      </c>
      <c r="F40" s="4">
        <v>50</v>
      </c>
      <c r="G40" s="4">
        <v>1</v>
      </c>
      <c r="H40" s="9">
        <f t="shared" si="1"/>
        <v>360</v>
      </c>
      <c r="I40" s="16">
        <f t="shared" si="2"/>
        <v>850</v>
      </c>
    </row>
    <row r="41" spans="1:9" x14ac:dyDescent="0.25">
      <c r="A41" s="13" t="s">
        <v>34</v>
      </c>
      <c r="B41" s="8">
        <v>109</v>
      </c>
      <c r="C41" s="4">
        <v>0</v>
      </c>
      <c r="D41" s="6">
        <f t="shared" si="0"/>
        <v>109</v>
      </c>
      <c r="E41" s="8">
        <v>93</v>
      </c>
      <c r="F41" s="4">
        <v>77</v>
      </c>
      <c r="G41" s="4">
        <v>2</v>
      </c>
      <c r="H41" s="9">
        <f t="shared" si="1"/>
        <v>172</v>
      </c>
      <c r="I41" s="16">
        <f t="shared" si="2"/>
        <v>281</v>
      </c>
    </row>
    <row r="42" spans="1:9" x14ac:dyDescent="0.25">
      <c r="A42" s="13" t="s">
        <v>35</v>
      </c>
      <c r="B42" s="8">
        <v>332</v>
      </c>
      <c r="C42" s="4">
        <v>12</v>
      </c>
      <c r="D42" s="6">
        <f t="shared" si="0"/>
        <v>344</v>
      </c>
      <c r="E42" s="8">
        <v>13</v>
      </c>
      <c r="F42" s="4">
        <v>3</v>
      </c>
      <c r="G42" s="4">
        <v>0</v>
      </c>
      <c r="H42" s="9">
        <f t="shared" si="1"/>
        <v>16</v>
      </c>
      <c r="I42" s="16">
        <f t="shared" si="2"/>
        <v>360</v>
      </c>
    </row>
    <row r="43" spans="1:9" x14ac:dyDescent="0.25">
      <c r="A43" s="13" t="s">
        <v>36</v>
      </c>
      <c r="B43" s="8">
        <v>224</v>
      </c>
      <c r="C43" s="4">
        <v>7</v>
      </c>
      <c r="D43" s="6">
        <f t="shared" si="0"/>
        <v>231</v>
      </c>
      <c r="E43" s="8">
        <v>72</v>
      </c>
      <c r="F43" s="4">
        <v>47</v>
      </c>
      <c r="G43" s="4">
        <v>0</v>
      </c>
      <c r="H43" s="9">
        <f t="shared" si="1"/>
        <v>119</v>
      </c>
      <c r="I43" s="16">
        <f t="shared" si="2"/>
        <v>350</v>
      </c>
    </row>
    <row r="44" spans="1:9" x14ac:dyDescent="0.25">
      <c r="A44" s="13" t="s">
        <v>37</v>
      </c>
      <c r="B44" s="8">
        <v>2</v>
      </c>
      <c r="C44" s="4">
        <v>0</v>
      </c>
      <c r="D44" s="6">
        <f t="shared" si="0"/>
        <v>2</v>
      </c>
      <c r="E44" s="8">
        <v>18</v>
      </c>
      <c r="F44" s="4">
        <v>28</v>
      </c>
      <c r="G44" s="4">
        <v>0</v>
      </c>
      <c r="H44" s="9">
        <f t="shared" si="1"/>
        <v>46</v>
      </c>
      <c r="I44" s="16">
        <f t="shared" si="2"/>
        <v>48</v>
      </c>
    </row>
    <row r="45" spans="1:9" x14ac:dyDescent="0.25">
      <c r="A45" s="13" t="s">
        <v>38</v>
      </c>
      <c r="B45" s="8">
        <v>151</v>
      </c>
      <c r="C45" s="4">
        <v>0</v>
      </c>
      <c r="D45" s="6">
        <f t="shared" si="0"/>
        <v>151</v>
      </c>
      <c r="E45" s="8">
        <v>0</v>
      </c>
      <c r="F45" s="4">
        <v>0</v>
      </c>
      <c r="G45" s="4">
        <v>0</v>
      </c>
      <c r="H45" s="9">
        <f t="shared" si="1"/>
        <v>0</v>
      </c>
      <c r="I45" s="16">
        <f t="shared" si="2"/>
        <v>151</v>
      </c>
    </row>
    <row r="46" spans="1:9" x14ac:dyDescent="0.25">
      <c r="A46" s="13" t="s">
        <v>39</v>
      </c>
      <c r="B46" s="8">
        <v>139</v>
      </c>
      <c r="C46" s="4">
        <v>1</v>
      </c>
      <c r="D46" s="6">
        <f t="shared" si="0"/>
        <v>140</v>
      </c>
      <c r="E46" s="8">
        <v>28</v>
      </c>
      <c r="F46" s="4">
        <v>3</v>
      </c>
      <c r="G46" s="4">
        <v>0</v>
      </c>
      <c r="H46" s="9">
        <f t="shared" si="1"/>
        <v>31</v>
      </c>
      <c r="I46" s="16">
        <f t="shared" si="2"/>
        <v>171</v>
      </c>
    </row>
    <row r="47" spans="1:9" x14ac:dyDescent="0.25">
      <c r="A47" s="13" t="s">
        <v>40</v>
      </c>
      <c r="B47" s="8">
        <v>154</v>
      </c>
      <c r="C47" s="4">
        <v>0</v>
      </c>
      <c r="D47" s="6">
        <f t="shared" si="0"/>
        <v>154</v>
      </c>
      <c r="E47" s="8">
        <v>51</v>
      </c>
      <c r="F47" s="4">
        <v>3</v>
      </c>
      <c r="G47" s="4">
        <v>0</v>
      </c>
      <c r="H47" s="9">
        <f t="shared" si="1"/>
        <v>54</v>
      </c>
      <c r="I47" s="16">
        <f t="shared" si="2"/>
        <v>208</v>
      </c>
    </row>
    <row r="48" spans="1:9" x14ac:dyDescent="0.25">
      <c r="A48" s="13" t="s">
        <v>41</v>
      </c>
      <c r="B48" s="8">
        <v>79</v>
      </c>
      <c r="C48" s="4">
        <v>1</v>
      </c>
      <c r="D48" s="6">
        <f t="shared" si="0"/>
        <v>80</v>
      </c>
      <c r="E48" s="8">
        <v>49</v>
      </c>
      <c r="F48" s="4">
        <v>8</v>
      </c>
      <c r="G48" s="4">
        <v>1</v>
      </c>
      <c r="H48" s="9">
        <f t="shared" si="1"/>
        <v>58</v>
      </c>
      <c r="I48" s="16">
        <f t="shared" si="2"/>
        <v>138</v>
      </c>
    </row>
    <row r="49" spans="1:9" x14ac:dyDescent="0.25">
      <c r="A49" s="13" t="s">
        <v>43</v>
      </c>
      <c r="B49" s="8">
        <v>357</v>
      </c>
      <c r="C49" s="4">
        <v>52</v>
      </c>
      <c r="D49" s="6">
        <f t="shared" si="0"/>
        <v>409</v>
      </c>
      <c r="E49" s="8">
        <v>59</v>
      </c>
      <c r="F49" s="4">
        <v>1</v>
      </c>
      <c r="G49" s="4">
        <v>0</v>
      </c>
      <c r="H49" s="9">
        <f t="shared" si="1"/>
        <v>60</v>
      </c>
      <c r="I49" s="16">
        <f t="shared" si="2"/>
        <v>469</v>
      </c>
    </row>
    <row r="50" spans="1:9" x14ac:dyDescent="0.25">
      <c r="A50" s="13" t="s">
        <v>44</v>
      </c>
      <c r="B50" s="8">
        <v>96</v>
      </c>
      <c r="C50" s="4">
        <v>0</v>
      </c>
      <c r="D50" s="6">
        <f t="shared" si="0"/>
        <v>96</v>
      </c>
      <c r="E50" s="8">
        <v>53</v>
      </c>
      <c r="F50" s="4">
        <v>13</v>
      </c>
      <c r="G50" s="4">
        <v>0</v>
      </c>
      <c r="H50" s="9">
        <f t="shared" si="1"/>
        <v>66</v>
      </c>
      <c r="I50" s="16">
        <f t="shared" si="2"/>
        <v>162</v>
      </c>
    </row>
    <row r="51" spans="1:9" x14ac:dyDescent="0.25">
      <c r="A51" s="13" t="s">
        <v>45</v>
      </c>
      <c r="B51" s="8">
        <v>347</v>
      </c>
      <c r="C51" s="4">
        <v>3</v>
      </c>
      <c r="D51" s="6">
        <f t="shared" si="0"/>
        <v>350</v>
      </c>
      <c r="E51" s="8">
        <v>216</v>
      </c>
      <c r="F51" s="4">
        <v>53</v>
      </c>
      <c r="G51" s="4">
        <v>1</v>
      </c>
      <c r="H51" s="9">
        <f t="shared" si="1"/>
        <v>270</v>
      </c>
      <c r="I51" s="16">
        <f t="shared" si="2"/>
        <v>620</v>
      </c>
    </row>
    <row r="52" spans="1:9" x14ac:dyDescent="0.25">
      <c r="A52" s="13" t="s">
        <v>98</v>
      </c>
      <c r="B52" s="8">
        <v>0</v>
      </c>
      <c r="C52" s="4">
        <v>0</v>
      </c>
      <c r="D52" s="6">
        <f t="shared" si="0"/>
        <v>0</v>
      </c>
      <c r="E52" s="8">
        <v>35</v>
      </c>
      <c r="F52" s="4">
        <v>18</v>
      </c>
      <c r="G52" s="4">
        <v>0</v>
      </c>
      <c r="H52" s="9">
        <f t="shared" si="1"/>
        <v>53</v>
      </c>
      <c r="I52" s="16">
        <f t="shared" si="2"/>
        <v>53</v>
      </c>
    </row>
    <row r="53" spans="1:9" x14ac:dyDescent="0.25">
      <c r="A53" s="13" t="s">
        <v>46</v>
      </c>
      <c r="B53" s="8">
        <v>86</v>
      </c>
      <c r="C53" s="4">
        <v>1</v>
      </c>
      <c r="D53" s="6">
        <f t="shared" si="0"/>
        <v>87</v>
      </c>
      <c r="E53" s="8">
        <v>2</v>
      </c>
      <c r="F53" s="4">
        <v>2</v>
      </c>
      <c r="G53" s="4">
        <v>0</v>
      </c>
      <c r="H53" s="9">
        <f t="shared" si="1"/>
        <v>4</v>
      </c>
      <c r="I53" s="16">
        <f t="shared" si="2"/>
        <v>91</v>
      </c>
    </row>
    <row r="54" spans="1:9" x14ac:dyDescent="0.25">
      <c r="A54" s="13" t="s">
        <v>47</v>
      </c>
      <c r="B54" s="8">
        <v>68</v>
      </c>
      <c r="C54" s="4">
        <v>2</v>
      </c>
      <c r="D54" s="6">
        <f t="shared" si="0"/>
        <v>70</v>
      </c>
      <c r="E54" s="8">
        <v>5</v>
      </c>
      <c r="F54" s="4">
        <v>0</v>
      </c>
      <c r="G54" s="4">
        <v>0</v>
      </c>
      <c r="H54" s="9">
        <f t="shared" si="1"/>
        <v>5</v>
      </c>
      <c r="I54" s="16">
        <f t="shared" si="2"/>
        <v>75</v>
      </c>
    </row>
    <row r="55" spans="1:9" x14ac:dyDescent="0.25">
      <c r="A55" s="13" t="s">
        <v>48</v>
      </c>
      <c r="B55" s="8">
        <v>0</v>
      </c>
      <c r="C55" s="4">
        <v>0</v>
      </c>
      <c r="D55" s="6">
        <f t="shared" si="0"/>
        <v>0</v>
      </c>
      <c r="E55" s="8">
        <v>33</v>
      </c>
      <c r="F55" s="4">
        <v>4</v>
      </c>
      <c r="G55" s="4">
        <v>0</v>
      </c>
      <c r="H55" s="9">
        <f t="shared" si="1"/>
        <v>37</v>
      </c>
      <c r="I55" s="16">
        <f t="shared" si="2"/>
        <v>37</v>
      </c>
    </row>
    <row r="56" spans="1:9" x14ac:dyDescent="0.25">
      <c r="A56" s="13" t="s">
        <v>49</v>
      </c>
      <c r="B56" s="8">
        <v>66</v>
      </c>
      <c r="C56" s="4">
        <v>0</v>
      </c>
      <c r="D56" s="6">
        <f t="shared" si="0"/>
        <v>66</v>
      </c>
      <c r="E56" s="8">
        <v>6</v>
      </c>
      <c r="F56" s="4">
        <v>4</v>
      </c>
      <c r="G56" s="4">
        <v>0</v>
      </c>
      <c r="H56" s="9">
        <f t="shared" si="1"/>
        <v>10</v>
      </c>
      <c r="I56" s="16">
        <f t="shared" si="2"/>
        <v>76</v>
      </c>
    </row>
    <row r="57" spans="1:9" x14ac:dyDescent="0.25">
      <c r="A57" s="13" t="s">
        <v>50</v>
      </c>
      <c r="B57" s="8">
        <v>77</v>
      </c>
      <c r="C57" s="4">
        <v>0</v>
      </c>
      <c r="D57" s="6">
        <f t="shared" si="0"/>
        <v>77</v>
      </c>
      <c r="E57" s="8">
        <v>15</v>
      </c>
      <c r="F57" s="4">
        <v>1</v>
      </c>
      <c r="G57" s="4">
        <v>0</v>
      </c>
      <c r="H57" s="9">
        <f t="shared" si="1"/>
        <v>16</v>
      </c>
      <c r="I57" s="16">
        <f t="shared" si="2"/>
        <v>93</v>
      </c>
    </row>
    <row r="58" spans="1:9" x14ac:dyDescent="0.25">
      <c r="A58" s="13" t="s">
        <v>52</v>
      </c>
      <c r="B58" s="8">
        <v>12</v>
      </c>
      <c r="C58" s="4">
        <v>0</v>
      </c>
      <c r="D58" s="6">
        <f t="shared" si="0"/>
        <v>12</v>
      </c>
      <c r="E58" s="8">
        <v>8</v>
      </c>
      <c r="F58" s="4">
        <v>3</v>
      </c>
      <c r="G58" s="4">
        <v>0</v>
      </c>
      <c r="H58" s="9">
        <f t="shared" si="1"/>
        <v>11</v>
      </c>
      <c r="I58" s="16">
        <f t="shared" si="2"/>
        <v>23</v>
      </c>
    </row>
    <row r="59" spans="1:9" x14ac:dyDescent="0.25">
      <c r="A59" s="13" t="s">
        <v>53</v>
      </c>
      <c r="B59" s="8">
        <v>437</v>
      </c>
      <c r="C59" s="4">
        <v>5</v>
      </c>
      <c r="D59" s="6">
        <f t="shared" si="0"/>
        <v>442</v>
      </c>
      <c r="E59" s="8">
        <v>0</v>
      </c>
      <c r="F59" s="4">
        <v>0</v>
      </c>
      <c r="G59" s="4">
        <v>0</v>
      </c>
      <c r="H59" s="9">
        <f t="shared" si="1"/>
        <v>0</v>
      </c>
      <c r="I59" s="16">
        <f t="shared" si="2"/>
        <v>442</v>
      </c>
    </row>
    <row r="60" spans="1:9" x14ac:dyDescent="0.25">
      <c r="A60" s="13" t="s">
        <v>54</v>
      </c>
      <c r="B60" s="8">
        <v>655</v>
      </c>
      <c r="C60" s="4">
        <v>15</v>
      </c>
      <c r="D60" s="6">
        <f t="shared" si="0"/>
        <v>670</v>
      </c>
      <c r="E60" s="8">
        <v>0</v>
      </c>
      <c r="F60" s="4">
        <v>0</v>
      </c>
      <c r="G60" s="4">
        <v>0</v>
      </c>
      <c r="H60" s="9">
        <f t="shared" si="1"/>
        <v>0</v>
      </c>
      <c r="I60" s="16">
        <f t="shared" si="2"/>
        <v>670</v>
      </c>
    </row>
    <row r="61" spans="1:9" x14ac:dyDescent="0.25">
      <c r="A61" s="13" t="s">
        <v>55</v>
      </c>
      <c r="B61" s="8">
        <v>0</v>
      </c>
      <c r="C61" s="4">
        <v>0</v>
      </c>
      <c r="D61" s="6">
        <f t="shared" si="0"/>
        <v>0</v>
      </c>
      <c r="E61" s="8">
        <v>13</v>
      </c>
      <c r="F61" s="4">
        <v>0</v>
      </c>
      <c r="G61" s="4">
        <v>0</v>
      </c>
      <c r="H61" s="9">
        <f t="shared" si="1"/>
        <v>13</v>
      </c>
      <c r="I61" s="16">
        <f t="shared" si="2"/>
        <v>13</v>
      </c>
    </row>
    <row r="62" spans="1:9" x14ac:dyDescent="0.25">
      <c r="A62" s="13" t="s">
        <v>99</v>
      </c>
      <c r="B62" s="8">
        <v>0</v>
      </c>
      <c r="C62" s="4">
        <v>0</v>
      </c>
      <c r="D62" s="6">
        <f t="shared" si="0"/>
        <v>0</v>
      </c>
      <c r="E62" s="8">
        <v>11</v>
      </c>
      <c r="F62" s="4">
        <v>1</v>
      </c>
      <c r="G62" s="4">
        <v>0</v>
      </c>
      <c r="H62" s="9">
        <f t="shared" si="1"/>
        <v>12</v>
      </c>
      <c r="I62" s="16">
        <f t="shared" si="2"/>
        <v>12</v>
      </c>
    </row>
    <row r="63" spans="1:9" x14ac:dyDescent="0.25">
      <c r="A63" s="13" t="s">
        <v>90</v>
      </c>
      <c r="B63" s="8">
        <v>0</v>
      </c>
      <c r="C63" s="4">
        <v>0</v>
      </c>
      <c r="D63" s="6">
        <f t="shared" si="0"/>
        <v>0</v>
      </c>
      <c r="E63" s="8">
        <v>0</v>
      </c>
      <c r="F63" s="4">
        <v>5</v>
      </c>
      <c r="G63" s="4">
        <v>0</v>
      </c>
      <c r="H63" s="9">
        <f t="shared" si="1"/>
        <v>5</v>
      </c>
      <c r="I63" s="16">
        <f t="shared" si="2"/>
        <v>5</v>
      </c>
    </row>
    <row r="64" spans="1:9" x14ac:dyDescent="0.25">
      <c r="A64" s="13" t="s">
        <v>91</v>
      </c>
      <c r="B64" s="8">
        <v>0</v>
      </c>
      <c r="C64" s="4">
        <v>0</v>
      </c>
      <c r="D64" s="6">
        <f t="shared" si="0"/>
        <v>0</v>
      </c>
      <c r="E64" s="8">
        <v>1</v>
      </c>
      <c r="F64" s="4">
        <v>37</v>
      </c>
      <c r="G64" s="4">
        <v>0</v>
      </c>
      <c r="H64" s="9">
        <f t="shared" si="1"/>
        <v>38</v>
      </c>
      <c r="I64" s="16">
        <f t="shared" si="2"/>
        <v>38</v>
      </c>
    </row>
    <row r="65" spans="1:9" x14ac:dyDescent="0.25">
      <c r="A65" s="13" t="s">
        <v>102</v>
      </c>
      <c r="B65" s="8">
        <v>0</v>
      </c>
      <c r="C65" s="4">
        <v>0</v>
      </c>
      <c r="D65" s="6">
        <f t="shared" si="0"/>
        <v>0</v>
      </c>
      <c r="E65" s="8">
        <v>121</v>
      </c>
      <c r="F65" s="4">
        <v>139</v>
      </c>
      <c r="G65" s="4">
        <v>0</v>
      </c>
      <c r="H65" s="9">
        <f t="shared" si="1"/>
        <v>260</v>
      </c>
      <c r="I65" s="16">
        <f t="shared" si="2"/>
        <v>260</v>
      </c>
    </row>
    <row r="66" spans="1:9" x14ac:dyDescent="0.25">
      <c r="A66" s="13" t="s">
        <v>84</v>
      </c>
      <c r="B66" s="8">
        <v>0</v>
      </c>
      <c r="C66" s="4">
        <v>0</v>
      </c>
      <c r="D66" s="6">
        <f t="shared" si="0"/>
        <v>0</v>
      </c>
      <c r="E66" s="8">
        <v>23</v>
      </c>
      <c r="F66" s="4">
        <v>8</v>
      </c>
      <c r="G66" s="4">
        <v>0</v>
      </c>
      <c r="H66" s="9">
        <f t="shared" si="1"/>
        <v>31</v>
      </c>
      <c r="I66" s="16">
        <f t="shared" si="2"/>
        <v>31</v>
      </c>
    </row>
    <row r="67" spans="1:9" x14ac:dyDescent="0.25">
      <c r="A67" s="13" t="s">
        <v>57</v>
      </c>
      <c r="B67" s="8">
        <v>0</v>
      </c>
      <c r="C67" s="4">
        <v>0</v>
      </c>
      <c r="D67" s="6">
        <f t="shared" si="0"/>
        <v>0</v>
      </c>
      <c r="E67" s="8">
        <v>1</v>
      </c>
      <c r="F67" s="4">
        <v>8</v>
      </c>
      <c r="G67" s="4">
        <v>0</v>
      </c>
      <c r="H67" s="9">
        <f t="shared" si="1"/>
        <v>9</v>
      </c>
      <c r="I67" s="16">
        <f t="shared" si="2"/>
        <v>9</v>
      </c>
    </row>
    <row r="68" spans="1:9" x14ac:dyDescent="0.25">
      <c r="A68" s="13" t="s">
        <v>58</v>
      </c>
      <c r="B68" s="8">
        <v>0</v>
      </c>
      <c r="C68" s="4">
        <v>0</v>
      </c>
      <c r="D68" s="6">
        <f t="shared" si="0"/>
        <v>0</v>
      </c>
      <c r="E68" s="8">
        <v>3</v>
      </c>
      <c r="F68" s="4">
        <v>1</v>
      </c>
      <c r="G68" s="4">
        <v>0</v>
      </c>
      <c r="H68" s="9">
        <f t="shared" si="1"/>
        <v>4</v>
      </c>
      <c r="I68" s="16">
        <f t="shared" si="2"/>
        <v>4</v>
      </c>
    </row>
    <row r="69" spans="1:9" x14ac:dyDescent="0.25">
      <c r="A69" s="13" t="s">
        <v>59</v>
      </c>
      <c r="B69" s="8">
        <v>56</v>
      </c>
      <c r="C69" s="4">
        <v>0</v>
      </c>
      <c r="D69" s="6">
        <f t="shared" si="0"/>
        <v>56</v>
      </c>
      <c r="E69" s="8">
        <v>37</v>
      </c>
      <c r="F69" s="4">
        <v>4</v>
      </c>
      <c r="G69" s="4">
        <v>0</v>
      </c>
      <c r="H69" s="9">
        <f t="shared" si="1"/>
        <v>41</v>
      </c>
      <c r="I69" s="16">
        <f t="shared" si="2"/>
        <v>97</v>
      </c>
    </row>
    <row r="70" spans="1:9" x14ac:dyDescent="0.25">
      <c r="A70" s="13" t="s">
        <v>60</v>
      </c>
      <c r="B70" s="8">
        <v>0</v>
      </c>
      <c r="C70" s="4">
        <v>0</v>
      </c>
      <c r="D70" s="6">
        <f t="shared" si="0"/>
        <v>0</v>
      </c>
      <c r="E70" s="8">
        <v>10</v>
      </c>
      <c r="F70" s="4">
        <v>24</v>
      </c>
      <c r="G70" s="4">
        <v>0</v>
      </c>
      <c r="H70" s="9">
        <f t="shared" si="1"/>
        <v>34</v>
      </c>
      <c r="I70" s="16">
        <f t="shared" si="2"/>
        <v>34</v>
      </c>
    </row>
    <row r="71" spans="1:9" x14ac:dyDescent="0.25">
      <c r="A71" s="13" t="s">
        <v>61</v>
      </c>
      <c r="B71" s="8">
        <v>0</v>
      </c>
      <c r="C71" s="4">
        <v>0</v>
      </c>
      <c r="D71" s="6">
        <f t="shared" si="0"/>
        <v>0</v>
      </c>
      <c r="E71" s="8">
        <v>40</v>
      </c>
      <c r="F71" s="4">
        <v>35</v>
      </c>
      <c r="G71" s="4">
        <v>0</v>
      </c>
      <c r="H71" s="9">
        <f t="shared" si="1"/>
        <v>75</v>
      </c>
      <c r="I71" s="16">
        <f t="shared" si="2"/>
        <v>75</v>
      </c>
    </row>
    <row r="72" spans="1:9" x14ac:dyDescent="0.25">
      <c r="A72" s="13" t="s">
        <v>86</v>
      </c>
      <c r="B72" s="8">
        <v>0</v>
      </c>
      <c r="C72" s="4">
        <v>0</v>
      </c>
      <c r="D72" s="6">
        <f t="shared" si="0"/>
        <v>0</v>
      </c>
      <c r="E72" s="8">
        <v>1</v>
      </c>
      <c r="F72" s="4">
        <v>1</v>
      </c>
      <c r="G72" s="4">
        <v>0</v>
      </c>
      <c r="H72" s="9">
        <f t="shared" si="1"/>
        <v>2</v>
      </c>
      <c r="I72" s="16">
        <f t="shared" si="2"/>
        <v>2</v>
      </c>
    </row>
    <row r="73" spans="1:9" x14ac:dyDescent="0.25">
      <c r="A73" s="13" t="s">
        <v>103</v>
      </c>
      <c r="B73" s="8">
        <v>0</v>
      </c>
      <c r="C73" s="4">
        <v>0</v>
      </c>
      <c r="D73" s="6">
        <f t="shared" si="0"/>
        <v>0</v>
      </c>
      <c r="E73" s="8">
        <v>40</v>
      </c>
      <c r="F73" s="4">
        <v>11</v>
      </c>
      <c r="G73" s="4">
        <v>0</v>
      </c>
      <c r="H73" s="9">
        <f t="shared" si="1"/>
        <v>51</v>
      </c>
      <c r="I73" s="16">
        <f t="shared" si="2"/>
        <v>51</v>
      </c>
    </row>
    <row r="74" spans="1:9" x14ac:dyDescent="0.25">
      <c r="A74" s="13" t="s">
        <v>104</v>
      </c>
      <c r="B74" s="8">
        <v>0</v>
      </c>
      <c r="C74" s="4">
        <v>0</v>
      </c>
      <c r="D74" s="6">
        <f t="shared" si="0"/>
        <v>0</v>
      </c>
      <c r="E74" s="8">
        <v>1</v>
      </c>
      <c r="F74" s="4">
        <v>0</v>
      </c>
      <c r="G74" s="4">
        <v>0</v>
      </c>
      <c r="H74" s="9">
        <f t="shared" si="1"/>
        <v>1</v>
      </c>
      <c r="I74" s="16">
        <f t="shared" si="2"/>
        <v>1</v>
      </c>
    </row>
    <row r="75" spans="1:9" x14ac:dyDescent="0.25">
      <c r="A75" s="13" t="s">
        <v>64</v>
      </c>
      <c r="B75" s="8">
        <v>0</v>
      </c>
      <c r="C75" s="4">
        <v>0</v>
      </c>
      <c r="D75" s="6">
        <f t="shared" si="0"/>
        <v>0</v>
      </c>
      <c r="E75" s="8">
        <v>1</v>
      </c>
      <c r="F75" s="4">
        <v>2</v>
      </c>
      <c r="G75" s="4">
        <v>0</v>
      </c>
      <c r="H75" s="9">
        <f t="shared" si="1"/>
        <v>3</v>
      </c>
      <c r="I75" s="16">
        <f t="shared" si="2"/>
        <v>3</v>
      </c>
    </row>
    <row r="76" spans="1:9" x14ac:dyDescent="0.25">
      <c r="A76" s="13" t="s">
        <v>65</v>
      </c>
      <c r="B76" s="8">
        <v>0</v>
      </c>
      <c r="C76" s="4">
        <v>0</v>
      </c>
      <c r="D76" s="6">
        <f t="shared" si="0"/>
        <v>0</v>
      </c>
      <c r="E76" s="8">
        <v>14</v>
      </c>
      <c r="F76" s="4">
        <v>8</v>
      </c>
      <c r="G76" s="4">
        <v>1</v>
      </c>
      <c r="H76" s="9">
        <f t="shared" si="1"/>
        <v>23</v>
      </c>
      <c r="I76" s="16">
        <f t="shared" si="2"/>
        <v>23</v>
      </c>
    </row>
    <row r="77" spans="1:9" x14ac:dyDescent="0.25">
      <c r="A77" s="13" t="s">
        <v>66</v>
      </c>
      <c r="B77" s="8">
        <v>0</v>
      </c>
      <c r="C77" s="4">
        <v>0</v>
      </c>
      <c r="D77" s="6">
        <f t="shared" si="0"/>
        <v>0</v>
      </c>
      <c r="E77" s="8">
        <v>17</v>
      </c>
      <c r="F77" s="4">
        <v>4</v>
      </c>
      <c r="G77" s="4">
        <v>0</v>
      </c>
      <c r="H77" s="9">
        <f t="shared" si="1"/>
        <v>21</v>
      </c>
      <c r="I77" s="16">
        <f t="shared" si="2"/>
        <v>21</v>
      </c>
    </row>
    <row r="78" spans="1:9" x14ac:dyDescent="0.25">
      <c r="A78" s="13" t="s">
        <v>67</v>
      </c>
      <c r="B78" s="8">
        <v>13</v>
      </c>
      <c r="C78" s="4">
        <v>0</v>
      </c>
      <c r="D78" s="6">
        <f t="shared" si="0"/>
        <v>13</v>
      </c>
      <c r="E78" s="8">
        <v>12</v>
      </c>
      <c r="F78" s="4">
        <v>0</v>
      </c>
      <c r="G78" s="4">
        <v>0</v>
      </c>
      <c r="H78" s="9">
        <f t="shared" si="1"/>
        <v>12</v>
      </c>
      <c r="I78" s="16">
        <f t="shared" si="2"/>
        <v>25</v>
      </c>
    </row>
    <row r="79" spans="1:9" x14ac:dyDescent="0.25">
      <c r="A79" s="13" t="s">
        <v>68</v>
      </c>
      <c r="B79" s="8">
        <v>0</v>
      </c>
      <c r="C79" s="4">
        <v>0</v>
      </c>
      <c r="D79" s="6">
        <f t="shared" si="0"/>
        <v>0</v>
      </c>
      <c r="E79" s="8">
        <v>3</v>
      </c>
      <c r="F79" s="4">
        <v>3</v>
      </c>
      <c r="G79" s="4">
        <v>0</v>
      </c>
      <c r="H79" s="9">
        <f t="shared" si="1"/>
        <v>6</v>
      </c>
      <c r="I79" s="16">
        <f t="shared" si="2"/>
        <v>6</v>
      </c>
    </row>
    <row r="80" spans="1:9" x14ac:dyDescent="0.25">
      <c r="A80" s="13" t="s">
        <v>92</v>
      </c>
      <c r="B80" s="8">
        <v>58</v>
      </c>
      <c r="C80" s="4">
        <v>3</v>
      </c>
      <c r="D80" s="6">
        <f t="shared" si="0"/>
        <v>61</v>
      </c>
      <c r="E80" s="8">
        <v>0</v>
      </c>
      <c r="F80" s="4">
        <v>0</v>
      </c>
      <c r="G80" s="4">
        <v>0</v>
      </c>
      <c r="H80" s="9">
        <f t="shared" si="1"/>
        <v>0</v>
      </c>
      <c r="I80" s="16">
        <f t="shared" si="2"/>
        <v>61</v>
      </c>
    </row>
    <row r="81" spans="1:10" x14ac:dyDescent="0.25">
      <c r="A81" s="13" t="s">
        <v>105</v>
      </c>
      <c r="B81" s="8">
        <v>0</v>
      </c>
      <c r="C81" s="4">
        <v>0</v>
      </c>
      <c r="D81" s="6">
        <f t="shared" si="0"/>
        <v>0</v>
      </c>
      <c r="E81" s="8">
        <v>0</v>
      </c>
      <c r="F81" s="4">
        <v>9</v>
      </c>
      <c r="G81" s="4">
        <v>0</v>
      </c>
      <c r="H81" s="9">
        <f t="shared" si="1"/>
        <v>9</v>
      </c>
      <c r="I81" s="16">
        <f t="shared" si="2"/>
        <v>9</v>
      </c>
    </row>
    <row r="82" spans="1:10" x14ac:dyDescent="0.25">
      <c r="A82" s="13" t="s">
        <v>70</v>
      </c>
      <c r="B82" s="8">
        <v>0</v>
      </c>
      <c r="C82" s="4">
        <v>0</v>
      </c>
      <c r="D82" s="6">
        <f t="shared" si="0"/>
        <v>0</v>
      </c>
      <c r="E82" s="8">
        <v>18</v>
      </c>
      <c r="F82" s="4">
        <v>74</v>
      </c>
      <c r="G82" s="4">
        <v>1</v>
      </c>
      <c r="H82" s="9">
        <f t="shared" si="1"/>
        <v>93</v>
      </c>
      <c r="I82" s="16">
        <f t="shared" si="2"/>
        <v>93</v>
      </c>
    </row>
    <row r="83" spans="1:10" x14ac:dyDescent="0.25">
      <c r="A83" s="13" t="s">
        <v>71</v>
      </c>
      <c r="B83" s="8">
        <v>0</v>
      </c>
      <c r="C83" s="4">
        <v>0</v>
      </c>
      <c r="D83" s="6">
        <f t="shared" si="0"/>
        <v>0</v>
      </c>
      <c r="E83" s="8">
        <v>9</v>
      </c>
      <c r="F83" s="4">
        <v>15</v>
      </c>
      <c r="G83" s="4">
        <v>0</v>
      </c>
      <c r="H83" s="9">
        <f t="shared" si="1"/>
        <v>24</v>
      </c>
      <c r="I83" s="16">
        <f t="shared" si="2"/>
        <v>24</v>
      </c>
    </row>
    <row r="84" spans="1:10" x14ac:dyDescent="0.25">
      <c r="A84" s="13" t="s">
        <v>72</v>
      </c>
      <c r="B84" s="8">
        <v>10</v>
      </c>
      <c r="C84" s="4">
        <v>0</v>
      </c>
      <c r="D84" s="6">
        <f t="shared" si="0"/>
        <v>10</v>
      </c>
      <c r="E84" s="8">
        <v>18</v>
      </c>
      <c r="F84" s="4">
        <v>5</v>
      </c>
      <c r="G84" s="4">
        <v>0</v>
      </c>
      <c r="H84" s="9">
        <f t="shared" si="1"/>
        <v>23</v>
      </c>
      <c r="I84" s="16">
        <f t="shared" si="2"/>
        <v>33</v>
      </c>
    </row>
    <row r="85" spans="1:10" ht="15" customHeight="1" x14ac:dyDescent="0.25">
      <c r="A85" s="13" t="s">
        <v>73</v>
      </c>
      <c r="B85" s="8">
        <v>0</v>
      </c>
      <c r="C85" s="4">
        <v>0</v>
      </c>
      <c r="D85" s="6">
        <f t="shared" si="0"/>
        <v>0</v>
      </c>
      <c r="E85" s="8">
        <v>4</v>
      </c>
      <c r="F85" s="4">
        <v>31</v>
      </c>
      <c r="G85" s="4">
        <v>0</v>
      </c>
      <c r="H85" s="9">
        <f t="shared" si="1"/>
        <v>35</v>
      </c>
      <c r="I85" s="16">
        <f t="shared" si="2"/>
        <v>35</v>
      </c>
      <c r="J85" s="19"/>
    </row>
    <row r="86" spans="1:10" x14ac:dyDescent="0.25">
      <c r="A86" s="13" t="s">
        <v>74</v>
      </c>
      <c r="B86" s="8">
        <v>0</v>
      </c>
      <c r="C86" s="4">
        <v>0</v>
      </c>
      <c r="D86" s="6">
        <f t="shared" si="0"/>
        <v>0</v>
      </c>
      <c r="E86" s="8">
        <v>6</v>
      </c>
      <c r="F86" s="4">
        <v>3</v>
      </c>
      <c r="G86" s="4">
        <v>0</v>
      </c>
      <c r="H86" s="9">
        <f t="shared" si="1"/>
        <v>9</v>
      </c>
      <c r="I86" s="16">
        <f t="shared" si="2"/>
        <v>9</v>
      </c>
      <c r="J86" s="19"/>
    </row>
    <row r="87" spans="1:10" x14ac:dyDescent="0.25">
      <c r="A87" s="13" t="s">
        <v>87</v>
      </c>
      <c r="B87" s="8">
        <v>0</v>
      </c>
      <c r="C87" s="4">
        <v>0</v>
      </c>
      <c r="D87" s="6">
        <f t="shared" si="0"/>
        <v>0</v>
      </c>
      <c r="E87" s="8">
        <v>96</v>
      </c>
      <c r="F87" s="4">
        <v>111</v>
      </c>
      <c r="G87" s="4">
        <v>3</v>
      </c>
      <c r="H87" s="9">
        <f t="shared" si="1"/>
        <v>210</v>
      </c>
      <c r="I87" s="16">
        <f t="shared" si="2"/>
        <v>210</v>
      </c>
    </row>
    <row r="88" spans="1:10" x14ac:dyDescent="0.25">
      <c r="A88" s="13" t="s">
        <v>94</v>
      </c>
      <c r="B88" s="8">
        <v>0</v>
      </c>
      <c r="C88" s="4">
        <v>0</v>
      </c>
      <c r="D88" s="6">
        <f t="shared" si="0"/>
        <v>0</v>
      </c>
      <c r="E88" s="8">
        <v>54</v>
      </c>
      <c r="F88" s="4">
        <v>49</v>
      </c>
      <c r="G88" s="4">
        <v>0</v>
      </c>
      <c r="H88" s="9">
        <f t="shared" si="1"/>
        <v>103</v>
      </c>
      <c r="I88" s="16">
        <f t="shared" si="2"/>
        <v>103</v>
      </c>
    </row>
    <row r="89" spans="1:10" x14ac:dyDescent="0.25">
      <c r="A89" s="13" t="s">
        <v>75</v>
      </c>
      <c r="B89" s="8">
        <v>0</v>
      </c>
      <c r="C89" s="4">
        <v>0</v>
      </c>
      <c r="D89" s="6">
        <f t="shared" si="0"/>
        <v>0</v>
      </c>
      <c r="E89" s="8">
        <v>43</v>
      </c>
      <c r="F89" s="4">
        <v>24</v>
      </c>
      <c r="G89" s="4">
        <v>0</v>
      </c>
      <c r="H89" s="9">
        <f t="shared" si="1"/>
        <v>67</v>
      </c>
      <c r="I89" s="16">
        <f t="shared" si="2"/>
        <v>67</v>
      </c>
    </row>
    <row r="90" spans="1:10" x14ac:dyDescent="0.25">
      <c r="A90" s="13" t="s">
        <v>100</v>
      </c>
      <c r="B90" s="8">
        <v>621</v>
      </c>
      <c r="C90" s="4">
        <v>0</v>
      </c>
      <c r="D90" s="6">
        <f t="shared" si="0"/>
        <v>621</v>
      </c>
      <c r="E90" s="8">
        <v>55</v>
      </c>
      <c r="F90" s="4">
        <v>80</v>
      </c>
      <c r="G90" s="4">
        <v>0</v>
      </c>
      <c r="H90" s="9">
        <f t="shared" si="1"/>
        <v>135</v>
      </c>
      <c r="I90" s="16">
        <f t="shared" si="2"/>
        <v>756</v>
      </c>
    </row>
    <row r="91" spans="1:10" x14ac:dyDescent="0.25">
      <c r="A91" s="13" t="s">
        <v>106</v>
      </c>
      <c r="B91" s="8">
        <v>353</v>
      </c>
      <c r="C91" s="4">
        <v>2</v>
      </c>
      <c r="D91" s="6">
        <f t="shared" ref="D91:D100" si="3">B91+C91</f>
        <v>355</v>
      </c>
      <c r="E91" s="8">
        <v>116</v>
      </c>
      <c r="F91" s="4">
        <v>47</v>
      </c>
      <c r="G91" s="4">
        <v>8</v>
      </c>
      <c r="H91" s="9">
        <f t="shared" ref="H91:H100" si="4">E91+F91+G91</f>
        <v>171</v>
      </c>
      <c r="I91" s="16">
        <f t="shared" ref="I91:I100" si="5">H91+D91</f>
        <v>526</v>
      </c>
    </row>
    <row r="92" spans="1:10" x14ac:dyDescent="0.25">
      <c r="A92" s="13"/>
      <c r="B92" s="8"/>
      <c r="C92" s="4"/>
      <c r="D92" s="6">
        <f t="shared" si="3"/>
        <v>0</v>
      </c>
      <c r="E92" s="8"/>
      <c r="F92" s="4"/>
      <c r="G92" s="4"/>
      <c r="H92" s="9">
        <f t="shared" si="4"/>
        <v>0</v>
      </c>
      <c r="I92" s="16">
        <f t="shared" si="5"/>
        <v>0</v>
      </c>
    </row>
    <row r="93" spans="1:10" x14ac:dyDescent="0.25">
      <c r="A93" s="13"/>
      <c r="B93" s="8"/>
      <c r="C93" s="4"/>
      <c r="D93" s="6">
        <f t="shared" si="3"/>
        <v>0</v>
      </c>
      <c r="E93" s="8"/>
      <c r="F93" s="4"/>
      <c r="G93" s="4"/>
      <c r="H93" s="9">
        <f t="shared" si="4"/>
        <v>0</v>
      </c>
      <c r="I93" s="16">
        <f t="shared" si="5"/>
        <v>0</v>
      </c>
    </row>
    <row r="94" spans="1:10" ht="42.75" customHeight="1" x14ac:dyDescent="0.25">
      <c r="A94" s="13"/>
      <c r="B94" s="8"/>
      <c r="C94" s="4"/>
      <c r="D94" s="6">
        <f t="shared" si="3"/>
        <v>0</v>
      </c>
      <c r="E94" s="8"/>
      <c r="F94" s="4"/>
      <c r="G94" s="4"/>
      <c r="H94" s="9">
        <f t="shared" si="4"/>
        <v>0</v>
      </c>
      <c r="I94" s="16">
        <f t="shared" si="5"/>
        <v>0</v>
      </c>
    </row>
    <row r="95" spans="1:10" x14ac:dyDescent="0.25">
      <c r="A95" s="13"/>
      <c r="B95" s="8"/>
      <c r="C95" s="4"/>
      <c r="D95" s="6">
        <f t="shared" si="3"/>
        <v>0</v>
      </c>
      <c r="E95" s="8"/>
      <c r="F95" s="4"/>
      <c r="G95" s="4"/>
      <c r="H95" s="9">
        <f t="shared" si="4"/>
        <v>0</v>
      </c>
      <c r="I95" s="16">
        <f t="shared" si="5"/>
        <v>0</v>
      </c>
    </row>
    <row r="96" spans="1:10" x14ac:dyDescent="0.25">
      <c r="A96" s="13"/>
      <c r="B96" s="8"/>
      <c r="C96" s="4"/>
      <c r="D96" s="6">
        <f t="shared" si="3"/>
        <v>0</v>
      </c>
      <c r="E96" s="8"/>
      <c r="F96" s="4"/>
      <c r="G96" s="4"/>
      <c r="H96" s="9">
        <f t="shared" si="4"/>
        <v>0</v>
      </c>
      <c r="I96" s="16">
        <f t="shared" si="5"/>
        <v>0</v>
      </c>
    </row>
    <row r="97" spans="1:9" x14ac:dyDescent="0.25">
      <c r="A97" s="13"/>
      <c r="B97" s="8"/>
      <c r="C97" s="4"/>
      <c r="D97" s="6">
        <f t="shared" si="3"/>
        <v>0</v>
      </c>
      <c r="E97" s="8"/>
      <c r="F97" s="4"/>
      <c r="G97" s="4"/>
      <c r="H97" s="9">
        <f t="shared" si="4"/>
        <v>0</v>
      </c>
      <c r="I97" s="16">
        <f t="shared" si="5"/>
        <v>0</v>
      </c>
    </row>
    <row r="98" spans="1:9" x14ac:dyDescent="0.25">
      <c r="A98" s="13"/>
      <c r="B98" s="8"/>
      <c r="C98" s="4"/>
      <c r="D98" s="6">
        <f t="shared" si="3"/>
        <v>0</v>
      </c>
      <c r="E98" s="8"/>
      <c r="F98" s="4"/>
      <c r="G98" s="4"/>
      <c r="H98" s="9">
        <f t="shared" si="4"/>
        <v>0</v>
      </c>
      <c r="I98" s="16">
        <f t="shared" si="5"/>
        <v>0</v>
      </c>
    </row>
    <row r="99" spans="1:9" x14ac:dyDescent="0.25">
      <c r="A99" s="13"/>
      <c r="B99" s="8"/>
      <c r="C99" s="4"/>
      <c r="D99" s="6">
        <f t="shared" si="3"/>
        <v>0</v>
      </c>
      <c r="E99" s="8"/>
      <c r="F99" s="4"/>
      <c r="G99" s="4"/>
      <c r="H99" s="9">
        <f t="shared" si="4"/>
        <v>0</v>
      </c>
      <c r="I99" s="16">
        <f t="shared" si="5"/>
        <v>0</v>
      </c>
    </row>
    <row r="100" spans="1:9" ht="15.75" thickBot="1" x14ac:dyDescent="0.3">
      <c r="A100" s="14"/>
      <c r="B100" s="10"/>
      <c r="C100" s="5"/>
      <c r="D100" s="7">
        <f t="shared" si="3"/>
        <v>0</v>
      </c>
      <c r="E100" s="10"/>
      <c r="F100" s="5"/>
      <c r="G100" s="5"/>
      <c r="H100" s="11">
        <f t="shared" si="4"/>
        <v>0</v>
      </c>
      <c r="I100" s="17">
        <f t="shared" si="5"/>
        <v>0</v>
      </c>
    </row>
    <row r="101" spans="1:9" ht="16.5" thickTop="1" thickBot="1" x14ac:dyDescent="0.3">
      <c r="A101" s="15" t="s">
        <v>0</v>
      </c>
      <c r="B101" s="12">
        <f>SUM(B8:B100)</f>
        <v>10334</v>
      </c>
      <c r="C101" s="12">
        <f t="shared" ref="C101:I101" si="6">SUM(C8:C100)</f>
        <v>191</v>
      </c>
      <c r="D101" s="15">
        <f t="shared" si="6"/>
        <v>10525</v>
      </c>
      <c r="E101" s="12">
        <f t="shared" si="6"/>
        <v>4071</v>
      </c>
      <c r="F101" s="12">
        <f t="shared" si="6"/>
        <v>1678</v>
      </c>
      <c r="G101" s="12">
        <f t="shared" si="6"/>
        <v>62</v>
      </c>
      <c r="H101" s="18">
        <f t="shared" si="6"/>
        <v>5811</v>
      </c>
      <c r="I101" s="18">
        <f t="shared" si="6"/>
        <v>16336</v>
      </c>
    </row>
    <row r="103" spans="1:9" ht="15" customHeight="1" x14ac:dyDescent="0.25">
      <c r="A103" s="33" t="s">
        <v>88</v>
      </c>
      <c r="B103" s="33"/>
      <c r="C103" s="33"/>
      <c r="D103" s="33"/>
      <c r="E103" s="33"/>
      <c r="F103" s="33"/>
      <c r="G103" s="33"/>
      <c r="H103" s="33"/>
      <c r="I103" s="33"/>
    </row>
    <row r="104" spans="1:9" x14ac:dyDescent="0.25">
      <c r="A104" s="33"/>
      <c r="B104" s="33"/>
      <c r="C104" s="33"/>
      <c r="D104" s="33"/>
      <c r="E104" s="33"/>
      <c r="F104" s="33"/>
      <c r="G104" s="33"/>
      <c r="H104" s="33"/>
      <c r="I104" s="33"/>
    </row>
  </sheetData>
  <mergeCells count="13">
    <mergeCell ref="G6:G7"/>
    <mergeCell ref="H6:H7"/>
    <mergeCell ref="A103:I104"/>
    <mergeCell ref="A2:I2"/>
    <mergeCell ref="A5:A7"/>
    <mergeCell ref="B5:D5"/>
    <mergeCell ref="E5:H5"/>
    <mergeCell ref="I5:I7"/>
    <mergeCell ref="B6:B7"/>
    <mergeCell ref="C6:C7"/>
    <mergeCell ref="D6:D7"/>
    <mergeCell ref="E6:E7"/>
    <mergeCell ref="F6:F7"/>
  </mergeCells>
  <pageMargins left="0.7" right="0.7" top="0.75" bottom="0.75" header="0.3" footer="0.3"/>
  <pageSetup paperSize="9" orientation="portrait" r:id="rId1"/>
  <headerFooter>
    <oddHeader>&amp;CUCL Student Data Statistics</oddHeader>
    <oddFooter>&amp;L&amp;F - &amp;A&amp;RPage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J93"/>
  <sheetViews>
    <sheetView tabSelected="1" view="pageLayout" zoomScale="85" zoomScaleNormal="100" zoomScalePageLayoutView="85" workbookViewId="0">
      <selection activeCell="A47" sqref="A47"/>
    </sheetView>
  </sheetViews>
  <sheetFormatPr defaultColWidth="9" defaultRowHeight="15" x14ac:dyDescent="0.25"/>
  <cols>
    <col min="1" max="1" width="31.28515625" customWidth="1"/>
    <col min="2" max="9" width="6.7109375" customWidth="1"/>
  </cols>
  <sheetData>
    <row r="1" spans="1:9" ht="18" x14ac:dyDescent="0.25">
      <c r="A1" s="1" t="s">
        <v>2</v>
      </c>
      <c r="B1" s="3"/>
    </row>
    <row r="2" spans="1:9" x14ac:dyDescent="0.25">
      <c r="A2" s="34" t="s">
        <v>3</v>
      </c>
      <c r="B2" s="34"/>
      <c r="C2" s="34"/>
      <c r="D2" s="34"/>
      <c r="E2" s="34"/>
      <c r="F2" s="34"/>
      <c r="G2" s="34"/>
      <c r="H2" s="34"/>
      <c r="I2" s="34"/>
    </row>
    <row r="3" spans="1:9" x14ac:dyDescent="0.25">
      <c r="A3" s="28" t="str">
        <f ca="1">RIGHT(CELL("filename",A1),LEN(CELL("filename",A1))-FIND("]",CELL("filename",A1)))</f>
        <v>1998-99</v>
      </c>
      <c r="B3" s="3"/>
    </row>
    <row r="4" spans="1:9" ht="15.75" customHeight="1" thickBot="1" x14ac:dyDescent="0.3">
      <c r="A4" s="3"/>
      <c r="B4" s="3"/>
    </row>
    <row r="5" spans="1:9" x14ac:dyDescent="0.25">
      <c r="A5" s="35" t="s">
        <v>4</v>
      </c>
      <c r="B5" s="38" t="s">
        <v>5</v>
      </c>
      <c r="C5" s="39"/>
      <c r="D5" s="39"/>
      <c r="E5" s="38" t="s">
        <v>6</v>
      </c>
      <c r="F5" s="39"/>
      <c r="G5" s="39"/>
      <c r="H5" s="40"/>
      <c r="I5" s="41" t="s">
        <v>0</v>
      </c>
    </row>
    <row r="6" spans="1:9" ht="15" customHeight="1" x14ac:dyDescent="0.25">
      <c r="A6" s="36"/>
      <c r="B6" s="44" t="s">
        <v>76</v>
      </c>
      <c r="C6" s="29" t="s">
        <v>77</v>
      </c>
      <c r="D6" s="46" t="s">
        <v>0</v>
      </c>
      <c r="E6" s="44" t="s">
        <v>76</v>
      </c>
      <c r="F6" s="29" t="s">
        <v>77</v>
      </c>
      <c r="G6" s="29" t="s">
        <v>78</v>
      </c>
      <c r="H6" s="31" t="s">
        <v>0</v>
      </c>
      <c r="I6" s="42"/>
    </row>
    <row r="7" spans="1:9" x14ac:dyDescent="0.25">
      <c r="A7" s="37"/>
      <c r="B7" s="45"/>
      <c r="C7" s="30"/>
      <c r="D7" s="47"/>
      <c r="E7" s="45"/>
      <c r="F7" s="30"/>
      <c r="G7" s="30"/>
      <c r="H7" s="32"/>
      <c r="I7" s="43"/>
    </row>
    <row r="8" spans="1:9" x14ac:dyDescent="0.25">
      <c r="A8" s="13" t="s">
        <v>7</v>
      </c>
      <c r="B8" s="8">
        <v>234</v>
      </c>
      <c r="C8" s="4">
        <v>0</v>
      </c>
      <c r="D8" s="6">
        <f>B8+C8</f>
        <v>234</v>
      </c>
      <c r="E8" s="8">
        <v>94</v>
      </c>
      <c r="F8" s="4">
        <v>23</v>
      </c>
      <c r="G8" s="4">
        <v>1</v>
      </c>
      <c r="H8" s="9">
        <f>E8+F8+G8</f>
        <v>118</v>
      </c>
      <c r="I8" s="16">
        <f>H8+D8</f>
        <v>352</v>
      </c>
    </row>
    <row r="9" spans="1:9" x14ac:dyDescent="0.25">
      <c r="A9" s="13" t="s">
        <v>8</v>
      </c>
      <c r="B9" s="8">
        <v>190</v>
      </c>
      <c r="C9" s="4">
        <v>1</v>
      </c>
      <c r="D9" s="6">
        <f t="shared" ref="D9:D79" si="0">B9+C9</f>
        <v>191</v>
      </c>
      <c r="E9" s="8">
        <v>88</v>
      </c>
      <c r="F9" s="4">
        <v>23</v>
      </c>
      <c r="G9" s="4">
        <v>13</v>
      </c>
      <c r="H9" s="9">
        <f t="shared" ref="H9:H79" si="1">E9+F9+G9</f>
        <v>124</v>
      </c>
      <c r="I9" s="16">
        <f t="shared" ref="I9:I79" si="2">H9+D9</f>
        <v>315</v>
      </c>
    </row>
    <row r="10" spans="1:9" x14ac:dyDescent="0.25">
      <c r="A10" s="13" t="s">
        <v>9</v>
      </c>
      <c r="B10" s="8">
        <v>287</v>
      </c>
      <c r="C10" s="4">
        <v>10</v>
      </c>
      <c r="D10" s="6">
        <f t="shared" si="0"/>
        <v>297</v>
      </c>
      <c r="E10" s="8">
        <v>170</v>
      </c>
      <c r="F10" s="4">
        <v>50</v>
      </c>
      <c r="G10" s="4">
        <v>8</v>
      </c>
      <c r="H10" s="9">
        <f t="shared" si="1"/>
        <v>228</v>
      </c>
      <c r="I10" s="16">
        <f t="shared" si="2"/>
        <v>525</v>
      </c>
    </row>
    <row r="11" spans="1:9" x14ac:dyDescent="0.25">
      <c r="A11" s="13" t="s">
        <v>79</v>
      </c>
      <c r="B11" s="8">
        <v>337</v>
      </c>
      <c r="C11" s="4">
        <v>11</v>
      </c>
      <c r="D11" s="6">
        <f t="shared" si="0"/>
        <v>348</v>
      </c>
      <c r="E11" s="8">
        <v>446</v>
      </c>
      <c r="F11" s="4">
        <v>110</v>
      </c>
      <c r="G11" s="4">
        <v>4</v>
      </c>
      <c r="H11" s="9">
        <f t="shared" si="1"/>
        <v>560</v>
      </c>
      <c r="I11" s="16">
        <f t="shared" si="2"/>
        <v>908</v>
      </c>
    </row>
    <row r="12" spans="1:9" x14ac:dyDescent="0.25">
      <c r="A12" s="13" t="s">
        <v>95</v>
      </c>
      <c r="B12" s="8">
        <v>67</v>
      </c>
      <c r="C12" s="4">
        <v>0</v>
      </c>
      <c r="D12" s="6">
        <f t="shared" si="0"/>
        <v>67</v>
      </c>
      <c r="E12" s="8">
        <v>68</v>
      </c>
      <c r="F12" s="4">
        <v>20</v>
      </c>
      <c r="G12" s="4">
        <v>0</v>
      </c>
      <c r="H12" s="9">
        <f t="shared" si="1"/>
        <v>88</v>
      </c>
      <c r="I12" s="16">
        <f t="shared" si="2"/>
        <v>155</v>
      </c>
    </row>
    <row r="13" spans="1:9" x14ac:dyDescent="0.25">
      <c r="A13" s="13" t="s">
        <v>11</v>
      </c>
      <c r="B13" s="8">
        <v>163</v>
      </c>
      <c r="C13" s="4">
        <v>1</v>
      </c>
      <c r="D13" s="6">
        <f t="shared" si="0"/>
        <v>164</v>
      </c>
      <c r="E13" s="8">
        <v>107</v>
      </c>
      <c r="F13" s="4">
        <v>5</v>
      </c>
      <c r="G13" s="4">
        <v>0</v>
      </c>
      <c r="H13" s="9">
        <f t="shared" si="1"/>
        <v>112</v>
      </c>
      <c r="I13" s="16">
        <f t="shared" si="2"/>
        <v>276</v>
      </c>
    </row>
    <row r="14" spans="1:9" x14ac:dyDescent="0.25">
      <c r="A14" s="13" t="s">
        <v>12</v>
      </c>
      <c r="B14" s="8">
        <v>281</v>
      </c>
      <c r="C14" s="4">
        <v>3</v>
      </c>
      <c r="D14" s="6">
        <f t="shared" si="0"/>
        <v>284</v>
      </c>
      <c r="E14" s="8">
        <v>98</v>
      </c>
      <c r="F14" s="4">
        <v>9</v>
      </c>
      <c r="G14" s="4">
        <v>3</v>
      </c>
      <c r="H14" s="9">
        <f t="shared" si="1"/>
        <v>110</v>
      </c>
      <c r="I14" s="16">
        <f t="shared" si="2"/>
        <v>394</v>
      </c>
    </row>
    <row r="15" spans="1:9" x14ac:dyDescent="0.25">
      <c r="A15" s="13" t="s">
        <v>80</v>
      </c>
      <c r="B15" s="8">
        <v>0</v>
      </c>
      <c r="C15" s="4">
        <v>0</v>
      </c>
      <c r="D15" s="6">
        <f t="shared" si="0"/>
        <v>0</v>
      </c>
      <c r="E15" s="8">
        <v>27</v>
      </c>
      <c r="F15" s="4">
        <v>0</v>
      </c>
      <c r="G15" s="4">
        <v>0</v>
      </c>
      <c r="H15" s="9">
        <f t="shared" si="1"/>
        <v>27</v>
      </c>
      <c r="I15" s="16">
        <f t="shared" si="2"/>
        <v>27</v>
      </c>
    </row>
    <row r="16" spans="1:9" x14ac:dyDescent="0.25">
      <c r="A16" s="13" t="s">
        <v>96</v>
      </c>
      <c r="B16" s="8">
        <v>160</v>
      </c>
      <c r="C16" s="4">
        <v>1</v>
      </c>
      <c r="D16" s="6">
        <f t="shared" si="0"/>
        <v>161</v>
      </c>
      <c r="E16" s="8">
        <v>24</v>
      </c>
      <c r="F16" s="4">
        <v>1</v>
      </c>
      <c r="G16" s="4">
        <v>1</v>
      </c>
      <c r="H16" s="9">
        <f t="shared" si="1"/>
        <v>26</v>
      </c>
      <c r="I16" s="16">
        <f t="shared" si="2"/>
        <v>187</v>
      </c>
    </row>
    <row r="17" spans="1:9" x14ac:dyDescent="0.25">
      <c r="A17" s="13" t="s">
        <v>14</v>
      </c>
      <c r="B17" s="8">
        <v>246</v>
      </c>
      <c r="C17" s="4">
        <v>4</v>
      </c>
      <c r="D17" s="6">
        <f t="shared" si="0"/>
        <v>250</v>
      </c>
      <c r="E17" s="8">
        <v>83</v>
      </c>
      <c r="F17" s="4">
        <v>3</v>
      </c>
      <c r="G17" s="4">
        <v>0</v>
      </c>
      <c r="H17" s="9">
        <f t="shared" si="1"/>
        <v>86</v>
      </c>
      <c r="I17" s="16">
        <f t="shared" si="2"/>
        <v>336</v>
      </c>
    </row>
    <row r="18" spans="1:9" x14ac:dyDescent="0.25">
      <c r="A18" s="13" t="s">
        <v>15</v>
      </c>
      <c r="B18" s="8">
        <v>210</v>
      </c>
      <c r="C18" s="4">
        <v>7</v>
      </c>
      <c r="D18" s="6">
        <f t="shared" si="0"/>
        <v>217</v>
      </c>
      <c r="E18" s="8">
        <v>33</v>
      </c>
      <c r="F18" s="4">
        <v>7</v>
      </c>
      <c r="G18" s="4">
        <v>0</v>
      </c>
      <c r="H18" s="9">
        <f t="shared" si="1"/>
        <v>40</v>
      </c>
      <c r="I18" s="16">
        <f t="shared" si="2"/>
        <v>257</v>
      </c>
    </row>
    <row r="19" spans="1:9" x14ac:dyDescent="0.25">
      <c r="A19" s="13" t="s">
        <v>16</v>
      </c>
      <c r="B19" s="8">
        <v>172</v>
      </c>
      <c r="C19" s="4">
        <v>0</v>
      </c>
      <c r="D19" s="6">
        <f t="shared" si="0"/>
        <v>172</v>
      </c>
      <c r="E19" s="8">
        <v>123</v>
      </c>
      <c r="F19" s="4">
        <v>11</v>
      </c>
      <c r="G19" s="4">
        <v>1</v>
      </c>
      <c r="H19" s="9">
        <f t="shared" si="1"/>
        <v>135</v>
      </c>
      <c r="I19" s="16">
        <f t="shared" si="2"/>
        <v>307</v>
      </c>
    </row>
    <row r="20" spans="1:9" x14ac:dyDescent="0.25">
      <c r="A20" s="13" t="s">
        <v>17</v>
      </c>
      <c r="B20" s="8">
        <v>0</v>
      </c>
      <c r="C20" s="4">
        <v>0</v>
      </c>
      <c r="D20" s="6">
        <f t="shared" si="0"/>
        <v>0</v>
      </c>
      <c r="E20" s="8">
        <v>109</v>
      </c>
      <c r="F20" s="4">
        <v>4</v>
      </c>
      <c r="G20" s="4">
        <v>6</v>
      </c>
      <c r="H20" s="9">
        <f t="shared" si="1"/>
        <v>119</v>
      </c>
      <c r="I20" s="16">
        <f t="shared" si="2"/>
        <v>119</v>
      </c>
    </row>
    <row r="21" spans="1:9" x14ac:dyDescent="0.25">
      <c r="A21" s="13" t="s">
        <v>18</v>
      </c>
      <c r="B21" s="8">
        <v>34</v>
      </c>
      <c r="C21" s="4">
        <v>0</v>
      </c>
      <c r="D21" s="6">
        <f t="shared" si="0"/>
        <v>34</v>
      </c>
      <c r="E21" s="8">
        <v>3</v>
      </c>
      <c r="F21" s="4">
        <v>3</v>
      </c>
      <c r="G21" s="4">
        <v>0</v>
      </c>
      <c r="H21" s="9">
        <f t="shared" si="1"/>
        <v>6</v>
      </c>
      <c r="I21" s="16">
        <f t="shared" si="2"/>
        <v>40</v>
      </c>
    </row>
    <row r="22" spans="1:9" x14ac:dyDescent="0.25">
      <c r="A22" s="13" t="s">
        <v>19</v>
      </c>
      <c r="B22" s="8">
        <v>469</v>
      </c>
      <c r="C22" s="4">
        <v>12</v>
      </c>
      <c r="D22" s="6">
        <f t="shared" si="0"/>
        <v>481</v>
      </c>
      <c r="E22" s="8">
        <v>88</v>
      </c>
      <c r="F22" s="4">
        <v>19</v>
      </c>
      <c r="G22" s="4">
        <v>0</v>
      </c>
      <c r="H22" s="9">
        <f t="shared" si="1"/>
        <v>107</v>
      </c>
      <c r="I22" s="16">
        <f t="shared" si="2"/>
        <v>588</v>
      </c>
    </row>
    <row r="23" spans="1:9" x14ac:dyDescent="0.25">
      <c r="A23" s="13" t="s">
        <v>20</v>
      </c>
      <c r="B23" s="8">
        <v>222</v>
      </c>
      <c r="C23" s="4">
        <v>2</v>
      </c>
      <c r="D23" s="6">
        <f t="shared" si="0"/>
        <v>224</v>
      </c>
      <c r="E23" s="8">
        <v>110</v>
      </c>
      <c r="F23" s="4">
        <v>162</v>
      </c>
      <c r="G23" s="4">
        <v>0</v>
      </c>
      <c r="H23" s="9">
        <f t="shared" si="1"/>
        <v>272</v>
      </c>
      <c r="I23" s="16">
        <f t="shared" si="2"/>
        <v>496</v>
      </c>
    </row>
    <row r="24" spans="1:9" x14ac:dyDescent="0.25">
      <c r="A24" s="13" t="s">
        <v>21</v>
      </c>
      <c r="B24" s="8">
        <v>294</v>
      </c>
      <c r="C24" s="4">
        <v>1</v>
      </c>
      <c r="D24" s="6">
        <f t="shared" si="0"/>
        <v>295</v>
      </c>
      <c r="E24" s="8">
        <v>33</v>
      </c>
      <c r="F24" s="4">
        <v>6</v>
      </c>
      <c r="G24" s="4">
        <v>0</v>
      </c>
      <c r="H24" s="9">
        <f t="shared" si="1"/>
        <v>39</v>
      </c>
      <c r="I24" s="16">
        <f t="shared" si="2"/>
        <v>334</v>
      </c>
    </row>
    <row r="25" spans="1:9" x14ac:dyDescent="0.25">
      <c r="A25" s="13" t="s">
        <v>22</v>
      </c>
      <c r="B25" s="8">
        <v>152</v>
      </c>
      <c r="C25" s="4">
        <v>0</v>
      </c>
      <c r="D25" s="6">
        <f t="shared" si="0"/>
        <v>152</v>
      </c>
      <c r="E25" s="8">
        <v>112</v>
      </c>
      <c r="F25" s="4">
        <v>3</v>
      </c>
      <c r="G25" s="4">
        <v>0</v>
      </c>
      <c r="H25" s="9">
        <f t="shared" si="1"/>
        <v>115</v>
      </c>
      <c r="I25" s="16">
        <f t="shared" si="2"/>
        <v>267</v>
      </c>
    </row>
    <row r="26" spans="1:9" x14ac:dyDescent="0.25">
      <c r="A26" s="13" t="s">
        <v>23</v>
      </c>
      <c r="B26" s="8">
        <v>241</v>
      </c>
      <c r="C26" s="4">
        <v>3</v>
      </c>
      <c r="D26" s="6">
        <f t="shared" si="0"/>
        <v>244</v>
      </c>
      <c r="E26" s="8">
        <v>27</v>
      </c>
      <c r="F26" s="4">
        <v>7</v>
      </c>
      <c r="G26" s="4">
        <v>1</v>
      </c>
      <c r="H26" s="9">
        <f t="shared" si="1"/>
        <v>35</v>
      </c>
      <c r="I26" s="16">
        <f t="shared" si="2"/>
        <v>279</v>
      </c>
    </row>
    <row r="27" spans="1:9" x14ac:dyDescent="0.25">
      <c r="A27" s="13" t="s">
        <v>97</v>
      </c>
      <c r="B27" s="8">
        <v>0</v>
      </c>
      <c r="C27" s="4">
        <v>0</v>
      </c>
      <c r="D27" s="6">
        <f t="shared" si="0"/>
        <v>0</v>
      </c>
      <c r="E27" s="8">
        <v>8</v>
      </c>
      <c r="F27" s="4">
        <v>0</v>
      </c>
      <c r="G27" s="4">
        <v>0</v>
      </c>
      <c r="H27" s="9">
        <f t="shared" si="1"/>
        <v>8</v>
      </c>
      <c r="I27" s="16">
        <f t="shared" si="2"/>
        <v>8</v>
      </c>
    </row>
    <row r="28" spans="1:9" x14ac:dyDescent="0.25">
      <c r="A28" s="13" t="s">
        <v>24</v>
      </c>
      <c r="B28" s="8">
        <v>295</v>
      </c>
      <c r="C28" s="4">
        <v>0</v>
      </c>
      <c r="D28" s="6">
        <f t="shared" si="0"/>
        <v>295</v>
      </c>
      <c r="E28" s="8">
        <v>84</v>
      </c>
      <c r="F28" s="4">
        <v>8</v>
      </c>
      <c r="G28" s="4">
        <v>1</v>
      </c>
      <c r="H28" s="9">
        <f t="shared" si="1"/>
        <v>93</v>
      </c>
      <c r="I28" s="16">
        <f t="shared" si="2"/>
        <v>388</v>
      </c>
    </row>
    <row r="29" spans="1:9" x14ac:dyDescent="0.25">
      <c r="A29" s="13" t="s">
        <v>25</v>
      </c>
      <c r="B29" s="8">
        <v>131</v>
      </c>
      <c r="C29" s="4">
        <v>2</v>
      </c>
      <c r="D29" s="6">
        <f t="shared" si="0"/>
        <v>133</v>
      </c>
      <c r="E29" s="8">
        <v>49</v>
      </c>
      <c r="F29" s="4">
        <v>8</v>
      </c>
      <c r="G29" s="4">
        <v>0</v>
      </c>
      <c r="H29" s="9">
        <f t="shared" si="1"/>
        <v>57</v>
      </c>
      <c r="I29" s="16">
        <f t="shared" si="2"/>
        <v>190</v>
      </c>
    </row>
    <row r="30" spans="1:9" x14ac:dyDescent="0.25">
      <c r="A30" s="13" t="s">
        <v>89</v>
      </c>
      <c r="B30" s="8">
        <v>0</v>
      </c>
      <c r="C30" s="4">
        <v>0</v>
      </c>
      <c r="D30" s="6">
        <f t="shared" si="0"/>
        <v>0</v>
      </c>
      <c r="E30" s="8">
        <v>43</v>
      </c>
      <c r="F30" s="4">
        <v>2</v>
      </c>
      <c r="G30" s="4">
        <v>0</v>
      </c>
      <c r="H30" s="9">
        <f t="shared" si="1"/>
        <v>45</v>
      </c>
      <c r="I30" s="16">
        <f t="shared" si="2"/>
        <v>45</v>
      </c>
    </row>
    <row r="31" spans="1:9" x14ac:dyDescent="0.25">
      <c r="A31" s="13" t="s">
        <v>26</v>
      </c>
      <c r="B31" s="8">
        <v>94</v>
      </c>
      <c r="C31" s="4">
        <v>2</v>
      </c>
      <c r="D31" s="6">
        <f t="shared" si="0"/>
        <v>96</v>
      </c>
      <c r="E31" s="8">
        <v>13</v>
      </c>
      <c r="F31" s="4">
        <v>8</v>
      </c>
      <c r="G31" s="4">
        <v>2</v>
      </c>
      <c r="H31" s="9">
        <f t="shared" si="1"/>
        <v>23</v>
      </c>
      <c r="I31" s="16">
        <f t="shared" si="2"/>
        <v>119</v>
      </c>
    </row>
    <row r="32" spans="1:9" x14ac:dyDescent="0.25">
      <c r="A32" s="13" t="s">
        <v>81</v>
      </c>
      <c r="B32" s="8">
        <v>98</v>
      </c>
      <c r="C32" s="4">
        <v>16</v>
      </c>
      <c r="D32" s="6">
        <f t="shared" si="0"/>
        <v>114</v>
      </c>
      <c r="E32" s="8">
        <v>27</v>
      </c>
      <c r="F32" s="4">
        <v>9</v>
      </c>
      <c r="G32" s="4">
        <v>1</v>
      </c>
      <c r="H32" s="9">
        <f t="shared" si="1"/>
        <v>37</v>
      </c>
      <c r="I32" s="16">
        <f t="shared" si="2"/>
        <v>151</v>
      </c>
    </row>
    <row r="33" spans="1:9" x14ac:dyDescent="0.25">
      <c r="A33" s="13" t="s">
        <v>82</v>
      </c>
      <c r="B33" s="8">
        <v>56</v>
      </c>
      <c r="C33" s="4">
        <v>6</v>
      </c>
      <c r="D33" s="6">
        <f t="shared" si="0"/>
        <v>62</v>
      </c>
      <c r="E33" s="8">
        <v>17</v>
      </c>
      <c r="F33" s="4">
        <v>14</v>
      </c>
      <c r="G33" s="4">
        <v>0</v>
      </c>
      <c r="H33" s="9">
        <f t="shared" si="1"/>
        <v>31</v>
      </c>
      <c r="I33" s="16">
        <f t="shared" si="2"/>
        <v>93</v>
      </c>
    </row>
    <row r="34" spans="1:9" x14ac:dyDescent="0.25">
      <c r="A34" s="13" t="s">
        <v>29</v>
      </c>
      <c r="B34" s="8">
        <v>0</v>
      </c>
      <c r="C34" s="4">
        <v>0</v>
      </c>
      <c r="D34" s="6">
        <f t="shared" si="0"/>
        <v>0</v>
      </c>
      <c r="E34" s="8">
        <v>0</v>
      </c>
      <c r="F34" s="4">
        <v>9</v>
      </c>
      <c r="G34" s="4">
        <v>0</v>
      </c>
      <c r="H34" s="9">
        <f t="shared" si="1"/>
        <v>9</v>
      </c>
      <c r="I34" s="16">
        <f t="shared" si="2"/>
        <v>9</v>
      </c>
    </row>
    <row r="35" spans="1:9" x14ac:dyDescent="0.25">
      <c r="A35" s="13" t="s">
        <v>30</v>
      </c>
      <c r="B35" s="8">
        <v>318</v>
      </c>
      <c r="C35" s="4">
        <v>7</v>
      </c>
      <c r="D35" s="6">
        <f t="shared" si="0"/>
        <v>325</v>
      </c>
      <c r="E35" s="8">
        <v>68</v>
      </c>
      <c r="F35" s="4">
        <v>45</v>
      </c>
      <c r="G35" s="4">
        <v>2</v>
      </c>
      <c r="H35" s="9">
        <f t="shared" si="1"/>
        <v>115</v>
      </c>
      <c r="I35" s="16">
        <f t="shared" si="2"/>
        <v>440</v>
      </c>
    </row>
    <row r="36" spans="1:9" x14ac:dyDescent="0.25">
      <c r="A36" s="13" t="s">
        <v>83</v>
      </c>
      <c r="B36" s="8">
        <v>146</v>
      </c>
      <c r="C36" s="4">
        <v>0</v>
      </c>
      <c r="D36" s="6">
        <f t="shared" si="0"/>
        <v>146</v>
      </c>
      <c r="E36" s="8">
        <v>44</v>
      </c>
      <c r="F36" s="4">
        <v>18</v>
      </c>
      <c r="G36" s="4">
        <v>0</v>
      </c>
      <c r="H36" s="9">
        <f t="shared" si="1"/>
        <v>62</v>
      </c>
      <c r="I36" s="16">
        <f t="shared" si="2"/>
        <v>208</v>
      </c>
    </row>
    <row r="37" spans="1:9" x14ac:dyDescent="0.25">
      <c r="A37" s="13" t="s">
        <v>32</v>
      </c>
      <c r="B37" s="8">
        <v>183</v>
      </c>
      <c r="C37" s="4">
        <v>3</v>
      </c>
      <c r="D37" s="6">
        <f t="shared" si="0"/>
        <v>186</v>
      </c>
      <c r="E37" s="8">
        <v>52</v>
      </c>
      <c r="F37" s="4">
        <v>14</v>
      </c>
      <c r="G37" s="4">
        <v>0</v>
      </c>
      <c r="H37" s="9">
        <f t="shared" si="1"/>
        <v>66</v>
      </c>
      <c r="I37" s="16">
        <f t="shared" si="2"/>
        <v>252</v>
      </c>
    </row>
    <row r="38" spans="1:9" x14ac:dyDescent="0.25">
      <c r="A38" s="13" t="s">
        <v>33</v>
      </c>
      <c r="B38" s="8">
        <v>301</v>
      </c>
      <c r="C38" s="4">
        <v>3</v>
      </c>
      <c r="D38" s="6">
        <f t="shared" si="0"/>
        <v>304</v>
      </c>
      <c r="E38" s="8">
        <v>13</v>
      </c>
      <c r="F38" s="4">
        <v>3</v>
      </c>
      <c r="G38" s="4">
        <v>1</v>
      </c>
      <c r="H38" s="9">
        <f t="shared" si="1"/>
        <v>17</v>
      </c>
      <c r="I38" s="16">
        <f t="shared" si="2"/>
        <v>321</v>
      </c>
    </row>
    <row r="39" spans="1:9" x14ac:dyDescent="0.25">
      <c r="A39" s="13" t="s">
        <v>1</v>
      </c>
      <c r="B39" s="8">
        <v>505</v>
      </c>
      <c r="C39" s="4">
        <v>1</v>
      </c>
      <c r="D39" s="6">
        <f t="shared" si="0"/>
        <v>506</v>
      </c>
      <c r="E39" s="8">
        <v>284</v>
      </c>
      <c r="F39" s="4">
        <v>58</v>
      </c>
      <c r="G39" s="4">
        <v>0</v>
      </c>
      <c r="H39" s="9">
        <f t="shared" si="1"/>
        <v>342</v>
      </c>
      <c r="I39" s="16">
        <f t="shared" si="2"/>
        <v>848</v>
      </c>
    </row>
    <row r="40" spans="1:9" x14ac:dyDescent="0.25">
      <c r="A40" s="13" t="s">
        <v>34</v>
      </c>
      <c r="B40" s="8">
        <v>109</v>
      </c>
      <c r="C40" s="4">
        <v>1</v>
      </c>
      <c r="D40" s="6">
        <f t="shared" si="0"/>
        <v>110</v>
      </c>
      <c r="E40" s="8">
        <v>83</v>
      </c>
      <c r="F40" s="4">
        <v>66</v>
      </c>
      <c r="G40" s="4">
        <v>0</v>
      </c>
      <c r="H40" s="9">
        <f t="shared" si="1"/>
        <v>149</v>
      </c>
      <c r="I40" s="16">
        <f t="shared" si="2"/>
        <v>259</v>
      </c>
    </row>
    <row r="41" spans="1:9" x14ac:dyDescent="0.25">
      <c r="A41" s="13" t="s">
        <v>35</v>
      </c>
      <c r="B41" s="8">
        <v>336</v>
      </c>
      <c r="C41" s="4">
        <v>8</v>
      </c>
      <c r="D41" s="6">
        <f t="shared" si="0"/>
        <v>344</v>
      </c>
      <c r="E41" s="8">
        <v>11</v>
      </c>
      <c r="F41" s="4">
        <v>2</v>
      </c>
      <c r="G41" s="4">
        <v>0</v>
      </c>
      <c r="H41" s="9">
        <f t="shared" si="1"/>
        <v>13</v>
      </c>
      <c r="I41" s="16">
        <f t="shared" si="2"/>
        <v>357</v>
      </c>
    </row>
    <row r="42" spans="1:9" x14ac:dyDescent="0.25">
      <c r="A42" s="13" t="s">
        <v>36</v>
      </c>
      <c r="B42" s="8">
        <v>249</v>
      </c>
      <c r="C42" s="4">
        <v>7</v>
      </c>
      <c r="D42" s="6">
        <f t="shared" si="0"/>
        <v>256</v>
      </c>
      <c r="E42" s="8">
        <v>76</v>
      </c>
      <c r="F42" s="4">
        <v>32</v>
      </c>
      <c r="G42" s="4">
        <v>0</v>
      </c>
      <c r="H42" s="9">
        <f t="shared" si="1"/>
        <v>108</v>
      </c>
      <c r="I42" s="16">
        <f t="shared" si="2"/>
        <v>364</v>
      </c>
    </row>
    <row r="43" spans="1:9" x14ac:dyDescent="0.25">
      <c r="A43" s="13" t="s">
        <v>37</v>
      </c>
      <c r="B43" s="8">
        <v>6</v>
      </c>
      <c r="C43" s="4">
        <v>0</v>
      </c>
      <c r="D43" s="6">
        <f t="shared" si="0"/>
        <v>6</v>
      </c>
      <c r="E43" s="8">
        <v>29</v>
      </c>
      <c r="F43" s="4">
        <v>20</v>
      </c>
      <c r="G43" s="4">
        <v>1</v>
      </c>
      <c r="H43" s="9">
        <f t="shared" si="1"/>
        <v>50</v>
      </c>
      <c r="I43" s="16">
        <f t="shared" si="2"/>
        <v>56</v>
      </c>
    </row>
    <row r="44" spans="1:9" x14ac:dyDescent="0.25">
      <c r="A44" s="13" t="s">
        <v>38</v>
      </c>
      <c r="B44" s="8">
        <v>153</v>
      </c>
      <c r="C44" s="4">
        <v>1</v>
      </c>
      <c r="D44" s="6">
        <f t="shared" si="0"/>
        <v>154</v>
      </c>
      <c r="E44" s="8">
        <v>0</v>
      </c>
      <c r="F44" s="4">
        <v>0</v>
      </c>
      <c r="G44" s="4">
        <v>0</v>
      </c>
      <c r="H44" s="9">
        <f t="shared" si="1"/>
        <v>0</v>
      </c>
      <c r="I44" s="16">
        <f t="shared" si="2"/>
        <v>154</v>
      </c>
    </row>
    <row r="45" spans="1:9" x14ac:dyDescent="0.25">
      <c r="A45" s="13" t="s">
        <v>39</v>
      </c>
      <c r="B45" s="8">
        <v>146</v>
      </c>
      <c r="C45" s="4">
        <v>0</v>
      </c>
      <c r="D45" s="6">
        <f t="shared" si="0"/>
        <v>146</v>
      </c>
      <c r="E45" s="8">
        <v>31</v>
      </c>
      <c r="F45" s="4">
        <v>5</v>
      </c>
      <c r="G45" s="4">
        <v>0</v>
      </c>
      <c r="H45" s="9">
        <f t="shared" si="1"/>
        <v>36</v>
      </c>
      <c r="I45" s="16">
        <f t="shared" si="2"/>
        <v>182</v>
      </c>
    </row>
    <row r="46" spans="1:9" x14ac:dyDescent="0.25">
      <c r="A46" s="13" t="s">
        <v>40</v>
      </c>
      <c r="B46" s="8">
        <v>156</v>
      </c>
      <c r="C46" s="4">
        <v>0</v>
      </c>
      <c r="D46" s="6">
        <f t="shared" si="0"/>
        <v>156</v>
      </c>
      <c r="E46" s="8">
        <v>48</v>
      </c>
      <c r="F46" s="4">
        <v>10</v>
      </c>
      <c r="G46" s="4">
        <v>0</v>
      </c>
      <c r="H46" s="9">
        <f t="shared" si="1"/>
        <v>58</v>
      </c>
      <c r="I46" s="16">
        <f t="shared" si="2"/>
        <v>214</v>
      </c>
    </row>
    <row r="47" spans="1:9" x14ac:dyDescent="0.25">
      <c r="A47" s="13" t="s">
        <v>41</v>
      </c>
      <c r="B47" s="8">
        <v>67</v>
      </c>
      <c r="C47" s="4">
        <v>0</v>
      </c>
      <c r="D47" s="6">
        <f t="shared" si="0"/>
        <v>67</v>
      </c>
      <c r="E47" s="8">
        <v>50</v>
      </c>
      <c r="F47" s="4">
        <v>10</v>
      </c>
      <c r="G47" s="4">
        <v>2</v>
      </c>
      <c r="H47" s="9">
        <f t="shared" si="1"/>
        <v>62</v>
      </c>
      <c r="I47" s="16">
        <f t="shared" si="2"/>
        <v>129</v>
      </c>
    </row>
    <row r="48" spans="1:9" x14ac:dyDescent="0.25">
      <c r="A48" s="13" t="s">
        <v>43</v>
      </c>
      <c r="B48" s="8">
        <v>450</v>
      </c>
      <c r="C48" s="4">
        <v>68</v>
      </c>
      <c r="D48" s="6">
        <f t="shared" si="0"/>
        <v>518</v>
      </c>
      <c r="E48" s="8">
        <v>52</v>
      </c>
      <c r="F48" s="4">
        <v>3</v>
      </c>
      <c r="G48" s="4">
        <v>1</v>
      </c>
      <c r="H48" s="9">
        <f t="shared" si="1"/>
        <v>56</v>
      </c>
      <c r="I48" s="16">
        <f t="shared" si="2"/>
        <v>574</v>
      </c>
    </row>
    <row r="49" spans="1:9" x14ac:dyDescent="0.25">
      <c r="A49" s="13" t="s">
        <v>44</v>
      </c>
      <c r="B49" s="8">
        <v>90</v>
      </c>
      <c r="C49" s="4">
        <v>2</v>
      </c>
      <c r="D49" s="6">
        <f t="shared" si="0"/>
        <v>92</v>
      </c>
      <c r="E49" s="8">
        <v>54</v>
      </c>
      <c r="F49" s="4">
        <v>22</v>
      </c>
      <c r="G49" s="4">
        <v>0</v>
      </c>
      <c r="H49" s="9">
        <f t="shared" si="1"/>
        <v>76</v>
      </c>
      <c r="I49" s="16">
        <f t="shared" si="2"/>
        <v>168</v>
      </c>
    </row>
    <row r="50" spans="1:9" x14ac:dyDescent="0.25">
      <c r="A50" s="13" t="s">
        <v>45</v>
      </c>
      <c r="B50" s="8">
        <v>326</v>
      </c>
      <c r="C50" s="4">
        <v>0</v>
      </c>
      <c r="D50" s="6">
        <f t="shared" si="0"/>
        <v>326</v>
      </c>
      <c r="E50" s="8">
        <v>194</v>
      </c>
      <c r="F50" s="4">
        <v>49</v>
      </c>
      <c r="G50" s="4">
        <v>0</v>
      </c>
      <c r="H50" s="9">
        <f t="shared" si="1"/>
        <v>243</v>
      </c>
      <c r="I50" s="16">
        <f t="shared" si="2"/>
        <v>569</v>
      </c>
    </row>
    <row r="51" spans="1:9" x14ac:dyDescent="0.25">
      <c r="A51" s="13" t="s">
        <v>98</v>
      </c>
      <c r="B51" s="8">
        <v>0</v>
      </c>
      <c r="C51" s="4">
        <v>0</v>
      </c>
      <c r="D51" s="6">
        <f t="shared" si="0"/>
        <v>0</v>
      </c>
      <c r="E51" s="8">
        <v>30</v>
      </c>
      <c r="F51" s="4">
        <v>9</v>
      </c>
      <c r="G51" s="4">
        <v>0</v>
      </c>
      <c r="H51" s="9">
        <f t="shared" si="1"/>
        <v>39</v>
      </c>
      <c r="I51" s="16">
        <f t="shared" si="2"/>
        <v>39</v>
      </c>
    </row>
    <row r="52" spans="1:9" x14ac:dyDescent="0.25">
      <c r="A52" s="13" t="s">
        <v>46</v>
      </c>
      <c r="B52" s="8">
        <v>91</v>
      </c>
      <c r="C52" s="4">
        <v>2</v>
      </c>
      <c r="D52" s="6">
        <f t="shared" si="0"/>
        <v>93</v>
      </c>
      <c r="E52" s="8">
        <v>0</v>
      </c>
      <c r="F52" s="4">
        <v>3</v>
      </c>
      <c r="G52" s="4">
        <v>0</v>
      </c>
      <c r="H52" s="9">
        <f t="shared" si="1"/>
        <v>3</v>
      </c>
      <c r="I52" s="16">
        <f t="shared" si="2"/>
        <v>96</v>
      </c>
    </row>
    <row r="53" spans="1:9" x14ac:dyDescent="0.25">
      <c r="A53" s="13" t="s">
        <v>47</v>
      </c>
      <c r="B53" s="8">
        <v>72</v>
      </c>
      <c r="C53" s="4">
        <v>0</v>
      </c>
      <c r="D53" s="6">
        <f t="shared" si="0"/>
        <v>72</v>
      </c>
      <c r="E53" s="8">
        <v>3</v>
      </c>
      <c r="F53" s="4">
        <v>0</v>
      </c>
      <c r="G53" s="4">
        <v>0</v>
      </c>
      <c r="H53" s="9">
        <f t="shared" si="1"/>
        <v>3</v>
      </c>
      <c r="I53" s="16">
        <f t="shared" si="2"/>
        <v>75</v>
      </c>
    </row>
    <row r="54" spans="1:9" x14ac:dyDescent="0.25">
      <c r="A54" s="13" t="s">
        <v>48</v>
      </c>
      <c r="B54" s="8">
        <v>0</v>
      </c>
      <c r="C54" s="4">
        <v>0</v>
      </c>
      <c r="D54" s="6">
        <f t="shared" si="0"/>
        <v>0</v>
      </c>
      <c r="E54" s="8">
        <v>37</v>
      </c>
      <c r="F54" s="4">
        <v>6</v>
      </c>
      <c r="G54" s="4">
        <v>0</v>
      </c>
      <c r="H54" s="9">
        <f t="shared" si="1"/>
        <v>43</v>
      </c>
      <c r="I54" s="16">
        <f t="shared" si="2"/>
        <v>43</v>
      </c>
    </row>
    <row r="55" spans="1:9" x14ac:dyDescent="0.25">
      <c r="A55" s="13" t="s">
        <v>49</v>
      </c>
      <c r="B55" s="8">
        <v>70</v>
      </c>
      <c r="C55" s="4">
        <v>0</v>
      </c>
      <c r="D55" s="6">
        <f t="shared" si="0"/>
        <v>70</v>
      </c>
      <c r="E55" s="8">
        <v>1</v>
      </c>
      <c r="F55" s="4">
        <v>5</v>
      </c>
      <c r="G55" s="4">
        <v>0</v>
      </c>
      <c r="H55" s="9">
        <f t="shared" si="1"/>
        <v>6</v>
      </c>
      <c r="I55" s="16">
        <f t="shared" si="2"/>
        <v>76</v>
      </c>
    </row>
    <row r="56" spans="1:9" x14ac:dyDescent="0.25">
      <c r="A56" s="13" t="s">
        <v>50</v>
      </c>
      <c r="B56" s="8">
        <v>77</v>
      </c>
      <c r="C56" s="4">
        <v>3</v>
      </c>
      <c r="D56" s="6">
        <f t="shared" si="0"/>
        <v>80</v>
      </c>
      <c r="E56" s="8">
        <v>14</v>
      </c>
      <c r="F56" s="4">
        <v>1</v>
      </c>
      <c r="G56" s="4">
        <v>0</v>
      </c>
      <c r="H56" s="9">
        <f t="shared" si="1"/>
        <v>15</v>
      </c>
      <c r="I56" s="16">
        <f t="shared" si="2"/>
        <v>95</v>
      </c>
    </row>
    <row r="57" spans="1:9" x14ac:dyDescent="0.25">
      <c r="A57" s="13" t="s">
        <v>51</v>
      </c>
      <c r="B57" s="8">
        <v>2</v>
      </c>
      <c r="C57" s="4">
        <v>0</v>
      </c>
      <c r="D57" s="6">
        <f t="shared" si="0"/>
        <v>2</v>
      </c>
      <c r="E57" s="8">
        <v>0</v>
      </c>
      <c r="F57" s="4">
        <v>0</v>
      </c>
      <c r="G57" s="4">
        <v>0</v>
      </c>
      <c r="H57" s="9">
        <f t="shared" si="1"/>
        <v>0</v>
      </c>
      <c r="I57" s="16">
        <f t="shared" si="2"/>
        <v>2</v>
      </c>
    </row>
    <row r="58" spans="1:9" x14ac:dyDescent="0.25">
      <c r="A58" s="13" t="s">
        <v>52</v>
      </c>
      <c r="B58" s="8">
        <v>14</v>
      </c>
      <c r="C58" s="4">
        <v>1</v>
      </c>
      <c r="D58" s="6">
        <f t="shared" si="0"/>
        <v>15</v>
      </c>
      <c r="E58" s="8">
        <v>13</v>
      </c>
      <c r="F58" s="4">
        <v>6</v>
      </c>
      <c r="G58" s="4">
        <v>0</v>
      </c>
      <c r="H58" s="9">
        <f t="shared" si="1"/>
        <v>19</v>
      </c>
      <c r="I58" s="16">
        <f t="shared" si="2"/>
        <v>34</v>
      </c>
    </row>
    <row r="59" spans="1:9" x14ac:dyDescent="0.25">
      <c r="A59" s="13" t="s">
        <v>53</v>
      </c>
      <c r="B59" s="8">
        <v>450</v>
      </c>
      <c r="C59" s="4">
        <v>0</v>
      </c>
      <c r="D59" s="6">
        <f t="shared" si="0"/>
        <v>450</v>
      </c>
      <c r="E59" s="8">
        <v>0</v>
      </c>
      <c r="F59" s="4">
        <v>0</v>
      </c>
      <c r="G59" s="4">
        <v>0</v>
      </c>
      <c r="H59" s="9">
        <f t="shared" si="1"/>
        <v>0</v>
      </c>
      <c r="I59" s="16">
        <f t="shared" si="2"/>
        <v>450</v>
      </c>
    </row>
    <row r="60" spans="1:9" x14ac:dyDescent="0.25">
      <c r="A60" s="13" t="s">
        <v>54</v>
      </c>
      <c r="B60" s="8">
        <v>650</v>
      </c>
      <c r="C60" s="4">
        <v>15</v>
      </c>
      <c r="D60" s="6">
        <f t="shared" si="0"/>
        <v>665</v>
      </c>
      <c r="E60" s="8">
        <v>0</v>
      </c>
      <c r="F60" s="4">
        <v>0</v>
      </c>
      <c r="G60" s="4">
        <v>0</v>
      </c>
      <c r="H60" s="9">
        <f t="shared" si="1"/>
        <v>0</v>
      </c>
      <c r="I60" s="16">
        <f t="shared" si="2"/>
        <v>665</v>
      </c>
    </row>
    <row r="61" spans="1:9" x14ac:dyDescent="0.25">
      <c r="A61" s="13" t="s">
        <v>55</v>
      </c>
      <c r="B61" s="8">
        <v>0</v>
      </c>
      <c r="C61" s="4">
        <v>0</v>
      </c>
      <c r="D61" s="6">
        <f t="shared" si="0"/>
        <v>0</v>
      </c>
      <c r="E61" s="8">
        <v>10</v>
      </c>
      <c r="F61" s="4">
        <v>1</v>
      </c>
      <c r="G61" s="4">
        <v>0</v>
      </c>
      <c r="H61" s="9">
        <f t="shared" si="1"/>
        <v>11</v>
      </c>
      <c r="I61" s="16">
        <f t="shared" si="2"/>
        <v>11</v>
      </c>
    </row>
    <row r="62" spans="1:9" x14ac:dyDescent="0.25">
      <c r="A62" s="13" t="s">
        <v>99</v>
      </c>
      <c r="B62" s="8">
        <v>0</v>
      </c>
      <c r="C62" s="4">
        <v>0</v>
      </c>
      <c r="D62" s="6">
        <f t="shared" si="0"/>
        <v>0</v>
      </c>
      <c r="E62" s="8">
        <v>20</v>
      </c>
      <c r="F62" s="4">
        <v>4</v>
      </c>
      <c r="G62" s="4">
        <v>0</v>
      </c>
      <c r="H62" s="9">
        <f t="shared" si="1"/>
        <v>24</v>
      </c>
      <c r="I62" s="16">
        <f t="shared" si="2"/>
        <v>24</v>
      </c>
    </row>
    <row r="63" spans="1:9" x14ac:dyDescent="0.25">
      <c r="A63" s="13" t="s">
        <v>90</v>
      </c>
      <c r="B63" s="8">
        <v>0</v>
      </c>
      <c r="C63" s="4">
        <v>0</v>
      </c>
      <c r="D63" s="6">
        <f t="shared" si="0"/>
        <v>0</v>
      </c>
      <c r="E63" s="8">
        <v>0</v>
      </c>
      <c r="F63" s="4">
        <v>7</v>
      </c>
      <c r="G63" s="4">
        <v>0</v>
      </c>
      <c r="H63" s="9">
        <f t="shared" si="1"/>
        <v>7</v>
      </c>
      <c r="I63" s="16">
        <f t="shared" si="2"/>
        <v>7</v>
      </c>
    </row>
    <row r="64" spans="1:9" x14ac:dyDescent="0.25">
      <c r="A64" s="13" t="s">
        <v>91</v>
      </c>
      <c r="B64" s="8">
        <v>0</v>
      </c>
      <c r="C64" s="4">
        <v>0</v>
      </c>
      <c r="D64" s="6">
        <f t="shared" si="0"/>
        <v>0</v>
      </c>
      <c r="E64" s="8">
        <v>1</v>
      </c>
      <c r="F64" s="4">
        <v>2</v>
      </c>
      <c r="G64" s="4">
        <v>0</v>
      </c>
      <c r="H64" s="9">
        <f t="shared" si="1"/>
        <v>3</v>
      </c>
      <c r="I64" s="16">
        <f t="shared" si="2"/>
        <v>3</v>
      </c>
    </row>
    <row r="65" spans="1:9" x14ac:dyDescent="0.25">
      <c r="A65" s="13" t="s">
        <v>84</v>
      </c>
      <c r="B65" s="8">
        <v>0</v>
      </c>
      <c r="C65" s="4">
        <v>0</v>
      </c>
      <c r="D65" s="6">
        <f t="shared" si="0"/>
        <v>0</v>
      </c>
      <c r="E65" s="8">
        <v>22</v>
      </c>
      <c r="F65" s="4">
        <v>8</v>
      </c>
      <c r="G65" s="4">
        <v>1</v>
      </c>
      <c r="H65" s="9">
        <f t="shared" si="1"/>
        <v>31</v>
      </c>
      <c r="I65" s="16">
        <f t="shared" si="2"/>
        <v>31</v>
      </c>
    </row>
    <row r="66" spans="1:9" x14ac:dyDescent="0.25">
      <c r="A66" s="13" t="s">
        <v>57</v>
      </c>
      <c r="B66" s="8">
        <v>0</v>
      </c>
      <c r="C66" s="4">
        <v>0</v>
      </c>
      <c r="D66" s="6">
        <f t="shared" si="0"/>
        <v>0</v>
      </c>
      <c r="E66" s="8">
        <v>2</v>
      </c>
      <c r="F66" s="4">
        <v>5</v>
      </c>
      <c r="G66" s="4">
        <v>0</v>
      </c>
      <c r="H66" s="9">
        <f t="shared" si="1"/>
        <v>7</v>
      </c>
      <c r="I66" s="16">
        <f t="shared" si="2"/>
        <v>7</v>
      </c>
    </row>
    <row r="67" spans="1:9" x14ac:dyDescent="0.25">
      <c r="A67" s="13" t="s">
        <v>58</v>
      </c>
      <c r="B67" s="8">
        <v>0</v>
      </c>
      <c r="C67" s="4">
        <v>0</v>
      </c>
      <c r="D67" s="6">
        <f t="shared" si="0"/>
        <v>0</v>
      </c>
      <c r="E67" s="8">
        <v>3</v>
      </c>
      <c r="F67" s="4">
        <v>1</v>
      </c>
      <c r="G67" s="4">
        <v>0</v>
      </c>
      <c r="H67" s="9">
        <f t="shared" si="1"/>
        <v>4</v>
      </c>
      <c r="I67" s="16">
        <f t="shared" si="2"/>
        <v>4</v>
      </c>
    </row>
    <row r="68" spans="1:9" x14ac:dyDescent="0.25">
      <c r="A68" s="13" t="s">
        <v>59</v>
      </c>
      <c r="B68" s="8">
        <v>50</v>
      </c>
      <c r="C68" s="4">
        <v>3</v>
      </c>
      <c r="D68" s="6">
        <f t="shared" si="0"/>
        <v>53</v>
      </c>
      <c r="E68" s="8">
        <v>33</v>
      </c>
      <c r="F68" s="4">
        <v>0</v>
      </c>
      <c r="G68" s="4">
        <v>0</v>
      </c>
      <c r="H68" s="9">
        <f t="shared" si="1"/>
        <v>33</v>
      </c>
      <c r="I68" s="16">
        <f t="shared" si="2"/>
        <v>86</v>
      </c>
    </row>
    <row r="69" spans="1:9" x14ac:dyDescent="0.25">
      <c r="A69" s="13" t="s">
        <v>60</v>
      </c>
      <c r="B69" s="8">
        <v>0</v>
      </c>
      <c r="C69" s="4">
        <v>0</v>
      </c>
      <c r="D69" s="6">
        <f t="shared" si="0"/>
        <v>0</v>
      </c>
      <c r="E69" s="8">
        <v>16</v>
      </c>
      <c r="F69" s="4">
        <v>29</v>
      </c>
      <c r="G69" s="4">
        <v>0</v>
      </c>
      <c r="H69" s="9">
        <f t="shared" si="1"/>
        <v>45</v>
      </c>
      <c r="I69" s="16">
        <f t="shared" si="2"/>
        <v>45</v>
      </c>
    </row>
    <row r="70" spans="1:9" x14ac:dyDescent="0.25">
      <c r="A70" s="13" t="s">
        <v>61</v>
      </c>
      <c r="B70" s="8">
        <v>0</v>
      </c>
      <c r="C70" s="4">
        <v>0</v>
      </c>
      <c r="D70" s="6">
        <f t="shared" si="0"/>
        <v>0</v>
      </c>
      <c r="E70" s="8">
        <v>38</v>
      </c>
      <c r="F70" s="4">
        <v>26</v>
      </c>
      <c r="G70" s="4">
        <v>1</v>
      </c>
      <c r="H70" s="9">
        <f t="shared" si="1"/>
        <v>65</v>
      </c>
      <c r="I70" s="16">
        <f t="shared" si="2"/>
        <v>65</v>
      </c>
    </row>
    <row r="71" spans="1:9" x14ac:dyDescent="0.25">
      <c r="A71" s="13" t="s">
        <v>86</v>
      </c>
      <c r="B71" s="8">
        <v>0</v>
      </c>
      <c r="C71" s="4">
        <v>0</v>
      </c>
      <c r="D71" s="6">
        <f t="shared" si="0"/>
        <v>0</v>
      </c>
      <c r="E71" s="8">
        <v>1</v>
      </c>
      <c r="F71" s="4">
        <v>1</v>
      </c>
      <c r="G71" s="4">
        <v>0</v>
      </c>
      <c r="H71" s="9">
        <f t="shared" si="1"/>
        <v>2</v>
      </c>
      <c r="I71" s="16">
        <f t="shared" si="2"/>
        <v>2</v>
      </c>
    </row>
    <row r="72" spans="1:9" x14ac:dyDescent="0.25">
      <c r="A72" s="13" t="s">
        <v>62</v>
      </c>
      <c r="B72" s="8">
        <v>0</v>
      </c>
      <c r="C72" s="4">
        <v>0</v>
      </c>
      <c r="D72" s="6">
        <f t="shared" si="0"/>
        <v>0</v>
      </c>
      <c r="E72" s="8">
        <v>32</v>
      </c>
      <c r="F72" s="4">
        <v>14</v>
      </c>
      <c r="G72" s="4">
        <v>0</v>
      </c>
      <c r="H72" s="9">
        <f t="shared" si="1"/>
        <v>46</v>
      </c>
      <c r="I72" s="16">
        <f t="shared" si="2"/>
        <v>46</v>
      </c>
    </row>
    <row r="73" spans="1:9" x14ac:dyDescent="0.25">
      <c r="A73" s="13" t="s">
        <v>64</v>
      </c>
      <c r="B73" s="8">
        <v>0</v>
      </c>
      <c r="C73" s="4">
        <v>0</v>
      </c>
      <c r="D73" s="6">
        <f t="shared" si="0"/>
        <v>0</v>
      </c>
      <c r="E73" s="8">
        <v>2</v>
      </c>
      <c r="F73" s="4">
        <v>2</v>
      </c>
      <c r="G73" s="4">
        <v>0</v>
      </c>
      <c r="H73" s="9">
        <f t="shared" si="1"/>
        <v>4</v>
      </c>
      <c r="I73" s="16">
        <f t="shared" si="2"/>
        <v>4</v>
      </c>
    </row>
    <row r="74" spans="1:9" x14ac:dyDescent="0.25">
      <c r="A74" s="13" t="s">
        <v>65</v>
      </c>
      <c r="B74" s="8">
        <v>0</v>
      </c>
      <c r="C74" s="4">
        <v>0</v>
      </c>
      <c r="D74" s="6">
        <f t="shared" si="0"/>
        <v>0</v>
      </c>
      <c r="E74" s="8">
        <v>13</v>
      </c>
      <c r="F74" s="4">
        <v>12</v>
      </c>
      <c r="G74" s="4">
        <v>0</v>
      </c>
      <c r="H74" s="9">
        <f t="shared" si="1"/>
        <v>25</v>
      </c>
      <c r="I74" s="16">
        <f t="shared" si="2"/>
        <v>25</v>
      </c>
    </row>
    <row r="75" spans="1:9" x14ac:dyDescent="0.25">
      <c r="A75" s="13" t="s">
        <v>66</v>
      </c>
      <c r="B75" s="8">
        <v>0</v>
      </c>
      <c r="C75" s="4">
        <v>0</v>
      </c>
      <c r="D75" s="6">
        <f t="shared" si="0"/>
        <v>0</v>
      </c>
      <c r="E75" s="8">
        <v>7</v>
      </c>
      <c r="F75" s="4">
        <v>2</v>
      </c>
      <c r="G75" s="4">
        <v>0</v>
      </c>
      <c r="H75" s="9">
        <f t="shared" si="1"/>
        <v>9</v>
      </c>
      <c r="I75" s="16">
        <f t="shared" si="2"/>
        <v>9</v>
      </c>
    </row>
    <row r="76" spans="1:9" x14ac:dyDescent="0.25">
      <c r="A76" s="13" t="s">
        <v>67</v>
      </c>
      <c r="B76" s="8">
        <v>8</v>
      </c>
      <c r="C76" s="4">
        <v>0</v>
      </c>
      <c r="D76" s="6">
        <f t="shared" si="0"/>
        <v>8</v>
      </c>
      <c r="E76" s="8">
        <v>11</v>
      </c>
      <c r="F76" s="4">
        <v>0</v>
      </c>
      <c r="G76" s="4">
        <v>0</v>
      </c>
      <c r="H76" s="9">
        <f t="shared" si="1"/>
        <v>11</v>
      </c>
      <c r="I76" s="16">
        <f t="shared" si="2"/>
        <v>19</v>
      </c>
    </row>
    <row r="77" spans="1:9" x14ac:dyDescent="0.25">
      <c r="A77" s="13" t="s">
        <v>68</v>
      </c>
      <c r="B77" s="8">
        <v>0</v>
      </c>
      <c r="C77" s="4">
        <v>0</v>
      </c>
      <c r="D77" s="6">
        <f t="shared" si="0"/>
        <v>0</v>
      </c>
      <c r="E77" s="8">
        <v>3</v>
      </c>
      <c r="F77" s="4">
        <v>2</v>
      </c>
      <c r="G77" s="4">
        <v>0</v>
      </c>
      <c r="H77" s="9">
        <f t="shared" si="1"/>
        <v>5</v>
      </c>
      <c r="I77" s="16">
        <f t="shared" si="2"/>
        <v>5</v>
      </c>
    </row>
    <row r="78" spans="1:9" x14ac:dyDescent="0.25">
      <c r="A78" s="13" t="s">
        <v>92</v>
      </c>
      <c r="B78" s="8">
        <v>64</v>
      </c>
      <c r="C78" s="4">
        <v>1</v>
      </c>
      <c r="D78" s="6">
        <f t="shared" si="0"/>
        <v>65</v>
      </c>
      <c r="E78" s="8">
        <v>0</v>
      </c>
      <c r="F78" s="4">
        <v>0</v>
      </c>
      <c r="G78" s="4">
        <v>0</v>
      </c>
      <c r="H78" s="9">
        <f t="shared" si="1"/>
        <v>0</v>
      </c>
      <c r="I78" s="16">
        <f t="shared" si="2"/>
        <v>65</v>
      </c>
    </row>
    <row r="79" spans="1:9" x14ac:dyDescent="0.25">
      <c r="A79" s="13" t="s">
        <v>70</v>
      </c>
      <c r="B79" s="8">
        <v>0</v>
      </c>
      <c r="C79" s="4">
        <v>0</v>
      </c>
      <c r="D79" s="6">
        <f t="shared" si="0"/>
        <v>0</v>
      </c>
      <c r="E79" s="8">
        <v>14</v>
      </c>
      <c r="F79" s="4">
        <v>74</v>
      </c>
      <c r="G79" s="4">
        <v>1</v>
      </c>
      <c r="H79" s="9">
        <f t="shared" si="1"/>
        <v>89</v>
      </c>
      <c r="I79" s="16">
        <f t="shared" si="2"/>
        <v>89</v>
      </c>
    </row>
    <row r="80" spans="1:9" x14ac:dyDescent="0.25">
      <c r="A80" s="13" t="s">
        <v>71</v>
      </c>
      <c r="B80" s="8">
        <v>0</v>
      </c>
      <c r="C80" s="4">
        <v>0</v>
      </c>
      <c r="D80" s="6">
        <f t="shared" ref="D80:D84" si="3">B80+C80</f>
        <v>0</v>
      </c>
      <c r="E80" s="8">
        <v>9</v>
      </c>
      <c r="F80" s="4">
        <v>17</v>
      </c>
      <c r="G80" s="4">
        <v>0</v>
      </c>
      <c r="H80" s="9">
        <f t="shared" ref="H80:H89" si="4">E80+F80+G80</f>
        <v>26</v>
      </c>
      <c r="I80" s="16">
        <f t="shared" ref="I80:I81" si="5">H80+D80</f>
        <v>26</v>
      </c>
    </row>
    <row r="81" spans="1:10" x14ac:dyDescent="0.25">
      <c r="A81" s="13" t="s">
        <v>72</v>
      </c>
      <c r="B81" s="8">
        <v>10</v>
      </c>
      <c r="C81" s="4">
        <v>0</v>
      </c>
      <c r="D81" s="6">
        <f t="shared" si="3"/>
        <v>10</v>
      </c>
      <c r="E81" s="8">
        <v>18</v>
      </c>
      <c r="F81" s="4">
        <v>11</v>
      </c>
      <c r="G81" s="4">
        <v>0</v>
      </c>
      <c r="H81" s="9">
        <f t="shared" si="4"/>
        <v>29</v>
      </c>
      <c r="I81" s="16">
        <f t="shared" si="5"/>
        <v>39</v>
      </c>
    </row>
    <row r="82" spans="1:10" x14ac:dyDescent="0.25">
      <c r="A82" s="13" t="s">
        <v>73</v>
      </c>
      <c r="B82" s="8">
        <v>0</v>
      </c>
      <c r="C82" s="4">
        <v>0</v>
      </c>
      <c r="D82" s="6">
        <f t="shared" si="3"/>
        <v>0</v>
      </c>
      <c r="E82" s="8">
        <v>5</v>
      </c>
      <c r="F82" s="4">
        <v>37</v>
      </c>
      <c r="G82" s="4">
        <v>0</v>
      </c>
      <c r="H82" s="9">
        <f t="shared" si="4"/>
        <v>42</v>
      </c>
      <c r="I82" s="16">
        <f t="shared" ref="I82:I89" si="6">H82+D82</f>
        <v>42</v>
      </c>
    </row>
    <row r="83" spans="1:10" x14ac:dyDescent="0.25">
      <c r="A83" s="13" t="s">
        <v>74</v>
      </c>
      <c r="B83" s="8">
        <v>0</v>
      </c>
      <c r="C83" s="4">
        <v>0</v>
      </c>
      <c r="D83" s="6">
        <f t="shared" si="3"/>
        <v>0</v>
      </c>
      <c r="E83" s="8">
        <v>9</v>
      </c>
      <c r="F83" s="4">
        <v>2</v>
      </c>
      <c r="G83" s="4">
        <v>0</v>
      </c>
      <c r="H83" s="9">
        <f t="shared" si="4"/>
        <v>11</v>
      </c>
      <c r="I83" s="16">
        <f t="shared" si="6"/>
        <v>11</v>
      </c>
    </row>
    <row r="84" spans="1:10" x14ac:dyDescent="0.25">
      <c r="A84" s="13" t="s">
        <v>87</v>
      </c>
      <c r="B84" s="8">
        <v>0</v>
      </c>
      <c r="C84" s="4">
        <v>0</v>
      </c>
      <c r="D84" s="6">
        <f t="shared" si="3"/>
        <v>0</v>
      </c>
      <c r="E84" s="8">
        <v>94</v>
      </c>
      <c r="F84" s="4">
        <v>113</v>
      </c>
      <c r="G84" s="4">
        <v>1</v>
      </c>
      <c r="H84" s="9">
        <f t="shared" si="4"/>
        <v>208</v>
      </c>
      <c r="I84" s="16">
        <f t="shared" si="6"/>
        <v>208</v>
      </c>
    </row>
    <row r="85" spans="1:10" x14ac:dyDescent="0.25">
      <c r="A85" s="13" t="s">
        <v>94</v>
      </c>
      <c r="B85" s="8">
        <v>0</v>
      </c>
      <c r="C85" s="4">
        <v>0</v>
      </c>
      <c r="D85" s="6">
        <f t="shared" ref="D85:D89" si="7">B85+C85</f>
        <v>0</v>
      </c>
      <c r="E85" s="8">
        <v>50</v>
      </c>
      <c r="F85" s="4">
        <v>38</v>
      </c>
      <c r="G85" s="4">
        <v>1</v>
      </c>
      <c r="H85" s="9">
        <f t="shared" si="4"/>
        <v>89</v>
      </c>
      <c r="I85" s="16">
        <f t="shared" si="6"/>
        <v>89</v>
      </c>
    </row>
    <row r="86" spans="1:10" x14ac:dyDescent="0.25">
      <c r="A86" s="13" t="s">
        <v>75</v>
      </c>
      <c r="B86" s="8">
        <v>0</v>
      </c>
      <c r="C86" s="4">
        <v>0</v>
      </c>
      <c r="D86" s="6">
        <f t="shared" si="7"/>
        <v>0</v>
      </c>
      <c r="E86" s="8">
        <v>41</v>
      </c>
      <c r="F86" s="4">
        <v>27</v>
      </c>
      <c r="G86" s="4">
        <v>1</v>
      </c>
      <c r="H86" s="9">
        <f t="shared" si="4"/>
        <v>69</v>
      </c>
      <c r="I86" s="16">
        <f t="shared" si="6"/>
        <v>69</v>
      </c>
    </row>
    <row r="87" spans="1:10" x14ac:dyDescent="0.25">
      <c r="A87" s="13" t="s">
        <v>100</v>
      </c>
      <c r="B87" s="8">
        <v>598</v>
      </c>
      <c r="C87" s="4">
        <v>0</v>
      </c>
      <c r="D87" s="6">
        <f t="shared" si="7"/>
        <v>598</v>
      </c>
      <c r="E87" s="8">
        <v>47</v>
      </c>
      <c r="F87" s="4">
        <v>106</v>
      </c>
      <c r="G87" s="4">
        <v>1</v>
      </c>
      <c r="H87" s="9">
        <f t="shared" si="4"/>
        <v>154</v>
      </c>
      <c r="I87" s="16">
        <f t="shared" si="6"/>
        <v>752</v>
      </c>
    </row>
    <row r="88" spans="1:10" x14ac:dyDescent="0.25">
      <c r="A88" s="13"/>
      <c r="B88" s="8"/>
      <c r="C88" s="4"/>
      <c r="D88" s="6">
        <f t="shared" si="7"/>
        <v>0</v>
      </c>
      <c r="E88" s="8"/>
      <c r="F88" s="4"/>
      <c r="G88" s="4"/>
      <c r="H88" s="9">
        <f t="shared" si="4"/>
        <v>0</v>
      </c>
      <c r="I88" s="16">
        <f t="shared" si="6"/>
        <v>0</v>
      </c>
    </row>
    <row r="89" spans="1:10" ht="15.75" thickBot="1" x14ac:dyDescent="0.3">
      <c r="A89" s="14"/>
      <c r="B89" s="10"/>
      <c r="C89" s="5"/>
      <c r="D89" s="7">
        <f t="shared" si="7"/>
        <v>0</v>
      </c>
      <c r="E89" s="10"/>
      <c r="F89" s="5"/>
      <c r="G89" s="5"/>
      <c r="H89" s="11">
        <f t="shared" si="4"/>
        <v>0</v>
      </c>
      <c r="I89" s="17">
        <f t="shared" si="6"/>
        <v>0</v>
      </c>
    </row>
    <row r="90" spans="1:10" ht="16.5" thickTop="1" thickBot="1" x14ac:dyDescent="0.3">
      <c r="A90" s="15" t="s">
        <v>0</v>
      </c>
      <c r="B90" s="12">
        <f>SUM(B8:B89)</f>
        <v>10130</v>
      </c>
      <c r="C90" s="12">
        <f t="shared" ref="C90:I90" si="8">SUM(C8:C89)</f>
        <v>208</v>
      </c>
      <c r="D90" s="15">
        <f t="shared" si="8"/>
        <v>10338</v>
      </c>
      <c r="E90" s="12">
        <f t="shared" si="8"/>
        <v>3772</v>
      </c>
      <c r="F90" s="12">
        <f t="shared" si="8"/>
        <v>1452</v>
      </c>
      <c r="G90" s="12">
        <f t="shared" si="8"/>
        <v>56</v>
      </c>
      <c r="H90" s="18">
        <f t="shared" si="8"/>
        <v>5280</v>
      </c>
      <c r="I90" s="18">
        <f t="shared" si="8"/>
        <v>15618</v>
      </c>
    </row>
    <row r="92" spans="1:10" x14ac:dyDescent="0.25">
      <c r="A92" s="33" t="s">
        <v>88</v>
      </c>
      <c r="B92" s="33"/>
      <c r="C92" s="33"/>
      <c r="D92" s="33"/>
      <c r="E92" s="33"/>
      <c r="F92" s="33"/>
      <c r="G92" s="33"/>
      <c r="H92" s="33"/>
      <c r="I92" s="33"/>
      <c r="J92" s="33"/>
    </row>
    <row r="93" spans="1:10" x14ac:dyDescent="0.25">
      <c r="A93" s="33"/>
      <c r="B93" s="33"/>
      <c r="C93" s="33"/>
      <c r="D93" s="33"/>
      <c r="E93" s="33"/>
      <c r="F93" s="33"/>
      <c r="G93" s="33"/>
      <c r="H93" s="33"/>
      <c r="I93" s="33"/>
      <c r="J93" s="33"/>
    </row>
  </sheetData>
  <mergeCells count="13">
    <mergeCell ref="G6:G7"/>
    <mergeCell ref="H6:H7"/>
    <mergeCell ref="A92:J93"/>
    <mergeCell ref="A2:I2"/>
    <mergeCell ref="A5:A7"/>
    <mergeCell ref="B5:D5"/>
    <mergeCell ref="E5:H5"/>
    <mergeCell ref="I5:I7"/>
    <mergeCell ref="B6:B7"/>
    <mergeCell ref="C6:C7"/>
    <mergeCell ref="D6:D7"/>
    <mergeCell ref="E6:E7"/>
    <mergeCell ref="F6:F7"/>
  </mergeCells>
  <pageMargins left="0.7" right="0.7" top="0.75" bottom="0.75" header="0.3" footer="0.3"/>
  <pageSetup paperSize="9" orientation="portrait" r:id="rId1"/>
  <headerFooter>
    <oddHeader>&amp;CUCL Student Data Statistics</oddHeader>
    <oddFooter>&amp;L&amp;F - &amp;A&amp;RPage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J89"/>
  <sheetViews>
    <sheetView tabSelected="1" view="pageLayout" zoomScale="85" zoomScaleNormal="100" zoomScalePageLayoutView="85" workbookViewId="0">
      <selection activeCell="A47" sqref="A47"/>
    </sheetView>
  </sheetViews>
  <sheetFormatPr defaultColWidth="9" defaultRowHeight="15" x14ac:dyDescent="0.25"/>
  <cols>
    <col min="1" max="1" width="31.28515625" customWidth="1"/>
    <col min="2" max="9" width="6.7109375" customWidth="1"/>
    <col min="10" max="10" width="10.140625" customWidth="1"/>
  </cols>
  <sheetData>
    <row r="1" spans="1:9" ht="18" x14ac:dyDescent="0.25">
      <c r="A1" s="1" t="s">
        <v>2</v>
      </c>
      <c r="B1" s="3"/>
    </row>
    <row r="2" spans="1:9" x14ac:dyDescent="0.25">
      <c r="A2" s="34" t="s">
        <v>3</v>
      </c>
      <c r="B2" s="34"/>
      <c r="C2" s="34"/>
      <c r="D2" s="34"/>
      <c r="E2" s="34"/>
      <c r="F2" s="34"/>
      <c r="G2" s="34"/>
      <c r="H2" s="34"/>
      <c r="I2" s="34"/>
    </row>
    <row r="3" spans="1:9" x14ac:dyDescent="0.25">
      <c r="A3" s="28" t="str">
        <f ca="1">RIGHT(CELL("filename",A1),LEN(CELL("filename",A1))-FIND("]",CELL("filename",A1)))</f>
        <v>1997-98</v>
      </c>
      <c r="B3" s="3"/>
    </row>
    <row r="4" spans="1:9" ht="15.75" thickBot="1" x14ac:dyDescent="0.3">
      <c r="A4" s="3"/>
      <c r="B4" s="3"/>
    </row>
    <row r="5" spans="1:9" x14ac:dyDescent="0.25">
      <c r="A5" s="35" t="s">
        <v>4</v>
      </c>
      <c r="B5" s="38" t="s">
        <v>5</v>
      </c>
      <c r="C5" s="39"/>
      <c r="D5" s="39"/>
      <c r="E5" s="38" t="s">
        <v>6</v>
      </c>
      <c r="F5" s="39"/>
      <c r="G5" s="39"/>
      <c r="H5" s="40"/>
      <c r="I5" s="41" t="s">
        <v>0</v>
      </c>
    </row>
    <row r="6" spans="1:9" x14ac:dyDescent="0.25">
      <c r="A6" s="36"/>
      <c r="B6" s="44" t="s">
        <v>76</v>
      </c>
      <c r="C6" s="29" t="s">
        <v>77</v>
      </c>
      <c r="D6" s="46" t="s">
        <v>0</v>
      </c>
      <c r="E6" s="44" t="s">
        <v>76</v>
      </c>
      <c r="F6" s="29" t="s">
        <v>77</v>
      </c>
      <c r="G6" s="29" t="s">
        <v>78</v>
      </c>
      <c r="H6" s="31" t="s">
        <v>0</v>
      </c>
      <c r="I6" s="42"/>
    </row>
    <row r="7" spans="1:9" x14ac:dyDescent="0.25">
      <c r="A7" s="37"/>
      <c r="B7" s="45"/>
      <c r="C7" s="30"/>
      <c r="D7" s="47"/>
      <c r="E7" s="45"/>
      <c r="F7" s="30"/>
      <c r="G7" s="30"/>
      <c r="H7" s="32"/>
      <c r="I7" s="43"/>
    </row>
    <row r="8" spans="1:9" x14ac:dyDescent="0.25">
      <c r="A8" s="13" t="s">
        <v>7</v>
      </c>
      <c r="B8" s="8">
        <v>230</v>
      </c>
      <c r="C8" s="4">
        <v>5</v>
      </c>
      <c r="D8" s="6">
        <f>B8+C8</f>
        <v>235</v>
      </c>
      <c r="E8" s="8">
        <v>88</v>
      </c>
      <c r="F8" s="4">
        <v>26</v>
      </c>
      <c r="G8" s="4">
        <v>1</v>
      </c>
      <c r="H8" s="9">
        <f>E8+F8+G8</f>
        <v>115</v>
      </c>
      <c r="I8" s="16">
        <f>H8+D8</f>
        <v>350</v>
      </c>
    </row>
    <row r="9" spans="1:9" x14ac:dyDescent="0.25">
      <c r="A9" s="13" t="s">
        <v>8</v>
      </c>
      <c r="B9" s="8">
        <v>194</v>
      </c>
      <c r="C9" s="4">
        <v>2</v>
      </c>
      <c r="D9" s="6">
        <f>B9+C9</f>
        <v>196</v>
      </c>
      <c r="E9" s="8">
        <v>82</v>
      </c>
      <c r="F9" s="4">
        <v>25</v>
      </c>
      <c r="G9" s="4">
        <v>20</v>
      </c>
      <c r="H9" s="9">
        <f>E9+F9+G9</f>
        <v>127</v>
      </c>
      <c r="I9" s="16">
        <f>H9+D9</f>
        <v>323</v>
      </c>
    </row>
    <row r="10" spans="1:9" x14ac:dyDescent="0.25">
      <c r="A10" s="13" t="s">
        <v>9</v>
      </c>
      <c r="B10" s="8">
        <v>294</v>
      </c>
      <c r="C10" s="4">
        <v>11</v>
      </c>
      <c r="D10" s="6">
        <f t="shared" ref="D10:D73" si="0">B10+C10</f>
        <v>305</v>
      </c>
      <c r="E10" s="8">
        <v>172</v>
      </c>
      <c r="F10" s="4">
        <v>50</v>
      </c>
      <c r="G10" s="4">
        <v>5</v>
      </c>
      <c r="H10" s="9">
        <f t="shared" ref="H10:H73" si="1">E10+F10+G10</f>
        <v>227</v>
      </c>
      <c r="I10" s="16">
        <f t="shared" ref="I10:I73" si="2">H10+D10</f>
        <v>532</v>
      </c>
    </row>
    <row r="11" spans="1:9" x14ac:dyDescent="0.25">
      <c r="A11" s="13" t="s">
        <v>79</v>
      </c>
      <c r="B11" s="8">
        <v>318</v>
      </c>
      <c r="C11" s="4">
        <v>4</v>
      </c>
      <c r="D11" s="6">
        <f t="shared" si="0"/>
        <v>322</v>
      </c>
      <c r="E11" s="8">
        <v>455</v>
      </c>
      <c r="F11" s="4">
        <v>102</v>
      </c>
      <c r="G11" s="4">
        <v>3</v>
      </c>
      <c r="H11" s="9">
        <f t="shared" si="1"/>
        <v>560</v>
      </c>
      <c r="I11" s="16">
        <f t="shared" si="2"/>
        <v>882</v>
      </c>
    </row>
    <row r="12" spans="1:9" x14ac:dyDescent="0.25">
      <c r="A12" s="13" t="s">
        <v>11</v>
      </c>
      <c r="B12" s="8">
        <v>146</v>
      </c>
      <c r="C12" s="4">
        <v>0</v>
      </c>
      <c r="D12" s="6">
        <f t="shared" si="0"/>
        <v>146</v>
      </c>
      <c r="E12" s="8">
        <v>101</v>
      </c>
      <c r="F12" s="4">
        <v>12</v>
      </c>
      <c r="G12" s="4">
        <v>0</v>
      </c>
      <c r="H12" s="9">
        <f t="shared" si="1"/>
        <v>113</v>
      </c>
      <c r="I12" s="16">
        <f t="shared" si="2"/>
        <v>259</v>
      </c>
    </row>
    <row r="13" spans="1:9" x14ac:dyDescent="0.25">
      <c r="A13" s="13" t="s">
        <v>12</v>
      </c>
      <c r="B13" s="8">
        <v>289</v>
      </c>
      <c r="C13" s="4">
        <v>3</v>
      </c>
      <c r="D13" s="6">
        <f t="shared" si="0"/>
        <v>292</v>
      </c>
      <c r="E13" s="8">
        <v>86</v>
      </c>
      <c r="F13" s="4">
        <v>20</v>
      </c>
      <c r="G13" s="4">
        <v>0</v>
      </c>
      <c r="H13" s="9">
        <f t="shared" si="1"/>
        <v>106</v>
      </c>
      <c r="I13" s="16">
        <f t="shared" si="2"/>
        <v>398</v>
      </c>
    </row>
    <row r="14" spans="1:9" x14ac:dyDescent="0.25">
      <c r="A14" s="13" t="s">
        <v>80</v>
      </c>
      <c r="B14" s="8">
        <v>0</v>
      </c>
      <c r="C14" s="4">
        <v>0</v>
      </c>
      <c r="D14" s="6">
        <f t="shared" si="0"/>
        <v>0</v>
      </c>
      <c r="E14" s="8">
        <v>30</v>
      </c>
      <c r="F14" s="4">
        <v>0</v>
      </c>
      <c r="G14" s="4">
        <v>0</v>
      </c>
      <c r="H14" s="9">
        <f t="shared" si="1"/>
        <v>30</v>
      </c>
      <c r="I14" s="16">
        <f t="shared" si="2"/>
        <v>30</v>
      </c>
    </row>
    <row r="15" spans="1:9" x14ac:dyDescent="0.25">
      <c r="A15" s="13" t="s">
        <v>13</v>
      </c>
      <c r="B15" s="8">
        <v>209</v>
      </c>
      <c r="C15" s="4">
        <v>1</v>
      </c>
      <c r="D15" s="6">
        <f t="shared" si="0"/>
        <v>210</v>
      </c>
      <c r="E15" s="8">
        <v>100</v>
      </c>
      <c r="F15" s="4">
        <v>15</v>
      </c>
      <c r="G15" s="4">
        <v>0</v>
      </c>
      <c r="H15" s="9">
        <f t="shared" si="1"/>
        <v>115</v>
      </c>
      <c r="I15" s="16">
        <f t="shared" si="2"/>
        <v>325</v>
      </c>
    </row>
    <row r="16" spans="1:9" x14ac:dyDescent="0.25">
      <c r="A16" s="13" t="s">
        <v>14</v>
      </c>
      <c r="B16" s="8">
        <v>212</v>
      </c>
      <c r="C16" s="4">
        <v>1</v>
      </c>
      <c r="D16" s="6">
        <f t="shared" si="0"/>
        <v>213</v>
      </c>
      <c r="E16" s="8">
        <v>92</v>
      </c>
      <c r="F16" s="4">
        <v>5</v>
      </c>
      <c r="G16" s="4">
        <v>0</v>
      </c>
      <c r="H16" s="9">
        <f t="shared" si="1"/>
        <v>97</v>
      </c>
      <c r="I16" s="16">
        <f t="shared" si="2"/>
        <v>310</v>
      </c>
    </row>
    <row r="17" spans="1:9" x14ac:dyDescent="0.25">
      <c r="A17" s="13" t="s">
        <v>15</v>
      </c>
      <c r="B17" s="8">
        <v>225</v>
      </c>
      <c r="C17" s="4">
        <v>2</v>
      </c>
      <c r="D17" s="6">
        <f t="shared" si="0"/>
        <v>227</v>
      </c>
      <c r="E17" s="8">
        <v>44</v>
      </c>
      <c r="F17" s="4">
        <v>7</v>
      </c>
      <c r="G17" s="4">
        <v>0</v>
      </c>
      <c r="H17" s="9">
        <f t="shared" si="1"/>
        <v>51</v>
      </c>
      <c r="I17" s="16">
        <f t="shared" si="2"/>
        <v>278</v>
      </c>
    </row>
    <row r="18" spans="1:9" x14ac:dyDescent="0.25">
      <c r="A18" s="13" t="s">
        <v>16</v>
      </c>
      <c r="B18" s="8">
        <v>198</v>
      </c>
      <c r="C18" s="4">
        <v>2</v>
      </c>
      <c r="D18" s="6">
        <f t="shared" si="0"/>
        <v>200</v>
      </c>
      <c r="E18" s="8">
        <v>136</v>
      </c>
      <c r="F18" s="4">
        <v>18</v>
      </c>
      <c r="G18" s="4">
        <v>0</v>
      </c>
      <c r="H18" s="9">
        <f t="shared" si="1"/>
        <v>154</v>
      </c>
      <c r="I18" s="16">
        <f t="shared" si="2"/>
        <v>354</v>
      </c>
    </row>
    <row r="19" spans="1:9" x14ac:dyDescent="0.25">
      <c r="A19" s="13" t="s">
        <v>17</v>
      </c>
      <c r="B19" s="8">
        <v>0</v>
      </c>
      <c r="C19" s="4">
        <v>0</v>
      </c>
      <c r="D19" s="6">
        <f t="shared" si="0"/>
        <v>0</v>
      </c>
      <c r="E19" s="8">
        <v>96</v>
      </c>
      <c r="F19" s="4">
        <v>2</v>
      </c>
      <c r="G19" s="4">
        <v>9</v>
      </c>
      <c r="H19" s="9">
        <f t="shared" si="1"/>
        <v>107</v>
      </c>
      <c r="I19" s="16">
        <f t="shared" si="2"/>
        <v>107</v>
      </c>
    </row>
    <row r="20" spans="1:9" x14ac:dyDescent="0.25">
      <c r="A20" s="13" t="s">
        <v>18</v>
      </c>
      <c r="B20" s="8">
        <v>36</v>
      </c>
      <c r="C20" s="4">
        <v>1</v>
      </c>
      <c r="D20" s="6">
        <f t="shared" si="0"/>
        <v>37</v>
      </c>
      <c r="E20" s="8">
        <v>7</v>
      </c>
      <c r="F20" s="4">
        <v>4</v>
      </c>
      <c r="G20" s="4">
        <v>0</v>
      </c>
      <c r="H20" s="9">
        <f t="shared" si="1"/>
        <v>11</v>
      </c>
      <c r="I20" s="16">
        <f t="shared" si="2"/>
        <v>48</v>
      </c>
    </row>
    <row r="21" spans="1:9" x14ac:dyDescent="0.25">
      <c r="A21" s="13" t="s">
        <v>19</v>
      </c>
      <c r="B21" s="8">
        <v>450</v>
      </c>
      <c r="C21" s="4">
        <v>14</v>
      </c>
      <c r="D21" s="6">
        <f t="shared" si="0"/>
        <v>464</v>
      </c>
      <c r="E21" s="8">
        <v>130</v>
      </c>
      <c r="F21" s="4">
        <v>15</v>
      </c>
      <c r="G21" s="4">
        <v>2</v>
      </c>
      <c r="H21" s="9">
        <f t="shared" si="1"/>
        <v>147</v>
      </c>
      <c r="I21" s="16">
        <f t="shared" si="2"/>
        <v>611</v>
      </c>
    </row>
    <row r="22" spans="1:9" x14ac:dyDescent="0.25">
      <c r="A22" s="13" t="s">
        <v>20</v>
      </c>
      <c r="B22" s="8">
        <v>228</v>
      </c>
      <c r="C22" s="4">
        <v>3</v>
      </c>
      <c r="D22" s="6">
        <f t="shared" si="0"/>
        <v>231</v>
      </c>
      <c r="E22" s="8">
        <v>133</v>
      </c>
      <c r="F22" s="4">
        <v>153</v>
      </c>
      <c r="G22" s="4">
        <v>0</v>
      </c>
      <c r="H22" s="9">
        <f t="shared" si="1"/>
        <v>286</v>
      </c>
      <c r="I22" s="16">
        <f t="shared" si="2"/>
        <v>517</v>
      </c>
    </row>
    <row r="23" spans="1:9" x14ac:dyDescent="0.25">
      <c r="A23" s="13" t="s">
        <v>21</v>
      </c>
      <c r="B23" s="8">
        <v>276</v>
      </c>
      <c r="C23" s="4">
        <v>0</v>
      </c>
      <c r="D23" s="6">
        <f t="shared" si="0"/>
        <v>276</v>
      </c>
      <c r="E23" s="8">
        <v>27</v>
      </c>
      <c r="F23" s="4">
        <v>7</v>
      </c>
      <c r="G23" s="4">
        <v>0</v>
      </c>
      <c r="H23" s="9">
        <f t="shared" si="1"/>
        <v>34</v>
      </c>
      <c r="I23" s="16">
        <f t="shared" si="2"/>
        <v>310</v>
      </c>
    </row>
    <row r="24" spans="1:9" x14ac:dyDescent="0.25">
      <c r="A24" s="13" t="s">
        <v>22</v>
      </c>
      <c r="B24" s="8">
        <v>147</v>
      </c>
      <c r="C24" s="4">
        <v>0</v>
      </c>
      <c r="D24" s="6">
        <f t="shared" si="0"/>
        <v>147</v>
      </c>
      <c r="E24" s="8">
        <v>121</v>
      </c>
      <c r="F24" s="4">
        <v>3</v>
      </c>
      <c r="G24" s="4">
        <v>1</v>
      </c>
      <c r="H24" s="9">
        <f t="shared" si="1"/>
        <v>125</v>
      </c>
      <c r="I24" s="16">
        <f t="shared" si="2"/>
        <v>272</v>
      </c>
    </row>
    <row r="25" spans="1:9" x14ac:dyDescent="0.25">
      <c r="A25" s="13" t="s">
        <v>23</v>
      </c>
      <c r="B25" s="8">
        <v>257</v>
      </c>
      <c r="C25" s="4">
        <v>2</v>
      </c>
      <c r="D25" s="6">
        <f t="shared" si="0"/>
        <v>259</v>
      </c>
      <c r="E25" s="8">
        <v>25</v>
      </c>
      <c r="F25" s="4">
        <v>11</v>
      </c>
      <c r="G25" s="4">
        <v>0</v>
      </c>
      <c r="H25" s="9">
        <f t="shared" si="1"/>
        <v>36</v>
      </c>
      <c r="I25" s="16">
        <f t="shared" si="2"/>
        <v>295</v>
      </c>
    </row>
    <row r="26" spans="1:9" x14ac:dyDescent="0.25">
      <c r="A26" s="13" t="s">
        <v>24</v>
      </c>
      <c r="B26" s="8">
        <v>290</v>
      </c>
      <c r="C26" s="4">
        <v>0</v>
      </c>
      <c r="D26" s="6">
        <f t="shared" si="0"/>
        <v>290</v>
      </c>
      <c r="E26" s="8">
        <v>81</v>
      </c>
      <c r="F26" s="4">
        <v>9</v>
      </c>
      <c r="G26" s="4">
        <v>1</v>
      </c>
      <c r="H26" s="9">
        <f t="shared" si="1"/>
        <v>91</v>
      </c>
      <c r="I26" s="16">
        <f t="shared" si="2"/>
        <v>381</v>
      </c>
    </row>
    <row r="27" spans="1:9" x14ac:dyDescent="0.25">
      <c r="A27" s="13" t="s">
        <v>25</v>
      </c>
      <c r="B27" s="8">
        <v>139</v>
      </c>
      <c r="C27" s="4">
        <v>2</v>
      </c>
      <c r="D27" s="6">
        <f t="shared" si="0"/>
        <v>141</v>
      </c>
      <c r="E27" s="8">
        <v>52</v>
      </c>
      <c r="F27" s="4">
        <v>6</v>
      </c>
      <c r="G27" s="4">
        <v>1</v>
      </c>
      <c r="H27" s="9">
        <f t="shared" si="1"/>
        <v>59</v>
      </c>
      <c r="I27" s="16">
        <f t="shared" si="2"/>
        <v>200</v>
      </c>
    </row>
    <row r="28" spans="1:9" x14ac:dyDescent="0.25">
      <c r="A28" s="13" t="s">
        <v>89</v>
      </c>
      <c r="B28" s="8">
        <v>0</v>
      </c>
      <c r="C28" s="4">
        <v>0</v>
      </c>
      <c r="D28" s="6">
        <f t="shared" si="0"/>
        <v>0</v>
      </c>
      <c r="E28" s="8">
        <v>40</v>
      </c>
      <c r="F28" s="4">
        <v>7</v>
      </c>
      <c r="G28" s="4">
        <v>0</v>
      </c>
      <c r="H28" s="9">
        <f t="shared" si="1"/>
        <v>47</v>
      </c>
      <c r="I28" s="16">
        <f t="shared" si="2"/>
        <v>47</v>
      </c>
    </row>
    <row r="29" spans="1:9" x14ac:dyDescent="0.25">
      <c r="A29" s="13" t="s">
        <v>26</v>
      </c>
      <c r="B29" s="8">
        <v>106</v>
      </c>
      <c r="C29" s="4">
        <v>0</v>
      </c>
      <c r="D29" s="6">
        <f t="shared" si="0"/>
        <v>106</v>
      </c>
      <c r="E29" s="8">
        <v>21</v>
      </c>
      <c r="F29" s="4">
        <v>4</v>
      </c>
      <c r="G29" s="4">
        <v>1</v>
      </c>
      <c r="H29" s="9">
        <f t="shared" si="1"/>
        <v>26</v>
      </c>
      <c r="I29" s="16">
        <f t="shared" si="2"/>
        <v>132</v>
      </c>
    </row>
    <row r="30" spans="1:9" x14ac:dyDescent="0.25">
      <c r="A30" s="13" t="s">
        <v>81</v>
      </c>
      <c r="B30" s="8">
        <v>98</v>
      </c>
      <c r="C30" s="4">
        <v>23</v>
      </c>
      <c r="D30" s="6">
        <f t="shared" si="0"/>
        <v>121</v>
      </c>
      <c r="E30" s="8">
        <v>26</v>
      </c>
      <c r="F30" s="4">
        <v>8</v>
      </c>
      <c r="G30" s="4">
        <v>1</v>
      </c>
      <c r="H30" s="9">
        <f t="shared" si="1"/>
        <v>35</v>
      </c>
      <c r="I30" s="16">
        <f t="shared" si="2"/>
        <v>156</v>
      </c>
    </row>
    <row r="31" spans="1:9" x14ac:dyDescent="0.25">
      <c r="A31" s="13" t="s">
        <v>82</v>
      </c>
      <c r="B31" s="8">
        <v>62</v>
      </c>
      <c r="C31" s="4">
        <v>9</v>
      </c>
      <c r="D31" s="6">
        <f t="shared" si="0"/>
        <v>71</v>
      </c>
      <c r="E31" s="8">
        <v>11</v>
      </c>
      <c r="F31" s="4">
        <v>20</v>
      </c>
      <c r="G31" s="4">
        <v>1</v>
      </c>
      <c r="H31" s="9">
        <f t="shared" si="1"/>
        <v>32</v>
      </c>
      <c r="I31" s="16">
        <f t="shared" si="2"/>
        <v>103</v>
      </c>
    </row>
    <row r="32" spans="1:9" x14ac:dyDescent="0.25">
      <c r="A32" s="13" t="s">
        <v>29</v>
      </c>
      <c r="B32" s="8">
        <v>0</v>
      </c>
      <c r="C32" s="4">
        <v>0</v>
      </c>
      <c r="D32" s="6">
        <f t="shared" si="0"/>
        <v>0</v>
      </c>
      <c r="E32" s="8">
        <v>0</v>
      </c>
      <c r="F32" s="4">
        <v>10</v>
      </c>
      <c r="G32" s="4">
        <v>0</v>
      </c>
      <c r="H32" s="9">
        <f t="shared" si="1"/>
        <v>10</v>
      </c>
      <c r="I32" s="16">
        <f t="shared" si="2"/>
        <v>10</v>
      </c>
    </row>
    <row r="33" spans="1:9" x14ac:dyDescent="0.25">
      <c r="A33" s="13" t="s">
        <v>30</v>
      </c>
      <c r="B33" s="8">
        <v>338</v>
      </c>
      <c r="C33" s="4">
        <v>8</v>
      </c>
      <c r="D33" s="6">
        <f t="shared" si="0"/>
        <v>346</v>
      </c>
      <c r="E33" s="8">
        <v>85</v>
      </c>
      <c r="F33" s="4">
        <v>40</v>
      </c>
      <c r="G33" s="4">
        <v>1</v>
      </c>
      <c r="H33" s="9">
        <f t="shared" si="1"/>
        <v>126</v>
      </c>
      <c r="I33" s="16">
        <f t="shared" si="2"/>
        <v>472</v>
      </c>
    </row>
    <row r="34" spans="1:9" x14ac:dyDescent="0.25">
      <c r="A34" s="13" t="s">
        <v>83</v>
      </c>
      <c r="B34" s="8">
        <v>167</v>
      </c>
      <c r="C34" s="4">
        <v>0</v>
      </c>
      <c r="D34" s="6">
        <f t="shared" si="0"/>
        <v>167</v>
      </c>
      <c r="E34" s="8">
        <v>32</v>
      </c>
      <c r="F34" s="4">
        <v>22</v>
      </c>
      <c r="G34" s="4">
        <v>0</v>
      </c>
      <c r="H34" s="9">
        <f t="shared" si="1"/>
        <v>54</v>
      </c>
      <c r="I34" s="16">
        <f t="shared" si="2"/>
        <v>221</v>
      </c>
    </row>
    <row r="35" spans="1:9" x14ac:dyDescent="0.25">
      <c r="A35" s="13" t="s">
        <v>32</v>
      </c>
      <c r="B35" s="8">
        <v>188</v>
      </c>
      <c r="C35" s="4">
        <v>3</v>
      </c>
      <c r="D35" s="6">
        <f t="shared" si="0"/>
        <v>191</v>
      </c>
      <c r="E35" s="8">
        <v>74</v>
      </c>
      <c r="F35" s="4">
        <v>16</v>
      </c>
      <c r="G35" s="4">
        <v>0</v>
      </c>
      <c r="H35" s="9">
        <f t="shared" si="1"/>
        <v>90</v>
      </c>
      <c r="I35" s="16">
        <f t="shared" si="2"/>
        <v>281</v>
      </c>
    </row>
    <row r="36" spans="1:9" x14ac:dyDescent="0.25">
      <c r="A36" s="13" t="s">
        <v>33</v>
      </c>
      <c r="B36" s="8">
        <v>280</v>
      </c>
      <c r="C36" s="4">
        <v>1</v>
      </c>
      <c r="D36" s="6">
        <f t="shared" si="0"/>
        <v>281</v>
      </c>
      <c r="E36" s="8">
        <v>12</v>
      </c>
      <c r="F36" s="4">
        <v>9</v>
      </c>
      <c r="G36" s="4">
        <v>0</v>
      </c>
      <c r="H36" s="9">
        <f t="shared" si="1"/>
        <v>21</v>
      </c>
      <c r="I36" s="16">
        <f t="shared" si="2"/>
        <v>302</v>
      </c>
    </row>
    <row r="37" spans="1:9" x14ac:dyDescent="0.25">
      <c r="A37" s="13" t="s">
        <v>1</v>
      </c>
      <c r="B37" s="8">
        <v>548</v>
      </c>
      <c r="C37" s="4">
        <v>1</v>
      </c>
      <c r="D37" s="6">
        <f t="shared" si="0"/>
        <v>549</v>
      </c>
      <c r="E37" s="8">
        <v>245</v>
      </c>
      <c r="F37" s="4">
        <v>71</v>
      </c>
      <c r="G37" s="4">
        <v>0</v>
      </c>
      <c r="H37" s="9">
        <f t="shared" si="1"/>
        <v>316</v>
      </c>
      <c r="I37" s="16">
        <f t="shared" si="2"/>
        <v>865</v>
      </c>
    </row>
    <row r="38" spans="1:9" x14ac:dyDescent="0.25">
      <c r="A38" s="13" t="s">
        <v>34</v>
      </c>
      <c r="B38" s="8">
        <v>99</v>
      </c>
      <c r="C38" s="4">
        <v>0</v>
      </c>
      <c r="D38" s="6">
        <f t="shared" si="0"/>
        <v>99</v>
      </c>
      <c r="E38" s="8">
        <v>105</v>
      </c>
      <c r="F38" s="4">
        <v>71</v>
      </c>
      <c r="G38" s="4">
        <v>0</v>
      </c>
      <c r="H38" s="9">
        <f t="shared" si="1"/>
        <v>176</v>
      </c>
      <c r="I38" s="16">
        <f t="shared" si="2"/>
        <v>275</v>
      </c>
    </row>
    <row r="39" spans="1:9" x14ac:dyDescent="0.25">
      <c r="A39" s="13" t="s">
        <v>35</v>
      </c>
      <c r="B39" s="8">
        <v>316</v>
      </c>
      <c r="C39" s="4">
        <v>13</v>
      </c>
      <c r="D39" s="6">
        <f t="shared" si="0"/>
        <v>329</v>
      </c>
      <c r="E39" s="8">
        <v>13</v>
      </c>
      <c r="F39" s="4">
        <v>1</v>
      </c>
      <c r="G39" s="4">
        <v>0</v>
      </c>
      <c r="H39" s="9">
        <f t="shared" si="1"/>
        <v>14</v>
      </c>
      <c r="I39" s="16">
        <f t="shared" si="2"/>
        <v>343</v>
      </c>
    </row>
    <row r="40" spans="1:9" x14ac:dyDescent="0.25">
      <c r="A40" s="13" t="s">
        <v>36</v>
      </c>
      <c r="B40" s="8">
        <v>254</v>
      </c>
      <c r="C40" s="4">
        <v>1</v>
      </c>
      <c r="D40" s="6">
        <f t="shared" si="0"/>
        <v>255</v>
      </c>
      <c r="E40" s="8">
        <v>82</v>
      </c>
      <c r="F40" s="4">
        <v>17</v>
      </c>
      <c r="G40" s="4">
        <v>0</v>
      </c>
      <c r="H40" s="9">
        <f t="shared" si="1"/>
        <v>99</v>
      </c>
      <c r="I40" s="16">
        <f t="shared" si="2"/>
        <v>354</v>
      </c>
    </row>
    <row r="41" spans="1:9" x14ac:dyDescent="0.25">
      <c r="A41" s="13" t="s">
        <v>37</v>
      </c>
      <c r="B41" s="8">
        <v>5</v>
      </c>
      <c r="C41" s="4">
        <v>0</v>
      </c>
      <c r="D41" s="6">
        <f t="shared" si="0"/>
        <v>5</v>
      </c>
      <c r="E41" s="8">
        <v>26</v>
      </c>
      <c r="F41" s="4">
        <v>20</v>
      </c>
      <c r="G41" s="4">
        <v>0</v>
      </c>
      <c r="H41" s="9">
        <f t="shared" si="1"/>
        <v>46</v>
      </c>
      <c r="I41" s="16">
        <f t="shared" si="2"/>
        <v>51</v>
      </c>
    </row>
    <row r="42" spans="1:9" x14ac:dyDescent="0.25">
      <c r="A42" s="13" t="s">
        <v>38</v>
      </c>
      <c r="B42" s="8">
        <v>154</v>
      </c>
      <c r="C42" s="4">
        <v>0</v>
      </c>
      <c r="D42" s="6">
        <f t="shared" si="0"/>
        <v>154</v>
      </c>
      <c r="E42" s="8">
        <v>0</v>
      </c>
      <c r="F42" s="4">
        <v>0</v>
      </c>
      <c r="G42" s="4">
        <v>0</v>
      </c>
      <c r="H42" s="9">
        <f t="shared" si="1"/>
        <v>0</v>
      </c>
      <c r="I42" s="16">
        <f t="shared" si="2"/>
        <v>154</v>
      </c>
    </row>
    <row r="43" spans="1:9" x14ac:dyDescent="0.25">
      <c r="A43" s="13" t="s">
        <v>39</v>
      </c>
      <c r="B43" s="8">
        <v>161</v>
      </c>
      <c r="C43" s="4">
        <v>1</v>
      </c>
      <c r="D43" s="6">
        <f t="shared" si="0"/>
        <v>162</v>
      </c>
      <c r="E43" s="8">
        <v>28</v>
      </c>
      <c r="F43" s="4">
        <v>8</v>
      </c>
      <c r="G43" s="4">
        <v>0</v>
      </c>
      <c r="H43" s="9">
        <f t="shared" si="1"/>
        <v>36</v>
      </c>
      <c r="I43" s="16">
        <f t="shared" si="2"/>
        <v>198</v>
      </c>
    </row>
    <row r="44" spans="1:9" x14ac:dyDescent="0.25">
      <c r="A44" s="13" t="s">
        <v>40</v>
      </c>
      <c r="B44" s="8">
        <v>157</v>
      </c>
      <c r="C44" s="4">
        <v>3</v>
      </c>
      <c r="D44" s="6">
        <f t="shared" si="0"/>
        <v>160</v>
      </c>
      <c r="E44" s="8">
        <v>40</v>
      </c>
      <c r="F44" s="4">
        <v>6</v>
      </c>
      <c r="G44" s="4">
        <v>0</v>
      </c>
      <c r="H44" s="9">
        <f t="shared" si="1"/>
        <v>46</v>
      </c>
      <c r="I44" s="16">
        <f t="shared" si="2"/>
        <v>206</v>
      </c>
    </row>
    <row r="45" spans="1:9" x14ac:dyDescent="0.25">
      <c r="A45" s="13" t="s">
        <v>41</v>
      </c>
      <c r="B45" s="8">
        <v>92</v>
      </c>
      <c r="C45" s="4">
        <v>1</v>
      </c>
      <c r="D45" s="6">
        <f t="shared" si="0"/>
        <v>93</v>
      </c>
      <c r="E45" s="8">
        <v>53</v>
      </c>
      <c r="F45" s="4">
        <v>7</v>
      </c>
      <c r="G45" s="4">
        <v>0</v>
      </c>
      <c r="H45" s="9">
        <f t="shared" si="1"/>
        <v>60</v>
      </c>
      <c r="I45" s="16">
        <f t="shared" si="2"/>
        <v>153</v>
      </c>
    </row>
    <row r="46" spans="1:9" x14ac:dyDescent="0.25">
      <c r="A46" s="13" t="s">
        <v>43</v>
      </c>
      <c r="B46" s="8">
        <v>434</v>
      </c>
      <c r="C46" s="4">
        <v>89</v>
      </c>
      <c r="D46" s="6">
        <f t="shared" si="0"/>
        <v>523</v>
      </c>
      <c r="E46" s="8">
        <v>58</v>
      </c>
      <c r="F46" s="4">
        <v>2</v>
      </c>
      <c r="G46" s="4">
        <v>2</v>
      </c>
      <c r="H46" s="9">
        <f t="shared" si="1"/>
        <v>62</v>
      </c>
      <c r="I46" s="16">
        <f t="shared" si="2"/>
        <v>585</v>
      </c>
    </row>
    <row r="47" spans="1:9" x14ac:dyDescent="0.25">
      <c r="A47" s="13" t="s">
        <v>44</v>
      </c>
      <c r="B47" s="8">
        <v>89</v>
      </c>
      <c r="C47" s="4">
        <v>0</v>
      </c>
      <c r="D47" s="6">
        <f t="shared" si="0"/>
        <v>89</v>
      </c>
      <c r="E47" s="8">
        <v>68</v>
      </c>
      <c r="F47" s="4">
        <v>17</v>
      </c>
      <c r="G47" s="4">
        <v>0</v>
      </c>
      <c r="H47" s="9">
        <f t="shared" si="1"/>
        <v>85</v>
      </c>
      <c r="I47" s="16">
        <f t="shared" si="2"/>
        <v>174</v>
      </c>
    </row>
    <row r="48" spans="1:9" x14ac:dyDescent="0.25">
      <c r="A48" s="13" t="s">
        <v>45</v>
      </c>
      <c r="B48" s="8">
        <v>351</v>
      </c>
      <c r="C48" s="4">
        <v>2</v>
      </c>
      <c r="D48" s="6">
        <f t="shared" si="0"/>
        <v>353</v>
      </c>
      <c r="E48" s="8">
        <v>200</v>
      </c>
      <c r="F48" s="4">
        <v>55</v>
      </c>
      <c r="G48" s="4">
        <v>0</v>
      </c>
      <c r="H48" s="9">
        <f t="shared" si="1"/>
        <v>255</v>
      </c>
      <c r="I48" s="16">
        <f t="shared" si="2"/>
        <v>608</v>
      </c>
    </row>
    <row r="49" spans="1:9" x14ac:dyDescent="0.25">
      <c r="A49" s="13" t="s">
        <v>46</v>
      </c>
      <c r="B49" s="8">
        <v>103</v>
      </c>
      <c r="C49" s="4">
        <v>3</v>
      </c>
      <c r="D49" s="6">
        <f t="shared" si="0"/>
        <v>106</v>
      </c>
      <c r="E49" s="8">
        <v>0</v>
      </c>
      <c r="F49" s="4">
        <v>3</v>
      </c>
      <c r="G49" s="4">
        <v>0</v>
      </c>
      <c r="H49" s="9">
        <f t="shared" si="1"/>
        <v>3</v>
      </c>
      <c r="I49" s="16">
        <f t="shared" si="2"/>
        <v>109</v>
      </c>
    </row>
    <row r="50" spans="1:9" x14ac:dyDescent="0.25">
      <c r="A50" s="13" t="s">
        <v>47</v>
      </c>
      <c r="B50" s="8">
        <v>74</v>
      </c>
      <c r="C50" s="4">
        <v>3</v>
      </c>
      <c r="D50" s="6">
        <f t="shared" si="0"/>
        <v>77</v>
      </c>
      <c r="E50" s="8">
        <v>3</v>
      </c>
      <c r="F50" s="4">
        <v>1</v>
      </c>
      <c r="G50" s="4">
        <v>0</v>
      </c>
      <c r="H50" s="9">
        <f t="shared" si="1"/>
        <v>4</v>
      </c>
      <c r="I50" s="16">
        <f t="shared" si="2"/>
        <v>81</v>
      </c>
    </row>
    <row r="51" spans="1:9" x14ac:dyDescent="0.25">
      <c r="A51" s="13" t="s">
        <v>48</v>
      </c>
      <c r="B51" s="8">
        <v>0</v>
      </c>
      <c r="C51" s="4">
        <v>0</v>
      </c>
      <c r="D51" s="6">
        <f t="shared" si="0"/>
        <v>0</v>
      </c>
      <c r="E51" s="8">
        <v>32</v>
      </c>
      <c r="F51" s="4">
        <v>5</v>
      </c>
      <c r="G51" s="4">
        <v>0</v>
      </c>
      <c r="H51" s="9">
        <f t="shared" si="1"/>
        <v>37</v>
      </c>
      <c r="I51" s="16">
        <f t="shared" si="2"/>
        <v>37</v>
      </c>
    </row>
    <row r="52" spans="1:9" x14ac:dyDescent="0.25">
      <c r="A52" s="13" t="s">
        <v>49</v>
      </c>
      <c r="B52" s="8">
        <v>74</v>
      </c>
      <c r="C52" s="4">
        <v>1</v>
      </c>
      <c r="D52" s="6">
        <f t="shared" si="0"/>
        <v>75</v>
      </c>
      <c r="E52" s="8">
        <v>1</v>
      </c>
      <c r="F52" s="4">
        <v>8</v>
      </c>
      <c r="G52" s="4">
        <v>0</v>
      </c>
      <c r="H52" s="9">
        <f t="shared" si="1"/>
        <v>9</v>
      </c>
      <c r="I52" s="16">
        <f t="shared" si="2"/>
        <v>84</v>
      </c>
    </row>
    <row r="53" spans="1:9" x14ac:dyDescent="0.25">
      <c r="A53" s="13" t="s">
        <v>50</v>
      </c>
      <c r="B53" s="8">
        <v>75</v>
      </c>
      <c r="C53" s="4">
        <v>1</v>
      </c>
      <c r="D53" s="6">
        <f t="shared" si="0"/>
        <v>76</v>
      </c>
      <c r="E53" s="8">
        <v>19</v>
      </c>
      <c r="F53" s="4">
        <v>2</v>
      </c>
      <c r="G53" s="4">
        <v>0</v>
      </c>
      <c r="H53" s="9">
        <f t="shared" si="1"/>
        <v>21</v>
      </c>
      <c r="I53" s="16">
        <f t="shared" si="2"/>
        <v>97</v>
      </c>
    </row>
    <row r="54" spans="1:9" x14ac:dyDescent="0.25">
      <c r="A54" s="13" t="s">
        <v>51</v>
      </c>
      <c r="B54" s="8">
        <v>2</v>
      </c>
      <c r="C54" s="4">
        <v>0</v>
      </c>
      <c r="D54" s="6">
        <f t="shared" si="0"/>
        <v>2</v>
      </c>
      <c r="E54" s="8">
        <v>0</v>
      </c>
      <c r="F54" s="4">
        <v>0</v>
      </c>
      <c r="G54" s="4">
        <v>0</v>
      </c>
      <c r="H54" s="9">
        <f t="shared" si="1"/>
        <v>0</v>
      </c>
      <c r="I54" s="16">
        <f t="shared" si="2"/>
        <v>2</v>
      </c>
    </row>
    <row r="55" spans="1:9" x14ac:dyDescent="0.25">
      <c r="A55" s="13" t="s">
        <v>52</v>
      </c>
      <c r="B55" s="8">
        <v>26</v>
      </c>
      <c r="C55" s="4">
        <v>0</v>
      </c>
      <c r="D55" s="6">
        <f t="shared" si="0"/>
        <v>26</v>
      </c>
      <c r="E55" s="8">
        <v>8</v>
      </c>
      <c r="F55" s="4">
        <v>5</v>
      </c>
      <c r="G55" s="4">
        <v>0</v>
      </c>
      <c r="H55" s="9">
        <f t="shared" si="1"/>
        <v>13</v>
      </c>
      <c r="I55" s="16">
        <f t="shared" si="2"/>
        <v>39</v>
      </c>
    </row>
    <row r="56" spans="1:9" x14ac:dyDescent="0.25">
      <c r="A56" s="13" t="s">
        <v>53</v>
      </c>
      <c r="B56" s="8">
        <v>406</v>
      </c>
      <c r="C56" s="4">
        <v>11</v>
      </c>
      <c r="D56" s="6">
        <f t="shared" si="0"/>
        <v>417</v>
      </c>
      <c r="E56" s="8">
        <v>0</v>
      </c>
      <c r="F56" s="4">
        <v>0</v>
      </c>
      <c r="G56" s="4">
        <v>0</v>
      </c>
      <c r="H56" s="9">
        <f t="shared" si="1"/>
        <v>0</v>
      </c>
      <c r="I56" s="16">
        <f t="shared" si="2"/>
        <v>417</v>
      </c>
    </row>
    <row r="57" spans="1:9" x14ac:dyDescent="0.25">
      <c r="A57" s="13" t="s">
        <v>54</v>
      </c>
      <c r="B57" s="8">
        <v>662</v>
      </c>
      <c r="C57" s="4">
        <v>19</v>
      </c>
      <c r="D57" s="6">
        <f t="shared" si="0"/>
        <v>681</v>
      </c>
      <c r="E57" s="8">
        <v>0</v>
      </c>
      <c r="F57" s="4">
        <v>0</v>
      </c>
      <c r="G57" s="4">
        <v>0</v>
      </c>
      <c r="H57" s="9">
        <f t="shared" si="1"/>
        <v>0</v>
      </c>
      <c r="I57" s="16">
        <f t="shared" si="2"/>
        <v>681</v>
      </c>
    </row>
    <row r="58" spans="1:9" x14ac:dyDescent="0.25">
      <c r="A58" s="13" t="s">
        <v>55</v>
      </c>
      <c r="B58" s="8">
        <v>0</v>
      </c>
      <c r="C58" s="4">
        <v>0</v>
      </c>
      <c r="D58" s="6">
        <f t="shared" si="0"/>
        <v>0</v>
      </c>
      <c r="E58" s="8">
        <v>7</v>
      </c>
      <c r="F58" s="4">
        <v>1</v>
      </c>
      <c r="G58" s="4">
        <v>0</v>
      </c>
      <c r="H58" s="9">
        <f t="shared" si="1"/>
        <v>8</v>
      </c>
      <c r="I58" s="16">
        <f t="shared" si="2"/>
        <v>8</v>
      </c>
    </row>
    <row r="59" spans="1:9" x14ac:dyDescent="0.25">
      <c r="A59" s="13" t="s">
        <v>90</v>
      </c>
      <c r="B59" s="8">
        <v>0</v>
      </c>
      <c r="C59" s="4">
        <v>0</v>
      </c>
      <c r="D59" s="6">
        <f t="shared" si="0"/>
        <v>0</v>
      </c>
      <c r="E59" s="8">
        <v>0</v>
      </c>
      <c r="F59" s="4">
        <v>23</v>
      </c>
      <c r="G59" s="4">
        <v>0</v>
      </c>
      <c r="H59" s="9">
        <f t="shared" si="1"/>
        <v>23</v>
      </c>
      <c r="I59" s="16">
        <f t="shared" si="2"/>
        <v>23</v>
      </c>
    </row>
    <row r="60" spans="1:9" x14ac:dyDescent="0.25">
      <c r="A60" s="13" t="s">
        <v>91</v>
      </c>
      <c r="B60" s="8">
        <v>0</v>
      </c>
      <c r="C60" s="4">
        <v>0</v>
      </c>
      <c r="D60" s="6">
        <f t="shared" si="0"/>
        <v>0</v>
      </c>
      <c r="E60" s="8">
        <v>3</v>
      </c>
      <c r="F60" s="4">
        <v>1</v>
      </c>
      <c r="G60" s="4">
        <v>0</v>
      </c>
      <c r="H60" s="9">
        <f t="shared" si="1"/>
        <v>4</v>
      </c>
      <c r="I60" s="16">
        <f t="shared" si="2"/>
        <v>4</v>
      </c>
    </row>
    <row r="61" spans="1:9" x14ac:dyDescent="0.25">
      <c r="A61" s="13" t="s">
        <v>84</v>
      </c>
      <c r="B61" s="8">
        <v>0</v>
      </c>
      <c r="C61" s="4">
        <v>0</v>
      </c>
      <c r="D61" s="6">
        <f t="shared" si="0"/>
        <v>0</v>
      </c>
      <c r="E61" s="8">
        <v>15</v>
      </c>
      <c r="F61" s="4">
        <v>5</v>
      </c>
      <c r="G61" s="4">
        <v>1</v>
      </c>
      <c r="H61" s="9">
        <f t="shared" si="1"/>
        <v>21</v>
      </c>
      <c r="I61" s="16">
        <f t="shared" si="2"/>
        <v>21</v>
      </c>
    </row>
    <row r="62" spans="1:9" x14ac:dyDescent="0.25">
      <c r="A62" s="13" t="s">
        <v>57</v>
      </c>
      <c r="B62" s="8">
        <v>0</v>
      </c>
      <c r="C62" s="4">
        <v>0</v>
      </c>
      <c r="D62" s="6">
        <f t="shared" si="0"/>
        <v>0</v>
      </c>
      <c r="E62" s="8">
        <v>4</v>
      </c>
      <c r="F62" s="4">
        <v>4</v>
      </c>
      <c r="G62" s="4">
        <v>0</v>
      </c>
      <c r="H62" s="9">
        <f t="shared" si="1"/>
        <v>8</v>
      </c>
      <c r="I62" s="16">
        <f t="shared" si="2"/>
        <v>8</v>
      </c>
    </row>
    <row r="63" spans="1:9" x14ac:dyDescent="0.25">
      <c r="A63" s="13" t="s">
        <v>58</v>
      </c>
      <c r="B63" s="8">
        <v>0</v>
      </c>
      <c r="C63" s="4">
        <v>0</v>
      </c>
      <c r="D63" s="6">
        <f t="shared" si="0"/>
        <v>0</v>
      </c>
      <c r="E63" s="8">
        <v>0</v>
      </c>
      <c r="F63" s="4">
        <v>2</v>
      </c>
      <c r="G63" s="4">
        <v>0</v>
      </c>
      <c r="H63" s="9">
        <f t="shared" si="1"/>
        <v>2</v>
      </c>
      <c r="I63" s="16">
        <f t="shared" si="2"/>
        <v>2</v>
      </c>
    </row>
    <row r="64" spans="1:9" x14ac:dyDescent="0.25">
      <c r="A64" s="13" t="s">
        <v>59</v>
      </c>
      <c r="B64" s="8">
        <v>45</v>
      </c>
      <c r="C64" s="4">
        <v>0</v>
      </c>
      <c r="D64" s="6">
        <f t="shared" si="0"/>
        <v>45</v>
      </c>
      <c r="E64" s="8">
        <v>29</v>
      </c>
      <c r="F64" s="4">
        <v>7</v>
      </c>
      <c r="G64" s="4">
        <v>0</v>
      </c>
      <c r="H64" s="9">
        <f t="shared" si="1"/>
        <v>36</v>
      </c>
      <c r="I64" s="16">
        <f t="shared" si="2"/>
        <v>81</v>
      </c>
    </row>
    <row r="65" spans="1:9" x14ac:dyDescent="0.25">
      <c r="A65" s="13" t="s">
        <v>60</v>
      </c>
      <c r="B65" s="8">
        <v>0</v>
      </c>
      <c r="C65" s="4">
        <v>0</v>
      </c>
      <c r="D65" s="6">
        <f t="shared" si="0"/>
        <v>0</v>
      </c>
      <c r="E65" s="8">
        <v>13</v>
      </c>
      <c r="F65" s="4">
        <v>24</v>
      </c>
      <c r="G65" s="4">
        <v>0</v>
      </c>
      <c r="H65" s="9">
        <f t="shared" si="1"/>
        <v>37</v>
      </c>
      <c r="I65" s="16">
        <f t="shared" si="2"/>
        <v>37</v>
      </c>
    </row>
    <row r="66" spans="1:9" x14ac:dyDescent="0.25">
      <c r="A66" s="13" t="s">
        <v>61</v>
      </c>
      <c r="B66" s="8">
        <v>0</v>
      </c>
      <c r="C66" s="4">
        <v>0</v>
      </c>
      <c r="D66" s="6">
        <f t="shared" si="0"/>
        <v>0</v>
      </c>
      <c r="E66" s="8">
        <v>34</v>
      </c>
      <c r="F66" s="4">
        <v>20</v>
      </c>
      <c r="G66" s="4">
        <v>1</v>
      </c>
      <c r="H66" s="9">
        <f t="shared" si="1"/>
        <v>55</v>
      </c>
      <c r="I66" s="16">
        <f t="shared" si="2"/>
        <v>55</v>
      </c>
    </row>
    <row r="67" spans="1:9" x14ac:dyDescent="0.25">
      <c r="A67" s="13" t="s">
        <v>85</v>
      </c>
      <c r="B67" s="8">
        <v>0</v>
      </c>
      <c r="C67" s="4">
        <v>0</v>
      </c>
      <c r="D67" s="6">
        <f t="shared" si="0"/>
        <v>0</v>
      </c>
      <c r="E67" s="8">
        <v>7</v>
      </c>
      <c r="F67" s="4">
        <v>3</v>
      </c>
      <c r="G67" s="4">
        <v>0</v>
      </c>
      <c r="H67" s="9">
        <f t="shared" si="1"/>
        <v>10</v>
      </c>
      <c r="I67" s="16">
        <f t="shared" si="2"/>
        <v>10</v>
      </c>
    </row>
    <row r="68" spans="1:9" x14ac:dyDescent="0.25">
      <c r="A68" s="13" t="s">
        <v>86</v>
      </c>
      <c r="B68" s="8">
        <v>0</v>
      </c>
      <c r="C68" s="4">
        <v>0</v>
      </c>
      <c r="D68" s="6">
        <f t="shared" si="0"/>
        <v>0</v>
      </c>
      <c r="E68" s="8">
        <v>1</v>
      </c>
      <c r="F68" s="4">
        <v>1</v>
      </c>
      <c r="G68" s="4">
        <v>0</v>
      </c>
      <c r="H68" s="9">
        <f t="shared" si="1"/>
        <v>2</v>
      </c>
      <c r="I68" s="16">
        <f t="shared" si="2"/>
        <v>2</v>
      </c>
    </row>
    <row r="69" spans="1:9" x14ac:dyDescent="0.25">
      <c r="A69" s="13" t="s">
        <v>62</v>
      </c>
      <c r="B69" s="8">
        <v>0</v>
      </c>
      <c r="C69" s="4">
        <v>0</v>
      </c>
      <c r="D69" s="6">
        <f t="shared" si="0"/>
        <v>0</v>
      </c>
      <c r="E69" s="8">
        <v>31</v>
      </c>
      <c r="F69" s="4">
        <v>19</v>
      </c>
      <c r="G69" s="4">
        <v>0</v>
      </c>
      <c r="H69" s="9">
        <f t="shared" si="1"/>
        <v>50</v>
      </c>
      <c r="I69" s="16">
        <f t="shared" si="2"/>
        <v>50</v>
      </c>
    </row>
    <row r="70" spans="1:9" x14ac:dyDescent="0.25">
      <c r="A70" s="13" t="s">
        <v>63</v>
      </c>
      <c r="B70" s="8">
        <v>0</v>
      </c>
      <c r="C70" s="4">
        <v>0</v>
      </c>
      <c r="D70" s="6">
        <f t="shared" si="0"/>
        <v>0</v>
      </c>
      <c r="E70" s="8">
        <v>0</v>
      </c>
      <c r="F70" s="4">
        <v>1</v>
      </c>
      <c r="G70" s="4">
        <v>0</v>
      </c>
      <c r="H70" s="9">
        <f t="shared" si="1"/>
        <v>1</v>
      </c>
      <c r="I70" s="16">
        <f t="shared" si="2"/>
        <v>1</v>
      </c>
    </row>
    <row r="71" spans="1:9" x14ac:dyDescent="0.25">
      <c r="A71" s="13" t="s">
        <v>64</v>
      </c>
      <c r="B71" s="8">
        <v>0</v>
      </c>
      <c r="C71" s="4">
        <v>0</v>
      </c>
      <c r="D71" s="6">
        <f t="shared" si="0"/>
        <v>0</v>
      </c>
      <c r="E71" s="8">
        <v>4</v>
      </c>
      <c r="F71" s="4">
        <v>4</v>
      </c>
      <c r="G71" s="4">
        <v>0</v>
      </c>
      <c r="H71" s="9">
        <f t="shared" si="1"/>
        <v>8</v>
      </c>
      <c r="I71" s="16">
        <f t="shared" si="2"/>
        <v>8</v>
      </c>
    </row>
    <row r="72" spans="1:9" x14ac:dyDescent="0.25">
      <c r="A72" s="13" t="s">
        <v>65</v>
      </c>
      <c r="B72" s="8">
        <v>0</v>
      </c>
      <c r="C72" s="4">
        <v>0</v>
      </c>
      <c r="D72" s="6">
        <f t="shared" si="0"/>
        <v>0</v>
      </c>
      <c r="E72" s="8">
        <v>19</v>
      </c>
      <c r="F72" s="4">
        <v>11</v>
      </c>
      <c r="G72" s="4">
        <v>0</v>
      </c>
      <c r="H72" s="9">
        <f t="shared" si="1"/>
        <v>30</v>
      </c>
      <c r="I72" s="16">
        <f t="shared" si="2"/>
        <v>30</v>
      </c>
    </row>
    <row r="73" spans="1:9" x14ac:dyDescent="0.25">
      <c r="A73" s="13" t="s">
        <v>66</v>
      </c>
      <c r="B73" s="8">
        <v>0</v>
      </c>
      <c r="C73" s="4">
        <v>0</v>
      </c>
      <c r="D73" s="6">
        <f t="shared" si="0"/>
        <v>0</v>
      </c>
      <c r="E73" s="8">
        <v>9</v>
      </c>
      <c r="F73" s="4">
        <v>2</v>
      </c>
      <c r="G73" s="4">
        <v>0</v>
      </c>
      <c r="H73" s="9">
        <f t="shared" si="1"/>
        <v>11</v>
      </c>
      <c r="I73" s="16">
        <f t="shared" si="2"/>
        <v>11</v>
      </c>
    </row>
    <row r="74" spans="1:9" x14ac:dyDescent="0.25">
      <c r="A74" s="13" t="s">
        <v>67</v>
      </c>
      <c r="B74" s="8">
        <v>10</v>
      </c>
      <c r="C74" s="4">
        <v>0</v>
      </c>
      <c r="D74" s="6">
        <f t="shared" ref="D74:D85" si="3">B74+C74</f>
        <v>10</v>
      </c>
      <c r="E74" s="8">
        <v>12</v>
      </c>
      <c r="F74" s="4">
        <v>0</v>
      </c>
      <c r="G74" s="4">
        <v>0</v>
      </c>
      <c r="H74" s="9">
        <f t="shared" ref="H74:H85" si="4">E74+F74+G74</f>
        <v>12</v>
      </c>
      <c r="I74" s="16">
        <f t="shared" ref="I74:I85" si="5">H74+D74</f>
        <v>22</v>
      </c>
    </row>
    <row r="75" spans="1:9" x14ac:dyDescent="0.25">
      <c r="A75" s="13" t="s">
        <v>68</v>
      </c>
      <c r="B75" s="8">
        <v>0</v>
      </c>
      <c r="C75" s="4">
        <v>0</v>
      </c>
      <c r="D75" s="6">
        <f t="shared" si="3"/>
        <v>0</v>
      </c>
      <c r="E75" s="8">
        <v>2</v>
      </c>
      <c r="F75" s="4">
        <v>1</v>
      </c>
      <c r="G75" s="4">
        <v>0</v>
      </c>
      <c r="H75" s="9">
        <f t="shared" si="4"/>
        <v>3</v>
      </c>
      <c r="I75" s="16">
        <f t="shared" si="5"/>
        <v>3</v>
      </c>
    </row>
    <row r="76" spans="1:9" x14ac:dyDescent="0.25">
      <c r="A76" s="13" t="s">
        <v>92</v>
      </c>
      <c r="B76" s="8">
        <v>69</v>
      </c>
      <c r="C76" s="4">
        <v>0</v>
      </c>
      <c r="D76" s="6">
        <f t="shared" si="3"/>
        <v>69</v>
      </c>
      <c r="E76" s="8">
        <v>0</v>
      </c>
      <c r="F76" s="4">
        <v>0</v>
      </c>
      <c r="G76" s="4">
        <v>0</v>
      </c>
      <c r="H76" s="9">
        <f t="shared" si="4"/>
        <v>0</v>
      </c>
      <c r="I76" s="16">
        <f t="shared" si="5"/>
        <v>69</v>
      </c>
    </row>
    <row r="77" spans="1:9" x14ac:dyDescent="0.25">
      <c r="A77" s="13" t="s">
        <v>93</v>
      </c>
      <c r="B77" s="8">
        <v>0</v>
      </c>
      <c r="C77" s="4">
        <v>0</v>
      </c>
      <c r="D77" s="6">
        <f t="shared" si="3"/>
        <v>0</v>
      </c>
      <c r="E77" s="8">
        <v>0</v>
      </c>
      <c r="F77" s="4">
        <v>1</v>
      </c>
      <c r="G77" s="4">
        <v>0</v>
      </c>
      <c r="H77" s="9">
        <f t="shared" si="4"/>
        <v>1</v>
      </c>
      <c r="I77" s="16">
        <f t="shared" si="5"/>
        <v>1</v>
      </c>
    </row>
    <row r="78" spans="1:9" x14ac:dyDescent="0.25">
      <c r="A78" s="13" t="s">
        <v>70</v>
      </c>
      <c r="B78" s="8">
        <v>1</v>
      </c>
      <c r="C78" s="4">
        <v>0</v>
      </c>
      <c r="D78" s="6">
        <f t="shared" si="3"/>
        <v>1</v>
      </c>
      <c r="E78" s="8">
        <v>12</v>
      </c>
      <c r="F78" s="4">
        <v>73</v>
      </c>
      <c r="G78" s="4">
        <v>0</v>
      </c>
      <c r="H78" s="9">
        <f t="shared" si="4"/>
        <v>85</v>
      </c>
      <c r="I78" s="16">
        <f t="shared" si="5"/>
        <v>86</v>
      </c>
    </row>
    <row r="79" spans="1:9" x14ac:dyDescent="0.25">
      <c r="A79" s="13" t="s">
        <v>71</v>
      </c>
      <c r="B79" s="8">
        <v>0</v>
      </c>
      <c r="C79" s="4">
        <v>0</v>
      </c>
      <c r="D79" s="6">
        <f t="shared" si="3"/>
        <v>0</v>
      </c>
      <c r="E79" s="8">
        <v>8</v>
      </c>
      <c r="F79" s="4">
        <v>13</v>
      </c>
      <c r="G79" s="4">
        <v>0</v>
      </c>
      <c r="H79" s="9">
        <f t="shared" si="4"/>
        <v>21</v>
      </c>
      <c r="I79" s="16">
        <f t="shared" si="5"/>
        <v>21</v>
      </c>
    </row>
    <row r="80" spans="1:9" x14ac:dyDescent="0.25">
      <c r="A80" s="13" t="s">
        <v>72</v>
      </c>
      <c r="B80" s="8">
        <v>12</v>
      </c>
      <c r="C80" s="4">
        <v>0</v>
      </c>
      <c r="D80" s="6">
        <f t="shared" si="3"/>
        <v>12</v>
      </c>
      <c r="E80" s="8">
        <v>7</v>
      </c>
      <c r="F80" s="4">
        <v>19</v>
      </c>
      <c r="G80" s="4">
        <v>0</v>
      </c>
      <c r="H80" s="9">
        <f t="shared" si="4"/>
        <v>26</v>
      </c>
      <c r="I80" s="16">
        <f t="shared" si="5"/>
        <v>38</v>
      </c>
    </row>
    <row r="81" spans="1:10" x14ac:dyDescent="0.25">
      <c r="A81" s="13" t="s">
        <v>73</v>
      </c>
      <c r="B81" s="8">
        <v>0</v>
      </c>
      <c r="C81" s="4">
        <v>0</v>
      </c>
      <c r="D81" s="6">
        <f t="shared" si="3"/>
        <v>0</v>
      </c>
      <c r="E81" s="8">
        <v>16</v>
      </c>
      <c r="F81" s="4">
        <v>31</v>
      </c>
      <c r="G81" s="4">
        <v>0</v>
      </c>
      <c r="H81" s="9">
        <f t="shared" si="4"/>
        <v>47</v>
      </c>
      <c r="I81" s="16">
        <f t="shared" si="5"/>
        <v>47</v>
      </c>
    </row>
    <row r="82" spans="1:10" x14ac:dyDescent="0.25">
      <c r="A82" s="13" t="s">
        <v>74</v>
      </c>
      <c r="B82" s="8">
        <v>0</v>
      </c>
      <c r="C82" s="4">
        <v>0</v>
      </c>
      <c r="D82" s="6">
        <f t="shared" si="3"/>
        <v>0</v>
      </c>
      <c r="E82" s="8">
        <v>5</v>
      </c>
      <c r="F82" s="4">
        <v>2</v>
      </c>
      <c r="G82" s="4">
        <v>0</v>
      </c>
      <c r="H82" s="9">
        <f t="shared" si="4"/>
        <v>7</v>
      </c>
      <c r="I82" s="16">
        <f t="shared" si="5"/>
        <v>7</v>
      </c>
    </row>
    <row r="83" spans="1:10" x14ac:dyDescent="0.25">
      <c r="A83" s="13" t="s">
        <v>87</v>
      </c>
      <c r="B83" s="8">
        <v>0</v>
      </c>
      <c r="C83" s="4">
        <v>0</v>
      </c>
      <c r="D83" s="6">
        <f t="shared" si="3"/>
        <v>0</v>
      </c>
      <c r="E83" s="8">
        <v>97</v>
      </c>
      <c r="F83" s="4">
        <v>116</v>
      </c>
      <c r="G83" s="4">
        <v>0</v>
      </c>
      <c r="H83" s="9">
        <f t="shared" si="4"/>
        <v>213</v>
      </c>
      <c r="I83" s="16">
        <f t="shared" si="5"/>
        <v>213</v>
      </c>
    </row>
    <row r="84" spans="1:10" x14ac:dyDescent="0.25">
      <c r="A84" s="13" t="s">
        <v>94</v>
      </c>
      <c r="B84" s="8">
        <v>0</v>
      </c>
      <c r="C84" s="4">
        <v>0</v>
      </c>
      <c r="D84" s="6">
        <f t="shared" si="3"/>
        <v>0</v>
      </c>
      <c r="E84" s="8">
        <v>37</v>
      </c>
      <c r="F84" s="4">
        <v>39</v>
      </c>
      <c r="G84" s="4">
        <v>0</v>
      </c>
      <c r="H84" s="9">
        <f t="shared" si="4"/>
        <v>76</v>
      </c>
      <c r="I84" s="16">
        <f t="shared" si="5"/>
        <v>76</v>
      </c>
    </row>
    <row r="85" spans="1:10" ht="15.75" thickBot="1" x14ac:dyDescent="0.3">
      <c r="A85" s="14" t="s">
        <v>75</v>
      </c>
      <c r="B85" s="10">
        <v>0</v>
      </c>
      <c r="C85" s="5">
        <v>0</v>
      </c>
      <c r="D85" s="7">
        <f t="shared" si="3"/>
        <v>0</v>
      </c>
      <c r="E85" s="10">
        <v>39</v>
      </c>
      <c r="F85" s="5">
        <v>22</v>
      </c>
      <c r="G85" s="5">
        <v>1</v>
      </c>
      <c r="H85" s="11">
        <f t="shared" si="4"/>
        <v>62</v>
      </c>
      <c r="I85" s="17">
        <f t="shared" si="5"/>
        <v>62</v>
      </c>
      <c r="J85" s="19"/>
    </row>
    <row r="86" spans="1:10" ht="16.5" thickTop="1" thickBot="1" x14ac:dyDescent="0.3">
      <c r="A86" s="15" t="s">
        <v>0</v>
      </c>
      <c r="B86" s="12">
        <f>SUM(B8:B85)</f>
        <v>9596</v>
      </c>
      <c r="C86" s="12">
        <f t="shared" ref="C86:I86" si="6">SUM(C8:C85)</f>
        <v>246</v>
      </c>
      <c r="D86" s="15">
        <f t="shared" si="6"/>
        <v>9842</v>
      </c>
      <c r="E86" s="12">
        <f t="shared" si="6"/>
        <v>3751</v>
      </c>
      <c r="F86" s="18">
        <f t="shared" si="6"/>
        <v>1370</v>
      </c>
      <c r="G86" s="18">
        <f t="shared" si="6"/>
        <v>52</v>
      </c>
      <c r="H86" s="18">
        <f t="shared" si="6"/>
        <v>5173</v>
      </c>
      <c r="I86" s="18">
        <f t="shared" si="6"/>
        <v>15015</v>
      </c>
      <c r="J86" s="19"/>
    </row>
    <row r="88" spans="1:10" x14ac:dyDescent="0.25">
      <c r="A88" s="48" t="s">
        <v>88</v>
      </c>
      <c r="B88" s="48"/>
      <c r="C88" s="48"/>
      <c r="D88" s="48"/>
      <c r="E88" s="48"/>
      <c r="F88" s="48"/>
      <c r="G88" s="48"/>
      <c r="H88" s="48"/>
      <c r="I88" s="48"/>
    </row>
    <row r="89" spans="1:10" x14ac:dyDescent="0.25">
      <c r="A89" s="19"/>
      <c r="B89" s="19"/>
      <c r="C89" s="19"/>
      <c r="D89" s="19"/>
      <c r="E89" s="19"/>
      <c r="F89" s="19"/>
      <c r="G89" s="19"/>
      <c r="H89" s="19"/>
      <c r="I89" s="19"/>
    </row>
  </sheetData>
  <mergeCells count="13">
    <mergeCell ref="A88:I88"/>
    <mergeCell ref="G6:G7"/>
    <mergeCell ref="H6:H7"/>
    <mergeCell ref="A2:I2"/>
    <mergeCell ref="A5:A7"/>
    <mergeCell ref="B5:D5"/>
    <mergeCell ref="E5:H5"/>
    <mergeCell ref="I5:I7"/>
    <mergeCell ref="B6:B7"/>
    <mergeCell ref="C6:C7"/>
    <mergeCell ref="D6:D7"/>
    <mergeCell ref="E6:E7"/>
    <mergeCell ref="F6:F7"/>
  </mergeCells>
  <pageMargins left="0.7" right="0.7" top="0.75" bottom="0.75" header="0.3" footer="0.3"/>
  <pageSetup paperSize="9" orientation="portrait" r:id="rId1"/>
  <headerFooter>
    <oddHeader>&amp;CUCL Student Data Statistics</oddHeader>
    <oddFooter>&amp;L&amp;F - &amp;A&amp;RPage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J85"/>
  <sheetViews>
    <sheetView tabSelected="1" view="pageLayout" zoomScaleNormal="100" workbookViewId="0">
      <selection activeCell="A47" sqref="A47"/>
    </sheetView>
  </sheetViews>
  <sheetFormatPr defaultColWidth="9" defaultRowHeight="15" x14ac:dyDescent="0.25"/>
  <cols>
    <col min="1" max="1" width="31.28515625" customWidth="1"/>
    <col min="2" max="9" width="6.7109375" customWidth="1"/>
  </cols>
  <sheetData>
    <row r="1" spans="1:9" ht="18" x14ac:dyDescent="0.25">
      <c r="A1" s="1" t="s">
        <v>2</v>
      </c>
      <c r="B1" s="3"/>
    </row>
    <row r="2" spans="1:9" x14ac:dyDescent="0.25">
      <c r="A2" s="34" t="s">
        <v>3</v>
      </c>
      <c r="B2" s="34"/>
      <c r="C2" s="34"/>
      <c r="D2" s="34"/>
      <c r="E2" s="34"/>
      <c r="F2" s="34"/>
      <c r="G2" s="34"/>
      <c r="H2" s="34"/>
      <c r="I2" s="34"/>
    </row>
    <row r="3" spans="1:9" x14ac:dyDescent="0.25">
      <c r="A3" s="2" t="str">
        <f ca="1">RIGHT(CELL("filename",A1),LEN(CELL("filename",A1))-FIND("]",CELL("filename",A1)))</f>
        <v>1996-97</v>
      </c>
      <c r="B3" s="3"/>
    </row>
    <row r="4" spans="1:9" ht="15.75" thickBot="1" x14ac:dyDescent="0.3">
      <c r="A4" s="3"/>
      <c r="B4" s="3"/>
    </row>
    <row r="5" spans="1:9" ht="15" customHeight="1" x14ac:dyDescent="0.25">
      <c r="A5" s="35" t="s">
        <v>4</v>
      </c>
      <c r="B5" s="38" t="s">
        <v>5</v>
      </c>
      <c r="C5" s="39"/>
      <c r="D5" s="39"/>
      <c r="E5" s="38" t="s">
        <v>6</v>
      </c>
      <c r="F5" s="39"/>
      <c r="G5" s="39"/>
      <c r="H5" s="40"/>
      <c r="I5" s="41" t="s">
        <v>0</v>
      </c>
    </row>
    <row r="6" spans="1:9" x14ac:dyDescent="0.25">
      <c r="A6" s="36"/>
      <c r="B6" s="44" t="s">
        <v>76</v>
      </c>
      <c r="C6" s="29" t="s">
        <v>77</v>
      </c>
      <c r="D6" s="46" t="s">
        <v>0</v>
      </c>
      <c r="E6" s="44" t="s">
        <v>76</v>
      </c>
      <c r="F6" s="29" t="s">
        <v>77</v>
      </c>
      <c r="G6" s="29" t="s">
        <v>78</v>
      </c>
      <c r="H6" s="31" t="s">
        <v>0</v>
      </c>
      <c r="I6" s="42"/>
    </row>
    <row r="7" spans="1:9" x14ac:dyDescent="0.25">
      <c r="A7" s="37"/>
      <c r="B7" s="45"/>
      <c r="C7" s="30"/>
      <c r="D7" s="47"/>
      <c r="E7" s="45"/>
      <c r="F7" s="30"/>
      <c r="G7" s="30"/>
      <c r="H7" s="32"/>
      <c r="I7" s="43"/>
    </row>
    <row r="8" spans="1:9" ht="15" customHeight="1" x14ac:dyDescent="0.25">
      <c r="A8" s="13" t="s">
        <v>7</v>
      </c>
      <c r="B8" s="8">
        <v>234</v>
      </c>
      <c r="C8" s="4">
        <v>4</v>
      </c>
      <c r="D8" s="6">
        <f>B8+C8</f>
        <v>238</v>
      </c>
      <c r="E8" s="8">
        <v>83</v>
      </c>
      <c r="F8" s="4">
        <v>29</v>
      </c>
      <c r="G8" s="4">
        <v>0</v>
      </c>
      <c r="H8" s="9">
        <f>E8+F8+G8</f>
        <v>112</v>
      </c>
      <c r="I8" s="16">
        <f>H8+D8</f>
        <v>350</v>
      </c>
    </row>
    <row r="9" spans="1:9" ht="15" customHeight="1" x14ac:dyDescent="0.25">
      <c r="A9" s="13" t="s">
        <v>8</v>
      </c>
      <c r="B9" s="8">
        <v>191</v>
      </c>
      <c r="C9" s="4">
        <v>4</v>
      </c>
      <c r="D9" s="6">
        <f t="shared" ref="D9:D72" si="0">B9+C9</f>
        <v>195</v>
      </c>
      <c r="E9" s="8">
        <v>69</v>
      </c>
      <c r="F9" s="4">
        <v>37</v>
      </c>
      <c r="G9" s="4">
        <v>21</v>
      </c>
      <c r="H9" s="9">
        <f t="shared" ref="H9:H72" si="1">E9+F9+G9</f>
        <v>127</v>
      </c>
      <c r="I9" s="16">
        <f t="shared" ref="I9:I72" si="2">H9+D9</f>
        <v>322</v>
      </c>
    </row>
    <row r="10" spans="1:9" ht="15" customHeight="1" x14ac:dyDescent="0.25">
      <c r="A10" s="13" t="s">
        <v>9</v>
      </c>
      <c r="B10" s="8">
        <v>308</v>
      </c>
      <c r="C10" s="4">
        <v>16</v>
      </c>
      <c r="D10" s="6">
        <f t="shared" si="0"/>
        <v>324</v>
      </c>
      <c r="E10" s="8">
        <v>108</v>
      </c>
      <c r="F10" s="4">
        <v>42</v>
      </c>
      <c r="G10" s="4">
        <v>4</v>
      </c>
      <c r="H10" s="9">
        <f t="shared" si="1"/>
        <v>154</v>
      </c>
      <c r="I10" s="16">
        <f t="shared" si="2"/>
        <v>478</v>
      </c>
    </row>
    <row r="11" spans="1:9" ht="15" customHeight="1" x14ac:dyDescent="0.25">
      <c r="A11" s="13" t="s">
        <v>79</v>
      </c>
      <c r="B11" s="8">
        <v>311</v>
      </c>
      <c r="C11" s="4">
        <v>2</v>
      </c>
      <c r="D11" s="6">
        <f t="shared" si="0"/>
        <v>313</v>
      </c>
      <c r="E11" s="8">
        <v>443</v>
      </c>
      <c r="F11" s="4">
        <v>124</v>
      </c>
      <c r="G11" s="4">
        <v>5</v>
      </c>
      <c r="H11" s="9">
        <f t="shared" si="1"/>
        <v>572</v>
      </c>
      <c r="I11" s="16">
        <f t="shared" si="2"/>
        <v>885</v>
      </c>
    </row>
    <row r="12" spans="1:9" ht="15" customHeight="1" x14ac:dyDescent="0.25">
      <c r="A12" s="13" t="s">
        <v>11</v>
      </c>
      <c r="B12" s="8">
        <v>143</v>
      </c>
      <c r="C12" s="4">
        <v>3</v>
      </c>
      <c r="D12" s="6">
        <f t="shared" si="0"/>
        <v>146</v>
      </c>
      <c r="E12" s="8">
        <v>85</v>
      </c>
      <c r="F12" s="4">
        <v>21</v>
      </c>
      <c r="G12" s="4">
        <v>0</v>
      </c>
      <c r="H12" s="9">
        <f t="shared" si="1"/>
        <v>106</v>
      </c>
      <c r="I12" s="16">
        <f t="shared" si="2"/>
        <v>252</v>
      </c>
    </row>
    <row r="13" spans="1:9" ht="15" customHeight="1" x14ac:dyDescent="0.25">
      <c r="A13" s="13" t="s">
        <v>12</v>
      </c>
      <c r="B13" s="8">
        <v>294</v>
      </c>
      <c r="C13" s="4">
        <v>5</v>
      </c>
      <c r="D13" s="6">
        <f t="shared" si="0"/>
        <v>299</v>
      </c>
      <c r="E13" s="8">
        <v>81</v>
      </c>
      <c r="F13" s="4">
        <v>43</v>
      </c>
      <c r="G13" s="4">
        <v>0</v>
      </c>
      <c r="H13" s="9">
        <f t="shared" si="1"/>
        <v>124</v>
      </c>
      <c r="I13" s="16">
        <f t="shared" si="2"/>
        <v>423</v>
      </c>
    </row>
    <row r="14" spans="1:9" ht="15" customHeight="1" x14ac:dyDescent="0.25">
      <c r="A14" s="13" t="s">
        <v>80</v>
      </c>
      <c r="B14" s="8">
        <v>0</v>
      </c>
      <c r="C14" s="4">
        <v>0</v>
      </c>
      <c r="D14" s="6">
        <f t="shared" si="0"/>
        <v>0</v>
      </c>
      <c r="E14" s="8">
        <v>29</v>
      </c>
      <c r="F14" s="4">
        <v>0</v>
      </c>
      <c r="G14" s="4">
        <v>0</v>
      </c>
      <c r="H14" s="9">
        <f t="shared" si="1"/>
        <v>29</v>
      </c>
      <c r="I14" s="16">
        <f t="shared" si="2"/>
        <v>29</v>
      </c>
    </row>
    <row r="15" spans="1:9" ht="15" customHeight="1" x14ac:dyDescent="0.25">
      <c r="A15" s="13" t="s">
        <v>13</v>
      </c>
      <c r="B15" s="8">
        <v>211</v>
      </c>
      <c r="C15" s="4">
        <v>0</v>
      </c>
      <c r="D15" s="6">
        <f t="shared" si="0"/>
        <v>211</v>
      </c>
      <c r="E15" s="8">
        <v>99</v>
      </c>
      <c r="F15" s="4">
        <v>17</v>
      </c>
      <c r="G15" s="4">
        <v>2</v>
      </c>
      <c r="H15" s="9">
        <f t="shared" si="1"/>
        <v>118</v>
      </c>
      <c r="I15" s="16">
        <f t="shared" si="2"/>
        <v>329</v>
      </c>
    </row>
    <row r="16" spans="1:9" ht="15" customHeight="1" x14ac:dyDescent="0.25">
      <c r="A16" s="13" t="s">
        <v>14</v>
      </c>
      <c r="B16" s="8">
        <v>191</v>
      </c>
      <c r="C16" s="4">
        <v>0</v>
      </c>
      <c r="D16" s="6">
        <f t="shared" si="0"/>
        <v>191</v>
      </c>
      <c r="E16" s="8">
        <v>91</v>
      </c>
      <c r="F16" s="4">
        <v>6</v>
      </c>
      <c r="G16" s="4">
        <v>0</v>
      </c>
      <c r="H16" s="9">
        <f t="shared" si="1"/>
        <v>97</v>
      </c>
      <c r="I16" s="16">
        <f t="shared" si="2"/>
        <v>288</v>
      </c>
    </row>
    <row r="17" spans="1:9" ht="15" customHeight="1" x14ac:dyDescent="0.25">
      <c r="A17" s="13" t="s">
        <v>15</v>
      </c>
      <c r="B17" s="8">
        <v>213</v>
      </c>
      <c r="C17" s="4">
        <v>6</v>
      </c>
      <c r="D17" s="6">
        <f t="shared" si="0"/>
        <v>219</v>
      </c>
      <c r="E17" s="8">
        <v>43</v>
      </c>
      <c r="F17" s="4">
        <v>7</v>
      </c>
      <c r="G17" s="4">
        <v>1</v>
      </c>
      <c r="H17" s="9">
        <f t="shared" si="1"/>
        <v>51</v>
      </c>
      <c r="I17" s="16">
        <f t="shared" si="2"/>
        <v>270</v>
      </c>
    </row>
    <row r="18" spans="1:9" ht="15" customHeight="1" x14ac:dyDescent="0.25">
      <c r="A18" s="13" t="s">
        <v>16</v>
      </c>
      <c r="B18" s="8">
        <v>184</v>
      </c>
      <c r="C18" s="4">
        <v>7</v>
      </c>
      <c r="D18" s="6">
        <f t="shared" si="0"/>
        <v>191</v>
      </c>
      <c r="E18" s="8">
        <v>99</v>
      </c>
      <c r="F18" s="4">
        <v>20</v>
      </c>
      <c r="G18" s="4">
        <v>0</v>
      </c>
      <c r="H18" s="9">
        <f t="shared" si="1"/>
        <v>119</v>
      </c>
      <c r="I18" s="16">
        <f t="shared" si="2"/>
        <v>310</v>
      </c>
    </row>
    <row r="19" spans="1:9" ht="15" customHeight="1" x14ac:dyDescent="0.25">
      <c r="A19" s="13" t="s">
        <v>17</v>
      </c>
      <c r="B19" s="8">
        <v>0</v>
      </c>
      <c r="C19" s="4">
        <v>0</v>
      </c>
      <c r="D19" s="6">
        <f t="shared" si="0"/>
        <v>0</v>
      </c>
      <c r="E19" s="8">
        <v>101</v>
      </c>
      <c r="F19" s="4">
        <v>2</v>
      </c>
      <c r="G19" s="4">
        <v>6</v>
      </c>
      <c r="H19" s="9">
        <f t="shared" si="1"/>
        <v>109</v>
      </c>
      <c r="I19" s="16">
        <f t="shared" si="2"/>
        <v>109</v>
      </c>
    </row>
    <row r="20" spans="1:9" ht="15" customHeight="1" x14ac:dyDescent="0.25">
      <c r="A20" s="13" t="s">
        <v>18</v>
      </c>
      <c r="B20" s="8">
        <v>51</v>
      </c>
      <c r="C20" s="4">
        <v>1</v>
      </c>
      <c r="D20" s="6">
        <f t="shared" si="0"/>
        <v>52</v>
      </c>
      <c r="E20" s="8">
        <v>10</v>
      </c>
      <c r="F20" s="4">
        <v>4</v>
      </c>
      <c r="G20" s="4">
        <v>0</v>
      </c>
      <c r="H20" s="9">
        <f t="shared" si="1"/>
        <v>14</v>
      </c>
      <c r="I20" s="16">
        <f t="shared" si="2"/>
        <v>66</v>
      </c>
    </row>
    <row r="21" spans="1:9" ht="15" customHeight="1" x14ac:dyDescent="0.25">
      <c r="A21" s="13" t="s">
        <v>19</v>
      </c>
      <c r="B21" s="8">
        <v>435</v>
      </c>
      <c r="C21" s="4">
        <v>9</v>
      </c>
      <c r="D21" s="6">
        <f t="shared" si="0"/>
        <v>444</v>
      </c>
      <c r="E21" s="8">
        <v>82</v>
      </c>
      <c r="F21" s="4">
        <v>16</v>
      </c>
      <c r="G21" s="4">
        <v>0</v>
      </c>
      <c r="H21" s="9">
        <f t="shared" si="1"/>
        <v>98</v>
      </c>
      <c r="I21" s="16">
        <f t="shared" si="2"/>
        <v>542</v>
      </c>
    </row>
    <row r="22" spans="1:9" ht="15" customHeight="1" x14ac:dyDescent="0.25">
      <c r="A22" s="13" t="s">
        <v>20</v>
      </c>
      <c r="B22" s="8">
        <v>245</v>
      </c>
      <c r="C22" s="4">
        <v>3</v>
      </c>
      <c r="D22" s="6">
        <f t="shared" si="0"/>
        <v>248</v>
      </c>
      <c r="E22" s="8">
        <v>147</v>
      </c>
      <c r="F22" s="4">
        <v>63</v>
      </c>
      <c r="G22" s="4">
        <v>0</v>
      </c>
      <c r="H22" s="9">
        <f t="shared" si="1"/>
        <v>210</v>
      </c>
      <c r="I22" s="16">
        <f t="shared" si="2"/>
        <v>458</v>
      </c>
    </row>
    <row r="23" spans="1:9" ht="15" customHeight="1" x14ac:dyDescent="0.25">
      <c r="A23" s="13" t="s">
        <v>21</v>
      </c>
      <c r="B23" s="8">
        <v>269</v>
      </c>
      <c r="C23" s="4">
        <v>0</v>
      </c>
      <c r="D23" s="6">
        <f t="shared" si="0"/>
        <v>269</v>
      </c>
      <c r="E23" s="8">
        <v>40</v>
      </c>
      <c r="F23" s="4">
        <v>2</v>
      </c>
      <c r="G23" s="4">
        <v>0</v>
      </c>
      <c r="H23" s="9">
        <f t="shared" si="1"/>
        <v>42</v>
      </c>
      <c r="I23" s="16">
        <f t="shared" si="2"/>
        <v>311</v>
      </c>
    </row>
    <row r="24" spans="1:9" ht="15" customHeight="1" x14ac:dyDescent="0.25">
      <c r="A24" s="13" t="s">
        <v>22</v>
      </c>
      <c r="B24" s="8">
        <v>146</v>
      </c>
      <c r="C24" s="4">
        <v>1</v>
      </c>
      <c r="D24" s="6">
        <f t="shared" si="0"/>
        <v>147</v>
      </c>
      <c r="E24" s="8">
        <v>135</v>
      </c>
      <c r="F24" s="4">
        <v>4</v>
      </c>
      <c r="G24" s="4">
        <v>0</v>
      </c>
      <c r="H24" s="9">
        <f t="shared" si="1"/>
        <v>139</v>
      </c>
      <c r="I24" s="16">
        <f t="shared" si="2"/>
        <v>286</v>
      </c>
    </row>
    <row r="25" spans="1:9" ht="15" customHeight="1" x14ac:dyDescent="0.25">
      <c r="A25" s="13" t="s">
        <v>23</v>
      </c>
      <c r="B25" s="8">
        <v>242</v>
      </c>
      <c r="C25" s="4">
        <v>6</v>
      </c>
      <c r="D25" s="6">
        <f t="shared" si="0"/>
        <v>248</v>
      </c>
      <c r="E25" s="8">
        <v>22</v>
      </c>
      <c r="F25" s="4">
        <v>9</v>
      </c>
      <c r="G25" s="4">
        <v>0</v>
      </c>
      <c r="H25" s="9">
        <f t="shared" si="1"/>
        <v>31</v>
      </c>
      <c r="I25" s="16">
        <f t="shared" si="2"/>
        <v>279</v>
      </c>
    </row>
    <row r="26" spans="1:9" ht="15" customHeight="1" x14ac:dyDescent="0.25">
      <c r="A26" s="13" t="s">
        <v>24</v>
      </c>
      <c r="B26" s="8">
        <v>280</v>
      </c>
      <c r="C26" s="4">
        <v>2</v>
      </c>
      <c r="D26" s="6">
        <f t="shared" si="0"/>
        <v>282</v>
      </c>
      <c r="E26" s="8">
        <v>71</v>
      </c>
      <c r="F26" s="4">
        <v>8</v>
      </c>
      <c r="G26" s="4">
        <v>3</v>
      </c>
      <c r="H26" s="9">
        <f t="shared" si="1"/>
        <v>82</v>
      </c>
      <c r="I26" s="16">
        <f t="shared" si="2"/>
        <v>364</v>
      </c>
    </row>
    <row r="27" spans="1:9" ht="15" customHeight="1" x14ac:dyDescent="0.25">
      <c r="A27" s="13" t="s">
        <v>25</v>
      </c>
      <c r="B27" s="8">
        <v>128</v>
      </c>
      <c r="C27" s="4">
        <v>2</v>
      </c>
      <c r="D27" s="6">
        <f t="shared" si="0"/>
        <v>130</v>
      </c>
      <c r="E27" s="8">
        <v>48</v>
      </c>
      <c r="F27" s="4">
        <v>7</v>
      </c>
      <c r="G27" s="4">
        <v>0</v>
      </c>
      <c r="H27" s="9">
        <f t="shared" si="1"/>
        <v>55</v>
      </c>
      <c r="I27" s="16">
        <f t="shared" si="2"/>
        <v>185</v>
      </c>
    </row>
    <row r="28" spans="1:9" ht="15" customHeight="1" x14ac:dyDescent="0.25">
      <c r="A28" s="13" t="s">
        <v>26</v>
      </c>
      <c r="B28" s="8">
        <v>106</v>
      </c>
      <c r="C28" s="4">
        <v>1</v>
      </c>
      <c r="D28" s="6">
        <f t="shared" si="0"/>
        <v>107</v>
      </c>
      <c r="E28" s="8">
        <v>9</v>
      </c>
      <c r="F28" s="4">
        <v>6</v>
      </c>
      <c r="G28" s="4">
        <v>0</v>
      </c>
      <c r="H28" s="9">
        <f t="shared" si="1"/>
        <v>15</v>
      </c>
      <c r="I28" s="16">
        <f t="shared" si="2"/>
        <v>122</v>
      </c>
    </row>
    <row r="29" spans="1:9" ht="15" customHeight="1" x14ac:dyDescent="0.25">
      <c r="A29" s="13" t="s">
        <v>81</v>
      </c>
      <c r="B29" s="8">
        <v>99</v>
      </c>
      <c r="C29" s="4">
        <v>15</v>
      </c>
      <c r="D29" s="6">
        <f t="shared" si="0"/>
        <v>114</v>
      </c>
      <c r="E29" s="8">
        <v>26</v>
      </c>
      <c r="F29" s="4">
        <v>7</v>
      </c>
      <c r="G29" s="4">
        <v>1</v>
      </c>
      <c r="H29" s="9">
        <f t="shared" si="1"/>
        <v>34</v>
      </c>
      <c r="I29" s="16">
        <f t="shared" si="2"/>
        <v>148</v>
      </c>
    </row>
    <row r="30" spans="1:9" ht="15" customHeight="1" x14ac:dyDescent="0.25">
      <c r="A30" s="13" t="s">
        <v>82</v>
      </c>
      <c r="B30" s="8">
        <v>77</v>
      </c>
      <c r="C30" s="4">
        <v>4</v>
      </c>
      <c r="D30" s="6">
        <f t="shared" si="0"/>
        <v>81</v>
      </c>
      <c r="E30" s="8">
        <v>8</v>
      </c>
      <c r="F30" s="4">
        <v>19</v>
      </c>
      <c r="G30" s="4">
        <v>0</v>
      </c>
      <c r="H30" s="9">
        <f t="shared" si="1"/>
        <v>27</v>
      </c>
      <c r="I30" s="16">
        <f t="shared" si="2"/>
        <v>108</v>
      </c>
    </row>
    <row r="31" spans="1:9" ht="15" customHeight="1" x14ac:dyDescent="0.25">
      <c r="A31" s="13" t="s">
        <v>29</v>
      </c>
      <c r="B31" s="8">
        <v>0</v>
      </c>
      <c r="C31" s="4">
        <v>0</v>
      </c>
      <c r="D31" s="6">
        <f t="shared" si="0"/>
        <v>0</v>
      </c>
      <c r="E31" s="8">
        <v>0</v>
      </c>
      <c r="F31" s="4">
        <v>6</v>
      </c>
      <c r="G31" s="4">
        <v>0</v>
      </c>
      <c r="H31" s="9">
        <f t="shared" si="1"/>
        <v>6</v>
      </c>
      <c r="I31" s="16">
        <f t="shared" si="2"/>
        <v>6</v>
      </c>
    </row>
    <row r="32" spans="1:9" ht="15" customHeight="1" x14ac:dyDescent="0.25">
      <c r="A32" s="13" t="s">
        <v>30</v>
      </c>
      <c r="B32" s="8">
        <v>329</v>
      </c>
      <c r="C32" s="4">
        <v>6</v>
      </c>
      <c r="D32" s="6">
        <f t="shared" si="0"/>
        <v>335</v>
      </c>
      <c r="E32" s="8">
        <v>90</v>
      </c>
      <c r="F32" s="4">
        <v>27</v>
      </c>
      <c r="G32" s="4">
        <v>1</v>
      </c>
      <c r="H32" s="9">
        <f t="shared" si="1"/>
        <v>118</v>
      </c>
      <c r="I32" s="16">
        <f t="shared" si="2"/>
        <v>453</v>
      </c>
    </row>
    <row r="33" spans="1:9" ht="15" customHeight="1" x14ac:dyDescent="0.25">
      <c r="A33" s="13" t="s">
        <v>83</v>
      </c>
      <c r="B33" s="8">
        <v>163</v>
      </c>
      <c r="C33" s="4">
        <v>1</v>
      </c>
      <c r="D33" s="6">
        <f t="shared" si="0"/>
        <v>164</v>
      </c>
      <c r="E33" s="8">
        <v>26</v>
      </c>
      <c r="F33" s="4">
        <v>19</v>
      </c>
      <c r="G33" s="4">
        <v>0</v>
      </c>
      <c r="H33" s="9">
        <f t="shared" si="1"/>
        <v>45</v>
      </c>
      <c r="I33" s="16">
        <f t="shared" si="2"/>
        <v>209</v>
      </c>
    </row>
    <row r="34" spans="1:9" ht="15" customHeight="1" x14ac:dyDescent="0.25">
      <c r="A34" s="13" t="s">
        <v>32</v>
      </c>
      <c r="B34" s="8">
        <v>1</v>
      </c>
      <c r="C34" s="4">
        <v>0</v>
      </c>
      <c r="D34" s="6">
        <f t="shared" si="0"/>
        <v>1</v>
      </c>
      <c r="E34" s="8">
        <v>73</v>
      </c>
      <c r="F34" s="4">
        <v>20</v>
      </c>
      <c r="G34" s="4">
        <v>0</v>
      </c>
      <c r="H34" s="9">
        <f t="shared" si="1"/>
        <v>93</v>
      </c>
      <c r="I34" s="16">
        <f t="shared" si="2"/>
        <v>94</v>
      </c>
    </row>
    <row r="35" spans="1:9" ht="15" customHeight="1" x14ac:dyDescent="0.25">
      <c r="A35" s="13" t="s">
        <v>33</v>
      </c>
      <c r="B35" s="8">
        <v>275</v>
      </c>
      <c r="C35" s="4">
        <v>3</v>
      </c>
      <c r="D35" s="6">
        <f t="shared" si="0"/>
        <v>278</v>
      </c>
      <c r="E35" s="8">
        <v>12</v>
      </c>
      <c r="F35" s="4">
        <v>10</v>
      </c>
      <c r="G35" s="4">
        <v>0</v>
      </c>
      <c r="H35" s="9">
        <f t="shared" si="1"/>
        <v>22</v>
      </c>
      <c r="I35" s="16">
        <f t="shared" si="2"/>
        <v>300</v>
      </c>
    </row>
    <row r="36" spans="1:9" ht="15" customHeight="1" x14ac:dyDescent="0.25">
      <c r="A36" s="13" t="s">
        <v>1</v>
      </c>
      <c r="B36" s="8">
        <v>463</v>
      </c>
      <c r="C36" s="4">
        <v>0</v>
      </c>
      <c r="D36" s="6">
        <f t="shared" si="0"/>
        <v>463</v>
      </c>
      <c r="E36" s="8">
        <v>264</v>
      </c>
      <c r="F36" s="4">
        <v>73</v>
      </c>
      <c r="G36" s="4">
        <v>0</v>
      </c>
      <c r="H36" s="9">
        <f t="shared" si="1"/>
        <v>337</v>
      </c>
      <c r="I36" s="16">
        <f t="shared" si="2"/>
        <v>800</v>
      </c>
    </row>
    <row r="37" spans="1:9" ht="15" customHeight="1" x14ac:dyDescent="0.25">
      <c r="A37" s="13" t="s">
        <v>34</v>
      </c>
      <c r="B37" s="8">
        <v>81</v>
      </c>
      <c r="C37" s="4">
        <v>0</v>
      </c>
      <c r="D37" s="6">
        <f t="shared" si="0"/>
        <v>81</v>
      </c>
      <c r="E37" s="8">
        <v>75</v>
      </c>
      <c r="F37" s="4">
        <v>86</v>
      </c>
      <c r="G37" s="4">
        <v>1</v>
      </c>
      <c r="H37" s="9">
        <f t="shared" si="1"/>
        <v>162</v>
      </c>
      <c r="I37" s="16">
        <f t="shared" si="2"/>
        <v>243</v>
      </c>
    </row>
    <row r="38" spans="1:9" ht="15" customHeight="1" x14ac:dyDescent="0.25">
      <c r="A38" s="13" t="s">
        <v>35</v>
      </c>
      <c r="B38" s="8">
        <v>286</v>
      </c>
      <c r="C38" s="4">
        <v>18</v>
      </c>
      <c r="D38" s="6">
        <f t="shared" si="0"/>
        <v>304</v>
      </c>
      <c r="E38" s="8">
        <v>15</v>
      </c>
      <c r="F38" s="4">
        <v>0</v>
      </c>
      <c r="G38" s="4">
        <v>0</v>
      </c>
      <c r="H38" s="9">
        <f t="shared" si="1"/>
        <v>15</v>
      </c>
      <c r="I38" s="16">
        <f t="shared" si="2"/>
        <v>319</v>
      </c>
    </row>
    <row r="39" spans="1:9" ht="15" customHeight="1" x14ac:dyDescent="0.25">
      <c r="A39" s="13" t="s">
        <v>36</v>
      </c>
      <c r="B39" s="8">
        <v>241</v>
      </c>
      <c r="C39" s="4">
        <v>2</v>
      </c>
      <c r="D39" s="6">
        <f t="shared" si="0"/>
        <v>243</v>
      </c>
      <c r="E39" s="8">
        <v>87</v>
      </c>
      <c r="F39" s="4">
        <v>12</v>
      </c>
      <c r="G39" s="4">
        <v>0</v>
      </c>
      <c r="H39" s="9">
        <f t="shared" si="1"/>
        <v>99</v>
      </c>
      <c r="I39" s="16">
        <f t="shared" si="2"/>
        <v>342</v>
      </c>
    </row>
    <row r="40" spans="1:9" ht="15" customHeight="1" x14ac:dyDescent="0.25">
      <c r="A40" s="13" t="s">
        <v>37</v>
      </c>
      <c r="B40" s="8">
        <v>6</v>
      </c>
      <c r="C40" s="4">
        <v>0</v>
      </c>
      <c r="D40" s="6">
        <f t="shared" si="0"/>
        <v>6</v>
      </c>
      <c r="E40" s="8">
        <v>24</v>
      </c>
      <c r="F40" s="4">
        <v>17</v>
      </c>
      <c r="G40" s="4">
        <v>0</v>
      </c>
      <c r="H40" s="9">
        <f t="shared" si="1"/>
        <v>41</v>
      </c>
      <c r="I40" s="16">
        <f t="shared" si="2"/>
        <v>47</v>
      </c>
    </row>
    <row r="41" spans="1:9" ht="15" customHeight="1" x14ac:dyDescent="0.25">
      <c r="A41" s="13" t="s">
        <v>38</v>
      </c>
      <c r="B41" s="8">
        <v>155</v>
      </c>
      <c r="C41" s="4">
        <v>0</v>
      </c>
      <c r="D41" s="6">
        <f t="shared" si="0"/>
        <v>155</v>
      </c>
      <c r="E41" s="8">
        <v>0</v>
      </c>
      <c r="F41" s="4">
        <v>0</v>
      </c>
      <c r="G41" s="4">
        <v>0</v>
      </c>
      <c r="H41" s="9">
        <f t="shared" si="1"/>
        <v>0</v>
      </c>
      <c r="I41" s="16">
        <f t="shared" si="2"/>
        <v>155</v>
      </c>
    </row>
    <row r="42" spans="1:9" ht="15" customHeight="1" x14ac:dyDescent="0.25">
      <c r="A42" s="13" t="s">
        <v>39</v>
      </c>
      <c r="B42" s="8">
        <v>97</v>
      </c>
      <c r="C42" s="4">
        <v>0</v>
      </c>
      <c r="D42" s="6">
        <f t="shared" si="0"/>
        <v>97</v>
      </c>
      <c r="E42" s="8">
        <v>31</v>
      </c>
      <c r="F42" s="4">
        <v>8</v>
      </c>
      <c r="G42" s="4">
        <v>0</v>
      </c>
      <c r="H42" s="9">
        <f t="shared" si="1"/>
        <v>39</v>
      </c>
      <c r="I42" s="16">
        <f t="shared" si="2"/>
        <v>136</v>
      </c>
    </row>
    <row r="43" spans="1:9" ht="15" customHeight="1" x14ac:dyDescent="0.25">
      <c r="A43" s="13" t="s">
        <v>40</v>
      </c>
      <c r="B43" s="8">
        <v>162</v>
      </c>
      <c r="C43" s="4">
        <v>1</v>
      </c>
      <c r="D43" s="6">
        <f t="shared" si="0"/>
        <v>163</v>
      </c>
      <c r="E43" s="8">
        <v>54</v>
      </c>
      <c r="F43" s="4">
        <v>9</v>
      </c>
      <c r="G43" s="4">
        <v>0</v>
      </c>
      <c r="H43" s="9">
        <f t="shared" si="1"/>
        <v>63</v>
      </c>
      <c r="I43" s="16">
        <f t="shared" si="2"/>
        <v>226</v>
      </c>
    </row>
    <row r="44" spans="1:9" ht="15" customHeight="1" x14ac:dyDescent="0.25">
      <c r="A44" s="13" t="s">
        <v>41</v>
      </c>
      <c r="B44" s="8">
        <v>269</v>
      </c>
      <c r="C44" s="4">
        <v>1</v>
      </c>
      <c r="D44" s="6">
        <f t="shared" si="0"/>
        <v>270</v>
      </c>
      <c r="E44" s="8">
        <v>61</v>
      </c>
      <c r="F44" s="4">
        <v>6</v>
      </c>
      <c r="G44" s="4">
        <v>1</v>
      </c>
      <c r="H44" s="9">
        <f t="shared" si="1"/>
        <v>68</v>
      </c>
      <c r="I44" s="16">
        <f t="shared" si="2"/>
        <v>338</v>
      </c>
    </row>
    <row r="45" spans="1:9" ht="15" customHeight="1" x14ac:dyDescent="0.25">
      <c r="A45" s="13" t="s">
        <v>42</v>
      </c>
      <c r="B45" s="8">
        <v>0</v>
      </c>
      <c r="C45" s="4">
        <v>0</v>
      </c>
      <c r="D45" s="6">
        <f t="shared" si="0"/>
        <v>0</v>
      </c>
      <c r="E45" s="8">
        <v>40</v>
      </c>
      <c r="F45" s="4">
        <v>4</v>
      </c>
      <c r="G45" s="4">
        <v>0</v>
      </c>
      <c r="H45" s="9">
        <f t="shared" si="1"/>
        <v>44</v>
      </c>
      <c r="I45" s="16">
        <f t="shared" si="2"/>
        <v>44</v>
      </c>
    </row>
    <row r="46" spans="1:9" ht="15" customHeight="1" x14ac:dyDescent="0.25">
      <c r="A46" s="13" t="s">
        <v>43</v>
      </c>
      <c r="B46" s="8">
        <v>423</v>
      </c>
      <c r="C46" s="4">
        <v>9</v>
      </c>
      <c r="D46" s="6">
        <f t="shared" si="0"/>
        <v>432</v>
      </c>
      <c r="E46" s="8">
        <v>54</v>
      </c>
      <c r="F46" s="4">
        <v>4</v>
      </c>
      <c r="G46" s="4">
        <v>0</v>
      </c>
      <c r="H46" s="9">
        <f t="shared" si="1"/>
        <v>58</v>
      </c>
      <c r="I46" s="16">
        <f t="shared" si="2"/>
        <v>490</v>
      </c>
    </row>
    <row r="47" spans="1:9" ht="15" customHeight="1" x14ac:dyDescent="0.25">
      <c r="A47" s="13" t="s">
        <v>44</v>
      </c>
      <c r="B47" s="8">
        <v>183</v>
      </c>
      <c r="C47" s="4">
        <v>1</v>
      </c>
      <c r="D47" s="6">
        <f t="shared" si="0"/>
        <v>184</v>
      </c>
      <c r="E47" s="8">
        <v>68</v>
      </c>
      <c r="F47" s="4">
        <v>21</v>
      </c>
      <c r="G47" s="4">
        <v>0</v>
      </c>
      <c r="H47" s="9">
        <f t="shared" si="1"/>
        <v>89</v>
      </c>
      <c r="I47" s="16">
        <f t="shared" si="2"/>
        <v>273</v>
      </c>
    </row>
    <row r="48" spans="1:9" ht="15" customHeight="1" x14ac:dyDescent="0.25">
      <c r="A48" s="13" t="s">
        <v>45</v>
      </c>
      <c r="B48" s="8">
        <v>349</v>
      </c>
      <c r="C48" s="4">
        <v>1</v>
      </c>
      <c r="D48" s="6">
        <f t="shared" si="0"/>
        <v>350</v>
      </c>
      <c r="E48" s="8">
        <v>194</v>
      </c>
      <c r="F48" s="4">
        <v>59</v>
      </c>
      <c r="G48" s="4">
        <v>0</v>
      </c>
      <c r="H48" s="9">
        <f t="shared" si="1"/>
        <v>253</v>
      </c>
      <c r="I48" s="16">
        <f t="shared" si="2"/>
        <v>603</v>
      </c>
    </row>
    <row r="49" spans="1:9" ht="15" customHeight="1" x14ac:dyDescent="0.25">
      <c r="A49" s="13" t="s">
        <v>46</v>
      </c>
      <c r="B49" s="8">
        <v>84</v>
      </c>
      <c r="C49" s="4">
        <v>7</v>
      </c>
      <c r="D49" s="6">
        <f t="shared" si="0"/>
        <v>91</v>
      </c>
      <c r="E49" s="8">
        <v>4</v>
      </c>
      <c r="F49" s="4">
        <v>2</v>
      </c>
      <c r="G49" s="4">
        <v>0</v>
      </c>
      <c r="H49" s="9">
        <f t="shared" si="1"/>
        <v>6</v>
      </c>
      <c r="I49" s="16">
        <f t="shared" si="2"/>
        <v>97</v>
      </c>
    </row>
    <row r="50" spans="1:9" ht="15" customHeight="1" x14ac:dyDescent="0.25">
      <c r="A50" s="13" t="s">
        <v>47</v>
      </c>
      <c r="B50" s="8">
        <v>62</v>
      </c>
      <c r="C50" s="4">
        <v>2</v>
      </c>
      <c r="D50" s="6">
        <f t="shared" si="0"/>
        <v>64</v>
      </c>
      <c r="E50" s="8">
        <v>1</v>
      </c>
      <c r="F50" s="4">
        <v>1</v>
      </c>
      <c r="G50" s="4">
        <v>0</v>
      </c>
      <c r="H50" s="9">
        <f t="shared" si="1"/>
        <v>2</v>
      </c>
      <c r="I50" s="16">
        <f t="shared" si="2"/>
        <v>66</v>
      </c>
    </row>
    <row r="51" spans="1:9" ht="15" customHeight="1" x14ac:dyDescent="0.25">
      <c r="A51" s="13" t="s">
        <v>48</v>
      </c>
      <c r="B51" s="8">
        <v>0</v>
      </c>
      <c r="C51" s="4">
        <v>0</v>
      </c>
      <c r="D51" s="6">
        <f t="shared" si="0"/>
        <v>0</v>
      </c>
      <c r="E51" s="8">
        <v>41</v>
      </c>
      <c r="F51" s="4">
        <v>5</v>
      </c>
      <c r="G51" s="4">
        <v>0</v>
      </c>
      <c r="H51" s="9">
        <f t="shared" si="1"/>
        <v>46</v>
      </c>
      <c r="I51" s="16">
        <f t="shared" si="2"/>
        <v>46</v>
      </c>
    </row>
    <row r="52" spans="1:9" ht="15" customHeight="1" x14ac:dyDescent="0.25">
      <c r="A52" s="13" t="s">
        <v>49</v>
      </c>
      <c r="B52" s="8">
        <v>67</v>
      </c>
      <c r="C52" s="4">
        <v>0</v>
      </c>
      <c r="D52" s="6">
        <f t="shared" si="0"/>
        <v>67</v>
      </c>
      <c r="E52" s="8">
        <v>5</v>
      </c>
      <c r="F52" s="4">
        <v>10</v>
      </c>
      <c r="G52" s="4">
        <v>0</v>
      </c>
      <c r="H52" s="9">
        <f t="shared" si="1"/>
        <v>15</v>
      </c>
      <c r="I52" s="16">
        <f t="shared" si="2"/>
        <v>82</v>
      </c>
    </row>
    <row r="53" spans="1:9" ht="15" customHeight="1" x14ac:dyDescent="0.25">
      <c r="A53" s="13" t="s">
        <v>50</v>
      </c>
      <c r="B53" s="8">
        <v>68</v>
      </c>
      <c r="C53" s="4">
        <v>1</v>
      </c>
      <c r="D53" s="6">
        <f t="shared" si="0"/>
        <v>69</v>
      </c>
      <c r="E53" s="8">
        <v>24</v>
      </c>
      <c r="F53" s="4">
        <v>3</v>
      </c>
      <c r="G53" s="4">
        <v>0</v>
      </c>
      <c r="H53" s="9">
        <f t="shared" si="1"/>
        <v>27</v>
      </c>
      <c r="I53" s="16">
        <f t="shared" si="2"/>
        <v>96</v>
      </c>
    </row>
    <row r="54" spans="1:9" ht="15" customHeight="1" x14ac:dyDescent="0.25">
      <c r="A54" s="13" t="s">
        <v>51</v>
      </c>
      <c r="B54" s="8">
        <v>2</v>
      </c>
      <c r="C54" s="4">
        <v>0</v>
      </c>
      <c r="D54" s="6">
        <f t="shared" si="0"/>
        <v>2</v>
      </c>
      <c r="E54" s="8">
        <v>0</v>
      </c>
      <c r="F54" s="4">
        <v>0</v>
      </c>
      <c r="G54" s="4">
        <v>0</v>
      </c>
      <c r="H54" s="9">
        <f t="shared" si="1"/>
        <v>0</v>
      </c>
      <c r="I54" s="16">
        <f t="shared" si="2"/>
        <v>2</v>
      </c>
    </row>
    <row r="55" spans="1:9" ht="15" customHeight="1" x14ac:dyDescent="0.25">
      <c r="A55" s="13" t="s">
        <v>52</v>
      </c>
      <c r="B55" s="8">
        <v>3</v>
      </c>
      <c r="C55" s="4">
        <v>0</v>
      </c>
      <c r="D55" s="6">
        <f t="shared" si="0"/>
        <v>3</v>
      </c>
      <c r="E55" s="8">
        <v>8</v>
      </c>
      <c r="F55" s="4">
        <v>2</v>
      </c>
      <c r="G55" s="4">
        <v>0</v>
      </c>
      <c r="H55" s="9">
        <f t="shared" si="1"/>
        <v>10</v>
      </c>
      <c r="I55" s="16">
        <f t="shared" si="2"/>
        <v>13</v>
      </c>
    </row>
    <row r="56" spans="1:9" ht="15" customHeight="1" x14ac:dyDescent="0.25">
      <c r="A56" s="13" t="s">
        <v>53</v>
      </c>
      <c r="B56" s="8">
        <v>401</v>
      </c>
      <c r="C56" s="4">
        <v>10</v>
      </c>
      <c r="D56" s="6">
        <f t="shared" si="0"/>
        <v>411</v>
      </c>
      <c r="E56" s="8">
        <v>0</v>
      </c>
      <c r="F56" s="4">
        <v>0</v>
      </c>
      <c r="G56" s="4">
        <v>0</v>
      </c>
      <c r="H56" s="9">
        <f t="shared" si="1"/>
        <v>0</v>
      </c>
      <c r="I56" s="16">
        <f t="shared" si="2"/>
        <v>411</v>
      </c>
    </row>
    <row r="57" spans="1:9" ht="15" customHeight="1" x14ac:dyDescent="0.25">
      <c r="A57" s="13" t="s">
        <v>54</v>
      </c>
      <c r="B57" s="8">
        <v>681</v>
      </c>
      <c r="C57" s="4">
        <v>11</v>
      </c>
      <c r="D57" s="6">
        <f t="shared" si="0"/>
        <v>692</v>
      </c>
      <c r="E57" s="8">
        <v>0</v>
      </c>
      <c r="F57" s="4">
        <v>6</v>
      </c>
      <c r="G57" s="4">
        <v>0</v>
      </c>
      <c r="H57" s="9">
        <f t="shared" si="1"/>
        <v>6</v>
      </c>
      <c r="I57" s="16">
        <f t="shared" si="2"/>
        <v>698</v>
      </c>
    </row>
    <row r="58" spans="1:9" ht="15" customHeight="1" x14ac:dyDescent="0.25">
      <c r="A58" s="13" t="s">
        <v>55</v>
      </c>
      <c r="B58" s="8">
        <v>0</v>
      </c>
      <c r="C58" s="4">
        <v>0</v>
      </c>
      <c r="D58" s="6">
        <f t="shared" si="0"/>
        <v>0</v>
      </c>
      <c r="E58" s="8">
        <v>6</v>
      </c>
      <c r="F58" s="4">
        <v>2</v>
      </c>
      <c r="G58" s="4">
        <v>0</v>
      </c>
      <c r="H58" s="9">
        <f t="shared" si="1"/>
        <v>8</v>
      </c>
      <c r="I58" s="16">
        <f t="shared" si="2"/>
        <v>8</v>
      </c>
    </row>
    <row r="59" spans="1:9" ht="15" customHeight="1" x14ac:dyDescent="0.25">
      <c r="A59" s="13" t="s">
        <v>84</v>
      </c>
      <c r="B59" s="8">
        <v>0</v>
      </c>
      <c r="C59" s="4">
        <v>0</v>
      </c>
      <c r="D59" s="6">
        <f t="shared" si="0"/>
        <v>0</v>
      </c>
      <c r="E59" s="8">
        <v>15</v>
      </c>
      <c r="F59" s="4">
        <v>5</v>
      </c>
      <c r="G59" s="4">
        <v>0</v>
      </c>
      <c r="H59" s="9">
        <f t="shared" si="1"/>
        <v>20</v>
      </c>
      <c r="I59" s="16">
        <f t="shared" si="2"/>
        <v>20</v>
      </c>
    </row>
    <row r="60" spans="1:9" ht="15" customHeight="1" x14ac:dyDescent="0.25">
      <c r="A60" s="13" t="s">
        <v>57</v>
      </c>
      <c r="B60" s="8">
        <v>0</v>
      </c>
      <c r="C60" s="4">
        <v>0</v>
      </c>
      <c r="D60" s="6">
        <f t="shared" si="0"/>
        <v>0</v>
      </c>
      <c r="E60" s="8">
        <v>5</v>
      </c>
      <c r="F60" s="4">
        <v>7</v>
      </c>
      <c r="G60" s="4">
        <v>0</v>
      </c>
      <c r="H60" s="9">
        <f t="shared" si="1"/>
        <v>12</v>
      </c>
      <c r="I60" s="16">
        <f t="shared" si="2"/>
        <v>12</v>
      </c>
    </row>
    <row r="61" spans="1:9" ht="15" customHeight="1" x14ac:dyDescent="0.25">
      <c r="A61" s="13" t="s">
        <v>58</v>
      </c>
      <c r="B61" s="8">
        <v>0</v>
      </c>
      <c r="C61" s="4">
        <v>0</v>
      </c>
      <c r="D61" s="6">
        <f t="shared" si="0"/>
        <v>0</v>
      </c>
      <c r="E61" s="8">
        <v>0</v>
      </c>
      <c r="F61" s="4">
        <v>1</v>
      </c>
      <c r="G61" s="4">
        <v>0</v>
      </c>
      <c r="H61" s="9">
        <f t="shared" si="1"/>
        <v>1</v>
      </c>
      <c r="I61" s="16">
        <f t="shared" si="2"/>
        <v>1</v>
      </c>
    </row>
    <row r="62" spans="1:9" ht="15" customHeight="1" x14ac:dyDescent="0.25">
      <c r="A62" s="13" t="s">
        <v>59</v>
      </c>
      <c r="B62" s="8">
        <v>37</v>
      </c>
      <c r="C62" s="4">
        <v>0</v>
      </c>
      <c r="D62" s="6">
        <f t="shared" si="0"/>
        <v>37</v>
      </c>
      <c r="E62" s="8">
        <v>14</v>
      </c>
      <c r="F62" s="4">
        <v>12</v>
      </c>
      <c r="G62" s="4">
        <v>0</v>
      </c>
      <c r="H62" s="9">
        <f t="shared" si="1"/>
        <v>26</v>
      </c>
      <c r="I62" s="16">
        <f t="shared" si="2"/>
        <v>63</v>
      </c>
    </row>
    <row r="63" spans="1:9" ht="15" customHeight="1" x14ac:dyDescent="0.25">
      <c r="A63" s="13" t="s">
        <v>60</v>
      </c>
      <c r="B63" s="8">
        <v>0</v>
      </c>
      <c r="C63" s="4">
        <v>0</v>
      </c>
      <c r="D63" s="6">
        <f t="shared" si="0"/>
        <v>0</v>
      </c>
      <c r="E63" s="8">
        <v>18</v>
      </c>
      <c r="F63" s="4">
        <v>24</v>
      </c>
      <c r="G63" s="4">
        <v>0</v>
      </c>
      <c r="H63" s="9">
        <f t="shared" si="1"/>
        <v>42</v>
      </c>
      <c r="I63" s="16">
        <f t="shared" si="2"/>
        <v>42</v>
      </c>
    </row>
    <row r="64" spans="1:9" ht="15" customHeight="1" x14ac:dyDescent="0.25">
      <c r="A64" s="13" t="s">
        <v>61</v>
      </c>
      <c r="B64" s="8">
        <v>0</v>
      </c>
      <c r="C64" s="4">
        <v>0</v>
      </c>
      <c r="D64" s="6">
        <f t="shared" si="0"/>
        <v>0</v>
      </c>
      <c r="E64" s="8">
        <v>30</v>
      </c>
      <c r="F64" s="4">
        <v>17</v>
      </c>
      <c r="G64" s="4">
        <v>0</v>
      </c>
      <c r="H64" s="9">
        <f t="shared" si="1"/>
        <v>47</v>
      </c>
      <c r="I64" s="16">
        <f t="shared" si="2"/>
        <v>47</v>
      </c>
    </row>
    <row r="65" spans="1:9" ht="15" customHeight="1" x14ac:dyDescent="0.25">
      <c r="A65" s="13" t="s">
        <v>85</v>
      </c>
      <c r="B65" s="8">
        <v>0</v>
      </c>
      <c r="C65" s="4">
        <v>0</v>
      </c>
      <c r="D65" s="6">
        <f t="shared" si="0"/>
        <v>0</v>
      </c>
      <c r="E65" s="8">
        <v>4</v>
      </c>
      <c r="F65" s="4">
        <v>0</v>
      </c>
      <c r="G65" s="4">
        <v>0</v>
      </c>
      <c r="H65" s="9">
        <f t="shared" si="1"/>
        <v>4</v>
      </c>
      <c r="I65" s="16">
        <f t="shared" si="2"/>
        <v>4</v>
      </c>
    </row>
    <row r="66" spans="1:9" ht="15" customHeight="1" x14ac:dyDescent="0.25">
      <c r="A66" s="13" t="s">
        <v>86</v>
      </c>
      <c r="B66" s="8">
        <v>0</v>
      </c>
      <c r="C66" s="4">
        <v>0</v>
      </c>
      <c r="D66" s="6">
        <f t="shared" si="0"/>
        <v>0</v>
      </c>
      <c r="E66" s="8">
        <v>1</v>
      </c>
      <c r="F66" s="4">
        <v>0</v>
      </c>
      <c r="G66" s="4">
        <v>0</v>
      </c>
      <c r="H66" s="9">
        <f t="shared" si="1"/>
        <v>1</v>
      </c>
      <c r="I66" s="16">
        <f t="shared" si="2"/>
        <v>1</v>
      </c>
    </row>
    <row r="67" spans="1:9" ht="15" customHeight="1" x14ac:dyDescent="0.25">
      <c r="A67" s="13" t="s">
        <v>62</v>
      </c>
      <c r="B67" s="8">
        <v>0</v>
      </c>
      <c r="C67" s="4">
        <v>0</v>
      </c>
      <c r="D67" s="6">
        <f t="shared" si="0"/>
        <v>0</v>
      </c>
      <c r="E67" s="8">
        <v>18</v>
      </c>
      <c r="F67" s="4">
        <v>27</v>
      </c>
      <c r="G67" s="4">
        <v>0</v>
      </c>
      <c r="H67" s="9">
        <f t="shared" si="1"/>
        <v>45</v>
      </c>
      <c r="I67" s="16">
        <f t="shared" si="2"/>
        <v>45</v>
      </c>
    </row>
    <row r="68" spans="1:9" ht="15" customHeight="1" x14ac:dyDescent="0.25">
      <c r="A68" s="13" t="s">
        <v>63</v>
      </c>
      <c r="B68" s="8">
        <v>0</v>
      </c>
      <c r="C68" s="4">
        <v>0</v>
      </c>
      <c r="D68" s="6">
        <f t="shared" si="0"/>
        <v>0</v>
      </c>
      <c r="E68" s="8">
        <v>0</v>
      </c>
      <c r="F68" s="4">
        <v>2</v>
      </c>
      <c r="G68" s="4">
        <v>0</v>
      </c>
      <c r="H68" s="9">
        <f t="shared" si="1"/>
        <v>2</v>
      </c>
      <c r="I68" s="16">
        <f t="shared" si="2"/>
        <v>2</v>
      </c>
    </row>
    <row r="69" spans="1:9" ht="15" customHeight="1" x14ac:dyDescent="0.25">
      <c r="A69" s="13" t="s">
        <v>64</v>
      </c>
      <c r="B69" s="8">
        <v>0</v>
      </c>
      <c r="C69" s="4">
        <v>0</v>
      </c>
      <c r="D69" s="6">
        <f t="shared" si="0"/>
        <v>0</v>
      </c>
      <c r="E69" s="8">
        <v>2</v>
      </c>
      <c r="F69" s="4">
        <v>3</v>
      </c>
      <c r="G69" s="4">
        <v>0</v>
      </c>
      <c r="H69" s="9">
        <f t="shared" si="1"/>
        <v>5</v>
      </c>
      <c r="I69" s="16">
        <f t="shared" si="2"/>
        <v>5</v>
      </c>
    </row>
    <row r="70" spans="1:9" ht="15" customHeight="1" x14ac:dyDescent="0.25">
      <c r="A70" s="13" t="s">
        <v>65</v>
      </c>
      <c r="B70" s="8">
        <v>0</v>
      </c>
      <c r="C70" s="4">
        <v>0</v>
      </c>
      <c r="D70" s="6">
        <f t="shared" si="0"/>
        <v>0</v>
      </c>
      <c r="E70" s="8">
        <v>13</v>
      </c>
      <c r="F70" s="4">
        <v>6</v>
      </c>
      <c r="G70" s="4">
        <v>0</v>
      </c>
      <c r="H70" s="9">
        <f t="shared" si="1"/>
        <v>19</v>
      </c>
      <c r="I70" s="16">
        <f t="shared" si="2"/>
        <v>19</v>
      </c>
    </row>
    <row r="71" spans="1:9" ht="15" customHeight="1" x14ac:dyDescent="0.25">
      <c r="A71" s="13" t="s">
        <v>66</v>
      </c>
      <c r="B71" s="8">
        <v>0</v>
      </c>
      <c r="C71" s="4">
        <v>0</v>
      </c>
      <c r="D71" s="6">
        <f t="shared" si="0"/>
        <v>0</v>
      </c>
      <c r="E71" s="8">
        <v>9</v>
      </c>
      <c r="F71" s="4">
        <v>14</v>
      </c>
      <c r="G71" s="4">
        <v>0</v>
      </c>
      <c r="H71" s="9">
        <f t="shared" si="1"/>
        <v>23</v>
      </c>
      <c r="I71" s="16">
        <f t="shared" si="2"/>
        <v>23</v>
      </c>
    </row>
    <row r="72" spans="1:9" ht="15" customHeight="1" x14ac:dyDescent="0.25">
      <c r="A72" s="13" t="s">
        <v>67</v>
      </c>
      <c r="B72" s="8">
        <v>9</v>
      </c>
      <c r="C72" s="4">
        <v>0</v>
      </c>
      <c r="D72" s="6">
        <f t="shared" si="0"/>
        <v>9</v>
      </c>
      <c r="E72" s="8">
        <v>9</v>
      </c>
      <c r="F72" s="4">
        <v>4</v>
      </c>
      <c r="G72" s="4">
        <v>0</v>
      </c>
      <c r="H72" s="9">
        <f t="shared" si="1"/>
        <v>13</v>
      </c>
      <c r="I72" s="16">
        <f t="shared" si="2"/>
        <v>22</v>
      </c>
    </row>
    <row r="73" spans="1:9" ht="15" customHeight="1" x14ac:dyDescent="0.25">
      <c r="A73" s="13" t="s">
        <v>68</v>
      </c>
      <c r="B73" s="8">
        <v>0</v>
      </c>
      <c r="C73" s="4">
        <v>0</v>
      </c>
      <c r="D73" s="6">
        <f t="shared" ref="D73:D81" si="3">B73+C73</f>
        <v>0</v>
      </c>
      <c r="E73" s="8">
        <v>3</v>
      </c>
      <c r="F73" s="4">
        <v>1</v>
      </c>
      <c r="G73" s="4">
        <v>0</v>
      </c>
      <c r="H73" s="9">
        <f t="shared" ref="H73:H81" si="4">E73+F73+G73</f>
        <v>4</v>
      </c>
      <c r="I73" s="16">
        <f t="shared" ref="I73:I81" si="5">H73+D73</f>
        <v>4</v>
      </c>
    </row>
    <row r="74" spans="1:9" ht="15" customHeight="1" x14ac:dyDescent="0.25">
      <c r="A74" s="13" t="s">
        <v>69</v>
      </c>
      <c r="B74" s="8">
        <v>0</v>
      </c>
      <c r="C74" s="4">
        <v>0</v>
      </c>
      <c r="D74" s="6">
        <f t="shared" si="3"/>
        <v>0</v>
      </c>
      <c r="E74" s="8">
        <v>2</v>
      </c>
      <c r="F74" s="4">
        <v>2</v>
      </c>
      <c r="G74" s="4">
        <v>0</v>
      </c>
      <c r="H74" s="9">
        <f t="shared" si="4"/>
        <v>4</v>
      </c>
      <c r="I74" s="16">
        <f t="shared" si="5"/>
        <v>4</v>
      </c>
    </row>
    <row r="75" spans="1:9" ht="15" customHeight="1" x14ac:dyDescent="0.25">
      <c r="A75" s="13" t="s">
        <v>70</v>
      </c>
      <c r="B75" s="8">
        <v>0</v>
      </c>
      <c r="C75" s="4">
        <v>0</v>
      </c>
      <c r="D75" s="6">
        <f t="shared" si="3"/>
        <v>0</v>
      </c>
      <c r="E75" s="8">
        <v>10</v>
      </c>
      <c r="F75" s="4">
        <v>69</v>
      </c>
      <c r="G75" s="4">
        <v>0</v>
      </c>
      <c r="H75" s="9">
        <f t="shared" si="4"/>
        <v>79</v>
      </c>
      <c r="I75" s="16">
        <f t="shared" si="5"/>
        <v>79</v>
      </c>
    </row>
    <row r="76" spans="1:9" ht="15" customHeight="1" x14ac:dyDescent="0.25">
      <c r="A76" s="13" t="s">
        <v>71</v>
      </c>
      <c r="B76" s="8">
        <v>0</v>
      </c>
      <c r="C76" s="4">
        <v>0</v>
      </c>
      <c r="D76" s="6">
        <f t="shared" si="3"/>
        <v>0</v>
      </c>
      <c r="E76" s="8">
        <v>6</v>
      </c>
      <c r="F76" s="4">
        <v>11</v>
      </c>
      <c r="G76" s="4">
        <v>0</v>
      </c>
      <c r="H76" s="9">
        <f t="shared" si="4"/>
        <v>17</v>
      </c>
      <c r="I76" s="16">
        <f t="shared" si="5"/>
        <v>17</v>
      </c>
    </row>
    <row r="77" spans="1:9" ht="15" customHeight="1" x14ac:dyDescent="0.25">
      <c r="A77" s="13" t="s">
        <v>72</v>
      </c>
      <c r="B77" s="8">
        <v>12</v>
      </c>
      <c r="C77" s="4">
        <v>0</v>
      </c>
      <c r="D77" s="6">
        <f t="shared" si="3"/>
        <v>12</v>
      </c>
      <c r="E77" s="8">
        <v>5</v>
      </c>
      <c r="F77" s="4">
        <v>15</v>
      </c>
      <c r="G77" s="4">
        <v>0</v>
      </c>
      <c r="H77" s="9">
        <f t="shared" si="4"/>
        <v>20</v>
      </c>
      <c r="I77" s="16">
        <f t="shared" si="5"/>
        <v>32</v>
      </c>
    </row>
    <row r="78" spans="1:9" ht="15" customHeight="1" x14ac:dyDescent="0.25">
      <c r="A78" s="13" t="s">
        <v>73</v>
      </c>
      <c r="B78" s="8">
        <v>0</v>
      </c>
      <c r="C78" s="4">
        <v>0</v>
      </c>
      <c r="D78" s="6">
        <f t="shared" si="3"/>
        <v>0</v>
      </c>
      <c r="E78" s="8">
        <v>11</v>
      </c>
      <c r="F78" s="4">
        <v>33</v>
      </c>
      <c r="G78" s="4">
        <v>0</v>
      </c>
      <c r="H78" s="9">
        <f t="shared" si="4"/>
        <v>44</v>
      </c>
      <c r="I78" s="16">
        <f t="shared" si="5"/>
        <v>44</v>
      </c>
    </row>
    <row r="79" spans="1:9" ht="15" customHeight="1" x14ac:dyDescent="0.25">
      <c r="A79" s="13" t="s">
        <v>74</v>
      </c>
      <c r="B79" s="8">
        <v>0</v>
      </c>
      <c r="C79" s="4">
        <v>0</v>
      </c>
      <c r="D79" s="6">
        <f t="shared" si="3"/>
        <v>0</v>
      </c>
      <c r="E79" s="8">
        <v>4</v>
      </c>
      <c r="F79" s="4">
        <v>5</v>
      </c>
      <c r="G79" s="4">
        <v>0</v>
      </c>
      <c r="H79" s="9">
        <f t="shared" si="4"/>
        <v>9</v>
      </c>
      <c r="I79" s="16">
        <f t="shared" si="5"/>
        <v>9</v>
      </c>
    </row>
    <row r="80" spans="1:9" ht="15" customHeight="1" x14ac:dyDescent="0.25">
      <c r="A80" s="13" t="s">
        <v>87</v>
      </c>
      <c r="B80" s="8">
        <v>0</v>
      </c>
      <c r="C80" s="4">
        <v>0</v>
      </c>
      <c r="D80" s="6">
        <f t="shared" si="3"/>
        <v>0</v>
      </c>
      <c r="E80" s="8">
        <v>104</v>
      </c>
      <c r="F80" s="4">
        <v>101</v>
      </c>
      <c r="G80" s="4">
        <v>0</v>
      </c>
      <c r="H80" s="9">
        <f t="shared" si="4"/>
        <v>205</v>
      </c>
      <c r="I80" s="16">
        <f t="shared" si="5"/>
        <v>205</v>
      </c>
    </row>
    <row r="81" spans="1:10" ht="15" customHeight="1" thickBot="1" x14ac:dyDescent="0.3">
      <c r="A81" s="20" t="s">
        <v>75</v>
      </c>
      <c r="B81" s="21">
        <v>0</v>
      </c>
      <c r="C81" s="22">
        <v>0</v>
      </c>
      <c r="D81" s="23">
        <f t="shared" si="3"/>
        <v>0</v>
      </c>
      <c r="E81" s="21">
        <v>49</v>
      </c>
      <c r="F81" s="22">
        <v>17</v>
      </c>
      <c r="G81" s="22">
        <v>0</v>
      </c>
      <c r="H81" s="24">
        <f t="shared" si="4"/>
        <v>66</v>
      </c>
      <c r="I81" s="25">
        <f t="shared" si="5"/>
        <v>66</v>
      </c>
    </row>
    <row r="82" spans="1:10" ht="16.5" thickTop="1" thickBot="1" x14ac:dyDescent="0.3">
      <c r="A82" s="15" t="s">
        <v>0</v>
      </c>
      <c r="B82" s="12">
        <f t="shared" ref="B82:I82" si="6">SUM(B8:B81)</f>
        <v>9267</v>
      </c>
      <c r="C82" s="12">
        <f t="shared" si="6"/>
        <v>165</v>
      </c>
      <c r="D82" s="15">
        <f t="shared" si="6"/>
        <v>9432</v>
      </c>
      <c r="E82" s="12">
        <f t="shared" si="6"/>
        <v>3518</v>
      </c>
      <c r="F82" s="12">
        <f t="shared" si="6"/>
        <v>1281</v>
      </c>
      <c r="G82" s="12">
        <f t="shared" si="6"/>
        <v>46</v>
      </c>
      <c r="H82" s="18">
        <f t="shared" si="6"/>
        <v>4845</v>
      </c>
      <c r="I82" s="18">
        <f t="shared" si="6"/>
        <v>14277</v>
      </c>
    </row>
    <row r="84" spans="1:10" ht="15" customHeight="1" x14ac:dyDescent="0.25">
      <c r="A84" s="33" t="s">
        <v>88</v>
      </c>
      <c r="B84" s="33"/>
      <c r="C84" s="33"/>
      <c r="D84" s="33"/>
      <c r="E84" s="33"/>
      <c r="F84" s="33"/>
      <c r="G84" s="33"/>
      <c r="H84" s="33"/>
      <c r="I84" s="33"/>
      <c r="J84" s="27"/>
    </row>
    <row r="85" spans="1:10" x14ac:dyDescent="0.25">
      <c r="A85" s="33"/>
      <c r="B85" s="33"/>
      <c r="C85" s="33"/>
      <c r="D85" s="33"/>
      <c r="E85" s="33"/>
      <c r="F85" s="33"/>
      <c r="G85" s="33"/>
      <c r="H85" s="33"/>
      <c r="I85" s="33"/>
      <c r="J85" s="27"/>
    </row>
  </sheetData>
  <mergeCells count="13">
    <mergeCell ref="A84:I85"/>
    <mergeCell ref="G6:G7"/>
    <mergeCell ref="H6:H7"/>
    <mergeCell ref="A2:I2"/>
    <mergeCell ref="A5:A7"/>
    <mergeCell ref="B5:D5"/>
    <mergeCell ref="E5:H5"/>
    <mergeCell ref="I5:I7"/>
    <mergeCell ref="B6:B7"/>
    <mergeCell ref="C6:C7"/>
    <mergeCell ref="D6:D7"/>
    <mergeCell ref="E6:E7"/>
    <mergeCell ref="F6:F7"/>
  </mergeCells>
  <pageMargins left="0.7" right="0.7" top="0.75" bottom="0.75" header="0.3" footer="0.3"/>
  <pageSetup paperSize="9" orientation="portrait" r:id="rId1"/>
  <headerFooter>
    <oddHeader>&amp;CUCL Student Data Statistics</oddHeader>
    <oddFooter>&amp;L&amp;F - &amp;A&amp;RPage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I84"/>
  <sheetViews>
    <sheetView tabSelected="1" view="pageLayout" zoomScale="85" zoomScaleNormal="100" zoomScalePageLayoutView="85" workbookViewId="0">
      <selection activeCell="A47" sqref="A47"/>
    </sheetView>
  </sheetViews>
  <sheetFormatPr defaultColWidth="9" defaultRowHeight="15" x14ac:dyDescent="0.25"/>
  <cols>
    <col min="1" max="1" width="31.28515625" customWidth="1"/>
    <col min="2" max="9" width="6.7109375" customWidth="1"/>
  </cols>
  <sheetData>
    <row r="1" spans="1:9" ht="18" x14ac:dyDescent="0.25">
      <c r="A1" s="1" t="s">
        <v>2</v>
      </c>
      <c r="B1" s="3"/>
    </row>
    <row r="2" spans="1:9" x14ac:dyDescent="0.25">
      <c r="A2" s="34" t="s">
        <v>3</v>
      </c>
      <c r="B2" s="34"/>
      <c r="C2" s="34"/>
      <c r="D2" s="34"/>
      <c r="E2" s="34"/>
      <c r="F2" s="34"/>
      <c r="G2" s="34"/>
      <c r="H2" s="34"/>
      <c r="I2" s="34"/>
    </row>
    <row r="3" spans="1:9" x14ac:dyDescent="0.25">
      <c r="A3" s="2" t="str">
        <f ca="1">RIGHT(CELL("filename",A1),LEN(CELL("filename",A1))-FIND("]",CELL("filename",A1)))</f>
        <v>1995-96</v>
      </c>
      <c r="B3" s="3"/>
    </row>
    <row r="4" spans="1:9" ht="15.75" thickBot="1" x14ac:dyDescent="0.3">
      <c r="A4" s="3"/>
      <c r="B4" s="3"/>
    </row>
    <row r="5" spans="1:9" ht="15" customHeight="1" x14ac:dyDescent="0.25">
      <c r="A5" s="35" t="s">
        <v>4</v>
      </c>
      <c r="B5" s="38" t="s">
        <v>5</v>
      </c>
      <c r="C5" s="39"/>
      <c r="D5" s="39"/>
      <c r="E5" s="38" t="s">
        <v>6</v>
      </c>
      <c r="F5" s="39"/>
      <c r="G5" s="39"/>
      <c r="H5" s="40"/>
      <c r="I5" s="41" t="s">
        <v>0</v>
      </c>
    </row>
    <row r="6" spans="1:9" x14ac:dyDescent="0.25">
      <c r="A6" s="36"/>
      <c r="B6" s="44" t="s">
        <v>76</v>
      </c>
      <c r="C6" s="29" t="s">
        <v>77</v>
      </c>
      <c r="D6" s="46" t="s">
        <v>0</v>
      </c>
      <c r="E6" s="44" t="s">
        <v>76</v>
      </c>
      <c r="F6" s="29" t="s">
        <v>77</v>
      </c>
      <c r="G6" s="29" t="s">
        <v>78</v>
      </c>
      <c r="H6" s="31" t="s">
        <v>0</v>
      </c>
      <c r="I6" s="42"/>
    </row>
    <row r="7" spans="1:9" x14ac:dyDescent="0.25">
      <c r="A7" s="37"/>
      <c r="B7" s="45"/>
      <c r="C7" s="30"/>
      <c r="D7" s="47"/>
      <c r="E7" s="45"/>
      <c r="F7" s="30"/>
      <c r="G7" s="30"/>
      <c r="H7" s="32"/>
      <c r="I7" s="43"/>
    </row>
    <row r="8" spans="1:9" x14ac:dyDescent="0.25">
      <c r="A8" s="13" t="s">
        <v>7</v>
      </c>
      <c r="B8" s="8">
        <v>222</v>
      </c>
      <c r="C8" s="4">
        <v>3</v>
      </c>
      <c r="D8" s="6">
        <f>SUM(B8:C8)</f>
        <v>225</v>
      </c>
      <c r="E8" s="8">
        <v>76</v>
      </c>
      <c r="F8" s="4">
        <v>40</v>
      </c>
      <c r="G8" s="4">
        <v>0</v>
      </c>
      <c r="H8" s="9">
        <f>SUM(E8:G8)</f>
        <v>116</v>
      </c>
      <c r="I8" s="16">
        <f>D8+H8</f>
        <v>341</v>
      </c>
    </row>
    <row r="9" spans="1:9" x14ac:dyDescent="0.25">
      <c r="A9" s="13" t="s">
        <v>8</v>
      </c>
      <c r="B9" s="8">
        <v>178</v>
      </c>
      <c r="C9" s="4">
        <v>2</v>
      </c>
      <c r="D9" s="6">
        <f t="shared" ref="D9:D72" si="0">SUM(B9:C9)</f>
        <v>180</v>
      </c>
      <c r="E9" s="8">
        <v>52</v>
      </c>
      <c r="F9" s="4">
        <v>39</v>
      </c>
      <c r="G9" s="4">
        <v>11</v>
      </c>
      <c r="H9" s="9">
        <f t="shared" ref="H9:H72" si="1">SUM(E9:G9)</f>
        <v>102</v>
      </c>
      <c r="I9" s="16">
        <f t="shared" ref="I9:I72" si="2">D9+H9</f>
        <v>282</v>
      </c>
    </row>
    <row r="10" spans="1:9" x14ac:dyDescent="0.25">
      <c r="A10" s="13" t="s">
        <v>9</v>
      </c>
      <c r="B10" s="8">
        <v>311</v>
      </c>
      <c r="C10" s="4">
        <v>14</v>
      </c>
      <c r="D10" s="6">
        <f t="shared" si="0"/>
        <v>325</v>
      </c>
      <c r="E10" s="8">
        <v>87</v>
      </c>
      <c r="F10" s="4">
        <v>47</v>
      </c>
      <c r="G10" s="4">
        <v>10</v>
      </c>
      <c r="H10" s="9">
        <f t="shared" si="1"/>
        <v>144</v>
      </c>
      <c r="I10" s="16">
        <f t="shared" si="2"/>
        <v>469</v>
      </c>
    </row>
    <row r="11" spans="1:9" x14ac:dyDescent="0.25">
      <c r="A11" s="13" t="s">
        <v>10</v>
      </c>
      <c r="B11" s="8">
        <v>298</v>
      </c>
      <c r="C11" s="4">
        <v>2</v>
      </c>
      <c r="D11" s="6">
        <f t="shared" si="0"/>
        <v>300</v>
      </c>
      <c r="E11" s="8">
        <v>370</v>
      </c>
      <c r="F11" s="4">
        <v>139</v>
      </c>
      <c r="G11" s="4">
        <v>4</v>
      </c>
      <c r="H11" s="9">
        <f t="shared" si="1"/>
        <v>513</v>
      </c>
      <c r="I11" s="16">
        <f t="shared" si="2"/>
        <v>813</v>
      </c>
    </row>
    <row r="12" spans="1:9" x14ac:dyDescent="0.25">
      <c r="A12" s="13" t="s">
        <v>11</v>
      </c>
      <c r="B12" s="8">
        <v>135</v>
      </c>
      <c r="C12" s="4">
        <v>5</v>
      </c>
      <c r="D12" s="6">
        <f t="shared" si="0"/>
        <v>140</v>
      </c>
      <c r="E12" s="8">
        <v>69</v>
      </c>
      <c r="F12" s="4">
        <v>25</v>
      </c>
      <c r="G12" s="4">
        <v>0</v>
      </c>
      <c r="H12" s="9">
        <f t="shared" si="1"/>
        <v>94</v>
      </c>
      <c r="I12" s="16">
        <f t="shared" si="2"/>
        <v>234</v>
      </c>
    </row>
    <row r="13" spans="1:9" x14ac:dyDescent="0.25">
      <c r="A13" s="13" t="s">
        <v>12</v>
      </c>
      <c r="B13" s="8">
        <v>302</v>
      </c>
      <c r="C13" s="4">
        <v>1</v>
      </c>
      <c r="D13" s="6">
        <f t="shared" si="0"/>
        <v>303</v>
      </c>
      <c r="E13" s="8">
        <v>88</v>
      </c>
      <c r="F13" s="4">
        <v>53</v>
      </c>
      <c r="G13" s="4">
        <v>1</v>
      </c>
      <c r="H13" s="9">
        <f t="shared" si="1"/>
        <v>142</v>
      </c>
      <c r="I13" s="16">
        <f t="shared" si="2"/>
        <v>445</v>
      </c>
    </row>
    <row r="14" spans="1:9" x14ac:dyDescent="0.25">
      <c r="A14" s="13" t="s">
        <v>13</v>
      </c>
      <c r="B14" s="8">
        <v>203</v>
      </c>
      <c r="C14" s="4">
        <v>0</v>
      </c>
      <c r="D14" s="6">
        <f t="shared" si="0"/>
        <v>203</v>
      </c>
      <c r="E14" s="8">
        <v>108</v>
      </c>
      <c r="F14" s="4">
        <v>17</v>
      </c>
      <c r="G14" s="4">
        <v>0</v>
      </c>
      <c r="H14" s="9">
        <f t="shared" si="1"/>
        <v>125</v>
      </c>
      <c r="I14" s="16">
        <f t="shared" si="2"/>
        <v>328</v>
      </c>
    </row>
    <row r="15" spans="1:9" x14ac:dyDescent="0.25">
      <c r="A15" s="13" t="s">
        <v>14</v>
      </c>
      <c r="B15" s="8">
        <v>177</v>
      </c>
      <c r="C15" s="4">
        <v>2</v>
      </c>
      <c r="D15" s="6">
        <f t="shared" si="0"/>
        <v>179</v>
      </c>
      <c r="E15" s="8">
        <v>80</v>
      </c>
      <c r="F15" s="4">
        <v>6</v>
      </c>
      <c r="G15" s="4">
        <v>0</v>
      </c>
      <c r="H15" s="9">
        <f t="shared" si="1"/>
        <v>86</v>
      </c>
      <c r="I15" s="16">
        <f t="shared" si="2"/>
        <v>265</v>
      </c>
    </row>
    <row r="16" spans="1:9" x14ac:dyDescent="0.25">
      <c r="A16" s="13" t="s">
        <v>15</v>
      </c>
      <c r="B16" s="8">
        <v>215</v>
      </c>
      <c r="C16" s="4">
        <v>4</v>
      </c>
      <c r="D16" s="6">
        <f t="shared" si="0"/>
        <v>219</v>
      </c>
      <c r="E16" s="8">
        <v>39</v>
      </c>
      <c r="F16" s="4">
        <v>9</v>
      </c>
      <c r="G16" s="4">
        <v>1</v>
      </c>
      <c r="H16" s="9">
        <f t="shared" si="1"/>
        <v>49</v>
      </c>
      <c r="I16" s="16">
        <f t="shared" si="2"/>
        <v>268</v>
      </c>
    </row>
    <row r="17" spans="1:9" x14ac:dyDescent="0.25">
      <c r="A17" s="13" t="s">
        <v>16</v>
      </c>
      <c r="B17" s="8">
        <v>173</v>
      </c>
      <c r="C17" s="4">
        <v>2</v>
      </c>
      <c r="D17" s="6">
        <f t="shared" si="0"/>
        <v>175</v>
      </c>
      <c r="E17" s="8">
        <v>102</v>
      </c>
      <c r="F17" s="4">
        <v>20</v>
      </c>
      <c r="G17" s="4">
        <v>0</v>
      </c>
      <c r="H17" s="9">
        <f t="shared" si="1"/>
        <v>122</v>
      </c>
      <c r="I17" s="16">
        <f t="shared" si="2"/>
        <v>297</v>
      </c>
    </row>
    <row r="18" spans="1:9" x14ac:dyDescent="0.25">
      <c r="A18" s="13" t="s">
        <v>17</v>
      </c>
      <c r="B18" s="8">
        <v>0</v>
      </c>
      <c r="C18" s="4">
        <v>0</v>
      </c>
      <c r="D18" s="6">
        <f t="shared" si="0"/>
        <v>0</v>
      </c>
      <c r="E18" s="8">
        <v>100</v>
      </c>
      <c r="F18" s="4">
        <v>1</v>
      </c>
      <c r="G18" s="4">
        <v>5</v>
      </c>
      <c r="H18" s="9">
        <f t="shared" si="1"/>
        <v>106</v>
      </c>
      <c r="I18" s="16">
        <f t="shared" si="2"/>
        <v>106</v>
      </c>
    </row>
    <row r="19" spans="1:9" x14ac:dyDescent="0.25">
      <c r="A19" s="13" t="s">
        <v>18</v>
      </c>
      <c r="B19" s="8">
        <v>57</v>
      </c>
      <c r="C19" s="4">
        <v>0</v>
      </c>
      <c r="D19" s="6">
        <f t="shared" si="0"/>
        <v>57</v>
      </c>
      <c r="E19" s="8">
        <v>6</v>
      </c>
      <c r="F19" s="4">
        <v>2</v>
      </c>
      <c r="G19" s="4">
        <v>0</v>
      </c>
      <c r="H19" s="9">
        <f t="shared" si="1"/>
        <v>8</v>
      </c>
      <c r="I19" s="16">
        <f t="shared" si="2"/>
        <v>65</v>
      </c>
    </row>
    <row r="20" spans="1:9" x14ac:dyDescent="0.25">
      <c r="A20" s="13" t="s">
        <v>19</v>
      </c>
      <c r="B20" s="8">
        <v>416</v>
      </c>
      <c r="C20" s="4">
        <v>5</v>
      </c>
      <c r="D20" s="6">
        <f t="shared" si="0"/>
        <v>421</v>
      </c>
      <c r="E20" s="8">
        <v>101</v>
      </c>
      <c r="F20" s="4">
        <v>16</v>
      </c>
      <c r="G20" s="4">
        <v>1</v>
      </c>
      <c r="H20" s="9">
        <f t="shared" si="1"/>
        <v>118</v>
      </c>
      <c r="I20" s="16">
        <f t="shared" si="2"/>
        <v>539</v>
      </c>
    </row>
    <row r="21" spans="1:9" x14ac:dyDescent="0.25">
      <c r="A21" s="13" t="s">
        <v>20</v>
      </c>
      <c r="B21" s="8">
        <v>244</v>
      </c>
      <c r="C21" s="4">
        <v>2</v>
      </c>
      <c r="D21" s="6">
        <f t="shared" si="0"/>
        <v>246</v>
      </c>
      <c r="E21" s="8">
        <v>152</v>
      </c>
      <c r="F21" s="4">
        <v>19</v>
      </c>
      <c r="G21" s="4">
        <v>0</v>
      </c>
      <c r="H21" s="9">
        <f t="shared" si="1"/>
        <v>171</v>
      </c>
      <c r="I21" s="16">
        <f t="shared" si="2"/>
        <v>417</v>
      </c>
    </row>
    <row r="22" spans="1:9" x14ac:dyDescent="0.25">
      <c r="A22" s="13" t="s">
        <v>21</v>
      </c>
      <c r="B22" s="8">
        <v>266</v>
      </c>
      <c r="C22" s="4">
        <v>0</v>
      </c>
      <c r="D22" s="6">
        <f t="shared" si="0"/>
        <v>266</v>
      </c>
      <c r="E22" s="8">
        <v>33</v>
      </c>
      <c r="F22" s="4">
        <v>10</v>
      </c>
      <c r="G22" s="4">
        <v>0</v>
      </c>
      <c r="H22" s="9">
        <f t="shared" si="1"/>
        <v>43</v>
      </c>
      <c r="I22" s="16">
        <f t="shared" si="2"/>
        <v>309</v>
      </c>
    </row>
    <row r="23" spans="1:9" x14ac:dyDescent="0.25">
      <c r="A23" s="13" t="s">
        <v>22</v>
      </c>
      <c r="B23" s="8">
        <v>148</v>
      </c>
      <c r="C23" s="4">
        <v>5</v>
      </c>
      <c r="D23" s="6">
        <f t="shared" si="0"/>
        <v>153</v>
      </c>
      <c r="E23" s="8">
        <v>112</v>
      </c>
      <c r="F23" s="4">
        <v>2</v>
      </c>
      <c r="G23" s="4">
        <v>1</v>
      </c>
      <c r="H23" s="9">
        <f t="shared" si="1"/>
        <v>115</v>
      </c>
      <c r="I23" s="16">
        <f t="shared" si="2"/>
        <v>268</v>
      </c>
    </row>
    <row r="24" spans="1:9" x14ac:dyDescent="0.25">
      <c r="A24" s="13" t="s">
        <v>23</v>
      </c>
      <c r="B24" s="8">
        <v>239</v>
      </c>
      <c r="C24" s="4">
        <v>2</v>
      </c>
      <c r="D24" s="6">
        <f t="shared" si="0"/>
        <v>241</v>
      </c>
      <c r="E24" s="8">
        <v>15</v>
      </c>
      <c r="F24" s="4">
        <v>6</v>
      </c>
      <c r="G24" s="4">
        <v>0</v>
      </c>
      <c r="H24" s="9">
        <f t="shared" si="1"/>
        <v>21</v>
      </c>
      <c r="I24" s="16">
        <f t="shared" si="2"/>
        <v>262</v>
      </c>
    </row>
    <row r="25" spans="1:9" x14ac:dyDescent="0.25">
      <c r="A25" s="13" t="s">
        <v>24</v>
      </c>
      <c r="B25" s="8">
        <v>277</v>
      </c>
      <c r="C25" s="4">
        <v>2</v>
      </c>
      <c r="D25" s="6">
        <f t="shared" si="0"/>
        <v>279</v>
      </c>
      <c r="E25" s="8">
        <v>62</v>
      </c>
      <c r="F25" s="4">
        <v>8</v>
      </c>
      <c r="G25" s="4">
        <v>2</v>
      </c>
      <c r="H25" s="9">
        <f t="shared" si="1"/>
        <v>72</v>
      </c>
      <c r="I25" s="16">
        <f t="shared" si="2"/>
        <v>351</v>
      </c>
    </row>
    <row r="26" spans="1:9" x14ac:dyDescent="0.25">
      <c r="A26" s="13" t="s">
        <v>25</v>
      </c>
      <c r="B26" s="8">
        <v>127</v>
      </c>
      <c r="C26" s="4">
        <v>0</v>
      </c>
      <c r="D26" s="6">
        <f t="shared" si="0"/>
        <v>127</v>
      </c>
      <c r="E26" s="8">
        <v>43</v>
      </c>
      <c r="F26" s="4">
        <v>10</v>
      </c>
      <c r="G26" s="4">
        <v>1</v>
      </c>
      <c r="H26" s="9">
        <f t="shared" si="1"/>
        <v>54</v>
      </c>
      <c r="I26" s="16">
        <f t="shared" si="2"/>
        <v>181</v>
      </c>
    </row>
    <row r="27" spans="1:9" x14ac:dyDescent="0.25">
      <c r="A27" s="13" t="s">
        <v>26</v>
      </c>
      <c r="B27" s="8">
        <v>114</v>
      </c>
      <c r="C27" s="4">
        <v>1</v>
      </c>
      <c r="D27" s="6">
        <f t="shared" si="0"/>
        <v>115</v>
      </c>
      <c r="E27" s="8">
        <v>12</v>
      </c>
      <c r="F27" s="4">
        <v>6</v>
      </c>
      <c r="G27" s="4">
        <v>0</v>
      </c>
      <c r="H27" s="9">
        <f t="shared" si="1"/>
        <v>18</v>
      </c>
      <c r="I27" s="16">
        <f t="shared" si="2"/>
        <v>133</v>
      </c>
    </row>
    <row r="28" spans="1:9" x14ac:dyDescent="0.25">
      <c r="A28" s="13" t="s">
        <v>27</v>
      </c>
      <c r="B28" s="8">
        <v>96</v>
      </c>
      <c r="C28" s="4">
        <v>17</v>
      </c>
      <c r="D28" s="6">
        <f t="shared" si="0"/>
        <v>113</v>
      </c>
      <c r="E28" s="8">
        <v>23</v>
      </c>
      <c r="F28" s="4">
        <v>6</v>
      </c>
      <c r="G28" s="4">
        <v>0</v>
      </c>
      <c r="H28" s="9">
        <f t="shared" si="1"/>
        <v>29</v>
      </c>
      <c r="I28" s="16">
        <f t="shared" si="2"/>
        <v>142</v>
      </c>
    </row>
    <row r="29" spans="1:9" x14ac:dyDescent="0.25">
      <c r="A29" s="13" t="s">
        <v>28</v>
      </c>
      <c r="B29" s="8">
        <v>90</v>
      </c>
      <c r="C29" s="4">
        <v>4</v>
      </c>
      <c r="D29" s="6">
        <f t="shared" si="0"/>
        <v>94</v>
      </c>
      <c r="E29" s="8">
        <v>8</v>
      </c>
      <c r="F29" s="4">
        <v>20</v>
      </c>
      <c r="G29" s="4">
        <v>0</v>
      </c>
      <c r="H29" s="9">
        <f t="shared" si="1"/>
        <v>28</v>
      </c>
      <c r="I29" s="16">
        <f t="shared" si="2"/>
        <v>122</v>
      </c>
    </row>
    <row r="30" spans="1:9" x14ac:dyDescent="0.25">
      <c r="A30" s="13" t="s">
        <v>29</v>
      </c>
      <c r="B30" s="8">
        <v>0</v>
      </c>
      <c r="C30" s="4">
        <v>0</v>
      </c>
      <c r="D30" s="6">
        <f t="shared" si="0"/>
        <v>0</v>
      </c>
      <c r="E30" s="8">
        <v>0</v>
      </c>
      <c r="F30" s="4">
        <v>3</v>
      </c>
      <c r="G30" s="4">
        <v>0</v>
      </c>
      <c r="H30" s="9">
        <f t="shared" si="1"/>
        <v>3</v>
      </c>
      <c r="I30" s="16">
        <f t="shared" si="2"/>
        <v>3</v>
      </c>
    </row>
    <row r="31" spans="1:9" x14ac:dyDescent="0.25">
      <c r="A31" s="13" t="s">
        <v>30</v>
      </c>
      <c r="B31" s="8">
        <v>344</v>
      </c>
      <c r="C31" s="4">
        <v>3</v>
      </c>
      <c r="D31" s="6">
        <f t="shared" si="0"/>
        <v>347</v>
      </c>
      <c r="E31" s="8">
        <v>85</v>
      </c>
      <c r="F31" s="4">
        <v>27</v>
      </c>
      <c r="G31" s="4">
        <v>2</v>
      </c>
      <c r="H31" s="9">
        <f t="shared" si="1"/>
        <v>114</v>
      </c>
      <c r="I31" s="16">
        <f t="shared" si="2"/>
        <v>461</v>
      </c>
    </row>
    <row r="32" spans="1:9" x14ac:dyDescent="0.25">
      <c r="A32" s="13" t="s">
        <v>31</v>
      </c>
      <c r="B32" s="8">
        <v>163</v>
      </c>
      <c r="C32" s="4">
        <v>0</v>
      </c>
      <c r="D32" s="6">
        <f t="shared" si="0"/>
        <v>163</v>
      </c>
      <c r="E32" s="8">
        <v>23</v>
      </c>
      <c r="F32" s="4">
        <v>16</v>
      </c>
      <c r="G32" s="4">
        <v>0</v>
      </c>
      <c r="H32" s="9">
        <f t="shared" si="1"/>
        <v>39</v>
      </c>
      <c r="I32" s="16">
        <f t="shared" si="2"/>
        <v>202</v>
      </c>
    </row>
    <row r="33" spans="1:9" x14ac:dyDescent="0.25">
      <c r="A33" s="13" t="s">
        <v>32</v>
      </c>
      <c r="B33" s="8">
        <v>2</v>
      </c>
      <c r="C33" s="4">
        <v>0</v>
      </c>
      <c r="D33" s="6">
        <f t="shared" si="0"/>
        <v>2</v>
      </c>
      <c r="E33" s="8">
        <v>49</v>
      </c>
      <c r="F33" s="4">
        <v>23</v>
      </c>
      <c r="G33" s="4">
        <v>1</v>
      </c>
      <c r="H33" s="9">
        <f t="shared" si="1"/>
        <v>73</v>
      </c>
      <c r="I33" s="16">
        <f t="shared" si="2"/>
        <v>75</v>
      </c>
    </row>
    <row r="34" spans="1:9" x14ac:dyDescent="0.25">
      <c r="A34" s="13" t="s">
        <v>33</v>
      </c>
      <c r="B34" s="8">
        <v>281</v>
      </c>
      <c r="C34" s="4">
        <v>1</v>
      </c>
      <c r="D34" s="6">
        <f t="shared" si="0"/>
        <v>282</v>
      </c>
      <c r="E34" s="8">
        <v>7</v>
      </c>
      <c r="F34" s="4">
        <v>5</v>
      </c>
      <c r="G34" s="4">
        <v>0</v>
      </c>
      <c r="H34" s="9">
        <f t="shared" si="1"/>
        <v>12</v>
      </c>
      <c r="I34" s="16">
        <f t="shared" si="2"/>
        <v>294</v>
      </c>
    </row>
    <row r="35" spans="1:9" x14ac:dyDescent="0.25">
      <c r="A35" s="13" t="s">
        <v>1</v>
      </c>
      <c r="B35" s="8">
        <v>490</v>
      </c>
      <c r="C35" s="4">
        <v>0</v>
      </c>
      <c r="D35" s="6">
        <f t="shared" si="0"/>
        <v>490</v>
      </c>
      <c r="E35" s="8">
        <v>194</v>
      </c>
      <c r="F35" s="4">
        <v>72</v>
      </c>
      <c r="G35" s="4">
        <v>1</v>
      </c>
      <c r="H35" s="9">
        <f t="shared" si="1"/>
        <v>267</v>
      </c>
      <c r="I35" s="16">
        <f t="shared" si="2"/>
        <v>757</v>
      </c>
    </row>
    <row r="36" spans="1:9" x14ac:dyDescent="0.25">
      <c r="A36" s="13" t="s">
        <v>34</v>
      </c>
      <c r="B36" s="8">
        <v>47</v>
      </c>
      <c r="C36" s="4">
        <v>0</v>
      </c>
      <c r="D36" s="6">
        <f t="shared" si="0"/>
        <v>47</v>
      </c>
      <c r="E36" s="8">
        <v>85</v>
      </c>
      <c r="F36" s="4">
        <v>83</v>
      </c>
      <c r="G36" s="4">
        <v>1</v>
      </c>
      <c r="H36" s="9">
        <f t="shared" si="1"/>
        <v>169</v>
      </c>
      <c r="I36" s="16">
        <f t="shared" si="2"/>
        <v>216</v>
      </c>
    </row>
    <row r="37" spans="1:9" x14ac:dyDescent="0.25">
      <c r="A37" s="13" t="s">
        <v>35</v>
      </c>
      <c r="B37" s="8">
        <v>252</v>
      </c>
      <c r="C37" s="4">
        <v>12</v>
      </c>
      <c r="D37" s="6">
        <f t="shared" si="0"/>
        <v>264</v>
      </c>
      <c r="E37" s="8">
        <v>16</v>
      </c>
      <c r="F37" s="4">
        <v>1</v>
      </c>
      <c r="G37" s="4">
        <v>0</v>
      </c>
      <c r="H37" s="9">
        <f t="shared" si="1"/>
        <v>17</v>
      </c>
      <c r="I37" s="16">
        <f t="shared" si="2"/>
        <v>281</v>
      </c>
    </row>
    <row r="38" spans="1:9" x14ac:dyDescent="0.25">
      <c r="A38" s="13" t="s">
        <v>36</v>
      </c>
      <c r="B38" s="8">
        <v>225</v>
      </c>
      <c r="C38" s="4">
        <v>1</v>
      </c>
      <c r="D38" s="6">
        <f t="shared" si="0"/>
        <v>226</v>
      </c>
      <c r="E38" s="8">
        <v>76</v>
      </c>
      <c r="F38" s="4">
        <v>17</v>
      </c>
      <c r="G38" s="4">
        <v>0</v>
      </c>
      <c r="H38" s="9">
        <f t="shared" si="1"/>
        <v>93</v>
      </c>
      <c r="I38" s="16">
        <f t="shared" si="2"/>
        <v>319</v>
      </c>
    </row>
    <row r="39" spans="1:9" x14ac:dyDescent="0.25">
      <c r="A39" s="13" t="s">
        <v>37</v>
      </c>
      <c r="B39" s="8">
        <v>1</v>
      </c>
      <c r="C39" s="4">
        <v>0</v>
      </c>
      <c r="D39" s="6">
        <f t="shared" si="0"/>
        <v>1</v>
      </c>
      <c r="E39" s="8">
        <v>28</v>
      </c>
      <c r="F39" s="4">
        <v>21</v>
      </c>
      <c r="G39" s="4">
        <v>0</v>
      </c>
      <c r="H39" s="9">
        <f t="shared" si="1"/>
        <v>49</v>
      </c>
      <c r="I39" s="16">
        <f t="shared" si="2"/>
        <v>50</v>
      </c>
    </row>
    <row r="40" spans="1:9" x14ac:dyDescent="0.25">
      <c r="A40" s="13" t="s">
        <v>38</v>
      </c>
      <c r="B40" s="8">
        <v>154</v>
      </c>
      <c r="C40" s="4">
        <v>0</v>
      </c>
      <c r="D40" s="6">
        <f t="shared" si="0"/>
        <v>154</v>
      </c>
      <c r="E40" s="8">
        <v>0</v>
      </c>
      <c r="F40" s="4">
        <v>0</v>
      </c>
      <c r="G40" s="4">
        <v>0</v>
      </c>
      <c r="H40" s="9">
        <f t="shared" si="1"/>
        <v>0</v>
      </c>
      <c r="I40" s="16">
        <f t="shared" si="2"/>
        <v>154</v>
      </c>
    </row>
    <row r="41" spans="1:9" x14ac:dyDescent="0.25">
      <c r="A41" s="13" t="s">
        <v>39</v>
      </c>
      <c r="B41" s="8">
        <v>79</v>
      </c>
      <c r="C41" s="4">
        <v>0</v>
      </c>
      <c r="D41" s="6">
        <f t="shared" si="0"/>
        <v>79</v>
      </c>
      <c r="E41" s="8">
        <v>25</v>
      </c>
      <c r="F41" s="4">
        <v>12</v>
      </c>
      <c r="G41" s="4">
        <v>0</v>
      </c>
      <c r="H41" s="9">
        <f t="shared" si="1"/>
        <v>37</v>
      </c>
      <c r="I41" s="16">
        <f t="shared" si="2"/>
        <v>116</v>
      </c>
    </row>
    <row r="42" spans="1:9" x14ac:dyDescent="0.25">
      <c r="A42" s="13" t="s">
        <v>40</v>
      </c>
      <c r="B42" s="8">
        <v>155</v>
      </c>
      <c r="C42" s="4">
        <v>1</v>
      </c>
      <c r="D42" s="6">
        <f t="shared" si="0"/>
        <v>156</v>
      </c>
      <c r="E42" s="8">
        <v>42</v>
      </c>
      <c r="F42" s="4">
        <v>15</v>
      </c>
      <c r="G42" s="4">
        <v>0</v>
      </c>
      <c r="H42" s="9">
        <f t="shared" si="1"/>
        <v>57</v>
      </c>
      <c r="I42" s="16">
        <f t="shared" si="2"/>
        <v>213</v>
      </c>
    </row>
    <row r="43" spans="1:9" x14ac:dyDescent="0.25">
      <c r="A43" s="13" t="s">
        <v>41</v>
      </c>
      <c r="B43" s="8">
        <v>274</v>
      </c>
      <c r="C43" s="4">
        <v>2</v>
      </c>
      <c r="D43" s="6">
        <f t="shared" si="0"/>
        <v>276</v>
      </c>
      <c r="E43" s="8">
        <v>41</v>
      </c>
      <c r="F43" s="4">
        <v>9</v>
      </c>
      <c r="G43" s="4">
        <v>1</v>
      </c>
      <c r="H43" s="9">
        <f t="shared" si="1"/>
        <v>51</v>
      </c>
      <c r="I43" s="16">
        <f t="shared" si="2"/>
        <v>327</v>
      </c>
    </row>
    <row r="44" spans="1:9" x14ac:dyDescent="0.25">
      <c r="A44" s="13" t="s">
        <v>42</v>
      </c>
      <c r="B44" s="8">
        <v>0</v>
      </c>
      <c r="C44" s="4">
        <v>0</v>
      </c>
      <c r="D44" s="6">
        <f t="shared" si="0"/>
        <v>0</v>
      </c>
      <c r="E44" s="8">
        <v>43</v>
      </c>
      <c r="F44" s="4">
        <v>3</v>
      </c>
      <c r="G44" s="4">
        <v>0</v>
      </c>
      <c r="H44" s="9">
        <f t="shared" si="1"/>
        <v>46</v>
      </c>
      <c r="I44" s="16">
        <f t="shared" si="2"/>
        <v>46</v>
      </c>
    </row>
    <row r="45" spans="1:9" x14ac:dyDescent="0.25">
      <c r="A45" s="13" t="s">
        <v>43</v>
      </c>
      <c r="B45" s="8">
        <v>372</v>
      </c>
      <c r="C45" s="4">
        <v>9</v>
      </c>
      <c r="D45" s="6">
        <f t="shared" si="0"/>
        <v>381</v>
      </c>
      <c r="E45" s="8">
        <v>92</v>
      </c>
      <c r="F45" s="4">
        <v>13</v>
      </c>
      <c r="G45" s="4">
        <v>2</v>
      </c>
      <c r="H45" s="9">
        <f t="shared" si="1"/>
        <v>107</v>
      </c>
      <c r="I45" s="16">
        <f t="shared" si="2"/>
        <v>488</v>
      </c>
    </row>
    <row r="46" spans="1:9" x14ac:dyDescent="0.25">
      <c r="A46" s="13" t="s">
        <v>44</v>
      </c>
      <c r="B46" s="8">
        <v>201</v>
      </c>
      <c r="C46" s="4">
        <v>0</v>
      </c>
      <c r="D46" s="6">
        <f t="shared" si="0"/>
        <v>201</v>
      </c>
      <c r="E46" s="8">
        <v>63</v>
      </c>
      <c r="F46" s="4">
        <v>22</v>
      </c>
      <c r="G46" s="4">
        <v>0</v>
      </c>
      <c r="H46" s="9">
        <f t="shared" si="1"/>
        <v>85</v>
      </c>
      <c r="I46" s="16">
        <f t="shared" si="2"/>
        <v>286</v>
      </c>
    </row>
    <row r="47" spans="1:9" x14ac:dyDescent="0.25">
      <c r="A47" s="13" t="s">
        <v>45</v>
      </c>
      <c r="B47" s="8">
        <v>330</v>
      </c>
      <c r="C47" s="4">
        <v>2</v>
      </c>
      <c r="D47" s="6">
        <f t="shared" si="0"/>
        <v>332</v>
      </c>
      <c r="E47" s="8">
        <v>188</v>
      </c>
      <c r="F47" s="4">
        <v>52</v>
      </c>
      <c r="G47" s="4">
        <v>1</v>
      </c>
      <c r="H47" s="9">
        <f t="shared" si="1"/>
        <v>241</v>
      </c>
      <c r="I47" s="16">
        <f t="shared" si="2"/>
        <v>573</v>
      </c>
    </row>
    <row r="48" spans="1:9" x14ac:dyDescent="0.25">
      <c r="A48" s="13" t="s">
        <v>46</v>
      </c>
      <c r="B48" s="8">
        <v>87</v>
      </c>
      <c r="C48" s="4">
        <v>9</v>
      </c>
      <c r="D48" s="6">
        <f t="shared" si="0"/>
        <v>96</v>
      </c>
      <c r="E48" s="8">
        <v>4</v>
      </c>
      <c r="F48" s="4">
        <v>2</v>
      </c>
      <c r="G48" s="4">
        <v>0</v>
      </c>
      <c r="H48" s="9">
        <f t="shared" si="1"/>
        <v>6</v>
      </c>
      <c r="I48" s="16">
        <f t="shared" si="2"/>
        <v>102</v>
      </c>
    </row>
    <row r="49" spans="1:9" x14ac:dyDescent="0.25">
      <c r="A49" s="13" t="s">
        <v>47</v>
      </c>
      <c r="B49" s="8">
        <v>52</v>
      </c>
      <c r="C49" s="4">
        <v>3</v>
      </c>
      <c r="D49" s="6">
        <f t="shared" si="0"/>
        <v>55</v>
      </c>
      <c r="E49" s="8">
        <v>0</v>
      </c>
      <c r="F49" s="4">
        <v>0</v>
      </c>
      <c r="G49" s="4">
        <v>0</v>
      </c>
      <c r="H49" s="9">
        <f t="shared" si="1"/>
        <v>0</v>
      </c>
      <c r="I49" s="16">
        <f t="shared" si="2"/>
        <v>55</v>
      </c>
    </row>
    <row r="50" spans="1:9" x14ac:dyDescent="0.25">
      <c r="A50" s="13" t="s">
        <v>48</v>
      </c>
      <c r="B50" s="8">
        <v>0</v>
      </c>
      <c r="C50" s="4">
        <v>0</v>
      </c>
      <c r="D50" s="6">
        <f t="shared" si="0"/>
        <v>0</v>
      </c>
      <c r="E50" s="8">
        <v>30</v>
      </c>
      <c r="F50" s="4">
        <v>9</v>
      </c>
      <c r="G50" s="4">
        <v>0</v>
      </c>
      <c r="H50" s="9">
        <f t="shared" si="1"/>
        <v>39</v>
      </c>
      <c r="I50" s="16">
        <f t="shared" si="2"/>
        <v>39</v>
      </c>
    </row>
    <row r="51" spans="1:9" x14ac:dyDescent="0.25">
      <c r="A51" s="13" t="s">
        <v>49</v>
      </c>
      <c r="B51" s="8">
        <v>73</v>
      </c>
      <c r="C51" s="4">
        <v>0</v>
      </c>
      <c r="D51" s="6">
        <f t="shared" si="0"/>
        <v>73</v>
      </c>
      <c r="E51" s="8">
        <v>1</v>
      </c>
      <c r="F51" s="4">
        <v>6</v>
      </c>
      <c r="G51" s="4">
        <v>0</v>
      </c>
      <c r="H51" s="9">
        <f t="shared" si="1"/>
        <v>7</v>
      </c>
      <c r="I51" s="16">
        <f t="shared" si="2"/>
        <v>80</v>
      </c>
    </row>
    <row r="52" spans="1:9" x14ac:dyDescent="0.25">
      <c r="A52" s="13" t="s">
        <v>50</v>
      </c>
      <c r="B52" s="8">
        <v>51</v>
      </c>
      <c r="C52" s="4">
        <v>2</v>
      </c>
      <c r="D52" s="6">
        <f t="shared" si="0"/>
        <v>53</v>
      </c>
      <c r="E52" s="8">
        <v>18</v>
      </c>
      <c r="F52" s="4">
        <v>7</v>
      </c>
      <c r="G52" s="4">
        <v>0</v>
      </c>
      <c r="H52" s="9">
        <f t="shared" si="1"/>
        <v>25</v>
      </c>
      <c r="I52" s="16">
        <f t="shared" si="2"/>
        <v>78</v>
      </c>
    </row>
    <row r="53" spans="1:9" x14ac:dyDescent="0.25">
      <c r="A53" s="13" t="s">
        <v>51</v>
      </c>
      <c r="B53" s="8">
        <v>1</v>
      </c>
      <c r="C53" s="4">
        <v>0</v>
      </c>
      <c r="D53" s="6">
        <f t="shared" si="0"/>
        <v>1</v>
      </c>
      <c r="E53" s="8">
        <v>0</v>
      </c>
      <c r="F53" s="4">
        <v>0</v>
      </c>
      <c r="G53" s="4">
        <v>0</v>
      </c>
      <c r="H53" s="9">
        <f t="shared" si="1"/>
        <v>0</v>
      </c>
      <c r="I53" s="16">
        <f t="shared" si="2"/>
        <v>1</v>
      </c>
    </row>
    <row r="54" spans="1:9" x14ac:dyDescent="0.25">
      <c r="A54" s="13" t="s">
        <v>52</v>
      </c>
      <c r="B54" s="8">
        <v>9</v>
      </c>
      <c r="C54" s="4">
        <v>0</v>
      </c>
      <c r="D54" s="6">
        <f t="shared" si="0"/>
        <v>9</v>
      </c>
      <c r="E54" s="8">
        <v>18</v>
      </c>
      <c r="F54" s="4">
        <v>2</v>
      </c>
      <c r="G54" s="4">
        <v>0</v>
      </c>
      <c r="H54" s="9">
        <f t="shared" si="1"/>
        <v>20</v>
      </c>
      <c r="I54" s="16">
        <f t="shared" si="2"/>
        <v>29</v>
      </c>
    </row>
    <row r="55" spans="1:9" x14ac:dyDescent="0.25">
      <c r="A55" s="13" t="s">
        <v>53</v>
      </c>
      <c r="B55" s="8">
        <v>423</v>
      </c>
      <c r="C55" s="4">
        <v>11</v>
      </c>
      <c r="D55" s="6">
        <f t="shared" si="0"/>
        <v>434</v>
      </c>
      <c r="E55" s="8">
        <v>0</v>
      </c>
      <c r="F55" s="4">
        <v>0</v>
      </c>
      <c r="G55" s="4">
        <v>0</v>
      </c>
      <c r="H55" s="9">
        <f t="shared" si="1"/>
        <v>0</v>
      </c>
      <c r="I55" s="16">
        <f t="shared" si="2"/>
        <v>434</v>
      </c>
    </row>
    <row r="56" spans="1:9" x14ac:dyDescent="0.25">
      <c r="A56" s="13" t="s">
        <v>54</v>
      </c>
      <c r="B56" s="8">
        <v>665</v>
      </c>
      <c r="C56" s="4">
        <v>14</v>
      </c>
      <c r="D56" s="6">
        <f t="shared" si="0"/>
        <v>679</v>
      </c>
      <c r="E56" s="8">
        <v>0</v>
      </c>
      <c r="F56" s="4">
        <v>0</v>
      </c>
      <c r="G56" s="4">
        <v>0</v>
      </c>
      <c r="H56" s="9">
        <f t="shared" si="1"/>
        <v>0</v>
      </c>
      <c r="I56" s="16">
        <f t="shared" si="2"/>
        <v>679</v>
      </c>
    </row>
    <row r="57" spans="1:9" x14ac:dyDescent="0.25">
      <c r="A57" s="13" t="s">
        <v>55</v>
      </c>
      <c r="B57" s="8">
        <v>0</v>
      </c>
      <c r="C57" s="4">
        <v>0</v>
      </c>
      <c r="D57" s="6">
        <f t="shared" si="0"/>
        <v>0</v>
      </c>
      <c r="E57" s="8">
        <v>4</v>
      </c>
      <c r="F57" s="4">
        <v>3</v>
      </c>
      <c r="G57" s="4">
        <v>0</v>
      </c>
      <c r="H57" s="9">
        <f t="shared" si="1"/>
        <v>7</v>
      </c>
      <c r="I57" s="16">
        <f t="shared" si="2"/>
        <v>7</v>
      </c>
    </row>
    <row r="58" spans="1:9" x14ac:dyDescent="0.25">
      <c r="A58" s="13" t="s">
        <v>56</v>
      </c>
      <c r="B58" s="8">
        <v>0</v>
      </c>
      <c r="C58" s="4">
        <v>0</v>
      </c>
      <c r="D58" s="6">
        <f t="shared" si="0"/>
        <v>0</v>
      </c>
      <c r="E58" s="8">
        <v>8</v>
      </c>
      <c r="F58" s="4">
        <v>8</v>
      </c>
      <c r="G58" s="4">
        <v>2</v>
      </c>
      <c r="H58" s="9">
        <f t="shared" si="1"/>
        <v>18</v>
      </c>
      <c r="I58" s="16">
        <f t="shared" si="2"/>
        <v>18</v>
      </c>
    </row>
    <row r="59" spans="1:9" x14ac:dyDescent="0.25">
      <c r="A59" s="13" t="s">
        <v>57</v>
      </c>
      <c r="B59" s="8">
        <v>0</v>
      </c>
      <c r="C59" s="4">
        <v>0</v>
      </c>
      <c r="D59" s="6">
        <f t="shared" si="0"/>
        <v>0</v>
      </c>
      <c r="E59" s="8">
        <v>3</v>
      </c>
      <c r="F59" s="4">
        <v>11</v>
      </c>
      <c r="G59" s="4">
        <v>0</v>
      </c>
      <c r="H59" s="9">
        <f t="shared" si="1"/>
        <v>14</v>
      </c>
      <c r="I59" s="16">
        <f t="shared" si="2"/>
        <v>14</v>
      </c>
    </row>
    <row r="60" spans="1:9" x14ac:dyDescent="0.25">
      <c r="A60" s="13" t="s">
        <v>58</v>
      </c>
      <c r="B60" s="8">
        <v>0</v>
      </c>
      <c r="C60" s="4">
        <v>0</v>
      </c>
      <c r="D60" s="6">
        <f t="shared" si="0"/>
        <v>0</v>
      </c>
      <c r="E60" s="8">
        <v>0</v>
      </c>
      <c r="F60" s="4">
        <v>3</v>
      </c>
      <c r="G60" s="4">
        <v>0</v>
      </c>
      <c r="H60" s="9">
        <f t="shared" si="1"/>
        <v>3</v>
      </c>
      <c r="I60" s="16">
        <f t="shared" si="2"/>
        <v>3</v>
      </c>
    </row>
    <row r="61" spans="1:9" x14ac:dyDescent="0.25">
      <c r="A61" s="13" t="s">
        <v>59</v>
      </c>
      <c r="B61" s="8">
        <v>34</v>
      </c>
      <c r="C61" s="4">
        <v>0</v>
      </c>
      <c r="D61" s="6">
        <f t="shared" si="0"/>
        <v>34</v>
      </c>
      <c r="E61" s="8">
        <v>9</v>
      </c>
      <c r="F61" s="4">
        <v>15</v>
      </c>
      <c r="G61" s="4">
        <v>0</v>
      </c>
      <c r="H61" s="9">
        <f t="shared" si="1"/>
        <v>24</v>
      </c>
      <c r="I61" s="16">
        <f t="shared" si="2"/>
        <v>58</v>
      </c>
    </row>
    <row r="62" spans="1:9" x14ac:dyDescent="0.25">
      <c r="A62" s="13" t="s">
        <v>60</v>
      </c>
      <c r="B62" s="8">
        <v>0</v>
      </c>
      <c r="C62" s="4">
        <v>0</v>
      </c>
      <c r="D62" s="6">
        <f t="shared" si="0"/>
        <v>0</v>
      </c>
      <c r="E62" s="8">
        <v>14</v>
      </c>
      <c r="F62" s="4">
        <v>27</v>
      </c>
      <c r="G62" s="4">
        <v>0</v>
      </c>
      <c r="H62" s="9">
        <f t="shared" si="1"/>
        <v>41</v>
      </c>
      <c r="I62" s="16">
        <f t="shared" si="2"/>
        <v>41</v>
      </c>
    </row>
    <row r="63" spans="1:9" x14ac:dyDescent="0.25">
      <c r="A63" s="13" t="s">
        <v>61</v>
      </c>
      <c r="B63" s="8">
        <v>0</v>
      </c>
      <c r="C63" s="4">
        <v>0</v>
      </c>
      <c r="D63" s="6">
        <f t="shared" si="0"/>
        <v>0</v>
      </c>
      <c r="E63" s="8">
        <v>19</v>
      </c>
      <c r="F63" s="4">
        <v>13</v>
      </c>
      <c r="G63" s="4">
        <v>0</v>
      </c>
      <c r="H63" s="9">
        <f t="shared" si="1"/>
        <v>32</v>
      </c>
      <c r="I63" s="16">
        <f t="shared" si="2"/>
        <v>32</v>
      </c>
    </row>
    <row r="64" spans="1:9" x14ac:dyDescent="0.25">
      <c r="A64" s="13" t="s">
        <v>62</v>
      </c>
      <c r="B64" s="8">
        <v>0</v>
      </c>
      <c r="C64" s="4">
        <v>0</v>
      </c>
      <c r="D64" s="6">
        <f t="shared" si="0"/>
        <v>0</v>
      </c>
      <c r="E64" s="8">
        <v>17</v>
      </c>
      <c r="F64" s="4">
        <v>30</v>
      </c>
      <c r="G64" s="4">
        <v>0</v>
      </c>
      <c r="H64" s="9">
        <f t="shared" si="1"/>
        <v>47</v>
      </c>
      <c r="I64" s="16">
        <f t="shared" si="2"/>
        <v>47</v>
      </c>
    </row>
    <row r="65" spans="1:9" x14ac:dyDescent="0.25">
      <c r="A65" s="13" t="s">
        <v>63</v>
      </c>
      <c r="B65" s="8">
        <v>0</v>
      </c>
      <c r="C65" s="4">
        <v>0</v>
      </c>
      <c r="D65" s="6">
        <f t="shared" si="0"/>
        <v>0</v>
      </c>
      <c r="E65" s="8">
        <v>0</v>
      </c>
      <c r="F65" s="4">
        <v>2</v>
      </c>
      <c r="G65" s="4">
        <v>0</v>
      </c>
      <c r="H65" s="9">
        <f t="shared" si="1"/>
        <v>2</v>
      </c>
      <c r="I65" s="16">
        <f t="shared" si="2"/>
        <v>2</v>
      </c>
    </row>
    <row r="66" spans="1:9" x14ac:dyDescent="0.25">
      <c r="A66" s="13" t="s">
        <v>64</v>
      </c>
      <c r="B66" s="8">
        <v>0</v>
      </c>
      <c r="C66" s="4">
        <v>0</v>
      </c>
      <c r="D66" s="6">
        <f t="shared" si="0"/>
        <v>0</v>
      </c>
      <c r="E66" s="8">
        <v>4</v>
      </c>
      <c r="F66" s="4">
        <v>3</v>
      </c>
      <c r="G66" s="4">
        <v>0</v>
      </c>
      <c r="H66" s="9">
        <f t="shared" si="1"/>
        <v>7</v>
      </c>
      <c r="I66" s="16">
        <f t="shared" si="2"/>
        <v>7</v>
      </c>
    </row>
    <row r="67" spans="1:9" x14ac:dyDescent="0.25">
      <c r="A67" s="13" t="s">
        <v>65</v>
      </c>
      <c r="B67" s="8">
        <v>0</v>
      </c>
      <c r="C67" s="4">
        <v>0</v>
      </c>
      <c r="D67" s="6">
        <f t="shared" si="0"/>
        <v>0</v>
      </c>
      <c r="E67" s="8">
        <v>2</v>
      </c>
      <c r="F67" s="4">
        <v>2</v>
      </c>
      <c r="G67" s="4">
        <v>0</v>
      </c>
      <c r="H67" s="9">
        <f t="shared" si="1"/>
        <v>4</v>
      </c>
      <c r="I67" s="16">
        <f t="shared" si="2"/>
        <v>4</v>
      </c>
    </row>
    <row r="68" spans="1:9" x14ac:dyDescent="0.25">
      <c r="A68" s="13" t="s">
        <v>66</v>
      </c>
      <c r="B68" s="8">
        <v>0</v>
      </c>
      <c r="C68" s="4">
        <v>0</v>
      </c>
      <c r="D68" s="6">
        <f t="shared" si="0"/>
        <v>0</v>
      </c>
      <c r="E68" s="8">
        <v>5</v>
      </c>
      <c r="F68" s="4">
        <v>22</v>
      </c>
      <c r="G68" s="4">
        <v>0</v>
      </c>
      <c r="H68" s="9">
        <f t="shared" si="1"/>
        <v>27</v>
      </c>
      <c r="I68" s="16">
        <f t="shared" si="2"/>
        <v>27</v>
      </c>
    </row>
    <row r="69" spans="1:9" x14ac:dyDescent="0.25">
      <c r="A69" s="13" t="s">
        <v>67</v>
      </c>
      <c r="B69" s="8">
        <v>11</v>
      </c>
      <c r="C69" s="4">
        <v>0</v>
      </c>
      <c r="D69" s="6">
        <f t="shared" si="0"/>
        <v>11</v>
      </c>
      <c r="E69" s="8">
        <v>10</v>
      </c>
      <c r="F69" s="4">
        <v>6</v>
      </c>
      <c r="G69" s="4">
        <v>0</v>
      </c>
      <c r="H69" s="9">
        <f t="shared" si="1"/>
        <v>16</v>
      </c>
      <c r="I69" s="16">
        <f t="shared" si="2"/>
        <v>27</v>
      </c>
    </row>
    <row r="70" spans="1:9" x14ac:dyDescent="0.25">
      <c r="A70" s="13" t="s">
        <v>68</v>
      </c>
      <c r="B70" s="8">
        <v>0</v>
      </c>
      <c r="C70" s="4">
        <v>0</v>
      </c>
      <c r="D70" s="6">
        <f t="shared" si="0"/>
        <v>0</v>
      </c>
      <c r="E70" s="8">
        <v>2</v>
      </c>
      <c r="F70" s="4">
        <v>2</v>
      </c>
      <c r="G70" s="4">
        <v>0</v>
      </c>
      <c r="H70" s="9">
        <f t="shared" si="1"/>
        <v>4</v>
      </c>
      <c r="I70" s="16">
        <f t="shared" si="2"/>
        <v>4</v>
      </c>
    </row>
    <row r="71" spans="1:9" x14ac:dyDescent="0.25">
      <c r="A71" s="13" t="s">
        <v>69</v>
      </c>
      <c r="B71" s="8">
        <v>0</v>
      </c>
      <c r="C71" s="4">
        <v>0</v>
      </c>
      <c r="D71" s="6">
        <f t="shared" si="0"/>
        <v>0</v>
      </c>
      <c r="E71" s="8">
        <v>1</v>
      </c>
      <c r="F71" s="4">
        <v>1</v>
      </c>
      <c r="G71" s="4">
        <v>0</v>
      </c>
      <c r="H71" s="9">
        <f t="shared" si="1"/>
        <v>2</v>
      </c>
      <c r="I71" s="16">
        <f t="shared" si="2"/>
        <v>2</v>
      </c>
    </row>
    <row r="72" spans="1:9" x14ac:dyDescent="0.25">
      <c r="A72" s="13" t="s">
        <v>70</v>
      </c>
      <c r="B72" s="8">
        <v>1</v>
      </c>
      <c r="C72" s="4">
        <v>0</v>
      </c>
      <c r="D72" s="6">
        <f t="shared" si="0"/>
        <v>1</v>
      </c>
      <c r="E72" s="8">
        <v>10</v>
      </c>
      <c r="F72" s="4">
        <v>41</v>
      </c>
      <c r="G72" s="4">
        <v>0</v>
      </c>
      <c r="H72" s="9">
        <f t="shared" si="1"/>
        <v>51</v>
      </c>
      <c r="I72" s="16">
        <f t="shared" si="2"/>
        <v>52</v>
      </c>
    </row>
    <row r="73" spans="1:9" x14ac:dyDescent="0.25">
      <c r="A73" s="13" t="s">
        <v>71</v>
      </c>
      <c r="B73" s="8">
        <v>0</v>
      </c>
      <c r="C73" s="4">
        <v>0</v>
      </c>
      <c r="D73" s="6">
        <f t="shared" ref="D73:D77" si="3">SUM(B73:C73)</f>
        <v>0</v>
      </c>
      <c r="E73" s="8">
        <v>1</v>
      </c>
      <c r="F73" s="4">
        <v>1</v>
      </c>
      <c r="G73" s="4">
        <v>0</v>
      </c>
      <c r="H73" s="9">
        <f t="shared" ref="H73:H77" si="4">SUM(E73:G73)</f>
        <v>2</v>
      </c>
      <c r="I73" s="16">
        <f t="shared" ref="I73:I77" si="5">D73+H73</f>
        <v>2</v>
      </c>
    </row>
    <row r="74" spans="1:9" x14ac:dyDescent="0.25">
      <c r="A74" s="13" t="s">
        <v>72</v>
      </c>
      <c r="B74" s="8">
        <v>9</v>
      </c>
      <c r="C74" s="4">
        <v>0</v>
      </c>
      <c r="D74" s="6">
        <f t="shared" si="3"/>
        <v>9</v>
      </c>
      <c r="E74" s="8">
        <v>9</v>
      </c>
      <c r="F74" s="4">
        <v>11</v>
      </c>
      <c r="G74" s="4">
        <v>0</v>
      </c>
      <c r="H74" s="9">
        <f t="shared" si="4"/>
        <v>20</v>
      </c>
      <c r="I74" s="16">
        <f t="shared" si="5"/>
        <v>29</v>
      </c>
    </row>
    <row r="75" spans="1:9" x14ac:dyDescent="0.25">
      <c r="A75" s="13" t="s">
        <v>73</v>
      </c>
      <c r="B75" s="8">
        <v>0</v>
      </c>
      <c r="C75" s="4">
        <v>0</v>
      </c>
      <c r="D75" s="6">
        <f t="shared" si="3"/>
        <v>0</v>
      </c>
      <c r="E75" s="8">
        <v>10</v>
      </c>
      <c r="F75" s="4">
        <v>31</v>
      </c>
      <c r="G75" s="4">
        <v>0</v>
      </c>
      <c r="H75" s="9">
        <f t="shared" si="4"/>
        <v>41</v>
      </c>
      <c r="I75" s="16">
        <f t="shared" si="5"/>
        <v>41</v>
      </c>
    </row>
    <row r="76" spans="1:9" x14ac:dyDescent="0.25">
      <c r="A76" s="13" t="s">
        <v>74</v>
      </c>
      <c r="B76" s="8">
        <v>0</v>
      </c>
      <c r="C76" s="4">
        <v>0</v>
      </c>
      <c r="D76" s="6">
        <f t="shared" si="3"/>
        <v>0</v>
      </c>
      <c r="E76" s="8">
        <v>2</v>
      </c>
      <c r="F76" s="4">
        <v>5</v>
      </c>
      <c r="G76" s="4">
        <v>0</v>
      </c>
      <c r="H76" s="9">
        <f t="shared" si="4"/>
        <v>7</v>
      </c>
      <c r="I76" s="16">
        <f t="shared" si="5"/>
        <v>7</v>
      </c>
    </row>
    <row r="77" spans="1:9" ht="15.75" thickBot="1" x14ac:dyDescent="0.3">
      <c r="A77" s="14" t="s">
        <v>75</v>
      </c>
      <c r="B77" s="10">
        <v>0</v>
      </c>
      <c r="C77" s="5">
        <v>0</v>
      </c>
      <c r="D77" s="7">
        <f t="shared" si="3"/>
        <v>0</v>
      </c>
      <c r="E77" s="10">
        <v>45</v>
      </c>
      <c r="F77" s="5">
        <v>22</v>
      </c>
      <c r="G77" s="5">
        <v>1</v>
      </c>
      <c r="H77" s="11">
        <f t="shared" si="4"/>
        <v>68</v>
      </c>
      <c r="I77" s="17">
        <f t="shared" si="5"/>
        <v>68</v>
      </c>
    </row>
    <row r="78" spans="1:9" ht="16.5" thickTop="1" thickBot="1" x14ac:dyDescent="0.3">
      <c r="A78" s="15" t="s">
        <v>0</v>
      </c>
      <c r="B78" s="12">
        <f>SUM(B8:B77)</f>
        <v>9074</v>
      </c>
      <c r="C78" s="12">
        <f t="shared" ref="C78:I78" si="6">SUM(C8:C77)</f>
        <v>143</v>
      </c>
      <c r="D78" s="15">
        <f t="shared" si="6"/>
        <v>9217</v>
      </c>
      <c r="E78" s="12">
        <f t="shared" si="6"/>
        <v>3041</v>
      </c>
      <c r="F78" s="12">
        <f t="shared" si="6"/>
        <v>1180</v>
      </c>
      <c r="G78" s="12">
        <f t="shared" si="6"/>
        <v>49</v>
      </c>
      <c r="H78" s="18">
        <f t="shared" si="6"/>
        <v>4270</v>
      </c>
      <c r="I78" s="18">
        <f t="shared" si="6"/>
        <v>13487</v>
      </c>
    </row>
    <row r="83" spans="1:9" x14ac:dyDescent="0.25">
      <c r="A83" s="33" t="s">
        <v>88</v>
      </c>
      <c r="B83" s="33"/>
      <c r="C83" s="33"/>
      <c r="D83" s="33"/>
      <c r="E83" s="33"/>
      <c r="F83" s="33"/>
      <c r="G83" s="33"/>
      <c r="H83" s="33"/>
      <c r="I83" s="33"/>
    </row>
    <row r="84" spans="1:9" x14ac:dyDescent="0.25">
      <c r="A84" s="33"/>
      <c r="B84" s="33"/>
      <c r="C84" s="33"/>
      <c r="D84" s="33"/>
      <c r="E84" s="33"/>
      <c r="F84" s="33"/>
      <c r="G84" s="33"/>
      <c r="H84" s="33"/>
      <c r="I84" s="33"/>
    </row>
  </sheetData>
  <mergeCells count="13">
    <mergeCell ref="A83:I84"/>
    <mergeCell ref="A2:I2"/>
    <mergeCell ref="I5:I7"/>
    <mergeCell ref="E5:H5"/>
    <mergeCell ref="B5:D5"/>
    <mergeCell ref="A5:A7"/>
    <mergeCell ref="B6:B7"/>
    <mergeCell ref="C6:C7"/>
    <mergeCell ref="D6:D7"/>
    <mergeCell ref="E6:E7"/>
    <mergeCell ref="F6:F7"/>
    <mergeCell ref="G6:G7"/>
    <mergeCell ref="H6:H7"/>
  </mergeCells>
  <pageMargins left="0.7" right="0.7" top="0.75" bottom="0.75" header="0.3" footer="0.3"/>
  <pageSetup paperSize="9" orientation="portrait" r:id="rId1"/>
  <headerFooter>
    <oddHeader>&amp;CUCL Student Data Statistics</oddHeader>
    <oddFooter>&amp;L&amp;F - &amp;A&amp;RPage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</vt:i4>
      </vt:variant>
    </vt:vector>
  </HeadingPairs>
  <TitlesOfParts>
    <vt:vector size="18" baseType="lpstr">
      <vt:lpstr>2011-12</vt:lpstr>
      <vt:lpstr>2010-11</vt:lpstr>
      <vt:lpstr>2009-10</vt:lpstr>
      <vt:lpstr>2008-09</vt:lpstr>
      <vt:lpstr>2007-08</vt:lpstr>
      <vt:lpstr>2006-07</vt:lpstr>
      <vt:lpstr>2005-06</vt:lpstr>
      <vt:lpstr>2004-05</vt:lpstr>
      <vt:lpstr>2003-04</vt:lpstr>
      <vt:lpstr>2002-03</vt:lpstr>
      <vt:lpstr>2001-02</vt:lpstr>
      <vt:lpstr>2000-01</vt:lpstr>
      <vt:lpstr>1999-00</vt:lpstr>
      <vt:lpstr>1998-99</vt:lpstr>
      <vt:lpstr>1997-98</vt:lpstr>
      <vt:lpstr>1996-97</vt:lpstr>
      <vt:lpstr>1995-96</vt:lpstr>
      <vt:lpstr>'1995-96'!Print_Titles</vt:lpstr>
    </vt:vector>
  </TitlesOfParts>
  <Company>University College London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Meaney</dc:creator>
  <cp:lastModifiedBy>Fiona Meaney</cp:lastModifiedBy>
  <cp:lastPrinted>2013-06-18T13:03:38Z</cp:lastPrinted>
  <dcterms:created xsi:type="dcterms:W3CDTF">2013-05-17T14:02:41Z</dcterms:created>
  <dcterms:modified xsi:type="dcterms:W3CDTF">2013-06-21T12:05:36Z</dcterms:modified>
</cp:coreProperties>
</file>