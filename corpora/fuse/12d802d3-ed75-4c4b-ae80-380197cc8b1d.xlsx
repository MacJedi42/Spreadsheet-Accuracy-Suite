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10" i="1" l="1"/>
  <c r="E10" i="1"/>
  <c r="F10" i="1" l="1"/>
  <c r="F11" i="1"/>
  <c r="F9" i="1"/>
  <c r="G5" i="1"/>
  <c r="G6" i="1"/>
  <c r="G7" i="1"/>
  <c r="G8" i="1"/>
  <c r="G4" i="1"/>
  <c r="F3" i="1"/>
  <c r="F2" i="1"/>
  <c r="F8" i="1" l="1"/>
  <c r="E8" i="1"/>
  <c r="D8" i="1"/>
  <c r="C8" i="1"/>
  <c r="H7" i="1"/>
  <c r="F7" i="1"/>
  <c r="D7" i="1"/>
  <c r="E7" i="1"/>
  <c r="C7" i="1"/>
  <c r="H6" i="1"/>
  <c r="H5" i="1"/>
  <c r="H4" i="1"/>
  <c r="H3" i="1"/>
  <c r="H8" i="1"/>
  <c r="H9" i="1"/>
  <c r="H10" i="1"/>
  <c r="H11" i="1"/>
  <c r="H2" i="1"/>
  <c r="G11" i="1"/>
  <c r="G10" i="1"/>
  <c r="G9" i="1"/>
  <c r="F5" i="1"/>
  <c r="F6" i="1"/>
  <c r="F4" i="1"/>
  <c r="G3" i="1"/>
  <c r="G2" i="1"/>
  <c r="E11" i="1"/>
  <c r="E9" i="1"/>
  <c r="E6" i="1"/>
  <c r="E5" i="1"/>
  <c r="E4" i="1"/>
  <c r="E3" i="1"/>
  <c r="E2" i="1"/>
  <c r="D11" i="1"/>
  <c r="D9" i="1"/>
  <c r="D6" i="1"/>
  <c r="D5" i="1"/>
  <c r="D4" i="1"/>
  <c r="D3" i="1"/>
  <c r="D2" i="1"/>
  <c r="C11" i="1"/>
  <c r="C10" i="1"/>
  <c r="C9" i="1"/>
  <c r="C6" i="1"/>
  <c r="C5" i="1"/>
  <c r="C4" i="1"/>
  <c r="C3" i="1"/>
  <c r="C2" i="1"/>
  <c r="F12" i="1" l="1"/>
  <c r="D12" i="1"/>
  <c r="C12" i="1"/>
  <c r="H12" i="1"/>
  <c r="G12" i="1"/>
  <c r="E12" i="1"/>
</calcChain>
</file>

<file path=xl/sharedStrings.xml><?xml version="1.0" encoding="utf-8"?>
<sst xmlns="http://schemas.openxmlformats.org/spreadsheetml/2006/main" count="20" uniqueCount="20">
  <si>
    <t>Mix</t>
  </si>
  <si>
    <t>kcal</t>
  </si>
  <si>
    <t>Quantity</t>
  </si>
  <si>
    <t>Total:</t>
  </si>
  <si>
    <t>Gatorade/cup</t>
  </si>
  <si>
    <t>G2/cup</t>
  </si>
  <si>
    <t>Ceralyte 50/cup</t>
  </si>
  <si>
    <t>Ceralyte 70/cup</t>
  </si>
  <si>
    <t>Sugar/tsp</t>
  </si>
  <si>
    <t>Salt/tsp</t>
  </si>
  <si>
    <t>sodium (mEq)</t>
  </si>
  <si>
    <t>citrate</t>
  </si>
  <si>
    <t>Water</t>
  </si>
  <si>
    <t>Ceralyte 90/cup</t>
  </si>
  <si>
    <t>Drip Drop/cup</t>
  </si>
  <si>
    <t>Pedialyte/cup</t>
  </si>
  <si>
    <t>sodium (mg)</t>
  </si>
  <si>
    <t>potassium (mg)</t>
  </si>
  <si>
    <t>Created by Kendra Glassman, MS RD CNSC, July 2013</t>
  </si>
  <si>
    <t>potassium (mEq)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</si>
</sst>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workbookViewId="0">
      <selection activeCell="B11" sqref="B11"/>
    </sheetView>
  </sheetViews>
  <sheetFormatPr defaultRowHeight="15" x14ac:dyDescent="0.25"/>
  <cols>
    <col min="1" max="1" width="19" bestFit="1" customWidth="1"/>
    <col min="2" max="2" width="11.28515625" bestFit="1" customWidth="1"/>
    <col min="3" max="3" width="5.7109375" bestFit="1" customWidth="1"/>
    <col min="4" max="4" width="17" bestFit="1" customWidth="1"/>
    <col min="5" max="5" width="14.28515625" bestFit="1" customWidth="1"/>
    <col min="6" max="6" width="20.42578125" bestFit="1" customWidth="1"/>
    <col min="7" max="7" width="17.5703125" bestFit="1" customWidth="1"/>
    <col min="8" max="8" width="10.28515625" customWidth="1"/>
  </cols>
  <sheetData>
    <row r="1" spans="1:9" ht="18.75" x14ac:dyDescent="0.3">
      <c r="A1" s="1" t="s">
        <v>0</v>
      </c>
      <c r="B1" s="2" t="s">
        <v>2</v>
      </c>
      <c r="C1" s="2" t="s">
        <v>1</v>
      </c>
      <c r="D1" s="2" t="s">
        <v>10</v>
      </c>
      <c r="E1" s="2" t="s">
        <v>16</v>
      </c>
      <c r="F1" s="2" t="s">
        <v>19</v>
      </c>
      <c r="G1" s="2" t="s">
        <v>17</v>
      </c>
      <c r="H1" s="1" t="s">
        <v>11</v>
      </c>
      <c r="I1" s="4"/>
    </row>
    <row r="2" spans="1:9" ht="18.75" x14ac:dyDescent="0.3">
      <c r="A2" s="4" t="s">
        <v>4</v>
      </c>
      <c r="B2" s="5">
        <v>1</v>
      </c>
      <c r="C2" s="5">
        <f>B2*53</f>
        <v>53</v>
      </c>
      <c r="D2" s="5">
        <f>B2*4.7</f>
        <v>4.7</v>
      </c>
      <c r="E2" s="5">
        <f>B2*107</f>
        <v>107</v>
      </c>
      <c r="F2" s="5">
        <f>B2*0.77</f>
        <v>0.77</v>
      </c>
      <c r="G2" s="5">
        <f>B2*30</f>
        <v>30</v>
      </c>
      <c r="H2" s="5">
        <f>B2*0</f>
        <v>0</v>
      </c>
      <c r="I2" s="4"/>
    </row>
    <row r="3" spans="1:9" ht="18.75" x14ac:dyDescent="0.3">
      <c r="A3" s="4" t="s">
        <v>5</v>
      </c>
      <c r="B3" s="5">
        <v>1</v>
      </c>
      <c r="C3" s="5">
        <f>B3*20</f>
        <v>20</v>
      </c>
      <c r="D3" s="5">
        <f t="shared" ref="D3" si="0">B3*4.7</f>
        <v>4.7</v>
      </c>
      <c r="E3" s="5">
        <f t="shared" ref="E3" si="1">B3*107</f>
        <v>107</v>
      </c>
      <c r="F3" s="5">
        <f>B3*0.77</f>
        <v>0.77</v>
      </c>
      <c r="G3" s="5">
        <f t="shared" ref="G3" si="2">B3*30</f>
        <v>30</v>
      </c>
      <c r="H3" s="5">
        <f>B3*0</f>
        <v>0</v>
      </c>
      <c r="I3" s="4"/>
    </row>
    <row r="4" spans="1:9" ht="18.75" x14ac:dyDescent="0.3">
      <c r="A4" s="4" t="s">
        <v>6</v>
      </c>
      <c r="B4" s="5">
        <v>1</v>
      </c>
      <c r="C4" s="5">
        <f>B4*38</f>
        <v>38</v>
      </c>
      <c r="D4" s="5">
        <f>B4*12</f>
        <v>12</v>
      </c>
      <c r="E4" s="5">
        <f>B4*275</f>
        <v>275</v>
      </c>
      <c r="F4" s="5">
        <f>B4*4.7</f>
        <v>4.7</v>
      </c>
      <c r="G4" s="5">
        <f>B4*183.3</f>
        <v>183.3</v>
      </c>
      <c r="H4" s="5">
        <f>B4*7.2</f>
        <v>7.2</v>
      </c>
      <c r="I4" s="4"/>
    </row>
    <row r="5" spans="1:9" ht="18.75" x14ac:dyDescent="0.3">
      <c r="A5" s="4" t="s">
        <v>7</v>
      </c>
      <c r="B5" s="5">
        <v>1</v>
      </c>
      <c r="C5" s="5">
        <f>B5*38</f>
        <v>38</v>
      </c>
      <c r="D5" s="5">
        <f>B5*16.7</f>
        <v>16.7</v>
      </c>
      <c r="E5" s="5">
        <f>B5*385</f>
        <v>385</v>
      </c>
      <c r="F5" s="5">
        <f>B5*4.7</f>
        <v>4.7</v>
      </c>
      <c r="G5" s="5">
        <f t="shared" ref="G5:G8" si="3">B5*183.3</f>
        <v>183.3</v>
      </c>
      <c r="H5" s="5">
        <f>B5*7.2</f>
        <v>7.2</v>
      </c>
      <c r="I5" s="4"/>
    </row>
    <row r="6" spans="1:9" ht="18.75" x14ac:dyDescent="0.3">
      <c r="A6" s="4" t="s">
        <v>13</v>
      </c>
      <c r="B6" s="5">
        <v>1</v>
      </c>
      <c r="C6" s="5">
        <f>B6*38</f>
        <v>38</v>
      </c>
      <c r="D6" s="5">
        <f>B6*21.6</f>
        <v>21.6</v>
      </c>
      <c r="E6" s="5">
        <f>B6*497</f>
        <v>497</v>
      </c>
      <c r="F6" s="5">
        <f>B6*4.7</f>
        <v>4.7</v>
      </c>
      <c r="G6" s="5">
        <f t="shared" si="3"/>
        <v>183.3</v>
      </c>
      <c r="H6" s="5">
        <f>B6*7.2</f>
        <v>7.2</v>
      </c>
      <c r="I6" s="4"/>
    </row>
    <row r="7" spans="1:9" ht="18.75" x14ac:dyDescent="0.3">
      <c r="A7" s="4" t="s">
        <v>14</v>
      </c>
      <c r="B7" s="5">
        <v>1</v>
      </c>
      <c r="C7" s="5">
        <f>B7*30.7</f>
        <v>30.7</v>
      </c>
      <c r="D7" s="5">
        <f>B7*13.7</f>
        <v>13.7</v>
      </c>
      <c r="E7" s="5">
        <f>B7*314.8</f>
        <v>314.8</v>
      </c>
      <c r="F7" s="5">
        <f>B7*4.7</f>
        <v>4.7</v>
      </c>
      <c r="G7" s="5">
        <f t="shared" si="3"/>
        <v>183.3</v>
      </c>
      <c r="H7" s="5">
        <f>B7*37.9</f>
        <v>37.9</v>
      </c>
      <c r="I7" s="4"/>
    </row>
    <row r="8" spans="1:9" ht="18.75" x14ac:dyDescent="0.3">
      <c r="A8" s="4" t="s">
        <v>15</v>
      </c>
      <c r="B8" s="5">
        <v>1</v>
      </c>
      <c r="C8" s="5">
        <f>B8*23.7</f>
        <v>23.7</v>
      </c>
      <c r="D8" s="5">
        <f>B8*10.7</f>
        <v>10.7</v>
      </c>
      <c r="E8" s="5">
        <f>B8*245</f>
        <v>245</v>
      </c>
      <c r="F8" s="5">
        <f>B8*4.7</f>
        <v>4.7</v>
      </c>
      <c r="G8" s="5">
        <f t="shared" si="3"/>
        <v>183.3</v>
      </c>
      <c r="H8" s="5">
        <f>B8*0</f>
        <v>0</v>
      </c>
      <c r="I8" s="4"/>
    </row>
    <row r="9" spans="1:9" ht="18.75" x14ac:dyDescent="0.3">
      <c r="A9" s="4" t="s">
        <v>8</v>
      </c>
      <c r="B9" s="5">
        <v>1</v>
      </c>
      <c r="C9" s="5">
        <f>B9*15</f>
        <v>15</v>
      </c>
      <c r="D9" s="5">
        <f>B9*0</f>
        <v>0</v>
      </c>
      <c r="E9" s="5">
        <f>B9*0</f>
        <v>0</v>
      </c>
      <c r="F9" s="5">
        <f>B9*0</f>
        <v>0</v>
      </c>
      <c r="G9" s="5">
        <f>B9*0</f>
        <v>0</v>
      </c>
      <c r="H9" s="5">
        <f>B9*0</f>
        <v>0</v>
      </c>
      <c r="I9" s="4"/>
    </row>
    <row r="10" spans="1:9" ht="18.75" x14ac:dyDescent="0.3">
      <c r="A10" s="4" t="s">
        <v>9</v>
      </c>
      <c r="B10" s="5">
        <v>0.25</v>
      </c>
      <c r="C10" s="5">
        <f>B10*0</f>
        <v>0</v>
      </c>
      <c r="D10" s="5">
        <f>B10*87</f>
        <v>21.75</v>
      </c>
      <c r="E10" s="5">
        <f>B10*2000</f>
        <v>500</v>
      </c>
      <c r="F10" s="5">
        <f t="shared" ref="F10:F11" si="4">B10*0</f>
        <v>0</v>
      </c>
      <c r="G10" s="5">
        <f>B10*0</f>
        <v>0</v>
      </c>
      <c r="H10" s="5">
        <f>B10*0</f>
        <v>0</v>
      </c>
      <c r="I10" s="4"/>
    </row>
    <row r="11" spans="1:9" ht="18.75" x14ac:dyDescent="0.3">
      <c r="A11" s="4" t="s">
        <v>12</v>
      </c>
      <c r="B11" s="5">
        <v>1</v>
      </c>
      <c r="C11" s="5">
        <f>B11*0</f>
        <v>0</v>
      </c>
      <c r="D11" s="5">
        <f>B11*0</f>
        <v>0</v>
      </c>
      <c r="E11" s="5">
        <f>B11*0</f>
        <v>0</v>
      </c>
      <c r="F11" s="5">
        <f t="shared" si="4"/>
        <v>0</v>
      </c>
      <c r="G11" s="5">
        <f>B11*0</f>
        <v>0</v>
      </c>
      <c r="H11" s="5">
        <f>B11*0</f>
        <v>0</v>
      </c>
      <c r="I11" s="4"/>
    </row>
    <row r="12" spans="1:9" ht="18.75" x14ac:dyDescent="0.3">
      <c r="A12" s="1" t="s">
        <v>3</v>
      </c>
      <c r="B12" s="4"/>
      <c r="C12" s="5">
        <f>SUM(C2:C11)</f>
        <v>256.39999999999998</v>
      </c>
      <c r="D12" s="5">
        <f t="shared" ref="D12:H12" si="5">SUM(D2:D11)</f>
        <v>105.85</v>
      </c>
      <c r="E12" s="5">
        <f t="shared" si="5"/>
        <v>2430.8000000000002</v>
      </c>
      <c r="F12" s="5">
        <f t="shared" si="5"/>
        <v>25.04</v>
      </c>
      <c r="G12" s="5">
        <f t="shared" si="5"/>
        <v>976.5</v>
      </c>
      <c r="H12" s="5">
        <f t="shared" si="5"/>
        <v>59.5</v>
      </c>
      <c r="I12" s="4"/>
    </row>
    <row r="13" spans="1:9" ht="18.75" x14ac:dyDescent="0.3">
      <c r="A13" s="4"/>
      <c r="B13" s="4"/>
      <c r="C13" s="4"/>
      <c r="D13" s="4"/>
      <c r="E13" s="4"/>
      <c r="F13" s="4"/>
      <c r="G13" s="4"/>
      <c r="H13" s="4"/>
      <c r="I13" s="4"/>
    </row>
    <row r="14" spans="1:9" ht="18.75" x14ac:dyDescent="0.3">
      <c r="A14" s="4"/>
      <c r="B14" s="4"/>
      <c r="C14" s="4"/>
      <c r="D14" s="4"/>
      <c r="E14" s="4" t="s">
        <v>18</v>
      </c>
      <c r="F14" s="4"/>
      <c r="G14" s="4"/>
      <c r="H14" s="4"/>
      <c r="I14" s="4"/>
    </row>
    <row r="15" spans="1:9" ht="18.75" x14ac:dyDescent="0.3">
      <c r="A15" s="4"/>
      <c r="B15" s="4"/>
      <c r="C15" s="4"/>
      <c r="D15" s="4"/>
      <c r="E15" s="4"/>
      <c r="F15" s="4"/>
      <c r="G15" s="4"/>
      <c r="H15" s="4"/>
      <c r="I15" s="4"/>
    </row>
    <row r="18" spans="5:11" x14ac:dyDescent="0.25">
      <c r="E18" s="3"/>
      <c r="F18" s="3"/>
      <c r="G18" s="3"/>
      <c r="H18" s="3"/>
      <c r="I18" s="3"/>
      <c r="J18" s="3"/>
    </row>
    <row r="19" spans="5:11" x14ac:dyDescent="0.25">
      <c r="E19" s="3"/>
      <c r="F19" s="3"/>
      <c r="G19" s="3"/>
      <c r="H19" s="3"/>
      <c r="I19" s="3"/>
      <c r="J19" s="3"/>
    </row>
    <row r="20" spans="5:11" x14ac:dyDescent="0.25">
      <c r="E20" s="3"/>
      <c r="F20" s="3"/>
      <c r="G20" s="3"/>
      <c r="H20" s="3"/>
      <c r="I20" s="3"/>
      <c r="J20" s="3"/>
      <c r="K20" s="3"/>
    </row>
    <row r="21" spans="5:11" x14ac:dyDescent="0.25">
      <c r="E21" s="3"/>
      <c r="F21" s="3"/>
      <c r="G21" s="3"/>
      <c r="H21" s="3"/>
      <c r="I21" s="3"/>
      <c r="J21" s="3"/>
      <c r="K21" s="3"/>
    </row>
    <row r="22" spans="5:11" x14ac:dyDescent="0.25">
      <c r="E22" s="3"/>
      <c r="F22" s="3"/>
      <c r="G22" s="3"/>
      <c r="H22" s="3"/>
      <c r="I22" s="3"/>
      <c r="J22" s="3"/>
      <c r="K22" s="3"/>
    </row>
    <row r="23" spans="5:11" x14ac:dyDescent="0.25">
      <c r="E23" s="3"/>
      <c r="F23" s="3"/>
      <c r="G23" s="3"/>
      <c r="H23" s="3"/>
      <c r="I23" s="3"/>
      <c r="J23" s="3"/>
      <c r="K23" s="3"/>
    </row>
    <row r="24" spans="5:11" x14ac:dyDescent="0.25">
      <c r="E24" s="3"/>
      <c r="F24" s="3"/>
      <c r="G24" s="3"/>
      <c r="H24" s="3"/>
      <c r="I24" s="3"/>
      <c r="J24" s="3"/>
      <c r="K24" s="3"/>
    </row>
    <row r="25" spans="5:11" x14ac:dyDescent="0.25">
      <c r="E25" s="3"/>
      <c r="F25" s="3"/>
      <c r="G25" s="3"/>
      <c r="H25" s="3"/>
      <c r="I25" s="3"/>
      <c r="J25" s="3"/>
      <c r="K25" s="3"/>
    </row>
    <row r="26" spans="5:11" x14ac:dyDescent="0.25">
      <c r="E26" s="3"/>
      <c r="F26" s="3"/>
      <c r="G26" s="3"/>
      <c r="H26" s="3"/>
      <c r="I26" s="3"/>
      <c r="J26" s="3"/>
      <c r="K26" s="3"/>
    </row>
    <row r="27" spans="5:11" x14ac:dyDescent="0.25">
      <c r="E27" s="3"/>
      <c r="F27" s="3"/>
      <c r="G27" s="3"/>
      <c r="H27" s="3"/>
      <c r="I27" s="3"/>
      <c r="J27" s="3"/>
      <c r="K27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Kendra</dc:creator>
  <cp:lastModifiedBy>Kendra</cp:lastModifiedBy>
  <dcterms:created xsi:type="dcterms:W3CDTF">2013-07-27T17:33:57Z</dcterms:created>
  <dcterms:modified xsi:type="dcterms:W3CDTF">2013-07-29T22:35:08Z</dcterms:modified>
</cp:coreProperties>
</file>