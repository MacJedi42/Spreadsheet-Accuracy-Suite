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PPI 002" sheetId="10" r:id="rId2"/>
    <sheet name="Certification Page" sheetId="9" r:id="rId3"/>
    <sheet name="PCS Parameter Codes" sheetId="7" r:id="rId4"/>
    <sheet name="Dropdown Menu" sheetId="8" state="hidden" r:id="rId5"/>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2">'Certification Page'!$A$1:$S$22</definedName>
    <definedName name="_xlnm.Print_Area" localSheetId="3">'PCS Parameter Codes'!$A$1:$D$76</definedName>
    <definedName name="_xlnm.Print_Area" localSheetId="0">'PPI 001'!$A$1:$S$43</definedName>
    <definedName name="_xlnm.Print_Area" localSheetId="1">'PPI 002'!$A$1:$S$43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R39" s="1"/>
  <c r="Q45"/>
  <c r="P45"/>
  <c r="O45"/>
  <c r="N45"/>
  <c r="M45"/>
  <c r="L45"/>
  <c r="K45"/>
  <c r="J45"/>
  <c r="I45"/>
  <c r="H45"/>
  <c r="G45"/>
  <c r="F45"/>
  <c r="E45"/>
  <c r="S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<sst xmlns="http://schemas.openxmlformats.org/spreadsheetml/2006/main" count="543" uniqueCount="404">
  <si>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</si>
  <si>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</si>
  <si>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</si>
  <si>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</si>
  <si>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</si>
  <si>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</si>
  <si>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</si>
  <si>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</si>
  <si>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</si>
  <si>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</si>
  <si>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</si>
  <si>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</si>
  <si>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</si>
  <si>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</si>
  <si>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</si>
  <si>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</si>
  <si>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</si>
  <si>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</si>
  <si>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</si>
  <si>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</si>
  <si>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</si>
  <si>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</si>
  <si>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</si>
  <si>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</si>
  <si>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</si>
  <si>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</si>
  <si>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</si>
  <si>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</si>
  <si>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</si>
  <si>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</si>
  <si>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</si>
  <si>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</si>
  <si>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</si>
  <si>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</si>
  <si>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</si>
  <si>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</si>
  <si>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</si>
  <si>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</si>
  <si>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</si>
  <si>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</si>
  <si>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</si>
  <si>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</si>
  <si>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</si>
  <si>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</si>
  <si>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</si>
  <si>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</si>
  <si>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</si>
  <si>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</si>
  <si>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</si>
  <si>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</si>
  <si>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</si>
  <si>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</si>
  <si>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</si>
  <si>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</si>
  <si>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</si>
  <si>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</si>
  <si>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</si>
  <si>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</si>
  <si>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</si>
  <si>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</si>
  <si>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</si>
  <si>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</si>
  <si>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</si>
  <si>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</si>
  <si>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</si>
  <si>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</si>
  <si>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</si>
  <si>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</si>
  <si>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</si>
  <si>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</si>
  <si>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</si>
  <si>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</si>
  <si>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</si>
  <si>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</si>
  <si>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</si>
  <si>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</si>
  <si>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</si>
  <si>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</si>
  <si>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</si>
  <si>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</si>
  <si>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</si>
  <si>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</si>
  <si>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</si>
  <si>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</si>
  <si>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</si>
  <si>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</si>
  <si>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</si>
  <si>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</si>
  <si>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</si>
  <si>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</si>
  <si>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</si>
  <si>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</si>
  <si>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</si>
  <si>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</si>
  <si>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</si>
  <si>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</si>
  <si>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</si>
  <si>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</si>
  <si>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</si>
  <si>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</si>
  <si>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</si>
  <si>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</si>
  <si>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</si>
  <si>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</si>
  <si>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</si>
  <si>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</si>
  <si>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</si>
  <si>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</si>
  <si>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</si>
  <si>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</si>
  <si>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</si>
  <si>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</si>
  <si>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</si>
  <si>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</si>
  <si>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</si>
  <si>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</si>
  <si>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</si>
  <si>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</si>
  <si>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</si>
  <si>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</si>
  <si>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</si>
  <si>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</si>
  <si>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</si>
  <si>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</si>
  <si>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</si>
  <si>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</si>
  <si>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</si>
  <si>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</si>
  <si>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</si>
  <si>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</si>
  <si>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</si>
  <si>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</si>
  <si>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</si>
  <si>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</si>
  <si>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</si>
  <si>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</si>
  <si>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</si>
  <si>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</si>
  <si>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</si>
  <si>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</si>
  <si>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</si>
  <si>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</si>
  <si>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</si>
  <si>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</si>
  <si>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</si>
  <si>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</si>
  <si>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</si>
  <si>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</si>
  <si>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</si>
  <si>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</si>
  <si>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</si>
  <si>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</si>
  <si>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</si>
  <si>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</si>
  <si>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</si>
  <si>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</si>
  <si>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</si>
  <si>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</si>
  <si>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</si>
  <si>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</si>
  <si>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</si>
  <si>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</si>
  <si>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</si>
  <si>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</si>
  <si>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</si>
  <si>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</si>
  <si>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</si>
  <si>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</si>
  <si>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</si>
  <si>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</si>
  <si>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</si>
  <si>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</si>
  <si>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</si>
  <si>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</si>
  <si>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</si>
  <si>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</si>
  <si>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</si>
  <si>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</si>
  <si>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</si>
  <si>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</si>
  <si>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</si>
  <si>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</si>
  <si>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</si>
  <si>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</si>
  <si>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</si>
  <si>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</si>
  <si>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</si>
  <si>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</si>
  <si>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</si>
  <si>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</si>
  <si>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</si>
  <si>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</si>
  <si>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</si>
  <si>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</si>
  <si>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</si>
  <si>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</si>
  <si>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</si>
  <si>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</si>
  <si>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</si>
  <si>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</si>
  <si>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</si>
  <si>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</si>
  <si>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</si>
  <si>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</si>
  <si>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</si>
  <si>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</si>
  <si>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</si>
  <si>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</si>
  <si>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</si>
  <si>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</si>
  <si>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</si>
  <si>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</si>
  <si>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</si>
  <si>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</si>
  <si>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</si>
  <si>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</si>
  <si>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</si>
  <si>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</si>
  <si>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</si>
  <si>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</si>
  <si>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</si>
  <si>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</si>
  <si>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</si>
  <si>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</si>
  <si>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</si>
  <si>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</si>
  <si>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</si>
  <si>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</si>
  <si>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</si>
  <si>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</si>
  <si>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</si>
  <si>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</si>
  <si>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</si>
  <si>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</si>
  <si>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</si>
  <si>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</si>
  <si>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</si>
  <si>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</si>
  <si>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</si>
  <si>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</si>
  <si>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</si>
  <si>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</si>
  <si>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</si>
  <si>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</si>
  <si>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</si>
  <si>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</si>
  <si>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</si>
  <si>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</si>
  <si>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</si>
  <si>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</si>
  <si>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</si>
  <si>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</si>
  <si>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</si>
  <si>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</si>
  <si>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</si>
  <si>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</si>
  <si>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</si>
  <si>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</si>
  <si>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</si>
  <si>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</si>
  <si>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</si>
  <si>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</si>
  <si>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</si>
  <si>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</si>
  <si>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</si>
  <si>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</si>
  <si>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</si>
  <si>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</si>
  <si>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</si>
  <si>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</si>
  <si>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</si>
  <si>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</si>
  <si>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</si>
  <si>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</si>
  <si>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</si>
  <si>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</si>
  <si>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</si>
  <si>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</si>
  <si>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</si>
  <si>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</si>
  <si>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</si>
  <si>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</si>
  <si>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</si>
  <si>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</si>
  <si>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</si>
  <si>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</si>
  <si>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</si>
  <si>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</si>
  <si>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</si>
  <si>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</si>
  <si>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</si>
  <si>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</si>
  <si>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</si>
  <si>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</si>
  <si>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</si>
  <si>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</si>
  <si>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</si>
  <si>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</si>
  <si>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</si>
  <si>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</si>
  <si>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</si>
  <si>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</si>
  <si>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</si>
  <si>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</si>
  <si>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</si>
  <si>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</si>
  <si>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</si>
  <si>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</si>
  <si>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</si>
  <si>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</si>
  <si>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</si>
  <si>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</si>
  <si>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</si>
  <si>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</si>
  <si>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</si>
  <si>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</si>
  <si>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</si>
  <si>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</si>
  <si>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</si>
  <si>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</si>
  <si>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</si>
  <si>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</si>
  <si>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</si>
  <si>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</si>
  <si>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</si>
  <si>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</si>
  <si>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</si>
  <si>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</si>
  <si>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</si>
  <si>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</si>
  <si>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</si>
  <si>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</si>
  <si>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</si>
  <si>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</si>
  <si>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</si>
  <si>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</si>
  <si>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</si>
  <si>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</si>
  <si>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</si>
  <si>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</si>
  <si>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</si>
  <si>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</si>
  <si>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</si>
  <si>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</si>
  <si>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</si>
  <si>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</si>
  <si>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</si>
  <si>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</si>
  <si>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</si>
  <si>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</si>
  <si>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</si>
  <si>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</si>
  <si>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</si>
  <si>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</si>
  <si>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</si>
  <si>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</si>
  <si>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</si>
  <si>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</si>
  <si>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</si>
  <si>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</si>
  <si>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</si>
  <si>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</si>
  <si>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</si>
  <si>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</si>
  <si>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</si>
  <si>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</si>
  <si>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</si>
  <si>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</si>
  <si>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</si>
  <si>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</si>
  <si>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</si>
  <si>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</si>
  <si>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</si>
  <si>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</si>
  <si>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</si>
  <si>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</si>
  <si>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</si>
  <si>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</si>
  <si>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</si>
  <si>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</si>
  <si>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</si>
  <si>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</si>
  <si>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</si>
  <si>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</si>
  <si>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</si>
  <si>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</si>
  <si>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</si>
  <si>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</si>
  <si>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</si>
  <si>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</si>
  <si>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</si>
  <si>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</si>
  <si>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</si>
  <si>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</si>
  <si>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</si>
  <si>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WQ0031857</t>
  </si>
  <si>
    <t>Oak Island Satellite Water Reclamation Facility</t>
  </si>
  <si>
    <t>Continuous</t>
  </si>
  <si>
    <t>6-9</t>
  </si>
  <si>
    <t>Monthly</t>
  </si>
  <si>
    <t xml:space="preserve">Oak Island Satellite Water Reclamation </t>
  </si>
  <si>
    <t>2 x Month</t>
  </si>
  <si>
    <t>5 x Week</t>
  </si>
  <si>
    <t>Per Event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</si>
</sst>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6">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16" fontId="3" fillId="4" borderId="2" xfId="0" quotePrefix="1" applyNumberFormat="1" applyFont="1" applyFill="1" applyBorder="1" applyAlignment="1" applyProtection="1">
      <alignment horizontal="center" vertical="center"/>
      <protection locked="0"/>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4" fillId="2" borderId="14" xfId="0" applyFont="1" applyFill="1" applyBorder="1" applyAlignment="1" applyProtection="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3" fillId="2" borderId="0" xfId="0" applyFont="1" applyFill="1" applyBorder="1" applyAlignment="1" applyProtection="1"/>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48" xfId="0" applyFill="1" applyBorder="1" applyAlignment="1" applyProtection="1">
      <protection locked="0"/>
    </xf>
    <xf numFmtId="0" fontId="0" fillId="2" borderId="45"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0" xfId="0" applyFill="1" applyBorder="1" applyAlignment="1" applyProtection="1"/>
    <xf numFmtId="0" fontId="0" fillId="2" borderId="44" xfId="0" applyFill="1" applyBorder="1" applyAlignment="1" applyProtection="1"/>
    <xf numFmtId="0" fontId="0" fillId="2" borderId="45" xfId="0" applyFill="1" applyBorder="1" applyAlignment="1" applyProtection="1"/>
    <xf numFmtId="0" fontId="0" fillId="2" borderId="46" xfId="0" applyFill="1" applyBorder="1" applyAlignment="1" applyProtection="1">
      <protection locked="0"/>
    </xf>
    <xf numFmtId="0" fontId="0" fillId="2" borderId="47" xfId="0" applyFill="1" applyBorder="1" applyAlignment="1" applyProtection="1">
      <protection locked="0"/>
    </xf>
    <xf numFmtId="0" fontId="5" fillId="2" borderId="0"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protection locked="0"/>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395</v>
      </c>
      <c r="D1" s="105"/>
      <c r="E1" s="106" t="s">
        <v>62</v>
      </c>
      <c r="F1" s="107"/>
      <c r="G1" s="104" t="s">
        <v>400</v>
      </c>
      <c r="H1" s="108"/>
      <c r="I1" s="108"/>
      <c r="J1" s="108"/>
      <c r="K1" s="109"/>
      <c r="L1" s="12" t="s">
        <v>65</v>
      </c>
      <c r="M1" s="110" t="s">
        <v>96</v>
      </c>
      <c r="N1" s="82"/>
      <c r="O1" s="12" t="s">
        <v>63</v>
      </c>
      <c r="P1" s="81"/>
      <c r="Q1" s="82"/>
      <c r="R1" s="13" t="s">
        <v>64</v>
      </c>
      <c r="S1" s="25"/>
      <c r="T1" s="3"/>
    </row>
    <row r="2" spans="1:20" ht="22.5" customHeight="1" thickBot="1">
      <c r="A2" s="83" t="s">
        <v>67</v>
      </c>
      <c r="B2" s="84"/>
      <c r="C2" s="14" t="s">
        <v>199</v>
      </c>
      <c r="D2" s="115" t="s">
        <v>367</v>
      </c>
      <c r="E2" s="116"/>
      <c r="F2" s="116"/>
      <c r="G2" s="116"/>
      <c r="H2" s="116"/>
      <c r="I2" s="116"/>
      <c r="J2" s="117"/>
      <c r="K2" s="115" t="s">
        <v>366</v>
      </c>
      <c r="L2" s="116"/>
      <c r="M2" s="116"/>
      <c r="N2" s="116"/>
      <c r="O2" s="116"/>
      <c r="P2" s="116"/>
      <c r="Q2" s="116"/>
      <c r="R2" s="116"/>
      <c r="S2" s="117"/>
    </row>
    <row r="3" spans="1:20" ht="18.75" customHeight="1" thickTop="1">
      <c r="A3" s="118" t="s">
        <v>61</v>
      </c>
      <c r="B3" s="119"/>
      <c r="C3" s="120"/>
      <c r="D3" s="33">
        <v>50050</v>
      </c>
      <c r="E3" s="18" t="s">
        <v>16</v>
      </c>
      <c r="F3" s="46" t="s">
        <v>35</v>
      </c>
      <c r="G3" s="18" t="s">
        <v>27</v>
      </c>
      <c r="H3" s="46" t="s">
        <v>48</v>
      </c>
      <c r="I3" s="18" t="s">
        <v>24</v>
      </c>
      <c r="J3" s="46" t="s">
        <v>33</v>
      </c>
      <c r="K3" s="18" t="s">
        <v>45</v>
      </c>
      <c r="L3" s="46" t="s">
        <v>57</v>
      </c>
      <c r="M3" s="18"/>
      <c r="N3" s="46"/>
      <c r="O3" s="18"/>
      <c r="P3" s="46"/>
      <c r="Q3" s="18"/>
      <c r="R3" s="46"/>
      <c r="S3" s="28"/>
    </row>
    <row r="4" spans="1:20" ht="71.25" customHeight="1">
      <c r="A4" s="88" t="s">
        <v>69</v>
      </c>
      <c r="B4" s="15" t="s">
        <v>379</v>
      </c>
      <c r="C4" s="16" t="s">
        <v>380</v>
      </c>
      <c r="D4" s="36" t="s">
        <v>230</v>
      </c>
      <c r="E4" s="47" t="str">
        <f>IF(ISBLANK(E$3), " ", VLOOKUP(E$3,'PCS Parameter Codes'!$A$1:$D$76,2,FALSE))</f>
        <v>BOD5</v>
      </c>
      <c r="F4" s="48" t="str">
        <f>IF(ISBLANK(F$3), " ", VLOOKUP(F$3,'PCS Parameter Codes'!$A$1:$D$76,2,FALSE))</f>
        <v>Total Residual Chlorine</v>
      </c>
      <c r="G4" s="47" t="str">
        <f>IF(ISBLANK(G$3), " ", VLOOKUP(G$3,'PCS Parameter Codes'!$A$1:$D$76,2,FALSE))</f>
        <v>Fecal Coliform</v>
      </c>
      <c r="H4" s="48" t="str">
        <f>IF(ISBLANK(H$3), " ", VLOOKUP(H$3,'PCS Parameter Codes'!$A$1:$D$76,2,FALSE))</f>
        <v>Ammonia</v>
      </c>
      <c r="I4" s="47" t="str">
        <f>IF(ISBLANK(I$3), " ", VLOOKUP(I$3,'PCS Parameter Codes'!$A$1:$D$76,2,FALSE))</f>
        <v>Nitrate</v>
      </c>
      <c r="J4" s="48" t="str">
        <f>IF(ISBLANK(J$3), " ", VLOOKUP(J$3,'PCS Parameter Codes'!$A$1:$D$76,2,FALSE))</f>
        <v>pH</v>
      </c>
      <c r="K4" s="47" t="str">
        <f>IF(ISBLANK(K$3), " ", VLOOKUP(K$3,'PCS Parameter Codes'!$A$1:$D$76,2,FALSE))</f>
        <v>Total Suspended Solids</v>
      </c>
      <c r="L4" s="48" t="str">
        <f>IF(ISBLANK(L$3), " ", VLOOKUP(L$3,'PCS Parameter Codes'!$A$1:$D$76,2,FALSE))</f>
        <v>Turbidity</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9"/>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#/100 mL</v>
      </c>
      <c r="H5" s="37" t="str">
        <f>IF(ISBLANK(H$3), " ", VLOOKUP(H$3,'PCS Parameter Codes'!$A$1:$D$76,4,FALSE))</f>
        <v>mg/L</v>
      </c>
      <c r="I5" s="34" t="str">
        <f>IF(ISBLANK(I$3), " ", VLOOKUP(I$3,'PCS Parameter Codes'!$A$1:$D$76,4,FALSE))</f>
        <v>mg/L</v>
      </c>
      <c r="J5" s="37" t="str">
        <f>IF(ISBLANK(J$3), " ", VLOOKUP(J$3,'PCS Parameter Codes'!$A$1:$D$76,4,FALSE))</f>
        <v>su</v>
      </c>
      <c r="K5" s="34" t="str">
        <f>IF(ISBLANK(K$3), " ", VLOOKUP(K$3,'PCS Parameter Codes'!$A$1:$D$76,4,FALSE))</f>
        <v>mg/L</v>
      </c>
      <c r="L5" s="37" t="str">
        <f>IF(ISBLANK(L$3), " ", VLOOKUP(L$3,'PCS Parameter Codes'!$A$1:$D$76,4,FALSE))</f>
        <v>NTU</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5" t="s">
        <v>71</v>
      </c>
      <c r="B37" s="86"/>
      <c r="C37" s="8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6" t="s">
        <v>72</v>
      </c>
      <c r="B38" s="97"/>
      <c r="C38" s="9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9" t="s">
        <v>73</v>
      </c>
      <c r="B39" s="100"/>
      <c r="C39" s="10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3" t="s">
        <v>362</v>
      </c>
      <c r="B40" s="94"/>
      <c r="C40" s="95"/>
      <c r="D40" s="64" t="s">
        <v>365</v>
      </c>
      <c r="E40" s="61" t="s">
        <v>363</v>
      </c>
      <c r="F40" s="60" t="s">
        <v>364</v>
      </c>
      <c r="G40" s="61" t="s">
        <v>364</v>
      </c>
      <c r="H40" s="60" t="s">
        <v>363</v>
      </c>
      <c r="I40" s="61" t="s">
        <v>363</v>
      </c>
      <c r="J40" s="60" t="s">
        <v>364</v>
      </c>
      <c r="K40" s="61" t="s">
        <v>363</v>
      </c>
      <c r="L40" s="60" t="s">
        <v>365</v>
      </c>
      <c r="M40" s="61"/>
      <c r="N40" s="60"/>
      <c r="O40" s="61"/>
      <c r="P40" s="60"/>
      <c r="Q40" s="61"/>
      <c r="R40" s="60"/>
      <c r="S40" s="62"/>
    </row>
    <row r="41" spans="1:19" ht="15" customHeight="1">
      <c r="A41" s="90" t="s">
        <v>373</v>
      </c>
      <c r="B41" s="91"/>
      <c r="C41" s="92"/>
      <c r="D41" s="65">
        <v>400000</v>
      </c>
      <c r="E41" s="6">
        <v>10</v>
      </c>
      <c r="F41" s="63"/>
      <c r="G41" s="6">
        <v>14</v>
      </c>
      <c r="H41" s="63">
        <v>4</v>
      </c>
      <c r="I41" s="6"/>
      <c r="J41" s="63"/>
      <c r="K41" s="6">
        <v>5</v>
      </c>
      <c r="L41" s="63"/>
      <c r="M41" s="6"/>
      <c r="N41" s="63"/>
      <c r="O41" s="6"/>
      <c r="P41" s="63"/>
      <c r="Q41" s="6"/>
      <c r="R41" s="63"/>
      <c r="S41" s="54"/>
    </row>
    <row r="42" spans="1:19" ht="15" customHeight="1">
      <c r="A42" s="96" t="s">
        <v>374</v>
      </c>
      <c r="B42" s="113"/>
      <c r="C42" s="114"/>
      <c r="D42" s="65"/>
      <c r="E42" s="6">
        <v>15</v>
      </c>
      <c r="F42" s="63"/>
      <c r="G42" s="6">
        <v>25</v>
      </c>
      <c r="H42" s="63">
        <v>6</v>
      </c>
      <c r="I42" s="6"/>
      <c r="J42" s="80" t="s">
        <v>398</v>
      </c>
      <c r="K42" s="6">
        <v>10</v>
      </c>
      <c r="L42" s="63">
        <v>10</v>
      </c>
      <c r="M42" s="6"/>
      <c r="N42" s="63"/>
      <c r="O42" s="6"/>
      <c r="P42" s="63"/>
      <c r="Q42" s="6"/>
      <c r="R42" s="63"/>
      <c r="S42" s="54"/>
    </row>
    <row r="43" spans="1:19" ht="15" customHeight="1">
      <c r="A43" s="96" t="s">
        <v>375</v>
      </c>
      <c r="B43" s="111"/>
      <c r="C43" s="112"/>
      <c r="D43" s="66" t="s">
        <v>397</v>
      </c>
      <c r="E43" s="67" t="s">
        <v>401</v>
      </c>
      <c r="F43" s="68" t="s">
        <v>402</v>
      </c>
      <c r="G43" s="67" t="s">
        <v>401</v>
      </c>
      <c r="H43" s="68" t="s">
        <v>401</v>
      </c>
      <c r="I43" s="67" t="s">
        <v>401</v>
      </c>
      <c r="J43" s="68" t="s">
        <v>402</v>
      </c>
      <c r="K43" s="67" t="s">
        <v>401</v>
      </c>
      <c r="L43" s="68" t="s">
        <v>397</v>
      </c>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2" t="s">
        <v>223</v>
      </c>
      <c r="B1" s="103"/>
      <c r="C1" s="104" t="s">
        <v>395</v>
      </c>
      <c r="D1" s="105"/>
      <c r="E1" s="106" t="s">
        <v>62</v>
      </c>
      <c r="F1" s="107"/>
      <c r="G1" s="104" t="s">
        <v>396</v>
      </c>
      <c r="H1" s="108"/>
      <c r="I1" s="108"/>
      <c r="J1" s="108"/>
      <c r="K1" s="109"/>
      <c r="L1" s="78" t="s">
        <v>65</v>
      </c>
      <c r="M1" s="110" t="s">
        <v>96</v>
      </c>
      <c r="N1" s="82"/>
      <c r="O1" s="78" t="s">
        <v>63</v>
      </c>
      <c r="P1" s="81"/>
      <c r="Q1" s="82"/>
      <c r="R1" s="79" t="s">
        <v>64</v>
      </c>
      <c r="S1" s="25"/>
      <c r="T1" s="3"/>
    </row>
    <row r="2" spans="1:20" ht="22.5" customHeight="1" thickBot="1">
      <c r="A2" s="83" t="s">
        <v>67</v>
      </c>
      <c r="B2" s="84"/>
      <c r="C2" s="14" t="s">
        <v>200</v>
      </c>
      <c r="D2" s="115" t="s">
        <v>367</v>
      </c>
      <c r="E2" s="116"/>
      <c r="F2" s="116"/>
      <c r="G2" s="116"/>
      <c r="H2" s="116"/>
      <c r="I2" s="116"/>
      <c r="J2" s="117"/>
      <c r="K2" s="115" t="s">
        <v>366</v>
      </c>
      <c r="L2" s="116"/>
      <c r="M2" s="116"/>
      <c r="N2" s="116"/>
      <c r="O2" s="116"/>
      <c r="P2" s="116"/>
      <c r="Q2" s="116"/>
      <c r="R2" s="116"/>
      <c r="S2" s="117"/>
    </row>
    <row r="3" spans="1:20" ht="18.75" customHeight="1" thickTop="1">
      <c r="A3" s="118" t="s">
        <v>61</v>
      </c>
      <c r="B3" s="119"/>
      <c r="C3" s="120"/>
      <c r="D3" s="33">
        <v>50050</v>
      </c>
      <c r="E3" s="18" t="s">
        <v>35</v>
      </c>
      <c r="F3" s="46" t="s">
        <v>27</v>
      </c>
      <c r="G3" s="18"/>
      <c r="H3" s="46"/>
      <c r="I3" s="18"/>
      <c r="J3" s="46"/>
      <c r="K3" s="18"/>
      <c r="L3" s="46"/>
      <c r="M3" s="18"/>
      <c r="N3" s="46"/>
      <c r="O3" s="18"/>
      <c r="P3" s="46"/>
      <c r="Q3" s="18"/>
      <c r="R3" s="46"/>
      <c r="S3" s="28"/>
    </row>
    <row r="4" spans="1:20" ht="71.25" customHeight="1">
      <c r="A4" s="88" t="s">
        <v>69</v>
      </c>
      <c r="B4" s="15" t="s">
        <v>379</v>
      </c>
      <c r="C4" s="16" t="s">
        <v>380</v>
      </c>
      <c r="D4" s="36" t="s">
        <v>230</v>
      </c>
      <c r="E4" s="47" t="str">
        <f>IF(ISBLANK(E$3), " ", VLOOKUP(E$3,'PCS Parameter Codes'!$A$1:$D$76,2,FALSE))</f>
        <v>Total Residual Chlorine</v>
      </c>
      <c r="F4" s="48" t="str">
        <f>IF(ISBLANK(F$3), " ", VLOOKUP(F$3,'PCS Parameter Codes'!$A$1:$D$76,2,FALSE))</f>
        <v>Fecal Coliform</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89"/>
      <c r="B5" s="17" t="s">
        <v>70</v>
      </c>
      <c r="C5" s="58" t="s">
        <v>66</v>
      </c>
      <c r="D5" s="59" t="s">
        <v>231</v>
      </c>
      <c r="E5" s="34" t="str">
        <f>IF(ISBLANK(E$3), " ", VLOOKUP(E$3,'PCS Parameter Codes'!$A$1:$D$76,4,FALSE))</f>
        <v>mg/L</v>
      </c>
      <c r="F5" s="37" t="str">
        <f>IF(ISBLANK(F$3), " ", VLOOKUP(F$3,'PCS Parameter Codes'!$A$1:$D$76,4,FALSE))</f>
        <v>#/100 mL</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85" t="s">
        <v>71</v>
      </c>
      <c r="B37" s="86"/>
      <c r="C37" s="87"/>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96" t="s">
        <v>72</v>
      </c>
      <c r="B38" s="97"/>
      <c r="C38" s="98"/>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99" t="s">
        <v>73</v>
      </c>
      <c r="B39" s="100"/>
      <c r="C39" s="101"/>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93" t="s">
        <v>362</v>
      </c>
      <c r="B40" s="94"/>
      <c r="C40" s="95"/>
      <c r="D40" s="64" t="s">
        <v>368</v>
      </c>
      <c r="E40" s="61" t="s">
        <v>364</v>
      </c>
      <c r="F40" s="60" t="s">
        <v>364</v>
      </c>
      <c r="G40" s="61"/>
      <c r="H40" s="60"/>
      <c r="I40" s="61"/>
      <c r="J40" s="60"/>
      <c r="K40" s="61"/>
      <c r="L40" s="60"/>
      <c r="M40" s="61"/>
      <c r="N40" s="60"/>
      <c r="O40" s="61"/>
      <c r="P40" s="60"/>
      <c r="Q40" s="61"/>
      <c r="R40" s="60"/>
      <c r="S40" s="62"/>
    </row>
    <row r="41" spans="1:19" ht="15" customHeight="1">
      <c r="A41" s="90" t="s">
        <v>373</v>
      </c>
      <c r="B41" s="91"/>
      <c r="C41" s="92"/>
      <c r="D41" s="65"/>
      <c r="E41" s="6"/>
      <c r="F41" s="63">
        <v>14</v>
      </c>
      <c r="G41" s="6"/>
      <c r="H41" s="63"/>
      <c r="I41" s="6"/>
      <c r="J41" s="63"/>
      <c r="K41" s="6"/>
      <c r="L41" s="63"/>
      <c r="M41" s="6"/>
      <c r="N41" s="63"/>
      <c r="O41" s="6"/>
      <c r="P41" s="63"/>
      <c r="Q41" s="6"/>
      <c r="R41" s="63"/>
      <c r="S41" s="54"/>
    </row>
    <row r="42" spans="1:19" ht="15" customHeight="1">
      <c r="A42" s="96" t="s">
        <v>374</v>
      </c>
      <c r="B42" s="113"/>
      <c r="C42" s="114"/>
      <c r="D42" s="65"/>
      <c r="E42" s="6"/>
      <c r="F42" s="63">
        <v>25</v>
      </c>
      <c r="G42" s="6"/>
      <c r="H42" s="63"/>
      <c r="I42" s="6"/>
      <c r="J42" s="80"/>
      <c r="K42" s="6"/>
      <c r="L42" s="63"/>
      <c r="M42" s="6"/>
      <c r="N42" s="63"/>
      <c r="O42" s="6"/>
      <c r="P42" s="63"/>
      <c r="Q42" s="6"/>
      <c r="R42" s="63"/>
      <c r="S42" s="54"/>
    </row>
    <row r="43" spans="1:19" ht="15" customHeight="1">
      <c r="A43" s="96" t="s">
        <v>375</v>
      </c>
      <c r="B43" s="111"/>
      <c r="C43" s="112"/>
      <c r="D43" s="66" t="s">
        <v>403</v>
      </c>
      <c r="E43" s="67" t="s">
        <v>399</v>
      </c>
      <c r="F43" s="68" t="s">
        <v>399</v>
      </c>
      <c r="G43" s="67"/>
      <c r="H43" s="68"/>
      <c r="I43" s="67"/>
      <c r="J43" s="68"/>
      <c r="K43" s="67"/>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P1:Q1"/>
    <mergeCell ref="A1:B1"/>
    <mergeCell ref="C1:D1"/>
    <mergeCell ref="E1:F1"/>
    <mergeCell ref="G1:K1"/>
    <mergeCell ref="M1:N1"/>
    <mergeCell ref="A43:C43"/>
    <mergeCell ref="A2:B2"/>
    <mergeCell ref="D2:J2"/>
    <mergeCell ref="K2:S2"/>
    <mergeCell ref="A3:C3"/>
    <mergeCell ref="A4:A5"/>
    <mergeCell ref="A37:C37"/>
    <mergeCell ref="A38:C38"/>
    <mergeCell ref="A39:C39"/>
    <mergeCell ref="A40:C40"/>
    <mergeCell ref="A41:C41"/>
    <mergeCell ref="A42:C42"/>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87" t="s">
        <v>82</v>
      </c>
      <c r="B1" s="188"/>
      <c r="C1" s="188"/>
      <c r="D1" s="188"/>
      <c r="E1" s="188"/>
      <c r="F1" s="188"/>
      <c r="G1" s="188"/>
      <c r="H1" s="188"/>
      <c r="I1" s="188"/>
      <c r="J1" s="189"/>
      <c r="K1" s="190" t="s">
        <v>83</v>
      </c>
      <c r="L1" s="188"/>
      <c r="M1" s="188"/>
      <c r="N1" s="188"/>
      <c r="O1" s="188"/>
      <c r="P1" s="188"/>
      <c r="Q1" s="188"/>
      <c r="R1" s="188"/>
      <c r="S1" s="191"/>
      <c r="T1" s="23"/>
    </row>
    <row r="2" spans="1:20" ht="30" customHeight="1">
      <c r="A2" s="192" t="s">
        <v>77</v>
      </c>
      <c r="B2" s="193"/>
      <c r="C2" s="147"/>
      <c r="D2" s="194"/>
      <c r="E2" s="194"/>
      <c r="F2" s="194"/>
      <c r="G2" s="194"/>
      <c r="H2" s="194"/>
      <c r="I2" s="194"/>
      <c r="J2" s="195"/>
      <c r="K2" s="26" t="s">
        <v>77</v>
      </c>
      <c r="L2" s="147"/>
      <c r="M2" s="150"/>
      <c r="N2" s="150"/>
      <c r="O2" s="150"/>
      <c r="P2" s="150"/>
      <c r="Q2" s="150"/>
      <c r="R2" s="150"/>
      <c r="S2" s="157"/>
      <c r="T2" s="3"/>
    </row>
    <row r="3" spans="1:20" ht="30" customHeight="1" thickBot="1">
      <c r="A3" s="180" t="s">
        <v>77</v>
      </c>
      <c r="B3" s="181"/>
      <c r="C3" s="182"/>
      <c r="D3" s="183"/>
      <c r="E3" s="183"/>
      <c r="F3" s="183"/>
      <c r="G3" s="183"/>
      <c r="H3" s="183"/>
      <c r="I3" s="183"/>
      <c r="J3" s="184"/>
      <c r="K3" s="27" t="s">
        <v>77</v>
      </c>
      <c r="L3" s="182"/>
      <c r="M3" s="185"/>
      <c r="N3" s="185"/>
      <c r="O3" s="185"/>
      <c r="P3" s="185"/>
      <c r="Q3" s="185"/>
      <c r="R3" s="185"/>
      <c r="S3" s="186"/>
      <c r="T3" s="3"/>
    </row>
    <row r="4" spans="1:20" ht="30" customHeight="1">
      <c r="A4" s="169" t="s">
        <v>86</v>
      </c>
      <c r="B4" s="169"/>
      <c r="C4" s="169"/>
      <c r="D4" s="169"/>
      <c r="E4" s="169"/>
      <c r="F4" s="169"/>
      <c r="G4" s="169"/>
      <c r="H4" s="169"/>
      <c r="I4" s="169"/>
      <c r="J4" s="169"/>
      <c r="K4" s="169"/>
      <c r="L4" s="169"/>
      <c r="M4" s="169"/>
      <c r="N4" s="169"/>
      <c r="O4" s="169"/>
      <c r="P4" s="169"/>
      <c r="Q4" s="169"/>
      <c r="R4" s="169"/>
      <c r="S4" s="169"/>
    </row>
    <row r="5" spans="1:20" ht="30" customHeight="1" thickBot="1">
      <c r="A5" s="170" t="s">
        <v>214</v>
      </c>
      <c r="B5" s="171"/>
      <c r="C5" s="171"/>
      <c r="D5" s="171"/>
      <c r="E5" s="171"/>
      <c r="F5" s="171"/>
      <c r="G5" s="171"/>
      <c r="H5" s="171"/>
      <c r="I5" s="171"/>
      <c r="J5" s="171"/>
      <c r="K5" s="171"/>
      <c r="L5" s="171"/>
      <c r="M5" s="171"/>
      <c r="N5" s="171"/>
      <c r="O5" s="171"/>
      <c r="P5" s="171"/>
      <c r="Q5" s="171"/>
      <c r="R5" s="171"/>
      <c r="S5" s="171"/>
    </row>
    <row r="6" spans="1:20" ht="168.75" customHeight="1" thickBot="1">
      <c r="A6" s="172"/>
      <c r="B6" s="173"/>
      <c r="C6" s="173"/>
      <c r="D6" s="173"/>
      <c r="E6" s="173"/>
      <c r="F6" s="173"/>
      <c r="G6" s="173"/>
      <c r="H6" s="173"/>
      <c r="I6" s="173"/>
      <c r="J6" s="173"/>
      <c r="K6" s="173"/>
      <c r="L6" s="173"/>
      <c r="M6" s="173"/>
      <c r="N6" s="173"/>
      <c r="O6" s="173"/>
      <c r="P6" s="173"/>
      <c r="Q6" s="173"/>
      <c r="R6" s="173"/>
      <c r="S6" s="174"/>
    </row>
    <row r="7" spans="1:20" ht="15" customHeight="1" thickBot="1">
      <c r="A7" s="175"/>
      <c r="B7" s="176"/>
      <c r="C7" s="176"/>
      <c r="D7" s="176"/>
      <c r="E7" s="176"/>
      <c r="F7" s="176"/>
      <c r="G7" s="176"/>
      <c r="H7" s="176"/>
      <c r="I7" s="176"/>
      <c r="J7" s="176"/>
      <c r="K7" s="176"/>
      <c r="L7" s="176"/>
      <c r="M7" s="176"/>
      <c r="N7" s="176"/>
      <c r="O7" s="176"/>
      <c r="P7" s="176"/>
      <c r="Q7" s="176"/>
      <c r="R7" s="176"/>
      <c r="S7" s="176"/>
    </row>
    <row r="8" spans="1:20" ht="30.75" customHeight="1" thickBot="1">
      <c r="A8" s="106" t="s">
        <v>75</v>
      </c>
      <c r="B8" s="177"/>
      <c r="C8" s="177"/>
      <c r="D8" s="177"/>
      <c r="E8" s="177"/>
      <c r="F8" s="177"/>
      <c r="G8" s="177"/>
      <c r="H8" s="177"/>
      <c r="I8" s="177"/>
      <c r="J8" s="177"/>
      <c r="K8" s="178" t="s">
        <v>76</v>
      </c>
      <c r="L8" s="177"/>
      <c r="M8" s="177"/>
      <c r="N8" s="177"/>
      <c r="O8" s="177"/>
      <c r="P8" s="177"/>
      <c r="Q8" s="177"/>
      <c r="R8" s="177"/>
      <c r="S8" s="179"/>
    </row>
    <row r="9" spans="1:20" ht="30.75" customHeight="1">
      <c r="A9" s="162" t="s">
        <v>219</v>
      </c>
      <c r="B9" s="163"/>
      <c r="C9" s="164"/>
      <c r="D9" s="165"/>
      <c r="E9" s="165"/>
      <c r="F9" s="165"/>
      <c r="G9" s="165"/>
      <c r="H9" s="165"/>
      <c r="I9" s="165"/>
      <c r="J9" s="166"/>
      <c r="K9" s="167" t="s">
        <v>215</v>
      </c>
      <c r="L9" s="163"/>
      <c r="M9" s="164"/>
      <c r="N9" s="165"/>
      <c r="O9" s="165"/>
      <c r="P9" s="165"/>
      <c r="Q9" s="165"/>
      <c r="R9" s="165"/>
      <c r="S9" s="168"/>
    </row>
    <row r="10" spans="1:20" ht="30.75" customHeight="1">
      <c r="A10" s="158" t="s">
        <v>220</v>
      </c>
      <c r="B10" s="149"/>
      <c r="C10" s="149"/>
      <c r="D10" s="147"/>
      <c r="E10" s="150"/>
      <c r="F10" s="150"/>
      <c r="G10" s="150"/>
      <c r="H10" s="150"/>
      <c r="I10" s="150"/>
      <c r="J10" s="151"/>
      <c r="K10" s="152" t="s">
        <v>216</v>
      </c>
      <c r="L10" s="149"/>
      <c r="M10" s="156"/>
      <c r="N10" s="150"/>
      <c r="O10" s="150"/>
      <c r="P10" s="150"/>
      <c r="Q10" s="150"/>
      <c r="R10" s="150"/>
      <c r="S10" s="157"/>
    </row>
    <row r="11" spans="1:20" ht="30.75" customHeight="1">
      <c r="A11" s="158" t="s">
        <v>221</v>
      </c>
      <c r="B11" s="149"/>
      <c r="C11" s="147"/>
      <c r="D11" s="147"/>
      <c r="E11" s="148" t="s">
        <v>78</v>
      </c>
      <c r="F11" s="149"/>
      <c r="G11" s="147"/>
      <c r="H11" s="150"/>
      <c r="I11" s="150"/>
      <c r="J11" s="151"/>
      <c r="K11" s="152" t="s">
        <v>217</v>
      </c>
      <c r="L11" s="149"/>
      <c r="M11" s="149"/>
      <c r="N11" s="156"/>
      <c r="O11" s="150"/>
      <c r="P11" s="150"/>
      <c r="Q11" s="150"/>
      <c r="R11" s="150"/>
      <c r="S11" s="157"/>
    </row>
    <row r="12" spans="1:20" ht="30.75" customHeight="1">
      <c r="A12" s="153" t="s">
        <v>222</v>
      </c>
      <c r="B12" s="154"/>
      <c r="C12" s="154"/>
      <c r="D12" s="154"/>
      <c r="E12" s="154"/>
      <c r="F12" s="154"/>
      <c r="G12" s="154"/>
      <c r="H12" s="154"/>
      <c r="I12" s="154"/>
      <c r="J12" s="155"/>
      <c r="K12" s="152" t="s">
        <v>218</v>
      </c>
      <c r="L12" s="149"/>
      <c r="M12" s="147"/>
      <c r="N12" s="150"/>
      <c r="O12" s="150"/>
      <c r="P12" s="159" t="s">
        <v>361</v>
      </c>
      <c r="Q12" s="149"/>
      <c r="R12" s="160"/>
      <c r="S12" s="161"/>
    </row>
    <row r="13" spans="1:20" ht="22.5" customHeight="1">
      <c r="A13" s="141"/>
      <c r="B13" s="142"/>
      <c r="C13" s="142"/>
      <c r="D13" s="142"/>
      <c r="E13" s="142"/>
      <c r="F13" s="142"/>
      <c r="G13" s="142"/>
      <c r="H13" s="121"/>
      <c r="I13" s="125"/>
      <c r="J13" s="145"/>
      <c r="K13" s="121"/>
      <c r="L13" s="142"/>
      <c r="M13" s="142"/>
      <c r="N13" s="142"/>
      <c r="O13" s="142"/>
      <c r="P13" s="142"/>
      <c r="Q13" s="121"/>
      <c r="R13" s="125"/>
      <c r="S13" s="126"/>
    </row>
    <row r="14" spans="1:20" ht="22.5" customHeight="1">
      <c r="A14" s="143"/>
      <c r="B14" s="144"/>
      <c r="C14" s="144"/>
      <c r="D14" s="144"/>
      <c r="E14" s="144"/>
      <c r="F14" s="144"/>
      <c r="G14" s="144"/>
      <c r="H14" s="121"/>
      <c r="I14" s="127"/>
      <c r="J14" s="146"/>
      <c r="K14" s="144"/>
      <c r="L14" s="144"/>
      <c r="M14" s="144"/>
      <c r="N14" s="144"/>
      <c r="O14" s="144"/>
      <c r="P14" s="144"/>
      <c r="Q14" s="121"/>
      <c r="R14" s="127"/>
      <c r="S14" s="128"/>
    </row>
    <row r="15" spans="1:20" ht="30" customHeight="1">
      <c r="A15" s="129" t="s">
        <v>79</v>
      </c>
      <c r="B15" s="130"/>
      <c r="C15" s="130"/>
      <c r="D15" s="130"/>
      <c r="E15" s="130"/>
      <c r="F15" s="130"/>
      <c r="G15" s="130"/>
      <c r="H15" s="122"/>
      <c r="I15" s="131" t="s">
        <v>2</v>
      </c>
      <c r="J15" s="132"/>
      <c r="K15" s="133" t="s">
        <v>79</v>
      </c>
      <c r="L15" s="134"/>
      <c r="M15" s="134"/>
      <c r="N15" s="134"/>
      <c r="O15" s="134"/>
      <c r="P15" s="134"/>
      <c r="Q15" s="122"/>
      <c r="R15" s="133" t="s">
        <v>2</v>
      </c>
      <c r="S15" s="135"/>
    </row>
    <row r="16" spans="1:20" ht="68.25" customHeight="1" thickBot="1">
      <c r="A16" s="136" t="s">
        <v>80</v>
      </c>
      <c r="B16" s="137"/>
      <c r="C16" s="137"/>
      <c r="D16" s="137"/>
      <c r="E16" s="137"/>
      <c r="F16" s="137"/>
      <c r="G16" s="137"/>
      <c r="H16" s="137"/>
      <c r="I16" s="137"/>
      <c r="J16" s="138"/>
      <c r="K16" s="139" t="s">
        <v>81</v>
      </c>
      <c r="L16" s="137"/>
      <c r="M16" s="137"/>
      <c r="N16" s="137"/>
      <c r="O16" s="137"/>
      <c r="P16" s="137"/>
      <c r="Q16" s="137"/>
      <c r="R16" s="137"/>
      <c r="S16" s="140"/>
    </row>
    <row r="17" spans="1:19" ht="15" customHeight="1">
      <c r="A17" s="123"/>
      <c r="B17" s="124"/>
      <c r="C17" s="124"/>
      <c r="D17" s="124"/>
      <c r="E17" s="124"/>
      <c r="F17" s="124"/>
      <c r="G17" s="124"/>
      <c r="H17" s="124"/>
      <c r="I17" s="124"/>
      <c r="J17" s="124"/>
      <c r="K17" s="124"/>
      <c r="L17" s="124"/>
      <c r="M17" s="124"/>
      <c r="N17" s="124"/>
      <c r="O17" s="124"/>
      <c r="P17" s="124"/>
      <c r="Q17" s="124"/>
      <c r="R17" s="124"/>
      <c r="S17" s="124"/>
    </row>
    <row r="18" spans="1:19" ht="15" customHeight="1">
      <c r="A18" s="123" t="s">
        <v>85</v>
      </c>
      <c r="B18" s="124"/>
      <c r="C18" s="124"/>
      <c r="D18" s="124"/>
      <c r="E18" s="124"/>
      <c r="F18" s="124"/>
      <c r="G18" s="124"/>
      <c r="H18" s="124"/>
      <c r="I18" s="124"/>
      <c r="J18" s="124"/>
      <c r="K18" s="124"/>
      <c r="L18" s="124"/>
      <c r="M18" s="124"/>
      <c r="N18" s="124"/>
      <c r="O18" s="124"/>
      <c r="P18" s="124"/>
      <c r="Q18" s="124"/>
      <c r="R18" s="124"/>
      <c r="S18" s="124"/>
    </row>
    <row r="19" spans="1:19" ht="15" customHeight="1">
      <c r="A19" s="123" t="s">
        <v>55</v>
      </c>
      <c r="B19" s="124"/>
      <c r="C19" s="124"/>
      <c r="D19" s="124"/>
      <c r="E19" s="124"/>
      <c r="F19" s="124"/>
      <c r="G19" s="124"/>
      <c r="H19" s="124"/>
      <c r="I19" s="124"/>
      <c r="J19" s="124"/>
      <c r="K19" s="124"/>
      <c r="L19" s="124"/>
      <c r="M19" s="124"/>
      <c r="N19" s="124"/>
      <c r="O19" s="124"/>
      <c r="P19" s="124"/>
      <c r="Q19" s="124"/>
      <c r="R19" s="124"/>
      <c r="S19" s="124"/>
    </row>
    <row r="20" spans="1:19" ht="15" customHeight="1">
      <c r="A20" s="123" t="s">
        <v>68</v>
      </c>
      <c r="B20" s="124"/>
      <c r="C20" s="124"/>
      <c r="D20" s="124"/>
      <c r="E20" s="124"/>
      <c r="F20" s="124"/>
      <c r="G20" s="124"/>
      <c r="H20" s="124"/>
      <c r="I20" s="124"/>
      <c r="J20" s="124"/>
      <c r="K20" s="124"/>
      <c r="L20" s="124"/>
      <c r="M20" s="124"/>
      <c r="N20" s="124"/>
      <c r="O20" s="124"/>
      <c r="P20" s="124"/>
      <c r="Q20" s="124"/>
      <c r="R20" s="124"/>
      <c r="S20" s="124"/>
    </row>
    <row r="21" spans="1:19" ht="15" customHeight="1">
      <c r="A21" s="123" t="s">
        <v>1</v>
      </c>
      <c r="B21" s="124"/>
      <c r="C21" s="124"/>
      <c r="D21" s="124"/>
      <c r="E21" s="124"/>
      <c r="F21" s="124"/>
      <c r="G21" s="124"/>
      <c r="H21" s="124"/>
      <c r="I21" s="124"/>
      <c r="J21" s="124"/>
      <c r="K21" s="124"/>
      <c r="L21" s="124"/>
      <c r="M21" s="124"/>
      <c r="N21" s="124"/>
      <c r="O21" s="124"/>
      <c r="P21" s="124"/>
      <c r="Q21" s="124"/>
      <c r="R21" s="124"/>
      <c r="S21" s="124"/>
    </row>
    <row r="22" spans="1:19" ht="15" customHeight="1">
      <c r="A22" s="123" t="s">
        <v>84</v>
      </c>
      <c r="B22" s="124"/>
      <c r="C22" s="124"/>
      <c r="D22" s="124"/>
      <c r="E22" s="124"/>
      <c r="F22" s="124"/>
      <c r="G22" s="124"/>
      <c r="H22" s="124"/>
      <c r="I22" s="124"/>
      <c r="J22" s="124"/>
      <c r="K22" s="124"/>
      <c r="L22" s="124"/>
      <c r="M22" s="124"/>
      <c r="N22" s="124"/>
      <c r="O22" s="124"/>
      <c r="P22" s="124"/>
      <c r="Q22" s="124"/>
      <c r="R22" s="124"/>
      <c r="S22" s="124"/>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A9:B9"/>
    <mergeCell ref="C9:J9"/>
    <mergeCell ref="K9:L9"/>
    <mergeCell ref="M9:S9"/>
    <mergeCell ref="A10:C10"/>
    <mergeCell ref="D10:J10"/>
    <mergeCell ref="K10:L10"/>
    <mergeCell ref="M10:S10"/>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5.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15</vt:i4>
      </vt:variant>
    </vt:vector>
  </HeadingPairs>
  <TitlesOfParts>
    <vt:vector size="20" baseType="lpstr">
      <vt:lpstr>PPI 001</vt:lpstr>
      <vt:lpstr>PPI 002</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2012-04-20T15:03:10Z</dcterms:modified>
</cp:coreProperties>
</file>