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570" yWindow="-1800" windowWidth="1980" windowHeight="13020"/>
  </bookViews>
  <sheets>
    <sheet name="Sheet1" sheetId="1" r:id="rId1"/>
  </sheets>
  <definedNames>
    <definedName name="_xlnm.Print_Area" localSheetId="0">Sheet1!$A$1:$AK$72</definedName>
    <definedName name="_xlnm.Print_Titles" localSheetId="0">Sheet1!$A:$C</definedName>
  </definedNames>
  <calcPr calcId="145621" fullCalcOnLoad="1"/>
</workbook>
</file>

<file path=xl/calcChain.xml><?xml version="1.0" encoding="utf-8"?>
<calcChain xmlns="http://schemas.openxmlformats.org/spreadsheetml/2006/main">
  <c r="AK59" i="1"/>
  <c r="AK58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40"/>
  <c r="AI57"/>
  <c r="AI41"/>
  <c r="AI42"/>
  <c r="AI43"/>
  <c r="AI44"/>
  <c r="AI58"/>
  <c r="AI45"/>
  <c r="AI46"/>
  <c r="AI47"/>
  <c r="AI48"/>
  <c r="AI49"/>
  <c r="AI50"/>
  <c r="AI51"/>
  <c r="AI52"/>
  <c r="AI53"/>
  <c r="AI54"/>
  <c r="AI55"/>
  <c r="AI56"/>
  <c r="AI40"/>
  <c r="AK7"/>
  <c r="AK8"/>
  <c r="AK9"/>
  <c r="AK10"/>
  <c r="AK11"/>
  <c r="AK12"/>
  <c r="AK13"/>
  <c r="AK14"/>
  <c r="AK15"/>
  <c r="AK16"/>
  <c r="AK17"/>
  <c r="AK18"/>
  <c r="AK19"/>
  <c r="AK6"/>
  <c r="AK5"/>
  <c r="AI7"/>
  <c r="AI8"/>
  <c r="AI9"/>
  <c r="AI10"/>
  <c r="AI11"/>
  <c r="AI12"/>
  <c r="AI13"/>
  <c r="AI14"/>
  <c r="AI20"/>
  <c r="AI15"/>
  <c r="AI16"/>
  <c r="AI17"/>
  <c r="AI18"/>
  <c r="AI19"/>
  <c r="AI6"/>
  <c r="AI5"/>
  <c r="AF5"/>
  <c r="AG31"/>
  <c r="AG22"/>
  <c r="AG20"/>
  <c r="AF20"/>
  <c r="AG58"/>
  <c r="AE58"/>
  <c r="AC58"/>
  <c r="AA58"/>
  <c r="Y58"/>
  <c r="S58"/>
  <c r="O58"/>
  <c r="M58"/>
  <c r="E58"/>
  <c r="AK31"/>
  <c r="AK20"/>
  <c r="AK60"/>
  <c r="AJ20"/>
  <c r="AG19"/>
  <c r="AG7"/>
  <c r="AG8"/>
  <c r="AG9"/>
  <c r="AG10"/>
  <c r="AG11"/>
  <c r="AG12"/>
  <c r="AG13"/>
  <c r="AG14"/>
  <c r="AG15"/>
  <c r="AG16"/>
  <c r="AG17"/>
  <c r="AG18"/>
  <c r="AG6"/>
  <c r="AG5"/>
  <c r="Q59"/>
  <c r="Q60"/>
  <c r="Q27"/>
  <c r="AI31"/>
  <c r="AH20"/>
  <c r="AG39"/>
  <c r="AG38"/>
  <c r="AG37"/>
  <c r="AG36"/>
  <c r="AG35"/>
  <c r="AG34"/>
  <c r="AG33"/>
  <c r="AG30"/>
  <c r="AG29"/>
  <c r="AG28"/>
  <c r="AG27"/>
  <c r="AG26"/>
  <c r="AG25"/>
  <c r="AG24"/>
  <c r="AG23"/>
  <c r="AF19"/>
  <c r="AF18"/>
  <c r="AF17"/>
  <c r="AF16"/>
  <c r="AF15"/>
  <c r="AF14"/>
  <c r="AF13"/>
  <c r="AF12"/>
  <c r="AF11"/>
  <c r="AF10"/>
  <c r="AF9"/>
  <c r="AF8"/>
  <c r="AF7"/>
  <c r="AF6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1"/>
  <c r="AD20"/>
  <c r="AE19"/>
  <c r="AE17"/>
  <c r="AE14"/>
  <c r="AE12"/>
  <c r="AE11"/>
  <c r="AE10"/>
  <c r="AE8"/>
  <c r="AE7"/>
  <c r="AE6"/>
  <c r="AE5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1"/>
  <c r="AB20"/>
  <c r="AC19"/>
  <c r="AC17"/>
  <c r="AC14"/>
  <c r="AC12"/>
  <c r="AC11"/>
  <c r="AC10"/>
  <c r="AC8"/>
  <c r="AC7"/>
  <c r="AC6"/>
  <c r="AC5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1"/>
  <c r="Z20"/>
  <c r="AA19"/>
  <c r="AA17"/>
  <c r="AA14"/>
  <c r="AA12"/>
  <c r="AA11"/>
  <c r="AA10"/>
  <c r="AA8"/>
  <c r="AA7"/>
  <c r="AA6"/>
  <c r="AA5"/>
  <c r="M5"/>
  <c r="M6"/>
  <c r="M7"/>
  <c r="M8"/>
  <c r="M10"/>
  <c r="M11"/>
  <c r="M12"/>
  <c r="M14"/>
  <c r="M17"/>
  <c r="M19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L20"/>
  <c r="E5"/>
  <c r="E6"/>
  <c r="E7"/>
  <c r="E8"/>
  <c r="E10"/>
  <c r="E11"/>
  <c r="E12"/>
  <c r="E14"/>
  <c r="E17"/>
  <c r="E19"/>
  <c r="E31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G5"/>
  <c r="G6"/>
  <c r="G7"/>
  <c r="G8"/>
  <c r="G10"/>
  <c r="G11"/>
  <c r="G12"/>
  <c r="G14"/>
  <c r="G17"/>
  <c r="G19"/>
  <c r="G31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I5"/>
  <c r="I6"/>
  <c r="I7"/>
  <c r="I8"/>
  <c r="I10"/>
  <c r="I11"/>
  <c r="I12"/>
  <c r="I14"/>
  <c r="I17"/>
  <c r="I19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K5"/>
  <c r="K6"/>
  <c r="K7"/>
  <c r="K8"/>
  <c r="K10"/>
  <c r="K11"/>
  <c r="K12"/>
  <c r="K14"/>
  <c r="K17"/>
  <c r="K19"/>
  <c r="K31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O5"/>
  <c r="O6"/>
  <c r="O7"/>
  <c r="O8"/>
  <c r="O10"/>
  <c r="O11"/>
  <c r="O12"/>
  <c r="O14"/>
  <c r="O17"/>
  <c r="O19"/>
  <c r="O31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S5"/>
  <c r="S6"/>
  <c r="S7"/>
  <c r="S8"/>
  <c r="S10"/>
  <c r="S11"/>
  <c r="S12"/>
  <c r="S14"/>
  <c r="S17"/>
  <c r="S19"/>
  <c r="S31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U5"/>
  <c r="U6"/>
  <c r="U7"/>
  <c r="U8"/>
  <c r="U10"/>
  <c r="U11"/>
  <c r="U12"/>
  <c r="U14"/>
  <c r="U17"/>
  <c r="U19"/>
  <c r="U31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W5"/>
  <c r="W6"/>
  <c r="W7"/>
  <c r="W8"/>
  <c r="W10"/>
  <c r="W11"/>
  <c r="W12"/>
  <c r="W14"/>
  <c r="W17"/>
  <c r="W19"/>
  <c r="W31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Y5"/>
  <c r="Y6"/>
  <c r="Y7"/>
  <c r="Y8"/>
  <c r="Y10"/>
  <c r="Y11"/>
  <c r="Y12"/>
  <c r="Y14"/>
  <c r="Y17"/>
  <c r="Y19"/>
  <c r="Y31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D20"/>
  <c r="F20"/>
  <c r="H20"/>
  <c r="J20"/>
  <c r="N20"/>
  <c r="R20"/>
  <c r="T20"/>
  <c r="V20"/>
  <c r="X20"/>
  <c r="I20"/>
  <c r="AA20"/>
  <c r="AC20"/>
  <c r="AE20"/>
  <c r="Y20"/>
  <c r="S20"/>
  <c r="AG40"/>
  <c r="AG52"/>
  <c r="AG44"/>
  <c r="U58"/>
  <c r="U20"/>
  <c r="AG42"/>
  <c r="K58"/>
  <c r="AG54"/>
  <c r="AG46"/>
  <c r="W58"/>
  <c r="O20"/>
  <c r="G58"/>
  <c r="G20"/>
  <c r="G59"/>
  <c r="AG53"/>
  <c r="AG45"/>
  <c r="AG55"/>
  <c r="AG51"/>
  <c r="I58"/>
  <c r="AG50"/>
  <c r="M20"/>
  <c r="AG43"/>
  <c r="AG57"/>
  <c r="AG49"/>
  <c r="AG41"/>
  <c r="AA59"/>
  <c r="AA60"/>
  <c r="AG47"/>
  <c r="K20"/>
  <c r="W20"/>
  <c r="AG56"/>
  <c r="AG48"/>
  <c r="O59"/>
  <c r="O60"/>
  <c r="E20"/>
  <c r="AE59"/>
  <c r="AE60"/>
  <c r="U59"/>
  <c r="Y59"/>
  <c r="Y60"/>
  <c r="W59"/>
  <c r="K59"/>
  <c r="I59"/>
  <c r="AC59"/>
  <c r="AC60"/>
  <c r="M59"/>
  <c r="M60"/>
  <c r="S59"/>
  <c r="S60"/>
  <c r="E59"/>
  <c r="E60"/>
  <c r="AG60"/>
  <c r="AI59"/>
  <c r="AI60"/>
</calcChain>
</file>

<file path=xl/sharedStrings.xml><?xml version="1.0" encoding="utf-8"?>
<sst xmlns="http://schemas.openxmlformats.org/spreadsheetml/2006/main" count="182" uniqueCount="88">
  <si>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</si>
  <si>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</si>
  <si>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</si>
  <si>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</si>
  <si>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</si>
  <si>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</si>
  <si>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</si>
  <si>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</si>
  <si>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</si>
  <si>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</si>
  <si>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</si>
  <si>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</si>
  <si>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</si>
  <si>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</si>
  <si>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</si>
  <si>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</si>
  <si>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Analytical Laboratory (Groundwater)</t>
  </si>
  <si>
    <t>SUBCONTRACTOR / VENDOR SUBTOTAL</t>
  </si>
  <si>
    <t>OTHER DIRECT COSTS</t>
  </si>
  <si>
    <t>RATE</t>
  </si>
  <si>
    <t>Include mark-up in costs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</si>
  <si>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</si>
  <si>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</si>
  <si>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</si>
  <si>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</si>
  <si>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</si>
  <si>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</si>
  <si>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</si>
  <si>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</si>
  <si>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</si>
  <si>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</si>
  <si>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</si>
  <si>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</si>
  <si>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</si>
  <si>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</si>
  <si>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</si>
  <si>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</si>
  <si>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</si>
  <si>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</si>
  <si>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</si>
  <si>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</si>
  <si>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</si>
  <si>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</si>
  <si>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</si>
  <si>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</si>
  <si>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</si>
  <si>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</si>
  <si>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</si>
  <si>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</si>
  <si>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</si>
  <si>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</si>
  <si>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</si>
  <si>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Driller</t>
  </si>
  <si>
    <t>Provide bid daily rates and change equipment types as needed.  For each subtask, provide the number of units</t>
  </si>
  <si>
    <r>
      <rPr>
        <b/>
        <sz val="8"/>
        <rFont val="Arial"/>
        <family val="2"/>
      </rPr>
      <t xml:space="preserve">Costs for Subs/Vendors must include </t>
    </r>
    <r>
      <rPr>
        <b/>
        <u/>
        <sz val="8"/>
        <rFont val="Arial"/>
        <family val="2"/>
      </rPr>
      <t>base cost plus mark-up</t>
    </r>
    <r>
      <rPr>
        <b/>
        <sz val="8"/>
        <rFont val="Arial"/>
        <family val="2"/>
      </rPr>
      <t>, if any. Change subcontractor / vendor type as needed</t>
    </r>
  </si>
  <si>
    <t>Change Title of Labor Category Where Appropriate and Hourly Rates for Each Labor Category</t>
  </si>
  <si>
    <t>Asst. Project Geologist/ Engineer</t>
  </si>
  <si>
    <t>Copies &amp; Report Reproduction</t>
  </si>
  <si>
    <t>MILESTONE DESCRIPTION</t>
  </si>
  <si>
    <t>BID TOTAL</t>
  </si>
  <si>
    <t>Milestone B.                                                Carbon Change-out and Disposal</t>
  </si>
  <si>
    <t>Milestone D.                                                      Installation, Surveying, Development and Initial Sampling of One Deep Groundwater Monitoring Well (MW-4D) and Sampling of On-Site Potable Water Supply Well</t>
  </si>
  <si>
    <t>Milestone E.                                                           Comprehensive Gauging and Sampling of Nine Groundwater Monitoring Wells (MW-1 through MW-8; MW-4D) and Sampling of On-Site Potable Water Supply Well</t>
  </si>
  <si>
    <t>Milestone F.                                                     Conduct Single Well Hydraulic Conductivity Tests (Slug Tests)</t>
  </si>
  <si>
    <t>Milestone G.                                       Conduct Confirmatory Round of Soil Vapor Sampling</t>
  </si>
  <si>
    <t>Milestone H.                                                    Preparation and Submittal of SCR or Site Characterization Progress Report</t>
  </si>
  <si>
    <t xml:space="preserve">Contingent Cost Adder -                       Milestone I.                                                 Installation, Surveying, Development and Initial Sampling of Two Additional Deep Groundwater Monitoring Wells (MW-9D and MW-10D) and Sampling of On-Site Potable Water Supply Well                     </t>
  </si>
  <si>
    <t xml:space="preserve">Contingent Cost Adder -                         Milestone J.                                 Additional Comprehensive Gauging and Sampling of 11 Groundwater Monitoring Wells (MW-1 through MW-8; MW-4D, MW-9D and MW-10D) and On-Site Potable Water Supply Well                  </t>
  </si>
  <si>
    <t>Sub-Milestones</t>
  </si>
  <si>
    <t>Milestone A.                                                                                                         Quarterly O &amp; M and Sampling of On-Site Potable Water Supply Treatment System for Two Quarters</t>
  </si>
  <si>
    <t>Milestone C.                                                                                                                                  Monthly Vac-Out Events on Monitoring Wells MW-1, MW-2 and MW-4 for Three Months           (1 Quarter)</t>
  </si>
  <si>
    <t>NA</t>
  </si>
  <si>
    <t>Milestone C1.                                                Monthly Vac-outs for Three Months</t>
  </si>
  <si>
    <t>Milestone C2.                                                      Unit Cost for Groundwater Disposal</t>
  </si>
  <si>
    <t>Anticipated # of Milestone Payments</t>
  </si>
  <si>
    <t>Milestones A1 - A2.                                  Two Quarters of Quarterly O &amp; M and Sampling of On-Site Potable Water Supply Treatment System</t>
  </si>
  <si>
    <t>Total Milestone Cost</t>
  </si>
  <si>
    <t>Cost Per Sub-Milestone (TOTAL LABOR + SUBS + ODCs)</t>
  </si>
  <si>
    <t>Vac-Truck &amp; Operator</t>
  </si>
  <si>
    <t>Groundwater Disposal Only (Vac-outs)</t>
  </si>
  <si>
    <t>Schedule of Unit Rates</t>
  </si>
  <si>
    <t>Additional / Reduced Cost per Unit</t>
  </si>
  <si>
    <t>Notes</t>
  </si>
  <si>
    <t xml:space="preserve">In accordance with the Request for Bid, bidders must submit separate unit rates for each expected labor category and a rate schedule that will be used for any out-of-scope work.  Failure to submit applicable unit rate schedules (separate from Attachment 2) will deem the submitted bid incomplete and/or non-responsive. </t>
  </si>
  <si>
    <t>Milestone C2. - Fixed per gallon unit rate for disposal of groundwater during vac-out events ($/gallon)</t>
  </si>
  <si>
    <t>Bidders shall enter costs for each Direct Cost/Subcontracted Cost based on the proposed payment for achieving each sub-milestone.  The total cost for completion of each milestone will be the "Cost per Sub-Milestone" multiplied by the "Anticipated # of Milestone Payments"</t>
  </si>
  <si>
    <r>
      <t>SUBCONTRACTORS / VENDORS</t>
    </r>
    <r>
      <rPr>
        <b/>
        <vertAlign val="superscript"/>
        <sz val="9"/>
        <color indexed="12"/>
        <rFont val="Arial"/>
        <family val="2"/>
      </rPr>
      <t>1</t>
    </r>
  </si>
  <si>
    <t>1 - Details related to subcontracted costs are required by the Solicitor.  Copies of Subcontractor quotations shall be provided separately in the bid response to assist in the bid evaluation.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</si>
</sst>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2">
    <font>
      <sz val="10"/>
      <name val="Arial"/>
    </font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4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vertAlign val="superscript"/>
      <sz val="9"/>
      <color indexed="12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1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150">
    <xf numFmtId="0" fontId="0" fillId="0" borderId="0" xfId="0"/>
    <xf numFmtId="0" fontId="4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5" fillId="24" borderId="11" xfId="0" applyFont="1" applyFill="1" applyBorder="1" applyProtection="1">
      <protection locked="0"/>
    </xf>
    <xf numFmtId="0" fontId="4" fillId="25" borderId="12" xfId="0" applyFont="1" applyFill="1" applyBorder="1" applyAlignment="1" applyProtection="1">
      <alignment horizontal="center"/>
      <protection locked="0"/>
    </xf>
    <xf numFmtId="0" fontId="6" fillId="0" borderId="13" xfId="0" applyFont="1" applyBorder="1" applyProtection="1">
      <protection locked="0"/>
    </xf>
    <xf numFmtId="0" fontId="4" fillId="0" borderId="0" xfId="0" applyFont="1" applyBorder="1" applyProtection="1">
      <protection locked="0"/>
    </xf>
    <xf numFmtId="164" fontId="4" fillId="26" borderId="14" xfId="0" applyNumberFormat="1" applyFont="1" applyFill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164" fontId="4" fillId="0" borderId="15" xfId="0" applyNumberFormat="1" applyFont="1" applyBorder="1" applyAlignment="1" applyProtection="1">
      <alignment horizontal="center"/>
    </xf>
    <xf numFmtId="164" fontId="4" fillId="0" borderId="16" xfId="0" applyNumberFormat="1" applyFont="1" applyBorder="1" applyAlignment="1" applyProtection="1">
      <alignment horizontal="center"/>
    </xf>
    <xf numFmtId="0" fontId="4" fillId="0" borderId="17" xfId="0" applyFont="1" applyBorder="1" applyAlignment="1" applyProtection="1">
      <alignment horizontal="center"/>
      <protection locked="0"/>
    </xf>
    <xf numFmtId="0" fontId="6" fillId="0" borderId="10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4" fillId="27" borderId="18" xfId="0" applyFont="1" applyFill="1" applyBorder="1" applyProtection="1"/>
    <xf numFmtId="0" fontId="5" fillId="0" borderId="19" xfId="0" applyFont="1" applyBorder="1" applyAlignment="1" applyProtection="1">
      <alignment horizontal="center"/>
    </xf>
    <xf numFmtId="164" fontId="5" fillId="0" borderId="20" xfId="0" applyNumberFormat="1" applyFont="1" applyBorder="1" applyAlignment="1" applyProtection="1">
      <alignment horizontal="center"/>
    </xf>
    <xf numFmtId="0" fontId="5" fillId="0" borderId="21" xfId="0" applyFont="1" applyBorder="1" applyProtection="1">
      <protection locked="0"/>
    </xf>
    <xf numFmtId="0" fontId="4" fillId="27" borderId="22" xfId="0" applyFont="1" applyFill="1" applyBorder="1" applyProtection="1"/>
    <xf numFmtId="0" fontId="4" fillId="27" borderId="13" xfId="0" applyFont="1" applyFill="1" applyBorder="1" applyAlignment="1" applyProtection="1">
      <alignment horizontal="center"/>
    </xf>
    <xf numFmtId="0" fontId="4" fillId="25" borderId="12" xfId="0" applyFont="1" applyFill="1" applyBorder="1" applyAlignment="1" applyProtection="1">
      <alignment horizontal="center"/>
    </xf>
    <xf numFmtId="0" fontId="4" fillId="27" borderId="17" xfId="0" applyFont="1" applyFill="1" applyBorder="1" applyAlignment="1" applyProtection="1">
      <alignment horizontal="center"/>
      <protection locked="0"/>
    </xf>
    <xf numFmtId="164" fontId="4" fillId="0" borderId="16" xfId="0" applyNumberFormat="1" applyFont="1" applyBorder="1" applyAlignment="1" applyProtection="1">
      <alignment horizontal="center"/>
      <protection locked="0"/>
    </xf>
    <xf numFmtId="0" fontId="4" fillId="27" borderId="17" xfId="0" applyFont="1" applyFill="1" applyBorder="1" applyAlignment="1" applyProtection="1">
      <alignment horizontal="center"/>
    </xf>
    <xf numFmtId="0" fontId="4" fillId="0" borderId="0" xfId="0" applyFont="1" applyFill="1" applyBorder="1" applyProtection="1">
      <protection locked="0"/>
    </xf>
    <xf numFmtId="0" fontId="4" fillId="27" borderId="23" xfId="0" applyFont="1" applyFill="1" applyBorder="1" applyAlignment="1" applyProtection="1">
      <alignment horizontal="center"/>
      <protection locked="0"/>
    </xf>
    <xf numFmtId="0" fontId="4" fillId="27" borderId="23" xfId="0" applyFont="1" applyFill="1" applyBorder="1" applyAlignment="1" applyProtection="1">
      <alignment horizontal="center"/>
    </xf>
    <xf numFmtId="0" fontId="4" fillId="27" borderId="10" xfId="0" applyFont="1" applyFill="1" applyBorder="1" applyAlignment="1" applyProtection="1">
      <alignment horizontal="center"/>
    </xf>
    <xf numFmtId="0" fontId="5" fillId="27" borderId="10" xfId="0" applyFont="1" applyFill="1" applyBorder="1" applyAlignment="1" applyProtection="1">
      <alignment horizontal="center"/>
    </xf>
    <xf numFmtId="0" fontId="4" fillId="25" borderId="10" xfId="0" applyFont="1" applyFill="1" applyBorder="1" applyAlignment="1" applyProtection="1">
      <alignment horizontal="center"/>
    </xf>
    <xf numFmtId="0" fontId="5" fillId="27" borderId="0" xfId="0" applyFont="1" applyFill="1" applyBorder="1" applyProtection="1"/>
    <xf numFmtId="0" fontId="6" fillId="0" borderId="17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5" fillId="27" borderId="0" xfId="0" applyFont="1" applyFill="1" applyBorder="1" applyAlignment="1" applyProtection="1">
      <alignment horizontal="center"/>
    </xf>
    <xf numFmtId="164" fontId="5" fillId="0" borderId="15" xfId="0" applyNumberFormat="1" applyFont="1" applyBorder="1" applyAlignment="1" applyProtection="1">
      <alignment horizontal="center"/>
    </xf>
    <xf numFmtId="0" fontId="5" fillId="27" borderId="17" xfId="0" applyFont="1" applyFill="1" applyBorder="1" applyAlignment="1" applyProtection="1">
      <alignment horizontal="center"/>
    </xf>
    <xf numFmtId="0" fontId="6" fillId="0" borderId="24" xfId="0" applyFont="1" applyBorder="1" applyProtection="1">
      <protection locked="0"/>
    </xf>
    <xf numFmtId="164" fontId="5" fillId="0" borderId="25" xfId="0" applyNumberFormat="1" applyFont="1" applyBorder="1" applyAlignment="1" applyProtection="1">
      <alignment horizontal="center"/>
    </xf>
    <xf numFmtId="0" fontId="7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28" borderId="17" xfId="0" applyFont="1" applyFill="1" applyBorder="1" applyAlignment="1" applyProtection="1">
      <alignment horizontal="center"/>
      <protection locked="0"/>
    </xf>
    <xf numFmtId="0" fontId="4" fillId="29" borderId="12" xfId="0" applyFont="1" applyFill="1" applyBorder="1" applyAlignment="1" applyProtection="1">
      <alignment horizontal="center"/>
      <protection locked="0"/>
    </xf>
    <xf numFmtId="164" fontId="4" fillId="28" borderId="15" xfId="0" applyNumberFormat="1" applyFont="1" applyFill="1" applyBorder="1" applyAlignment="1" applyProtection="1">
      <alignment horizontal="center"/>
    </xf>
    <xf numFmtId="164" fontId="4" fillId="28" borderId="16" xfId="0" applyNumberFormat="1" applyFont="1" applyFill="1" applyBorder="1" applyAlignment="1" applyProtection="1">
      <alignment horizontal="center"/>
    </xf>
    <xf numFmtId="164" fontId="5" fillId="28" borderId="20" xfId="0" applyNumberFormat="1" applyFont="1" applyFill="1" applyBorder="1" applyAlignment="1" applyProtection="1">
      <alignment horizontal="center"/>
    </xf>
    <xf numFmtId="0" fontId="4" fillId="29" borderId="12" xfId="0" applyFont="1" applyFill="1" applyBorder="1" applyAlignment="1" applyProtection="1">
      <alignment horizontal="center"/>
    </xf>
    <xf numFmtId="0" fontId="4" fillId="27" borderId="0" xfId="0" applyFont="1" applyFill="1" applyBorder="1" applyAlignment="1" applyProtection="1">
      <alignment horizontal="center"/>
      <protection locked="0"/>
    </xf>
    <xf numFmtId="164" fontId="4" fillId="28" borderId="16" xfId="0" applyNumberFormat="1" applyFont="1" applyFill="1" applyBorder="1" applyAlignment="1" applyProtection="1">
      <alignment horizontal="center"/>
      <protection locked="0"/>
    </xf>
    <xf numFmtId="0" fontId="4" fillId="27" borderId="26" xfId="0" applyFont="1" applyFill="1" applyBorder="1" applyAlignment="1" applyProtection="1">
      <alignment horizontal="center"/>
      <protection locked="0"/>
    </xf>
    <xf numFmtId="0" fontId="5" fillId="27" borderId="11" xfId="0" applyFont="1" applyFill="1" applyBorder="1" applyAlignment="1" applyProtection="1">
      <alignment horizontal="center"/>
    </xf>
    <xf numFmtId="0" fontId="4" fillId="28" borderId="0" xfId="0" applyFont="1" applyFill="1" applyBorder="1" applyAlignment="1" applyProtection="1">
      <alignment horizontal="center"/>
      <protection locked="0"/>
    </xf>
    <xf numFmtId="0" fontId="4" fillId="28" borderId="10" xfId="0" applyFont="1" applyFill="1" applyBorder="1" applyAlignment="1" applyProtection="1">
      <alignment horizontal="center"/>
      <protection locked="0"/>
    </xf>
    <xf numFmtId="164" fontId="5" fillId="28" borderId="15" xfId="0" applyNumberFormat="1" applyFont="1" applyFill="1" applyBorder="1" applyAlignment="1" applyProtection="1">
      <alignment horizontal="center"/>
    </xf>
    <xf numFmtId="164" fontId="5" fillId="28" borderId="25" xfId="0" applyNumberFormat="1" applyFont="1" applyFill="1" applyBorder="1" applyAlignment="1" applyProtection="1">
      <alignment horizontal="center"/>
    </xf>
    <xf numFmtId="0" fontId="5" fillId="0" borderId="21" xfId="0" applyFont="1" applyBorder="1" applyAlignment="1" applyProtection="1">
      <alignment horizontal="center"/>
      <protection locked="0"/>
    </xf>
    <xf numFmtId="0" fontId="4" fillId="29" borderId="10" xfId="0" applyFont="1" applyFill="1" applyBorder="1" applyAlignment="1" applyProtection="1">
      <alignment horizontal="center"/>
    </xf>
    <xf numFmtId="0" fontId="6" fillId="0" borderId="13" xfId="0" applyFont="1" applyBorder="1" applyAlignment="1" applyProtection="1">
      <alignment horizontal="left"/>
      <protection locked="0"/>
    </xf>
    <xf numFmtId="4" fontId="4" fillId="0" borderId="0" xfId="0" applyNumberFormat="1" applyFont="1" applyBorder="1" applyAlignment="1" applyProtection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4" fillId="25" borderId="11" xfId="0" applyFont="1" applyFill="1" applyBorder="1" applyAlignment="1" applyProtection="1">
      <alignment horizontal="center"/>
    </xf>
    <xf numFmtId="4" fontId="4" fillId="0" borderId="10" xfId="0" applyNumberFormat="1" applyFont="1" applyBorder="1" applyAlignment="1" applyProtection="1">
      <alignment horizontal="center"/>
    </xf>
    <xf numFmtId="164" fontId="4" fillId="0" borderId="11" xfId="0" applyNumberFormat="1" applyFont="1" applyBorder="1" applyAlignment="1" applyProtection="1">
      <alignment horizontal="center"/>
    </xf>
    <xf numFmtId="0" fontId="5" fillId="27" borderId="22" xfId="0" applyFont="1" applyFill="1" applyBorder="1" applyAlignment="1" applyProtection="1">
      <alignment horizontal="center"/>
    </xf>
    <xf numFmtId="164" fontId="4" fillId="0" borderId="19" xfId="0" applyNumberFormat="1" applyFont="1" applyBorder="1" applyAlignment="1" applyProtection="1">
      <alignment horizontal="center"/>
    </xf>
    <xf numFmtId="0" fontId="4" fillId="27" borderId="22" xfId="0" applyFont="1" applyFill="1" applyBorder="1" applyAlignment="1" applyProtection="1">
      <alignment horizontal="center"/>
    </xf>
    <xf numFmtId="0" fontId="4" fillId="27" borderId="14" xfId="0" applyFont="1" applyFill="1" applyBorder="1" applyAlignment="1" applyProtection="1">
      <alignment horizontal="center"/>
      <protection locked="0"/>
    </xf>
    <xf numFmtId="0" fontId="4" fillId="27" borderId="27" xfId="0" applyFont="1" applyFill="1" applyBorder="1" applyAlignment="1" applyProtection="1">
      <alignment horizontal="center"/>
      <protection locked="0"/>
    </xf>
    <xf numFmtId="0" fontId="5" fillId="27" borderId="18" xfId="0" applyFont="1" applyFill="1" applyBorder="1" applyAlignment="1" applyProtection="1">
      <alignment horizontal="center"/>
    </xf>
    <xf numFmtId="0" fontId="4" fillId="29" borderId="18" xfId="0" applyFont="1" applyFill="1" applyBorder="1" applyAlignment="1" applyProtection="1">
      <alignment horizontal="center"/>
    </xf>
    <xf numFmtId="0" fontId="5" fillId="27" borderId="14" xfId="0" applyFont="1" applyFill="1" applyBorder="1" applyProtection="1"/>
    <xf numFmtId="0" fontId="5" fillId="27" borderId="18" xfId="0" applyFont="1" applyFill="1" applyBorder="1" applyProtection="1"/>
    <xf numFmtId="0" fontId="3" fillId="24" borderId="28" xfId="0" applyFont="1" applyFill="1" applyBorder="1" applyAlignment="1" applyProtection="1">
      <alignment horizontal="center" vertical="center" wrapText="1"/>
      <protection locked="0"/>
    </xf>
    <xf numFmtId="0" fontId="4" fillId="25" borderId="10" xfId="0" applyFont="1" applyFill="1" applyBorder="1" applyAlignment="1" applyProtection="1">
      <alignment horizontal="center" wrapText="1"/>
      <protection locked="0"/>
    </xf>
    <xf numFmtId="0" fontId="6" fillId="24" borderId="18" xfId="0" applyFont="1" applyFill="1" applyBorder="1" applyAlignment="1" applyProtection="1">
      <alignment horizontal="center" wrapText="1"/>
      <protection locked="0"/>
    </xf>
    <xf numFmtId="4" fontId="5" fillId="28" borderId="28" xfId="0" applyNumberFormat="1" applyFont="1" applyFill="1" applyBorder="1" applyAlignment="1" applyProtection="1">
      <alignment horizontal="center"/>
    </xf>
    <xf numFmtId="0" fontId="4" fillId="25" borderId="11" xfId="0" applyFont="1" applyFill="1" applyBorder="1" applyAlignment="1" applyProtection="1">
      <alignment horizontal="center"/>
      <protection locked="0"/>
    </xf>
    <xf numFmtId="164" fontId="4" fillId="0" borderId="0" xfId="0" applyNumberFormat="1" applyFont="1" applyBorder="1" applyAlignment="1" applyProtection="1">
      <alignment horizontal="center"/>
      <protection locked="0"/>
    </xf>
    <xf numFmtId="0" fontId="4" fillId="25" borderId="19" xfId="0" applyFont="1" applyFill="1" applyBorder="1" applyAlignment="1" applyProtection="1">
      <alignment horizontal="center"/>
    </xf>
    <xf numFmtId="0" fontId="4" fillId="25" borderId="20" xfId="0" applyFont="1" applyFill="1" applyBorder="1" applyAlignment="1" applyProtection="1">
      <alignment horizontal="center"/>
    </xf>
    <xf numFmtId="0" fontId="4" fillId="25" borderId="10" xfId="0" applyFont="1" applyFill="1" applyBorder="1" applyAlignment="1" applyProtection="1">
      <alignment horizontal="center"/>
      <protection locked="0"/>
    </xf>
    <xf numFmtId="0" fontId="4" fillId="29" borderId="10" xfId="0" applyFont="1" applyFill="1" applyBorder="1" applyAlignment="1" applyProtection="1">
      <alignment horizontal="center"/>
      <protection locked="0"/>
    </xf>
    <xf numFmtId="0" fontId="3" fillId="30" borderId="11" xfId="0" applyFont="1" applyFill="1" applyBorder="1" applyAlignment="1" applyProtection="1">
      <alignment horizontal="center" vertical="center" wrapText="1"/>
      <protection locked="0"/>
    </xf>
    <xf numFmtId="0" fontId="3" fillId="30" borderId="12" xfId="0" applyFont="1" applyFill="1" applyBorder="1" applyAlignment="1" applyProtection="1">
      <alignment horizontal="center" vertical="center" wrapText="1"/>
      <protection locked="0"/>
    </xf>
    <xf numFmtId="0" fontId="5" fillId="0" borderId="29" xfId="0" applyFont="1" applyBorder="1" applyProtection="1">
      <protection locked="0"/>
    </xf>
    <xf numFmtId="0" fontId="5" fillId="27" borderId="29" xfId="0" applyFont="1" applyFill="1" applyBorder="1" applyProtection="1"/>
    <xf numFmtId="0" fontId="5" fillId="27" borderId="29" xfId="0" applyFont="1" applyFill="1" applyBorder="1" applyAlignment="1" applyProtection="1">
      <alignment horizontal="center"/>
    </xf>
    <xf numFmtId="164" fontId="5" fillId="0" borderId="30" xfId="0" applyNumberFormat="1" applyFont="1" applyBorder="1" applyAlignment="1" applyProtection="1">
      <alignment horizontal="center"/>
    </xf>
    <xf numFmtId="0" fontId="5" fillId="27" borderId="31" xfId="0" applyFont="1" applyFill="1" applyBorder="1" applyAlignment="1" applyProtection="1">
      <alignment horizontal="center"/>
    </xf>
    <xf numFmtId="164" fontId="5" fillId="28" borderId="30" xfId="0" applyNumberFormat="1" applyFont="1" applyFill="1" applyBorder="1" applyAlignment="1" applyProtection="1">
      <alignment horizontal="center"/>
    </xf>
    <xf numFmtId="0" fontId="5" fillId="0" borderId="19" xfId="0" applyFont="1" applyBorder="1" applyProtection="1">
      <protection locked="0"/>
    </xf>
    <xf numFmtId="0" fontId="4" fillId="31" borderId="28" xfId="0" applyFont="1" applyFill="1" applyBorder="1" applyProtection="1">
      <protection locked="0"/>
    </xf>
    <xf numFmtId="0" fontId="28" fillId="31" borderId="28" xfId="0" applyFont="1" applyFill="1" applyBorder="1" applyAlignment="1" applyProtection="1">
      <alignment horizontal="center"/>
      <protection locked="0"/>
    </xf>
    <xf numFmtId="0" fontId="4" fillId="31" borderId="28" xfId="0" applyFont="1" applyFill="1" applyBorder="1" applyAlignment="1" applyProtection="1">
      <alignment horizontal="center"/>
      <protection locked="0"/>
    </xf>
    <xf numFmtId="164" fontId="4" fillId="31" borderId="21" xfId="0" applyNumberFormat="1" applyFont="1" applyFill="1" applyBorder="1" applyAlignment="1" applyProtection="1">
      <alignment horizontal="center"/>
    </xf>
    <xf numFmtId="164" fontId="4" fillId="31" borderId="0" xfId="0" applyNumberFormat="1" applyFont="1" applyFill="1" applyBorder="1" applyAlignment="1" applyProtection="1">
      <alignment horizontal="center"/>
    </xf>
    <xf numFmtId="164" fontId="5" fillId="31" borderId="28" xfId="0" applyNumberFormat="1" applyFont="1" applyFill="1" applyBorder="1" applyAlignment="1" applyProtection="1">
      <alignment horizontal="center"/>
    </xf>
    <xf numFmtId="164" fontId="4" fillId="31" borderId="0" xfId="0" applyNumberFormat="1" applyFont="1" applyFill="1" applyBorder="1" applyAlignment="1" applyProtection="1">
      <alignment horizontal="center"/>
      <protection locked="0"/>
    </xf>
    <xf numFmtId="164" fontId="5" fillId="31" borderId="19" xfId="0" applyNumberFormat="1" applyFont="1" applyFill="1" applyBorder="1" applyAlignment="1" applyProtection="1">
      <alignment horizontal="center"/>
    </xf>
    <xf numFmtId="164" fontId="5" fillId="31" borderId="20" xfId="0" applyNumberFormat="1" applyFont="1" applyFill="1" applyBorder="1" applyAlignment="1" applyProtection="1">
      <alignment horizontal="center"/>
    </xf>
    <xf numFmtId="3" fontId="4" fillId="0" borderId="0" xfId="0" applyNumberFormat="1" applyFont="1" applyBorder="1" applyAlignment="1" applyProtection="1">
      <alignment horizontal="center"/>
      <protection locked="0"/>
    </xf>
    <xf numFmtId="0" fontId="0" fillId="32" borderId="3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21" xfId="0" applyBorder="1"/>
    <xf numFmtId="164" fontId="0" fillId="33" borderId="32" xfId="0" applyNumberFormat="1" applyFill="1" applyBorder="1" applyAlignment="1">
      <alignment horizontal="center"/>
    </xf>
    <xf numFmtId="0" fontId="0" fillId="0" borderId="11" xfId="0" applyBorder="1"/>
    <xf numFmtId="164" fontId="5" fillId="31" borderId="0" xfId="0" applyNumberFormat="1" applyFont="1" applyFill="1" applyBorder="1" applyAlignment="1" applyProtection="1">
      <alignment horizontal="center"/>
    </xf>
    <xf numFmtId="164" fontId="5" fillId="31" borderId="29" xfId="0" applyNumberFormat="1" applyFont="1" applyFill="1" applyBorder="1" applyAlignment="1" applyProtection="1">
      <alignment horizontal="center"/>
    </xf>
    <xf numFmtId="0" fontId="28" fillId="0" borderId="0" xfId="0" applyFont="1"/>
    <xf numFmtId="0" fontId="28" fillId="0" borderId="0" xfId="0" applyFont="1" applyProtection="1">
      <protection locked="0"/>
    </xf>
    <xf numFmtId="0" fontId="30" fillId="0" borderId="0" xfId="0" applyFont="1"/>
    <xf numFmtId="0" fontId="31" fillId="0" borderId="0" xfId="0" applyFont="1"/>
    <xf numFmtId="2" fontId="4" fillId="28" borderId="21" xfId="0" applyNumberFormat="1" applyFont="1" applyFill="1" applyBorder="1" applyAlignment="1" applyProtection="1">
      <alignment horizontal="center"/>
      <protection locked="0"/>
    </xf>
    <xf numFmtId="2" fontId="4" fillId="28" borderId="0" xfId="0" applyNumberFormat="1" applyFont="1" applyFill="1" applyBorder="1" applyAlignment="1" applyProtection="1">
      <alignment horizontal="center"/>
      <protection locked="0"/>
    </xf>
    <xf numFmtId="2" fontId="4" fillId="28" borderId="13" xfId="0" applyNumberFormat="1" applyFont="1" applyFill="1" applyBorder="1" applyAlignment="1" applyProtection="1">
      <alignment horizontal="center"/>
      <protection locked="0"/>
    </xf>
    <xf numFmtId="2" fontId="4" fillId="28" borderId="17" xfId="0" applyNumberFormat="1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0" fontId="4" fillId="29" borderId="20" xfId="0" applyFont="1" applyFill="1" applyBorder="1" applyAlignment="1" applyProtection="1">
      <alignment horizontal="center"/>
      <protection locked="0"/>
    </xf>
    <xf numFmtId="2" fontId="4" fillId="28" borderId="10" xfId="0" applyNumberFormat="1" applyFont="1" applyFill="1" applyBorder="1" applyAlignment="1" applyProtection="1">
      <alignment horizontal="center"/>
      <protection locked="0"/>
    </xf>
    <xf numFmtId="164" fontId="4" fillId="28" borderId="12" xfId="0" applyNumberFormat="1" applyFont="1" applyFill="1" applyBorder="1" applyAlignment="1" applyProtection="1">
      <alignment horizontal="center"/>
    </xf>
    <xf numFmtId="164" fontId="5" fillId="31" borderId="30" xfId="0" applyNumberFormat="1" applyFont="1" applyFill="1" applyBorder="1" applyAlignment="1" applyProtection="1">
      <alignment horizontal="center"/>
    </xf>
    <xf numFmtId="0" fontId="3" fillId="30" borderId="19" xfId="0" applyFont="1" applyFill="1" applyBorder="1" applyAlignment="1" applyProtection="1">
      <alignment horizontal="center" vertical="center" wrapText="1"/>
      <protection locked="0"/>
    </xf>
    <xf numFmtId="0" fontId="3" fillId="30" borderId="20" xfId="0" applyFont="1" applyFill="1" applyBorder="1" applyAlignment="1" applyProtection="1">
      <alignment horizontal="center" vertical="center" wrapText="1"/>
      <protection locked="0"/>
    </xf>
    <xf numFmtId="0" fontId="3" fillId="24" borderId="19" xfId="0" applyFont="1" applyFill="1" applyBorder="1" applyAlignment="1" applyProtection="1">
      <alignment horizontal="center" vertical="center" wrapText="1"/>
      <protection locked="0"/>
    </xf>
    <xf numFmtId="0" fontId="3" fillId="24" borderId="28" xfId="0" applyFont="1" applyFill="1" applyBorder="1" applyAlignment="1" applyProtection="1">
      <alignment horizontal="center" vertical="center" wrapText="1"/>
      <protection locked="0"/>
    </xf>
    <xf numFmtId="0" fontId="3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19" xfId="0" applyFont="1" applyFill="1" applyBorder="1" applyAlignment="1" applyProtection="1">
      <alignment horizontal="center" vertical="center" wrapText="1"/>
      <protection locked="0"/>
    </xf>
    <xf numFmtId="0" fontId="2" fillId="24" borderId="28" xfId="0" applyFont="1" applyFill="1" applyBorder="1" applyAlignment="1" applyProtection="1">
      <alignment horizontal="center" vertical="center" wrapText="1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6" borderId="33" xfId="0" applyFont="1" applyFill="1" applyBorder="1" applyAlignment="1" applyProtection="1">
      <alignment horizontal="center" vertical="center" wrapText="1"/>
      <protection locked="0"/>
    </xf>
    <xf numFmtId="0" fontId="2" fillId="26" borderId="34" xfId="0" applyFont="1" applyFill="1" applyBorder="1" applyAlignment="1" applyProtection="1">
      <alignment horizontal="center" vertical="center" wrapText="1"/>
      <protection locked="0"/>
    </xf>
    <xf numFmtId="0" fontId="2" fillId="26" borderId="35" xfId="0" applyFont="1" applyFill="1" applyBorder="1" applyAlignment="1" applyProtection="1">
      <alignment horizontal="center" vertical="center" wrapText="1"/>
      <protection locked="0"/>
    </xf>
    <xf numFmtId="0" fontId="26" fillId="26" borderId="33" xfId="0" applyFont="1" applyFill="1" applyBorder="1" applyAlignment="1" applyProtection="1">
      <alignment horizontal="center" vertical="center" wrapText="1"/>
      <protection locked="0"/>
    </xf>
    <xf numFmtId="0" fontId="3" fillId="30" borderId="28" xfId="0" applyFont="1" applyFill="1" applyBorder="1" applyAlignment="1" applyProtection="1">
      <alignment horizontal="center" vertical="center" wrapText="1"/>
      <protection locked="0"/>
    </xf>
    <xf numFmtId="0" fontId="3" fillId="28" borderId="19" xfId="0" applyFont="1" applyFill="1" applyBorder="1" applyAlignment="1" applyProtection="1">
      <alignment horizontal="center" vertical="center" wrapText="1"/>
      <protection locked="0"/>
    </xf>
    <xf numFmtId="0" fontId="3" fillId="28" borderId="20" xfId="0" applyFont="1" applyFill="1" applyBorder="1" applyAlignment="1" applyProtection="1">
      <alignment horizontal="center" vertical="center" wrapText="1"/>
      <protection locked="0"/>
    </xf>
    <xf numFmtId="0" fontId="26" fillId="26" borderId="22" xfId="0" applyFont="1" applyFill="1" applyBorder="1" applyAlignment="1" applyProtection="1">
      <alignment horizontal="center" vertical="center" wrapText="1"/>
      <protection locked="0"/>
    </xf>
    <xf numFmtId="0" fontId="2" fillId="26" borderId="14" xfId="0" applyFont="1" applyFill="1" applyBorder="1" applyAlignment="1" applyProtection="1">
      <alignment horizontal="center" vertical="center" wrapText="1"/>
      <protection locked="0"/>
    </xf>
    <xf numFmtId="0" fontId="2" fillId="26" borderId="18" xfId="0" applyFont="1" applyFill="1" applyBorder="1" applyAlignment="1" applyProtection="1">
      <alignment horizontal="center" vertical="center" wrapText="1"/>
      <protection locked="0"/>
    </xf>
    <xf numFmtId="0" fontId="2" fillId="34" borderId="13" xfId="0" applyFont="1" applyFill="1" applyBorder="1" applyAlignment="1" applyProtection="1">
      <alignment horizontal="center" vertical="center" wrapText="1"/>
      <protection locked="0"/>
    </xf>
    <xf numFmtId="0" fontId="2" fillId="34" borderId="15" xfId="0" applyFont="1" applyFill="1" applyBorder="1" applyAlignment="1" applyProtection="1">
      <alignment horizontal="center" vertical="center" wrapText="1"/>
      <protection locked="0"/>
    </xf>
    <xf numFmtId="0" fontId="2" fillId="34" borderId="17" xfId="0" applyFont="1" applyFill="1" applyBorder="1" applyAlignment="1" applyProtection="1">
      <alignment horizontal="center" vertical="center" wrapText="1"/>
      <protection locked="0"/>
    </xf>
    <xf numFmtId="0" fontId="2" fillId="34" borderId="16" xfId="0" applyFont="1" applyFill="1" applyBorder="1" applyAlignment="1" applyProtection="1">
      <alignment horizontal="center" vertical="center" wrapText="1"/>
      <protection locked="0"/>
    </xf>
    <xf numFmtId="0" fontId="2" fillId="34" borderId="10" xfId="0" applyFont="1" applyFill="1" applyBorder="1" applyAlignment="1" applyProtection="1">
      <alignment horizontal="center" vertical="center" wrapText="1"/>
      <protection locked="0"/>
    </xf>
    <xf numFmtId="0" fontId="2" fillId="34" borderId="12" xfId="0" applyFont="1" applyFill="1" applyBorder="1" applyAlignment="1" applyProtection="1">
      <alignment horizontal="center" vertical="center" wrapText="1"/>
      <protection locked="0"/>
    </xf>
    <xf numFmtId="0" fontId="0" fillId="32" borderId="19" xfId="0" applyFill="1" applyBorder="1" applyAlignment="1">
      <alignment horizontal="center" vertical="center"/>
    </xf>
    <xf numFmtId="0" fontId="0" fillId="32" borderId="28" xfId="0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28" fillId="0" borderId="19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75"/>
  <sheetViews>
    <sheetView tabSelected="1" view="pageLayout" topLeftCell="M1" zoomScale="75" zoomScaleNormal="125" zoomScalePageLayoutView="75" workbookViewId="0">
      <selection activeCell="X2" sqref="X2:Y2"/>
    </sheetView>
  </sheetViews>
  <sheetFormatPr defaultColWidth="8.7109375" defaultRowHeight="12"/>
  <cols>
    <col min="1" max="1" width="11.85546875" style="1" customWidth="1"/>
    <col min="2" max="2" width="44.85546875" style="1" customWidth="1"/>
    <col min="3" max="3" width="13.28515625" style="1" customWidth="1"/>
    <col min="4" max="4" width="17.42578125" style="1" customWidth="1"/>
    <col min="5" max="5" width="15.7109375" style="1" customWidth="1"/>
    <col min="6" max="6" width="5.7109375" style="1" hidden="1" customWidth="1"/>
    <col min="7" max="7" width="9.42578125" style="1" hidden="1" customWidth="1"/>
    <col min="8" max="8" width="5.7109375" style="1" hidden="1" customWidth="1"/>
    <col min="9" max="9" width="9.42578125" style="1" hidden="1" customWidth="1"/>
    <col min="10" max="10" width="5.7109375" style="1" hidden="1" customWidth="1"/>
    <col min="11" max="11" width="9.42578125" style="1" hidden="1" customWidth="1"/>
    <col min="12" max="12" width="16.140625" style="1" customWidth="1"/>
    <col min="13" max="13" width="13" style="1" customWidth="1"/>
    <col min="14" max="14" width="16.42578125" style="1" customWidth="1"/>
    <col min="15" max="15" width="13" style="1" customWidth="1"/>
    <col min="16" max="16" width="17.7109375" style="1" customWidth="1"/>
    <col min="17" max="17" width="7.85546875" style="1" customWidth="1"/>
    <col min="18" max="18" width="17.42578125" style="1" customWidth="1"/>
    <col min="19" max="19" width="12.5703125" style="1" customWidth="1"/>
    <col min="20" max="20" width="7.140625" style="1" hidden="1" customWidth="1"/>
    <col min="21" max="21" width="11.42578125" style="1" hidden="1" customWidth="1"/>
    <col min="22" max="22" width="5.7109375" style="1" hidden="1" customWidth="1"/>
    <col min="23" max="23" width="11.28515625" style="1" hidden="1" customWidth="1"/>
    <col min="24" max="24" width="18.28515625" style="1" customWidth="1"/>
    <col min="25" max="25" width="12" style="1" customWidth="1"/>
    <col min="26" max="26" width="18" style="1" customWidth="1"/>
    <col min="27" max="27" width="11.7109375" style="1" customWidth="1"/>
    <col min="28" max="28" width="16.28515625" style="1" customWidth="1"/>
    <col min="29" max="29" width="12.85546875" style="1" customWidth="1"/>
    <col min="30" max="30" width="17.85546875" style="1" customWidth="1"/>
    <col min="31" max="31" width="12.42578125" style="1" customWidth="1"/>
    <col min="32" max="32" width="19.85546875" style="39" customWidth="1"/>
    <col min="33" max="33" width="19.42578125" style="39" customWidth="1"/>
    <col min="34" max="34" width="15.140625" style="1" customWidth="1"/>
    <col min="35" max="36" width="15.42578125" style="1" customWidth="1"/>
    <col min="37" max="37" width="16.28515625" style="1" customWidth="1"/>
    <col min="38" max="16384" width="8.7109375" style="1"/>
  </cols>
  <sheetData>
    <row r="1" spans="1:37" ht="198" customHeight="1" thickBot="1">
      <c r="A1" s="125" t="s">
        <v>58</v>
      </c>
      <c r="B1" s="126"/>
      <c r="C1" s="127"/>
      <c r="D1" s="122" t="s">
        <v>69</v>
      </c>
      <c r="E1" s="123"/>
      <c r="F1" s="123"/>
      <c r="G1" s="123"/>
      <c r="H1" s="123"/>
      <c r="I1" s="123"/>
      <c r="J1" s="123"/>
      <c r="K1" s="123"/>
      <c r="L1" s="122" t="s">
        <v>60</v>
      </c>
      <c r="M1" s="123"/>
      <c r="N1" s="122" t="s">
        <v>70</v>
      </c>
      <c r="O1" s="123"/>
      <c r="P1" s="123"/>
      <c r="Q1" s="124"/>
      <c r="R1" s="122" t="s">
        <v>61</v>
      </c>
      <c r="S1" s="123"/>
      <c r="T1" s="71"/>
      <c r="U1" s="71"/>
      <c r="V1" s="71"/>
      <c r="W1" s="71"/>
      <c r="X1" s="122" t="s">
        <v>62</v>
      </c>
      <c r="Y1" s="124"/>
      <c r="Z1" s="122" t="s">
        <v>63</v>
      </c>
      <c r="AA1" s="124"/>
      <c r="AB1" s="122" t="s">
        <v>64</v>
      </c>
      <c r="AC1" s="123"/>
      <c r="AD1" s="122" t="s">
        <v>65</v>
      </c>
      <c r="AE1" s="123"/>
      <c r="AF1" s="138" t="s">
        <v>59</v>
      </c>
      <c r="AG1" s="139"/>
      <c r="AH1" s="133" t="s">
        <v>66</v>
      </c>
      <c r="AI1" s="134"/>
      <c r="AJ1" s="133" t="s">
        <v>67</v>
      </c>
      <c r="AK1" s="134"/>
    </row>
    <row r="2" spans="1:37" ht="87" customHeight="1" thickBot="1">
      <c r="A2" s="125" t="s">
        <v>68</v>
      </c>
      <c r="B2" s="126"/>
      <c r="C2" s="127"/>
      <c r="D2" s="120" t="s">
        <v>75</v>
      </c>
      <c r="E2" s="132"/>
      <c r="F2" s="81"/>
      <c r="G2" s="81"/>
      <c r="H2" s="81"/>
      <c r="I2" s="81"/>
      <c r="J2" s="81"/>
      <c r="K2" s="82"/>
      <c r="L2" s="120" t="s">
        <v>71</v>
      </c>
      <c r="M2" s="121"/>
      <c r="N2" s="120" t="s">
        <v>72</v>
      </c>
      <c r="O2" s="121"/>
      <c r="P2" s="120" t="s">
        <v>73</v>
      </c>
      <c r="Q2" s="121"/>
      <c r="R2" s="120" t="s">
        <v>71</v>
      </c>
      <c r="S2" s="132"/>
      <c r="T2" s="81"/>
      <c r="U2" s="81"/>
      <c r="V2" s="81"/>
      <c r="W2" s="81"/>
      <c r="X2" s="120" t="s">
        <v>71</v>
      </c>
      <c r="Y2" s="121"/>
      <c r="Z2" s="120" t="s">
        <v>71</v>
      </c>
      <c r="AA2" s="121"/>
      <c r="AB2" s="120" t="s">
        <v>71</v>
      </c>
      <c r="AC2" s="121"/>
      <c r="AD2" s="120" t="s">
        <v>71</v>
      </c>
      <c r="AE2" s="121"/>
      <c r="AF2" s="140"/>
      <c r="AG2" s="141"/>
      <c r="AH2" s="120" t="s">
        <v>71</v>
      </c>
      <c r="AI2" s="121"/>
      <c r="AJ2" s="120" t="s">
        <v>71</v>
      </c>
      <c r="AK2" s="121"/>
    </row>
    <row r="3" spans="1:37" ht="16.5" customHeight="1" thickBot="1">
      <c r="A3" s="125" t="s">
        <v>74</v>
      </c>
      <c r="B3" s="126"/>
      <c r="C3" s="127"/>
      <c r="D3" s="120">
        <v>2</v>
      </c>
      <c r="E3" s="132"/>
      <c r="F3" s="81"/>
      <c r="G3" s="81"/>
      <c r="H3" s="81"/>
      <c r="I3" s="81"/>
      <c r="J3" s="81"/>
      <c r="K3" s="82"/>
      <c r="L3" s="120">
        <v>1</v>
      </c>
      <c r="M3" s="121"/>
      <c r="N3" s="120">
        <v>1</v>
      </c>
      <c r="O3" s="121"/>
      <c r="P3" s="120">
        <v>1</v>
      </c>
      <c r="Q3" s="121"/>
      <c r="R3" s="120">
        <v>1</v>
      </c>
      <c r="S3" s="132"/>
      <c r="T3" s="81"/>
      <c r="U3" s="81"/>
      <c r="V3" s="81"/>
      <c r="W3" s="81"/>
      <c r="X3" s="120">
        <v>1</v>
      </c>
      <c r="Y3" s="121"/>
      <c r="Z3" s="120">
        <v>1</v>
      </c>
      <c r="AA3" s="121"/>
      <c r="AB3" s="120">
        <v>1</v>
      </c>
      <c r="AC3" s="121"/>
      <c r="AD3" s="120">
        <v>1</v>
      </c>
      <c r="AE3" s="121"/>
      <c r="AF3" s="142"/>
      <c r="AG3" s="143"/>
      <c r="AH3" s="120">
        <v>1</v>
      </c>
      <c r="AI3" s="121"/>
      <c r="AJ3" s="120">
        <v>1</v>
      </c>
      <c r="AK3" s="121"/>
    </row>
    <row r="4" spans="1:37" ht="12.75" thickBot="1">
      <c r="A4" s="2" t="s">
        <v>0</v>
      </c>
      <c r="B4" s="3"/>
      <c r="C4" s="73"/>
      <c r="D4" s="79" t="s">
        <v>1</v>
      </c>
      <c r="E4" s="4" t="s">
        <v>2</v>
      </c>
      <c r="F4" s="79" t="s">
        <v>1</v>
      </c>
      <c r="G4" s="4" t="s">
        <v>2</v>
      </c>
      <c r="H4" s="79" t="s">
        <v>1</v>
      </c>
      <c r="I4" s="4" t="s">
        <v>2</v>
      </c>
      <c r="J4" s="79" t="s">
        <v>1</v>
      </c>
      <c r="K4" s="4" t="s">
        <v>2</v>
      </c>
      <c r="L4" s="79" t="s">
        <v>1</v>
      </c>
      <c r="M4" s="4" t="s">
        <v>2</v>
      </c>
      <c r="N4" s="79" t="s">
        <v>1</v>
      </c>
      <c r="O4" s="4" t="s">
        <v>2</v>
      </c>
      <c r="P4" s="75" t="s">
        <v>1</v>
      </c>
      <c r="Q4" s="75" t="s">
        <v>2</v>
      </c>
      <c r="R4" s="79" t="s">
        <v>1</v>
      </c>
      <c r="S4" s="4" t="s">
        <v>2</v>
      </c>
      <c r="T4" s="79" t="s">
        <v>1</v>
      </c>
      <c r="U4" s="4" t="s">
        <v>2</v>
      </c>
      <c r="V4" s="79" t="s">
        <v>1</v>
      </c>
      <c r="W4" s="4" t="s">
        <v>2</v>
      </c>
      <c r="X4" s="79" t="s">
        <v>1</v>
      </c>
      <c r="Y4" s="4" t="s">
        <v>2</v>
      </c>
      <c r="Z4" s="79" t="s">
        <v>1</v>
      </c>
      <c r="AA4" s="4" t="s">
        <v>2</v>
      </c>
      <c r="AB4" s="79" t="s">
        <v>1</v>
      </c>
      <c r="AC4" s="4" t="s">
        <v>2</v>
      </c>
      <c r="AD4" s="79" t="s">
        <v>1</v>
      </c>
      <c r="AE4" s="4" t="s">
        <v>2</v>
      </c>
      <c r="AF4" s="72" t="s">
        <v>1</v>
      </c>
      <c r="AG4" s="4" t="s">
        <v>2</v>
      </c>
      <c r="AH4" s="80" t="s">
        <v>1</v>
      </c>
      <c r="AI4" s="116" t="s">
        <v>2</v>
      </c>
      <c r="AJ4" s="80" t="s">
        <v>1</v>
      </c>
      <c r="AK4" s="41" t="s">
        <v>2</v>
      </c>
    </row>
    <row r="5" spans="1:37">
      <c r="A5" s="5" t="s">
        <v>3</v>
      </c>
      <c r="B5" s="6" t="s">
        <v>40</v>
      </c>
      <c r="C5" s="7">
        <v>0</v>
      </c>
      <c r="D5" s="8"/>
      <c r="E5" s="9">
        <f>$C5*D5</f>
        <v>0</v>
      </c>
      <c r="F5" s="8"/>
      <c r="G5" s="9">
        <f>$C5*F5</f>
        <v>0</v>
      </c>
      <c r="H5" s="8"/>
      <c r="I5" s="9">
        <f>$C5*H5</f>
        <v>0</v>
      </c>
      <c r="J5" s="8"/>
      <c r="K5" s="9">
        <f>$C5*J5</f>
        <v>0</v>
      </c>
      <c r="L5" s="8"/>
      <c r="M5" s="9">
        <f>$C5*L5</f>
        <v>0</v>
      </c>
      <c r="N5" s="8"/>
      <c r="O5" s="9">
        <f>$C5*N5</f>
        <v>0</v>
      </c>
      <c r="P5" s="93"/>
      <c r="Q5" s="93"/>
      <c r="R5" s="8"/>
      <c r="S5" s="9">
        <f>$C5*R5</f>
        <v>0</v>
      </c>
      <c r="T5" s="8"/>
      <c r="U5" s="9">
        <f>$C5*T5</f>
        <v>0</v>
      </c>
      <c r="V5" s="8"/>
      <c r="W5" s="9">
        <f>$C5*V5</f>
        <v>0</v>
      </c>
      <c r="X5" s="8"/>
      <c r="Y5" s="9">
        <f>$C5*X5</f>
        <v>0</v>
      </c>
      <c r="Z5" s="8"/>
      <c r="AA5" s="9">
        <f>$C5*Z5</f>
        <v>0</v>
      </c>
      <c r="AB5" s="8"/>
      <c r="AC5" s="9">
        <f>$C5*AB5</f>
        <v>0</v>
      </c>
      <c r="AD5" s="8"/>
      <c r="AE5" s="9">
        <f>$C5*AD5</f>
        <v>0</v>
      </c>
      <c r="AF5" s="57">
        <f>D5+L5+N5+R5+X5+Z5+AB5+AD5</f>
        <v>0</v>
      </c>
      <c r="AG5" s="58">
        <f>E5+M5+O5+S5+Y5+AA5+AC5+AE5</f>
        <v>0</v>
      </c>
      <c r="AH5" s="113"/>
      <c r="AI5" s="42">
        <f>$C5*AH5</f>
        <v>0</v>
      </c>
      <c r="AJ5" s="111"/>
      <c r="AK5" s="42">
        <f>$C5*AJ5</f>
        <v>0</v>
      </c>
    </row>
    <row r="6" spans="1:37">
      <c r="A6" s="128" t="s">
        <v>55</v>
      </c>
      <c r="B6" s="6" t="s">
        <v>4</v>
      </c>
      <c r="C6" s="7">
        <v>0</v>
      </c>
      <c r="D6" s="11"/>
      <c r="E6" s="10">
        <f t="shared" ref="E6:E19" si="0">$C6*D6</f>
        <v>0</v>
      </c>
      <c r="F6" s="11"/>
      <c r="G6" s="10">
        <f>$C6*F6</f>
        <v>0</v>
      </c>
      <c r="H6" s="11"/>
      <c r="I6" s="10">
        <f>$C6*H6</f>
        <v>0</v>
      </c>
      <c r="J6" s="11"/>
      <c r="K6" s="10">
        <f t="shared" ref="K6:K19" si="1">$C6*J6</f>
        <v>0</v>
      </c>
      <c r="L6" s="11"/>
      <c r="M6" s="10">
        <f>$C6*L6</f>
        <v>0</v>
      </c>
      <c r="N6" s="11"/>
      <c r="O6" s="10">
        <f>$C6*N6</f>
        <v>0</v>
      </c>
      <c r="P6" s="94"/>
      <c r="Q6" s="94"/>
      <c r="R6" s="11"/>
      <c r="S6" s="10">
        <f t="shared" ref="S6:S19" si="2">$C6*R6</f>
        <v>0</v>
      </c>
      <c r="T6" s="11"/>
      <c r="U6" s="10">
        <f t="shared" ref="U6:U19" si="3">$C6*T6</f>
        <v>0</v>
      </c>
      <c r="V6" s="11"/>
      <c r="W6" s="10">
        <f>$C6*V6</f>
        <v>0</v>
      </c>
      <c r="X6" s="11"/>
      <c r="Y6" s="10">
        <f>$C6*X6</f>
        <v>0</v>
      </c>
      <c r="Z6" s="11"/>
      <c r="AA6" s="10">
        <f>$C6*Z6</f>
        <v>0</v>
      </c>
      <c r="AB6" s="11"/>
      <c r="AC6" s="10">
        <f>$C6*AB6</f>
        <v>0</v>
      </c>
      <c r="AD6" s="11"/>
      <c r="AE6" s="10">
        <f>$C6*AD6</f>
        <v>0</v>
      </c>
      <c r="AF6" s="57">
        <f>D6+L6+N6+R6+X6+Z6+AB6+AD6</f>
        <v>0</v>
      </c>
      <c r="AG6" s="58">
        <f>E6+M6+O6+S6+Y6+AA6+AC6+AE6</f>
        <v>0</v>
      </c>
      <c r="AH6" s="114"/>
      <c r="AI6" s="43">
        <f>$C6*AH6</f>
        <v>0</v>
      </c>
      <c r="AJ6" s="112"/>
      <c r="AK6" s="43">
        <f>$C6*AJ6</f>
        <v>0</v>
      </c>
    </row>
    <row r="7" spans="1:37">
      <c r="A7" s="129"/>
      <c r="B7" s="6" t="s">
        <v>5</v>
      </c>
      <c r="C7" s="7">
        <v>0</v>
      </c>
      <c r="D7" s="11"/>
      <c r="E7" s="10">
        <f t="shared" si="0"/>
        <v>0</v>
      </c>
      <c r="F7" s="11"/>
      <c r="G7" s="10">
        <f>$C7*F7</f>
        <v>0</v>
      </c>
      <c r="H7" s="11"/>
      <c r="I7" s="10">
        <f>$C7*H7</f>
        <v>0</v>
      </c>
      <c r="J7" s="11"/>
      <c r="K7" s="10">
        <f t="shared" si="1"/>
        <v>0</v>
      </c>
      <c r="L7" s="11"/>
      <c r="M7" s="10">
        <f>$C7*L7</f>
        <v>0</v>
      </c>
      <c r="N7" s="11"/>
      <c r="O7" s="10">
        <f>$C7*N7</f>
        <v>0</v>
      </c>
      <c r="P7" s="94"/>
      <c r="Q7" s="94"/>
      <c r="R7" s="11"/>
      <c r="S7" s="10">
        <f t="shared" si="2"/>
        <v>0</v>
      </c>
      <c r="T7" s="11"/>
      <c r="U7" s="10">
        <f t="shared" si="3"/>
        <v>0</v>
      </c>
      <c r="V7" s="11"/>
      <c r="W7" s="10">
        <f>$C7*V7</f>
        <v>0</v>
      </c>
      <c r="X7" s="11"/>
      <c r="Y7" s="10">
        <f>$C7*X7</f>
        <v>0</v>
      </c>
      <c r="Z7" s="11"/>
      <c r="AA7" s="10">
        <f>$C7*Z7</f>
        <v>0</v>
      </c>
      <c r="AB7" s="11"/>
      <c r="AC7" s="10">
        <f>$C7*AB7</f>
        <v>0</v>
      </c>
      <c r="AD7" s="11"/>
      <c r="AE7" s="10">
        <f>$C7*AD7</f>
        <v>0</v>
      </c>
      <c r="AF7" s="57">
        <f t="shared" ref="AF7:AF19" si="4">D7+L7+N7+R7+X7+Z7+AB7+AD7</f>
        <v>0</v>
      </c>
      <c r="AG7" s="58">
        <f t="shared" ref="AG7:AG18" si="5">E7+M7+O7+S7+Y7+AA7+AC7+AE7</f>
        <v>0</v>
      </c>
      <c r="AH7" s="114"/>
      <c r="AI7" s="43">
        <f t="shared" ref="AI7:AI19" si="6">$C7*AH7</f>
        <v>0</v>
      </c>
      <c r="AJ7" s="112"/>
      <c r="AK7" s="43">
        <f t="shared" ref="AK7:AK19" si="7">$C7*AJ7</f>
        <v>0</v>
      </c>
    </row>
    <row r="8" spans="1:37">
      <c r="A8" s="129"/>
      <c r="B8" s="6" t="s">
        <v>6</v>
      </c>
      <c r="C8" s="7">
        <v>0</v>
      </c>
      <c r="D8" s="11"/>
      <c r="E8" s="10">
        <f t="shared" si="0"/>
        <v>0</v>
      </c>
      <c r="F8" s="11"/>
      <c r="G8" s="10">
        <f>$C8*F8</f>
        <v>0</v>
      </c>
      <c r="H8" s="11"/>
      <c r="I8" s="10">
        <f>$C8*H8</f>
        <v>0</v>
      </c>
      <c r="J8" s="11"/>
      <c r="K8" s="10">
        <f t="shared" si="1"/>
        <v>0</v>
      </c>
      <c r="L8" s="11"/>
      <c r="M8" s="10">
        <f>$C8*L8</f>
        <v>0</v>
      </c>
      <c r="N8" s="11"/>
      <c r="O8" s="10">
        <f>$C8*N8</f>
        <v>0</v>
      </c>
      <c r="P8" s="94"/>
      <c r="Q8" s="94"/>
      <c r="R8" s="11"/>
      <c r="S8" s="10">
        <f t="shared" si="2"/>
        <v>0</v>
      </c>
      <c r="T8" s="11"/>
      <c r="U8" s="10">
        <f t="shared" si="3"/>
        <v>0</v>
      </c>
      <c r="V8" s="11"/>
      <c r="W8" s="10">
        <f>$C8*V8</f>
        <v>0</v>
      </c>
      <c r="X8" s="11"/>
      <c r="Y8" s="10">
        <f>$C8*X8</f>
        <v>0</v>
      </c>
      <c r="Z8" s="11"/>
      <c r="AA8" s="10">
        <f>$C8*Z8</f>
        <v>0</v>
      </c>
      <c r="AB8" s="11"/>
      <c r="AC8" s="10">
        <f>$C8*AB8</f>
        <v>0</v>
      </c>
      <c r="AD8" s="11"/>
      <c r="AE8" s="10">
        <f>$C8*AD8</f>
        <v>0</v>
      </c>
      <c r="AF8" s="57">
        <f t="shared" si="4"/>
        <v>0</v>
      </c>
      <c r="AG8" s="58">
        <f t="shared" si="5"/>
        <v>0</v>
      </c>
      <c r="AH8" s="114"/>
      <c r="AI8" s="43">
        <f t="shared" si="6"/>
        <v>0</v>
      </c>
      <c r="AJ8" s="112"/>
      <c r="AK8" s="43">
        <f t="shared" si="7"/>
        <v>0</v>
      </c>
    </row>
    <row r="9" spans="1:37">
      <c r="A9" s="129"/>
      <c r="B9" s="6" t="s">
        <v>56</v>
      </c>
      <c r="C9" s="7">
        <v>0</v>
      </c>
      <c r="D9" s="11"/>
      <c r="E9" s="10">
        <v>0</v>
      </c>
      <c r="F9" s="11"/>
      <c r="G9" s="10">
        <v>0</v>
      </c>
      <c r="H9" s="11"/>
      <c r="I9" s="10">
        <v>0</v>
      </c>
      <c r="J9" s="11"/>
      <c r="K9" s="10">
        <v>0</v>
      </c>
      <c r="L9" s="11"/>
      <c r="M9" s="10">
        <v>0</v>
      </c>
      <c r="N9" s="11"/>
      <c r="O9" s="10">
        <v>0</v>
      </c>
      <c r="P9" s="94"/>
      <c r="Q9" s="94"/>
      <c r="R9" s="11"/>
      <c r="S9" s="10">
        <v>0</v>
      </c>
      <c r="T9" s="11"/>
      <c r="U9" s="10">
        <v>0</v>
      </c>
      <c r="V9" s="11"/>
      <c r="W9" s="10">
        <v>0</v>
      </c>
      <c r="X9" s="11"/>
      <c r="Y9" s="10">
        <v>0</v>
      </c>
      <c r="Z9" s="11"/>
      <c r="AA9" s="10">
        <v>0</v>
      </c>
      <c r="AB9" s="11"/>
      <c r="AC9" s="10">
        <v>0</v>
      </c>
      <c r="AD9" s="11"/>
      <c r="AE9" s="10">
        <v>0</v>
      </c>
      <c r="AF9" s="57">
        <f t="shared" si="4"/>
        <v>0</v>
      </c>
      <c r="AG9" s="58">
        <f t="shared" si="5"/>
        <v>0</v>
      </c>
      <c r="AH9" s="114"/>
      <c r="AI9" s="43">
        <f t="shared" si="6"/>
        <v>0</v>
      </c>
      <c r="AJ9" s="112"/>
      <c r="AK9" s="43">
        <f t="shared" si="7"/>
        <v>0</v>
      </c>
    </row>
    <row r="10" spans="1:37">
      <c r="A10" s="129"/>
      <c r="B10" s="6" t="s">
        <v>7</v>
      </c>
      <c r="C10" s="7">
        <v>0</v>
      </c>
      <c r="D10" s="11"/>
      <c r="E10" s="10">
        <f t="shared" si="0"/>
        <v>0</v>
      </c>
      <c r="F10" s="11"/>
      <c r="G10" s="10">
        <f>$C10*F10</f>
        <v>0</v>
      </c>
      <c r="H10" s="11"/>
      <c r="I10" s="10">
        <f>$C10*H10</f>
        <v>0</v>
      </c>
      <c r="J10" s="11"/>
      <c r="K10" s="10">
        <f t="shared" si="1"/>
        <v>0</v>
      </c>
      <c r="L10" s="11"/>
      <c r="M10" s="10">
        <f>$C10*L10</f>
        <v>0</v>
      </c>
      <c r="N10" s="11"/>
      <c r="O10" s="10">
        <f>$C10*N10</f>
        <v>0</v>
      </c>
      <c r="P10" s="94"/>
      <c r="Q10" s="94"/>
      <c r="R10" s="11"/>
      <c r="S10" s="10">
        <f t="shared" si="2"/>
        <v>0</v>
      </c>
      <c r="T10" s="11"/>
      <c r="U10" s="10">
        <f t="shared" si="3"/>
        <v>0</v>
      </c>
      <c r="V10" s="11"/>
      <c r="W10" s="10">
        <f>$C10*V10</f>
        <v>0</v>
      </c>
      <c r="X10" s="11"/>
      <c r="Y10" s="10">
        <f>$C10*X10</f>
        <v>0</v>
      </c>
      <c r="Z10" s="11"/>
      <c r="AA10" s="10">
        <f>$C10*Z10</f>
        <v>0</v>
      </c>
      <c r="AB10" s="11"/>
      <c r="AC10" s="10">
        <f>$C10*AB10</f>
        <v>0</v>
      </c>
      <c r="AD10" s="11"/>
      <c r="AE10" s="10">
        <f>$C10*AD10</f>
        <v>0</v>
      </c>
      <c r="AF10" s="57">
        <f t="shared" si="4"/>
        <v>0</v>
      </c>
      <c r="AG10" s="58">
        <f t="shared" si="5"/>
        <v>0</v>
      </c>
      <c r="AH10" s="114"/>
      <c r="AI10" s="43">
        <f t="shared" si="6"/>
        <v>0</v>
      </c>
      <c r="AJ10" s="112"/>
      <c r="AK10" s="43">
        <f t="shared" si="7"/>
        <v>0</v>
      </c>
    </row>
    <row r="11" spans="1:37">
      <c r="A11" s="129"/>
      <c r="B11" s="6" t="s">
        <v>8</v>
      </c>
      <c r="C11" s="7">
        <v>0</v>
      </c>
      <c r="D11" s="11"/>
      <c r="E11" s="10">
        <f t="shared" si="0"/>
        <v>0</v>
      </c>
      <c r="F11" s="11"/>
      <c r="G11" s="10">
        <f>$C11*F11</f>
        <v>0</v>
      </c>
      <c r="H11" s="11"/>
      <c r="I11" s="10">
        <f>$C11*H11</f>
        <v>0</v>
      </c>
      <c r="J11" s="11"/>
      <c r="K11" s="10">
        <f t="shared" si="1"/>
        <v>0</v>
      </c>
      <c r="L11" s="11"/>
      <c r="M11" s="10">
        <f>$C11*L11</f>
        <v>0</v>
      </c>
      <c r="N11" s="11"/>
      <c r="O11" s="10">
        <f>$C11*N11</f>
        <v>0</v>
      </c>
      <c r="P11" s="94"/>
      <c r="Q11" s="94"/>
      <c r="R11" s="11"/>
      <c r="S11" s="10">
        <f t="shared" si="2"/>
        <v>0</v>
      </c>
      <c r="T11" s="11"/>
      <c r="U11" s="10">
        <f t="shared" si="3"/>
        <v>0</v>
      </c>
      <c r="V11" s="11"/>
      <c r="W11" s="10">
        <f>$C11*V11</f>
        <v>0</v>
      </c>
      <c r="X11" s="11"/>
      <c r="Y11" s="10">
        <f>$C11*X11</f>
        <v>0</v>
      </c>
      <c r="Z11" s="11"/>
      <c r="AA11" s="10">
        <f>$C11*Z11</f>
        <v>0</v>
      </c>
      <c r="AB11" s="11"/>
      <c r="AC11" s="10">
        <f>$C11*AB11</f>
        <v>0</v>
      </c>
      <c r="AD11" s="11"/>
      <c r="AE11" s="10">
        <f>$C11*AD11</f>
        <v>0</v>
      </c>
      <c r="AF11" s="57">
        <f t="shared" si="4"/>
        <v>0</v>
      </c>
      <c r="AG11" s="58">
        <f t="shared" si="5"/>
        <v>0</v>
      </c>
      <c r="AH11" s="114"/>
      <c r="AI11" s="43">
        <f t="shared" si="6"/>
        <v>0</v>
      </c>
      <c r="AJ11" s="112"/>
      <c r="AK11" s="43">
        <f t="shared" si="7"/>
        <v>0</v>
      </c>
    </row>
    <row r="12" spans="1:37">
      <c r="A12" s="129"/>
      <c r="B12" s="6" t="s">
        <v>9</v>
      </c>
      <c r="C12" s="7">
        <v>0</v>
      </c>
      <c r="D12" s="11"/>
      <c r="E12" s="10">
        <f t="shared" si="0"/>
        <v>0</v>
      </c>
      <c r="F12" s="11"/>
      <c r="G12" s="10">
        <f>$C12*F12</f>
        <v>0</v>
      </c>
      <c r="H12" s="11"/>
      <c r="I12" s="10">
        <f>$C12*H12</f>
        <v>0</v>
      </c>
      <c r="J12" s="11"/>
      <c r="K12" s="10">
        <f t="shared" si="1"/>
        <v>0</v>
      </c>
      <c r="L12" s="11"/>
      <c r="M12" s="10">
        <f>$C12*L12</f>
        <v>0</v>
      </c>
      <c r="N12" s="11"/>
      <c r="O12" s="10">
        <f>$C12*N12</f>
        <v>0</v>
      </c>
      <c r="P12" s="94"/>
      <c r="Q12" s="94"/>
      <c r="R12" s="11"/>
      <c r="S12" s="10">
        <f t="shared" si="2"/>
        <v>0</v>
      </c>
      <c r="T12" s="11"/>
      <c r="U12" s="10">
        <f t="shared" si="3"/>
        <v>0</v>
      </c>
      <c r="V12" s="11"/>
      <c r="W12" s="10">
        <f>$C12*V12</f>
        <v>0</v>
      </c>
      <c r="X12" s="11"/>
      <c r="Y12" s="10">
        <f>$C12*X12</f>
        <v>0</v>
      </c>
      <c r="Z12" s="11"/>
      <c r="AA12" s="10">
        <f>$C12*Z12</f>
        <v>0</v>
      </c>
      <c r="AB12" s="11"/>
      <c r="AC12" s="10">
        <f>$C12*AB12</f>
        <v>0</v>
      </c>
      <c r="AD12" s="11"/>
      <c r="AE12" s="10">
        <f>$C12*AD12</f>
        <v>0</v>
      </c>
      <c r="AF12" s="57">
        <f t="shared" si="4"/>
        <v>0</v>
      </c>
      <c r="AG12" s="58">
        <f t="shared" si="5"/>
        <v>0</v>
      </c>
      <c r="AH12" s="114"/>
      <c r="AI12" s="43">
        <f t="shared" si="6"/>
        <v>0</v>
      </c>
      <c r="AJ12" s="112"/>
      <c r="AK12" s="43">
        <f t="shared" si="7"/>
        <v>0</v>
      </c>
    </row>
    <row r="13" spans="1:37">
      <c r="A13" s="129"/>
      <c r="B13" s="6" t="s">
        <v>10</v>
      </c>
      <c r="C13" s="7">
        <v>0</v>
      </c>
      <c r="D13" s="11"/>
      <c r="E13" s="10">
        <v>0</v>
      </c>
      <c r="F13" s="11"/>
      <c r="G13" s="10">
        <v>0</v>
      </c>
      <c r="H13" s="11"/>
      <c r="I13" s="10">
        <v>0</v>
      </c>
      <c r="J13" s="11"/>
      <c r="K13" s="10">
        <v>0</v>
      </c>
      <c r="L13" s="11"/>
      <c r="M13" s="10">
        <v>0</v>
      </c>
      <c r="N13" s="11"/>
      <c r="O13" s="10">
        <v>0</v>
      </c>
      <c r="P13" s="94"/>
      <c r="Q13" s="94"/>
      <c r="R13" s="11"/>
      <c r="S13" s="10">
        <v>0</v>
      </c>
      <c r="T13" s="11"/>
      <c r="U13" s="10">
        <v>0</v>
      </c>
      <c r="V13" s="11"/>
      <c r="W13" s="10">
        <v>0</v>
      </c>
      <c r="X13" s="11"/>
      <c r="Y13" s="10">
        <v>0</v>
      </c>
      <c r="Z13" s="11"/>
      <c r="AA13" s="10">
        <v>0</v>
      </c>
      <c r="AB13" s="11"/>
      <c r="AC13" s="10">
        <v>0</v>
      </c>
      <c r="AD13" s="11"/>
      <c r="AE13" s="10">
        <v>0</v>
      </c>
      <c r="AF13" s="57">
        <f t="shared" si="4"/>
        <v>0</v>
      </c>
      <c r="AG13" s="58">
        <f t="shared" si="5"/>
        <v>0</v>
      </c>
      <c r="AH13" s="114"/>
      <c r="AI13" s="43">
        <f t="shared" si="6"/>
        <v>0</v>
      </c>
      <c r="AJ13" s="112"/>
      <c r="AK13" s="43">
        <f t="shared" si="7"/>
        <v>0</v>
      </c>
    </row>
    <row r="14" spans="1:37">
      <c r="A14" s="129"/>
      <c r="B14" s="6" t="s">
        <v>11</v>
      </c>
      <c r="C14" s="7">
        <v>0</v>
      </c>
      <c r="D14" s="11"/>
      <c r="E14" s="10">
        <f t="shared" si="0"/>
        <v>0</v>
      </c>
      <c r="F14" s="11"/>
      <c r="G14" s="10">
        <f>$C14*F14</f>
        <v>0</v>
      </c>
      <c r="H14" s="11"/>
      <c r="I14" s="10">
        <f>$C14*H14</f>
        <v>0</v>
      </c>
      <c r="J14" s="11"/>
      <c r="K14" s="10">
        <f t="shared" si="1"/>
        <v>0</v>
      </c>
      <c r="L14" s="11"/>
      <c r="M14" s="10">
        <f>$C14*L14</f>
        <v>0</v>
      </c>
      <c r="N14" s="11"/>
      <c r="O14" s="10">
        <f>$C14*N14</f>
        <v>0</v>
      </c>
      <c r="P14" s="94"/>
      <c r="Q14" s="94"/>
      <c r="R14" s="11"/>
      <c r="S14" s="10">
        <f t="shared" si="2"/>
        <v>0</v>
      </c>
      <c r="T14" s="11"/>
      <c r="U14" s="10">
        <f t="shared" si="3"/>
        <v>0</v>
      </c>
      <c r="V14" s="11"/>
      <c r="W14" s="10">
        <f>$C14*V14</f>
        <v>0</v>
      </c>
      <c r="X14" s="11"/>
      <c r="Y14" s="10">
        <f>$C14*X14</f>
        <v>0</v>
      </c>
      <c r="Z14" s="11"/>
      <c r="AA14" s="10">
        <f>$C14*Z14</f>
        <v>0</v>
      </c>
      <c r="AB14" s="11"/>
      <c r="AC14" s="10">
        <f>$C14*AB14</f>
        <v>0</v>
      </c>
      <c r="AD14" s="11"/>
      <c r="AE14" s="10">
        <f>$C14*AD14</f>
        <v>0</v>
      </c>
      <c r="AF14" s="57">
        <f t="shared" si="4"/>
        <v>0</v>
      </c>
      <c r="AG14" s="58">
        <f t="shared" si="5"/>
        <v>0</v>
      </c>
      <c r="AH14" s="114"/>
      <c r="AI14" s="43">
        <f t="shared" si="6"/>
        <v>0</v>
      </c>
      <c r="AJ14" s="112"/>
      <c r="AK14" s="43">
        <f t="shared" si="7"/>
        <v>0</v>
      </c>
    </row>
    <row r="15" spans="1:37">
      <c r="A15" s="129"/>
      <c r="B15" s="6" t="s">
        <v>12</v>
      </c>
      <c r="C15" s="7">
        <v>0</v>
      </c>
      <c r="D15" s="11"/>
      <c r="E15" s="10">
        <v>0</v>
      </c>
      <c r="F15" s="11"/>
      <c r="G15" s="10">
        <v>0</v>
      </c>
      <c r="H15" s="11"/>
      <c r="I15" s="10">
        <v>0</v>
      </c>
      <c r="J15" s="11"/>
      <c r="K15" s="10">
        <v>0</v>
      </c>
      <c r="L15" s="11"/>
      <c r="M15" s="10">
        <v>0</v>
      </c>
      <c r="N15" s="11"/>
      <c r="O15" s="10">
        <v>0</v>
      </c>
      <c r="P15" s="94"/>
      <c r="Q15" s="94"/>
      <c r="R15" s="11"/>
      <c r="S15" s="10">
        <v>0</v>
      </c>
      <c r="T15" s="11"/>
      <c r="U15" s="10">
        <v>0</v>
      </c>
      <c r="V15" s="11"/>
      <c r="W15" s="10">
        <v>0</v>
      </c>
      <c r="X15" s="11"/>
      <c r="Y15" s="10">
        <v>0</v>
      </c>
      <c r="Z15" s="11"/>
      <c r="AA15" s="10">
        <v>0</v>
      </c>
      <c r="AB15" s="11"/>
      <c r="AC15" s="10">
        <v>0</v>
      </c>
      <c r="AD15" s="11"/>
      <c r="AE15" s="10">
        <v>0</v>
      </c>
      <c r="AF15" s="57">
        <f t="shared" si="4"/>
        <v>0</v>
      </c>
      <c r="AG15" s="58">
        <f t="shared" si="5"/>
        <v>0</v>
      </c>
      <c r="AH15" s="114"/>
      <c r="AI15" s="43">
        <f t="shared" si="6"/>
        <v>0</v>
      </c>
      <c r="AJ15" s="112"/>
      <c r="AK15" s="43">
        <f t="shared" si="7"/>
        <v>0</v>
      </c>
    </row>
    <row r="16" spans="1:37">
      <c r="A16" s="129"/>
      <c r="B16" s="6" t="s">
        <v>13</v>
      </c>
      <c r="C16" s="7">
        <v>0</v>
      </c>
      <c r="D16" s="11"/>
      <c r="E16" s="10">
        <v>0</v>
      </c>
      <c r="F16" s="11"/>
      <c r="G16" s="10">
        <v>0</v>
      </c>
      <c r="H16" s="11"/>
      <c r="I16" s="10">
        <v>0</v>
      </c>
      <c r="J16" s="11"/>
      <c r="K16" s="10">
        <v>0</v>
      </c>
      <c r="L16" s="11"/>
      <c r="M16" s="10">
        <v>0</v>
      </c>
      <c r="N16" s="11"/>
      <c r="O16" s="10">
        <v>0</v>
      </c>
      <c r="P16" s="94"/>
      <c r="Q16" s="94"/>
      <c r="R16" s="11"/>
      <c r="S16" s="10">
        <v>0</v>
      </c>
      <c r="T16" s="11"/>
      <c r="U16" s="10">
        <v>0</v>
      </c>
      <c r="V16" s="11"/>
      <c r="W16" s="10">
        <v>0</v>
      </c>
      <c r="X16" s="11"/>
      <c r="Y16" s="10">
        <v>0</v>
      </c>
      <c r="Z16" s="11"/>
      <c r="AA16" s="10">
        <v>0</v>
      </c>
      <c r="AB16" s="11"/>
      <c r="AC16" s="10">
        <v>0</v>
      </c>
      <c r="AD16" s="11"/>
      <c r="AE16" s="10">
        <v>0</v>
      </c>
      <c r="AF16" s="57">
        <f t="shared" si="4"/>
        <v>0</v>
      </c>
      <c r="AG16" s="58">
        <f t="shared" si="5"/>
        <v>0</v>
      </c>
      <c r="AH16" s="114"/>
      <c r="AI16" s="43">
        <f t="shared" si="6"/>
        <v>0</v>
      </c>
      <c r="AJ16" s="112"/>
      <c r="AK16" s="43">
        <f t="shared" si="7"/>
        <v>0</v>
      </c>
    </row>
    <row r="17" spans="1:37">
      <c r="A17" s="129"/>
      <c r="B17" s="6" t="s">
        <v>39</v>
      </c>
      <c r="C17" s="7">
        <v>0</v>
      </c>
      <c r="D17" s="11"/>
      <c r="E17" s="10">
        <f t="shared" si="0"/>
        <v>0</v>
      </c>
      <c r="F17" s="11"/>
      <c r="G17" s="10">
        <f>$C17*F17</f>
        <v>0</v>
      </c>
      <c r="H17" s="11"/>
      <c r="I17" s="10">
        <f>$C17*H17</f>
        <v>0</v>
      </c>
      <c r="J17" s="11"/>
      <c r="K17" s="10">
        <f t="shared" si="1"/>
        <v>0</v>
      </c>
      <c r="L17" s="11"/>
      <c r="M17" s="10">
        <f>$C17*L17</f>
        <v>0</v>
      </c>
      <c r="N17" s="11"/>
      <c r="O17" s="10">
        <f>$C17*N17</f>
        <v>0</v>
      </c>
      <c r="P17" s="94"/>
      <c r="Q17" s="94"/>
      <c r="R17" s="11"/>
      <c r="S17" s="10">
        <f t="shared" si="2"/>
        <v>0</v>
      </c>
      <c r="T17" s="11"/>
      <c r="U17" s="10">
        <f t="shared" si="3"/>
        <v>0</v>
      </c>
      <c r="V17" s="11"/>
      <c r="W17" s="10">
        <f>$C17*V17</f>
        <v>0</v>
      </c>
      <c r="X17" s="11"/>
      <c r="Y17" s="10">
        <f>$C17*X17</f>
        <v>0</v>
      </c>
      <c r="Z17" s="11"/>
      <c r="AA17" s="10">
        <f>$C17*Z17</f>
        <v>0</v>
      </c>
      <c r="AB17" s="11"/>
      <c r="AC17" s="10">
        <f>$C17*AB17</f>
        <v>0</v>
      </c>
      <c r="AD17" s="11"/>
      <c r="AE17" s="10">
        <f>$C17*AD17</f>
        <v>0</v>
      </c>
      <c r="AF17" s="57">
        <f t="shared" si="4"/>
        <v>0</v>
      </c>
      <c r="AG17" s="58">
        <f t="shared" si="5"/>
        <v>0</v>
      </c>
      <c r="AH17" s="114"/>
      <c r="AI17" s="43">
        <f t="shared" si="6"/>
        <v>0</v>
      </c>
      <c r="AJ17" s="112"/>
      <c r="AK17" s="43">
        <f t="shared" si="7"/>
        <v>0</v>
      </c>
    </row>
    <row r="18" spans="1:37">
      <c r="A18" s="129"/>
      <c r="B18" s="6" t="s">
        <v>14</v>
      </c>
      <c r="C18" s="7">
        <v>0</v>
      </c>
      <c r="D18" s="11"/>
      <c r="E18" s="10">
        <v>0</v>
      </c>
      <c r="F18" s="11"/>
      <c r="G18" s="10">
        <v>0</v>
      </c>
      <c r="H18" s="11"/>
      <c r="I18" s="10">
        <v>0</v>
      </c>
      <c r="J18" s="11"/>
      <c r="K18" s="10">
        <v>0</v>
      </c>
      <c r="L18" s="11"/>
      <c r="M18" s="10">
        <v>0</v>
      </c>
      <c r="N18" s="11"/>
      <c r="O18" s="10">
        <v>0</v>
      </c>
      <c r="P18" s="94"/>
      <c r="Q18" s="94"/>
      <c r="R18" s="11"/>
      <c r="S18" s="10">
        <v>0</v>
      </c>
      <c r="T18" s="11"/>
      <c r="U18" s="10">
        <v>0</v>
      </c>
      <c r="V18" s="11"/>
      <c r="W18" s="10">
        <v>0</v>
      </c>
      <c r="X18" s="11"/>
      <c r="Y18" s="10">
        <v>0</v>
      </c>
      <c r="Z18" s="11"/>
      <c r="AA18" s="10">
        <v>0</v>
      </c>
      <c r="AB18" s="11"/>
      <c r="AC18" s="10">
        <v>0</v>
      </c>
      <c r="AD18" s="11"/>
      <c r="AE18" s="10">
        <v>0</v>
      </c>
      <c r="AF18" s="57">
        <f t="shared" si="4"/>
        <v>0</v>
      </c>
      <c r="AG18" s="58">
        <f t="shared" si="5"/>
        <v>0</v>
      </c>
      <c r="AH18" s="114"/>
      <c r="AI18" s="43">
        <f t="shared" si="6"/>
        <v>0</v>
      </c>
      <c r="AJ18" s="112"/>
      <c r="AK18" s="43">
        <f t="shared" si="7"/>
        <v>0</v>
      </c>
    </row>
    <row r="19" spans="1:37" ht="12.75" thickBot="1">
      <c r="A19" s="130"/>
      <c r="B19" s="6" t="s">
        <v>14</v>
      </c>
      <c r="C19" s="7">
        <v>0</v>
      </c>
      <c r="D19" s="11"/>
      <c r="E19" s="10">
        <f t="shared" si="0"/>
        <v>0</v>
      </c>
      <c r="F19" s="11"/>
      <c r="G19" s="10">
        <f>$C19*F19</f>
        <v>0</v>
      </c>
      <c r="H19" s="11"/>
      <c r="I19" s="10">
        <f>$C19*H19</f>
        <v>0</v>
      </c>
      <c r="J19" s="11"/>
      <c r="K19" s="10">
        <f t="shared" si="1"/>
        <v>0</v>
      </c>
      <c r="L19" s="11"/>
      <c r="M19" s="10">
        <f>$C19*L19</f>
        <v>0</v>
      </c>
      <c r="N19" s="11"/>
      <c r="O19" s="10">
        <f>$C19*N19</f>
        <v>0</v>
      </c>
      <c r="P19" s="94"/>
      <c r="Q19" s="94"/>
      <c r="R19" s="11"/>
      <c r="S19" s="10">
        <f t="shared" si="2"/>
        <v>0</v>
      </c>
      <c r="T19" s="11"/>
      <c r="U19" s="10">
        <f t="shared" si="3"/>
        <v>0</v>
      </c>
      <c r="V19" s="11"/>
      <c r="W19" s="10">
        <f>$C19*V19</f>
        <v>0</v>
      </c>
      <c r="X19" s="11"/>
      <c r="Y19" s="10">
        <f>$C19*X19</f>
        <v>0</v>
      </c>
      <c r="Z19" s="11"/>
      <c r="AA19" s="10">
        <f>$C19*Z19</f>
        <v>0</v>
      </c>
      <c r="AB19" s="11"/>
      <c r="AC19" s="10">
        <f>$C19*AB19</f>
        <v>0</v>
      </c>
      <c r="AD19" s="11"/>
      <c r="AE19" s="10">
        <f>$C19*AD19</f>
        <v>0</v>
      </c>
      <c r="AF19" s="60">
        <f t="shared" si="4"/>
        <v>0</v>
      </c>
      <c r="AG19" s="61">
        <f>E19+M19+O19+S19+Y19+AA19+AC19+AE19</f>
        <v>0</v>
      </c>
      <c r="AH19" s="117"/>
      <c r="AI19" s="118">
        <f t="shared" si="6"/>
        <v>0</v>
      </c>
      <c r="AJ19" s="112"/>
      <c r="AK19" s="43">
        <f t="shared" si="7"/>
        <v>0</v>
      </c>
    </row>
    <row r="20" spans="1:37" ht="12.75" thickBot="1">
      <c r="A20" s="12" t="s">
        <v>15</v>
      </c>
      <c r="B20" s="13"/>
      <c r="C20" s="14"/>
      <c r="D20" s="15">
        <f t="shared" ref="D20:I20" si="8">SUM(D5:D19)</f>
        <v>0</v>
      </c>
      <c r="E20" s="16">
        <f t="shared" si="8"/>
        <v>0</v>
      </c>
      <c r="F20" s="15">
        <f t="shared" si="8"/>
        <v>0</v>
      </c>
      <c r="G20" s="16">
        <f t="shared" si="8"/>
        <v>0</v>
      </c>
      <c r="H20" s="15">
        <f t="shared" si="8"/>
        <v>0</v>
      </c>
      <c r="I20" s="16">
        <f t="shared" si="8"/>
        <v>0</v>
      </c>
      <c r="J20" s="15">
        <f t="shared" ref="J20:O20" si="9">SUM(J5:J19)</f>
        <v>0</v>
      </c>
      <c r="K20" s="16">
        <f t="shared" si="9"/>
        <v>0</v>
      </c>
      <c r="L20" s="15">
        <f t="shared" si="9"/>
        <v>0</v>
      </c>
      <c r="M20" s="16">
        <f t="shared" si="9"/>
        <v>0</v>
      </c>
      <c r="N20" s="15">
        <f t="shared" si="9"/>
        <v>0</v>
      </c>
      <c r="O20" s="16">
        <f t="shared" si="9"/>
        <v>0</v>
      </c>
      <c r="P20" s="95"/>
      <c r="Q20" s="95"/>
      <c r="R20" s="15">
        <f t="shared" ref="R20:Y20" si="10">SUM(R5:R19)</f>
        <v>0</v>
      </c>
      <c r="S20" s="16">
        <f t="shared" si="10"/>
        <v>0</v>
      </c>
      <c r="T20" s="15">
        <f t="shared" si="10"/>
        <v>0</v>
      </c>
      <c r="U20" s="16">
        <f t="shared" si="10"/>
        <v>0</v>
      </c>
      <c r="V20" s="15">
        <f t="shared" si="10"/>
        <v>0</v>
      </c>
      <c r="W20" s="16">
        <f t="shared" si="10"/>
        <v>0</v>
      </c>
      <c r="X20" s="15">
        <f t="shared" si="10"/>
        <v>0</v>
      </c>
      <c r="Y20" s="16">
        <f t="shared" si="10"/>
        <v>0</v>
      </c>
      <c r="Z20" s="15">
        <f t="shared" ref="Z20:AE20" si="11">SUM(Z5:Z19)</f>
        <v>0</v>
      </c>
      <c r="AA20" s="16">
        <f t="shared" si="11"/>
        <v>0</v>
      </c>
      <c r="AB20" s="15">
        <f t="shared" si="11"/>
        <v>0</v>
      </c>
      <c r="AC20" s="16">
        <f t="shared" si="11"/>
        <v>0</v>
      </c>
      <c r="AD20" s="15">
        <f t="shared" si="11"/>
        <v>0</v>
      </c>
      <c r="AE20" s="16">
        <f t="shared" si="11"/>
        <v>0</v>
      </c>
      <c r="AF20" s="57">
        <f t="shared" ref="AF20:AK20" si="12">SUM(AF5:AF19)</f>
        <v>0</v>
      </c>
      <c r="AG20" s="57">
        <f t="shared" si="12"/>
        <v>0</v>
      </c>
      <c r="AH20" s="74">
        <f t="shared" si="12"/>
        <v>0</v>
      </c>
      <c r="AI20" s="115">
        <f t="shared" si="12"/>
        <v>0</v>
      </c>
      <c r="AJ20" s="74">
        <f t="shared" si="12"/>
        <v>0</v>
      </c>
      <c r="AK20" s="44">
        <f t="shared" si="12"/>
        <v>0</v>
      </c>
    </row>
    <row r="21" spans="1:37" ht="14.25" thickBot="1">
      <c r="A21" s="5" t="s">
        <v>86</v>
      </c>
      <c r="B21" s="17"/>
      <c r="C21" s="18"/>
      <c r="D21" s="19"/>
      <c r="E21" s="20" t="s">
        <v>2</v>
      </c>
      <c r="F21" s="19"/>
      <c r="G21" s="20" t="s">
        <v>2</v>
      </c>
      <c r="H21" s="19"/>
      <c r="I21" s="20" t="s">
        <v>2</v>
      </c>
      <c r="J21" s="19"/>
      <c r="K21" s="20" t="s">
        <v>2</v>
      </c>
      <c r="L21" s="19"/>
      <c r="M21" s="20" t="s">
        <v>2</v>
      </c>
      <c r="N21" s="19"/>
      <c r="O21" s="20" t="s">
        <v>2</v>
      </c>
      <c r="P21" s="77" t="s">
        <v>1</v>
      </c>
      <c r="Q21" s="78" t="s">
        <v>2</v>
      </c>
      <c r="R21" s="19"/>
      <c r="S21" s="20" t="s">
        <v>2</v>
      </c>
      <c r="T21" s="19"/>
      <c r="U21" s="20" t="s">
        <v>2</v>
      </c>
      <c r="V21" s="19"/>
      <c r="W21" s="20" t="s">
        <v>2</v>
      </c>
      <c r="X21" s="19"/>
      <c r="Y21" s="20" t="s">
        <v>2</v>
      </c>
      <c r="Z21" s="19"/>
      <c r="AA21" s="20" t="s">
        <v>2</v>
      </c>
      <c r="AB21" s="19"/>
      <c r="AC21" s="20" t="s">
        <v>2</v>
      </c>
      <c r="AD21" s="19"/>
      <c r="AE21" s="20" t="s">
        <v>2</v>
      </c>
      <c r="AF21" s="19"/>
      <c r="AG21" s="59" t="s">
        <v>2</v>
      </c>
      <c r="AH21" s="64"/>
      <c r="AI21" s="45" t="s">
        <v>2</v>
      </c>
      <c r="AJ21" s="19"/>
      <c r="AK21" s="45" t="s">
        <v>2</v>
      </c>
    </row>
    <row r="22" spans="1:37" ht="12" customHeight="1">
      <c r="A22" s="131" t="s">
        <v>54</v>
      </c>
      <c r="B22" s="6" t="s">
        <v>49</v>
      </c>
      <c r="C22" s="135" t="s">
        <v>51</v>
      </c>
      <c r="D22" s="21"/>
      <c r="E22" s="22">
        <v>0</v>
      </c>
      <c r="F22" s="21"/>
      <c r="G22" s="22">
        <v>0</v>
      </c>
      <c r="H22" s="21"/>
      <c r="I22" s="22">
        <v>0</v>
      </c>
      <c r="J22" s="21"/>
      <c r="K22" s="22">
        <v>0</v>
      </c>
      <c r="L22" s="21"/>
      <c r="M22" s="22">
        <v>0</v>
      </c>
      <c r="N22" s="21"/>
      <c r="O22" s="22">
        <v>0</v>
      </c>
      <c r="P22" s="96"/>
      <c r="Q22" s="96"/>
      <c r="R22" s="21"/>
      <c r="S22" s="22">
        <v>0</v>
      </c>
      <c r="T22" s="21"/>
      <c r="U22" s="22">
        <v>0</v>
      </c>
      <c r="V22" s="21"/>
      <c r="W22" s="22">
        <v>0</v>
      </c>
      <c r="X22" s="21"/>
      <c r="Y22" s="22">
        <v>0</v>
      </c>
      <c r="Z22" s="21"/>
      <c r="AA22" s="22">
        <v>0</v>
      </c>
      <c r="AB22" s="21"/>
      <c r="AC22" s="22">
        <v>0</v>
      </c>
      <c r="AD22" s="21"/>
      <c r="AE22" s="22">
        <v>0</v>
      </c>
      <c r="AF22" s="23"/>
      <c r="AG22" s="58">
        <f>E22+M22+O22+S22+Y22+AA22+AC22+AE22</f>
        <v>0</v>
      </c>
      <c r="AH22" s="65"/>
      <c r="AI22" s="47">
        <v>0</v>
      </c>
      <c r="AJ22" s="46"/>
      <c r="AK22" s="47">
        <v>0</v>
      </c>
    </row>
    <row r="23" spans="1:37">
      <c r="A23" s="129"/>
      <c r="B23" s="6" t="s">
        <v>16</v>
      </c>
      <c r="C23" s="136"/>
      <c r="D23" s="21"/>
      <c r="E23" s="22">
        <v>0</v>
      </c>
      <c r="F23" s="21"/>
      <c r="G23" s="22">
        <v>0</v>
      </c>
      <c r="H23" s="21"/>
      <c r="I23" s="22">
        <v>0</v>
      </c>
      <c r="J23" s="21"/>
      <c r="K23" s="22">
        <v>0</v>
      </c>
      <c r="L23" s="21"/>
      <c r="M23" s="22">
        <v>0</v>
      </c>
      <c r="N23" s="21"/>
      <c r="O23" s="22">
        <v>0</v>
      </c>
      <c r="P23" s="96"/>
      <c r="Q23" s="96"/>
      <c r="R23" s="21"/>
      <c r="S23" s="22">
        <v>0</v>
      </c>
      <c r="T23" s="21"/>
      <c r="U23" s="22">
        <v>0</v>
      </c>
      <c r="V23" s="21"/>
      <c r="W23" s="22">
        <v>0</v>
      </c>
      <c r="X23" s="21"/>
      <c r="Y23" s="22">
        <v>0</v>
      </c>
      <c r="Z23" s="21"/>
      <c r="AA23" s="22">
        <v>0</v>
      </c>
      <c r="AB23" s="21"/>
      <c r="AC23" s="22">
        <v>0</v>
      </c>
      <c r="AD23" s="21"/>
      <c r="AE23" s="22">
        <v>0</v>
      </c>
      <c r="AF23" s="23"/>
      <c r="AG23" s="58">
        <f t="shared" ref="AG23:AG30" si="13">E23+M23+O23+S23+Y23+AA23+AC23+AE23</f>
        <v>0</v>
      </c>
      <c r="AH23" s="65"/>
      <c r="AI23" s="47">
        <v>0</v>
      </c>
      <c r="AJ23" s="46"/>
      <c r="AK23" s="47">
        <v>0</v>
      </c>
    </row>
    <row r="24" spans="1:37">
      <c r="A24" s="129"/>
      <c r="B24" s="6" t="s">
        <v>52</v>
      </c>
      <c r="C24" s="136"/>
      <c r="D24" s="21"/>
      <c r="E24" s="22">
        <v>0</v>
      </c>
      <c r="F24" s="21"/>
      <c r="G24" s="22">
        <v>0</v>
      </c>
      <c r="H24" s="21"/>
      <c r="I24" s="22">
        <v>0</v>
      </c>
      <c r="J24" s="21"/>
      <c r="K24" s="22">
        <v>0</v>
      </c>
      <c r="L24" s="21"/>
      <c r="M24" s="22">
        <v>0</v>
      </c>
      <c r="N24" s="21"/>
      <c r="O24" s="22">
        <v>0</v>
      </c>
      <c r="P24" s="96"/>
      <c r="Q24" s="96"/>
      <c r="R24" s="21"/>
      <c r="S24" s="22">
        <v>0</v>
      </c>
      <c r="T24" s="21"/>
      <c r="U24" s="22">
        <v>0</v>
      </c>
      <c r="V24" s="21"/>
      <c r="W24" s="22">
        <v>0</v>
      </c>
      <c r="X24" s="21"/>
      <c r="Y24" s="22">
        <v>0</v>
      </c>
      <c r="Z24" s="21"/>
      <c r="AA24" s="22">
        <v>0</v>
      </c>
      <c r="AB24" s="21"/>
      <c r="AC24" s="22">
        <v>0</v>
      </c>
      <c r="AD24" s="21"/>
      <c r="AE24" s="22">
        <v>0</v>
      </c>
      <c r="AF24" s="23"/>
      <c r="AG24" s="58">
        <f t="shared" si="13"/>
        <v>0</v>
      </c>
      <c r="AH24" s="65"/>
      <c r="AI24" s="47">
        <v>0</v>
      </c>
      <c r="AJ24" s="46"/>
      <c r="AK24" s="47">
        <v>0</v>
      </c>
    </row>
    <row r="25" spans="1:37">
      <c r="A25" s="129"/>
      <c r="B25" s="6" t="s">
        <v>45</v>
      </c>
      <c r="C25" s="136"/>
      <c r="D25" s="21"/>
      <c r="E25" s="22">
        <v>0</v>
      </c>
      <c r="F25" s="21"/>
      <c r="G25" s="22">
        <v>0</v>
      </c>
      <c r="H25" s="21"/>
      <c r="I25" s="22">
        <v>0</v>
      </c>
      <c r="J25" s="21"/>
      <c r="K25" s="22">
        <v>0</v>
      </c>
      <c r="L25" s="21"/>
      <c r="M25" s="22">
        <v>0</v>
      </c>
      <c r="N25" s="21"/>
      <c r="O25" s="22">
        <v>0</v>
      </c>
      <c r="P25" s="96"/>
      <c r="Q25" s="96"/>
      <c r="R25" s="21"/>
      <c r="S25" s="22">
        <v>0</v>
      </c>
      <c r="T25" s="21"/>
      <c r="U25" s="22">
        <v>0</v>
      </c>
      <c r="V25" s="21"/>
      <c r="W25" s="22">
        <v>0</v>
      </c>
      <c r="X25" s="21"/>
      <c r="Y25" s="22">
        <v>0</v>
      </c>
      <c r="Z25" s="21"/>
      <c r="AA25" s="22">
        <v>0</v>
      </c>
      <c r="AB25" s="21"/>
      <c r="AC25" s="22">
        <v>0</v>
      </c>
      <c r="AD25" s="21"/>
      <c r="AE25" s="22">
        <v>0</v>
      </c>
      <c r="AF25" s="23"/>
      <c r="AG25" s="58">
        <f t="shared" si="13"/>
        <v>0</v>
      </c>
      <c r="AH25" s="65"/>
      <c r="AI25" s="47">
        <v>0</v>
      </c>
      <c r="AJ25" s="46"/>
      <c r="AK25" s="47">
        <v>0</v>
      </c>
    </row>
    <row r="26" spans="1:37">
      <c r="A26" s="129"/>
      <c r="B26" s="6" t="s">
        <v>78</v>
      </c>
      <c r="C26" s="136"/>
      <c r="D26" s="21"/>
      <c r="E26" s="22">
        <v>0</v>
      </c>
      <c r="F26" s="21"/>
      <c r="G26" s="22">
        <v>0</v>
      </c>
      <c r="H26" s="21"/>
      <c r="I26" s="22">
        <v>0</v>
      </c>
      <c r="J26" s="21"/>
      <c r="K26" s="22">
        <v>0</v>
      </c>
      <c r="L26" s="21"/>
      <c r="M26" s="22">
        <v>0</v>
      </c>
      <c r="N26" s="21"/>
      <c r="O26" s="22">
        <v>0</v>
      </c>
      <c r="P26" s="96"/>
      <c r="Q26" s="96"/>
      <c r="R26" s="21"/>
      <c r="S26" s="22">
        <v>0</v>
      </c>
      <c r="T26" s="21"/>
      <c r="U26" s="22">
        <v>0</v>
      </c>
      <c r="V26" s="21"/>
      <c r="W26" s="22">
        <v>0</v>
      </c>
      <c r="X26" s="21"/>
      <c r="Y26" s="22">
        <v>0</v>
      </c>
      <c r="Z26" s="21"/>
      <c r="AA26" s="22">
        <v>0</v>
      </c>
      <c r="AB26" s="21"/>
      <c r="AC26" s="22">
        <v>0</v>
      </c>
      <c r="AD26" s="21"/>
      <c r="AE26" s="22">
        <v>0</v>
      </c>
      <c r="AF26" s="23"/>
      <c r="AG26" s="58">
        <f t="shared" si="13"/>
        <v>0</v>
      </c>
      <c r="AH26" s="65"/>
      <c r="AI26" s="47">
        <v>0</v>
      </c>
      <c r="AJ26" s="46"/>
      <c r="AK26" s="47">
        <v>0</v>
      </c>
    </row>
    <row r="27" spans="1:37">
      <c r="A27" s="129"/>
      <c r="B27" s="6" t="s">
        <v>79</v>
      </c>
      <c r="C27" s="136"/>
      <c r="D27" s="21"/>
      <c r="E27" s="22">
        <v>0</v>
      </c>
      <c r="F27" s="21"/>
      <c r="G27" s="22">
        <v>0</v>
      </c>
      <c r="H27" s="21"/>
      <c r="I27" s="22">
        <v>0</v>
      </c>
      <c r="J27" s="21"/>
      <c r="K27" s="22">
        <v>0</v>
      </c>
      <c r="L27" s="21"/>
      <c r="M27" s="22">
        <v>0</v>
      </c>
      <c r="N27" s="21"/>
      <c r="O27" s="22">
        <v>0</v>
      </c>
      <c r="P27" s="99">
        <v>3600</v>
      </c>
      <c r="Q27" s="76">
        <f>P27*L64</f>
        <v>0</v>
      </c>
      <c r="R27" s="21"/>
      <c r="S27" s="22">
        <v>0</v>
      </c>
      <c r="T27" s="21"/>
      <c r="U27" s="22">
        <v>0</v>
      </c>
      <c r="V27" s="21"/>
      <c r="W27" s="22">
        <v>0</v>
      </c>
      <c r="X27" s="21"/>
      <c r="Y27" s="22">
        <v>0</v>
      </c>
      <c r="Z27" s="21"/>
      <c r="AA27" s="22">
        <v>0</v>
      </c>
      <c r="AB27" s="21"/>
      <c r="AC27" s="22">
        <v>0</v>
      </c>
      <c r="AD27" s="21"/>
      <c r="AE27" s="22">
        <v>0</v>
      </c>
      <c r="AF27" s="23"/>
      <c r="AG27" s="58">
        <f t="shared" si="13"/>
        <v>0</v>
      </c>
      <c r="AH27" s="65"/>
      <c r="AI27" s="47">
        <v>0</v>
      </c>
      <c r="AJ27" s="46"/>
      <c r="AK27" s="47">
        <v>0</v>
      </c>
    </row>
    <row r="28" spans="1:37">
      <c r="A28" s="129"/>
      <c r="B28" s="24" t="s">
        <v>47</v>
      </c>
      <c r="C28" s="136"/>
      <c r="D28" s="21"/>
      <c r="E28" s="22">
        <v>0</v>
      </c>
      <c r="F28" s="21"/>
      <c r="G28" s="22">
        <v>0</v>
      </c>
      <c r="H28" s="21"/>
      <c r="I28" s="22">
        <v>0</v>
      </c>
      <c r="J28" s="21"/>
      <c r="K28" s="22">
        <v>0</v>
      </c>
      <c r="L28" s="21"/>
      <c r="M28" s="22">
        <v>0</v>
      </c>
      <c r="N28" s="21"/>
      <c r="O28" s="22">
        <v>0</v>
      </c>
      <c r="P28" s="96"/>
      <c r="Q28" s="96"/>
      <c r="R28" s="21"/>
      <c r="S28" s="22">
        <v>0</v>
      </c>
      <c r="T28" s="21"/>
      <c r="U28" s="22">
        <v>0</v>
      </c>
      <c r="V28" s="21"/>
      <c r="W28" s="22">
        <v>0</v>
      </c>
      <c r="X28" s="21"/>
      <c r="Y28" s="22">
        <v>0</v>
      </c>
      <c r="Z28" s="21"/>
      <c r="AA28" s="22">
        <v>0</v>
      </c>
      <c r="AB28" s="21"/>
      <c r="AC28" s="22">
        <v>0</v>
      </c>
      <c r="AD28" s="21"/>
      <c r="AE28" s="22">
        <v>0</v>
      </c>
      <c r="AF28" s="23"/>
      <c r="AG28" s="58">
        <f t="shared" si="13"/>
        <v>0</v>
      </c>
      <c r="AH28" s="65"/>
      <c r="AI28" s="47">
        <v>0</v>
      </c>
      <c r="AJ28" s="46"/>
      <c r="AK28" s="47">
        <v>0</v>
      </c>
    </row>
    <row r="29" spans="1:37">
      <c r="A29" s="129"/>
      <c r="B29" s="6" t="s">
        <v>45</v>
      </c>
      <c r="C29" s="136"/>
      <c r="D29" s="21"/>
      <c r="E29" s="22">
        <v>0</v>
      </c>
      <c r="F29" s="21"/>
      <c r="G29" s="22">
        <v>0</v>
      </c>
      <c r="H29" s="21"/>
      <c r="I29" s="22">
        <v>0</v>
      </c>
      <c r="J29" s="21"/>
      <c r="K29" s="22">
        <v>0</v>
      </c>
      <c r="L29" s="21"/>
      <c r="M29" s="22">
        <v>0</v>
      </c>
      <c r="N29" s="21"/>
      <c r="O29" s="22">
        <v>0</v>
      </c>
      <c r="P29" s="96"/>
      <c r="Q29" s="96"/>
      <c r="R29" s="21"/>
      <c r="S29" s="22">
        <v>0</v>
      </c>
      <c r="T29" s="21"/>
      <c r="U29" s="22">
        <v>0</v>
      </c>
      <c r="V29" s="21"/>
      <c r="W29" s="22">
        <v>0</v>
      </c>
      <c r="X29" s="21"/>
      <c r="Y29" s="22">
        <v>0</v>
      </c>
      <c r="Z29" s="21"/>
      <c r="AA29" s="22">
        <v>0</v>
      </c>
      <c r="AB29" s="21"/>
      <c r="AC29" s="22">
        <v>0</v>
      </c>
      <c r="AD29" s="21"/>
      <c r="AE29" s="22">
        <v>0</v>
      </c>
      <c r="AF29" s="23"/>
      <c r="AG29" s="58">
        <f t="shared" si="13"/>
        <v>0</v>
      </c>
      <c r="AH29" s="65"/>
      <c r="AI29" s="47">
        <v>0</v>
      </c>
      <c r="AJ29" s="46"/>
      <c r="AK29" s="47">
        <v>0</v>
      </c>
    </row>
    <row r="30" spans="1:37" ht="12.75" thickBot="1">
      <c r="A30" s="130"/>
      <c r="B30" s="6" t="s">
        <v>46</v>
      </c>
      <c r="C30" s="137"/>
      <c r="D30" s="25"/>
      <c r="E30" s="22">
        <v>0</v>
      </c>
      <c r="F30" s="25"/>
      <c r="G30" s="22">
        <v>0</v>
      </c>
      <c r="H30" s="25"/>
      <c r="I30" s="22">
        <v>0</v>
      </c>
      <c r="J30" s="25"/>
      <c r="K30" s="22">
        <v>0</v>
      </c>
      <c r="L30" s="25"/>
      <c r="M30" s="22">
        <v>0</v>
      </c>
      <c r="N30" s="25"/>
      <c r="O30" s="22">
        <v>0</v>
      </c>
      <c r="P30" s="96"/>
      <c r="Q30" s="96"/>
      <c r="R30" s="25"/>
      <c r="S30" s="22">
        <v>0</v>
      </c>
      <c r="T30" s="25"/>
      <c r="U30" s="22">
        <v>0</v>
      </c>
      <c r="V30" s="25"/>
      <c r="W30" s="22">
        <v>0</v>
      </c>
      <c r="X30" s="25"/>
      <c r="Y30" s="22">
        <v>0</v>
      </c>
      <c r="Z30" s="25"/>
      <c r="AA30" s="22">
        <v>0</v>
      </c>
      <c r="AB30" s="25"/>
      <c r="AC30" s="22">
        <v>0</v>
      </c>
      <c r="AD30" s="25"/>
      <c r="AE30" s="22">
        <v>0</v>
      </c>
      <c r="AF30" s="26"/>
      <c r="AG30" s="58">
        <f t="shared" si="13"/>
        <v>0</v>
      </c>
      <c r="AH30" s="66"/>
      <c r="AI30" s="47">
        <v>0</v>
      </c>
      <c r="AJ30" s="48"/>
      <c r="AK30" s="47">
        <v>0</v>
      </c>
    </row>
    <row r="31" spans="1:37" ht="12.75" thickBot="1">
      <c r="A31" s="12" t="s">
        <v>17</v>
      </c>
      <c r="B31" s="13"/>
      <c r="C31" s="14"/>
      <c r="D31" s="27"/>
      <c r="E31" s="16">
        <f>SUM(E22:E30)</f>
        <v>0</v>
      </c>
      <c r="F31" s="28"/>
      <c r="G31" s="16">
        <f>SUM(G22:G30)</f>
        <v>0</v>
      </c>
      <c r="H31" s="28"/>
      <c r="I31" s="16">
        <f>SUM(I22:I30)</f>
        <v>0</v>
      </c>
      <c r="J31" s="28"/>
      <c r="K31" s="16">
        <f>SUM(K22:K30)</f>
        <v>0</v>
      </c>
      <c r="L31" s="28"/>
      <c r="M31" s="16">
        <f>SUM(M22:M30)</f>
        <v>0</v>
      </c>
      <c r="N31" s="28"/>
      <c r="O31" s="16">
        <f>SUM(O22:O30)</f>
        <v>0</v>
      </c>
      <c r="P31" s="97"/>
      <c r="Q31" s="98"/>
      <c r="R31" s="28"/>
      <c r="S31" s="16">
        <f>SUM(S22:S30)</f>
        <v>0</v>
      </c>
      <c r="T31" s="27"/>
      <c r="U31" s="16">
        <f>SUM(U22:U30)</f>
        <v>0</v>
      </c>
      <c r="V31" s="28"/>
      <c r="W31" s="16">
        <f>SUM(W22:W30)</f>
        <v>0</v>
      </c>
      <c r="X31" s="28"/>
      <c r="Y31" s="16">
        <f>SUM(Y22:Y30)</f>
        <v>0</v>
      </c>
      <c r="Z31" s="28"/>
      <c r="AA31" s="16">
        <f>SUM(AA22:AA30)</f>
        <v>0</v>
      </c>
      <c r="AB31" s="28"/>
      <c r="AC31" s="16">
        <f>SUM(AC22:AC30)</f>
        <v>0</v>
      </c>
      <c r="AD31" s="28"/>
      <c r="AE31" s="16">
        <f>SUM(AE22:AE30)</f>
        <v>0</v>
      </c>
      <c r="AF31" s="28"/>
      <c r="AG31" s="63">
        <f>SUM(AG22:AG30)</f>
        <v>0</v>
      </c>
      <c r="AH31" s="67"/>
      <c r="AI31" s="44">
        <f>SUM(AI22:AI30)</f>
        <v>0</v>
      </c>
      <c r="AJ31" s="49"/>
      <c r="AK31" s="44">
        <f>SUM(AK22:AK30)</f>
        <v>0</v>
      </c>
    </row>
    <row r="32" spans="1:37" s="39" customFormat="1" ht="12.75" thickBot="1">
      <c r="A32" s="56" t="s">
        <v>18</v>
      </c>
      <c r="B32" s="54"/>
      <c r="C32" s="29" t="s">
        <v>19</v>
      </c>
      <c r="D32" s="29" t="s">
        <v>1</v>
      </c>
      <c r="E32" s="20" t="s">
        <v>2</v>
      </c>
      <c r="F32" s="29" t="s">
        <v>1</v>
      </c>
      <c r="G32" s="20" t="s">
        <v>2</v>
      </c>
      <c r="H32" s="29" t="s">
        <v>1</v>
      </c>
      <c r="I32" s="20" t="s">
        <v>2</v>
      </c>
      <c r="J32" s="29" t="s">
        <v>1</v>
      </c>
      <c r="K32" s="20" t="s">
        <v>2</v>
      </c>
      <c r="L32" s="29" t="s">
        <v>1</v>
      </c>
      <c r="M32" s="20" t="s">
        <v>2</v>
      </c>
      <c r="N32" s="29" t="s">
        <v>1</v>
      </c>
      <c r="O32" s="20" t="s">
        <v>2</v>
      </c>
      <c r="P32" s="59" t="s">
        <v>1</v>
      </c>
      <c r="Q32" s="59" t="s">
        <v>2</v>
      </c>
      <c r="R32" s="29" t="s">
        <v>1</v>
      </c>
      <c r="S32" s="20" t="s">
        <v>2</v>
      </c>
      <c r="T32" s="29" t="s">
        <v>1</v>
      </c>
      <c r="U32" s="20" t="s">
        <v>2</v>
      </c>
      <c r="V32" s="29" t="s">
        <v>1</v>
      </c>
      <c r="W32" s="20" t="s">
        <v>2</v>
      </c>
      <c r="X32" s="29" t="s">
        <v>1</v>
      </c>
      <c r="Y32" s="20" t="s">
        <v>2</v>
      </c>
      <c r="Z32" s="29" t="s">
        <v>1</v>
      </c>
      <c r="AA32" s="20" t="s">
        <v>2</v>
      </c>
      <c r="AB32" s="29" t="s">
        <v>1</v>
      </c>
      <c r="AC32" s="20" t="s">
        <v>2</v>
      </c>
      <c r="AD32" s="29" t="s">
        <v>1</v>
      </c>
      <c r="AE32" s="20" t="s">
        <v>2</v>
      </c>
      <c r="AF32" s="27"/>
      <c r="AG32" s="78" t="s">
        <v>2</v>
      </c>
      <c r="AH32" s="68" t="s">
        <v>1</v>
      </c>
      <c r="AI32" s="45" t="s">
        <v>2</v>
      </c>
      <c r="AJ32" s="55" t="s">
        <v>1</v>
      </c>
      <c r="AK32" s="45" t="s">
        <v>2</v>
      </c>
    </row>
    <row r="33" spans="1:37" ht="12.75" thickBot="1">
      <c r="A33" s="128" t="s">
        <v>20</v>
      </c>
      <c r="B33" s="6" t="s">
        <v>57</v>
      </c>
      <c r="C33" s="30"/>
      <c r="D33" s="30"/>
      <c r="E33" s="22">
        <v>0</v>
      </c>
      <c r="F33" s="30"/>
      <c r="G33" s="22">
        <v>0</v>
      </c>
      <c r="H33" s="30"/>
      <c r="I33" s="22">
        <v>0</v>
      </c>
      <c r="J33" s="30"/>
      <c r="K33" s="22">
        <v>0</v>
      </c>
      <c r="L33" s="30"/>
      <c r="M33" s="22">
        <v>0</v>
      </c>
      <c r="N33" s="30"/>
      <c r="O33" s="22">
        <v>0</v>
      </c>
      <c r="P33" s="96"/>
      <c r="Q33" s="96"/>
      <c r="R33" s="30"/>
      <c r="S33" s="22">
        <v>0</v>
      </c>
      <c r="T33" s="30"/>
      <c r="U33" s="22">
        <v>0</v>
      </c>
      <c r="V33" s="30"/>
      <c r="W33" s="22">
        <v>0</v>
      </c>
      <c r="X33" s="30"/>
      <c r="Y33" s="22">
        <v>0</v>
      </c>
      <c r="Z33" s="30"/>
      <c r="AA33" s="22">
        <v>0</v>
      </c>
      <c r="AB33" s="30"/>
      <c r="AC33" s="22">
        <v>0</v>
      </c>
      <c r="AD33" s="30"/>
      <c r="AE33" s="22">
        <v>0</v>
      </c>
      <c r="AF33" s="27"/>
      <c r="AG33" s="58">
        <f t="shared" ref="AG33:AG57" si="14">E33+M33+O33+S33+Y33+AA33+AC33+AE33</f>
        <v>0</v>
      </c>
      <c r="AH33" s="69"/>
      <c r="AI33" s="47">
        <v>0</v>
      </c>
      <c r="AJ33" s="30"/>
      <c r="AK33" s="47">
        <v>0</v>
      </c>
    </row>
    <row r="34" spans="1:37" ht="12.75" thickBot="1">
      <c r="A34" s="129"/>
      <c r="B34" s="6" t="s">
        <v>21</v>
      </c>
      <c r="C34" s="30"/>
      <c r="D34" s="30"/>
      <c r="E34" s="22">
        <v>0</v>
      </c>
      <c r="F34" s="30"/>
      <c r="G34" s="22">
        <v>0</v>
      </c>
      <c r="H34" s="30"/>
      <c r="I34" s="22">
        <v>0</v>
      </c>
      <c r="J34" s="30"/>
      <c r="K34" s="22">
        <v>0</v>
      </c>
      <c r="L34" s="30"/>
      <c r="M34" s="22">
        <v>0</v>
      </c>
      <c r="N34" s="30"/>
      <c r="O34" s="22">
        <v>0</v>
      </c>
      <c r="P34" s="96"/>
      <c r="Q34" s="96"/>
      <c r="R34" s="30"/>
      <c r="S34" s="22">
        <v>0</v>
      </c>
      <c r="T34" s="30"/>
      <c r="U34" s="22">
        <v>0</v>
      </c>
      <c r="V34" s="30"/>
      <c r="W34" s="22">
        <v>0</v>
      </c>
      <c r="X34" s="30"/>
      <c r="Y34" s="22">
        <v>0</v>
      </c>
      <c r="Z34" s="30"/>
      <c r="AA34" s="22">
        <v>0</v>
      </c>
      <c r="AB34" s="30"/>
      <c r="AC34" s="22">
        <v>0</v>
      </c>
      <c r="AD34" s="30"/>
      <c r="AE34" s="22">
        <v>0</v>
      </c>
      <c r="AF34" s="27"/>
      <c r="AG34" s="58">
        <f t="shared" si="14"/>
        <v>0</v>
      </c>
      <c r="AH34" s="69"/>
      <c r="AI34" s="47">
        <v>0</v>
      </c>
      <c r="AJ34" s="30"/>
      <c r="AK34" s="47">
        <v>0</v>
      </c>
    </row>
    <row r="35" spans="1:37" ht="12.75" thickBot="1">
      <c r="A35" s="129"/>
      <c r="B35" s="6" t="s">
        <v>22</v>
      </c>
      <c r="C35" s="30"/>
      <c r="D35" s="30"/>
      <c r="E35" s="22">
        <v>0</v>
      </c>
      <c r="F35" s="30"/>
      <c r="G35" s="22">
        <v>0</v>
      </c>
      <c r="H35" s="30"/>
      <c r="I35" s="22">
        <v>0</v>
      </c>
      <c r="J35" s="30"/>
      <c r="K35" s="22">
        <v>0</v>
      </c>
      <c r="L35" s="30"/>
      <c r="M35" s="22">
        <v>0</v>
      </c>
      <c r="N35" s="30"/>
      <c r="O35" s="22">
        <v>0</v>
      </c>
      <c r="P35" s="96"/>
      <c r="Q35" s="96"/>
      <c r="R35" s="30"/>
      <c r="S35" s="22">
        <v>0</v>
      </c>
      <c r="T35" s="30"/>
      <c r="U35" s="22">
        <v>0</v>
      </c>
      <c r="V35" s="30"/>
      <c r="W35" s="22">
        <v>0</v>
      </c>
      <c r="X35" s="30"/>
      <c r="Y35" s="22">
        <v>0</v>
      </c>
      <c r="Z35" s="30"/>
      <c r="AA35" s="22">
        <v>0</v>
      </c>
      <c r="AB35" s="30"/>
      <c r="AC35" s="22">
        <v>0</v>
      </c>
      <c r="AD35" s="30"/>
      <c r="AE35" s="22">
        <v>0</v>
      </c>
      <c r="AF35" s="27"/>
      <c r="AG35" s="58">
        <f t="shared" si="14"/>
        <v>0</v>
      </c>
      <c r="AH35" s="69"/>
      <c r="AI35" s="47">
        <v>0</v>
      </c>
      <c r="AJ35" s="30"/>
      <c r="AK35" s="47">
        <v>0</v>
      </c>
    </row>
    <row r="36" spans="1:37" ht="12.75" thickBot="1">
      <c r="A36" s="129"/>
      <c r="B36" s="6" t="s">
        <v>23</v>
      </c>
      <c r="C36" s="30"/>
      <c r="D36" s="30"/>
      <c r="E36" s="22">
        <v>0</v>
      </c>
      <c r="F36" s="30"/>
      <c r="G36" s="22">
        <v>0</v>
      </c>
      <c r="H36" s="30"/>
      <c r="I36" s="22">
        <v>0</v>
      </c>
      <c r="J36" s="30"/>
      <c r="K36" s="22">
        <v>0</v>
      </c>
      <c r="L36" s="30"/>
      <c r="M36" s="22">
        <v>0</v>
      </c>
      <c r="N36" s="30"/>
      <c r="O36" s="22">
        <v>0</v>
      </c>
      <c r="P36" s="96"/>
      <c r="Q36" s="96"/>
      <c r="R36" s="30"/>
      <c r="S36" s="22">
        <v>0</v>
      </c>
      <c r="T36" s="30"/>
      <c r="U36" s="22">
        <v>0</v>
      </c>
      <c r="V36" s="30"/>
      <c r="W36" s="22">
        <v>0</v>
      </c>
      <c r="X36" s="30"/>
      <c r="Y36" s="22">
        <v>0</v>
      </c>
      <c r="Z36" s="30"/>
      <c r="AA36" s="22">
        <v>0</v>
      </c>
      <c r="AB36" s="30"/>
      <c r="AC36" s="22">
        <v>0</v>
      </c>
      <c r="AD36" s="30"/>
      <c r="AE36" s="22">
        <v>0</v>
      </c>
      <c r="AF36" s="27"/>
      <c r="AG36" s="58">
        <f t="shared" si="14"/>
        <v>0</v>
      </c>
      <c r="AH36" s="69"/>
      <c r="AI36" s="47">
        <v>0</v>
      </c>
      <c r="AJ36" s="30"/>
      <c r="AK36" s="47">
        <v>0</v>
      </c>
    </row>
    <row r="37" spans="1:37" ht="12.75" thickBot="1">
      <c r="A37" s="129"/>
      <c r="B37" s="6" t="s">
        <v>50</v>
      </c>
      <c r="C37" s="30"/>
      <c r="D37" s="30"/>
      <c r="E37" s="22">
        <v>0</v>
      </c>
      <c r="F37" s="30"/>
      <c r="G37" s="22">
        <v>0</v>
      </c>
      <c r="H37" s="30"/>
      <c r="I37" s="22">
        <v>0</v>
      </c>
      <c r="J37" s="30"/>
      <c r="K37" s="22">
        <v>0</v>
      </c>
      <c r="L37" s="30"/>
      <c r="M37" s="22">
        <v>0</v>
      </c>
      <c r="N37" s="30"/>
      <c r="O37" s="22">
        <v>0</v>
      </c>
      <c r="P37" s="96"/>
      <c r="Q37" s="96"/>
      <c r="R37" s="30"/>
      <c r="S37" s="22">
        <v>0</v>
      </c>
      <c r="T37" s="30"/>
      <c r="U37" s="22">
        <v>0</v>
      </c>
      <c r="V37" s="30"/>
      <c r="W37" s="22">
        <v>0</v>
      </c>
      <c r="X37" s="30"/>
      <c r="Y37" s="22">
        <v>0</v>
      </c>
      <c r="Z37" s="30"/>
      <c r="AA37" s="22">
        <v>0</v>
      </c>
      <c r="AB37" s="30"/>
      <c r="AC37" s="22">
        <v>0</v>
      </c>
      <c r="AD37" s="30"/>
      <c r="AE37" s="22">
        <v>0</v>
      </c>
      <c r="AF37" s="27"/>
      <c r="AG37" s="58">
        <f t="shared" si="14"/>
        <v>0</v>
      </c>
      <c r="AH37" s="69"/>
      <c r="AI37" s="47">
        <v>0</v>
      </c>
      <c r="AJ37" s="30"/>
      <c r="AK37" s="47">
        <v>0</v>
      </c>
    </row>
    <row r="38" spans="1:37" ht="12.75" thickBot="1">
      <c r="A38" s="129"/>
      <c r="B38" s="6" t="s">
        <v>44</v>
      </c>
      <c r="C38" s="30"/>
      <c r="D38" s="30"/>
      <c r="E38" s="22">
        <v>0</v>
      </c>
      <c r="F38" s="30"/>
      <c r="G38" s="22">
        <v>0</v>
      </c>
      <c r="H38" s="30"/>
      <c r="I38" s="22">
        <v>0</v>
      </c>
      <c r="J38" s="30"/>
      <c r="K38" s="22">
        <v>0</v>
      </c>
      <c r="L38" s="30"/>
      <c r="M38" s="22">
        <v>0</v>
      </c>
      <c r="N38" s="30"/>
      <c r="O38" s="22">
        <v>0</v>
      </c>
      <c r="P38" s="96"/>
      <c r="Q38" s="96"/>
      <c r="R38" s="30"/>
      <c r="S38" s="22">
        <v>0</v>
      </c>
      <c r="T38" s="30"/>
      <c r="U38" s="22">
        <v>0</v>
      </c>
      <c r="V38" s="30"/>
      <c r="W38" s="22">
        <v>0</v>
      </c>
      <c r="X38" s="30"/>
      <c r="Y38" s="22">
        <v>0</v>
      </c>
      <c r="Z38" s="30"/>
      <c r="AA38" s="22">
        <v>0</v>
      </c>
      <c r="AB38" s="30"/>
      <c r="AC38" s="22">
        <v>0</v>
      </c>
      <c r="AD38" s="30"/>
      <c r="AE38" s="22">
        <v>0</v>
      </c>
      <c r="AF38" s="27"/>
      <c r="AG38" s="58">
        <f t="shared" si="14"/>
        <v>0</v>
      </c>
      <c r="AH38" s="69"/>
      <c r="AI38" s="47">
        <v>0</v>
      </c>
      <c r="AJ38" s="30"/>
      <c r="AK38" s="47">
        <v>0</v>
      </c>
    </row>
    <row r="39" spans="1:37" ht="12.75" thickBot="1">
      <c r="A39" s="130"/>
      <c r="B39" s="6" t="s">
        <v>48</v>
      </c>
      <c r="C39" s="30"/>
      <c r="D39" s="30"/>
      <c r="E39" s="22">
        <v>0</v>
      </c>
      <c r="F39" s="30"/>
      <c r="G39" s="22">
        <v>0</v>
      </c>
      <c r="H39" s="30"/>
      <c r="I39" s="22">
        <v>0</v>
      </c>
      <c r="J39" s="30"/>
      <c r="K39" s="22">
        <v>0</v>
      </c>
      <c r="L39" s="30"/>
      <c r="M39" s="22">
        <v>0</v>
      </c>
      <c r="N39" s="30"/>
      <c r="O39" s="22">
        <v>0</v>
      </c>
      <c r="P39" s="96"/>
      <c r="Q39" s="96"/>
      <c r="R39" s="30"/>
      <c r="S39" s="22">
        <v>0</v>
      </c>
      <c r="T39" s="30"/>
      <c r="U39" s="22">
        <v>0</v>
      </c>
      <c r="V39" s="30"/>
      <c r="W39" s="22">
        <v>0</v>
      </c>
      <c r="X39" s="30"/>
      <c r="Y39" s="22">
        <v>0</v>
      </c>
      <c r="Z39" s="30"/>
      <c r="AA39" s="22">
        <v>0</v>
      </c>
      <c r="AB39" s="30"/>
      <c r="AC39" s="22">
        <v>0</v>
      </c>
      <c r="AD39" s="30"/>
      <c r="AE39" s="22">
        <v>0</v>
      </c>
      <c r="AF39" s="27"/>
      <c r="AG39" s="58">
        <f t="shared" si="14"/>
        <v>0</v>
      </c>
      <c r="AH39" s="70"/>
      <c r="AI39" s="47">
        <v>0</v>
      </c>
      <c r="AJ39" s="30"/>
      <c r="AK39" s="47">
        <v>0</v>
      </c>
    </row>
    <row r="40" spans="1:37" ht="12.75" thickBot="1">
      <c r="A40" s="128" t="s">
        <v>53</v>
      </c>
      <c r="B40" s="6" t="s">
        <v>24</v>
      </c>
      <c r="C40" s="7">
        <v>0</v>
      </c>
      <c r="D40" s="11"/>
      <c r="E40" s="10">
        <f t="shared" ref="E40:E55" si="15">$C40*D40</f>
        <v>0</v>
      </c>
      <c r="F40" s="11"/>
      <c r="G40" s="10">
        <f t="shared" ref="G40:G57" si="16">$C40*F40</f>
        <v>0</v>
      </c>
      <c r="H40" s="11"/>
      <c r="I40" s="10">
        <f t="shared" ref="I40:I57" si="17">$C40*H40</f>
        <v>0</v>
      </c>
      <c r="J40" s="11"/>
      <c r="K40" s="10">
        <f t="shared" ref="K40:K57" si="18">$C40*J40</f>
        <v>0</v>
      </c>
      <c r="L40" s="11"/>
      <c r="M40" s="10">
        <f t="shared" ref="M40:M57" si="19">$C40*L40</f>
        <v>0</v>
      </c>
      <c r="N40" s="11"/>
      <c r="O40" s="10">
        <f t="shared" ref="O40:O57" si="20">$C40*N40</f>
        <v>0</v>
      </c>
      <c r="P40" s="94"/>
      <c r="Q40" s="94"/>
      <c r="R40" s="11"/>
      <c r="S40" s="10">
        <f t="shared" ref="S40:S57" si="21">$C40*R40</f>
        <v>0</v>
      </c>
      <c r="T40" s="11"/>
      <c r="U40" s="10">
        <f t="shared" ref="U40:U55" si="22">$C40*T40</f>
        <v>0</v>
      </c>
      <c r="V40" s="11"/>
      <c r="W40" s="10">
        <f t="shared" ref="W40:W57" si="23">$C40*V40</f>
        <v>0</v>
      </c>
      <c r="X40" s="11"/>
      <c r="Y40" s="10">
        <f t="shared" ref="Y40:Y57" si="24">$C40*X40</f>
        <v>0</v>
      </c>
      <c r="Z40" s="11"/>
      <c r="AA40" s="10">
        <f t="shared" ref="AA40:AA57" si="25">$C40*Z40</f>
        <v>0</v>
      </c>
      <c r="AB40" s="11"/>
      <c r="AC40" s="10">
        <f t="shared" ref="AC40:AC57" si="26">$C40*AB40</f>
        <v>0</v>
      </c>
      <c r="AD40" s="11"/>
      <c r="AE40" s="10">
        <f t="shared" ref="AE40:AE57" si="27">$C40*AD40</f>
        <v>0</v>
      </c>
      <c r="AF40" s="27"/>
      <c r="AG40" s="58">
        <f t="shared" si="14"/>
        <v>0</v>
      </c>
      <c r="AH40" s="40"/>
      <c r="AI40" s="43">
        <f>$C40*AH40</f>
        <v>0</v>
      </c>
      <c r="AJ40" s="50"/>
      <c r="AK40" s="43">
        <f>$C40*AJ40</f>
        <v>0</v>
      </c>
    </row>
    <row r="41" spans="1:37" ht="12.75" thickBot="1">
      <c r="A41" s="129"/>
      <c r="B41" s="6" t="s">
        <v>25</v>
      </c>
      <c r="C41" s="7">
        <v>0</v>
      </c>
      <c r="D41" s="11"/>
      <c r="E41" s="10">
        <f t="shared" si="15"/>
        <v>0</v>
      </c>
      <c r="F41" s="11"/>
      <c r="G41" s="10">
        <f t="shared" si="16"/>
        <v>0</v>
      </c>
      <c r="H41" s="11"/>
      <c r="I41" s="10">
        <f t="shared" si="17"/>
        <v>0</v>
      </c>
      <c r="J41" s="11"/>
      <c r="K41" s="10">
        <f t="shared" si="18"/>
        <v>0</v>
      </c>
      <c r="L41" s="11"/>
      <c r="M41" s="10">
        <f t="shared" si="19"/>
        <v>0</v>
      </c>
      <c r="N41" s="11"/>
      <c r="O41" s="10">
        <f t="shared" si="20"/>
        <v>0</v>
      </c>
      <c r="P41" s="94"/>
      <c r="Q41" s="94"/>
      <c r="R41" s="11"/>
      <c r="S41" s="10">
        <f t="shared" si="21"/>
        <v>0</v>
      </c>
      <c r="T41" s="11"/>
      <c r="U41" s="10">
        <f t="shared" si="22"/>
        <v>0</v>
      </c>
      <c r="V41" s="11"/>
      <c r="W41" s="10">
        <f t="shared" si="23"/>
        <v>0</v>
      </c>
      <c r="X41" s="11"/>
      <c r="Y41" s="10">
        <f t="shared" si="24"/>
        <v>0</v>
      </c>
      <c r="Z41" s="11"/>
      <c r="AA41" s="10">
        <f t="shared" si="25"/>
        <v>0</v>
      </c>
      <c r="AB41" s="11"/>
      <c r="AC41" s="10">
        <f t="shared" si="26"/>
        <v>0</v>
      </c>
      <c r="AD41" s="11"/>
      <c r="AE41" s="10">
        <f t="shared" si="27"/>
        <v>0</v>
      </c>
      <c r="AF41" s="27"/>
      <c r="AG41" s="58">
        <f t="shared" si="14"/>
        <v>0</v>
      </c>
      <c r="AH41" s="40"/>
      <c r="AI41" s="43">
        <f t="shared" ref="AI41:AI57" si="28">$C41*AH41</f>
        <v>0</v>
      </c>
      <c r="AJ41" s="50"/>
      <c r="AK41" s="43">
        <f t="shared" ref="AK41:AK57" si="29">$C41*AJ41</f>
        <v>0</v>
      </c>
    </row>
    <row r="42" spans="1:37" ht="12.75" thickBot="1">
      <c r="A42" s="129"/>
      <c r="B42" s="6" t="s">
        <v>26</v>
      </c>
      <c r="C42" s="7">
        <v>0</v>
      </c>
      <c r="D42" s="11"/>
      <c r="E42" s="10">
        <f t="shared" si="15"/>
        <v>0</v>
      </c>
      <c r="F42" s="11"/>
      <c r="G42" s="10">
        <f t="shared" si="16"/>
        <v>0</v>
      </c>
      <c r="H42" s="11"/>
      <c r="I42" s="10">
        <f t="shared" si="17"/>
        <v>0</v>
      </c>
      <c r="J42" s="11"/>
      <c r="K42" s="10">
        <f t="shared" si="18"/>
        <v>0</v>
      </c>
      <c r="L42" s="11"/>
      <c r="M42" s="10">
        <f t="shared" si="19"/>
        <v>0</v>
      </c>
      <c r="N42" s="11"/>
      <c r="O42" s="10">
        <f t="shared" si="20"/>
        <v>0</v>
      </c>
      <c r="P42" s="94"/>
      <c r="Q42" s="94"/>
      <c r="R42" s="11"/>
      <c r="S42" s="10">
        <f t="shared" si="21"/>
        <v>0</v>
      </c>
      <c r="T42" s="11"/>
      <c r="U42" s="10">
        <f t="shared" si="22"/>
        <v>0</v>
      </c>
      <c r="V42" s="11"/>
      <c r="W42" s="10">
        <f t="shared" si="23"/>
        <v>0</v>
      </c>
      <c r="X42" s="11"/>
      <c r="Y42" s="10">
        <f t="shared" si="24"/>
        <v>0</v>
      </c>
      <c r="Z42" s="11"/>
      <c r="AA42" s="10">
        <f t="shared" si="25"/>
        <v>0</v>
      </c>
      <c r="AB42" s="11"/>
      <c r="AC42" s="10">
        <f t="shared" si="26"/>
        <v>0</v>
      </c>
      <c r="AD42" s="11"/>
      <c r="AE42" s="10">
        <f t="shared" si="27"/>
        <v>0</v>
      </c>
      <c r="AF42" s="27"/>
      <c r="AG42" s="58">
        <f t="shared" si="14"/>
        <v>0</v>
      </c>
      <c r="AH42" s="40"/>
      <c r="AI42" s="43">
        <f t="shared" si="28"/>
        <v>0</v>
      </c>
      <c r="AJ42" s="50"/>
      <c r="AK42" s="43">
        <f t="shared" si="29"/>
        <v>0</v>
      </c>
    </row>
    <row r="43" spans="1:37" ht="12.75" thickBot="1">
      <c r="A43" s="129"/>
      <c r="B43" s="6" t="s">
        <v>27</v>
      </c>
      <c r="C43" s="7">
        <v>0</v>
      </c>
      <c r="D43" s="11"/>
      <c r="E43" s="10">
        <f t="shared" si="15"/>
        <v>0</v>
      </c>
      <c r="F43" s="11"/>
      <c r="G43" s="10">
        <f t="shared" si="16"/>
        <v>0</v>
      </c>
      <c r="H43" s="11"/>
      <c r="I43" s="10">
        <f t="shared" si="17"/>
        <v>0</v>
      </c>
      <c r="J43" s="11"/>
      <c r="K43" s="10">
        <f t="shared" si="18"/>
        <v>0</v>
      </c>
      <c r="L43" s="11"/>
      <c r="M43" s="10">
        <f t="shared" si="19"/>
        <v>0</v>
      </c>
      <c r="N43" s="11"/>
      <c r="O43" s="10">
        <f t="shared" si="20"/>
        <v>0</v>
      </c>
      <c r="P43" s="94"/>
      <c r="Q43" s="94"/>
      <c r="R43" s="11"/>
      <c r="S43" s="10">
        <f t="shared" si="21"/>
        <v>0</v>
      </c>
      <c r="T43" s="11"/>
      <c r="U43" s="10">
        <f t="shared" si="22"/>
        <v>0</v>
      </c>
      <c r="V43" s="11"/>
      <c r="W43" s="10">
        <f t="shared" si="23"/>
        <v>0</v>
      </c>
      <c r="X43" s="11"/>
      <c r="Y43" s="10">
        <f t="shared" si="24"/>
        <v>0</v>
      </c>
      <c r="Z43" s="11"/>
      <c r="AA43" s="10">
        <f t="shared" si="25"/>
        <v>0</v>
      </c>
      <c r="AB43" s="11"/>
      <c r="AC43" s="10">
        <f t="shared" si="26"/>
        <v>0</v>
      </c>
      <c r="AD43" s="11"/>
      <c r="AE43" s="10">
        <f t="shared" si="27"/>
        <v>0</v>
      </c>
      <c r="AF43" s="27"/>
      <c r="AG43" s="58">
        <f t="shared" si="14"/>
        <v>0</v>
      </c>
      <c r="AH43" s="40"/>
      <c r="AI43" s="43">
        <f t="shared" si="28"/>
        <v>0</v>
      </c>
      <c r="AJ43" s="50"/>
      <c r="AK43" s="43">
        <f t="shared" si="29"/>
        <v>0</v>
      </c>
    </row>
    <row r="44" spans="1:37" ht="12.75" thickBot="1">
      <c r="A44" s="129"/>
      <c r="B44" s="6" t="s">
        <v>28</v>
      </c>
      <c r="C44" s="7">
        <v>0</v>
      </c>
      <c r="D44" s="11"/>
      <c r="E44" s="10">
        <f t="shared" si="15"/>
        <v>0</v>
      </c>
      <c r="F44" s="11"/>
      <c r="G44" s="10">
        <f t="shared" si="16"/>
        <v>0</v>
      </c>
      <c r="H44" s="11"/>
      <c r="I44" s="10">
        <f t="shared" si="17"/>
        <v>0</v>
      </c>
      <c r="J44" s="11"/>
      <c r="K44" s="10">
        <f t="shared" si="18"/>
        <v>0</v>
      </c>
      <c r="L44" s="11"/>
      <c r="M44" s="10">
        <f t="shared" si="19"/>
        <v>0</v>
      </c>
      <c r="N44" s="11"/>
      <c r="O44" s="10">
        <f t="shared" si="20"/>
        <v>0</v>
      </c>
      <c r="P44" s="94"/>
      <c r="Q44" s="94"/>
      <c r="R44" s="11"/>
      <c r="S44" s="10">
        <f t="shared" si="21"/>
        <v>0</v>
      </c>
      <c r="T44" s="11"/>
      <c r="U44" s="10">
        <f t="shared" si="22"/>
        <v>0</v>
      </c>
      <c r="V44" s="11"/>
      <c r="W44" s="10">
        <f t="shared" si="23"/>
        <v>0</v>
      </c>
      <c r="X44" s="11"/>
      <c r="Y44" s="10">
        <f t="shared" si="24"/>
        <v>0</v>
      </c>
      <c r="Z44" s="11"/>
      <c r="AA44" s="10">
        <f t="shared" si="25"/>
        <v>0</v>
      </c>
      <c r="AB44" s="11"/>
      <c r="AC44" s="10">
        <f t="shared" si="26"/>
        <v>0</v>
      </c>
      <c r="AD44" s="11"/>
      <c r="AE44" s="10">
        <f t="shared" si="27"/>
        <v>0</v>
      </c>
      <c r="AF44" s="27"/>
      <c r="AG44" s="58">
        <f t="shared" si="14"/>
        <v>0</v>
      </c>
      <c r="AH44" s="40"/>
      <c r="AI44" s="43">
        <f t="shared" si="28"/>
        <v>0</v>
      </c>
      <c r="AJ44" s="50"/>
      <c r="AK44" s="43">
        <f t="shared" si="29"/>
        <v>0</v>
      </c>
    </row>
    <row r="45" spans="1:37" ht="12.75" thickBot="1">
      <c r="A45" s="129"/>
      <c r="B45" s="6" t="s">
        <v>29</v>
      </c>
      <c r="C45" s="7">
        <v>0</v>
      </c>
      <c r="D45" s="11"/>
      <c r="E45" s="10">
        <f t="shared" si="15"/>
        <v>0</v>
      </c>
      <c r="F45" s="11"/>
      <c r="G45" s="10">
        <f t="shared" si="16"/>
        <v>0</v>
      </c>
      <c r="H45" s="11"/>
      <c r="I45" s="10">
        <f t="shared" si="17"/>
        <v>0</v>
      </c>
      <c r="J45" s="11"/>
      <c r="K45" s="10">
        <f t="shared" si="18"/>
        <v>0</v>
      </c>
      <c r="L45" s="11"/>
      <c r="M45" s="10">
        <f t="shared" si="19"/>
        <v>0</v>
      </c>
      <c r="N45" s="11"/>
      <c r="O45" s="10">
        <f t="shared" si="20"/>
        <v>0</v>
      </c>
      <c r="P45" s="94"/>
      <c r="Q45" s="94"/>
      <c r="R45" s="11"/>
      <c r="S45" s="10">
        <f t="shared" si="21"/>
        <v>0</v>
      </c>
      <c r="T45" s="11"/>
      <c r="U45" s="10">
        <f t="shared" si="22"/>
        <v>0</v>
      </c>
      <c r="V45" s="11"/>
      <c r="W45" s="10">
        <f t="shared" si="23"/>
        <v>0</v>
      </c>
      <c r="X45" s="11"/>
      <c r="Y45" s="10">
        <f t="shared" si="24"/>
        <v>0</v>
      </c>
      <c r="Z45" s="11"/>
      <c r="AA45" s="10">
        <f t="shared" si="25"/>
        <v>0</v>
      </c>
      <c r="AB45" s="11"/>
      <c r="AC45" s="10">
        <f t="shared" si="26"/>
        <v>0</v>
      </c>
      <c r="AD45" s="11"/>
      <c r="AE45" s="10">
        <f t="shared" si="27"/>
        <v>0</v>
      </c>
      <c r="AF45" s="27"/>
      <c r="AG45" s="58">
        <f t="shared" si="14"/>
        <v>0</v>
      </c>
      <c r="AH45" s="40"/>
      <c r="AI45" s="43">
        <f t="shared" si="28"/>
        <v>0</v>
      </c>
      <c r="AJ45" s="50"/>
      <c r="AK45" s="43">
        <f t="shared" si="29"/>
        <v>0</v>
      </c>
    </row>
    <row r="46" spans="1:37" ht="12.75" thickBot="1">
      <c r="A46" s="129"/>
      <c r="B46" s="6" t="s">
        <v>30</v>
      </c>
      <c r="C46" s="7">
        <v>0</v>
      </c>
      <c r="D46" s="11"/>
      <c r="E46" s="10">
        <f t="shared" si="15"/>
        <v>0</v>
      </c>
      <c r="F46" s="11"/>
      <c r="G46" s="10">
        <f t="shared" si="16"/>
        <v>0</v>
      </c>
      <c r="H46" s="11"/>
      <c r="I46" s="10">
        <f t="shared" si="17"/>
        <v>0</v>
      </c>
      <c r="J46" s="11"/>
      <c r="K46" s="10">
        <f t="shared" si="18"/>
        <v>0</v>
      </c>
      <c r="L46" s="11"/>
      <c r="M46" s="10">
        <f t="shared" si="19"/>
        <v>0</v>
      </c>
      <c r="N46" s="11"/>
      <c r="O46" s="10">
        <f t="shared" si="20"/>
        <v>0</v>
      </c>
      <c r="P46" s="94"/>
      <c r="Q46" s="94"/>
      <c r="R46" s="11"/>
      <c r="S46" s="10">
        <f t="shared" si="21"/>
        <v>0</v>
      </c>
      <c r="T46" s="11"/>
      <c r="U46" s="10">
        <f t="shared" si="22"/>
        <v>0</v>
      </c>
      <c r="V46" s="11"/>
      <c r="W46" s="10">
        <f t="shared" si="23"/>
        <v>0</v>
      </c>
      <c r="X46" s="11"/>
      <c r="Y46" s="10">
        <f t="shared" si="24"/>
        <v>0</v>
      </c>
      <c r="Z46" s="11"/>
      <c r="AA46" s="10">
        <f t="shared" si="25"/>
        <v>0</v>
      </c>
      <c r="AB46" s="11"/>
      <c r="AC46" s="10">
        <f t="shared" si="26"/>
        <v>0</v>
      </c>
      <c r="AD46" s="11"/>
      <c r="AE46" s="10">
        <f t="shared" si="27"/>
        <v>0</v>
      </c>
      <c r="AF46" s="27"/>
      <c r="AG46" s="58">
        <f t="shared" si="14"/>
        <v>0</v>
      </c>
      <c r="AH46" s="40"/>
      <c r="AI46" s="43">
        <f t="shared" si="28"/>
        <v>0</v>
      </c>
      <c r="AJ46" s="50"/>
      <c r="AK46" s="43">
        <f t="shared" si="29"/>
        <v>0</v>
      </c>
    </row>
    <row r="47" spans="1:37" ht="12.75" thickBot="1">
      <c r="A47" s="129"/>
      <c r="B47" s="6" t="s">
        <v>31</v>
      </c>
      <c r="C47" s="7">
        <v>0</v>
      </c>
      <c r="D47" s="11"/>
      <c r="E47" s="10">
        <f t="shared" si="15"/>
        <v>0</v>
      </c>
      <c r="F47" s="11"/>
      <c r="G47" s="10">
        <f t="shared" si="16"/>
        <v>0</v>
      </c>
      <c r="H47" s="11"/>
      <c r="I47" s="10">
        <f t="shared" si="17"/>
        <v>0</v>
      </c>
      <c r="J47" s="11"/>
      <c r="K47" s="10">
        <f t="shared" si="18"/>
        <v>0</v>
      </c>
      <c r="L47" s="11"/>
      <c r="M47" s="10">
        <f t="shared" si="19"/>
        <v>0</v>
      </c>
      <c r="N47" s="11"/>
      <c r="O47" s="10">
        <f t="shared" si="20"/>
        <v>0</v>
      </c>
      <c r="P47" s="94"/>
      <c r="Q47" s="94"/>
      <c r="R47" s="11"/>
      <c r="S47" s="10">
        <f t="shared" si="21"/>
        <v>0</v>
      </c>
      <c r="T47" s="11"/>
      <c r="U47" s="10">
        <f t="shared" si="22"/>
        <v>0</v>
      </c>
      <c r="V47" s="11"/>
      <c r="W47" s="10">
        <f t="shared" si="23"/>
        <v>0</v>
      </c>
      <c r="X47" s="11"/>
      <c r="Y47" s="10">
        <f t="shared" si="24"/>
        <v>0</v>
      </c>
      <c r="Z47" s="11"/>
      <c r="AA47" s="10">
        <f t="shared" si="25"/>
        <v>0</v>
      </c>
      <c r="AB47" s="11"/>
      <c r="AC47" s="10">
        <f t="shared" si="26"/>
        <v>0</v>
      </c>
      <c r="AD47" s="11"/>
      <c r="AE47" s="10">
        <f t="shared" si="27"/>
        <v>0</v>
      </c>
      <c r="AF47" s="27"/>
      <c r="AG47" s="58">
        <f t="shared" si="14"/>
        <v>0</v>
      </c>
      <c r="AH47" s="40"/>
      <c r="AI47" s="43">
        <f t="shared" si="28"/>
        <v>0</v>
      </c>
      <c r="AJ47" s="50"/>
      <c r="AK47" s="43">
        <f t="shared" si="29"/>
        <v>0</v>
      </c>
    </row>
    <row r="48" spans="1:37" ht="12.75" thickBot="1">
      <c r="A48" s="129"/>
      <c r="B48" s="24" t="s">
        <v>41</v>
      </c>
      <c r="C48" s="7">
        <v>0</v>
      </c>
      <c r="D48" s="11"/>
      <c r="E48" s="10">
        <f t="shared" si="15"/>
        <v>0</v>
      </c>
      <c r="F48" s="11"/>
      <c r="G48" s="10">
        <f t="shared" si="16"/>
        <v>0</v>
      </c>
      <c r="H48" s="11"/>
      <c r="I48" s="10">
        <f t="shared" si="17"/>
        <v>0</v>
      </c>
      <c r="J48" s="11"/>
      <c r="K48" s="10">
        <f t="shared" si="18"/>
        <v>0</v>
      </c>
      <c r="L48" s="11"/>
      <c r="M48" s="10">
        <f t="shared" si="19"/>
        <v>0</v>
      </c>
      <c r="N48" s="11"/>
      <c r="O48" s="10">
        <f t="shared" si="20"/>
        <v>0</v>
      </c>
      <c r="P48" s="94"/>
      <c r="Q48" s="94"/>
      <c r="R48" s="11"/>
      <c r="S48" s="10">
        <f t="shared" si="21"/>
        <v>0</v>
      </c>
      <c r="T48" s="11"/>
      <c r="U48" s="10">
        <f t="shared" si="22"/>
        <v>0</v>
      </c>
      <c r="V48" s="11"/>
      <c r="W48" s="10">
        <f t="shared" si="23"/>
        <v>0</v>
      </c>
      <c r="X48" s="11"/>
      <c r="Y48" s="10">
        <f t="shared" si="24"/>
        <v>0</v>
      </c>
      <c r="Z48" s="11"/>
      <c r="AA48" s="10">
        <f t="shared" si="25"/>
        <v>0</v>
      </c>
      <c r="AB48" s="11"/>
      <c r="AC48" s="10">
        <f t="shared" si="26"/>
        <v>0</v>
      </c>
      <c r="AD48" s="11"/>
      <c r="AE48" s="10">
        <f t="shared" si="27"/>
        <v>0</v>
      </c>
      <c r="AF48" s="27"/>
      <c r="AG48" s="58">
        <f t="shared" si="14"/>
        <v>0</v>
      </c>
      <c r="AH48" s="40"/>
      <c r="AI48" s="43">
        <f t="shared" si="28"/>
        <v>0</v>
      </c>
      <c r="AJ48" s="50"/>
      <c r="AK48" s="43">
        <f t="shared" si="29"/>
        <v>0</v>
      </c>
    </row>
    <row r="49" spans="1:37" ht="12.75" thickBot="1">
      <c r="A49" s="129"/>
      <c r="B49" s="6" t="s">
        <v>32</v>
      </c>
      <c r="C49" s="7">
        <v>0</v>
      </c>
      <c r="D49" s="11"/>
      <c r="E49" s="10">
        <f t="shared" si="15"/>
        <v>0</v>
      </c>
      <c r="F49" s="11"/>
      <c r="G49" s="10">
        <f t="shared" si="16"/>
        <v>0</v>
      </c>
      <c r="H49" s="11"/>
      <c r="I49" s="10">
        <f t="shared" si="17"/>
        <v>0</v>
      </c>
      <c r="J49" s="11"/>
      <c r="K49" s="10">
        <f t="shared" si="18"/>
        <v>0</v>
      </c>
      <c r="L49" s="11"/>
      <c r="M49" s="10">
        <f t="shared" si="19"/>
        <v>0</v>
      </c>
      <c r="N49" s="11"/>
      <c r="O49" s="10">
        <f t="shared" si="20"/>
        <v>0</v>
      </c>
      <c r="P49" s="94"/>
      <c r="Q49" s="94"/>
      <c r="R49" s="11"/>
      <c r="S49" s="10">
        <f t="shared" si="21"/>
        <v>0</v>
      </c>
      <c r="T49" s="11"/>
      <c r="U49" s="10">
        <f t="shared" si="22"/>
        <v>0</v>
      </c>
      <c r="V49" s="11"/>
      <c r="W49" s="10">
        <f t="shared" si="23"/>
        <v>0</v>
      </c>
      <c r="X49" s="11"/>
      <c r="Y49" s="10">
        <f t="shared" si="24"/>
        <v>0</v>
      </c>
      <c r="Z49" s="11"/>
      <c r="AA49" s="10">
        <f t="shared" si="25"/>
        <v>0</v>
      </c>
      <c r="AB49" s="11"/>
      <c r="AC49" s="10">
        <f t="shared" si="26"/>
        <v>0</v>
      </c>
      <c r="AD49" s="11"/>
      <c r="AE49" s="10">
        <f t="shared" si="27"/>
        <v>0</v>
      </c>
      <c r="AF49" s="27"/>
      <c r="AG49" s="58">
        <f t="shared" si="14"/>
        <v>0</v>
      </c>
      <c r="AH49" s="40"/>
      <c r="AI49" s="43">
        <f t="shared" si="28"/>
        <v>0</v>
      </c>
      <c r="AJ49" s="50"/>
      <c r="AK49" s="43">
        <f t="shared" si="29"/>
        <v>0</v>
      </c>
    </row>
    <row r="50" spans="1:37" ht="12.75" thickBot="1">
      <c r="A50" s="129"/>
      <c r="B50" s="6" t="s">
        <v>33</v>
      </c>
      <c r="C50" s="7">
        <v>0</v>
      </c>
      <c r="D50" s="11"/>
      <c r="E50" s="10">
        <f t="shared" si="15"/>
        <v>0</v>
      </c>
      <c r="F50" s="11"/>
      <c r="G50" s="10">
        <f t="shared" si="16"/>
        <v>0</v>
      </c>
      <c r="H50" s="11"/>
      <c r="I50" s="10">
        <f t="shared" si="17"/>
        <v>0</v>
      </c>
      <c r="J50" s="11"/>
      <c r="K50" s="10">
        <f t="shared" si="18"/>
        <v>0</v>
      </c>
      <c r="L50" s="11"/>
      <c r="M50" s="10">
        <f t="shared" si="19"/>
        <v>0</v>
      </c>
      <c r="N50" s="11"/>
      <c r="O50" s="10">
        <f t="shared" si="20"/>
        <v>0</v>
      </c>
      <c r="P50" s="94"/>
      <c r="Q50" s="94"/>
      <c r="R50" s="11"/>
      <c r="S50" s="10">
        <f t="shared" si="21"/>
        <v>0</v>
      </c>
      <c r="T50" s="11"/>
      <c r="U50" s="10">
        <f t="shared" si="22"/>
        <v>0</v>
      </c>
      <c r="V50" s="11"/>
      <c r="W50" s="10">
        <f t="shared" si="23"/>
        <v>0</v>
      </c>
      <c r="X50" s="11"/>
      <c r="Y50" s="10">
        <f t="shared" si="24"/>
        <v>0</v>
      </c>
      <c r="Z50" s="11"/>
      <c r="AA50" s="10">
        <f t="shared" si="25"/>
        <v>0</v>
      </c>
      <c r="AB50" s="11"/>
      <c r="AC50" s="10">
        <f t="shared" si="26"/>
        <v>0</v>
      </c>
      <c r="AD50" s="11"/>
      <c r="AE50" s="10">
        <f t="shared" si="27"/>
        <v>0</v>
      </c>
      <c r="AF50" s="27"/>
      <c r="AG50" s="58">
        <f t="shared" si="14"/>
        <v>0</v>
      </c>
      <c r="AH50" s="40"/>
      <c r="AI50" s="43">
        <f t="shared" si="28"/>
        <v>0</v>
      </c>
      <c r="AJ50" s="50"/>
      <c r="AK50" s="43">
        <f t="shared" si="29"/>
        <v>0</v>
      </c>
    </row>
    <row r="51" spans="1:37" ht="12.75" thickBot="1">
      <c r="A51" s="129"/>
      <c r="B51" s="6" t="s">
        <v>34</v>
      </c>
      <c r="C51" s="7">
        <v>0</v>
      </c>
      <c r="D51" s="11"/>
      <c r="E51" s="10">
        <f t="shared" si="15"/>
        <v>0</v>
      </c>
      <c r="F51" s="11"/>
      <c r="G51" s="10">
        <f t="shared" si="16"/>
        <v>0</v>
      </c>
      <c r="H51" s="11"/>
      <c r="I51" s="10">
        <f t="shared" si="17"/>
        <v>0</v>
      </c>
      <c r="J51" s="11"/>
      <c r="K51" s="10">
        <f t="shared" si="18"/>
        <v>0</v>
      </c>
      <c r="L51" s="11"/>
      <c r="M51" s="10">
        <f t="shared" si="19"/>
        <v>0</v>
      </c>
      <c r="N51" s="11"/>
      <c r="O51" s="10">
        <f t="shared" si="20"/>
        <v>0</v>
      </c>
      <c r="P51" s="94"/>
      <c r="Q51" s="94"/>
      <c r="R51" s="11"/>
      <c r="S51" s="10">
        <f t="shared" si="21"/>
        <v>0</v>
      </c>
      <c r="T51" s="11"/>
      <c r="U51" s="10">
        <f t="shared" si="22"/>
        <v>0</v>
      </c>
      <c r="V51" s="11"/>
      <c r="W51" s="10">
        <f t="shared" si="23"/>
        <v>0</v>
      </c>
      <c r="X51" s="11"/>
      <c r="Y51" s="10">
        <f t="shared" si="24"/>
        <v>0</v>
      </c>
      <c r="Z51" s="11"/>
      <c r="AA51" s="10">
        <f t="shared" si="25"/>
        <v>0</v>
      </c>
      <c r="AB51" s="11"/>
      <c r="AC51" s="10">
        <f t="shared" si="26"/>
        <v>0</v>
      </c>
      <c r="AD51" s="11"/>
      <c r="AE51" s="10">
        <f t="shared" si="27"/>
        <v>0</v>
      </c>
      <c r="AF51" s="27"/>
      <c r="AG51" s="58">
        <f t="shared" si="14"/>
        <v>0</v>
      </c>
      <c r="AH51" s="40"/>
      <c r="AI51" s="43">
        <f t="shared" si="28"/>
        <v>0</v>
      </c>
      <c r="AJ51" s="50"/>
      <c r="AK51" s="43">
        <f t="shared" si="29"/>
        <v>0</v>
      </c>
    </row>
    <row r="52" spans="1:37" ht="12.75" thickBot="1">
      <c r="A52" s="129"/>
      <c r="B52" s="6" t="s">
        <v>35</v>
      </c>
      <c r="C52" s="7">
        <v>0</v>
      </c>
      <c r="D52" s="11"/>
      <c r="E52" s="10">
        <f t="shared" si="15"/>
        <v>0</v>
      </c>
      <c r="F52" s="11"/>
      <c r="G52" s="10">
        <f t="shared" si="16"/>
        <v>0</v>
      </c>
      <c r="H52" s="11"/>
      <c r="I52" s="10">
        <f t="shared" si="17"/>
        <v>0</v>
      </c>
      <c r="J52" s="11"/>
      <c r="K52" s="10">
        <f t="shared" si="18"/>
        <v>0</v>
      </c>
      <c r="L52" s="11"/>
      <c r="M52" s="10">
        <f t="shared" si="19"/>
        <v>0</v>
      </c>
      <c r="N52" s="11"/>
      <c r="O52" s="10">
        <f t="shared" si="20"/>
        <v>0</v>
      </c>
      <c r="P52" s="94"/>
      <c r="Q52" s="94"/>
      <c r="R52" s="11"/>
      <c r="S52" s="10">
        <f t="shared" si="21"/>
        <v>0</v>
      </c>
      <c r="T52" s="11"/>
      <c r="U52" s="10">
        <f t="shared" si="22"/>
        <v>0</v>
      </c>
      <c r="V52" s="11"/>
      <c r="W52" s="10">
        <f t="shared" si="23"/>
        <v>0</v>
      </c>
      <c r="X52" s="11"/>
      <c r="Y52" s="10">
        <f t="shared" si="24"/>
        <v>0</v>
      </c>
      <c r="Z52" s="11"/>
      <c r="AA52" s="10">
        <f t="shared" si="25"/>
        <v>0</v>
      </c>
      <c r="AB52" s="11"/>
      <c r="AC52" s="10">
        <f t="shared" si="26"/>
        <v>0</v>
      </c>
      <c r="AD52" s="11"/>
      <c r="AE52" s="10">
        <f t="shared" si="27"/>
        <v>0</v>
      </c>
      <c r="AF52" s="27"/>
      <c r="AG52" s="58">
        <f t="shared" si="14"/>
        <v>0</v>
      </c>
      <c r="AH52" s="40"/>
      <c r="AI52" s="43">
        <f t="shared" si="28"/>
        <v>0</v>
      </c>
      <c r="AJ52" s="50"/>
      <c r="AK52" s="43">
        <f t="shared" si="29"/>
        <v>0</v>
      </c>
    </row>
    <row r="53" spans="1:37" ht="12.75" thickBot="1">
      <c r="A53" s="129"/>
      <c r="B53" s="6" t="s">
        <v>36</v>
      </c>
      <c r="C53" s="7">
        <v>0</v>
      </c>
      <c r="D53" s="11"/>
      <c r="E53" s="10">
        <f t="shared" si="15"/>
        <v>0</v>
      </c>
      <c r="F53" s="11"/>
      <c r="G53" s="10">
        <f t="shared" si="16"/>
        <v>0</v>
      </c>
      <c r="H53" s="11"/>
      <c r="I53" s="10">
        <f t="shared" si="17"/>
        <v>0</v>
      </c>
      <c r="J53" s="11"/>
      <c r="K53" s="10">
        <f t="shared" si="18"/>
        <v>0</v>
      </c>
      <c r="L53" s="11"/>
      <c r="M53" s="10">
        <f t="shared" si="19"/>
        <v>0</v>
      </c>
      <c r="N53" s="11"/>
      <c r="O53" s="10">
        <f t="shared" si="20"/>
        <v>0</v>
      </c>
      <c r="P53" s="94"/>
      <c r="Q53" s="94"/>
      <c r="R53" s="11"/>
      <c r="S53" s="10">
        <f t="shared" si="21"/>
        <v>0</v>
      </c>
      <c r="T53" s="11"/>
      <c r="U53" s="10">
        <f t="shared" si="22"/>
        <v>0</v>
      </c>
      <c r="V53" s="11"/>
      <c r="W53" s="10">
        <f t="shared" si="23"/>
        <v>0</v>
      </c>
      <c r="X53" s="11"/>
      <c r="Y53" s="10">
        <f t="shared" si="24"/>
        <v>0</v>
      </c>
      <c r="Z53" s="11"/>
      <c r="AA53" s="10">
        <f t="shared" si="25"/>
        <v>0</v>
      </c>
      <c r="AB53" s="11"/>
      <c r="AC53" s="10">
        <f t="shared" si="26"/>
        <v>0</v>
      </c>
      <c r="AD53" s="11"/>
      <c r="AE53" s="10">
        <f t="shared" si="27"/>
        <v>0</v>
      </c>
      <c r="AF53" s="27"/>
      <c r="AG53" s="58">
        <f t="shared" si="14"/>
        <v>0</v>
      </c>
      <c r="AH53" s="40"/>
      <c r="AI53" s="43">
        <f t="shared" si="28"/>
        <v>0</v>
      </c>
      <c r="AJ53" s="50"/>
      <c r="AK53" s="43">
        <f t="shared" si="29"/>
        <v>0</v>
      </c>
    </row>
    <row r="54" spans="1:37" ht="12.75" thickBot="1">
      <c r="A54" s="129"/>
      <c r="B54" s="6" t="s">
        <v>37</v>
      </c>
      <c r="C54" s="7">
        <v>0</v>
      </c>
      <c r="D54" s="11"/>
      <c r="E54" s="10">
        <f t="shared" si="15"/>
        <v>0</v>
      </c>
      <c r="F54" s="11"/>
      <c r="G54" s="10">
        <f t="shared" si="16"/>
        <v>0</v>
      </c>
      <c r="H54" s="11"/>
      <c r="I54" s="10">
        <f t="shared" si="17"/>
        <v>0</v>
      </c>
      <c r="J54" s="11"/>
      <c r="K54" s="10">
        <f t="shared" si="18"/>
        <v>0</v>
      </c>
      <c r="L54" s="11"/>
      <c r="M54" s="10">
        <f t="shared" si="19"/>
        <v>0</v>
      </c>
      <c r="N54" s="11"/>
      <c r="O54" s="10">
        <f t="shared" si="20"/>
        <v>0</v>
      </c>
      <c r="P54" s="94"/>
      <c r="Q54" s="94"/>
      <c r="R54" s="11"/>
      <c r="S54" s="10">
        <f t="shared" si="21"/>
        <v>0</v>
      </c>
      <c r="T54" s="11"/>
      <c r="U54" s="10">
        <f t="shared" si="22"/>
        <v>0</v>
      </c>
      <c r="V54" s="11"/>
      <c r="W54" s="10">
        <f t="shared" si="23"/>
        <v>0</v>
      </c>
      <c r="X54" s="11"/>
      <c r="Y54" s="10">
        <f t="shared" si="24"/>
        <v>0</v>
      </c>
      <c r="Z54" s="11"/>
      <c r="AA54" s="10">
        <f t="shared" si="25"/>
        <v>0</v>
      </c>
      <c r="AB54" s="11"/>
      <c r="AC54" s="10">
        <f t="shared" si="26"/>
        <v>0</v>
      </c>
      <c r="AD54" s="11"/>
      <c r="AE54" s="10">
        <f t="shared" si="27"/>
        <v>0</v>
      </c>
      <c r="AF54" s="27"/>
      <c r="AG54" s="58">
        <f t="shared" si="14"/>
        <v>0</v>
      </c>
      <c r="AH54" s="40"/>
      <c r="AI54" s="43">
        <f t="shared" si="28"/>
        <v>0</v>
      </c>
      <c r="AJ54" s="50"/>
      <c r="AK54" s="43">
        <f t="shared" si="29"/>
        <v>0</v>
      </c>
    </row>
    <row r="55" spans="1:37" ht="12.75" thickBot="1">
      <c r="A55" s="129"/>
      <c r="B55" s="6" t="s">
        <v>42</v>
      </c>
      <c r="C55" s="7">
        <v>0</v>
      </c>
      <c r="D55" s="11"/>
      <c r="E55" s="10">
        <f t="shared" si="15"/>
        <v>0</v>
      </c>
      <c r="F55" s="11"/>
      <c r="G55" s="10">
        <f t="shared" si="16"/>
        <v>0</v>
      </c>
      <c r="H55" s="11"/>
      <c r="I55" s="10">
        <f t="shared" si="17"/>
        <v>0</v>
      </c>
      <c r="J55" s="11"/>
      <c r="K55" s="10">
        <f t="shared" si="18"/>
        <v>0</v>
      </c>
      <c r="L55" s="11"/>
      <c r="M55" s="10">
        <f t="shared" si="19"/>
        <v>0</v>
      </c>
      <c r="N55" s="11"/>
      <c r="O55" s="10">
        <f t="shared" si="20"/>
        <v>0</v>
      </c>
      <c r="P55" s="94"/>
      <c r="Q55" s="94"/>
      <c r="R55" s="11"/>
      <c r="S55" s="10">
        <f t="shared" si="21"/>
        <v>0</v>
      </c>
      <c r="T55" s="11"/>
      <c r="U55" s="10">
        <f t="shared" si="22"/>
        <v>0</v>
      </c>
      <c r="V55" s="11"/>
      <c r="W55" s="10">
        <f t="shared" si="23"/>
        <v>0</v>
      </c>
      <c r="X55" s="11"/>
      <c r="Y55" s="10">
        <f t="shared" si="24"/>
        <v>0</v>
      </c>
      <c r="Z55" s="11"/>
      <c r="AA55" s="10">
        <f t="shared" si="25"/>
        <v>0</v>
      </c>
      <c r="AB55" s="11"/>
      <c r="AC55" s="10">
        <f t="shared" si="26"/>
        <v>0</v>
      </c>
      <c r="AD55" s="11"/>
      <c r="AE55" s="10">
        <f t="shared" si="27"/>
        <v>0</v>
      </c>
      <c r="AF55" s="27"/>
      <c r="AG55" s="58">
        <f t="shared" si="14"/>
        <v>0</v>
      </c>
      <c r="AH55" s="40"/>
      <c r="AI55" s="43">
        <f t="shared" si="28"/>
        <v>0</v>
      </c>
      <c r="AJ55" s="50"/>
      <c r="AK55" s="43">
        <f t="shared" si="29"/>
        <v>0</v>
      </c>
    </row>
    <row r="56" spans="1:37" ht="12.75" thickBot="1">
      <c r="A56" s="129"/>
      <c r="B56" s="6" t="s">
        <v>43</v>
      </c>
      <c r="C56" s="7">
        <v>0</v>
      </c>
      <c r="D56" s="11"/>
      <c r="E56" s="10">
        <f>$C56*D56</f>
        <v>0</v>
      </c>
      <c r="F56" s="11"/>
      <c r="G56" s="10">
        <f t="shared" si="16"/>
        <v>0</v>
      </c>
      <c r="H56" s="11"/>
      <c r="I56" s="10">
        <f t="shared" si="17"/>
        <v>0</v>
      </c>
      <c r="J56" s="11"/>
      <c r="K56" s="10">
        <f t="shared" si="18"/>
        <v>0</v>
      </c>
      <c r="L56" s="11"/>
      <c r="M56" s="10">
        <f t="shared" si="19"/>
        <v>0</v>
      </c>
      <c r="N56" s="11"/>
      <c r="O56" s="10">
        <f t="shared" si="20"/>
        <v>0</v>
      </c>
      <c r="P56" s="94"/>
      <c r="Q56" s="94"/>
      <c r="R56" s="11"/>
      <c r="S56" s="10">
        <f t="shared" si="21"/>
        <v>0</v>
      </c>
      <c r="T56" s="11"/>
      <c r="U56" s="10">
        <f>$C56*T56</f>
        <v>0</v>
      </c>
      <c r="V56" s="11"/>
      <c r="W56" s="10">
        <f t="shared" si="23"/>
        <v>0</v>
      </c>
      <c r="X56" s="11"/>
      <c r="Y56" s="10">
        <f t="shared" si="24"/>
        <v>0</v>
      </c>
      <c r="Z56" s="11"/>
      <c r="AA56" s="10">
        <f t="shared" si="25"/>
        <v>0</v>
      </c>
      <c r="AB56" s="11"/>
      <c r="AC56" s="10">
        <f t="shared" si="26"/>
        <v>0</v>
      </c>
      <c r="AD56" s="11"/>
      <c r="AE56" s="10">
        <f t="shared" si="27"/>
        <v>0</v>
      </c>
      <c r="AF56" s="27"/>
      <c r="AG56" s="58">
        <f t="shared" si="14"/>
        <v>0</v>
      </c>
      <c r="AH56" s="40"/>
      <c r="AI56" s="43">
        <f t="shared" si="28"/>
        <v>0</v>
      </c>
      <c r="AJ56" s="50"/>
      <c r="AK56" s="43">
        <f t="shared" si="29"/>
        <v>0</v>
      </c>
    </row>
    <row r="57" spans="1:37" ht="12.75" thickBot="1">
      <c r="A57" s="130"/>
      <c r="B57" s="6" t="s">
        <v>14</v>
      </c>
      <c r="C57" s="7">
        <v>0</v>
      </c>
      <c r="D57" s="11"/>
      <c r="E57" s="10">
        <f>$C57*D57</f>
        <v>0</v>
      </c>
      <c r="F57" s="11"/>
      <c r="G57" s="10">
        <f t="shared" si="16"/>
        <v>0</v>
      </c>
      <c r="H57" s="11"/>
      <c r="I57" s="10">
        <f t="shared" si="17"/>
        <v>0</v>
      </c>
      <c r="J57" s="11"/>
      <c r="K57" s="10">
        <f t="shared" si="18"/>
        <v>0</v>
      </c>
      <c r="L57" s="11"/>
      <c r="M57" s="10">
        <f t="shared" si="19"/>
        <v>0</v>
      </c>
      <c r="N57" s="11"/>
      <c r="O57" s="10">
        <f t="shared" si="20"/>
        <v>0</v>
      </c>
      <c r="P57" s="94"/>
      <c r="Q57" s="94"/>
      <c r="R57" s="11"/>
      <c r="S57" s="10">
        <f t="shared" si="21"/>
        <v>0</v>
      </c>
      <c r="T57" s="11"/>
      <c r="U57" s="10">
        <f>$C57*T57</f>
        <v>0</v>
      </c>
      <c r="V57" s="11"/>
      <c r="W57" s="10">
        <f t="shared" si="23"/>
        <v>0</v>
      </c>
      <c r="X57" s="11"/>
      <c r="Y57" s="10">
        <f t="shared" si="24"/>
        <v>0</v>
      </c>
      <c r="Z57" s="11"/>
      <c r="AA57" s="10">
        <f t="shared" si="25"/>
        <v>0</v>
      </c>
      <c r="AB57" s="11"/>
      <c r="AC57" s="10">
        <f t="shared" si="26"/>
        <v>0</v>
      </c>
      <c r="AD57" s="11"/>
      <c r="AE57" s="10">
        <f t="shared" si="27"/>
        <v>0</v>
      </c>
      <c r="AF57" s="27"/>
      <c r="AG57" s="58">
        <f t="shared" si="14"/>
        <v>0</v>
      </c>
      <c r="AH57" s="51"/>
      <c r="AI57" s="43">
        <f t="shared" si="28"/>
        <v>0</v>
      </c>
      <c r="AJ57" s="51"/>
      <c r="AK57" s="43">
        <f t="shared" si="29"/>
        <v>0</v>
      </c>
    </row>
    <row r="58" spans="1:37" ht="12.75" thickBot="1">
      <c r="A58" s="31" t="s">
        <v>38</v>
      </c>
      <c r="B58" s="32"/>
      <c r="C58" s="30"/>
      <c r="D58" s="33"/>
      <c r="E58" s="34">
        <f>SUM(E33:E57)</f>
        <v>0</v>
      </c>
      <c r="F58" s="33"/>
      <c r="G58" s="34">
        <f>SUM(G32:G57)</f>
        <v>0</v>
      </c>
      <c r="H58" s="33"/>
      <c r="I58" s="34">
        <f>SUM(I32:I57)</f>
        <v>0</v>
      </c>
      <c r="J58" s="33"/>
      <c r="K58" s="34">
        <f>SUM(K32:K57)</f>
        <v>0</v>
      </c>
      <c r="L58" s="33"/>
      <c r="M58" s="34">
        <f>SUM(M33:M57)</f>
        <v>0</v>
      </c>
      <c r="N58" s="33"/>
      <c r="O58" s="34">
        <f>SUM(O33:O57)</f>
        <v>0</v>
      </c>
      <c r="P58" s="105"/>
      <c r="Q58" s="105"/>
      <c r="R58" s="33"/>
      <c r="S58" s="34">
        <f>SUM(S33:S57)</f>
        <v>0</v>
      </c>
      <c r="T58" s="33"/>
      <c r="U58" s="34">
        <f>SUM(U32:U57)</f>
        <v>0</v>
      </c>
      <c r="V58" s="33"/>
      <c r="W58" s="34">
        <f>SUM(W32:W57)</f>
        <v>0</v>
      </c>
      <c r="X58" s="33"/>
      <c r="Y58" s="34">
        <f>SUM(Y33:Y57)</f>
        <v>0</v>
      </c>
      <c r="Z58" s="33"/>
      <c r="AA58" s="34">
        <f>SUM(AA33:AA57)</f>
        <v>0</v>
      </c>
      <c r="AB58" s="33"/>
      <c r="AC58" s="34">
        <f>SUM(AC33:AC57)</f>
        <v>0</v>
      </c>
      <c r="AD58" s="33"/>
      <c r="AE58" s="34">
        <f>SUM(AE33:AE57)</f>
        <v>0</v>
      </c>
      <c r="AF58" s="35"/>
      <c r="AG58" s="34">
        <f>SUM(AG33:AG57)</f>
        <v>0</v>
      </c>
      <c r="AH58" s="62"/>
      <c r="AI58" s="52">
        <f>SUM(AI33:AI57)</f>
        <v>0</v>
      </c>
      <c r="AJ58" s="33"/>
      <c r="AK58" s="52">
        <f>SUM(AK33:AK57)</f>
        <v>0</v>
      </c>
    </row>
    <row r="59" spans="1:37" s="38" customFormat="1" ht="21" customHeight="1" thickTop="1" thickBot="1">
      <c r="A59" s="36" t="s">
        <v>77</v>
      </c>
      <c r="B59" s="83"/>
      <c r="C59" s="84"/>
      <c r="D59" s="85"/>
      <c r="E59" s="86">
        <f>E20+E31+E58</f>
        <v>0</v>
      </c>
      <c r="F59" s="85"/>
      <c r="G59" s="86">
        <f>G20+G31+G58</f>
        <v>0</v>
      </c>
      <c r="H59" s="85"/>
      <c r="I59" s="86">
        <f>I20+I31+I58</f>
        <v>0</v>
      </c>
      <c r="J59" s="85"/>
      <c r="K59" s="86">
        <f>K20+K31+K58</f>
        <v>0</v>
      </c>
      <c r="L59" s="85"/>
      <c r="M59" s="86">
        <f>M20+M31+M58</f>
        <v>0</v>
      </c>
      <c r="N59" s="85"/>
      <c r="O59" s="86">
        <f>O20+O31+O58</f>
        <v>0</v>
      </c>
      <c r="P59" s="106"/>
      <c r="Q59" s="86">
        <f>Q20+Q31+Q58</f>
        <v>0</v>
      </c>
      <c r="R59" s="85"/>
      <c r="S59" s="86">
        <f>S20+S31+S58</f>
        <v>0</v>
      </c>
      <c r="T59" s="85"/>
      <c r="U59" s="86">
        <f>U20+U31+U58</f>
        <v>0</v>
      </c>
      <c r="V59" s="85"/>
      <c r="W59" s="86">
        <f>W20+W31+W58</f>
        <v>0</v>
      </c>
      <c r="X59" s="85"/>
      <c r="Y59" s="86">
        <f>Y20+Y31+Y58</f>
        <v>0</v>
      </c>
      <c r="Z59" s="85"/>
      <c r="AA59" s="86">
        <f>AA20+AA31+AA58</f>
        <v>0</v>
      </c>
      <c r="AB59" s="85"/>
      <c r="AC59" s="86">
        <f>AC20+AC31+AC58</f>
        <v>0</v>
      </c>
      <c r="AD59" s="85"/>
      <c r="AE59" s="86">
        <f>AE20+AE31+AE58</f>
        <v>0</v>
      </c>
      <c r="AF59" s="85"/>
      <c r="AG59" s="119"/>
      <c r="AH59" s="87"/>
      <c r="AI59" s="88">
        <f>AI20+AI31+AI58</f>
        <v>0</v>
      </c>
      <c r="AJ59" s="85"/>
      <c r="AK59" s="88">
        <f>AK20+AK31+AK58</f>
        <v>0</v>
      </c>
    </row>
    <row r="60" spans="1:37" ht="19.5" customHeight="1" thickTop="1" thickBot="1">
      <c r="A60" s="36" t="s">
        <v>76</v>
      </c>
      <c r="B60" s="89"/>
      <c r="C60" s="90"/>
      <c r="D60" s="90"/>
      <c r="E60" s="16">
        <f>E59*D3</f>
        <v>0</v>
      </c>
      <c r="F60" s="90"/>
      <c r="G60" s="90"/>
      <c r="H60" s="90"/>
      <c r="I60" s="90"/>
      <c r="J60" s="90"/>
      <c r="K60" s="90"/>
      <c r="L60" s="90"/>
      <c r="M60" s="16">
        <f>M59*L3</f>
        <v>0</v>
      </c>
      <c r="N60" s="90"/>
      <c r="O60" s="16">
        <f>O59*N3</f>
        <v>0</v>
      </c>
      <c r="P60" s="90"/>
      <c r="Q60" s="16">
        <f>Q59*P3</f>
        <v>0</v>
      </c>
      <c r="R60" s="90"/>
      <c r="S60" s="16">
        <f>S59*R3</f>
        <v>0</v>
      </c>
      <c r="T60" s="90"/>
      <c r="U60" s="90"/>
      <c r="V60" s="90"/>
      <c r="W60" s="90"/>
      <c r="X60" s="90"/>
      <c r="Y60" s="16">
        <f>Y59*X3</f>
        <v>0</v>
      </c>
      <c r="Z60" s="90"/>
      <c r="AA60" s="16">
        <f>AA59*Z3</f>
        <v>0</v>
      </c>
      <c r="AB60" s="90"/>
      <c r="AC60" s="16">
        <f>AC59*AB3</f>
        <v>0</v>
      </c>
      <c r="AD60" s="91"/>
      <c r="AE60" s="16">
        <f>AE59*AD3</f>
        <v>0</v>
      </c>
      <c r="AF60" s="92"/>
      <c r="AG60" s="37">
        <f>AG20+AG31+AG58</f>
        <v>0</v>
      </c>
      <c r="AH60" s="90"/>
      <c r="AI60" s="53">
        <f>AI59*AH3</f>
        <v>0</v>
      </c>
      <c r="AJ60" s="90"/>
      <c r="AK60" s="53">
        <f>AK59*AJ3</f>
        <v>0</v>
      </c>
    </row>
    <row r="62" spans="1:37" ht="12.75" thickBot="1"/>
    <row r="63" spans="1:37" ht="39" customHeight="1" thickBot="1">
      <c r="A63" s="144" t="s">
        <v>80</v>
      </c>
      <c r="B63" s="145"/>
      <c r="C63" s="145"/>
      <c r="D63" s="145"/>
      <c r="E63" s="145"/>
      <c r="F63" s="146"/>
      <c r="G63" s="100" t="s">
        <v>81</v>
      </c>
      <c r="H63" s="102"/>
      <c r="I63" s="102"/>
      <c r="J63" s="102"/>
      <c r="K63" s="102"/>
      <c r="L63" s="100" t="s">
        <v>81</v>
      </c>
      <c r="M63"/>
      <c r="N63"/>
      <c r="O63"/>
      <c r="P63"/>
    </row>
    <row r="64" spans="1:37" ht="27" customHeight="1" thickBot="1">
      <c r="A64" s="147" t="s">
        <v>84</v>
      </c>
      <c r="B64" s="148"/>
      <c r="C64" s="148"/>
      <c r="D64" s="148"/>
      <c r="E64" s="148"/>
      <c r="F64" s="149"/>
      <c r="G64" s="103"/>
      <c r="H64" s="104"/>
      <c r="I64" s="104"/>
      <c r="J64" s="104"/>
      <c r="K64" s="104"/>
      <c r="L64" s="103">
        <v>0</v>
      </c>
      <c r="M64"/>
      <c r="N64"/>
      <c r="O64"/>
      <c r="P64"/>
    </row>
    <row r="65" spans="1:28" ht="12.75">
      <c r="A65" s="101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28" ht="12.75">
      <c r="A66" s="101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28" ht="12.75">
      <c r="A67" s="101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28" ht="20.25" customHeight="1">
      <c r="A68" s="110" t="s">
        <v>82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spans="1:28" ht="21.75" customHeight="1">
      <c r="A69" s="107" t="s">
        <v>85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spans="1:28" ht="22.5" customHeight="1">
      <c r="A70" s="109" t="s">
        <v>83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</row>
    <row r="71" spans="1:28" ht="19.5" customHeight="1">
      <c r="A71" s="109" t="s">
        <v>87</v>
      </c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</row>
    <row r="72" spans="1:28" ht="9.9499999999999993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</row>
    <row r="73" spans="1:28" ht="12.7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</row>
    <row r="74" spans="1:28" ht="12.7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 spans="1:28" ht="12.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</row>
  </sheetData>
  <protectedRanges>
    <protectedRange sqref="G64" name="Adders and Subtractors"/>
    <protectedRange sqref="A65:A67" name="Schedule of Labor"/>
    <protectedRange sqref="L64" name="Adders and Subtractors_1"/>
  </protectedRanges>
  <mergeCells count="43">
    <mergeCell ref="A63:F63"/>
    <mergeCell ref="A64:F64"/>
    <mergeCell ref="AH2:AI2"/>
    <mergeCell ref="AJ2:AK2"/>
    <mergeCell ref="AH3:AI3"/>
    <mergeCell ref="AJ3:AK3"/>
    <mergeCell ref="L3:M3"/>
    <mergeCell ref="D3:E3"/>
    <mergeCell ref="D2:E2"/>
    <mergeCell ref="L2:M2"/>
    <mergeCell ref="AF1:AG3"/>
    <mergeCell ref="R2:S2"/>
    <mergeCell ref="X2:Y2"/>
    <mergeCell ref="Z2:AA2"/>
    <mergeCell ref="AB2:AC2"/>
    <mergeCell ref="N3:O3"/>
    <mergeCell ref="AJ1:AK1"/>
    <mergeCell ref="Z1:AA1"/>
    <mergeCell ref="A33:A39"/>
    <mergeCell ref="C22:C30"/>
    <mergeCell ref="AH1:AI1"/>
    <mergeCell ref="A1:C1"/>
    <mergeCell ref="A2:C2"/>
    <mergeCell ref="N2:O2"/>
    <mergeCell ref="P2:Q2"/>
    <mergeCell ref="AB3:AC3"/>
    <mergeCell ref="D1:K1"/>
    <mergeCell ref="N1:Q1"/>
    <mergeCell ref="A3:C3"/>
    <mergeCell ref="A40:A57"/>
    <mergeCell ref="A6:A19"/>
    <mergeCell ref="A22:A30"/>
    <mergeCell ref="P3:Q3"/>
    <mergeCell ref="Z3:AA3"/>
    <mergeCell ref="AD1:AE1"/>
    <mergeCell ref="L1:M1"/>
    <mergeCell ref="R1:S1"/>
    <mergeCell ref="AB1:AC1"/>
    <mergeCell ref="X1:Y1"/>
    <mergeCell ref="AD2:AE2"/>
    <mergeCell ref="R3:S3"/>
    <mergeCell ref="X3:Y3"/>
    <mergeCell ref="AD3:AE3"/>
  </mergeCells>
  <phoneticPr fontId="8" type="noConversion"/>
  <printOptions horizontalCentered="1"/>
  <pageMargins left="0.12" right="0.12" top="1.1499999999999999" bottom="0.37" header="0.25" footer="0.42"/>
  <pageSetup paperSize="3" scale="42" orientation="landscape" horizontalDpi="4294967295" verticalDpi="4294967295" r:id="rId1"/>
  <headerFooter differentOddEven="1" alignWithMargins="0">
    <oddHeader xml:space="preserve">&amp;C&amp;12&amp;K000000Detailed Cost Spreadsheet
Lake Mart Facility
455 Route 247
Greenfield Township, Lackawanna County, PA 18407
PADEP FACILITY ID #35-34675
PAUSTIF CLAIM #2012-0026(S)&amp;10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2013-03-22T21:21:50Z</cp:lastPrinted>
  <dcterms:created xsi:type="dcterms:W3CDTF">2007-02-15T12:38:24Z</dcterms:created>
  <dcterms:modified xsi:type="dcterms:W3CDTF">2013-04-03T13:58:08Z</dcterms:modified>
</cp:coreProperties>
</file>