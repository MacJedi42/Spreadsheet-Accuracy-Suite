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5.2" sheetId="1" r:id="rId1"/>
  </sheets>
  <externalReferences>
    <externalReference r:id="rId2"/>
    <externalReference r:id="rId3"/>
  </externalReferences>
  <definedNames>
    <definedName name="_xlnm.Print_Area" localSheetId="0">'Table 5.2'!$A$3:$K$60</definedName>
  </definedNames>
  <calcPr calcId="145621"/>
</workbook>
</file>

<file path=xl/calcChain.xml><?xml version="1.0" encoding="utf-8"?>
<calcChain xmlns="http://schemas.openxmlformats.org/spreadsheetml/2006/main">
  <c r="I60" i="1" l="1"/>
  <c r="I5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<sst xmlns="http://schemas.openxmlformats.org/spreadsheetml/2006/main" count="31" uniqueCount="19">
  <si>
    <t>Monthly Statistical Bulletin</t>
  </si>
  <si>
    <t xml:space="preserve">5.2 Housing and cash interest rates </t>
  </si>
  <si>
    <t>Month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</si>
  <si>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</si>
  <si>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</si>
  <si>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</si>
  <si>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</si>
  <si>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</si>
  <si>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</si>
  <si>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</si>
  <si>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</si>
  <si>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</si>
  <si>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</si>
  <si>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</si>
  <si>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</si>
  <si>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</si>
  <si>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Cash market interest rate – per cent</t>
  </si>
  <si>
    <t>Source: RBA website, statistical tables F1 and F5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</si>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</sst>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7.5"/>
      <color indexed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0" xfId="0" applyNumberFormat="1" applyFont="1"/>
    <xf numFmtId="0" fontId="8" fillId="0" borderId="1" xfId="0" applyFont="1" applyBorder="1"/>
    <xf numFmtId="2" fontId="8" fillId="0" borderId="1" xfId="0" applyNumberFormat="1" applyFont="1" applyBorder="1"/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0" fontId="8" fillId="0" borderId="0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1" applyFont="1" applyAlignment="1" applyProtection="1">
      <alignment horizontal="left"/>
    </xf>
    <xf numFmtId="0" fontId="11" fillId="0" borderId="0" xfId="1" applyFont="1" applyAlignment="1" applyProtection="1"/>
    <xf numFmtId="2" fontId="4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 applyAlignment="1">
      <alignment wrapText="1"/>
    </xf>
    <xf numFmtId="165" fontId="12" fillId="0" borderId="0" xfId="0" applyNumberFormat="1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strRef>
              <c:f>'[1]Data 5.2'!$B$1</c:f>
              <c:strCache>
                <c:ptCount val="1"/>
                <c:pt idx="0">
                  <c:v>Banks' housing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5.2'!$A$75:$A$135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5.2'!$B$75:$B$135</c:f>
              <c:numCache>
                <c:formatCode>0.00</c:formatCode>
                <c:ptCount val="61"/>
                <c:pt idx="0">
                  <c:v>9.4499999999999993</c:v>
                </c:pt>
                <c:pt idx="1">
                  <c:v>9.6</c:v>
                </c:pt>
                <c:pt idx="2">
                  <c:v>9.6</c:v>
                </c:pt>
                <c:pt idx="3">
                  <c:v>9.35</c:v>
                </c:pt>
                <c:pt idx="4">
                  <c:v>8.35</c:v>
                </c:pt>
                <c:pt idx="5">
                  <c:v>7.75</c:v>
                </c:pt>
                <c:pt idx="6">
                  <c:v>6.85</c:v>
                </c:pt>
                <c:pt idx="7">
                  <c:v>6.85</c:v>
                </c:pt>
                <c:pt idx="8">
                  <c:v>5.85</c:v>
                </c:pt>
                <c:pt idx="9">
                  <c:v>5.85</c:v>
                </c:pt>
                <c:pt idx="10">
                  <c:v>5.75</c:v>
                </c:pt>
                <c:pt idx="11">
                  <c:v>5.75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6.05</c:v>
                </c:pt>
                <c:pt idx="17">
                  <c:v>6.3</c:v>
                </c:pt>
                <c:pt idx="18">
                  <c:v>6.65</c:v>
                </c:pt>
                <c:pt idx="19">
                  <c:v>6.65</c:v>
                </c:pt>
                <c:pt idx="20">
                  <c:v>6.65</c:v>
                </c:pt>
                <c:pt idx="21">
                  <c:v>6.9</c:v>
                </c:pt>
                <c:pt idx="22">
                  <c:v>7.15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7.8</c:v>
                </c:pt>
                <c:pt idx="36">
                  <c:v>7.8</c:v>
                </c:pt>
                <c:pt idx="37">
                  <c:v>7.8</c:v>
                </c:pt>
                <c:pt idx="38">
                  <c:v>7.8</c:v>
                </c:pt>
                <c:pt idx="39">
                  <c:v>7.8</c:v>
                </c:pt>
                <c:pt idx="40">
                  <c:v>7.8</c:v>
                </c:pt>
                <c:pt idx="41">
                  <c:v>7.55</c:v>
                </c:pt>
                <c:pt idx="42">
                  <c:v>7.3</c:v>
                </c:pt>
                <c:pt idx="43">
                  <c:v>7.3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7.05</c:v>
                </c:pt>
                <c:pt idx="48">
                  <c:v>6.85</c:v>
                </c:pt>
                <c:pt idx="49">
                  <c:v>6.85</c:v>
                </c:pt>
                <c:pt idx="50">
                  <c:v>6.85</c:v>
                </c:pt>
                <c:pt idx="51">
                  <c:v>6.85</c:v>
                </c:pt>
                <c:pt idx="52">
                  <c:v>6.65</c:v>
                </c:pt>
                <c:pt idx="53">
                  <c:v>6.65</c:v>
                </c:pt>
                <c:pt idx="54">
                  <c:v>6.45</c:v>
                </c:pt>
                <c:pt idx="55">
                  <c:v>6.45</c:v>
                </c:pt>
                <c:pt idx="56">
                  <c:v>6.45</c:v>
                </c:pt>
                <c:pt idx="57">
                  <c:v>6.45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5.2'!$C$1</c:f>
              <c:strCache>
                <c:ptCount val="1"/>
                <c:pt idx="0">
                  <c:v>Cash market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5.2'!$A$75:$A$135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5.2'!$C$75:$C$135</c:f>
              <c:numCache>
                <c:formatCode>0.00</c:formatCode>
                <c:ptCount val="61"/>
                <c:pt idx="0">
                  <c:v>7.2499874160159168</c:v>
                </c:pt>
                <c:pt idx="1">
                  <c:v>7.2500167539868423</c:v>
                </c:pt>
                <c:pt idx="2">
                  <c:v>7.2500020252139139</c:v>
                </c:pt>
                <c:pt idx="3">
                  <c:v>7.0227272727272725</c:v>
                </c:pt>
                <c:pt idx="4">
                  <c:v>6.1818181818181817</c:v>
                </c:pt>
                <c:pt idx="5">
                  <c:v>5.3251632919660352</c:v>
                </c:pt>
                <c:pt idx="6">
                  <c:v>4.345261211573237</c:v>
                </c:pt>
                <c:pt idx="7">
                  <c:v>4.2500005432814199</c:v>
                </c:pt>
                <c:pt idx="8">
                  <c:v>3.35</c:v>
                </c:pt>
                <c:pt idx="9">
                  <c:v>3.2499785723178505</c:v>
                </c:pt>
                <c:pt idx="10">
                  <c:v>3.0625707823036863</c:v>
                </c:pt>
                <c:pt idx="11">
                  <c:v>3</c:v>
                </c:pt>
                <c:pt idx="12">
                  <c:v>3.0000620694498248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3.2142857142857144</c:v>
                </c:pt>
                <c:pt idx="17">
                  <c:v>3.4761904761904763</c:v>
                </c:pt>
                <c:pt idx="18">
                  <c:v>3.7380952380952381</c:v>
                </c:pt>
                <c:pt idx="19">
                  <c:v>3.75</c:v>
                </c:pt>
                <c:pt idx="20">
                  <c:v>3.75</c:v>
                </c:pt>
                <c:pt idx="21">
                  <c:v>3.98</c:v>
                </c:pt>
                <c:pt idx="22">
                  <c:v>4.22</c:v>
                </c:pt>
                <c:pt idx="23">
                  <c:v>4.4800000000000004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4.7300000000000004</c:v>
                </c:pt>
                <c:pt idx="30">
                  <c:v>4.75</c:v>
                </c:pt>
                <c:pt idx="31">
                  <c:v>4.75</c:v>
                </c:pt>
                <c:pt idx="32">
                  <c:v>4.75</c:v>
                </c:pt>
                <c:pt idx="33">
                  <c:v>4.75</c:v>
                </c:pt>
                <c:pt idx="34">
                  <c:v>4.75</c:v>
                </c:pt>
                <c:pt idx="35">
                  <c:v>4.75</c:v>
                </c:pt>
                <c:pt idx="36">
                  <c:v>4.75</c:v>
                </c:pt>
                <c:pt idx="37">
                  <c:v>4.75</c:v>
                </c:pt>
                <c:pt idx="38">
                  <c:v>4.75</c:v>
                </c:pt>
                <c:pt idx="39">
                  <c:v>4.75</c:v>
                </c:pt>
                <c:pt idx="40">
                  <c:v>4.75</c:v>
                </c:pt>
                <c:pt idx="41">
                  <c:v>4.51</c:v>
                </c:pt>
                <c:pt idx="42">
                  <c:v>4.3</c:v>
                </c:pt>
                <c:pt idx="43">
                  <c:v>4.25</c:v>
                </c:pt>
                <c:pt idx="44">
                  <c:v>4.25</c:v>
                </c:pt>
                <c:pt idx="45">
                  <c:v>4.25</c:v>
                </c:pt>
                <c:pt idx="46">
                  <c:v>4.25</c:v>
                </c:pt>
                <c:pt idx="47">
                  <c:v>3.77</c:v>
                </c:pt>
                <c:pt idx="48">
                  <c:v>3.54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3.2725</c:v>
                </c:pt>
                <c:pt idx="53">
                  <c:v>3.25</c:v>
                </c:pt>
                <c:pt idx="54">
                  <c:v>3.03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20320"/>
        <c:axId val="144908672"/>
      </c:lineChart>
      <c:catAx>
        <c:axId val="13012032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90867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44908672"/>
        <c:scaling>
          <c:orientation val="minMax"/>
          <c:max val="1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120320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66480399627471"/>
          <c:y val="0.10665813416432485"/>
          <c:w val="0.37064665924203682"/>
          <c:h val="9.62440295669755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133350</xdr:rowOff>
        </xdr:from>
        <xdr:to>
          <xdr:col>10</xdr:col>
          <xdr:colOff>571500</xdr:colOff>
          <xdr:row>55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>
        <row r="1">
          <cell r="B1" t="str">
            <v>Banks' housing rate</v>
          </cell>
          <cell r="C1" t="str">
            <v>Cash market rate</v>
          </cell>
        </row>
        <row r="75">
          <cell r="A75">
            <v>39600</v>
          </cell>
          <cell r="B75">
            <v>9.4499999999999993</v>
          </cell>
          <cell r="C75">
            <v>7.2499874160159168</v>
          </cell>
        </row>
        <row r="76">
          <cell r="A76">
            <v>39630</v>
          </cell>
          <cell r="B76">
            <v>9.6</v>
          </cell>
          <cell r="C76">
            <v>7.2500167539868423</v>
          </cell>
        </row>
        <row r="77">
          <cell r="A77">
            <v>39661</v>
          </cell>
          <cell r="B77">
            <v>9.6</v>
          </cell>
          <cell r="C77">
            <v>7.2500020252139139</v>
          </cell>
        </row>
        <row r="78">
          <cell r="A78">
            <v>39692</v>
          </cell>
          <cell r="B78">
            <v>9.35</v>
          </cell>
          <cell r="C78">
            <v>7.0227272727272725</v>
          </cell>
        </row>
        <row r="79">
          <cell r="A79">
            <v>39722</v>
          </cell>
          <cell r="B79">
            <v>8.35</v>
          </cell>
          <cell r="C79">
            <v>6.1818181818181817</v>
          </cell>
        </row>
        <row r="80">
          <cell r="A80">
            <v>39753</v>
          </cell>
          <cell r="B80">
            <v>7.75</v>
          </cell>
          <cell r="C80">
            <v>5.3251632919660352</v>
          </cell>
        </row>
        <row r="81">
          <cell r="A81">
            <v>39783</v>
          </cell>
          <cell r="B81">
            <v>6.85</v>
          </cell>
          <cell r="C81">
            <v>4.345261211573237</v>
          </cell>
        </row>
        <row r="82">
          <cell r="A82">
            <v>39814</v>
          </cell>
          <cell r="B82">
            <v>6.85</v>
          </cell>
          <cell r="C82">
            <v>4.2500005432814199</v>
          </cell>
        </row>
        <row r="83">
          <cell r="A83">
            <v>39845</v>
          </cell>
          <cell r="B83">
            <v>5.85</v>
          </cell>
          <cell r="C83">
            <v>3.35</v>
          </cell>
        </row>
        <row r="84">
          <cell r="A84">
            <v>39873</v>
          </cell>
          <cell r="B84">
            <v>5.85</v>
          </cell>
          <cell r="C84">
            <v>3.2499785723178505</v>
          </cell>
        </row>
        <row r="85">
          <cell r="A85">
            <v>39904</v>
          </cell>
          <cell r="B85">
            <v>5.75</v>
          </cell>
          <cell r="C85">
            <v>3.0625707823036863</v>
          </cell>
        </row>
        <row r="86">
          <cell r="A86">
            <v>39934</v>
          </cell>
          <cell r="B86">
            <v>5.75</v>
          </cell>
          <cell r="C86">
            <v>3</v>
          </cell>
        </row>
        <row r="87">
          <cell r="A87">
            <v>39965</v>
          </cell>
          <cell r="B87">
            <v>5.8</v>
          </cell>
          <cell r="C87">
            <v>3.0000620694498248</v>
          </cell>
          <cell r="D87" t="str">
            <v>2008–09</v>
          </cell>
        </row>
        <row r="88">
          <cell r="A88">
            <v>39995</v>
          </cell>
          <cell r="B88">
            <v>5.8</v>
          </cell>
          <cell r="C88">
            <v>3</v>
          </cell>
        </row>
        <row r="89">
          <cell r="A89">
            <v>40026</v>
          </cell>
          <cell r="B89">
            <v>5.8</v>
          </cell>
          <cell r="C89">
            <v>3</v>
          </cell>
        </row>
        <row r="90">
          <cell r="A90">
            <v>40057</v>
          </cell>
          <cell r="B90">
            <v>5.8</v>
          </cell>
          <cell r="C90">
            <v>3</v>
          </cell>
        </row>
        <row r="91">
          <cell r="A91">
            <v>40087</v>
          </cell>
          <cell r="B91">
            <v>6.05</v>
          </cell>
          <cell r="C91">
            <v>3.2142857142857144</v>
          </cell>
        </row>
        <row r="92">
          <cell r="A92">
            <v>40118</v>
          </cell>
          <cell r="B92">
            <v>6.3</v>
          </cell>
          <cell r="C92">
            <v>3.4761904761904763</v>
          </cell>
        </row>
        <row r="93">
          <cell r="A93">
            <v>40148</v>
          </cell>
          <cell r="B93">
            <v>6.65</v>
          </cell>
          <cell r="C93">
            <v>3.7380952380952381</v>
          </cell>
        </row>
        <row r="94">
          <cell r="A94">
            <v>40179</v>
          </cell>
          <cell r="B94">
            <v>6.65</v>
          </cell>
          <cell r="C94">
            <v>3.75</v>
          </cell>
        </row>
        <row r="95">
          <cell r="A95">
            <v>40210</v>
          </cell>
          <cell r="B95">
            <v>6.65</v>
          </cell>
          <cell r="C95">
            <v>3.75</v>
          </cell>
        </row>
        <row r="96">
          <cell r="A96">
            <v>40238</v>
          </cell>
          <cell r="B96">
            <v>6.9</v>
          </cell>
          <cell r="C96">
            <v>3.98</v>
          </cell>
        </row>
        <row r="97">
          <cell r="A97">
            <v>40269</v>
          </cell>
          <cell r="B97">
            <v>7.15</v>
          </cell>
          <cell r="C97">
            <v>4.22</v>
          </cell>
        </row>
        <row r="98">
          <cell r="A98">
            <v>40299</v>
          </cell>
          <cell r="B98">
            <v>7.4</v>
          </cell>
          <cell r="C98">
            <v>4.4800000000000004</v>
          </cell>
        </row>
        <row r="99">
          <cell r="A99">
            <v>40330</v>
          </cell>
          <cell r="B99">
            <v>7.4</v>
          </cell>
          <cell r="C99">
            <v>4.5</v>
          </cell>
          <cell r="D99" t="str">
            <v>2009–10</v>
          </cell>
        </row>
        <row r="100">
          <cell r="A100">
            <v>40360</v>
          </cell>
          <cell r="B100">
            <v>7.4</v>
          </cell>
          <cell r="C100">
            <v>4.5</v>
          </cell>
        </row>
        <row r="101">
          <cell r="A101">
            <v>40391</v>
          </cell>
          <cell r="B101">
            <v>7.4</v>
          </cell>
          <cell r="C101">
            <v>4.5</v>
          </cell>
        </row>
        <row r="102">
          <cell r="A102">
            <v>40422</v>
          </cell>
          <cell r="B102">
            <v>7.4</v>
          </cell>
          <cell r="C102">
            <v>4.5</v>
          </cell>
        </row>
        <row r="103">
          <cell r="A103">
            <v>40452</v>
          </cell>
          <cell r="B103">
            <v>7.4</v>
          </cell>
          <cell r="C103">
            <v>4.5</v>
          </cell>
        </row>
        <row r="104">
          <cell r="A104">
            <v>40483</v>
          </cell>
          <cell r="B104">
            <v>7.8</v>
          </cell>
          <cell r="C104">
            <v>4.7300000000000004</v>
          </cell>
        </row>
        <row r="105">
          <cell r="A105">
            <v>40513</v>
          </cell>
          <cell r="B105">
            <v>7.8</v>
          </cell>
          <cell r="C105">
            <v>4.75</v>
          </cell>
        </row>
        <row r="106">
          <cell r="A106">
            <v>40544</v>
          </cell>
          <cell r="B106">
            <v>7.8</v>
          </cell>
          <cell r="C106">
            <v>4.75</v>
          </cell>
        </row>
        <row r="107">
          <cell r="A107">
            <v>40575</v>
          </cell>
          <cell r="B107">
            <v>7.8</v>
          </cell>
          <cell r="C107">
            <v>4.75</v>
          </cell>
        </row>
        <row r="108">
          <cell r="A108">
            <v>40603</v>
          </cell>
          <cell r="B108">
            <v>7.8</v>
          </cell>
          <cell r="C108">
            <v>4.75</v>
          </cell>
        </row>
        <row r="109">
          <cell r="A109">
            <v>40634</v>
          </cell>
          <cell r="B109">
            <v>7.8</v>
          </cell>
          <cell r="C109">
            <v>4.75</v>
          </cell>
        </row>
        <row r="110">
          <cell r="A110">
            <v>40664</v>
          </cell>
          <cell r="B110">
            <v>7.8</v>
          </cell>
          <cell r="C110">
            <v>4.75</v>
          </cell>
        </row>
        <row r="111">
          <cell r="A111">
            <v>40695</v>
          </cell>
          <cell r="B111">
            <v>7.8</v>
          </cell>
          <cell r="C111">
            <v>4.75</v>
          </cell>
          <cell r="D111" t="str">
            <v>2010–11</v>
          </cell>
        </row>
        <row r="112">
          <cell r="A112">
            <v>40725</v>
          </cell>
          <cell r="B112">
            <v>7.8</v>
          </cell>
          <cell r="C112">
            <v>4.75</v>
          </cell>
        </row>
        <row r="113">
          <cell r="A113">
            <v>40756</v>
          </cell>
          <cell r="B113">
            <v>7.8</v>
          </cell>
          <cell r="C113">
            <v>4.75</v>
          </cell>
        </row>
        <row r="114">
          <cell r="A114">
            <v>40787</v>
          </cell>
          <cell r="B114">
            <v>7.8</v>
          </cell>
          <cell r="C114">
            <v>4.75</v>
          </cell>
        </row>
        <row r="115">
          <cell r="A115">
            <v>40817</v>
          </cell>
          <cell r="B115">
            <v>7.8</v>
          </cell>
          <cell r="C115">
            <v>4.75</v>
          </cell>
        </row>
        <row r="116">
          <cell r="A116">
            <v>40848</v>
          </cell>
          <cell r="B116">
            <v>7.55</v>
          </cell>
          <cell r="C116">
            <v>4.51</v>
          </cell>
        </row>
        <row r="117">
          <cell r="A117">
            <v>40878</v>
          </cell>
          <cell r="B117">
            <v>7.3</v>
          </cell>
          <cell r="C117">
            <v>4.3</v>
          </cell>
        </row>
        <row r="118">
          <cell r="A118">
            <v>40909</v>
          </cell>
          <cell r="B118">
            <v>7.3</v>
          </cell>
          <cell r="C118">
            <v>4.25</v>
          </cell>
        </row>
        <row r="119">
          <cell r="A119">
            <v>40940</v>
          </cell>
          <cell r="B119">
            <v>7.4</v>
          </cell>
          <cell r="C119">
            <v>4.25</v>
          </cell>
        </row>
        <row r="120">
          <cell r="A120">
            <v>40969</v>
          </cell>
          <cell r="B120">
            <v>7.4</v>
          </cell>
          <cell r="C120">
            <v>4.25</v>
          </cell>
        </row>
        <row r="121">
          <cell r="A121">
            <v>41000</v>
          </cell>
          <cell r="B121">
            <v>7.4</v>
          </cell>
          <cell r="C121">
            <v>4.25</v>
          </cell>
        </row>
        <row r="122">
          <cell r="A122">
            <v>41030</v>
          </cell>
          <cell r="B122">
            <v>7.05</v>
          </cell>
          <cell r="C122">
            <v>3.77</v>
          </cell>
        </row>
        <row r="123">
          <cell r="A123">
            <v>41061</v>
          </cell>
          <cell r="B123">
            <v>6.85</v>
          </cell>
          <cell r="C123">
            <v>3.54</v>
          </cell>
          <cell r="D123" t="str">
            <v>2011–12</v>
          </cell>
        </row>
        <row r="124">
          <cell r="A124">
            <v>41091</v>
          </cell>
          <cell r="B124">
            <v>6.85</v>
          </cell>
          <cell r="C124">
            <v>3.5</v>
          </cell>
        </row>
        <row r="125">
          <cell r="A125">
            <v>41122</v>
          </cell>
          <cell r="B125">
            <v>6.85</v>
          </cell>
          <cell r="C125">
            <v>3.5</v>
          </cell>
        </row>
        <row r="126">
          <cell r="A126">
            <v>41153</v>
          </cell>
          <cell r="B126">
            <v>6.85</v>
          </cell>
          <cell r="C126">
            <v>3.5</v>
          </cell>
        </row>
        <row r="127">
          <cell r="A127">
            <v>41183</v>
          </cell>
          <cell r="B127">
            <v>6.65</v>
          </cell>
          <cell r="C127">
            <v>3.2725</v>
          </cell>
        </row>
        <row r="128">
          <cell r="A128">
            <v>41214</v>
          </cell>
          <cell r="B128">
            <v>6.65</v>
          </cell>
          <cell r="C128">
            <v>3.25</v>
          </cell>
        </row>
        <row r="129">
          <cell r="A129">
            <v>41244</v>
          </cell>
          <cell r="B129">
            <v>6.45</v>
          </cell>
          <cell r="C129">
            <v>3.03</v>
          </cell>
        </row>
        <row r="130">
          <cell r="A130">
            <v>41275</v>
          </cell>
          <cell r="B130">
            <v>6.45</v>
          </cell>
          <cell r="C130">
            <v>3</v>
          </cell>
        </row>
        <row r="131">
          <cell r="A131">
            <v>41306</v>
          </cell>
          <cell r="B131">
            <v>6.45</v>
          </cell>
          <cell r="C131">
            <v>3</v>
          </cell>
        </row>
        <row r="132">
          <cell r="A132">
            <v>41334</v>
          </cell>
          <cell r="B132">
            <v>6.45</v>
          </cell>
          <cell r="C132">
            <v>3</v>
          </cell>
        </row>
        <row r="133">
          <cell r="A133">
            <v>41365</v>
          </cell>
        </row>
        <row r="134">
          <cell r="A134">
            <v>41395</v>
          </cell>
        </row>
        <row r="135">
          <cell r="A135">
            <v>41426</v>
          </cell>
          <cell r="D135" t="str">
            <v>2012–13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2a Housing interest rate"/>
      <sheetName val="5.2b Cash market rate"/>
      <sheetName val="Graph"/>
      <sheetName val="5.2 Raw data"/>
    </sheetNames>
    <sheetDataSet>
      <sheetData sheetId="0">
        <row r="72">
          <cell r="B72" t="str">
            <v>2 May 2013 for housing rate</v>
          </cell>
        </row>
      </sheetData>
      <sheetData sheetId="1">
        <row r="63">
          <cell r="B63" t="str">
            <v>1 May 2013 for cash rate</v>
          </cell>
        </row>
      </sheetData>
      <sheetData sheetId="2" refreshError="1"/>
      <sheetData sheetId="3">
        <row r="639">
          <cell r="B639">
            <v>6.05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7"/>
  <sheetViews>
    <sheetView tabSelected="1" zoomScaleNormal="100" workbookViewId="0">
      <selection activeCell="F44" sqref="F44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  <col min="18" max="18" width="10.140625" bestFit="1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8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9" t="s">
        <v>2</v>
      </c>
      <c r="B19" s="10" t="str">
        <f>'[1]Data 5.2'!D87</f>
        <v>2008–09</v>
      </c>
      <c r="C19" s="10" t="str">
        <f>'[1]Data 5.2'!D99</f>
        <v>2009–10</v>
      </c>
      <c r="D19" s="10" t="str">
        <f>'[1]Data 5.2'!D111</f>
        <v>2010–11</v>
      </c>
      <c r="E19" s="10" t="str">
        <f>'[1]Data 5.2'!D123</f>
        <v>2011–12</v>
      </c>
      <c r="F19" s="10" t="str">
        <f>'[1]Data 5.2'!D135</f>
        <v>2012–13</v>
      </c>
      <c r="H19" s="6"/>
    </row>
    <row r="20" spans="1:8" s="13" customFormat="1" ht="19.899999999999999" customHeight="1" x14ac:dyDescent="0.2">
      <c r="A20" s="11" t="s">
        <v>3</v>
      </c>
      <c r="B20" s="12"/>
      <c r="C20" s="12"/>
      <c r="D20" s="12"/>
      <c r="E20" s="12"/>
      <c r="H20" s="14"/>
    </row>
    <row r="21" spans="1:8" ht="3" customHeight="1" x14ac:dyDescent="0.2">
      <c r="A21" s="15"/>
      <c r="B21" s="16"/>
      <c r="C21" s="16"/>
      <c r="D21" s="16"/>
      <c r="E21" s="16"/>
      <c r="H21" s="6"/>
    </row>
    <row r="22" spans="1:8" ht="13.9" customHeight="1" x14ac:dyDescent="0.2">
      <c r="A22" s="17" t="s">
        <v>4</v>
      </c>
      <c r="B22" s="18">
        <f>IF('[1]Data 5.2'!B76=0," ",'[1]Data 5.2'!B76)</f>
        <v>9.6</v>
      </c>
      <c r="C22" s="18">
        <f>IF('[1]Data 5.2'!B88=0," ",'[1]Data 5.2'!B88)</f>
        <v>5.8</v>
      </c>
      <c r="D22" s="18">
        <f>IF('[1]Data 5.2'!B100=0," ",'[1]Data 5.2'!B100)</f>
        <v>7.4</v>
      </c>
      <c r="E22" s="18">
        <f>IF('[1]Data 5.2'!B112=0," ",'[1]Data 5.2'!B112)</f>
        <v>7.8</v>
      </c>
      <c r="F22" s="18">
        <f>IF('[1]Data 5.2'!B124=0," ",'[1]Data 5.2'!B124)</f>
        <v>6.85</v>
      </c>
      <c r="H22" s="6"/>
    </row>
    <row r="23" spans="1:8" ht="11.1" customHeight="1" x14ac:dyDescent="0.2">
      <c r="A23" s="17" t="s">
        <v>5</v>
      </c>
      <c r="B23" s="18">
        <f>IF('[1]Data 5.2'!B77=0," ",'[1]Data 5.2'!B77)</f>
        <v>9.6</v>
      </c>
      <c r="C23" s="18">
        <f>IF('[1]Data 5.2'!B89=0," ",'[1]Data 5.2'!B89)</f>
        <v>5.8</v>
      </c>
      <c r="D23" s="18">
        <f>IF('[1]Data 5.2'!B101=0," ",'[1]Data 5.2'!B101)</f>
        <v>7.4</v>
      </c>
      <c r="E23" s="18">
        <f>IF('[1]Data 5.2'!B113=0," ",'[1]Data 5.2'!B113)</f>
        <v>7.8</v>
      </c>
      <c r="F23" s="18">
        <f>IF('[1]Data 5.2'!B125=0," ",'[1]Data 5.2'!B125)</f>
        <v>6.85</v>
      </c>
      <c r="H23" s="6"/>
    </row>
    <row r="24" spans="1:8" ht="11.1" customHeight="1" x14ac:dyDescent="0.2">
      <c r="A24" s="17" t="s">
        <v>6</v>
      </c>
      <c r="B24" s="18">
        <f>IF('[1]Data 5.2'!B78=0," ",'[1]Data 5.2'!B78)</f>
        <v>9.35</v>
      </c>
      <c r="C24" s="18">
        <f>IF('[1]Data 5.2'!B90=0," ",'[1]Data 5.2'!B90)</f>
        <v>5.8</v>
      </c>
      <c r="D24" s="18">
        <f>IF('[1]Data 5.2'!B102=0," ",'[1]Data 5.2'!B102)</f>
        <v>7.4</v>
      </c>
      <c r="E24" s="18">
        <f>IF('[1]Data 5.2'!B114=0," ",'[1]Data 5.2'!B114)</f>
        <v>7.8</v>
      </c>
      <c r="F24" s="18">
        <f>IF('[1]Data 5.2'!B126=0," ",'[1]Data 5.2'!B126)</f>
        <v>6.85</v>
      </c>
      <c r="H24" s="6"/>
    </row>
    <row r="25" spans="1:8" ht="13.9" customHeight="1" x14ac:dyDescent="0.2">
      <c r="A25" s="17" t="s">
        <v>7</v>
      </c>
      <c r="B25" s="18">
        <f>IF('[1]Data 5.2'!B79=0," ",'[1]Data 5.2'!B79)</f>
        <v>8.35</v>
      </c>
      <c r="C25" s="18">
        <f>IF('[1]Data 5.2'!B91=0," ",'[1]Data 5.2'!B91)</f>
        <v>6.05</v>
      </c>
      <c r="D25" s="18">
        <f>IF('[1]Data 5.2'!B103=0," ",'[1]Data 5.2'!B103)</f>
        <v>7.4</v>
      </c>
      <c r="E25" s="18">
        <f>IF('[1]Data 5.2'!B115=0," ",'[1]Data 5.2'!B115)</f>
        <v>7.8</v>
      </c>
      <c r="F25" s="18">
        <f>IF('[1]Data 5.2'!B127=0," ",'[1]Data 5.2'!B127)</f>
        <v>6.65</v>
      </c>
      <c r="H25" s="6"/>
    </row>
    <row r="26" spans="1:8" ht="11.1" customHeight="1" x14ac:dyDescent="0.2">
      <c r="A26" s="17" t="s">
        <v>8</v>
      </c>
      <c r="B26" s="18">
        <f>IF('[1]Data 5.2'!B80=0," ",'[1]Data 5.2'!B80)</f>
        <v>7.75</v>
      </c>
      <c r="C26" s="18">
        <f>IF('[1]Data 5.2'!B92=0," ",'[1]Data 5.2'!B92)</f>
        <v>6.3</v>
      </c>
      <c r="D26" s="18">
        <f>IF('[1]Data 5.2'!B104=0," ",'[1]Data 5.2'!B104)</f>
        <v>7.8</v>
      </c>
      <c r="E26" s="18">
        <f>IF('[1]Data 5.2'!B116=0," ",'[1]Data 5.2'!B116)</f>
        <v>7.55</v>
      </c>
      <c r="F26" s="18">
        <f>IF('[1]Data 5.2'!B128=0," ",'[1]Data 5.2'!B128)</f>
        <v>6.65</v>
      </c>
      <c r="H26" s="6"/>
    </row>
    <row r="27" spans="1:8" ht="11.1" customHeight="1" x14ac:dyDescent="0.2">
      <c r="A27" s="17" t="s">
        <v>9</v>
      </c>
      <c r="B27" s="18">
        <f>IF('[1]Data 5.2'!B81=0," ",'[1]Data 5.2'!B81)</f>
        <v>6.85</v>
      </c>
      <c r="C27" s="18">
        <f>IF('[1]Data 5.2'!B93=0," ",'[1]Data 5.2'!B93)</f>
        <v>6.65</v>
      </c>
      <c r="D27" s="18">
        <f>IF('[1]Data 5.2'!B105=0," ",'[1]Data 5.2'!B105)</f>
        <v>7.8</v>
      </c>
      <c r="E27" s="18">
        <f>IF('[1]Data 5.2'!B117=0," ",'[1]Data 5.2'!B117)</f>
        <v>7.3</v>
      </c>
      <c r="F27" s="18">
        <f>IF('[1]Data 5.2'!B129=0," ",'[1]Data 5.2'!B129)</f>
        <v>6.45</v>
      </c>
      <c r="H27" s="6"/>
    </row>
    <row r="28" spans="1:8" ht="13.9" customHeight="1" x14ac:dyDescent="0.2">
      <c r="A28" s="19" t="s">
        <v>10</v>
      </c>
      <c r="B28" s="18">
        <f>IF('[1]Data 5.2'!B82=0," ",'[1]Data 5.2'!B82)</f>
        <v>6.85</v>
      </c>
      <c r="C28" s="18">
        <f>IF('[1]Data 5.2'!B94=0," ",'[1]Data 5.2'!B94)</f>
        <v>6.65</v>
      </c>
      <c r="D28" s="18">
        <f>IF('[1]Data 5.2'!B106=0," ",'[1]Data 5.2'!B106)</f>
        <v>7.8</v>
      </c>
      <c r="E28" s="18">
        <f>IF('[1]Data 5.2'!B118=0," ",'[1]Data 5.2'!B118)</f>
        <v>7.3</v>
      </c>
      <c r="F28" s="18">
        <f>IF('[1]Data 5.2'!B130=0," ",'[1]Data 5.2'!B130)</f>
        <v>6.45</v>
      </c>
      <c r="H28" s="6"/>
    </row>
    <row r="29" spans="1:8" ht="11.1" customHeight="1" x14ac:dyDescent="0.2">
      <c r="A29" s="17" t="s">
        <v>11</v>
      </c>
      <c r="B29" s="18">
        <f>IF('[1]Data 5.2'!B83=0," ",'[1]Data 5.2'!B83)</f>
        <v>5.85</v>
      </c>
      <c r="C29" s="18">
        <f>IF('[1]Data 5.2'!B95=0," ",'[1]Data 5.2'!B95)</f>
        <v>6.65</v>
      </c>
      <c r="D29" s="18">
        <f>IF('[1]Data 5.2'!B107=0," ",'[1]Data 5.2'!B107)</f>
        <v>7.8</v>
      </c>
      <c r="E29" s="18">
        <f>IF('[1]Data 5.2'!B119=0," ",'[1]Data 5.2'!B119)</f>
        <v>7.4</v>
      </c>
      <c r="F29" s="18">
        <f>IF('[1]Data 5.2'!B131=0," ",'[1]Data 5.2'!B131)</f>
        <v>6.45</v>
      </c>
      <c r="H29" s="6"/>
    </row>
    <row r="30" spans="1:8" ht="11.1" customHeight="1" x14ac:dyDescent="0.2">
      <c r="A30" s="17" t="s">
        <v>12</v>
      </c>
      <c r="B30" s="18">
        <f>IF('[1]Data 5.2'!B84=0," ",'[1]Data 5.2'!B84)</f>
        <v>5.85</v>
      </c>
      <c r="C30" s="18">
        <f>IF('[1]Data 5.2'!B96=0," ",'[1]Data 5.2'!B96)</f>
        <v>6.9</v>
      </c>
      <c r="D30" s="18">
        <f>IF('[1]Data 5.2'!B108=0," ",'[1]Data 5.2'!B108)</f>
        <v>7.8</v>
      </c>
      <c r="E30" s="18">
        <f>IF('[1]Data 5.2'!B120=0," ",'[1]Data 5.2'!B120)</f>
        <v>7.4</v>
      </c>
      <c r="F30" s="18">
        <f>IF('[1]Data 5.2'!B132=0," ",'[1]Data 5.2'!B132)</f>
        <v>6.45</v>
      </c>
      <c r="H30" s="6"/>
    </row>
    <row r="31" spans="1:8" ht="13.9" customHeight="1" x14ac:dyDescent="0.2">
      <c r="A31" s="17" t="s">
        <v>13</v>
      </c>
      <c r="B31" s="18">
        <f>IF('[1]Data 5.2'!B85=0," ",'[1]Data 5.2'!B85)</f>
        <v>5.75</v>
      </c>
      <c r="C31" s="18">
        <f>IF('[1]Data 5.2'!B97=0," ",'[1]Data 5.2'!B97)</f>
        <v>7.15</v>
      </c>
      <c r="D31" s="18">
        <f>IF('[1]Data 5.2'!B109=0," ",'[1]Data 5.2'!B109)</f>
        <v>7.8</v>
      </c>
      <c r="E31" s="18">
        <f>IF('[1]Data 5.2'!B121=0," ",'[1]Data 5.2'!B121)</f>
        <v>7.4</v>
      </c>
      <c r="F31" s="18" t="str">
        <f>IF('[1]Data 5.2'!B133=0," ",'[1]Data 5.2'!B133)</f>
        <v xml:space="preserve"> </v>
      </c>
      <c r="H31" s="6"/>
    </row>
    <row r="32" spans="1:8" ht="11.1" customHeight="1" x14ac:dyDescent="0.2">
      <c r="A32" s="17" t="s">
        <v>14</v>
      </c>
      <c r="B32" s="18">
        <f>IF('[1]Data 5.2'!B86=0," ",'[1]Data 5.2'!B86)</f>
        <v>5.75</v>
      </c>
      <c r="C32" s="18">
        <f>IF('[1]Data 5.2'!B98=0," ",'[1]Data 5.2'!B98)</f>
        <v>7.4</v>
      </c>
      <c r="D32" s="18">
        <f>IF('[1]Data 5.2'!B110=0," ",'[1]Data 5.2'!B110)</f>
        <v>7.8</v>
      </c>
      <c r="E32" s="18">
        <f>IF('[1]Data 5.2'!B122=0," ",'[1]Data 5.2'!B122)</f>
        <v>7.05</v>
      </c>
      <c r="F32" s="18" t="str">
        <f>IF('[1]Data 5.2'!B134=0," ",'[1]Data 5.2'!B134)</f>
        <v xml:space="preserve"> </v>
      </c>
      <c r="H32" s="6"/>
    </row>
    <row r="33" spans="1:8" ht="11.1" customHeight="1" x14ac:dyDescent="0.2">
      <c r="A33" s="17" t="s">
        <v>15</v>
      </c>
      <c r="B33" s="18">
        <f>IF('[1]Data 5.2'!B87=0," ",'[1]Data 5.2'!B87)</f>
        <v>5.8</v>
      </c>
      <c r="C33" s="18">
        <f>IF('[1]Data 5.2'!B99=0," ",'[1]Data 5.2'!B99)</f>
        <v>7.4</v>
      </c>
      <c r="D33" s="18">
        <f>IF('[1]Data 5.2'!B111=0," ",'[1]Data 5.2'!B111)</f>
        <v>7.8</v>
      </c>
      <c r="E33" s="18">
        <f>IF('[1]Data 5.2'!B123=0," ",'[1]Data 5.2'!B123)</f>
        <v>6.85</v>
      </c>
      <c r="F33" s="18" t="str">
        <f>IF('[1]Data 5.2'!B135=0," ",'[1]Data 5.2'!B135)</f>
        <v xml:space="preserve"> </v>
      </c>
      <c r="H33" s="6"/>
    </row>
    <row r="34" spans="1:8" ht="11.1" customHeight="1" x14ac:dyDescent="0.2">
      <c r="A34" s="20"/>
      <c r="B34" s="21"/>
      <c r="C34" s="21"/>
      <c r="D34" s="21"/>
      <c r="E34" s="21"/>
      <c r="F34" s="21"/>
      <c r="H34" s="6"/>
    </row>
    <row r="35" spans="1:8" ht="19.899999999999999" customHeight="1" x14ac:dyDescent="0.2">
      <c r="A35" s="22" t="s">
        <v>16</v>
      </c>
      <c r="B35" s="23"/>
      <c r="C35" s="23"/>
      <c r="H35" s="6"/>
    </row>
    <row r="36" spans="1:8" ht="3" customHeight="1" x14ac:dyDescent="0.2">
      <c r="A36" s="15"/>
      <c r="B36" s="24"/>
      <c r="C36" s="24"/>
      <c r="H36" s="6"/>
    </row>
    <row r="37" spans="1:8" ht="13.9" customHeight="1" x14ac:dyDescent="0.2">
      <c r="A37" s="17" t="s">
        <v>4</v>
      </c>
      <c r="B37" s="18">
        <f>IF('[1]Data 5.2'!C76=0," ",'[1]Data 5.2'!C76)</f>
        <v>7.2500167539868423</v>
      </c>
      <c r="C37" s="18">
        <f>IF('[1]Data 5.2'!C88=0," ",'[1]Data 5.2'!C88)</f>
        <v>3</v>
      </c>
      <c r="D37" s="18">
        <f>IF('[1]Data 5.2'!C100=0," ",'[1]Data 5.2'!C100)</f>
        <v>4.5</v>
      </c>
      <c r="E37" s="18">
        <f>IF('[1]Data 5.2'!C112=0," ",'[1]Data 5.2'!C112)</f>
        <v>4.75</v>
      </c>
      <c r="F37" s="18">
        <f>IF('[1]Data 5.2'!C124=0," ",'[1]Data 5.2'!C124)</f>
        <v>3.5</v>
      </c>
      <c r="H37" s="6"/>
    </row>
    <row r="38" spans="1:8" ht="11.1" customHeight="1" x14ac:dyDescent="0.2">
      <c r="A38" s="17" t="s">
        <v>5</v>
      </c>
      <c r="B38" s="18">
        <f>IF('[1]Data 5.2'!C77=0," ",'[1]Data 5.2'!C77)</f>
        <v>7.2500020252139139</v>
      </c>
      <c r="C38" s="18">
        <f>IF('[1]Data 5.2'!C89=0," ",'[1]Data 5.2'!C89)</f>
        <v>3</v>
      </c>
      <c r="D38" s="18">
        <f>IF('[1]Data 5.2'!C101=0," ",'[1]Data 5.2'!C101)</f>
        <v>4.5</v>
      </c>
      <c r="E38" s="18">
        <f>IF('[1]Data 5.2'!C113=0," ",'[1]Data 5.2'!C113)</f>
        <v>4.75</v>
      </c>
      <c r="F38" s="18">
        <f>IF('[1]Data 5.2'!C125=0," ",'[1]Data 5.2'!C125)</f>
        <v>3.5</v>
      </c>
      <c r="H38" s="6"/>
    </row>
    <row r="39" spans="1:8" ht="11.1" customHeight="1" x14ac:dyDescent="0.2">
      <c r="A39" s="17" t="s">
        <v>6</v>
      </c>
      <c r="B39" s="18">
        <f>IF('[1]Data 5.2'!C78=0," ",'[1]Data 5.2'!C78)</f>
        <v>7.0227272727272725</v>
      </c>
      <c r="C39" s="18">
        <f>IF('[1]Data 5.2'!C90=0," ",'[1]Data 5.2'!C90)</f>
        <v>3</v>
      </c>
      <c r="D39" s="18">
        <f>IF('[1]Data 5.2'!C102=0," ",'[1]Data 5.2'!C102)</f>
        <v>4.5</v>
      </c>
      <c r="E39" s="18">
        <f>IF('[1]Data 5.2'!C114=0," ",'[1]Data 5.2'!C114)</f>
        <v>4.75</v>
      </c>
      <c r="F39" s="18">
        <f>IF('[1]Data 5.2'!C126=0," ",'[1]Data 5.2'!C126)</f>
        <v>3.5</v>
      </c>
      <c r="H39" s="6"/>
    </row>
    <row r="40" spans="1:8" ht="13.9" customHeight="1" x14ac:dyDescent="0.2">
      <c r="A40" s="17" t="s">
        <v>7</v>
      </c>
      <c r="B40" s="18">
        <f>IF('[1]Data 5.2'!C79=0," ",'[1]Data 5.2'!C79)</f>
        <v>6.1818181818181817</v>
      </c>
      <c r="C40" s="18">
        <f>IF('[1]Data 5.2'!C91=0," ",'[1]Data 5.2'!C91)</f>
        <v>3.2142857142857144</v>
      </c>
      <c r="D40" s="18">
        <f>IF('[1]Data 5.2'!C103=0," ",'[1]Data 5.2'!C103)</f>
        <v>4.5</v>
      </c>
      <c r="E40" s="18">
        <f>IF('[1]Data 5.2'!C115=0," ",'[1]Data 5.2'!C115)</f>
        <v>4.75</v>
      </c>
      <c r="F40" s="18">
        <f>IF('[1]Data 5.2'!C127=0," ",'[1]Data 5.2'!C127)</f>
        <v>3.2725</v>
      </c>
      <c r="H40" s="6"/>
    </row>
    <row r="41" spans="1:8" ht="11.1" customHeight="1" x14ac:dyDescent="0.2">
      <c r="A41" s="17" t="s">
        <v>8</v>
      </c>
      <c r="B41" s="18">
        <f>IF('[1]Data 5.2'!C80=0," ",'[1]Data 5.2'!C80)</f>
        <v>5.3251632919660352</v>
      </c>
      <c r="C41" s="18">
        <f>IF('[1]Data 5.2'!C92=0," ",'[1]Data 5.2'!C92)</f>
        <v>3.4761904761904763</v>
      </c>
      <c r="D41" s="18">
        <f>IF('[1]Data 5.2'!C104=0," ",'[1]Data 5.2'!C104)</f>
        <v>4.7300000000000004</v>
      </c>
      <c r="E41" s="18">
        <f>IF('[1]Data 5.2'!C116=0," ",'[1]Data 5.2'!C116)</f>
        <v>4.51</v>
      </c>
      <c r="F41" s="18">
        <f>IF('[1]Data 5.2'!C128=0," ",'[1]Data 5.2'!C128)</f>
        <v>3.25</v>
      </c>
      <c r="H41" s="6"/>
    </row>
    <row r="42" spans="1:8" ht="11.1" customHeight="1" x14ac:dyDescent="0.2">
      <c r="A42" s="17" t="s">
        <v>9</v>
      </c>
      <c r="B42" s="18">
        <f>IF('[1]Data 5.2'!C81=0," ",'[1]Data 5.2'!C81)</f>
        <v>4.345261211573237</v>
      </c>
      <c r="C42" s="18">
        <f>IF('[1]Data 5.2'!C93=0," ",'[1]Data 5.2'!C93)</f>
        <v>3.7380952380952381</v>
      </c>
      <c r="D42" s="18">
        <f>IF('[1]Data 5.2'!C105=0," ",'[1]Data 5.2'!C105)</f>
        <v>4.75</v>
      </c>
      <c r="E42" s="18">
        <f>IF('[1]Data 5.2'!C117=0," ",'[1]Data 5.2'!C117)</f>
        <v>4.3</v>
      </c>
      <c r="F42" s="18">
        <f>IF('[1]Data 5.2'!C129=0," ",'[1]Data 5.2'!C129)</f>
        <v>3.03</v>
      </c>
      <c r="H42" s="6"/>
    </row>
    <row r="43" spans="1:8" ht="13.9" customHeight="1" x14ac:dyDescent="0.2">
      <c r="A43" s="19" t="s">
        <v>10</v>
      </c>
      <c r="B43" s="18">
        <f>IF('[1]Data 5.2'!C82=0," ",'[1]Data 5.2'!C82)</f>
        <v>4.2500005432814199</v>
      </c>
      <c r="C43" s="18">
        <f>IF('[1]Data 5.2'!C94=0," ",'[1]Data 5.2'!C94)</f>
        <v>3.75</v>
      </c>
      <c r="D43" s="18">
        <f>IF('[1]Data 5.2'!C106=0," ",'[1]Data 5.2'!C106)</f>
        <v>4.75</v>
      </c>
      <c r="E43" s="18">
        <f>IF('[1]Data 5.2'!C118=0," ",'[1]Data 5.2'!C118)</f>
        <v>4.25</v>
      </c>
      <c r="F43" s="18">
        <f>IF('[1]Data 5.2'!C130=0," ",'[1]Data 5.2'!C130)</f>
        <v>3</v>
      </c>
      <c r="H43" s="6"/>
    </row>
    <row r="44" spans="1:8" ht="11.1" customHeight="1" x14ac:dyDescent="0.2">
      <c r="A44" s="17" t="s">
        <v>11</v>
      </c>
      <c r="B44" s="18">
        <f>IF('[1]Data 5.2'!C83=0," ",'[1]Data 5.2'!C83)</f>
        <v>3.35</v>
      </c>
      <c r="C44" s="18">
        <f>IF('[1]Data 5.2'!C95=0," ",'[1]Data 5.2'!C95)</f>
        <v>3.75</v>
      </c>
      <c r="D44" s="18">
        <f>IF('[1]Data 5.2'!C107=0," ",'[1]Data 5.2'!C107)</f>
        <v>4.75</v>
      </c>
      <c r="E44" s="18">
        <f>IF('[1]Data 5.2'!C119=0," ",'[1]Data 5.2'!C119)</f>
        <v>4.25</v>
      </c>
      <c r="F44" s="18">
        <f>IF('[1]Data 5.2'!C131=0," ",'[1]Data 5.2'!C131)</f>
        <v>3</v>
      </c>
      <c r="H44" s="6"/>
    </row>
    <row r="45" spans="1:8" ht="11.1" customHeight="1" x14ac:dyDescent="0.2">
      <c r="A45" s="17" t="s">
        <v>12</v>
      </c>
      <c r="B45" s="18">
        <f>IF('[1]Data 5.2'!C84=0," ",'[1]Data 5.2'!C84)</f>
        <v>3.2499785723178505</v>
      </c>
      <c r="C45" s="18">
        <f>IF('[1]Data 5.2'!C96=0," ",'[1]Data 5.2'!C96)</f>
        <v>3.98</v>
      </c>
      <c r="D45" s="18">
        <f>IF('[1]Data 5.2'!C108=0," ",'[1]Data 5.2'!C108)</f>
        <v>4.75</v>
      </c>
      <c r="E45" s="18">
        <f>IF('[1]Data 5.2'!C120=0," ",'[1]Data 5.2'!C120)</f>
        <v>4.25</v>
      </c>
      <c r="F45" s="18">
        <f>IF('[1]Data 5.2'!C132=0," ",'[1]Data 5.2'!C132)</f>
        <v>3</v>
      </c>
      <c r="H45" s="6"/>
    </row>
    <row r="46" spans="1:8" ht="13.9" customHeight="1" x14ac:dyDescent="0.2">
      <c r="A46" s="17" t="s">
        <v>13</v>
      </c>
      <c r="B46" s="18">
        <f>IF('[1]Data 5.2'!C85=0," ",'[1]Data 5.2'!C85)</f>
        <v>3.0625707823036863</v>
      </c>
      <c r="C46" s="18">
        <f>IF('[1]Data 5.2'!C97=0," ",'[1]Data 5.2'!C97)</f>
        <v>4.22</v>
      </c>
      <c r="D46" s="18">
        <f>IF('[1]Data 5.2'!C109=0," ",'[1]Data 5.2'!C109)</f>
        <v>4.75</v>
      </c>
      <c r="E46" s="18">
        <f>IF('[1]Data 5.2'!C121=0," ",'[1]Data 5.2'!C121)</f>
        <v>4.25</v>
      </c>
      <c r="F46" s="18" t="str">
        <f>IF('[1]Data 5.2'!C133=0," ",'[1]Data 5.2'!C133)</f>
        <v xml:space="preserve"> </v>
      </c>
      <c r="H46" s="6"/>
    </row>
    <row r="47" spans="1:8" ht="11.1" customHeight="1" x14ac:dyDescent="0.2">
      <c r="A47" s="17" t="s">
        <v>14</v>
      </c>
      <c r="B47" s="18">
        <f>IF('[1]Data 5.2'!C86=0," ",'[1]Data 5.2'!C86)</f>
        <v>3</v>
      </c>
      <c r="C47" s="18">
        <f>IF('[1]Data 5.2'!C98=0," ",'[1]Data 5.2'!C98)</f>
        <v>4.4800000000000004</v>
      </c>
      <c r="D47" s="18">
        <f>IF('[1]Data 5.2'!C110=0," ",'[1]Data 5.2'!C110)</f>
        <v>4.75</v>
      </c>
      <c r="E47" s="18">
        <f>IF('[1]Data 5.2'!C122=0," ",'[1]Data 5.2'!C122)</f>
        <v>3.77</v>
      </c>
      <c r="F47" s="18" t="str">
        <f>IF('[1]Data 5.2'!C134=0," ",'[1]Data 5.2'!C134)</f>
        <v xml:space="preserve"> </v>
      </c>
      <c r="H47" s="6"/>
    </row>
    <row r="48" spans="1:8" ht="11.1" customHeight="1" x14ac:dyDescent="0.2">
      <c r="A48" s="25" t="s">
        <v>15</v>
      </c>
      <c r="B48" s="18">
        <f>IF('[1]Data 5.2'!C87=0," ",'[1]Data 5.2'!C87)</f>
        <v>3.0000620694498248</v>
      </c>
      <c r="C48" s="18">
        <f>IF('[1]Data 5.2'!C99=0," ",'[1]Data 5.2'!C99)</f>
        <v>4.5</v>
      </c>
      <c r="D48" s="18">
        <f>IF('[1]Data 5.2'!C111=0," ",'[1]Data 5.2'!C111)</f>
        <v>4.75</v>
      </c>
      <c r="E48" s="18">
        <f>IF('[1]Data 5.2'!C123=0," ",'[1]Data 5.2'!C123)</f>
        <v>3.54</v>
      </c>
      <c r="F48" s="18" t="str">
        <f>IF('[1]Data 5.2'!C135=0," ",'[1]Data 5.2'!C135)</f>
        <v xml:space="preserve"> </v>
      </c>
      <c r="H48" s="6"/>
    </row>
    <row r="49" spans="1:11" ht="11.1" customHeight="1" x14ac:dyDescent="0.2">
      <c r="A49" s="26"/>
      <c r="B49" s="3"/>
      <c r="C49" s="3"/>
      <c r="D49" s="3"/>
      <c r="E49" s="3"/>
      <c r="F49" s="3"/>
      <c r="H49" s="6"/>
    </row>
    <row r="50" spans="1:11" ht="7.9" customHeight="1" x14ac:dyDescent="0.2">
      <c r="A50" s="27"/>
      <c r="B50" s="5"/>
      <c r="C50" s="5"/>
      <c r="D50" s="5"/>
      <c r="E50" s="5"/>
      <c r="F50" s="5"/>
      <c r="H50" s="6"/>
    </row>
    <row r="51" spans="1:11" ht="11.1" customHeight="1" x14ac:dyDescent="0.2">
      <c r="A51" s="28" t="s">
        <v>17</v>
      </c>
      <c r="B51" s="29"/>
      <c r="C51" s="5"/>
      <c r="D51" s="5"/>
      <c r="E51" s="5"/>
      <c r="F51" s="5"/>
      <c r="H51" s="6"/>
    </row>
    <row r="52" spans="1:11" ht="11.1" customHeight="1" x14ac:dyDescent="0.2">
      <c r="B52" s="30"/>
      <c r="C52" s="30"/>
      <c r="D52" s="30"/>
      <c r="E52" s="30"/>
      <c r="F52" s="5"/>
      <c r="H52" s="6"/>
    </row>
    <row r="53" spans="1:11" ht="11.1" customHeight="1" x14ac:dyDescent="0.2">
      <c r="A53" s="31"/>
      <c r="B53" s="30"/>
      <c r="C53" s="30"/>
      <c r="D53" s="30"/>
      <c r="E53" s="30"/>
      <c r="F53" s="5"/>
      <c r="H53" s="6"/>
    </row>
    <row r="54" spans="1:11" ht="11.1" customHeight="1" x14ac:dyDescent="0.2">
      <c r="B54" s="30"/>
      <c r="C54" s="30"/>
      <c r="D54" s="30"/>
      <c r="E54" s="30"/>
      <c r="F54" s="5"/>
      <c r="H54" s="6"/>
    </row>
    <row r="55" spans="1:11" ht="11.1" customHeight="1" x14ac:dyDescent="0.2"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2" customHeight="1" x14ac:dyDescent="0.2">
      <c r="A58" s="5"/>
      <c r="B58" s="5"/>
      <c r="C58" s="5"/>
      <c r="D58" s="5"/>
      <c r="E58" s="5"/>
      <c r="F58" s="5"/>
      <c r="H58" s="6"/>
      <c r="I58" s="32" t="s">
        <v>18</v>
      </c>
      <c r="J58" s="33"/>
    </row>
    <row r="59" spans="1:11" x14ac:dyDescent="0.2">
      <c r="A59" s="5"/>
      <c r="B59" s="5"/>
      <c r="C59" s="5"/>
      <c r="D59" s="5"/>
      <c r="E59" s="5"/>
      <c r="F59" s="5"/>
      <c r="H59" s="6"/>
      <c r="I59" s="34" t="str">
        <f>'[2]5.2a Housing interest rate'!$B$72</f>
        <v>2 May 2013 for housing rate</v>
      </c>
      <c r="J59" s="34"/>
      <c r="K59" s="35"/>
    </row>
    <row r="60" spans="1:11" x14ac:dyDescent="0.2">
      <c r="A60" s="5"/>
      <c r="B60" s="5"/>
      <c r="C60" s="5"/>
      <c r="D60" s="5"/>
      <c r="E60" s="5"/>
      <c r="F60" s="5"/>
      <c r="H60" s="6"/>
      <c r="I60" s="34" t="str">
        <f>'[2]5.2b Cash market rate'!$B$63</f>
        <v>1 May 2013 for cash rate</v>
      </c>
      <c r="J60" s="36"/>
      <c r="K60" s="35"/>
    </row>
    <row r="61" spans="1:11" x14ac:dyDescent="0.2">
      <c r="A61" s="5"/>
      <c r="B61" s="5"/>
      <c r="C61" s="5"/>
      <c r="D61" s="5"/>
      <c r="E61" s="5"/>
      <c r="F61" s="5"/>
    </row>
    <row r="62" spans="1:11" x14ac:dyDescent="0.2">
      <c r="A62" s="5"/>
      <c r="B62" s="5"/>
      <c r="C62" s="5"/>
      <c r="D62" s="5"/>
      <c r="E62" s="5"/>
      <c r="F62" s="5"/>
    </row>
    <row r="63" spans="1:11" x14ac:dyDescent="0.2">
      <c r="A63" s="5"/>
      <c r="B63" s="5"/>
      <c r="C63" s="5"/>
      <c r="D63" s="5"/>
      <c r="E63" s="5"/>
      <c r="F63" s="5"/>
    </row>
    <row r="64" spans="1:1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</sheetData>
  <mergeCells count="2">
    <mergeCell ref="I59:K59"/>
    <mergeCell ref="I60:K60"/>
  </mergeCells>
  <hyperlinks>
    <hyperlink ref="A51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3</xdr:row>
                <xdr:rowOff>133350</xdr:rowOff>
              </from>
              <to>
                <xdr:col>10</xdr:col>
                <xdr:colOff>571500</xdr:colOff>
                <xdr:row>55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2013-05-02T23:09:04Z</dcterms:created>
  <dcterms:modified xsi:type="dcterms:W3CDTF">2013-05-02T23:09:17Z</dcterms:modified>
</cp:coreProperties>
</file>