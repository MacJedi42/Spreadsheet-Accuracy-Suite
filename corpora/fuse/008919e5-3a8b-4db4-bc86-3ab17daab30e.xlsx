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000" windowHeight="10740"/>
  </bookViews>
  <sheets>
    <sheet name="FinalEsts_2012_co_comps" sheetId="2" r:id="rId1"/>
  </sheets>
  <externalReferences>
    <externalReference r:id="rId2"/>
    <externalReference r:id="rId3"/>
  </externalReferences>
  <definedNames>
    <definedName name="_xlnm.Print_Area" localSheetId="0">FinalEsts_2012_co_comps!$A$7:$M$83</definedName>
    <definedName name="_xlnm.Print_Titles" localSheetId="0">FinalEsts_2012_co_comps!$1:$6</definedName>
  </definedNames>
  <calcPr calcId="145621"/>
</workbook>
</file>

<file path=xl/calcChain.xml><?xml version="1.0" encoding="utf-8"?>
<calcChain xmlns="http://schemas.openxmlformats.org/spreadsheetml/2006/main">
  <c r="G78" i="2" l="1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H9" i="2" l="1"/>
  <c r="K9" i="2" s="1"/>
  <c r="H11" i="2"/>
  <c r="K11" i="2" s="1"/>
  <c r="H12" i="2"/>
  <c r="K12" i="2" s="1"/>
  <c r="H15" i="2"/>
  <c r="K15" i="2" s="1"/>
  <c r="H17" i="2"/>
  <c r="K17" i="2" s="1"/>
  <c r="H19" i="2"/>
  <c r="K19" i="2" s="1"/>
  <c r="H23" i="2"/>
  <c r="K23" i="2" s="1"/>
  <c r="H25" i="2"/>
  <c r="K25" i="2" s="1"/>
  <c r="H27" i="2"/>
  <c r="K27" i="2" s="1"/>
  <c r="H28" i="2"/>
  <c r="K28" i="2" s="1"/>
  <c r="H30" i="2"/>
  <c r="K30" i="2" s="1"/>
  <c r="H31" i="2"/>
  <c r="K31" i="2" s="1"/>
  <c r="H32" i="2"/>
  <c r="H34" i="2"/>
  <c r="K34" i="2" s="1"/>
  <c r="H36" i="2"/>
  <c r="K36" i="2" s="1"/>
  <c r="H37" i="2"/>
  <c r="K37" i="2" s="1"/>
  <c r="H38" i="2"/>
  <c r="K38" i="2" s="1"/>
  <c r="H40" i="2"/>
  <c r="K40" i="2" s="1"/>
  <c r="H42" i="2"/>
  <c r="K42" i="2" s="1"/>
  <c r="H44" i="2"/>
  <c r="K44" i="2" s="1"/>
  <c r="H45" i="2"/>
  <c r="K45" i="2" s="1"/>
  <c r="H50" i="2"/>
  <c r="K50" i="2" s="1"/>
  <c r="H51" i="2"/>
  <c r="K51" i="2" s="1"/>
  <c r="H52" i="2"/>
  <c r="K52" i="2" s="1"/>
  <c r="H57" i="2"/>
  <c r="K57" i="2" s="1"/>
  <c r="H60" i="2"/>
  <c r="K60" i="2" s="1"/>
  <c r="H61" i="2"/>
  <c r="K61" i="2" s="1"/>
  <c r="H62" i="2"/>
  <c r="K62" i="2" s="1"/>
  <c r="H63" i="2"/>
  <c r="K63" i="2" s="1"/>
  <c r="H64" i="2"/>
  <c r="K64" i="2" s="1"/>
  <c r="H65" i="2"/>
  <c r="K65" i="2" s="1"/>
  <c r="H66" i="2"/>
  <c r="K66" i="2" s="1"/>
  <c r="H67" i="2"/>
  <c r="K67" i="2" s="1"/>
  <c r="H70" i="2"/>
  <c r="K70" i="2" s="1"/>
  <c r="H71" i="2"/>
  <c r="K71" i="2" s="1"/>
  <c r="H72" i="2"/>
  <c r="K72" i="2" s="1"/>
  <c r="H73" i="2"/>
  <c r="K73" i="2" s="1"/>
  <c r="H74" i="2"/>
  <c r="K74" i="2" s="1"/>
  <c r="H76" i="2"/>
  <c r="K76" i="2" s="1"/>
  <c r="H77" i="2"/>
  <c r="K77" i="2" s="1"/>
  <c r="H78" i="2"/>
  <c r="K78" i="2" s="1"/>
  <c r="H7" i="2"/>
  <c r="J7" i="2"/>
  <c r="M7" i="2"/>
  <c r="H8" i="2"/>
  <c r="K8" i="2" s="1"/>
  <c r="J8" i="2"/>
  <c r="J9" i="2"/>
  <c r="H10" i="2"/>
  <c r="K10" i="2" s="1"/>
  <c r="J10" i="2"/>
  <c r="J11" i="2"/>
  <c r="M11" i="2"/>
  <c r="J12" i="2"/>
  <c r="M12" i="2"/>
  <c r="H13" i="2"/>
  <c r="K13" i="2" s="1"/>
  <c r="J13" i="2"/>
  <c r="J14" i="2"/>
  <c r="J15" i="2"/>
  <c r="M15" i="2" s="1"/>
  <c r="J16" i="2"/>
  <c r="M16" i="2"/>
  <c r="J17" i="2"/>
  <c r="M17" i="2"/>
  <c r="J18" i="2"/>
  <c r="J19" i="2"/>
  <c r="J20" i="2"/>
  <c r="H21" i="2"/>
  <c r="K21" i="2" s="1"/>
  <c r="J21" i="2"/>
  <c r="J22" i="2"/>
  <c r="J23" i="2"/>
  <c r="M23" i="2" s="1"/>
  <c r="J24" i="2"/>
  <c r="M24" i="2"/>
  <c r="J25" i="2"/>
  <c r="M25" i="2"/>
  <c r="J26" i="2"/>
  <c r="J27" i="2"/>
  <c r="M27" i="2"/>
  <c r="J28" i="2"/>
  <c r="M28" i="2"/>
  <c r="H29" i="2"/>
  <c r="K29" i="2" s="1"/>
  <c r="J29" i="2"/>
  <c r="J30" i="2"/>
  <c r="J31" i="2"/>
  <c r="M31" i="2" s="1"/>
  <c r="J32" i="2"/>
  <c r="M32" i="2" s="1"/>
  <c r="H33" i="2"/>
  <c r="K33" i="2" s="1"/>
  <c r="J33" i="2"/>
  <c r="M33" i="2"/>
  <c r="J34" i="2"/>
  <c r="H35" i="2"/>
  <c r="K35" i="2" s="1"/>
  <c r="J35" i="2"/>
  <c r="J36" i="2"/>
  <c r="J37" i="2"/>
  <c r="J38" i="2"/>
  <c r="H39" i="2"/>
  <c r="K39" i="2" s="1"/>
  <c r="J39" i="2"/>
  <c r="M39" i="2" s="1"/>
  <c r="J40" i="2"/>
  <c r="M40" i="2"/>
  <c r="H41" i="2"/>
  <c r="K41" i="2" s="1"/>
  <c r="J41" i="2"/>
  <c r="M41" i="2"/>
  <c r="J42" i="2"/>
  <c r="H43" i="2"/>
  <c r="K43" i="2" s="1"/>
  <c r="J43" i="2"/>
  <c r="M43" i="2"/>
  <c r="J44" i="2"/>
  <c r="M44" i="2"/>
  <c r="J45" i="2"/>
  <c r="J46" i="2"/>
  <c r="H47" i="2"/>
  <c r="K47" i="2" s="1"/>
  <c r="J47" i="2"/>
  <c r="J48" i="2"/>
  <c r="M48" i="2"/>
  <c r="H49" i="2"/>
  <c r="K49" i="2" s="1"/>
  <c r="J49" i="2"/>
  <c r="J50" i="2"/>
  <c r="J51" i="2"/>
  <c r="M51" i="2" s="1"/>
  <c r="J52" i="2"/>
  <c r="M52" i="2" s="1"/>
  <c r="H53" i="2"/>
  <c r="K53" i="2" s="1"/>
  <c r="J53" i="2"/>
  <c r="M53" i="2"/>
  <c r="J54" i="2"/>
  <c r="H55" i="2"/>
  <c r="K55" i="2" s="1"/>
  <c r="J55" i="2"/>
  <c r="J56" i="2"/>
  <c r="J57" i="2"/>
  <c r="J58" i="2"/>
  <c r="H59" i="2"/>
  <c r="K59" i="2" s="1"/>
  <c r="J59" i="2"/>
  <c r="M59" i="2"/>
  <c r="J60" i="2"/>
  <c r="M60" i="2"/>
  <c r="J61" i="2"/>
  <c r="J62" i="2"/>
  <c r="J63" i="2"/>
  <c r="M63" i="2" s="1"/>
  <c r="J64" i="2"/>
  <c r="M64" i="2"/>
  <c r="J65" i="2"/>
  <c r="M65" i="2"/>
  <c r="J66" i="2"/>
  <c r="J67" i="2"/>
  <c r="M67" i="2"/>
  <c r="J68" i="2"/>
  <c r="M68" i="2"/>
  <c r="H69" i="2"/>
  <c r="K69" i="2" s="1"/>
  <c r="J69" i="2"/>
  <c r="J70" i="2"/>
  <c r="J71" i="2"/>
  <c r="M71" i="2"/>
  <c r="J72" i="2"/>
  <c r="J73" i="2"/>
  <c r="J74" i="2"/>
  <c r="H75" i="2"/>
  <c r="K75" i="2" s="1"/>
  <c r="J75" i="2"/>
  <c r="M75" i="2" s="1"/>
  <c r="J76" i="2"/>
  <c r="M76" i="2" s="1"/>
  <c r="J77" i="2"/>
  <c r="M77" i="2"/>
  <c r="J78" i="2"/>
  <c r="D80" i="2"/>
  <c r="E80" i="2"/>
  <c r="G80" i="2"/>
  <c r="K32" i="2" l="1"/>
  <c r="I32" i="2"/>
  <c r="L32" i="2" s="1"/>
  <c r="F80" i="2"/>
  <c r="H68" i="2"/>
  <c r="K68" i="2" s="1"/>
  <c r="H58" i="2"/>
  <c r="K58" i="2" s="1"/>
  <c r="H56" i="2"/>
  <c r="K56" i="2" s="1"/>
  <c r="H54" i="2"/>
  <c r="K54" i="2" s="1"/>
  <c r="H48" i="2"/>
  <c r="K48" i="2" s="1"/>
  <c r="H46" i="2"/>
  <c r="K46" i="2" s="1"/>
  <c r="H26" i="2"/>
  <c r="K26" i="2" s="1"/>
  <c r="H24" i="2"/>
  <c r="K24" i="2" s="1"/>
  <c r="H22" i="2"/>
  <c r="K22" i="2" s="1"/>
  <c r="H20" i="2"/>
  <c r="K20" i="2" s="1"/>
  <c r="H18" i="2"/>
  <c r="K18" i="2" s="1"/>
  <c r="H16" i="2"/>
  <c r="K16" i="2" s="1"/>
  <c r="H14" i="2"/>
  <c r="K14" i="2" s="1"/>
  <c r="I71" i="2"/>
  <c r="L71" i="2" s="1"/>
  <c r="I69" i="2"/>
  <c r="L69" i="2" s="1"/>
  <c r="I66" i="2"/>
  <c r="L66" i="2" s="1"/>
  <c r="I12" i="2"/>
  <c r="L12" i="2" s="1"/>
  <c r="I72" i="2"/>
  <c r="L72" i="2" s="1"/>
  <c r="I56" i="2"/>
  <c r="L56" i="2" s="1"/>
  <c r="I54" i="2"/>
  <c r="L54" i="2" s="1"/>
  <c r="I48" i="2"/>
  <c r="L48" i="2" s="1"/>
  <c r="I47" i="2"/>
  <c r="L47" i="2" s="1"/>
  <c r="I45" i="2"/>
  <c r="L45" i="2" s="1"/>
  <c r="I42" i="2"/>
  <c r="L42" i="2" s="1"/>
  <c r="I37" i="2"/>
  <c r="L37" i="2" s="1"/>
  <c r="I35" i="2"/>
  <c r="L35" i="2" s="1"/>
  <c r="I29" i="2"/>
  <c r="L29" i="2" s="1"/>
  <c r="I21" i="2"/>
  <c r="L21" i="2" s="1"/>
  <c r="I19" i="2"/>
  <c r="L19" i="2" s="1"/>
  <c r="I11" i="2"/>
  <c r="L11" i="2" s="1"/>
  <c r="I9" i="2"/>
  <c r="L9" i="2" s="1"/>
  <c r="M72" i="2"/>
  <c r="M47" i="2"/>
  <c r="I31" i="2"/>
  <c r="L31" i="2" s="1"/>
  <c r="I76" i="2"/>
  <c r="L76" i="2" s="1"/>
  <c r="I73" i="2"/>
  <c r="L73" i="2" s="1"/>
  <c r="I70" i="2"/>
  <c r="L70" i="2" s="1"/>
  <c r="I67" i="2"/>
  <c r="L67" i="2" s="1"/>
  <c r="I52" i="2"/>
  <c r="L52" i="2" s="1"/>
  <c r="I49" i="2"/>
  <c r="L49" i="2" s="1"/>
  <c r="I43" i="2"/>
  <c r="L43" i="2" s="1"/>
  <c r="I27" i="2"/>
  <c r="L27" i="2" s="1"/>
  <c r="I13" i="2"/>
  <c r="L13" i="2" s="1"/>
  <c r="I10" i="2"/>
  <c r="L10" i="2" s="1"/>
  <c r="I68" i="2"/>
  <c r="L68" i="2" s="1"/>
  <c r="I57" i="2"/>
  <c r="L57" i="2" s="1"/>
  <c r="I55" i="2"/>
  <c r="L55" i="2" s="1"/>
  <c r="I44" i="2"/>
  <c r="L44" i="2" s="1"/>
  <c r="I36" i="2"/>
  <c r="L36" i="2" s="1"/>
  <c r="I34" i="2"/>
  <c r="L34" i="2" s="1"/>
  <c r="I28" i="2"/>
  <c r="L28" i="2" s="1"/>
  <c r="I18" i="2"/>
  <c r="L18" i="2" s="1"/>
  <c r="I75" i="2"/>
  <c r="L75" i="2" s="1"/>
  <c r="I51" i="2"/>
  <c r="L51" i="2" s="1"/>
  <c r="I15" i="2"/>
  <c r="L15" i="2" s="1"/>
  <c r="K7" i="2"/>
  <c r="I77" i="2"/>
  <c r="L77" i="2" s="1"/>
  <c r="M73" i="2"/>
  <c r="I62" i="2"/>
  <c r="L62" i="2" s="1"/>
  <c r="I53" i="2"/>
  <c r="L53" i="2" s="1"/>
  <c r="M49" i="2"/>
  <c r="I38" i="2"/>
  <c r="L38" i="2" s="1"/>
  <c r="I33" i="2"/>
  <c r="L33" i="2" s="1"/>
  <c r="M29" i="2"/>
  <c r="I22" i="2"/>
  <c r="L22" i="2" s="1"/>
  <c r="I17" i="2"/>
  <c r="L17" i="2" s="1"/>
  <c r="M13" i="2"/>
  <c r="I64" i="2"/>
  <c r="L64" i="2" s="1"/>
  <c r="I63" i="2"/>
  <c r="L63" i="2" s="1"/>
  <c r="I60" i="2"/>
  <c r="L60" i="2" s="1"/>
  <c r="I59" i="2"/>
  <c r="L59" i="2" s="1"/>
  <c r="M56" i="2"/>
  <c r="M55" i="2"/>
  <c r="I40" i="2"/>
  <c r="L40" i="2" s="1"/>
  <c r="I39" i="2"/>
  <c r="L39" i="2" s="1"/>
  <c r="M36" i="2"/>
  <c r="M35" i="2"/>
  <c r="I24" i="2"/>
  <c r="L24" i="2" s="1"/>
  <c r="I23" i="2"/>
  <c r="L23" i="2" s="1"/>
  <c r="M20" i="2"/>
  <c r="M19" i="2"/>
  <c r="M9" i="2"/>
  <c r="I8" i="2"/>
  <c r="L8" i="2" s="1"/>
  <c r="I74" i="2"/>
  <c r="L74" i="2" s="1"/>
  <c r="I65" i="2"/>
  <c r="L65" i="2" s="1"/>
  <c r="I61" i="2"/>
  <c r="L61" i="2" s="1"/>
  <c r="M57" i="2"/>
  <c r="I50" i="2"/>
  <c r="L50" i="2" s="1"/>
  <c r="I41" i="2"/>
  <c r="L41" i="2" s="1"/>
  <c r="M37" i="2"/>
  <c r="I30" i="2"/>
  <c r="L30" i="2" s="1"/>
  <c r="I25" i="2"/>
  <c r="L25" i="2" s="1"/>
  <c r="M21" i="2"/>
  <c r="I14" i="2"/>
  <c r="L14" i="2" s="1"/>
  <c r="I78" i="2"/>
  <c r="L78" i="2" s="1"/>
  <c r="M78" i="2"/>
  <c r="J81" i="2"/>
  <c r="M69" i="2"/>
  <c r="M61" i="2"/>
  <c r="M45" i="2"/>
  <c r="J80" i="2"/>
  <c r="M80" i="2" s="1"/>
  <c r="M74" i="2"/>
  <c r="M70" i="2"/>
  <c r="M66" i="2"/>
  <c r="M62" i="2"/>
  <c r="M58" i="2"/>
  <c r="M54" i="2"/>
  <c r="M50" i="2"/>
  <c r="M46" i="2"/>
  <c r="M42" i="2"/>
  <c r="M38" i="2"/>
  <c r="M34" i="2"/>
  <c r="M30" i="2"/>
  <c r="M26" i="2"/>
  <c r="M22" i="2"/>
  <c r="M18" i="2"/>
  <c r="M14" i="2"/>
  <c r="M10" i="2"/>
  <c r="M8" i="2"/>
  <c r="I7" i="2"/>
  <c r="L7" i="2" s="1"/>
  <c r="H81" i="2"/>
  <c r="I20" i="2" l="1"/>
  <c r="L20" i="2" s="1"/>
  <c r="I46" i="2"/>
  <c r="L46" i="2" s="1"/>
  <c r="I26" i="2"/>
  <c r="L26" i="2" s="1"/>
  <c r="I16" i="2"/>
  <c r="I58" i="2"/>
  <c r="L58" i="2" s="1"/>
  <c r="H80" i="2"/>
  <c r="K80" i="2" s="1"/>
  <c r="L16" i="2" l="1"/>
  <c r="I81" i="2"/>
  <c r="I80" i="2"/>
  <c r="L80" i="2" s="1"/>
</calcChain>
</file>

<file path=xl/sharedStrings.xml><?xml version="1.0" encoding="utf-8"?>
<sst xmlns="http://schemas.openxmlformats.org/spreadsheetml/2006/main" count="245" uniqueCount="243">
  <si>
    <t>ESTIMATE</t>
  </si>
  <si>
    <t>Code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</si>
  <si>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</si>
  <si>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</si>
  <si>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</si>
  <si>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</si>
  <si>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</si>
  <si>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</si>
  <si>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</si>
  <si>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</si>
  <si>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</si>
  <si>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</si>
  <si>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</si>
  <si>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</si>
  <si>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</si>
  <si>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</si>
  <si>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</si>
  <si>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</si>
  <si>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</si>
  <si>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</si>
  <si>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</si>
  <si>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</si>
  <si>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</si>
  <si>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</si>
  <si>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</si>
  <si>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</si>
  <si>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</si>
  <si>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</si>
  <si>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</si>
  <si>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</si>
  <si>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</si>
  <si>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</si>
  <si>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</si>
  <si>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</si>
  <si>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</si>
  <si>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</si>
  <si>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</si>
  <si>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</si>
  <si>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</si>
  <si>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</si>
  <si>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</si>
  <si>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</si>
  <si>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</si>
  <si>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</si>
  <si>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</si>
  <si>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</si>
  <si>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</si>
  <si>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</si>
  <si>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</si>
  <si>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</si>
  <si>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</si>
  <si>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</si>
  <si>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</si>
  <si>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</si>
  <si>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</si>
  <si>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</si>
  <si>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</si>
  <si>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</si>
  <si>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</si>
  <si>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</si>
  <si>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</si>
  <si>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</si>
  <si>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</si>
  <si>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</si>
  <si>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</si>
  <si>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</si>
  <si>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</si>
  <si>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</si>
  <si>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</si>
  <si>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</si>
  <si>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</si>
  <si>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</si>
  <si>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</si>
  <si>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</si>
  <si>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County Name</t>
  </si>
  <si>
    <t>Total</t>
  </si>
  <si>
    <t>Deaths</t>
  </si>
  <si>
    <t>Increase</t>
  </si>
  <si>
    <t>Migration</t>
  </si>
  <si>
    <t>FIPS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</si>
  <si>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</si>
  <si>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</si>
  <si>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</si>
  <si>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</si>
  <si>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</si>
  <si>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</si>
  <si>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</si>
  <si>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</si>
  <si>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</si>
  <si>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</si>
  <si>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</si>
  <si>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</si>
  <si>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</si>
  <si>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</si>
  <si>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</si>
  <si>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</si>
  <si>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</si>
  <si>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</si>
  <si>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</si>
  <si>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</si>
  <si>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</si>
  <si>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</si>
  <si>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</si>
  <si>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</si>
  <si>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</si>
  <si>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</si>
  <si>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</si>
  <si>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</si>
  <si>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</si>
  <si>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</si>
  <si>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</si>
  <si>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</si>
  <si>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</si>
  <si>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</si>
  <si>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</si>
  <si>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</si>
  <si>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</si>
  <si>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</si>
  <si>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</si>
  <si>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</si>
  <si>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</si>
  <si>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</si>
  <si>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</si>
  <si>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</si>
  <si>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</si>
  <si>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</si>
  <si>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</si>
  <si>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</si>
  <si>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</si>
  <si>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</si>
  <si>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</si>
  <si>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</si>
  <si>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</si>
  <si>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</si>
  <si>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</si>
  <si>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SAUK</t>
  </si>
  <si>
    <t>SAWYER</t>
  </si>
  <si>
    <t>SHAWANO</t>
  </si>
  <si>
    <t>SHEBOYGAN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</si>
  <si>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</si>
  <si>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</si>
  <si>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</si>
  <si>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</si>
  <si>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</si>
  <si>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</si>
  <si>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</si>
  <si>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</si>
  <si>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</si>
  <si>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</si>
  <si>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</si>
  <si>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</si>
  <si>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STATE TOTAL</t>
  </si>
  <si>
    <t>DOA Code</t>
  </si>
  <si>
    <t>FIPS Code</t>
  </si>
  <si>
    <t>Natural Increase</t>
  </si>
  <si>
    <t>Net Migration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</si>
  <si>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</si>
  <si>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</si>
  <si>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</si>
  <si>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</si>
  <si>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</si>
  <si>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</si>
  <si>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</si>
  <si>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</si>
  <si>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</si>
  <si>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</si>
  <si>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</si>
  <si>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</si>
  <si>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</si>
  <si>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</si>
  <si>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</si>
  <si>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</si>
  <si>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</si>
  <si>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</si>
  <si>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</si>
  <si>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</si>
  <si>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</si>
  <si>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</si>
  <si>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</si>
  <si>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</si>
  <si>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</si>
  <si>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</si>
  <si>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</si>
  <si>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</si>
  <si>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</si>
  <si>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</si>
  <si>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</si>
  <si>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</si>
  <si>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</si>
  <si>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</si>
  <si>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</si>
  <si>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</si>
  <si>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</si>
  <si>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</si>
  <si>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</si>
  <si>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</si>
  <si>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</si>
  <si>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</si>
  <si>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</si>
  <si>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</si>
  <si>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</si>
  <si>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</si>
  <si>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</si>
  <si>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</si>
  <si>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</si>
  <si>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</si>
  <si>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</si>
  <si>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</si>
  <si>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</si>
  <si>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</si>
  <si>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</si>
  <si>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</si>
  <si>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</si>
  <si>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</si>
  <si>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</si>
  <si>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</si>
  <si>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</si>
  <si>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</si>
  <si>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</si>
  <si>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</si>
  <si>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</si>
  <si>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</si>
  <si>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</si>
  <si>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</si>
  <si>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</si>
  <si>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</si>
  <si>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</si>
  <si>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</si>
  <si>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SAINT CROIX</t>
  </si>
  <si>
    <t>Est. Natural Increase</t>
  </si>
  <si>
    <t>Est. Net Migration</t>
  </si>
  <si>
    <t>Est. Total Change</t>
  </si>
  <si>
    <t>Est. Total Pct. Change</t>
  </si>
  <si>
    <t xml:space="preserve"> Estimated Births</t>
  </si>
  <si>
    <t xml:space="preserve"> Estimated Deaths</t>
  </si>
  <si>
    <t>4/1/2010 Census</t>
  </si>
  <si>
    <t>counties with negative components</t>
  </si>
  <si>
    <t>Estimated Components of Population Change for Wisconsin Counties: April 2010 - January 2012</t>
  </si>
  <si>
    <t>4/1/2010 -1/1/2012</t>
  </si>
  <si>
    <t>Numeric Change, 4/1/2010 - 1/1/2012</t>
  </si>
  <si>
    <t>PERCENT CHANGE,4/1/2010 -1/1/2012</t>
  </si>
  <si>
    <t>Source: Wisconsin Demographic Services Center</t>
  </si>
  <si>
    <t>1/1/2012 Final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</si>
</sst>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"/>
    <numFmt numFmtId="165" formatCode="0.0%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System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b/>
      <sz val="12"/>
      <color indexed="2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2" fillId="0" borderId="0"/>
    <xf numFmtId="9" fontId="1" fillId="0" borderId="0" applyFont="0" applyFill="0" applyBorder="0" applyAlignment="0" applyProtection="0"/>
    <xf numFmtId="0" fontId="13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Border="1" applyAlignment="1"/>
    <xf numFmtId="49" fontId="6" fillId="0" borderId="0" xfId="0" applyNumberFormat="1" applyFont="1" applyBorder="1" applyAlignment="1">
      <alignment horizontal="left"/>
    </xf>
    <xf numFmtId="3" fontId="6" fillId="0" borderId="0" xfId="0" applyNumberFormat="1" applyFont="1" applyBorder="1" applyAlignment="1"/>
    <xf numFmtId="3" fontId="6" fillId="0" borderId="0" xfId="2" applyNumberFormat="1" applyFont="1" applyBorder="1" applyAlignment="1"/>
    <xf numFmtId="3" fontId="7" fillId="0" borderId="0" xfId="2" applyNumberFormat="1" applyFont="1" applyBorder="1" applyAlignment="1">
      <alignment horizontal="right"/>
    </xf>
    <xf numFmtId="3" fontId="7" fillId="0" borderId="0" xfId="2" applyNumberFormat="1" applyFont="1" applyBorder="1" applyAlignment="1"/>
    <xf numFmtId="2" fontId="6" fillId="0" borderId="0" xfId="2" applyNumberFormat="1" applyFont="1" applyBorder="1" applyAlignment="1"/>
    <xf numFmtId="0" fontId="6" fillId="0" borderId="0" xfId="2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49" fontId="10" fillId="0" borderId="0" xfId="0" applyNumberFormat="1" applyFont="1" applyAlignment="1"/>
    <xf numFmtId="0" fontId="10" fillId="0" borderId="0" xfId="0" applyNumberFormat="1" applyFont="1" applyFill="1" applyBorder="1" applyAlignment="1" applyProtection="1"/>
    <xf numFmtId="3" fontId="11" fillId="0" borderId="0" xfId="0" applyNumberFormat="1" applyFont="1" applyFill="1" applyBorder="1" applyAlignment="1">
      <alignment horizontal="right"/>
    </xf>
    <xf numFmtId="3" fontId="10" fillId="0" borderId="0" xfId="1" applyNumberFormat="1" applyFont="1" applyAlignment="1"/>
    <xf numFmtId="3" fontId="10" fillId="0" borderId="7" xfId="2" applyNumberFormat="1" applyFont="1" applyBorder="1" applyAlignment="1">
      <alignment horizontal="right"/>
    </xf>
    <xf numFmtId="3" fontId="10" fillId="0" borderId="0" xfId="2" applyNumberFormat="1" applyFont="1" applyAlignment="1">
      <alignment horizontal="right"/>
    </xf>
    <xf numFmtId="165" fontId="10" fillId="0" borderId="1" xfId="3" applyNumberFormat="1" applyFont="1" applyBorder="1" applyAlignment="1">
      <alignment horizontal="right" indent="1"/>
    </xf>
    <xf numFmtId="165" fontId="10" fillId="0" borderId="0" xfId="3" applyNumberFormat="1" applyFont="1" applyAlignment="1">
      <alignment horizontal="right" indent="1"/>
    </xf>
    <xf numFmtId="165" fontId="10" fillId="0" borderId="7" xfId="3" applyNumberFormat="1" applyFont="1" applyBorder="1" applyAlignment="1">
      <alignment horizontal="right" indent="1"/>
    </xf>
    <xf numFmtId="49" fontId="10" fillId="0" borderId="0" xfId="0" applyNumberFormat="1" applyFont="1" applyAlignment="1" applyProtection="1">
      <protection locked="0"/>
    </xf>
    <xf numFmtId="164" fontId="8" fillId="0" borderId="0" xfId="0" applyNumberFormat="1" applyFont="1" applyAlignment="1">
      <alignment horizontal="left"/>
    </xf>
    <xf numFmtId="49" fontId="8" fillId="0" borderId="0" xfId="0" applyNumberFormat="1" applyFont="1" applyAlignment="1" applyProtection="1">
      <alignment horizontal="left"/>
      <protection locked="0"/>
    </xf>
    <xf numFmtId="0" fontId="8" fillId="0" borderId="0" xfId="0" applyFont="1" applyAlignment="1"/>
    <xf numFmtId="3" fontId="12" fillId="0" borderId="0" xfId="0" applyNumberFormat="1" applyFont="1" applyFill="1" applyBorder="1" applyAlignment="1">
      <alignment horizontal="right"/>
    </xf>
    <xf numFmtId="3" fontId="8" fillId="0" borderId="0" xfId="2" applyNumberFormat="1" applyFont="1" applyAlignment="1">
      <alignment horizontal="right"/>
    </xf>
    <xf numFmtId="3" fontId="8" fillId="0" borderId="7" xfId="2" applyNumberFormat="1" applyFont="1" applyBorder="1" applyAlignment="1">
      <alignment horizontal="right"/>
    </xf>
    <xf numFmtId="165" fontId="8" fillId="0" borderId="8" xfId="2" applyNumberFormat="1" applyFont="1" applyBorder="1" applyAlignment="1">
      <alignment horizontal="right" indent="1"/>
    </xf>
    <xf numFmtId="165" fontId="8" fillId="0" borderId="0" xfId="2" applyNumberFormat="1" applyFont="1" applyAlignment="1">
      <alignment horizontal="right" indent="1"/>
    </xf>
    <xf numFmtId="0" fontId="8" fillId="0" borderId="0" xfId="0" applyFont="1" applyBorder="1" applyAlignment="1"/>
    <xf numFmtId="49" fontId="8" fillId="0" borderId="9" xfId="0" applyNumberFormat="1" applyFont="1" applyBorder="1" applyAlignment="1"/>
    <xf numFmtId="0" fontId="8" fillId="0" borderId="6" xfId="0" applyFont="1" applyBorder="1" applyAlignment="1"/>
    <xf numFmtId="3" fontId="8" fillId="0" borderId="6" xfId="0" applyNumberFormat="1" applyFont="1" applyBorder="1" applyAlignment="1">
      <alignment horizontal="right"/>
    </xf>
    <xf numFmtId="3" fontId="8" fillId="0" borderId="6" xfId="2" applyNumberFormat="1" applyFont="1" applyBorder="1" applyAlignment="1">
      <alignment horizontal="right"/>
    </xf>
    <xf numFmtId="3" fontId="8" fillId="0" borderId="3" xfId="2" applyNumberFormat="1" applyFont="1" applyBorder="1" applyAlignment="1">
      <alignment horizontal="right"/>
    </xf>
    <xf numFmtId="165" fontId="8" fillId="0" borderId="6" xfId="3" applyNumberFormat="1" applyFont="1" applyBorder="1" applyAlignment="1">
      <alignment horizontal="right" indent="1"/>
    </xf>
    <xf numFmtId="3" fontId="4" fillId="0" borderId="1" xfId="2" applyNumberFormat="1" applyFont="1" applyBorder="1" applyAlignment="1">
      <alignment horizontal="centerContinuous"/>
    </xf>
    <xf numFmtId="3" fontId="4" fillId="0" borderId="2" xfId="2" applyNumberFormat="1" applyFont="1" applyBorder="1" applyAlignment="1">
      <alignment horizontal="centerContinuous"/>
    </xf>
    <xf numFmtId="3" fontId="4" fillId="0" borderId="3" xfId="2" applyNumberFormat="1" applyFont="1" applyBorder="1" applyAlignment="1">
      <alignment horizontal="centerContinuous"/>
    </xf>
    <xf numFmtId="0" fontId="4" fillId="0" borderId="4" xfId="2" applyFont="1" applyBorder="1" applyAlignment="1">
      <alignment horizontal="centerContinuous"/>
    </xf>
    <xf numFmtId="3" fontId="4" fillId="0" borderId="5" xfId="2" applyNumberFormat="1" applyFont="1" applyBorder="1" applyAlignment="1">
      <alignment horizontal="centerContinuous"/>
    </xf>
    <xf numFmtId="3" fontId="4" fillId="0" borderId="4" xfId="2" applyNumberFormat="1" applyFont="1" applyBorder="1" applyAlignment="1">
      <alignment horizontal="centerContinuous"/>
    </xf>
    <xf numFmtId="3" fontId="11" fillId="0" borderId="0" xfId="5" applyNumberFormat="1" applyFont="1" applyFill="1" applyBorder="1" applyAlignment="1" applyProtection="1"/>
    <xf numFmtId="3" fontId="10" fillId="0" borderId="1" xfId="1" applyNumberFormat="1" applyFont="1" applyBorder="1" applyAlignment="1"/>
    <xf numFmtId="3" fontId="10" fillId="0" borderId="7" xfId="1" applyNumberFormat="1" applyFont="1" applyBorder="1" applyAlignment="1"/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9">
    <cellStyle name="Comma 2" xfId="5"/>
    <cellStyle name="Normal" xfId="0" builtinId="0"/>
    <cellStyle name="Normal 2" xfId="7"/>
    <cellStyle name="Normal 3" xfId="4"/>
    <cellStyle name="Normal_COMPONENTS" xfId="1"/>
    <cellStyle name="Normal_COMPONT2.XLS" xfId="2"/>
    <cellStyle name="Percent" xfId="3" builtinId="5"/>
    <cellStyle name="Percent 2" xfId="8"/>
    <cellStyle name="Percent 3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PersonalWork/EganRobertson/Components_of_Change/CNTYBR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_PersonalWork/EganRobertson/Components_of_Change/CNTYD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IRTHS"/>
      <sheetName val="Births_Males"/>
      <sheetName val="Births_Females"/>
      <sheetName val="Births_SpecialComps"/>
      <sheetName val="Births_Est_CurrYear"/>
    </sheetNames>
    <sheetDataSet>
      <sheetData sheetId="0" refreshError="1"/>
      <sheetData sheetId="1"/>
      <sheetData sheetId="2"/>
      <sheetData sheetId="3"/>
      <sheetData sheetId="4"/>
      <sheetData sheetId="5">
        <row r="7">
          <cell r="I7">
            <v>240</v>
          </cell>
        </row>
        <row r="8">
          <cell r="I8">
            <v>317</v>
          </cell>
        </row>
        <row r="9">
          <cell r="I9">
            <v>948</v>
          </cell>
        </row>
        <row r="10">
          <cell r="I10">
            <v>203</v>
          </cell>
        </row>
        <row r="11">
          <cell r="I11">
            <v>5974</v>
          </cell>
        </row>
        <row r="12">
          <cell r="I12">
            <v>225</v>
          </cell>
        </row>
        <row r="13">
          <cell r="I13">
            <v>242</v>
          </cell>
        </row>
        <row r="14">
          <cell r="I14">
            <v>1047</v>
          </cell>
        </row>
        <row r="15">
          <cell r="I15">
            <v>1302</v>
          </cell>
        </row>
        <row r="16">
          <cell r="I16">
            <v>1045</v>
          </cell>
        </row>
        <row r="17">
          <cell r="I17">
            <v>1062</v>
          </cell>
        </row>
        <row r="18">
          <cell r="I18">
            <v>278</v>
          </cell>
        </row>
        <row r="19">
          <cell r="I19">
            <v>10585</v>
          </cell>
        </row>
        <row r="20">
          <cell r="I20">
            <v>1516</v>
          </cell>
        </row>
        <row r="21">
          <cell r="I21">
            <v>388</v>
          </cell>
        </row>
        <row r="22">
          <cell r="I22">
            <v>854</v>
          </cell>
        </row>
        <row r="23">
          <cell r="I23">
            <v>822</v>
          </cell>
        </row>
        <row r="24">
          <cell r="I24">
            <v>1952</v>
          </cell>
        </row>
        <row r="25">
          <cell r="I25">
            <v>52</v>
          </cell>
        </row>
        <row r="26">
          <cell r="I26">
            <v>1886</v>
          </cell>
        </row>
        <row r="27">
          <cell r="I27">
            <v>205</v>
          </cell>
        </row>
        <row r="28">
          <cell r="I28">
            <v>950</v>
          </cell>
        </row>
        <row r="29">
          <cell r="I29">
            <v>736</v>
          </cell>
        </row>
        <row r="30">
          <cell r="I30">
            <v>368</v>
          </cell>
        </row>
        <row r="31">
          <cell r="I31">
            <v>510</v>
          </cell>
        </row>
        <row r="32">
          <cell r="I32">
            <v>67</v>
          </cell>
        </row>
        <row r="33">
          <cell r="I33">
            <v>422</v>
          </cell>
        </row>
        <row r="34">
          <cell r="I34">
            <v>1625</v>
          </cell>
        </row>
        <row r="35">
          <cell r="I35">
            <v>465</v>
          </cell>
        </row>
        <row r="36">
          <cell r="I36">
            <v>3594</v>
          </cell>
        </row>
        <row r="37">
          <cell r="I37">
            <v>366</v>
          </cell>
        </row>
        <row r="38">
          <cell r="I38">
            <v>2365</v>
          </cell>
        </row>
        <row r="39">
          <cell r="I39">
            <v>361</v>
          </cell>
        </row>
        <row r="40">
          <cell r="I40">
            <v>349</v>
          </cell>
        </row>
        <row r="41">
          <cell r="I41">
            <v>502</v>
          </cell>
        </row>
        <row r="42">
          <cell r="I42">
            <v>1391</v>
          </cell>
        </row>
        <row r="43">
          <cell r="I43">
            <v>2897</v>
          </cell>
        </row>
        <row r="44">
          <cell r="I44">
            <v>679</v>
          </cell>
        </row>
        <row r="45">
          <cell r="I45">
            <v>279</v>
          </cell>
        </row>
        <row r="46">
          <cell r="I46">
            <v>181</v>
          </cell>
        </row>
        <row r="47">
          <cell r="I47">
            <v>25179</v>
          </cell>
        </row>
        <row r="48">
          <cell r="I48">
            <v>1091</v>
          </cell>
        </row>
        <row r="49">
          <cell r="I49">
            <v>663</v>
          </cell>
        </row>
        <row r="50">
          <cell r="I50">
            <v>538</v>
          </cell>
        </row>
        <row r="51">
          <cell r="I51">
            <v>3939</v>
          </cell>
        </row>
        <row r="52">
          <cell r="I52">
            <v>1350</v>
          </cell>
        </row>
        <row r="53">
          <cell r="I53">
            <v>125</v>
          </cell>
        </row>
        <row r="54">
          <cell r="I54">
            <v>744</v>
          </cell>
        </row>
        <row r="55">
          <cell r="I55">
            <v>810</v>
          </cell>
        </row>
        <row r="56">
          <cell r="I56">
            <v>1336</v>
          </cell>
        </row>
        <row r="57">
          <cell r="I57">
            <v>202</v>
          </cell>
        </row>
        <row r="58">
          <cell r="I58">
            <v>4349</v>
          </cell>
        </row>
        <row r="59">
          <cell r="I59">
            <v>344</v>
          </cell>
        </row>
        <row r="60">
          <cell r="I60">
            <v>3467</v>
          </cell>
        </row>
        <row r="61">
          <cell r="I61">
            <v>249</v>
          </cell>
        </row>
        <row r="62">
          <cell r="I62">
            <v>1972</v>
          </cell>
        </row>
        <row r="63">
          <cell r="I63">
            <v>1373</v>
          </cell>
        </row>
        <row r="64">
          <cell r="I64">
            <v>297</v>
          </cell>
        </row>
        <row r="65">
          <cell r="I65">
            <v>776</v>
          </cell>
        </row>
        <row r="66">
          <cell r="I66">
            <v>2313</v>
          </cell>
        </row>
        <row r="67">
          <cell r="I67">
            <v>418</v>
          </cell>
        </row>
        <row r="68">
          <cell r="I68">
            <v>657</v>
          </cell>
        </row>
        <row r="69">
          <cell r="I69">
            <v>705</v>
          </cell>
        </row>
        <row r="70">
          <cell r="I70">
            <v>340</v>
          </cell>
        </row>
        <row r="71">
          <cell r="I71">
            <v>1889</v>
          </cell>
        </row>
        <row r="72">
          <cell r="I72">
            <v>267</v>
          </cell>
        </row>
        <row r="73">
          <cell r="I73">
            <v>2430</v>
          </cell>
        </row>
        <row r="74">
          <cell r="I74">
            <v>6744</v>
          </cell>
        </row>
        <row r="75">
          <cell r="I75">
            <v>900</v>
          </cell>
        </row>
        <row r="76">
          <cell r="I76">
            <v>412</v>
          </cell>
        </row>
        <row r="77">
          <cell r="I77">
            <v>3292</v>
          </cell>
        </row>
        <row r="78">
          <cell r="I78">
            <v>1456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DEATHS"/>
      <sheetName val="Deaths_SpecialComps"/>
      <sheetName val="Deaths_Est_CurrYr"/>
    </sheetNames>
    <sheetDataSet>
      <sheetData sheetId="0" refreshError="1"/>
      <sheetData sheetId="1"/>
      <sheetData sheetId="2"/>
      <sheetData sheetId="3">
        <row r="7">
          <cell r="H7">
            <v>472</v>
          </cell>
        </row>
        <row r="8">
          <cell r="H8">
            <v>324</v>
          </cell>
        </row>
        <row r="9">
          <cell r="H9">
            <v>857</v>
          </cell>
        </row>
        <row r="10">
          <cell r="H10">
            <v>279</v>
          </cell>
        </row>
        <row r="11">
          <cell r="H11">
            <v>2756</v>
          </cell>
        </row>
        <row r="12">
          <cell r="H12">
            <v>252</v>
          </cell>
        </row>
        <row r="13">
          <cell r="H13">
            <v>227</v>
          </cell>
        </row>
        <row r="14">
          <cell r="H14">
            <v>508</v>
          </cell>
        </row>
        <row r="15">
          <cell r="H15">
            <v>848</v>
          </cell>
        </row>
        <row r="16">
          <cell r="H16">
            <v>620</v>
          </cell>
        </row>
        <row r="17">
          <cell r="H17">
            <v>897</v>
          </cell>
        </row>
        <row r="18">
          <cell r="H18">
            <v>272</v>
          </cell>
        </row>
        <row r="19">
          <cell r="H19">
            <v>5038</v>
          </cell>
        </row>
        <row r="20">
          <cell r="H20">
            <v>1620</v>
          </cell>
        </row>
        <row r="21">
          <cell r="H21">
            <v>549</v>
          </cell>
        </row>
        <row r="22">
          <cell r="H22">
            <v>682</v>
          </cell>
        </row>
        <row r="23">
          <cell r="H23">
            <v>522</v>
          </cell>
        </row>
        <row r="24">
          <cell r="H24">
            <v>1225</v>
          </cell>
        </row>
        <row r="25">
          <cell r="H25">
            <v>117</v>
          </cell>
        </row>
        <row r="26">
          <cell r="H26">
            <v>1550</v>
          </cell>
        </row>
        <row r="27">
          <cell r="H27">
            <v>183</v>
          </cell>
        </row>
        <row r="28">
          <cell r="H28">
            <v>887</v>
          </cell>
        </row>
        <row r="29">
          <cell r="H29">
            <v>554</v>
          </cell>
        </row>
        <row r="30">
          <cell r="H30">
            <v>324</v>
          </cell>
        </row>
        <row r="31">
          <cell r="H31">
            <v>352</v>
          </cell>
        </row>
        <row r="32">
          <cell r="H32">
            <v>151</v>
          </cell>
        </row>
        <row r="33">
          <cell r="H33">
            <v>322</v>
          </cell>
        </row>
        <row r="34">
          <cell r="H34">
            <v>1062</v>
          </cell>
        </row>
        <row r="35">
          <cell r="H35">
            <v>478</v>
          </cell>
        </row>
        <row r="36">
          <cell r="H36">
            <v>2219</v>
          </cell>
        </row>
        <row r="37">
          <cell r="H37">
            <v>256</v>
          </cell>
        </row>
        <row r="38">
          <cell r="H38">
            <v>1620</v>
          </cell>
        </row>
        <row r="39">
          <cell r="H39">
            <v>247</v>
          </cell>
        </row>
        <row r="40">
          <cell r="H40">
            <v>330</v>
          </cell>
        </row>
        <row r="41">
          <cell r="H41">
            <v>507</v>
          </cell>
        </row>
        <row r="42">
          <cell r="H42">
            <v>1427</v>
          </cell>
        </row>
        <row r="43">
          <cell r="H43">
            <v>1903</v>
          </cell>
        </row>
        <row r="44">
          <cell r="H44">
            <v>781</v>
          </cell>
        </row>
        <row r="45">
          <cell r="H45">
            <v>323</v>
          </cell>
        </row>
        <row r="46">
          <cell r="H46">
            <v>63</v>
          </cell>
        </row>
        <row r="47">
          <cell r="H47">
            <v>14241</v>
          </cell>
        </row>
        <row r="48">
          <cell r="H48">
            <v>666</v>
          </cell>
        </row>
        <row r="49">
          <cell r="H49">
            <v>625</v>
          </cell>
        </row>
        <row r="50">
          <cell r="H50">
            <v>772</v>
          </cell>
        </row>
        <row r="51">
          <cell r="H51">
            <v>2127</v>
          </cell>
        </row>
        <row r="52">
          <cell r="H52">
            <v>1327</v>
          </cell>
        </row>
        <row r="53">
          <cell r="H53">
            <v>159</v>
          </cell>
        </row>
        <row r="54">
          <cell r="H54">
            <v>396</v>
          </cell>
        </row>
        <row r="55">
          <cell r="H55">
            <v>673</v>
          </cell>
        </row>
        <row r="56">
          <cell r="H56">
            <v>837</v>
          </cell>
        </row>
        <row r="57">
          <cell r="H57">
            <v>267</v>
          </cell>
        </row>
        <row r="58">
          <cell r="H58">
            <v>2831</v>
          </cell>
        </row>
        <row r="59">
          <cell r="H59">
            <v>270</v>
          </cell>
        </row>
        <row r="60">
          <cell r="H60">
            <v>2420</v>
          </cell>
        </row>
        <row r="61">
          <cell r="H61">
            <v>302</v>
          </cell>
        </row>
        <row r="62">
          <cell r="H62">
            <v>985</v>
          </cell>
        </row>
        <row r="63">
          <cell r="H63">
            <v>1015</v>
          </cell>
        </row>
        <row r="64">
          <cell r="H64">
            <v>292</v>
          </cell>
        </row>
        <row r="65">
          <cell r="H65">
            <v>762</v>
          </cell>
        </row>
        <row r="66">
          <cell r="H66">
            <v>1750</v>
          </cell>
        </row>
        <row r="67">
          <cell r="H67">
            <v>347</v>
          </cell>
        </row>
        <row r="68">
          <cell r="H68">
            <v>445</v>
          </cell>
        </row>
        <row r="69">
          <cell r="H69">
            <v>465</v>
          </cell>
        </row>
        <row r="70">
          <cell r="H70">
            <v>405</v>
          </cell>
        </row>
        <row r="71">
          <cell r="H71">
            <v>1497</v>
          </cell>
        </row>
        <row r="72">
          <cell r="H72">
            <v>355</v>
          </cell>
        </row>
        <row r="73">
          <cell r="H73">
            <v>1789</v>
          </cell>
        </row>
        <row r="74">
          <cell r="H74">
            <v>5371</v>
          </cell>
        </row>
        <row r="75">
          <cell r="H75">
            <v>1259</v>
          </cell>
        </row>
        <row r="76">
          <cell r="H76">
            <v>448</v>
          </cell>
        </row>
        <row r="77">
          <cell r="H77">
            <v>2476</v>
          </cell>
        </row>
        <row r="78">
          <cell r="H78">
            <v>1369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E4" sqref="E4:E6"/>
    </sheetView>
  </sheetViews>
  <sheetFormatPr defaultRowHeight="12.75" x14ac:dyDescent="0.2"/>
  <cols>
    <col min="1" max="1" width="5.7109375" style="1" customWidth="1"/>
    <col min="2" max="2" width="6.7109375" style="1" customWidth="1"/>
    <col min="3" max="3" width="15.7109375" style="1" customWidth="1"/>
    <col min="4" max="4" width="11.7109375" style="1" customWidth="1"/>
    <col min="5" max="5" width="12.42578125" style="1" customWidth="1"/>
    <col min="6" max="13" width="10.7109375" style="1" customWidth="1"/>
    <col min="14" max="16384" width="9.140625" style="1"/>
  </cols>
  <sheetData>
    <row r="1" spans="1:15" ht="15" x14ac:dyDescent="0.25">
      <c r="A1" s="13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x14ac:dyDescent="0.2">
      <c r="A2" s="14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 s="3" customFormat="1" ht="12.75" customHeight="1" x14ac:dyDescent="0.2">
      <c r="A4" s="50" t="s">
        <v>152</v>
      </c>
      <c r="B4" s="50" t="s">
        <v>153</v>
      </c>
      <c r="C4" s="50" t="s">
        <v>74</v>
      </c>
      <c r="D4" s="50" t="s">
        <v>235</v>
      </c>
      <c r="E4" s="50" t="s">
        <v>242</v>
      </c>
      <c r="F4" s="41" t="s">
        <v>238</v>
      </c>
      <c r="G4" s="42"/>
      <c r="H4" s="43" t="s">
        <v>239</v>
      </c>
      <c r="I4" s="44"/>
      <c r="J4" s="45"/>
      <c r="K4" s="46" t="s">
        <v>240</v>
      </c>
      <c r="L4" s="44"/>
      <c r="M4" s="45"/>
    </row>
    <row r="5" spans="1:15" s="3" customFormat="1" ht="12.75" customHeight="1" x14ac:dyDescent="0.2">
      <c r="A5" s="51"/>
      <c r="B5" s="51" t="s">
        <v>79</v>
      </c>
      <c r="C5" s="51"/>
      <c r="D5" s="51">
        <v>39083</v>
      </c>
      <c r="E5" s="51">
        <v>39083</v>
      </c>
      <c r="F5" s="50" t="s">
        <v>233</v>
      </c>
      <c r="G5" s="53" t="s">
        <v>234</v>
      </c>
      <c r="H5" s="50" t="s">
        <v>229</v>
      </c>
      <c r="I5" s="50" t="s">
        <v>230</v>
      </c>
      <c r="J5" s="50" t="s">
        <v>231</v>
      </c>
      <c r="K5" s="50" t="s">
        <v>154</v>
      </c>
      <c r="L5" s="50" t="s">
        <v>155</v>
      </c>
      <c r="M5" s="50" t="s">
        <v>232</v>
      </c>
    </row>
    <row r="6" spans="1:15" s="3" customFormat="1" ht="12.75" customHeight="1" x14ac:dyDescent="0.2">
      <c r="A6" s="52"/>
      <c r="B6" s="52" t="s">
        <v>1</v>
      </c>
      <c r="C6" s="52" t="s">
        <v>74</v>
      </c>
      <c r="D6" s="52" t="s">
        <v>0</v>
      </c>
      <c r="E6" s="52" t="s">
        <v>0</v>
      </c>
      <c r="F6" s="52"/>
      <c r="G6" s="54" t="s">
        <v>76</v>
      </c>
      <c r="H6" s="52" t="s">
        <v>77</v>
      </c>
      <c r="I6" s="52" t="s">
        <v>78</v>
      </c>
      <c r="J6" s="52" t="s">
        <v>75</v>
      </c>
      <c r="K6" s="52"/>
      <c r="L6" s="52"/>
      <c r="M6" s="52"/>
      <c r="N6" s="2"/>
    </row>
    <row r="7" spans="1:15" s="3" customFormat="1" ht="15" x14ac:dyDescent="0.25">
      <c r="A7" s="15" t="s">
        <v>156</v>
      </c>
      <c r="B7" s="16" t="s">
        <v>2</v>
      </c>
      <c r="C7" s="17" t="s">
        <v>80</v>
      </c>
      <c r="D7" s="18">
        <v>20875</v>
      </c>
      <c r="E7" s="47">
        <v>20797</v>
      </c>
      <c r="F7" s="48">
        <f>[1]Births_Est_CurrYear!$I7</f>
        <v>240</v>
      </c>
      <c r="G7" s="19">
        <f>[2]Deaths_Est_CurrYr!H7</f>
        <v>472</v>
      </c>
      <c r="H7" s="20">
        <f t="shared" ref="H7:H38" si="0">F7-G7</f>
        <v>-232</v>
      </c>
      <c r="I7" s="21">
        <f t="shared" ref="I7:I38" si="1">J7-H7</f>
        <v>154</v>
      </c>
      <c r="J7" s="21">
        <f t="shared" ref="J7:J38" si="2">E7-D7</f>
        <v>-78</v>
      </c>
      <c r="K7" s="22">
        <f t="shared" ref="K7:K38" si="3">H7/D7</f>
        <v>-1.1113772455089821E-2</v>
      </c>
      <c r="L7" s="23">
        <f t="shared" ref="L7:L38" si="4">I7/D7</f>
        <v>7.3772455089820355E-3</v>
      </c>
      <c r="M7" s="23">
        <f t="shared" ref="M7:M38" si="5">J7/D7</f>
        <v>-3.7365269461077846E-3</v>
      </c>
      <c r="O7"/>
    </row>
    <row r="8" spans="1:15" s="3" customFormat="1" ht="15" x14ac:dyDescent="0.25">
      <c r="A8" s="15" t="s">
        <v>157</v>
      </c>
      <c r="B8" s="16" t="s">
        <v>3</v>
      </c>
      <c r="C8" s="17" t="s">
        <v>81</v>
      </c>
      <c r="D8" s="18">
        <v>16157</v>
      </c>
      <c r="E8" s="47">
        <v>16063</v>
      </c>
      <c r="F8" s="49">
        <f>[1]Births_Est_CurrYear!$I8</f>
        <v>317</v>
      </c>
      <c r="G8" s="19">
        <f>[2]Deaths_Est_CurrYr!H8</f>
        <v>324</v>
      </c>
      <c r="H8" s="20">
        <f t="shared" si="0"/>
        <v>-7</v>
      </c>
      <c r="I8" s="21">
        <f t="shared" si="1"/>
        <v>-87</v>
      </c>
      <c r="J8" s="21">
        <f t="shared" si="2"/>
        <v>-94</v>
      </c>
      <c r="K8" s="24">
        <f t="shared" si="3"/>
        <v>-4.3324874667326853E-4</v>
      </c>
      <c r="L8" s="23">
        <f t="shared" si="4"/>
        <v>-5.3846629943677662E-3</v>
      </c>
      <c r="M8" s="23">
        <f t="shared" si="5"/>
        <v>-5.8179117410410352E-3</v>
      </c>
      <c r="O8"/>
    </row>
    <row r="9" spans="1:15" s="3" customFormat="1" ht="15" x14ac:dyDescent="0.25">
      <c r="A9" s="15" t="s">
        <v>158</v>
      </c>
      <c r="B9" s="16" t="s">
        <v>4</v>
      </c>
      <c r="C9" s="17" t="s">
        <v>82</v>
      </c>
      <c r="D9" s="18">
        <v>45870</v>
      </c>
      <c r="E9" s="47">
        <v>45928</v>
      </c>
      <c r="F9" s="49">
        <f>[1]Births_Est_CurrYear!$I9</f>
        <v>948</v>
      </c>
      <c r="G9" s="19">
        <f>[2]Deaths_Est_CurrYr!H9</f>
        <v>857</v>
      </c>
      <c r="H9" s="20">
        <f t="shared" si="0"/>
        <v>91</v>
      </c>
      <c r="I9" s="21">
        <f t="shared" si="1"/>
        <v>-33</v>
      </c>
      <c r="J9" s="21">
        <f t="shared" si="2"/>
        <v>58</v>
      </c>
      <c r="K9" s="24">
        <f t="shared" si="3"/>
        <v>1.9838674514933508E-3</v>
      </c>
      <c r="L9" s="23">
        <f t="shared" si="4"/>
        <v>-7.1942446043165469E-4</v>
      </c>
      <c r="M9" s="23">
        <f t="shared" si="5"/>
        <v>1.2644429910616962E-3</v>
      </c>
      <c r="O9"/>
    </row>
    <row r="10" spans="1:15" s="3" customFormat="1" ht="15" x14ac:dyDescent="0.25">
      <c r="A10" s="15" t="s">
        <v>159</v>
      </c>
      <c r="B10" s="16" t="s">
        <v>5</v>
      </c>
      <c r="C10" s="17" t="s">
        <v>83</v>
      </c>
      <c r="D10" s="18">
        <v>15014</v>
      </c>
      <c r="E10" s="47">
        <v>15052</v>
      </c>
      <c r="F10" s="49">
        <f>[1]Births_Est_CurrYear!$I10</f>
        <v>203</v>
      </c>
      <c r="G10" s="19">
        <f>[2]Deaths_Est_CurrYr!H10</f>
        <v>279</v>
      </c>
      <c r="H10" s="20">
        <f t="shared" si="0"/>
        <v>-76</v>
      </c>
      <c r="I10" s="21">
        <f t="shared" si="1"/>
        <v>114</v>
      </c>
      <c r="J10" s="21">
        <f t="shared" si="2"/>
        <v>38</v>
      </c>
      <c r="K10" s="24">
        <f t="shared" si="3"/>
        <v>-5.0619421872918607E-3</v>
      </c>
      <c r="L10" s="23">
        <f t="shared" si="4"/>
        <v>7.592913280937791E-3</v>
      </c>
      <c r="M10" s="23">
        <f t="shared" si="5"/>
        <v>2.5309710936459303E-3</v>
      </c>
      <c r="O10"/>
    </row>
    <row r="11" spans="1:15" s="3" customFormat="1" ht="15" x14ac:dyDescent="0.25">
      <c r="A11" s="15" t="s">
        <v>160</v>
      </c>
      <c r="B11" s="16" t="s">
        <v>6</v>
      </c>
      <c r="C11" s="17" t="s">
        <v>84</v>
      </c>
      <c r="D11" s="18">
        <v>248007</v>
      </c>
      <c r="E11" s="47">
        <v>250281</v>
      </c>
      <c r="F11" s="49">
        <f>[1]Births_Est_CurrYear!$I11</f>
        <v>5974</v>
      </c>
      <c r="G11" s="19">
        <f>[2]Deaths_Est_CurrYr!H11</f>
        <v>2756</v>
      </c>
      <c r="H11" s="20">
        <f t="shared" si="0"/>
        <v>3218</v>
      </c>
      <c r="I11" s="21">
        <f t="shared" si="1"/>
        <v>-944</v>
      </c>
      <c r="J11" s="21">
        <f t="shared" si="2"/>
        <v>2274</v>
      </c>
      <c r="K11" s="24">
        <f t="shared" si="3"/>
        <v>1.297544020934893E-2</v>
      </c>
      <c r="L11" s="23">
        <f t="shared" si="4"/>
        <v>-3.8063441757692322E-3</v>
      </c>
      <c r="M11" s="23">
        <f t="shared" si="5"/>
        <v>9.1690960335796979E-3</v>
      </c>
      <c r="O11"/>
    </row>
    <row r="12" spans="1:15" s="3" customFormat="1" ht="15" x14ac:dyDescent="0.25">
      <c r="A12" s="15" t="s">
        <v>161</v>
      </c>
      <c r="B12" s="16" t="s">
        <v>7</v>
      </c>
      <c r="C12" s="17" t="s">
        <v>85</v>
      </c>
      <c r="D12" s="18">
        <v>13587</v>
      </c>
      <c r="E12" s="47">
        <v>13649</v>
      </c>
      <c r="F12" s="49">
        <f>[1]Births_Est_CurrYear!$I12</f>
        <v>225</v>
      </c>
      <c r="G12" s="19">
        <f>[2]Deaths_Est_CurrYr!H12</f>
        <v>252</v>
      </c>
      <c r="H12" s="20">
        <f t="shared" si="0"/>
        <v>-27</v>
      </c>
      <c r="I12" s="21">
        <f t="shared" si="1"/>
        <v>89</v>
      </c>
      <c r="J12" s="21">
        <f t="shared" si="2"/>
        <v>62</v>
      </c>
      <c r="K12" s="24">
        <f t="shared" si="3"/>
        <v>-1.987193640980349E-3</v>
      </c>
      <c r="L12" s="23">
        <f t="shared" si="4"/>
        <v>6.5503790387870763E-3</v>
      </c>
      <c r="M12" s="23">
        <f t="shared" si="5"/>
        <v>4.5631853978067268E-3</v>
      </c>
      <c r="O12"/>
    </row>
    <row r="13" spans="1:15" s="3" customFormat="1" ht="15" x14ac:dyDescent="0.25">
      <c r="A13" s="15" t="s">
        <v>162</v>
      </c>
      <c r="B13" s="16" t="s">
        <v>8</v>
      </c>
      <c r="C13" s="17" t="s">
        <v>86</v>
      </c>
      <c r="D13" s="18">
        <v>15457</v>
      </c>
      <c r="E13" s="47">
        <v>15457</v>
      </c>
      <c r="F13" s="49">
        <f>[1]Births_Est_CurrYear!$I13</f>
        <v>242</v>
      </c>
      <c r="G13" s="19">
        <f>[2]Deaths_Est_CurrYr!H13</f>
        <v>227</v>
      </c>
      <c r="H13" s="20">
        <f t="shared" si="0"/>
        <v>15</v>
      </c>
      <c r="I13" s="21">
        <f t="shared" si="1"/>
        <v>-15</v>
      </c>
      <c r="J13" s="21">
        <f t="shared" si="2"/>
        <v>0</v>
      </c>
      <c r="K13" s="24">
        <f t="shared" si="3"/>
        <v>9.7043410752409916E-4</v>
      </c>
      <c r="L13" s="23">
        <f t="shared" si="4"/>
        <v>-9.7043410752409916E-4</v>
      </c>
      <c r="M13" s="23">
        <f t="shared" si="5"/>
        <v>0</v>
      </c>
      <c r="O13"/>
    </row>
    <row r="14" spans="1:15" s="3" customFormat="1" ht="15" x14ac:dyDescent="0.25">
      <c r="A14" s="15" t="s">
        <v>163</v>
      </c>
      <c r="B14" s="16" t="s">
        <v>9</v>
      </c>
      <c r="C14" s="17" t="s">
        <v>87</v>
      </c>
      <c r="D14" s="18">
        <v>48971</v>
      </c>
      <c r="E14" s="47">
        <v>49168</v>
      </c>
      <c r="F14" s="49">
        <f>[1]Births_Est_CurrYear!$I14</f>
        <v>1047</v>
      </c>
      <c r="G14" s="19">
        <f>[2]Deaths_Est_CurrYr!H14</f>
        <v>508</v>
      </c>
      <c r="H14" s="20">
        <f t="shared" si="0"/>
        <v>539</v>
      </c>
      <c r="I14" s="21">
        <f t="shared" si="1"/>
        <v>-342</v>
      </c>
      <c r="J14" s="21">
        <f t="shared" si="2"/>
        <v>197</v>
      </c>
      <c r="K14" s="24">
        <f t="shared" si="3"/>
        <v>1.1006514059341242E-2</v>
      </c>
      <c r="L14" s="23">
        <f t="shared" si="4"/>
        <v>-6.9837250617712527E-3</v>
      </c>
      <c r="M14" s="23">
        <f t="shared" si="5"/>
        <v>4.0227889975699904E-3</v>
      </c>
      <c r="O14"/>
    </row>
    <row r="15" spans="1:15" s="3" customFormat="1" ht="15" x14ac:dyDescent="0.25">
      <c r="A15" s="15" t="s">
        <v>164</v>
      </c>
      <c r="B15" s="16" t="s">
        <v>10</v>
      </c>
      <c r="C15" s="17" t="s">
        <v>88</v>
      </c>
      <c r="D15" s="18">
        <v>62415</v>
      </c>
      <c r="E15" s="47">
        <v>62777</v>
      </c>
      <c r="F15" s="49">
        <f>[1]Births_Est_CurrYear!$I15</f>
        <v>1302</v>
      </c>
      <c r="G15" s="19">
        <f>[2]Deaths_Est_CurrYr!H15</f>
        <v>848</v>
      </c>
      <c r="H15" s="20">
        <f t="shared" si="0"/>
        <v>454</v>
      </c>
      <c r="I15" s="21">
        <f t="shared" si="1"/>
        <v>-92</v>
      </c>
      <c r="J15" s="21">
        <f t="shared" si="2"/>
        <v>362</v>
      </c>
      <c r="K15" s="24">
        <f t="shared" si="3"/>
        <v>7.2738924937915568E-3</v>
      </c>
      <c r="L15" s="23">
        <f t="shared" si="4"/>
        <v>-1.4740046463189939E-3</v>
      </c>
      <c r="M15" s="23">
        <f t="shared" si="5"/>
        <v>5.7998878474725627E-3</v>
      </c>
      <c r="O15"/>
    </row>
    <row r="16" spans="1:15" s="3" customFormat="1" ht="15" x14ac:dyDescent="0.25">
      <c r="A16" s="15" t="s">
        <v>165</v>
      </c>
      <c r="B16" s="16" t="s">
        <v>11</v>
      </c>
      <c r="C16" s="17" t="s">
        <v>89</v>
      </c>
      <c r="D16" s="18">
        <v>34690</v>
      </c>
      <c r="E16" s="47">
        <v>34706</v>
      </c>
      <c r="F16" s="49">
        <f>[1]Births_Est_CurrYear!$I16</f>
        <v>1045</v>
      </c>
      <c r="G16" s="19">
        <f>[2]Deaths_Est_CurrYr!H16</f>
        <v>620</v>
      </c>
      <c r="H16" s="20">
        <f t="shared" si="0"/>
        <v>425</v>
      </c>
      <c r="I16" s="21">
        <f t="shared" si="1"/>
        <v>-409</v>
      </c>
      <c r="J16" s="21">
        <f t="shared" si="2"/>
        <v>16</v>
      </c>
      <c r="K16" s="24">
        <f t="shared" si="3"/>
        <v>1.2251369270683194E-2</v>
      </c>
      <c r="L16" s="23">
        <f t="shared" si="4"/>
        <v>-1.1790141251081004E-2</v>
      </c>
      <c r="M16" s="23">
        <f t="shared" si="5"/>
        <v>4.6122801960219085E-4</v>
      </c>
      <c r="O16"/>
    </row>
    <row r="17" spans="1:15" s="3" customFormat="1" ht="15" x14ac:dyDescent="0.25">
      <c r="A17" s="15" t="s">
        <v>166</v>
      </c>
      <c r="B17" s="25" t="s">
        <v>12</v>
      </c>
      <c r="C17" s="17" t="s">
        <v>90</v>
      </c>
      <c r="D17" s="18">
        <v>56833</v>
      </c>
      <c r="E17" s="47">
        <v>56835</v>
      </c>
      <c r="F17" s="49">
        <f>[1]Births_Est_CurrYear!$I17</f>
        <v>1062</v>
      </c>
      <c r="G17" s="19">
        <f>[2]Deaths_Est_CurrYr!H17</f>
        <v>897</v>
      </c>
      <c r="H17" s="20">
        <f t="shared" si="0"/>
        <v>165</v>
      </c>
      <c r="I17" s="21">
        <f t="shared" si="1"/>
        <v>-163</v>
      </c>
      <c r="J17" s="21">
        <f t="shared" si="2"/>
        <v>2</v>
      </c>
      <c r="K17" s="24">
        <f t="shared" si="3"/>
        <v>2.9032428342688228E-3</v>
      </c>
      <c r="L17" s="23">
        <f t="shared" si="4"/>
        <v>-2.8680520120352611E-3</v>
      </c>
      <c r="M17" s="23">
        <f t="shared" si="5"/>
        <v>3.519082223356149E-5</v>
      </c>
      <c r="O17"/>
    </row>
    <row r="18" spans="1:15" s="3" customFormat="1" ht="15" x14ac:dyDescent="0.25">
      <c r="A18" s="15" t="s">
        <v>167</v>
      </c>
      <c r="B18" s="25" t="s">
        <v>13</v>
      </c>
      <c r="C18" s="17" t="s">
        <v>91</v>
      </c>
      <c r="D18" s="18">
        <v>16644</v>
      </c>
      <c r="E18" s="47">
        <v>16638</v>
      </c>
      <c r="F18" s="49">
        <f>[1]Births_Est_CurrYear!$I18</f>
        <v>278</v>
      </c>
      <c r="G18" s="19">
        <f>[2]Deaths_Est_CurrYr!H18</f>
        <v>272</v>
      </c>
      <c r="H18" s="20">
        <f t="shared" si="0"/>
        <v>6</v>
      </c>
      <c r="I18" s="21">
        <f t="shared" si="1"/>
        <v>-12</v>
      </c>
      <c r="J18" s="21">
        <f t="shared" si="2"/>
        <v>-6</v>
      </c>
      <c r="K18" s="24">
        <f t="shared" si="3"/>
        <v>3.6049026676279738E-4</v>
      </c>
      <c r="L18" s="23">
        <f t="shared" si="4"/>
        <v>-7.2098053352559477E-4</v>
      </c>
      <c r="M18" s="23">
        <f t="shared" si="5"/>
        <v>-3.6049026676279738E-4</v>
      </c>
      <c r="O18"/>
    </row>
    <row r="19" spans="1:15" s="3" customFormat="1" ht="15" x14ac:dyDescent="0.25">
      <c r="A19" s="15" t="s">
        <v>168</v>
      </c>
      <c r="B19" s="25" t="s">
        <v>14</v>
      </c>
      <c r="C19" s="17" t="s">
        <v>92</v>
      </c>
      <c r="D19" s="18">
        <v>488073</v>
      </c>
      <c r="E19" s="47">
        <v>491555</v>
      </c>
      <c r="F19" s="49">
        <f>[1]Births_Est_CurrYear!$I19</f>
        <v>10585</v>
      </c>
      <c r="G19" s="19">
        <f>[2]Deaths_Est_CurrYr!H19</f>
        <v>5038</v>
      </c>
      <c r="H19" s="20">
        <f t="shared" si="0"/>
        <v>5547</v>
      </c>
      <c r="I19" s="21">
        <f t="shared" si="1"/>
        <v>-2065</v>
      </c>
      <c r="J19" s="21">
        <f t="shared" si="2"/>
        <v>3482</v>
      </c>
      <c r="K19" s="24">
        <f t="shared" si="3"/>
        <v>1.1365103171042036E-2</v>
      </c>
      <c r="L19" s="23">
        <f t="shared" si="4"/>
        <v>-4.2309244723637649E-3</v>
      </c>
      <c r="M19" s="23">
        <f t="shared" si="5"/>
        <v>7.1341786986782712E-3</v>
      </c>
      <c r="O19"/>
    </row>
    <row r="20" spans="1:15" s="3" customFormat="1" ht="15" x14ac:dyDescent="0.25">
      <c r="A20" s="15" t="s">
        <v>169</v>
      </c>
      <c r="B20" s="25" t="s">
        <v>15</v>
      </c>
      <c r="C20" s="17" t="s">
        <v>93</v>
      </c>
      <c r="D20" s="18">
        <v>88759</v>
      </c>
      <c r="E20" s="47">
        <v>88692</v>
      </c>
      <c r="F20" s="49">
        <f>[1]Births_Est_CurrYear!$I20</f>
        <v>1516</v>
      </c>
      <c r="G20" s="19">
        <f>[2]Deaths_Est_CurrYr!H20</f>
        <v>1620</v>
      </c>
      <c r="H20" s="20">
        <f t="shared" si="0"/>
        <v>-104</v>
      </c>
      <c r="I20" s="21">
        <f t="shared" si="1"/>
        <v>37</v>
      </c>
      <c r="J20" s="21">
        <f t="shared" si="2"/>
        <v>-67</v>
      </c>
      <c r="K20" s="24">
        <f t="shared" si="3"/>
        <v>-1.1717121644002299E-3</v>
      </c>
      <c r="L20" s="23">
        <f t="shared" si="4"/>
        <v>4.1685913541162023E-4</v>
      </c>
      <c r="M20" s="23">
        <f t="shared" si="5"/>
        <v>-7.5485302898860957E-4</v>
      </c>
      <c r="O20"/>
    </row>
    <row r="21" spans="1:15" s="3" customFormat="1" ht="15" x14ac:dyDescent="0.25">
      <c r="A21" s="15" t="s">
        <v>170</v>
      </c>
      <c r="B21" s="25" t="s">
        <v>16</v>
      </c>
      <c r="C21" s="17" t="s">
        <v>94</v>
      </c>
      <c r="D21" s="18">
        <v>27785</v>
      </c>
      <c r="E21" s="47">
        <v>27867</v>
      </c>
      <c r="F21" s="49">
        <f>[1]Births_Est_CurrYear!$I21</f>
        <v>388</v>
      </c>
      <c r="G21" s="19">
        <f>[2]Deaths_Est_CurrYr!H21</f>
        <v>549</v>
      </c>
      <c r="H21" s="20">
        <f t="shared" si="0"/>
        <v>-161</v>
      </c>
      <c r="I21" s="21">
        <f t="shared" si="1"/>
        <v>243</v>
      </c>
      <c r="J21" s="21">
        <f t="shared" si="2"/>
        <v>82</v>
      </c>
      <c r="K21" s="24">
        <f t="shared" si="3"/>
        <v>-5.7944934317077559E-3</v>
      </c>
      <c r="L21" s="23">
        <f t="shared" si="4"/>
        <v>8.7457261112110843E-3</v>
      </c>
      <c r="M21" s="23">
        <f t="shared" si="5"/>
        <v>2.9512326795033293E-3</v>
      </c>
      <c r="O21"/>
    </row>
    <row r="22" spans="1:15" s="3" customFormat="1" ht="15" x14ac:dyDescent="0.25">
      <c r="A22" s="15" t="s">
        <v>171</v>
      </c>
      <c r="B22" s="25" t="s">
        <v>17</v>
      </c>
      <c r="C22" s="17" t="s">
        <v>95</v>
      </c>
      <c r="D22" s="18">
        <v>44159</v>
      </c>
      <c r="E22" s="47">
        <v>44191</v>
      </c>
      <c r="F22" s="49">
        <f>[1]Births_Est_CurrYear!$I22</f>
        <v>854</v>
      </c>
      <c r="G22" s="19">
        <f>[2]Deaths_Est_CurrYr!H22</f>
        <v>682</v>
      </c>
      <c r="H22" s="20">
        <f t="shared" si="0"/>
        <v>172</v>
      </c>
      <c r="I22" s="21">
        <f t="shared" si="1"/>
        <v>-140</v>
      </c>
      <c r="J22" s="21">
        <f t="shared" si="2"/>
        <v>32</v>
      </c>
      <c r="K22" s="24">
        <f t="shared" si="3"/>
        <v>3.8950157385810365E-3</v>
      </c>
      <c r="L22" s="23">
        <f t="shared" si="4"/>
        <v>-3.170361647682239E-3</v>
      </c>
      <c r="M22" s="23">
        <f t="shared" si="5"/>
        <v>7.2465409089879753E-4</v>
      </c>
      <c r="O22"/>
    </row>
    <row r="23" spans="1:15" s="3" customFormat="1" ht="15" x14ac:dyDescent="0.25">
      <c r="A23" s="15" t="s">
        <v>172</v>
      </c>
      <c r="B23" s="25" t="s">
        <v>18</v>
      </c>
      <c r="C23" s="17" t="s">
        <v>96</v>
      </c>
      <c r="D23" s="18">
        <v>43857</v>
      </c>
      <c r="E23" s="47">
        <v>43853</v>
      </c>
      <c r="F23" s="49">
        <f>[1]Births_Est_CurrYear!$I23</f>
        <v>822</v>
      </c>
      <c r="G23" s="19">
        <f>[2]Deaths_Est_CurrYr!H23</f>
        <v>522</v>
      </c>
      <c r="H23" s="20">
        <f t="shared" si="0"/>
        <v>300</v>
      </c>
      <c r="I23" s="21">
        <f t="shared" si="1"/>
        <v>-304</v>
      </c>
      <c r="J23" s="21">
        <f t="shared" si="2"/>
        <v>-4</v>
      </c>
      <c r="K23" s="24">
        <f t="shared" si="3"/>
        <v>6.8404131609549213E-3</v>
      </c>
      <c r="L23" s="23">
        <f t="shared" si="4"/>
        <v>-6.9316186697676542E-3</v>
      </c>
      <c r="M23" s="23">
        <f t="shared" si="5"/>
        <v>-9.1205508812732295E-5</v>
      </c>
      <c r="O23"/>
    </row>
    <row r="24" spans="1:15" s="3" customFormat="1" ht="15" x14ac:dyDescent="0.25">
      <c r="A24" s="15" t="s">
        <v>173</v>
      </c>
      <c r="B24" s="25" t="s">
        <v>19</v>
      </c>
      <c r="C24" s="17" t="s">
        <v>97</v>
      </c>
      <c r="D24" s="18">
        <v>98736</v>
      </c>
      <c r="E24" s="47">
        <v>99260</v>
      </c>
      <c r="F24" s="49">
        <f>[1]Births_Est_CurrYear!$I24</f>
        <v>1952</v>
      </c>
      <c r="G24" s="19">
        <f>[2]Deaths_Est_CurrYr!H24</f>
        <v>1225</v>
      </c>
      <c r="H24" s="20">
        <f t="shared" si="0"/>
        <v>727</v>
      </c>
      <c r="I24" s="21">
        <f t="shared" si="1"/>
        <v>-203</v>
      </c>
      <c r="J24" s="21">
        <f t="shared" si="2"/>
        <v>524</v>
      </c>
      <c r="K24" s="24">
        <f t="shared" si="3"/>
        <v>7.3630691946199971E-3</v>
      </c>
      <c r="L24" s="23">
        <f t="shared" si="4"/>
        <v>-2.0559876843299304E-3</v>
      </c>
      <c r="M24" s="23">
        <f t="shared" si="5"/>
        <v>5.3070815102900662E-3</v>
      </c>
      <c r="O24"/>
    </row>
    <row r="25" spans="1:15" s="3" customFormat="1" ht="15" x14ac:dyDescent="0.25">
      <c r="A25" s="15" t="s">
        <v>174</v>
      </c>
      <c r="B25" s="25" t="s">
        <v>20</v>
      </c>
      <c r="C25" s="17" t="s">
        <v>98</v>
      </c>
      <c r="D25" s="18">
        <v>4423</v>
      </c>
      <c r="E25" s="47">
        <v>4358</v>
      </c>
      <c r="F25" s="49">
        <f>[1]Births_Est_CurrYear!$I25</f>
        <v>52</v>
      </c>
      <c r="G25" s="19">
        <f>[2]Deaths_Est_CurrYr!H25</f>
        <v>117</v>
      </c>
      <c r="H25" s="20">
        <f t="shared" si="0"/>
        <v>-65</v>
      </c>
      <c r="I25" s="21">
        <f t="shared" si="1"/>
        <v>0</v>
      </c>
      <c r="J25" s="21">
        <f t="shared" si="2"/>
        <v>-65</v>
      </c>
      <c r="K25" s="24">
        <f t="shared" si="3"/>
        <v>-1.4695907754917477E-2</v>
      </c>
      <c r="L25" s="23">
        <f t="shared" si="4"/>
        <v>0</v>
      </c>
      <c r="M25" s="23">
        <f t="shared" si="5"/>
        <v>-1.4695907754917477E-2</v>
      </c>
      <c r="O25"/>
    </row>
    <row r="26" spans="1:15" s="3" customFormat="1" ht="15" x14ac:dyDescent="0.25">
      <c r="A26" s="15" t="s">
        <v>175</v>
      </c>
      <c r="B26" s="25" t="s">
        <v>21</v>
      </c>
      <c r="C26" s="17" t="s">
        <v>99</v>
      </c>
      <c r="D26" s="18">
        <v>101633</v>
      </c>
      <c r="E26" s="47">
        <v>101955</v>
      </c>
      <c r="F26" s="49">
        <f>[1]Births_Est_CurrYear!$I26</f>
        <v>1886</v>
      </c>
      <c r="G26" s="19">
        <f>[2]Deaths_Est_CurrYr!H26</f>
        <v>1550</v>
      </c>
      <c r="H26" s="20">
        <f t="shared" si="0"/>
        <v>336</v>
      </c>
      <c r="I26" s="21">
        <f t="shared" si="1"/>
        <v>-14</v>
      </c>
      <c r="J26" s="21">
        <f t="shared" si="2"/>
        <v>322</v>
      </c>
      <c r="K26" s="24">
        <f t="shared" si="3"/>
        <v>3.3060128107996419E-3</v>
      </c>
      <c r="L26" s="23">
        <f t="shared" si="4"/>
        <v>-1.3775053378331842E-4</v>
      </c>
      <c r="M26" s="23">
        <f t="shared" si="5"/>
        <v>3.1682622770163233E-3</v>
      </c>
      <c r="O26"/>
    </row>
    <row r="27" spans="1:15" s="3" customFormat="1" ht="15" x14ac:dyDescent="0.25">
      <c r="A27" s="15" t="s">
        <v>176</v>
      </c>
      <c r="B27" s="25" t="s">
        <v>22</v>
      </c>
      <c r="C27" s="17" t="s">
        <v>100</v>
      </c>
      <c r="D27" s="18">
        <v>9304</v>
      </c>
      <c r="E27" s="47">
        <v>9197</v>
      </c>
      <c r="F27" s="49">
        <f>[1]Births_Est_CurrYear!$I27</f>
        <v>205</v>
      </c>
      <c r="G27" s="19">
        <f>[2]Deaths_Est_CurrYr!H27</f>
        <v>183</v>
      </c>
      <c r="H27" s="20">
        <f t="shared" si="0"/>
        <v>22</v>
      </c>
      <c r="I27" s="21">
        <f t="shared" si="1"/>
        <v>-129</v>
      </c>
      <c r="J27" s="21">
        <f t="shared" si="2"/>
        <v>-107</v>
      </c>
      <c r="K27" s="24">
        <f t="shared" si="3"/>
        <v>2.3645743766122097E-3</v>
      </c>
      <c r="L27" s="23">
        <f t="shared" si="4"/>
        <v>-1.3865004299226139E-2</v>
      </c>
      <c r="M27" s="23">
        <f t="shared" si="5"/>
        <v>-1.1500429922613929E-2</v>
      </c>
      <c r="O27"/>
    </row>
    <row r="28" spans="1:15" s="3" customFormat="1" ht="15" x14ac:dyDescent="0.25">
      <c r="A28" s="15" t="s">
        <v>177</v>
      </c>
      <c r="B28" s="25" t="s">
        <v>23</v>
      </c>
      <c r="C28" s="17" t="s">
        <v>101</v>
      </c>
      <c r="D28" s="18">
        <v>51208</v>
      </c>
      <c r="E28" s="47">
        <v>51436</v>
      </c>
      <c r="F28" s="49">
        <f>[1]Births_Est_CurrYear!$I28</f>
        <v>950</v>
      </c>
      <c r="G28" s="19">
        <f>[2]Deaths_Est_CurrYr!H28</f>
        <v>887</v>
      </c>
      <c r="H28" s="20">
        <f t="shared" si="0"/>
        <v>63</v>
      </c>
      <c r="I28" s="21">
        <f t="shared" si="1"/>
        <v>165</v>
      </c>
      <c r="J28" s="21">
        <f t="shared" si="2"/>
        <v>228</v>
      </c>
      <c r="K28" s="24">
        <f t="shared" si="3"/>
        <v>1.2302765192938603E-3</v>
      </c>
      <c r="L28" s="23">
        <f t="shared" si="4"/>
        <v>3.222152788626777E-3</v>
      </c>
      <c r="M28" s="23">
        <f t="shared" si="5"/>
        <v>4.4524293079206377E-3</v>
      </c>
      <c r="O28"/>
    </row>
    <row r="29" spans="1:15" s="3" customFormat="1" ht="15" x14ac:dyDescent="0.25">
      <c r="A29" s="15" t="s">
        <v>178</v>
      </c>
      <c r="B29" s="25" t="s">
        <v>24</v>
      </c>
      <c r="C29" s="17" t="s">
        <v>102</v>
      </c>
      <c r="D29" s="18">
        <v>36842</v>
      </c>
      <c r="E29" s="47">
        <v>36863</v>
      </c>
      <c r="F29" s="49">
        <f>[1]Births_Est_CurrYear!$I29</f>
        <v>736</v>
      </c>
      <c r="G29" s="19">
        <f>[2]Deaths_Est_CurrYr!H29</f>
        <v>554</v>
      </c>
      <c r="H29" s="20">
        <f t="shared" si="0"/>
        <v>182</v>
      </c>
      <c r="I29" s="21">
        <f t="shared" si="1"/>
        <v>-161</v>
      </c>
      <c r="J29" s="21">
        <f t="shared" si="2"/>
        <v>21</v>
      </c>
      <c r="K29" s="24">
        <f t="shared" si="3"/>
        <v>4.9400141143260412E-3</v>
      </c>
      <c r="L29" s="23">
        <f t="shared" si="4"/>
        <v>-4.3700124857499589E-3</v>
      </c>
      <c r="M29" s="23">
        <f t="shared" si="5"/>
        <v>5.7000162857608169E-4</v>
      </c>
      <c r="O29"/>
    </row>
    <row r="30" spans="1:15" s="3" customFormat="1" ht="15" x14ac:dyDescent="0.25">
      <c r="A30" s="15" t="s">
        <v>179</v>
      </c>
      <c r="B30" s="25" t="s">
        <v>25</v>
      </c>
      <c r="C30" s="17" t="s">
        <v>103</v>
      </c>
      <c r="D30" s="18">
        <v>19051</v>
      </c>
      <c r="E30" s="47">
        <v>19106</v>
      </c>
      <c r="F30" s="49">
        <f>[1]Births_Est_CurrYear!$I30</f>
        <v>368</v>
      </c>
      <c r="G30" s="19">
        <f>[2]Deaths_Est_CurrYr!H30</f>
        <v>324</v>
      </c>
      <c r="H30" s="20">
        <f t="shared" si="0"/>
        <v>44</v>
      </c>
      <c r="I30" s="21">
        <f t="shared" si="1"/>
        <v>11</v>
      </c>
      <c r="J30" s="21">
        <f t="shared" si="2"/>
        <v>55</v>
      </c>
      <c r="K30" s="24">
        <f t="shared" si="3"/>
        <v>2.3095900477665215E-3</v>
      </c>
      <c r="L30" s="23">
        <f t="shared" si="4"/>
        <v>5.7739751194163037E-4</v>
      </c>
      <c r="M30" s="23">
        <f t="shared" si="5"/>
        <v>2.8869875597081519E-3</v>
      </c>
      <c r="O30"/>
    </row>
    <row r="31" spans="1:15" s="3" customFormat="1" ht="15" x14ac:dyDescent="0.25">
      <c r="A31" s="15" t="s">
        <v>180</v>
      </c>
      <c r="B31" s="25" t="s">
        <v>26</v>
      </c>
      <c r="C31" s="17" t="s">
        <v>104</v>
      </c>
      <c r="D31" s="18">
        <v>23687</v>
      </c>
      <c r="E31" s="47">
        <v>23726</v>
      </c>
      <c r="F31" s="49">
        <f>[1]Births_Est_CurrYear!$I31</f>
        <v>510</v>
      </c>
      <c r="G31" s="19">
        <f>[2]Deaths_Est_CurrYr!H31</f>
        <v>352</v>
      </c>
      <c r="H31" s="20">
        <f t="shared" si="0"/>
        <v>158</v>
      </c>
      <c r="I31" s="21">
        <f t="shared" si="1"/>
        <v>-119</v>
      </c>
      <c r="J31" s="21">
        <f t="shared" si="2"/>
        <v>39</v>
      </c>
      <c r="K31" s="24">
        <f t="shared" si="3"/>
        <v>6.6703254949972562E-3</v>
      </c>
      <c r="L31" s="23">
        <f t="shared" si="4"/>
        <v>-5.0238527462321105E-3</v>
      </c>
      <c r="M31" s="23">
        <f t="shared" si="5"/>
        <v>1.6464727487651455E-3</v>
      </c>
      <c r="O31"/>
    </row>
    <row r="32" spans="1:15" s="3" customFormat="1" ht="15" x14ac:dyDescent="0.25">
      <c r="A32" s="15" t="s">
        <v>181</v>
      </c>
      <c r="B32" s="25" t="s">
        <v>27</v>
      </c>
      <c r="C32" s="17" t="s">
        <v>105</v>
      </c>
      <c r="D32" s="18">
        <v>5916</v>
      </c>
      <c r="E32" s="47">
        <v>5843</v>
      </c>
      <c r="F32" s="49">
        <f>[1]Births_Est_CurrYear!$I32</f>
        <v>67</v>
      </c>
      <c r="G32" s="19">
        <f>[2]Deaths_Est_CurrYr!H32</f>
        <v>151</v>
      </c>
      <c r="H32" s="20">
        <f t="shared" si="0"/>
        <v>-84</v>
      </c>
      <c r="I32" s="21">
        <f t="shared" si="1"/>
        <v>11</v>
      </c>
      <c r="J32" s="21">
        <f t="shared" si="2"/>
        <v>-73</v>
      </c>
      <c r="K32" s="24">
        <f t="shared" si="3"/>
        <v>-1.4198782961460446E-2</v>
      </c>
      <c r="L32" s="23">
        <f t="shared" si="4"/>
        <v>1.8593644354293441E-3</v>
      </c>
      <c r="M32" s="23">
        <f t="shared" si="5"/>
        <v>-1.2339418526031102E-2</v>
      </c>
      <c r="O32"/>
    </row>
    <row r="33" spans="1:15" s="3" customFormat="1" ht="15" x14ac:dyDescent="0.25">
      <c r="A33" s="15" t="s">
        <v>182</v>
      </c>
      <c r="B33" s="25" t="s">
        <v>28</v>
      </c>
      <c r="C33" s="17" t="s">
        <v>106</v>
      </c>
      <c r="D33" s="18">
        <v>20449</v>
      </c>
      <c r="E33" s="47">
        <v>20523</v>
      </c>
      <c r="F33" s="49">
        <f>[1]Births_Est_CurrYear!$I33</f>
        <v>422</v>
      </c>
      <c r="G33" s="19">
        <f>[2]Deaths_Est_CurrYr!H33</f>
        <v>322</v>
      </c>
      <c r="H33" s="20">
        <f t="shared" si="0"/>
        <v>100</v>
      </c>
      <c r="I33" s="21">
        <f t="shared" si="1"/>
        <v>-26</v>
      </c>
      <c r="J33" s="21">
        <f t="shared" si="2"/>
        <v>74</v>
      </c>
      <c r="K33" s="24">
        <f t="shared" si="3"/>
        <v>4.8902146804244706E-3</v>
      </c>
      <c r="L33" s="23">
        <f t="shared" si="4"/>
        <v>-1.2714558169103624E-3</v>
      </c>
      <c r="M33" s="23">
        <f t="shared" si="5"/>
        <v>3.6187588635141084E-3</v>
      </c>
      <c r="O33"/>
    </row>
    <row r="34" spans="1:15" s="3" customFormat="1" ht="15" x14ac:dyDescent="0.25">
      <c r="A34" s="15" t="s">
        <v>183</v>
      </c>
      <c r="B34" s="25" t="s">
        <v>29</v>
      </c>
      <c r="C34" s="17" t="s">
        <v>107</v>
      </c>
      <c r="D34" s="18">
        <v>83686</v>
      </c>
      <c r="E34" s="47">
        <v>83857</v>
      </c>
      <c r="F34" s="49">
        <f>[1]Births_Est_CurrYear!$I34</f>
        <v>1625</v>
      </c>
      <c r="G34" s="19">
        <f>[2]Deaths_Est_CurrYr!H34</f>
        <v>1062</v>
      </c>
      <c r="H34" s="20">
        <f t="shared" si="0"/>
        <v>563</v>
      </c>
      <c r="I34" s="21">
        <f t="shared" si="1"/>
        <v>-392</v>
      </c>
      <c r="J34" s="21">
        <f t="shared" si="2"/>
        <v>171</v>
      </c>
      <c r="K34" s="24">
        <f t="shared" si="3"/>
        <v>6.7275290968620794E-3</v>
      </c>
      <c r="L34" s="23">
        <f t="shared" si="4"/>
        <v>-4.6841765647778599E-3</v>
      </c>
      <c r="M34" s="23">
        <f t="shared" si="5"/>
        <v>2.0433525320842196E-3</v>
      </c>
      <c r="O34"/>
    </row>
    <row r="35" spans="1:15" s="3" customFormat="1" ht="15" x14ac:dyDescent="0.25">
      <c r="A35" s="15" t="s">
        <v>184</v>
      </c>
      <c r="B35" s="25" t="s">
        <v>30</v>
      </c>
      <c r="C35" s="17" t="s">
        <v>108</v>
      </c>
      <c r="D35" s="18">
        <v>26664</v>
      </c>
      <c r="E35" s="47">
        <v>26878</v>
      </c>
      <c r="F35" s="49">
        <f>[1]Births_Est_CurrYear!$I35</f>
        <v>465</v>
      </c>
      <c r="G35" s="19">
        <f>[2]Deaths_Est_CurrYr!H35</f>
        <v>478</v>
      </c>
      <c r="H35" s="20">
        <f t="shared" si="0"/>
        <v>-13</v>
      </c>
      <c r="I35" s="21">
        <f t="shared" si="1"/>
        <v>227</v>
      </c>
      <c r="J35" s="21">
        <f t="shared" si="2"/>
        <v>214</v>
      </c>
      <c r="K35" s="24">
        <f t="shared" si="3"/>
        <v>-4.8754875487548756E-4</v>
      </c>
      <c r="L35" s="23">
        <f t="shared" si="4"/>
        <v>8.5133513351335136E-3</v>
      </c>
      <c r="M35" s="23">
        <f t="shared" si="5"/>
        <v>8.0258025802580259E-3</v>
      </c>
      <c r="O35"/>
    </row>
    <row r="36" spans="1:15" s="3" customFormat="1" ht="15" x14ac:dyDescent="0.25">
      <c r="A36" s="15" t="s">
        <v>185</v>
      </c>
      <c r="B36" s="25" t="s">
        <v>31</v>
      </c>
      <c r="C36" s="17" t="s">
        <v>109</v>
      </c>
      <c r="D36" s="18">
        <v>166426</v>
      </c>
      <c r="E36" s="47">
        <v>166823</v>
      </c>
      <c r="F36" s="49">
        <f>[1]Births_Est_CurrYear!$I36</f>
        <v>3594</v>
      </c>
      <c r="G36" s="19">
        <f>[2]Deaths_Est_CurrYr!H36</f>
        <v>2219</v>
      </c>
      <c r="H36" s="20">
        <f t="shared" si="0"/>
        <v>1375</v>
      </c>
      <c r="I36" s="21">
        <f t="shared" si="1"/>
        <v>-978</v>
      </c>
      <c r="J36" s="21">
        <f t="shared" si="2"/>
        <v>397</v>
      </c>
      <c r="K36" s="24">
        <f t="shared" si="3"/>
        <v>8.2619302272481463E-3</v>
      </c>
      <c r="L36" s="23">
        <f t="shared" si="4"/>
        <v>-5.8764856452717725E-3</v>
      </c>
      <c r="M36" s="23">
        <f t="shared" si="5"/>
        <v>2.3854445819763738E-3</v>
      </c>
      <c r="O36"/>
    </row>
    <row r="37" spans="1:15" s="3" customFormat="1" ht="15" x14ac:dyDescent="0.25">
      <c r="A37" s="15" t="s">
        <v>186</v>
      </c>
      <c r="B37" s="25" t="s">
        <v>32</v>
      </c>
      <c r="C37" s="17" t="s">
        <v>110</v>
      </c>
      <c r="D37" s="18">
        <v>20574</v>
      </c>
      <c r="E37" s="47">
        <v>20637</v>
      </c>
      <c r="F37" s="49">
        <f>[1]Births_Est_CurrYear!$I37</f>
        <v>366</v>
      </c>
      <c r="G37" s="19">
        <f>[2]Deaths_Est_CurrYr!H37</f>
        <v>256</v>
      </c>
      <c r="H37" s="20">
        <f t="shared" si="0"/>
        <v>110</v>
      </c>
      <c r="I37" s="21">
        <f t="shared" si="1"/>
        <v>-47</v>
      </c>
      <c r="J37" s="21">
        <f t="shared" si="2"/>
        <v>63</v>
      </c>
      <c r="K37" s="24">
        <f t="shared" si="3"/>
        <v>5.3465539029843492E-3</v>
      </c>
      <c r="L37" s="23">
        <f t="shared" si="4"/>
        <v>-2.2844366676387676E-3</v>
      </c>
      <c r="M37" s="23">
        <f t="shared" si="5"/>
        <v>3.0621172353455816E-3</v>
      </c>
      <c r="O37"/>
    </row>
    <row r="38" spans="1:15" s="3" customFormat="1" ht="15" x14ac:dyDescent="0.25">
      <c r="A38" s="15" t="s">
        <v>187</v>
      </c>
      <c r="B38" s="25" t="s">
        <v>33</v>
      </c>
      <c r="C38" s="17" t="s">
        <v>111</v>
      </c>
      <c r="D38" s="18">
        <v>114638</v>
      </c>
      <c r="E38" s="47">
        <v>115577</v>
      </c>
      <c r="F38" s="49">
        <f>[1]Births_Est_CurrYear!$I38</f>
        <v>2365</v>
      </c>
      <c r="G38" s="19">
        <f>[2]Deaths_Est_CurrYr!H38</f>
        <v>1620</v>
      </c>
      <c r="H38" s="20">
        <f t="shared" si="0"/>
        <v>745</v>
      </c>
      <c r="I38" s="21">
        <f t="shared" si="1"/>
        <v>194</v>
      </c>
      <c r="J38" s="21">
        <f t="shared" si="2"/>
        <v>939</v>
      </c>
      <c r="K38" s="24">
        <f t="shared" si="3"/>
        <v>6.4987177026814844E-3</v>
      </c>
      <c r="L38" s="23">
        <f t="shared" si="4"/>
        <v>1.692283536000279E-3</v>
      </c>
      <c r="M38" s="23">
        <f t="shared" si="5"/>
        <v>8.1910012386817634E-3</v>
      </c>
      <c r="O38"/>
    </row>
    <row r="39" spans="1:15" s="3" customFormat="1" ht="15" x14ac:dyDescent="0.25">
      <c r="A39" s="15" t="s">
        <v>188</v>
      </c>
      <c r="B39" s="25" t="s">
        <v>34</v>
      </c>
      <c r="C39" s="17" t="s">
        <v>112</v>
      </c>
      <c r="D39" s="18">
        <v>16836</v>
      </c>
      <c r="E39" s="47">
        <v>16897</v>
      </c>
      <c r="F39" s="49">
        <f>[1]Births_Est_CurrYear!$I39</f>
        <v>361</v>
      </c>
      <c r="G39" s="19">
        <f>[2]Deaths_Est_CurrYr!H39</f>
        <v>247</v>
      </c>
      <c r="H39" s="20">
        <f t="shared" ref="H39:H70" si="6">F39-G39</f>
        <v>114</v>
      </c>
      <c r="I39" s="21">
        <f t="shared" ref="I39:I70" si="7">J39-H39</f>
        <v>-53</v>
      </c>
      <c r="J39" s="21">
        <f t="shared" ref="J39:J70" si="8">E39-D39</f>
        <v>61</v>
      </c>
      <c r="K39" s="24">
        <f t="shared" ref="K39:K70" si="9">H39/D39</f>
        <v>6.7712045616535998E-3</v>
      </c>
      <c r="L39" s="23">
        <f t="shared" ref="L39:L70" si="10">I39/D39</f>
        <v>-3.1480161558564979E-3</v>
      </c>
      <c r="M39" s="23">
        <f t="shared" ref="M39:M70" si="11">J39/D39</f>
        <v>3.6231884057971015E-3</v>
      </c>
      <c r="O39"/>
    </row>
    <row r="40" spans="1:15" s="3" customFormat="1" ht="15" x14ac:dyDescent="0.25">
      <c r="A40" s="15" t="s">
        <v>189</v>
      </c>
      <c r="B40" s="25" t="s">
        <v>35</v>
      </c>
      <c r="C40" s="17" t="s">
        <v>113</v>
      </c>
      <c r="D40" s="18">
        <v>19977</v>
      </c>
      <c r="E40" s="47">
        <v>19880</v>
      </c>
      <c r="F40" s="49">
        <f>[1]Births_Est_CurrYear!$I40</f>
        <v>349</v>
      </c>
      <c r="G40" s="19">
        <f>[2]Deaths_Est_CurrYr!H40</f>
        <v>330</v>
      </c>
      <c r="H40" s="20">
        <f t="shared" si="6"/>
        <v>19</v>
      </c>
      <c r="I40" s="21">
        <f t="shared" si="7"/>
        <v>-116</v>
      </c>
      <c r="J40" s="21">
        <f t="shared" si="8"/>
        <v>-97</v>
      </c>
      <c r="K40" s="24">
        <f t="shared" si="9"/>
        <v>9.5109375782149476E-4</v>
      </c>
      <c r="L40" s="23">
        <f t="shared" si="10"/>
        <v>-5.8066776793312307E-3</v>
      </c>
      <c r="M40" s="23">
        <f t="shared" si="11"/>
        <v>-4.8555839215097358E-3</v>
      </c>
      <c r="O40"/>
    </row>
    <row r="41" spans="1:15" s="3" customFormat="1" ht="15" x14ac:dyDescent="0.25">
      <c r="A41" s="15" t="s">
        <v>190</v>
      </c>
      <c r="B41" s="25" t="s">
        <v>36</v>
      </c>
      <c r="C41" s="17" t="s">
        <v>114</v>
      </c>
      <c r="D41" s="18">
        <v>28743</v>
      </c>
      <c r="E41" s="47">
        <v>28856</v>
      </c>
      <c r="F41" s="49">
        <f>[1]Births_Est_CurrYear!$I41</f>
        <v>502</v>
      </c>
      <c r="G41" s="19">
        <f>[2]Deaths_Est_CurrYr!H41</f>
        <v>507</v>
      </c>
      <c r="H41" s="20">
        <f t="shared" si="6"/>
        <v>-5</v>
      </c>
      <c r="I41" s="21">
        <f t="shared" si="7"/>
        <v>118</v>
      </c>
      <c r="J41" s="21">
        <f t="shared" si="8"/>
        <v>113</v>
      </c>
      <c r="K41" s="24">
        <f t="shared" si="9"/>
        <v>-1.7395539783599486E-4</v>
      </c>
      <c r="L41" s="23">
        <f t="shared" si="10"/>
        <v>4.1053473889294785E-3</v>
      </c>
      <c r="M41" s="23">
        <f t="shared" si="11"/>
        <v>3.9313919910934835E-3</v>
      </c>
      <c r="O41"/>
    </row>
    <row r="42" spans="1:15" s="3" customFormat="1" ht="15" x14ac:dyDescent="0.25">
      <c r="A42" s="15" t="s">
        <v>191</v>
      </c>
      <c r="B42" s="25" t="s">
        <v>37</v>
      </c>
      <c r="C42" s="17" t="s">
        <v>115</v>
      </c>
      <c r="D42" s="18">
        <v>81442</v>
      </c>
      <c r="E42" s="47">
        <v>81437</v>
      </c>
      <c r="F42" s="49">
        <f>[1]Births_Est_CurrYear!$I42</f>
        <v>1391</v>
      </c>
      <c r="G42" s="19">
        <f>[2]Deaths_Est_CurrYr!H42</f>
        <v>1427</v>
      </c>
      <c r="H42" s="20">
        <f t="shared" si="6"/>
        <v>-36</v>
      </c>
      <c r="I42" s="21">
        <f t="shared" si="7"/>
        <v>31</v>
      </c>
      <c r="J42" s="21">
        <f t="shared" si="8"/>
        <v>-5</v>
      </c>
      <c r="K42" s="24">
        <f t="shared" si="9"/>
        <v>-4.4203236659217602E-4</v>
      </c>
      <c r="L42" s="23">
        <f t="shared" si="10"/>
        <v>3.8063898234326271E-4</v>
      </c>
      <c r="M42" s="23">
        <f t="shared" si="11"/>
        <v>-6.1393384248913341E-5</v>
      </c>
      <c r="O42"/>
    </row>
    <row r="43" spans="1:15" s="3" customFormat="1" ht="15" x14ac:dyDescent="0.25">
      <c r="A43" s="15" t="s">
        <v>192</v>
      </c>
      <c r="B43" s="25" t="s">
        <v>38</v>
      </c>
      <c r="C43" s="17" t="s">
        <v>116</v>
      </c>
      <c r="D43" s="18">
        <v>134063</v>
      </c>
      <c r="E43" s="47">
        <v>134524</v>
      </c>
      <c r="F43" s="49">
        <f>[1]Births_Est_CurrYear!$I43</f>
        <v>2897</v>
      </c>
      <c r="G43" s="19">
        <f>[2]Deaths_Est_CurrYr!H43</f>
        <v>1903</v>
      </c>
      <c r="H43" s="20">
        <f t="shared" si="6"/>
        <v>994</v>
      </c>
      <c r="I43" s="21">
        <f t="shared" si="7"/>
        <v>-533</v>
      </c>
      <c r="J43" s="21">
        <f t="shared" si="8"/>
        <v>461</v>
      </c>
      <c r="K43" s="24">
        <f t="shared" si="9"/>
        <v>7.4144245615867166E-3</v>
      </c>
      <c r="L43" s="23">
        <f t="shared" si="10"/>
        <v>-3.9757427478125957E-3</v>
      </c>
      <c r="M43" s="23">
        <f t="shared" si="11"/>
        <v>3.4386818137741213E-3</v>
      </c>
      <c r="O43"/>
    </row>
    <row r="44" spans="1:15" s="3" customFormat="1" ht="15" x14ac:dyDescent="0.25">
      <c r="A44" s="15" t="s">
        <v>193</v>
      </c>
      <c r="B44" s="25" t="s">
        <v>39</v>
      </c>
      <c r="C44" s="17" t="s">
        <v>117</v>
      </c>
      <c r="D44" s="18">
        <v>41749</v>
      </c>
      <c r="E44" s="47">
        <v>41718</v>
      </c>
      <c r="F44" s="49">
        <f>[1]Births_Est_CurrYear!$I44</f>
        <v>679</v>
      </c>
      <c r="G44" s="19">
        <f>[2]Deaths_Est_CurrYr!H44</f>
        <v>781</v>
      </c>
      <c r="H44" s="20">
        <f t="shared" si="6"/>
        <v>-102</v>
      </c>
      <c r="I44" s="21">
        <f t="shared" si="7"/>
        <v>71</v>
      </c>
      <c r="J44" s="21">
        <f t="shared" si="8"/>
        <v>-31</v>
      </c>
      <c r="K44" s="24">
        <f t="shared" si="9"/>
        <v>-2.4431722915518933E-3</v>
      </c>
      <c r="L44" s="23">
        <f t="shared" si="10"/>
        <v>1.7006395362763179E-3</v>
      </c>
      <c r="M44" s="23">
        <f t="shared" si="11"/>
        <v>-7.4253275527557544E-4</v>
      </c>
      <c r="O44"/>
    </row>
    <row r="45" spans="1:15" s="3" customFormat="1" ht="15" x14ac:dyDescent="0.25">
      <c r="A45" s="15" t="s">
        <v>194</v>
      </c>
      <c r="B45" s="25" t="s">
        <v>40</v>
      </c>
      <c r="C45" s="17" t="s">
        <v>118</v>
      </c>
      <c r="D45" s="18">
        <v>15404</v>
      </c>
      <c r="E45" s="47">
        <v>15394</v>
      </c>
      <c r="F45" s="49">
        <f>[1]Births_Est_CurrYear!$I45</f>
        <v>279</v>
      </c>
      <c r="G45" s="19">
        <f>[2]Deaths_Est_CurrYr!H45</f>
        <v>323</v>
      </c>
      <c r="H45" s="20">
        <f t="shared" si="6"/>
        <v>-44</v>
      </c>
      <c r="I45" s="21">
        <f t="shared" si="7"/>
        <v>34</v>
      </c>
      <c r="J45" s="21">
        <f t="shared" si="8"/>
        <v>-10</v>
      </c>
      <c r="K45" s="24">
        <f t="shared" si="9"/>
        <v>-2.856400934822124E-3</v>
      </c>
      <c r="L45" s="23">
        <f t="shared" si="10"/>
        <v>2.2072189041807324E-3</v>
      </c>
      <c r="M45" s="23">
        <f t="shared" si="11"/>
        <v>-6.4918203064139187E-4</v>
      </c>
      <c r="O45"/>
    </row>
    <row r="46" spans="1:15" s="3" customFormat="1" ht="15" x14ac:dyDescent="0.25">
      <c r="A46" s="15" t="s">
        <v>195</v>
      </c>
      <c r="B46" s="25" t="s">
        <v>41</v>
      </c>
      <c r="C46" s="17" t="s">
        <v>119</v>
      </c>
      <c r="D46" s="18">
        <v>4232</v>
      </c>
      <c r="E46" s="47">
        <v>4214</v>
      </c>
      <c r="F46" s="49">
        <f>[1]Births_Est_CurrYear!$I46</f>
        <v>181</v>
      </c>
      <c r="G46" s="19">
        <f>[2]Deaths_Est_CurrYr!H46</f>
        <v>63</v>
      </c>
      <c r="H46" s="20">
        <f t="shared" si="6"/>
        <v>118</v>
      </c>
      <c r="I46" s="21">
        <f t="shared" si="7"/>
        <v>-136</v>
      </c>
      <c r="J46" s="21">
        <f t="shared" si="8"/>
        <v>-18</v>
      </c>
      <c r="K46" s="24">
        <f t="shared" si="9"/>
        <v>2.7882797731568997E-2</v>
      </c>
      <c r="L46" s="23">
        <f t="shared" si="10"/>
        <v>-3.2136105860113423E-2</v>
      </c>
      <c r="M46" s="23">
        <f t="shared" si="11"/>
        <v>-4.2533081285444233E-3</v>
      </c>
      <c r="O46"/>
    </row>
    <row r="47" spans="1:15" s="3" customFormat="1" ht="15" x14ac:dyDescent="0.25">
      <c r="A47" s="15" t="s">
        <v>196</v>
      </c>
      <c r="B47" s="25" t="s">
        <v>42</v>
      </c>
      <c r="C47" s="17" t="s">
        <v>120</v>
      </c>
      <c r="D47" s="18">
        <v>947735</v>
      </c>
      <c r="E47" s="47">
        <v>948322</v>
      </c>
      <c r="F47" s="49">
        <f>[1]Births_Est_CurrYear!$I47</f>
        <v>25179</v>
      </c>
      <c r="G47" s="19">
        <f>[2]Deaths_Est_CurrYr!H47</f>
        <v>14241</v>
      </c>
      <c r="H47" s="20">
        <f t="shared" si="6"/>
        <v>10938</v>
      </c>
      <c r="I47" s="21">
        <f t="shared" si="7"/>
        <v>-10351</v>
      </c>
      <c r="J47" s="21">
        <f t="shared" si="8"/>
        <v>587</v>
      </c>
      <c r="K47" s="24">
        <f t="shared" si="9"/>
        <v>1.1541200863110468E-2</v>
      </c>
      <c r="L47" s="23">
        <f t="shared" si="10"/>
        <v>-1.0921829414340507E-2</v>
      </c>
      <c r="M47" s="23">
        <f t="shared" si="11"/>
        <v>6.1937144876996202E-4</v>
      </c>
      <c r="O47"/>
    </row>
    <row r="48" spans="1:15" s="3" customFormat="1" ht="15" x14ac:dyDescent="0.25">
      <c r="A48" s="15" t="s">
        <v>197</v>
      </c>
      <c r="B48" s="25" t="s">
        <v>43</v>
      </c>
      <c r="C48" s="17" t="s">
        <v>121</v>
      </c>
      <c r="D48" s="18">
        <v>44673</v>
      </c>
      <c r="E48" s="47">
        <v>45056</v>
      </c>
      <c r="F48" s="49">
        <f>[1]Births_Est_CurrYear!$I48</f>
        <v>1091</v>
      </c>
      <c r="G48" s="19">
        <f>[2]Deaths_Est_CurrYr!H48</f>
        <v>666</v>
      </c>
      <c r="H48" s="20">
        <f t="shared" si="6"/>
        <v>425</v>
      </c>
      <c r="I48" s="21">
        <f t="shared" si="7"/>
        <v>-42</v>
      </c>
      <c r="J48" s="21">
        <f t="shared" si="8"/>
        <v>383</v>
      </c>
      <c r="K48" s="24">
        <f t="shared" si="9"/>
        <v>9.5135764331923077E-3</v>
      </c>
      <c r="L48" s="23">
        <f t="shared" si="10"/>
        <v>-9.4016520045665168E-4</v>
      </c>
      <c r="M48" s="23">
        <f t="shared" si="11"/>
        <v>8.5734112327356567E-3</v>
      </c>
      <c r="O48"/>
    </row>
    <row r="49" spans="1:15" s="3" customFormat="1" ht="15" x14ac:dyDescent="0.25">
      <c r="A49" s="15" t="s">
        <v>198</v>
      </c>
      <c r="B49" s="25" t="s">
        <v>44</v>
      </c>
      <c r="C49" s="17" t="s">
        <v>122</v>
      </c>
      <c r="D49" s="18">
        <v>37660</v>
      </c>
      <c r="E49" s="47">
        <v>37829</v>
      </c>
      <c r="F49" s="49">
        <f>[1]Births_Est_CurrYear!$I49</f>
        <v>663</v>
      </c>
      <c r="G49" s="19">
        <f>[2]Deaths_Est_CurrYr!H49</f>
        <v>625</v>
      </c>
      <c r="H49" s="20">
        <f t="shared" si="6"/>
        <v>38</v>
      </c>
      <c r="I49" s="21">
        <f t="shared" si="7"/>
        <v>131</v>
      </c>
      <c r="J49" s="21">
        <f t="shared" si="8"/>
        <v>169</v>
      </c>
      <c r="K49" s="24">
        <f t="shared" si="9"/>
        <v>1.009028146574615E-3</v>
      </c>
      <c r="L49" s="23">
        <f t="shared" si="10"/>
        <v>3.4784917684545936E-3</v>
      </c>
      <c r="M49" s="23">
        <f t="shared" si="11"/>
        <v>4.4875199150292084E-3</v>
      </c>
      <c r="O49"/>
    </row>
    <row r="50" spans="1:15" s="3" customFormat="1" ht="15" x14ac:dyDescent="0.25">
      <c r="A50" s="15" t="s">
        <v>199</v>
      </c>
      <c r="B50" s="25" t="s">
        <v>45</v>
      </c>
      <c r="C50" s="17" t="s">
        <v>123</v>
      </c>
      <c r="D50" s="18">
        <v>35998</v>
      </c>
      <c r="E50" s="47">
        <v>36057</v>
      </c>
      <c r="F50" s="49">
        <f>[1]Births_Est_CurrYear!$I50</f>
        <v>538</v>
      </c>
      <c r="G50" s="19">
        <f>[2]Deaths_Est_CurrYr!H50</f>
        <v>772</v>
      </c>
      <c r="H50" s="20">
        <f t="shared" si="6"/>
        <v>-234</v>
      </c>
      <c r="I50" s="21">
        <f t="shared" si="7"/>
        <v>293</v>
      </c>
      <c r="J50" s="21">
        <f t="shared" si="8"/>
        <v>59</v>
      </c>
      <c r="K50" s="24">
        <f t="shared" si="9"/>
        <v>-6.5003611311739542E-3</v>
      </c>
      <c r="L50" s="23">
        <f t="shared" si="10"/>
        <v>8.1393410745041386E-3</v>
      </c>
      <c r="M50" s="23">
        <f t="shared" si="11"/>
        <v>1.6389799433301851E-3</v>
      </c>
      <c r="O50"/>
    </row>
    <row r="51" spans="1:15" s="3" customFormat="1" ht="15" x14ac:dyDescent="0.25">
      <c r="A51" s="15" t="s">
        <v>200</v>
      </c>
      <c r="B51" s="25" t="s">
        <v>46</v>
      </c>
      <c r="C51" s="17" t="s">
        <v>124</v>
      </c>
      <c r="D51" s="18">
        <v>176695</v>
      </c>
      <c r="E51" s="47">
        <v>178150</v>
      </c>
      <c r="F51" s="49">
        <f>[1]Births_Est_CurrYear!$I51</f>
        <v>3939</v>
      </c>
      <c r="G51" s="19">
        <f>[2]Deaths_Est_CurrYr!H51</f>
        <v>2127</v>
      </c>
      <c r="H51" s="20">
        <f t="shared" si="6"/>
        <v>1812</v>
      </c>
      <c r="I51" s="21">
        <f t="shared" si="7"/>
        <v>-357</v>
      </c>
      <c r="J51" s="21">
        <f t="shared" si="8"/>
        <v>1455</v>
      </c>
      <c r="K51" s="24">
        <f t="shared" si="9"/>
        <v>1.0254959110331361E-2</v>
      </c>
      <c r="L51" s="23">
        <f t="shared" si="10"/>
        <v>-2.0204306856447551E-3</v>
      </c>
      <c r="M51" s="23">
        <f t="shared" si="11"/>
        <v>8.2345284246866067E-3</v>
      </c>
      <c r="O51"/>
    </row>
    <row r="52" spans="1:15" s="3" customFormat="1" ht="15" x14ac:dyDescent="0.25">
      <c r="A52" s="15" t="s">
        <v>201</v>
      </c>
      <c r="B52" s="25" t="s">
        <v>47</v>
      </c>
      <c r="C52" s="17" t="s">
        <v>125</v>
      </c>
      <c r="D52" s="18">
        <v>86395</v>
      </c>
      <c r="E52" s="47">
        <v>86635</v>
      </c>
      <c r="F52" s="49">
        <f>[1]Births_Est_CurrYear!$I52</f>
        <v>1350</v>
      </c>
      <c r="G52" s="19">
        <f>[2]Deaths_Est_CurrYr!H52</f>
        <v>1327</v>
      </c>
      <c r="H52" s="20">
        <f t="shared" si="6"/>
        <v>23</v>
      </c>
      <c r="I52" s="21">
        <f t="shared" si="7"/>
        <v>217</v>
      </c>
      <c r="J52" s="21">
        <f t="shared" si="8"/>
        <v>240</v>
      </c>
      <c r="K52" s="24">
        <f t="shared" si="9"/>
        <v>2.662191099021934E-4</v>
      </c>
      <c r="L52" s="23">
        <f t="shared" si="10"/>
        <v>2.5117194282076507E-3</v>
      </c>
      <c r="M52" s="23">
        <f t="shared" si="11"/>
        <v>2.7779385381098442E-3</v>
      </c>
      <c r="O52"/>
    </row>
    <row r="53" spans="1:15" s="3" customFormat="1" ht="15" x14ac:dyDescent="0.25">
      <c r="A53" s="15" t="s">
        <v>202</v>
      </c>
      <c r="B53" s="25" t="s">
        <v>48</v>
      </c>
      <c r="C53" s="17" t="s">
        <v>126</v>
      </c>
      <c r="D53" s="18">
        <v>7469</v>
      </c>
      <c r="E53" s="47">
        <v>7465</v>
      </c>
      <c r="F53" s="49">
        <f>[1]Births_Est_CurrYear!$I53</f>
        <v>125</v>
      </c>
      <c r="G53" s="19">
        <f>[2]Deaths_Est_CurrYr!H53</f>
        <v>159</v>
      </c>
      <c r="H53" s="20">
        <f t="shared" si="6"/>
        <v>-34</v>
      </c>
      <c r="I53" s="21">
        <f t="shared" si="7"/>
        <v>30</v>
      </c>
      <c r="J53" s="21">
        <f t="shared" si="8"/>
        <v>-4</v>
      </c>
      <c r="K53" s="24">
        <f t="shared" si="9"/>
        <v>-4.5521488820457895E-3</v>
      </c>
      <c r="L53" s="23">
        <f t="shared" si="10"/>
        <v>4.0166019547462845E-3</v>
      </c>
      <c r="M53" s="23">
        <f t="shared" si="11"/>
        <v>-5.3554692729950457E-4</v>
      </c>
      <c r="O53"/>
    </row>
    <row r="54" spans="1:15" s="3" customFormat="1" ht="15" x14ac:dyDescent="0.25">
      <c r="A54" s="15" t="s">
        <v>203</v>
      </c>
      <c r="B54" s="25" t="s">
        <v>49</v>
      </c>
      <c r="C54" s="17" t="s">
        <v>127</v>
      </c>
      <c r="D54" s="18">
        <v>41019</v>
      </c>
      <c r="E54" s="47">
        <v>41108</v>
      </c>
      <c r="F54" s="49">
        <f>[1]Births_Est_CurrYear!$I54</f>
        <v>744</v>
      </c>
      <c r="G54" s="19">
        <f>[2]Deaths_Est_CurrYr!H54</f>
        <v>396</v>
      </c>
      <c r="H54" s="20">
        <f t="shared" si="6"/>
        <v>348</v>
      </c>
      <c r="I54" s="21">
        <f t="shared" si="7"/>
        <v>-259</v>
      </c>
      <c r="J54" s="21">
        <f t="shared" si="8"/>
        <v>89</v>
      </c>
      <c r="K54" s="24">
        <f t="shared" si="9"/>
        <v>8.4838733269948074E-3</v>
      </c>
      <c r="L54" s="23">
        <f t="shared" si="10"/>
        <v>-6.3141471025622269E-3</v>
      </c>
      <c r="M54" s="23">
        <f t="shared" si="11"/>
        <v>2.16972622443258E-3</v>
      </c>
      <c r="O54"/>
    </row>
    <row r="55" spans="1:15" s="3" customFormat="1" ht="15" x14ac:dyDescent="0.25">
      <c r="A55" s="15" t="s">
        <v>204</v>
      </c>
      <c r="B55" s="25" t="s">
        <v>50</v>
      </c>
      <c r="C55" s="17" t="s">
        <v>128</v>
      </c>
      <c r="D55" s="18">
        <v>44205</v>
      </c>
      <c r="E55" s="47">
        <v>44241</v>
      </c>
      <c r="F55" s="49">
        <f>[1]Births_Est_CurrYear!$I55</f>
        <v>810</v>
      </c>
      <c r="G55" s="19">
        <f>[2]Deaths_Est_CurrYr!H55</f>
        <v>673</v>
      </c>
      <c r="H55" s="20">
        <f t="shared" si="6"/>
        <v>137</v>
      </c>
      <c r="I55" s="21">
        <f t="shared" si="7"/>
        <v>-101</v>
      </c>
      <c r="J55" s="21">
        <f t="shared" si="8"/>
        <v>36</v>
      </c>
      <c r="K55" s="24">
        <f t="shared" si="9"/>
        <v>3.0991969234249518E-3</v>
      </c>
      <c r="L55" s="23">
        <f t="shared" si="10"/>
        <v>-2.2848094107001471E-3</v>
      </c>
      <c r="M55" s="23">
        <f t="shared" si="11"/>
        <v>8.1438751272480485E-4</v>
      </c>
      <c r="O55"/>
    </row>
    <row r="56" spans="1:15" s="3" customFormat="1" ht="15" x14ac:dyDescent="0.25">
      <c r="A56" s="15" t="s">
        <v>205</v>
      </c>
      <c r="B56" s="25" t="s">
        <v>51</v>
      </c>
      <c r="C56" s="17" t="s">
        <v>129</v>
      </c>
      <c r="D56" s="18">
        <v>70019</v>
      </c>
      <c r="E56" s="47">
        <v>70806</v>
      </c>
      <c r="F56" s="49">
        <f>[1]Births_Est_CurrYear!$I56</f>
        <v>1336</v>
      </c>
      <c r="G56" s="19">
        <f>[2]Deaths_Est_CurrYr!H56</f>
        <v>837</v>
      </c>
      <c r="H56" s="20">
        <f t="shared" si="6"/>
        <v>499</v>
      </c>
      <c r="I56" s="21">
        <f t="shared" si="7"/>
        <v>288</v>
      </c>
      <c r="J56" s="21">
        <f t="shared" si="8"/>
        <v>787</v>
      </c>
      <c r="K56" s="24">
        <f t="shared" si="9"/>
        <v>7.1266370556563215E-3</v>
      </c>
      <c r="L56" s="23">
        <f t="shared" si="10"/>
        <v>4.1131692826232883E-3</v>
      </c>
      <c r="M56" s="23">
        <f t="shared" si="11"/>
        <v>1.1239806338279611E-2</v>
      </c>
      <c r="O56"/>
    </row>
    <row r="57" spans="1:15" s="3" customFormat="1" ht="15" x14ac:dyDescent="0.25">
      <c r="A57" s="15" t="s">
        <v>206</v>
      </c>
      <c r="B57" s="25" t="s">
        <v>52</v>
      </c>
      <c r="C57" s="17" t="s">
        <v>130</v>
      </c>
      <c r="D57" s="18">
        <v>14159</v>
      </c>
      <c r="E57" s="47">
        <v>14055</v>
      </c>
      <c r="F57" s="49">
        <f>[1]Births_Est_CurrYear!$I57</f>
        <v>202</v>
      </c>
      <c r="G57" s="19">
        <f>[2]Deaths_Est_CurrYr!H57</f>
        <v>267</v>
      </c>
      <c r="H57" s="20">
        <f t="shared" si="6"/>
        <v>-65</v>
      </c>
      <c r="I57" s="21">
        <f t="shared" si="7"/>
        <v>-39</v>
      </c>
      <c r="J57" s="21">
        <f t="shared" si="8"/>
        <v>-104</v>
      </c>
      <c r="K57" s="24">
        <f t="shared" si="9"/>
        <v>-4.5907196835934744E-3</v>
      </c>
      <c r="L57" s="23">
        <f t="shared" si="10"/>
        <v>-2.7544318101560845E-3</v>
      </c>
      <c r="M57" s="23">
        <f t="shared" si="11"/>
        <v>-7.3451514937495589E-3</v>
      </c>
      <c r="O57"/>
    </row>
    <row r="58" spans="1:15" s="3" customFormat="1" ht="15" x14ac:dyDescent="0.25">
      <c r="A58" s="15" t="s">
        <v>207</v>
      </c>
      <c r="B58" s="25" t="s">
        <v>53</v>
      </c>
      <c r="C58" s="17" t="s">
        <v>131</v>
      </c>
      <c r="D58" s="18">
        <v>195408</v>
      </c>
      <c r="E58" s="47">
        <v>195386</v>
      </c>
      <c r="F58" s="49">
        <f>[1]Births_Est_CurrYear!$I58</f>
        <v>4349</v>
      </c>
      <c r="G58" s="19">
        <f>[2]Deaths_Est_CurrYr!H58</f>
        <v>2831</v>
      </c>
      <c r="H58" s="20">
        <f t="shared" si="6"/>
        <v>1518</v>
      </c>
      <c r="I58" s="21">
        <f t="shared" si="7"/>
        <v>-1540</v>
      </c>
      <c r="J58" s="21">
        <f t="shared" si="8"/>
        <v>-22</v>
      </c>
      <c r="K58" s="24">
        <f t="shared" si="9"/>
        <v>7.7683615819209044E-3</v>
      </c>
      <c r="L58" s="23">
        <f t="shared" si="10"/>
        <v>-7.8809465323835259E-3</v>
      </c>
      <c r="M58" s="23">
        <f t="shared" si="11"/>
        <v>-1.1258495046262179E-4</v>
      </c>
      <c r="O58"/>
    </row>
    <row r="59" spans="1:15" s="3" customFormat="1" ht="15" x14ac:dyDescent="0.25">
      <c r="A59" s="15" t="s">
        <v>208</v>
      </c>
      <c r="B59" s="25" t="s">
        <v>54</v>
      </c>
      <c r="C59" s="17" t="s">
        <v>132</v>
      </c>
      <c r="D59" s="18">
        <v>18021</v>
      </c>
      <c r="E59" s="47">
        <v>18043</v>
      </c>
      <c r="F59" s="49">
        <f>[1]Births_Est_CurrYear!$I59</f>
        <v>344</v>
      </c>
      <c r="G59" s="19">
        <f>[2]Deaths_Est_CurrYr!H59</f>
        <v>270</v>
      </c>
      <c r="H59" s="20">
        <f t="shared" si="6"/>
        <v>74</v>
      </c>
      <c r="I59" s="21">
        <f t="shared" si="7"/>
        <v>-52</v>
      </c>
      <c r="J59" s="21">
        <f t="shared" si="8"/>
        <v>22</v>
      </c>
      <c r="K59" s="24">
        <f t="shared" si="9"/>
        <v>4.1063204039731424E-3</v>
      </c>
      <c r="L59" s="23">
        <f t="shared" si="10"/>
        <v>-2.8855224460351812E-3</v>
      </c>
      <c r="M59" s="23">
        <f t="shared" si="11"/>
        <v>1.2207979579379612E-3</v>
      </c>
      <c r="O59"/>
    </row>
    <row r="60" spans="1:15" s="3" customFormat="1" ht="15" x14ac:dyDescent="0.25">
      <c r="A60" s="15" t="s">
        <v>209</v>
      </c>
      <c r="B60" s="25" t="s">
        <v>55</v>
      </c>
      <c r="C60" s="17" t="s">
        <v>133</v>
      </c>
      <c r="D60" s="18">
        <v>160331</v>
      </c>
      <c r="E60" s="47">
        <v>160129</v>
      </c>
      <c r="F60" s="49">
        <f>[1]Births_Est_CurrYear!$I60</f>
        <v>3467</v>
      </c>
      <c r="G60" s="19">
        <f>[2]Deaths_Est_CurrYr!H60</f>
        <v>2420</v>
      </c>
      <c r="H60" s="20">
        <f t="shared" si="6"/>
        <v>1047</v>
      </c>
      <c r="I60" s="21">
        <f t="shared" si="7"/>
        <v>-1249</v>
      </c>
      <c r="J60" s="21">
        <f t="shared" si="8"/>
        <v>-202</v>
      </c>
      <c r="K60" s="24">
        <f t="shared" si="9"/>
        <v>6.530240564831505E-3</v>
      </c>
      <c r="L60" s="23">
        <f t="shared" si="10"/>
        <v>-7.7901341599565894E-3</v>
      </c>
      <c r="M60" s="23">
        <f t="shared" si="11"/>
        <v>-1.2598935951250851E-3</v>
      </c>
      <c r="O60"/>
    </row>
    <row r="61" spans="1:15" s="3" customFormat="1" ht="15" x14ac:dyDescent="0.25">
      <c r="A61" s="15" t="s">
        <v>210</v>
      </c>
      <c r="B61" s="25" t="s">
        <v>56</v>
      </c>
      <c r="C61" s="17" t="s">
        <v>134</v>
      </c>
      <c r="D61" s="18">
        <v>14755</v>
      </c>
      <c r="E61" s="47">
        <v>14756</v>
      </c>
      <c r="F61" s="49">
        <f>[1]Births_Est_CurrYear!$I61</f>
        <v>249</v>
      </c>
      <c r="G61" s="19">
        <f>[2]Deaths_Est_CurrYr!H61</f>
        <v>302</v>
      </c>
      <c r="H61" s="20">
        <f t="shared" si="6"/>
        <v>-53</v>
      </c>
      <c r="I61" s="21">
        <f t="shared" si="7"/>
        <v>54</v>
      </c>
      <c r="J61" s="21">
        <f t="shared" si="8"/>
        <v>1</v>
      </c>
      <c r="K61" s="24">
        <f t="shared" si="9"/>
        <v>-3.5920027109454422E-3</v>
      </c>
      <c r="L61" s="23">
        <f t="shared" si="10"/>
        <v>3.6597763470010165E-3</v>
      </c>
      <c r="M61" s="23">
        <f t="shared" si="11"/>
        <v>6.7773636055574383E-5</v>
      </c>
      <c r="O61"/>
    </row>
    <row r="62" spans="1:15" s="3" customFormat="1" ht="15" x14ac:dyDescent="0.25">
      <c r="A62" s="15" t="s">
        <v>211</v>
      </c>
      <c r="B62" s="25" t="s">
        <v>57</v>
      </c>
      <c r="C62" s="17" t="s">
        <v>228</v>
      </c>
      <c r="D62" s="18">
        <v>84345</v>
      </c>
      <c r="E62" s="47">
        <v>84856</v>
      </c>
      <c r="F62" s="49">
        <f>[1]Births_Est_CurrYear!$I62</f>
        <v>1972</v>
      </c>
      <c r="G62" s="19">
        <f>[2]Deaths_Est_CurrYr!H62</f>
        <v>985</v>
      </c>
      <c r="H62" s="20">
        <f t="shared" si="6"/>
        <v>987</v>
      </c>
      <c r="I62" s="21">
        <f t="shared" si="7"/>
        <v>-476</v>
      </c>
      <c r="J62" s="21">
        <f t="shared" si="8"/>
        <v>511</v>
      </c>
      <c r="K62" s="24">
        <f t="shared" si="9"/>
        <v>1.1701938467010493E-2</v>
      </c>
      <c r="L62" s="23">
        <f t="shared" si="10"/>
        <v>-5.6434880550121523E-3</v>
      </c>
      <c r="M62" s="23">
        <f t="shared" si="11"/>
        <v>6.0584504119983399E-3</v>
      </c>
      <c r="O62"/>
    </row>
    <row r="63" spans="1:15" s="3" customFormat="1" ht="15" x14ac:dyDescent="0.25">
      <c r="A63" s="15" t="s">
        <v>212</v>
      </c>
      <c r="B63" s="25" t="s">
        <v>58</v>
      </c>
      <c r="C63" s="17" t="s">
        <v>135</v>
      </c>
      <c r="D63" s="18">
        <v>61976</v>
      </c>
      <c r="E63" s="47">
        <v>61994</v>
      </c>
      <c r="F63" s="49">
        <f>[1]Births_Est_CurrYear!$I63</f>
        <v>1373</v>
      </c>
      <c r="G63" s="19">
        <f>[2]Deaths_Est_CurrYr!H63</f>
        <v>1015</v>
      </c>
      <c r="H63" s="20">
        <f t="shared" si="6"/>
        <v>358</v>
      </c>
      <c r="I63" s="21">
        <f t="shared" si="7"/>
        <v>-340</v>
      </c>
      <c r="J63" s="21">
        <f t="shared" si="8"/>
        <v>18</v>
      </c>
      <c r="K63" s="24">
        <f t="shared" si="9"/>
        <v>5.7764295856460564E-3</v>
      </c>
      <c r="L63" s="23">
        <f t="shared" si="10"/>
        <v>-5.4859945785465337E-3</v>
      </c>
      <c r="M63" s="23">
        <f t="shared" si="11"/>
        <v>2.9043500709952238E-4</v>
      </c>
      <c r="O63"/>
    </row>
    <row r="64" spans="1:15" s="3" customFormat="1" ht="15" x14ac:dyDescent="0.25">
      <c r="A64" s="15" t="s">
        <v>213</v>
      </c>
      <c r="B64" s="25" t="s">
        <v>59</v>
      </c>
      <c r="C64" s="17" t="s">
        <v>136</v>
      </c>
      <c r="D64" s="18">
        <v>16557</v>
      </c>
      <c r="E64" s="47">
        <v>16659</v>
      </c>
      <c r="F64" s="49">
        <f>[1]Births_Est_CurrYear!$I64</f>
        <v>297</v>
      </c>
      <c r="G64" s="19">
        <f>[2]Deaths_Est_CurrYr!H64</f>
        <v>292</v>
      </c>
      <c r="H64" s="20">
        <f t="shared" si="6"/>
        <v>5</v>
      </c>
      <c r="I64" s="21">
        <f t="shared" si="7"/>
        <v>97</v>
      </c>
      <c r="J64" s="21">
        <f t="shared" si="8"/>
        <v>102</v>
      </c>
      <c r="K64" s="24">
        <f t="shared" si="9"/>
        <v>3.0198707495319202E-4</v>
      </c>
      <c r="L64" s="23">
        <f t="shared" si="10"/>
        <v>5.8585492540919248E-3</v>
      </c>
      <c r="M64" s="23">
        <f t="shared" si="11"/>
        <v>6.160536329045117E-3</v>
      </c>
      <c r="O64"/>
    </row>
    <row r="65" spans="1:15" s="3" customFormat="1" ht="15" x14ac:dyDescent="0.25">
      <c r="A65" s="15" t="s">
        <v>214</v>
      </c>
      <c r="B65" s="25" t="s">
        <v>60</v>
      </c>
      <c r="C65" s="17" t="s">
        <v>137</v>
      </c>
      <c r="D65" s="18">
        <v>41949</v>
      </c>
      <c r="E65" s="47">
        <v>41919</v>
      </c>
      <c r="F65" s="49">
        <f>[1]Births_Est_CurrYear!$I65</f>
        <v>776</v>
      </c>
      <c r="G65" s="19">
        <f>[2]Deaths_Est_CurrYr!H65</f>
        <v>762</v>
      </c>
      <c r="H65" s="20">
        <f t="shared" si="6"/>
        <v>14</v>
      </c>
      <c r="I65" s="21">
        <f t="shared" si="7"/>
        <v>-44</v>
      </c>
      <c r="J65" s="21">
        <f t="shared" si="8"/>
        <v>-30</v>
      </c>
      <c r="K65" s="24">
        <f t="shared" si="9"/>
        <v>3.3373858733223676E-4</v>
      </c>
      <c r="L65" s="23">
        <f t="shared" si="10"/>
        <v>-1.0488927030441726E-3</v>
      </c>
      <c r="M65" s="23">
        <f t="shared" si="11"/>
        <v>-7.1515411571193587E-4</v>
      </c>
      <c r="O65"/>
    </row>
    <row r="66" spans="1:15" s="3" customFormat="1" ht="15" x14ac:dyDescent="0.25">
      <c r="A66" s="15" t="s">
        <v>215</v>
      </c>
      <c r="B66" s="25" t="s">
        <v>61</v>
      </c>
      <c r="C66" s="17" t="s">
        <v>138</v>
      </c>
      <c r="D66" s="18">
        <v>115507</v>
      </c>
      <c r="E66" s="47">
        <v>115549</v>
      </c>
      <c r="F66" s="49">
        <f>[1]Births_Est_CurrYear!$I66</f>
        <v>2313</v>
      </c>
      <c r="G66" s="19">
        <f>[2]Deaths_Est_CurrYr!H66</f>
        <v>1750</v>
      </c>
      <c r="H66" s="20">
        <f t="shared" si="6"/>
        <v>563</v>
      </c>
      <c r="I66" s="21">
        <f t="shared" si="7"/>
        <v>-521</v>
      </c>
      <c r="J66" s="21">
        <f t="shared" si="8"/>
        <v>42</v>
      </c>
      <c r="K66" s="24">
        <f t="shared" si="9"/>
        <v>4.8741634706121707E-3</v>
      </c>
      <c r="L66" s="23">
        <f t="shared" si="10"/>
        <v>-4.51054914420771E-3</v>
      </c>
      <c r="M66" s="23">
        <f t="shared" si="11"/>
        <v>3.6361432640446032E-4</v>
      </c>
      <c r="O66"/>
    </row>
    <row r="67" spans="1:15" s="3" customFormat="1" ht="15" x14ac:dyDescent="0.25">
      <c r="A67" s="15" t="s">
        <v>216</v>
      </c>
      <c r="B67" s="25" t="s">
        <v>62</v>
      </c>
      <c r="C67" s="17" t="s">
        <v>139</v>
      </c>
      <c r="D67" s="18">
        <v>20689</v>
      </c>
      <c r="E67" s="47">
        <v>20697</v>
      </c>
      <c r="F67" s="49">
        <f>[1]Births_Est_CurrYear!$I67</f>
        <v>418</v>
      </c>
      <c r="G67" s="19">
        <f>[2]Deaths_Est_CurrYr!H67</f>
        <v>347</v>
      </c>
      <c r="H67" s="20">
        <f t="shared" si="6"/>
        <v>71</v>
      </c>
      <c r="I67" s="21">
        <f t="shared" si="7"/>
        <v>-63</v>
      </c>
      <c r="J67" s="21">
        <f t="shared" si="8"/>
        <v>8</v>
      </c>
      <c r="K67" s="24">
        <f t="shared" si="9"/>
        <v>3.4317753395524194E-3</v>
      </c>
      <c r="L67" s="23">
        <f t="shared" si="10"/>
        <v>-3.045096428053555E-3</v>
      </c>
      <c r="M67" s="23">
        <f t="shared" si="11"/>
        <v>3.8667891149886413E-4</v>
      </c>
      <c r="O67"/>
    </row>
    <row r="68" spans="1:15" s="3" customFormat="1" ht="15" x14ac:dyDescent="0.25">
      <c r="A68" s="15" t="s">
        <v>217</v>
      </c>
      <c r="B68" s="25" t="s">
        <v>63</v>
      </c>
      <c r="C68" s="17" t="s">
        <v>140</v>
      </c>
      <c r="D68" s="18">
        <v>28816</v>
      </c>
      <c r="E68" s="47">
        <v>28986</v>
      </c>
      <c r="F68" s="49">
        <f>[1]Births_Est_CurrYear!$I68</f>
        <v>657</v>
      </c>
      <c r="G68" s="19">
        <f>[2]Deaths_Est_CurrYr!H68</f>
        <v>445</v>
      </c>
      <c r="H68" s="20">
        <f t="shared" si="6"/>
        <v>212</v>
      </c>
      <c r="I68" s="21">
        <f t="shared" si="7"/>
        <v>-42</v>
      </c>
      <c r="J68" s="21">
        <f t="shared" si="8"/>
        <v>170</v>
      </c>
      <c r="K68" s="24">
        <f t="shared" si="9"/>
        <v>7.3570238756246534E-3</v>
      </c>
      <c r="L68" s="23">
        <f t="shared" si="10"/>
        <v>-1.4575235980011105E-3</v>
      </c>
      <c r="M68" s="23">
        <f t="shared" si="11"/>
        <v>5.8995002776235424E-3</v>
      </c>
      <c r="O68"/>
    </row>
    <row r="69" spans="1:15" s="3" customFormat="1" ht="15" x14ac:dyDescent="0.25">
      <c r="A69" s="15" t="s">
        <v>218</v>
      </c>
      <c r="B69" s="25" t="s">
        <v>64</v>
      </c>
      <c r="C69" s="17" t="s">
        <v>141</v>
      </c>
      <c r="D69" s="18">
        <v>29773</v>
      </c>
      <c r="E69" s="47">
        <v>29865</v>
      </c>
      <c r="F69" s="49">
        <f>[1]Births_Est_CurrYear!$I69</f>
        <v>705</v>
      </c>
      <c r="G69" s="19">
        <f>[2]Deaths_Est_CurrYr!H69</f>
        <v>465</v>
      </c>
      <c r="H69" s="20">
        <f t="shared" si="6"/>
        <v>240</v>
      </c>
      <c r="I69" s="21">
        <f t="shared" si="7"/>
        <v>-148</v>
      </c>
      <c r="J69" s="21">
        <f t="shared" si="8"/>
        <v>92</v>
      </c>
      <c r="K69" s="24">
        <f t="shared" si="9"/>
        <v>8.0609948611157761E-3</v>
      </c>
      <c r="L69" s="23">
        <f t="shared" si="10"/>
        <v>-4.9709468310213953E-3</v>
      </c>
      <c r="M69" s="23">
        <f t="shared" si="11"/>
        <v>3.0900480300943807E-3</v>
      </c>
      <c r="O69"/>
    </row>
    <row r="70" spans="1:15" s="3" customFormat="1" ht="15" x14ac:dyDescent="0.25">
      <c r="A70" s="15" t="s">
        <v>219</v>
      </c>
      <c r="B70" s="25" t="s">
        <v>65</v>
      </c>
      <c r="C70" s="17" t="s">
        <v>142</v>
      </c>
      <c r="D70" s="18">
        <v>21430</v>
      </c>
      <c r="E70" s="47">
        <v>21485</v>
      </c>
      <c r="F70" s="49">
        <f>[1]Births_Est_CurrYear!$I70</f>
        <v>340</v>
      </c>
      <c r="G70" s="19">
        <f>[2]Deaths_Est_CurrYr!H70</f>
        <v>405</v>
      </c>
      <c r="H70" s="20">
        <f t="shared" si="6"/>
        <v>-65</v>
      </c>
      <c r="I70" s="21">
        <f t="shared" si="7"/>
        <v>120</v>
      </c>
      <c r="J70" s="21">
        <f t="shared" si="8"/>
        <v>55</v>
      </c>
      <c r="K70" s="24">
        <f t="shared" si="9"/>
        <v>-3.0331311245916938E-3</v>
      </c>
      <c r="L70" s="23">
        <f t="shared" si="10"/>
        <v>5.5996266915538965E-3</v>
      </c>
      <c r="M70" s="23">
        <f t="shared" si="11"/>
        <v>2.5664955669622027E-3</v>
      </c>
      <c r="O70"/>
    </row>
    <row r="71" spans="1:15" s="3" customFormat="1" ht="15" x14ac:dyDescent="0.25">
      <c r="A71" s="15" t="s">
        <v>220</v>
      </c>
      <c r="B71" s="25" t="s">
        <v>66</v>
      </c>
      <c r="C71" s="17" t="s">
        <v>143</v>
      </c>
      <c r="D71" s="18">
        <v>102228</v>
      </c>
      <c r="E71" s="47">
        <v>102530</v>
      </c>
      <c r="F71" s="49">
        <f>[1]Births_Est_CurrYear!$I71</f>
        <v>1889</v>
      </c>
      <c r="G71" s="19">
        <f>[2]Deaths_Est_CurrYr!H71</f>
        <v>1497</v>
      </c>
      <c r="H71" s="20">
        <f t="shared" ref="H71:H78" si="12">F71-G71</f>
        <v>392</v>
      </c>
      <c r="I71" s="21">
        <f t="shared" ref="I71:I78" si="13">J71-H71</f>
        <v>-90</v>
      </c>
      <c r="J71" s="21">
        <f t="shared" ref="J71:J78" si="14">E71-D71</f>
        <v>302</v>
      </c>
      <c r="K71" s="24">
        <f t="shared" ref="K71:K78" si="15">H71/D71</f>
        <v>3.8345658723637358E-3</v>
      </c>
      <c r="L71" s="23">
        <f t="shared" ref="L71:L78" si="16">I71/D71</f>
        <v>-8.8038502171616383E-4</v>
      </c>
      <c r="M71" s="23">
        <f t="shared" ref="M71:M78" si="17">J71/D71</f>
        <v>2.9541808506475722E-3</v>
      </c>
      <c r="O71"/>
    </row>
    <row r="72" spans="1:15" s="3" customFormat="1" ht="15" x14ac:dyDescent="0.25">
      <c r="A72" s="15" t="s">
        <v>221</v>
      </c>
      <c r="B72" s="25" t="s">
        <v>67</v>
      </c>
      <c r="C72" s="17" t="s">
        <v>144</v>
      </c>
      <c r="D72" s="18">
        <v>15911</v>
      </c>
      <c r="E72" s="47">
        <v>15907</v>
      </c>
      <c r="F72" s="49">
        <f>[1]Births_Est_CurrYear!$I72</f>
        <v>267</v>
      </c>
      <c r="G72" s="19">
        <f>[2]Deaths_Est_CurrYr!H72</f>
        <v>355</v>
      </c>
      <c r="H72" s="20">
        <f t="shared" si="12"/>
        <v>-88</v>
      </c>
      <c r="I72" s="21">
        <f t="shared" si="13"/>
        <v>84</v>
      </c>
      <c r="J72" s="21">
        <f t="shared" si="14"/>
        <v>-4</v>
      </c>
      <c r="K72" s="24">
        <f t="shared" si="15"/>
        <v>-5.5307648796430143E-3</v>
      </c>
      <c r="L72" s="23">
        <f t="shared" si="16"/>
        <v>5.2793664760228771E-3</v>
      </c>
      <c r="M72" s="23">
        <f t="shared" si="17"/>
        <v>-2.51398403620137E-4</v>
      </c>
      <c r="O72"/>
    </row>
    <row r="73" spans="1:15" s="3" customFormat="1" ht="15" x14ac:dyDescent="0.25">
      <c r="A73" s="15" t="s">
        <v>222</v>
      </c>
      <c r="B73" s="25" t="s">
        <v>68</v>
      </c>
      <c r="C73" s="17" t="s">
        <v>145</v>
      </c>
      <c r="D73" s="18">
        <v>131887</v>
      </c>
      <c r="E73" s="47">
        <v>132482</v>
      </c>
      <c r="F73" s="49">
        <f>[1]Births_Est_CurrYear!$I73</f>
        <v>2430</v>
      </c>
      <c r="G73" s="19">
        <f>[2]Deaths_Est_CurrYr!H73</f>
        <v>1789</v>
      </c>
      <c r="H73" s="20">
        <f t="shared" si="12"/>
        <v>641</v>
      </c>
      <c r="I73" s="21">
        <f t="shared" si="13"/>
        <v>-46</v>
      </c>
      <c r="J73" s="21">
        <f t="shared" si="14"/>
        <v>595</v>
      </c>
      <c r="K73" s="24">
        <f t="shared" si="15"/>
        <v>4.860221250009478E-3</v>
      </c>
      <c r="L73" s="23">
        <f t="shared" si="16"/>
        <v>-3.4878342823780966E-4</v>
      </c>
      <c r="M73" s="23">
        <f t="shared" si="17"/>
        <v>4.5114378217716682E-3</v>
      </c>
      <c r="O73"/>
    </row>
    <row r="74" spans="1:15" s="3" customFormat="1" ht="15" x14ac:dyDescent="0.25">
      <c r="A74" s="15" t="s">
        <v>223</v>
      </c>
      <c r="B74" s="25" t="s">
        <v>69</v>
      </c>
      <c r="C74" s="17" t="s">
        <v>146</v>
      </c>
      <c r="D74" s="18">
        <v>389891</v>
      </c>
      <c r="E74" s="47">
        <v>390914</v>
      </c>
      <c r="F74" s="49">
        <f>[1]Births_Est_CurrYear!$I74</f>
        <v>6744</v>
      </c>
      <c r="G74" s="19">
        <f>[2]Deaths_Est_CurrYr!H74</f>
        <v>5371</v>
      </c>
      <c r="H74" s="20">
        <f t="shared" si="12"/>
        <v>1373</v>
      </c>
      <c r="I74" s="21">
        <f t="shared" si="13"/>
        <v>-350</v>
      </c>
      <c r="J74" s="21">
        <f t="shared" si="14"/>
        <v>1023</v>
      </c>
      <c r="K74" s="24">
        <f t="shared" si="15"/>
        <v>3.5214970337863658E-3</v>
      </c>
      <c r="L74" s="23">
        <f t="shared" si="16"/>
        <v>-8.9768678938472552E-4</v>
      </c>
      <c r="M74" s="23">
        <f t="shared" si="17"/>
        <v>2.6238102444016403E-3</v>
      </c>
      <c r="O74"/>
    </row>
    <row r="75" spans="1:15" s="3" customFormat="1" ht="15" x14ac:dyDescent="0.25">
      <c r="A75" s="15" t="s">
        <v>224</v>
      </c>
      <c r="B75" s="25" t="s">
        <v>70</v>
      </c>
      <c r="C75" s="17" t="s">
        <v>147</v>
      </c>
      <c r="D75" s="18">
        <v>52410</v>
      </c>
      <c r="E75" s="47">
        <v>52381</v>
      </c>
      <c r="F75" s="49">
        <f>[1]Births_Est_CurrYear!$I75</f>
        <v>900</v>
      </c>
      <c r="G75" s="19">
        <f>[2]Deaths_Est_CurrYr!H75</f>
        <v>1259</v>
      </c>
      <c r="H75" s="20">
        <f t="shared" si="12"/>
        <v>-359</v>
      </c>
      <c r="I75" s="21">
        <f t="shared" si="13"/>
        <v>330</v>
      </c>
      <c r="J75" s="21">
        <f t="shared" si="14"/>
        <v>-29</v>
      </c>
      <c r="K75" s="24">
        <f t="shared" si="15"/>
        <v>-6.8498378172104557E-3</v>
      </c>
      <c r="L75" s="23">
        <f t="shared" si="16"/>
        <v>6.2965082999427591E-3</v>
      </c>
      <c r="M75" s="23">
        <f t="shared" si="17"/>
        <v>-5.5332951726769697E-4</v>
      </c>
      <c r="O75"/>
    </row>
    <row r="76" spans="1:15" s="3" customFormat="1" ht="15" x14ac:dyDescent="0.25">
      <c r="A76" s="15" t="s">
        <v>225</v>
      </c>
      <c r="B76" s="25" t="s">
        <v>71</v>
      </c>
      <c r="C76" s="17" t="s">
        <v>148</v>
      </c>
      <c r="D76" s="18">
        <v>24496</v>
      </c>
      <c r="E76" s="47">
        <v>24506</v>
      </c>
      <c r="F76" s="49">
        <f>[1]Births_Est_CurrYear!$I76</f>
        <v>412</v>
      </c>
      <c r="G76" s="19">
        <f>[2]Deaths_Est_CurrYr!H76</f>
        <v>448</v>
      </c>
      <c r="H76" s="20">
        <f t="shared" si="12"/>
        <v>-36</v>
      </c>
      <c r="I76" s="21">
        <f t="shared" si="13"/>
        <v>46</v>
      </c>
      <c r="J76" s="21">
        <f t="shared" si="14"/>
        <v>10</v>
      </c>
      <c r="K76" s="24">
        <f t="shared" si="15"/>
        <v>-1.4696276943174395E-3</v>
      </c>
      <c r="L76" s="23">
        <f t="shared" si="16"/>
        <v>1.8778576094056173E-3</v>
      </c>
      <c r="M76" s="23">
        <f t="shared" si="17"/>
        <v>4.0822991508817768E-4</v>
      </c>
      <c r="O76"/>
    </row>
    <row r="77" spans="1:15" s="3" customFormat="1" ht="15" x14ac:dyDescent="0.25">
      <c r="A77" s="15" t="s">
        <v>226</v>
      </c>
      <c r="B77" s="25" t="s">
        <v>72</v>
      </c>
      <c r="C77" s="17" t="s">
        <v>149</v>
      </c>
      <c r="D77" s="18">
        <v>166994</v>
      </c>
      <c r="E77" s="47">
        <v>167702</v>
      </c>
      <c r="F77" s="49">
        <f>[1]Births_Est_CurrYear!$I77</f>
        <v>3292</v>
      </c>
      <c r="G77" s="19">
        <f>[2]Deaths_Est_CurrYr!H77</f>
        <v>2476</v>
      </c>
      <c r="H77" s="20">
        <f t="shared" si="12"/>
        <v>816</v>
      </c>
      <c r="I77" s="21">
        <f t="shared" si="13"/>
        <v>-108</v>
      </c>
      <c r="J77" s="21">
        <f t="shared" si="14"/>
        <v>708</v>
      </c>
      <c r="K77" s="24">
        <f t="shared" si="15"/>
        <v>4.8864031043031487E-3</v>
      </c>
      <c r="L77" s="23">
        <f t="shared" si="16"/>
        <v>-6.4672982262835787E-4</v>
      </c>
      <c r="M77" s="23">
        <f t="shared" si="17"/>
        <v>4.2396732816747905E-3</v>
      </c>
      <c r="O77"/>
    </row>
    <row r="78" spans="1:15" s="3" customFormat="1" ht="15" x14ac:dyDescent="0.25">
      <c r="A78" s="15" t="s">
        <v>227</v>
      </c>
      <c r="B78" s="25" t="s">
        <v>73</v>
      </c>
      <c r="C78" s="17" t="s">
        <v>150</v>
      </c>
      <c r="D78" s="18">
        <v>74749</v>
      </c>
      <c r="E78" s="47">
        <v>74587</v>
      </c>
      <c r="F78" s="49">
        <f>[1]Births_Est_CurrYear!$I78</f>
        <v>1456</v>
      </c>
      <c r="G78" s="19">
        <f>[2]Deaths_Est_CurrYr!H78</f>
        <v>1369</v>
      </c>
      <c r="H78" s="20">
        <f t="shared" si="12"/>
        <v>87</v>
      </c>
      <c r="I78" s="21">
        <f t="shared" si="13"/>
        <v>-249</v>
      </c>
      <c r="J78" s="21">
        <f t="shared" si="14"/>
        <v>-162</v>
      </c>
      <c r="K78" s="24">
        <f t="shared" si="15"/>
        <v>1.1638951691661428E-3</v>
      </c>
      <c r="L78" s="23">
        <f t="shared" si="16"/>
        <v>-3.3311482427858569E-3</v>
      </c>
      <c r="M78" s="23">
        <f t="shared" si="17"/>
        <v>-2.1672530736197141E-3</v>
      </c>
      <c r="O78"/>
    </row>
    <row r="79" spans="1:15" s="3" customFormat="1" ht="15" x14ac:dyDescent="0.25">
      <c r="A79" s="26"/>
      <c r="B79" s="27"/>
      <c r="C79" s="28"/>
      <c r="D79" s="29"/>
      <c r="E79" s="29"/>
      <c r="F79" s="30"/>
      <c r="G79" s="30"/>
      <c r="H79" s="31"/>
      <c r="I79" s="30"/>
      <c r="J79" s="30"/>
      <c r="K79" s="32"/>
      <c r="L79" s="33"/>
      <c r="M79" s="33"/>
    </row>
    <row r="80" spans="1:15" s="3" customFormat="1" ht="13.5" customHeight="1" x14ac:dyDescent="0.25">
      <c r="A80" s="34"/>
      <c r="B80" s="35"/>
      <c r="C80" s="36" t="s">
        <v>151</v>
      </c>
      <c r="D80" s="37">
        <f t="shared" ref="D80:J80" si="18">SUM(D7:D78)</f>
        <v>5686986</v>
      </c>
      <c r="E80" s="37">
        <f t="shared" si="18"/>
        <v>5703525</v>
      </c>
      <c r="F80" s="38">
        <f t="shared" si="18"/>
        <v>119877</v>
      </c>
      <c r="G80" s="39">
        <f t="shared" si="18"/>
        <v>82547</v>
      </c>
      <c r="H80" s="38">
        <f t="shared" si="18"/>
        <v>37330</v>
      </c>
      <c r="I80" s="38">
        <f t="shared" si="18"/>
        <v>-20791</v>
      </c>
      <c r="J80" s="38">
        <f t="shared" si="18"/>
        <v>16539</v>
      </c>
      <c r="K80" s="40">
        <f>H80/D80</f>
        <v>6.5641097059145215E-3</v>
      </c>
      <c r="L80" s="40">
        <f>I80/D80</f>
        <v>-3.6558908356728852E-3</v>
      </c>
      <c r="M80" s="40">
        <f>J80/D80</f>
        <v>2.9082188702416359E-3</v>
      </c>
    </row>
    <row r="81" spans="1:13" s="3" customFormat="1" ht="12" customHeight="1" x14ac:dyDescent="0.2">
      <c r="A81" s="4"/>
      <c r="B81" s="5"/>
      <c r="C81" s="4"/>
      <c r="D81" s="6"/>
      <c r="E81" s="6"/>
      <c r="F81" s="7"/>
      <c r="G81" s="8" t="s">
        <v>236</v>
      </c>
      <c r="H81" s="9">
        <f>COUNTIF(H7:H78,"&lt;0")</f>
        <v>21</v>
      </c>
      <c r="I81" s="9">
        <f>COUNTIF(I7:I78,"&lt;0")</f>
        <v>46</v>
      </c>
      <c r="J81" s="9">
        <f>COUNTIF(J7:J78,"&lt;0")</f>
        <v>21</v>
      </c>
      <c r="K81" s="10"/>
      <c r="L81" s="10"/>
      <c r="M81" s="10"/>
    </row>
    <row r="82" spans="1:13" s="3" customFormat="1" ht="12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s="3" customFormat="1" ht="12" customHeight="1" x14ac:dyDescent="0.2"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</row>
  </sheetData>
  <mergeCells count="13">
    <mergeCell ref="F5:F6"/>
    <mergeCell ref="G5:G6"/>
    <mergeCell ref="H5:H6"/>
    <mergeCell ref="M5:M6"/>
    <mergeCell ref="I5:I6"/>
    <mergeCell ref="J5:J6"/>
    <mergeCell ref="K5:K6"/>
    <mergeCell ref="L5:L6"/>
    <mergeCell ref="A4:A6"/>
    <mergeCell ref="B4:B6"/>
    <mergeCell ref="C4:C6"/>
    <mergeCell ref="D4:D6"/>
    <mergeCell ref="E4:E6"/>
  </mergeCells>
  <phoneticPr fontId="2" type="noConversion"/>
  <printOptions horizontalCentered="1" gridLines="1"/>
  <pageMargins left="0.5" right="0.5" top="0.75" bottom="0.75" header="0" footer="0.5"/>
  <pageSetup scale="90" orientation="landscape" r:id="rId1"/>
  <headerFooter alignWithMargins="0">
    <oddHeader>&amp;C&amp;"Arial,Bold"&amp;9Workbook:&amp;"Arial,Regular"Workbook: &amp;F
&amp;"Arial,Bold"Worksheet: &amp;"Arial,Regular"Workbook: &amp;A</oddHeader>
    <oddFooter>&amp;L&amp;9Note: This worksheet will be updated in late 2012 when
final resident birth and death data for 2011 are available.&amp;C&amp;9Page &amp;P of &amp;N&amp;R&amp;9Wisconsin Demographic Services Center
October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FinalEsts_2012_co_comps</vt:lpstr>
      <vt:lpstr>FinalEsts_2012_co_comps!Print_Area</vt:lpstr>
      <vt:lpstr>FinalEsts_2012_co_comps!Print_Titles</vt:lpstr>
    </vt:vector>
  </TitlesOfParts>
  <Manager>Demographic Services Center</Manager>
  <Company>Department of Administration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Estimates, 2012, Co. Components</dc:title>
  <dc:subject>Population Estimates--2012</dc:subject>
  <dc:creator>David Egan-Robertson</dc:creator>
  <dc:description>county-level components of change (births, deaths, natural increase and net migration)_x000d_
for most recent year of estiamtes</dc:description>
  <cp:lastModifiedBy>Egan-Robertson, David</cp:lastModifiedBy>
  <cp:lastPrinted>2012-10-01T20:23:22Z</cp:lastPrinted>
  <dcterms:created xsi:type="dcterms:W3CDTF">2002-12-12T20:57:34Z</dcterms:created>
  <dcterms:modified xsi:type="dcterms:W3CDTF">2012-10-01T21:38:47Z</dcterms:modified>
</cp:coreProperties>
</file>