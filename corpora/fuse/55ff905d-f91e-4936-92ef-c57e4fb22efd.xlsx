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/>
  <bookViews>
    <workbookView xWindow="1485" yWindow="555" windowWidth="15480" windowHeight="4500" tabRatio="754" activeTab="1"/>
  </bookViews>
  <sheets>
    <sheet name="2013 Budget" sheetId="12" r:id="rId1"/>
    <sheet name="Summary by major Area" sheetId="10" r:id="rId2"/>
    <sheet name="Detail Summary" sheetId="9" state="hidden" r:id="rId3"/>
  </sheets>
  <definedNames>
    <definedName name="_xlnm.Print_Area" localSheetId="0">'2013 Budget'!$B$1:$H$43</definedName>
    <definedName name="_xlnm.Print_Area" localSheetId="1">'Summary by major Area'!$B$1:$O$85</definedName>
    <definedName name="_xlnm.Print_Titles" localSheetId="1">'Summary by major Area'!$1:$4</definedName>
  </definedNames>
  <calcPr calcId="125725"/>
</workbook>
</file>

<file path=xl/calcChain.xml><?xml version="1.0" encoding="utf-8"?>
<calcChain xmlns="http://schemas.openxmlformats.org/spreadsheetml/2006/main">
  <c r="M61" i="10"/>
  <c r="L166" i="9"/>
  <c r="K166"/>
  <c r="J166"/>
  <c r="I166"/>
  <c r="H166"/>
  <c r="G166"/>
  <c r="E166"/>
  <c r="L165"/>
  <c r="K165"/>
  <c r="J165"/>
  <c r="I165"/>
  <c r="H165"/>
  <c r="G165"/>
  <c r="E165"/>
  <c r="L164"/>
  <c r="K164"/>
  <c r="J164"/>
  <c r="I164"/>
  <c r="H164"/>
  <c r="G164"/>
  <c r="E164"/>
  <c r="F163"/>
  <c r="L162"/>
  <c r="K162"/>
  <c r="J162"/>
  <c r="I162"/>
  <c r="H162"/>
  <c r="G162"/>
  <c r="E162"/>
  <c r="L161"/>
  <c r="K161"/>
  <c r="J161"/>
  <c r="I161"/>
  <c r="H161"/>
  <c r="G161"/>
  <c r="E161"/>
  <c r="N164" l="1"/>
  <c r="N165"/>
  <c r="N166"/>
  <c r="N161"/>
  <c r="N162"/>
  <c r="L160"/>
  <c r="K160"/>
  <c r="J160"/>
  <c r="I160"/>
  <c r="H160"/>
  <c r="G160"/>
  <c r="E160"/>
  <c r="L159"/>
  <c r="K159"/>
  <c r="J159"/>
  <c r="I159"/>
  <c r="H159"/>
  <c r="G159"/>
  <c r="E159"/>
  <c r="L158"/>
  <c r="K158"/>
  <c r="J158"/>
  <c r="I158"/>
  <c r="H158"/>
  <c r="G158"/>
  <c r="E158"/>
  <c r="L157"/>
  <c r="K157"/>
  <c r="J157"/>
  <c r="I157"/>
  <c r="H157"/>
  <c r="G157"/>
  <c r="E157"/>
  <c r="N157" s="1"/>
  <c r="T156"/>
  <c r="R156"/>
  <c r="L156"/>
  <c r="K156"/>
  <c r="J156"/>
  <c r="I156"/>
  <c r="H156"/>
  <c r="G156"/>
  <c r="E156"/>
  <c r="L155"/>
  <c r="K155"/>
  <c r="J155"/>
  <c r="I155"/>
  <c r="H155"/>
  <c r="G155"/>
  <c r="E155"/>
  <c r="L154"/>
  <c r="K154"/>
  <c r="J154"/>
  <c r="I154"/>
  <c r="H154"/>
  <c r="G154"/>
  <c r="E154"/>
  <c r="L153"/>
  <c r="K153"/>
  <c r="J153"/>
  <c r="I153"/>
  <c r="H153"/>
  <c r="G153"/>
  <c r="E153"/>
  <c r="L152"/>
  <c r="K152"/>
  <c r="J152"/>
  <c r="I152"/>
  <c r="H152"/>
  <c r="G152"/>
  <c r="E152"/>
  <c r="L151"/>
  <c r="K151"/>
  <c r="J151"/>
  <c r="I151"/>
  <c r="H151"/>
  <c r="G151"/>
  <c r="E151"/>
  <c r="L150"/>
  <c r="K150"/>
  <c r="J150"/>
  <c r="I150"/>
  <c r="H150"/>
  <c r="G150"/>
  <c r="E150"/>
  <c r="L149"/>
  <c r="K149"/>
  <c r="J149"/>
  <c r="I149"/>
  <c r="H149"/>
  <c r="G149"/>
  <c r="E149"/>
  <c r="L148"/>
  <c r="K148"/>
  <c r="J148"/>
  <c r="I148"/>
  <c r="H148"/>
  <c r="G148"/>
  <c r="E148"/>
  <c r="S147"/>
  <c r="U147" s="1"/>
  <c r="N146"/>
  <c r="L146"/>
  <c r="K146"/>
  <c r="J146"/>
  <c r="I146"/>
  <c r="H146"/>
  <c r="G146"/>
  <c r="E146"/>
  <c r="N145"/>
  <c r="L145"/>
  <c r="K145"/>
  <c r="J145"/>
  <c r="I145"/>
  <c r="H145"/>
  <c r="G145"/>
  <c r="E145"/>
  <c r="N144"/>
  <c r="L144"/>
  <c r="K144"/>
  <c r="J144"/>
  <c r="I144"/>
  <c r="H144"/>
  <c r="G144"/>
  <c r="E144"/>
  <c r="U143"/>
  <c r="S143"/>
  <c r="U142"/>
  <c r="S142"/>
  <c r="N141"/>
  <c r="L141"/>
  <c r="K141"/>
  <c r="J141"/>
  <c r="I141"/>
  <c r="H141"/>
  <c r="G141"/>
  <c r="E141"/>
  <c r="N140"/>
  <c r="L140"/>
  <c r="K140"/>
  <c r="J140"/>
  <c r="I140"/>
  <c r="H140"/>
  <c r="G140"/>
  <c r="E140"/>
  <c r="N139"/>
  <c r="L139"/>
  <c r="K139"/>
  <c r="J139"/>
  <c r="I139"/>
  <c r="H139"/>
  <c r="G139"/>
  <c r="E139"/>
  <c r="N138"/>
  <c r="L138"/>
  <c r="K138"/>
  <c r="J138"/>
  <c r="I138"/>
  <c r="H138"/>
  <c r="G138"/>
  <c r="E138"/>
  <c r="V137"/>
  <c r="L137"/>
  <c r="K137"/>
  <c r="J137"/>
  <c r="I137"/>
  <c r="H137"/>
  <c r="G137"/>
  <c r="E137"/>
  <c r="N137" s="1"/>
  <c r="L136"/>
  <c r="K136"/>
  <c r="J136"/>
  <c r="I136"/>
  <c r="H136"/>
  <c r="G136"/>
  <c r="E136"/>
  <c r="W135"/>
  <c r="V135"/>
  <c r="S135"/>
  <c r="U135" s="1"/>
  <c r="L135"/>
  <c r="K135"/>
  <c r="J135"/>
  <c r="I135"/>
  <c r="H135"/>
  <c r="G135"/>
  <c r="E135"/>
  <c r="L134"/>
  <c r="K134"/>
  <c r="J134"/>
  <c r="I134"/>
  <c r="H134"/>
  <c r="G134"/>
  <c r="E134"/>
  <c r="L133"/>
  <c r="K133"/>
  <c r="J133"/>
  <c r="I133"/>
  <c r="H133"/>
  <c r="G133"/>
  <c r="E133"/>
  <c r="L132"/>
  <c r="K132"/>
  <c r="J132"/>
  <c r="I132"/>
  <c r="H132"/>
  <c r="G132"/>
  <c r="E132"/>
  <c r="L131"/>
  <c r="K131"/>
  <c r="J131"/>
  <c r="I131"/>
  <c r="H131"/>
  <c r="G131"/>
  <c r="E131"/>
  <c r="L130"/>
  <c r="K130"/>
  <c r="J130"/>
  <c r="I130"/>
  <c r="H130"/>
  <c r="G130"/>
  <c r="E130"/>
  <c r="L129"/>
  <c r="K129"/>
  <c r="J129"/>
  <c r="I129"/>
  <c r="H129"/>
  <c r="G129"/>
  <c r="E129"/>
  <c r="L128"/>
  <c r="K128"/>
  <c r="J128"/>
  <c r="I128"/>
  <c r="H128"/>
  <c r="G128"/>
  <c r="E128"/>
  <c r="L127"/>
  <c r="K127"/>
  <c r="J127"/>
  <c r="I127"/>
  <c r="H127"/>
  <c r="G127"/>
  <c r="E127"/>
  <c r="L126"/>
  <c r="K126"/>
  <c r="J126"/>
  <c r="I126"/>
  <c r="H126"/>
  <c r="G126"/>
  <c r="E126"/>
  <c r="S125"/>
  <c r="U125" s="1"/>
  <c r="R125"/>
  <c r="L124"/>
  <c r="K124"/>
  <c r="J124"/>
  <c r="I124"/>
  <c r="H124"/>
  <c r="G124"/>
  <c r="E124"/>
  <c r="L123"/>
  <c r="K123"/>
  <c r="J123"/>
  <c r="I123"/>
  <c r="H123"/>
  <c r="G123"/>
  <c r="E123"/>
  <c r="L122"/>
  <c r="K122"/>
  <c r="J122"/>
  <c r="I122"/>
  <c r="H122"/>
  <c r="G122"/>
  <c r="E122"/>
  <c r="N122" s="1"/>
  <c r="L121"/>
  <c r="K121"/>
  <c r="J121"/>
  <c r="I121"/>
  <c r="H121"/>
  <c r="G121"/>
  <c r="E121"/>
  <c r="L120"/>
  <c r="K120"/>
  <c r="J120"/>
  <c r="I120"/>
  <c r="H120"/>
  <c r="G120"/>
  <c r="E120"/>
  <c r="L119"/>
  <c r="K119"/>
  <c r="J119"/>
  <c r="I119"/>
  <c r="H119"/>
  <c r="G119"/>
  <c r="E119"/>
  <c r="N119" s="1"/>
  <c r="L118"/>
  <c r="K118"/>
  <c r="J118"/>
  <c r="I118"/>
  <c r="H118"/>
  <c r="G118"/>
  <c r="E118"/>
  <c r="L117"/>
  <c r="K117"/>
  <c r="J117"/>
  <c r="I117"/>
  <c r="H117"/>
  <c r="G117"/>
  <c r="E117"/>
  <c r="L116"/>
  <c r="K116"/>
  <c r="J116"/>
  <c r="I116"/>
  <c r="H116"/>
  <c r="G116"/>
  <c r="E116"/>
  <c r="L115"/>
  <c r="K115"/>
  <c r="J115"/>
  <c r="I115"/>
  <c r="H115"/>
  <c r="G115"/>
  <c r="E115"/>
  <c r="N115" s="1"/>
  <c r="T114"/>
  <c r="L114"/>
  <c r="K114"/>
  <c r="J114"/>
  <c r="I114"/>
  <c r="H114"/>
  <c r="G114"/>
  <c r="E114"/>
  <c r="L113"/>
  <c r="K113"/>
  <c r="J113"/>
  <c r="I113"/>
  <c r="H113"/>
  <c r="G113"/>
  <c r="E113"/>
  <c r="T112"/>
  <c r="L112"/>
  <c r="K112"/>
  <c r="J112"/>
  <c r="I112"/>
  <c r="H112"/>
  <c r="G112"/>
  <c r="E112"/>
  <c r="L111"/>
  <c r="K111"/>
  <c r="J111"/>
  <c r="I111"/>
  <c r="H111"/>
  <c r="G111"/>
  <c r="E111"/>
  <c r="L110"/>
  <c r="K110"/>
  <c r="J110"/>
  <c r="I110"/>
  <c r="H110"/>
  <c r="G110"/>
  <c r="E110"/>
  <c r="L109"/>
  <c r="K109"/>
  <c r="J109"/>
  <c r="I109"/>
  <c r="H109"/>
  <c r="G109"/>
  <c r="E109"/>
  <c r="L108"/>
  <c r="K108"/>
  <c r="J108"/>
  <c r="I108"/>
  <c r="H108"/>
  <c r="G108"/>
  <c r="E108"/>
  <c r="L107"/>
  <c r="K107"/>
  <c r="J107"/>
  <c r="I107"/>
  <c r="H107"/>
  <c r="G107"/>
  <c r="E107"/>
  <c r="L106"/>
  <c r="K106"/>
  <c r="J106"/>
  <c r="I106"/>
  <c r="H106"/>
  <c r="G106"/>
  <c r="E106"/>
  <c r="T105"/>
  <c r="L105"/>
  <c r="K105"/>
  <c r="J105"/>
  <c r="I105"/>
  <c r="H105"/>
  <c r="G105"/>
  <c r="E105"/>
  <c r="L104"/>
  <c r="K104"/>
  <c r="J104"/>
  <c r="I104"/>
  <c r="H104"/>
  <c r="G104"/>
  <c r="E104"/>
  <c r="L103"/>
  <c r="K103"/>
  <c r="J103"/>
  <c r="I103"/>
  <c r="H103"/>
  <c r="G103"/>
  <c r="E103"/>
  <c r="S102"/>
  <c r="U102" s="1"/>
  <c r="S101"/>
  <c r="U101" s="1"/>
  <c r="S100"/>
  <c r="U100" s="1"/>
  <c r="S99"/>
  <c r="U99" s="1"/>
  <c r="V98"/>
  <c r="L98"/>
  <c r="K98"/>
  <c r="J98"/>
  <c r="I98"/>
  <c r="H98"/>
  <c r="G98"/>
  <c r="E98"/>
  <c r="L97"/>
  <c r="K97"/>
  <c r="J97"/>
  <c r="I97"/>
  <c r="H97"/>
  <c r="G97"/>
  <c r="E97"/>
  <c r="L96"/>
  <c r="K96"/>
  <c r="J96"/>
  <c r="I96"/>
  <c r="H96"/>
  <c r="G96"/>
  <c r="E96"/>
  <c r="L95"/>
  <c r="K95"/>
  <c r="J95"/>
  <c r="I95"/>
  <c r="H95"/>
  <c r="G95"/>
  <c r="E95"/>
  <c r="L94"/>
  <c r="K94"/>
  <c r="J94"/>
  <c r="I94"/>
  <c r="H94"/>
  <c r="G94"/>
  <c r="E94"/>
  <c r="T93"/>
  <c r="N93"/>
  <c r="L93"/>
  <c r="K93"/>
  <c r="J93"/>
  <c r="I93"/>
  <c r="H93"/>
  <c r="G93"/>
  <c r="E93"/>
  <c r="U92"/>
  <c r="T92"/>
  <c r="V91" s="1"/>
  <c r="S92"/>
  <c r="L91"/>
  <c r="K91"/>
  <c r="J91"/>
  <c r="I91"/>
  <c r="H91"/>
  <c r="G91"/>
  <c r="E91"/>
  <c r="L90"/>
  <c r="K90"/>
  <c r="J90"/>
  <c r="I90"/>
  <c r="H90"/>
  <c r="G90"/>
  <c r="E90"/>
  <c r="L89"/>
  <c r="K89"/>
  <c r="J89"/>
  <c r="I89"/>
  <c r="H89"/>
  <c r="G89"/>
  <c r="E89"/>
  <c r="L88"/>
  <c r="K88"/>
  <c r="J88"/>
  <c r="I88"/>
  <c r="H88"/>
  <c r="G88"/>
  <c r="E88"/>
  <c r="U87"/>
  <c r="T87"/>
  <c r="S87"/>
  <c r="L86"/>
  <c r="K86"/>
  <c r="J86"/>
  <c r="I86"/>
  <c r="H86"/>
  <c r="G86"/>
  <c r="E86"/>
  <c r="L85"/>
  <c r="K85"/>
  <c r="J85"/>
  <c r="I85"/>
  <c r="H85"/>
  <c r="G85"/>
  <c r="E85"/>
  <c r="L84"/>
  <c r="K84"/>
  <c r="J84"/>
  <c r="I84"/>
  <c r="H84"/>
  <c r="G84"/>
  <c r="E84"/>
  <c r="S83"/>
  <c r="U83" s="1"/>
  <c r="S82"/>
  <c r="U82" s="1"/>
  <c r="U81"/>
  <c r="S81"/>
  <c r="S80"/>
  <c r="U80" s="1"/>
  <c r="S79"/>
  <c r="U79" s="1"/>
  <c r="R78"/>
  <c r="N78"/>
  <c r="L78"/>
  <c r="K78"/>
  <c r="J78"/>
  <c r="I78"/>
  <c r="H78"/>
  <c r="G78"/>
  <c r="E78"/>
  <c r="S77"/>
  <c r="N76"/>
  <c r="L76"/>
  <c r="K76"/>
  <c r="J76"/>
  <c r="I76"/>
  <c r="H76"/>
  <c r="G76"/>
  <c r="E76"/>
  <c r="T75"/>
  <c r="R75"/>
  <c r="L75"/>
  <c r="K75"/>
  <c r="J75"/>
  <c r="I75"/>
  <c r="H75"/>
  <c r="G75"/>
  <c r="E75"/>
  <c r="L74"/>
  <c r="K74"/>
  <c r="J74"/>
  <c r="I74"/>
  <c r="H74"/>
  <c r="G74"/>
  <c r="E74"/>
  <c r="T73"/>
  <c r="R73"/>
  <c r="R157" s="1"/>
  <c r="L73"/>
  <c r="K73"/>
  <c r="J73"/>
  <c r="I73"/>
  <c r="H73"/>
  <c r="G73"/>
  <c r="E73"/>
  <c r="L72"/>
  <c r="K72"/>
  <c r="J72"/>
  <c r="I72"/>
  <c r="H72"/>
  <c r="G72"/>
  <c r="E72"/>
  <c r="N72" s="1"/>
  <c r="L71"/>
  <c r="K71"/>
  <c r="J71"/>
  <c r="I71"/>
  <c r="H71"/>
  <c r="G71"/>
  <c r="E71"/>
  <c r="N71" s="1"/>
  <c r="L70"/>
  <c r="K70"/>
  <c r="J70"/>
  <c r="I70"/>
  <c r="H70"/>
  <c r="G70"/>
  <c r="E70"/>
  <c r="N70" s="1"/>
  <c r="L69"/>
  <c r="K69"/>
  <c r="J69"/>
  <c r="I69"/>
  <c r="H69"/>
  <c r="G69"/>
  <c r="E69"/>
  <c r="L68"/>
  <c r="K68"/>
  <c r="J68"/>
  <c r="I68"/>
  <c r="H68"/>
  <c r="G68"/>
  <c r="E68"/>
  <c r="N68" s="1"/>
  <c r="L67"/>
  <c r="K67"/>
  <c r="J67"/>
  <c r="I67"/>
  <c r="H67"/>
  <c r="G67"/>
  <c r="E67"/>
  <c r="L66"/>
  <c r="K66"/>
  <c r="J66"/>
  <c r="I66"/>
  <c r="H66"/>
  <c r="G66"/>
  <c r="E66"/>
  <c r="L65"/>
  <c r="K65"/>
  <c r="J65"/>
  <c r="I65"/>
  <c r="H65"/>
  <c r="G65"/>
  <c r="E65"/>
  <c r="N65" s="1"/>
  <c r="L64"/>
  <c r="K64"/>
  <c r="J64"/>
  <c r="I64"/>
  <c r="H64"/>
  <c r="G64"/>
  <c r="E64"/>
  <c r="L63"/>
  <c r="K63"/>
  <c r="J63"/>
  <c r="I63"/>
  <c r="H63"/>
  <c r="G63"/>
  <c r="E63"/>
  <c r="L62"/>
  <c r="K62"/>
  <c r="J62"/>
  <c r="I62"/>
  <c r="H62"/>
  <c r="G62"/>
  <c r="E62"/>
  <c r="L61"/>
  <c r="K61"/>
  <c r="J61"/>
  <c r="I61"/>
  <c r="H61"/>
  <c r="G61"/>
  <c r="E61"/>
  <c r="L60"/>
  <c r="K60"/>
  <c r="J60"/>
  <c r="I60"/>
  <c r="H60"/>
  <c r="G60"/>
  <c r="E60"/>
  <c r="L59"/>
  <c r="K59"/>
  <c r="J59"/>
  <c r="I59"/>
  <c r="H59"/>
  <c r="G59"/>
  <c r="E59"/>
  <c r="V58"/>
  <c r="W58" s="1"/>
  <c r="T58"/>
  <c r="L58"/>
  <c r="K58"/>
  <c r="J58"/>
  <c r="I58"/>
  <c r="H58"/>
  <c r="G58"/>
  <c r="E58"/>
  <c r="L57"/>
  <c r="K57"/>
  <c r="J57"/>
  <c r="I57"/>
  <c r="H57"/>
  <c r="G57"/>
  <c r="E57"/>
  <c r="L56"/>
  <c r="K56"/>
  <c r="J56"/>
  <c r="I56"/>
  <c r="H56"/>
  <c r="G56"/>
  <c r="E56"/>
  <c r="N56" s="1"/>
  <c r="N57" l="1"/>
  <c r="N66"/>
  <c r="N67"/>
  <c r="N69"/>
  <c r="N73"/>
  <c r="N116"/>
  <c r="N117"/>
  <c r="N118"/>
  <c r="N120"/>
  <c r="N121"/>
  <c r="N123"/>
  <c r="N124"/>
  <c r="N84"/>
  <c r="N85"/>
  <c r="N86"/>
  <c r="N103"/>
  <c r="N104"/>
  <c r="N105"/>
  <c r="N91"/>
  <c r="N113"/>
  <c r="N114"/>
  <c r="S114" s="1"/>
  <c r="U114" s="1"/>
  <c r="N126"/>
  <c r="N127"/>
  <c r="N128"/>
  <c r="N129"/>
  <c r="N130"/>
  <c r="N131"/>
  <c r="N132"/>
  <c r="N133"/>
  <c r="N134"/>
  <c r="N148"/>
  <c r="N149"/>
  <c r="N150"/>
  <c r="N151"/>
  <c r="N152"/>
  <c r="N153"/>
  <c r="N154"/>
  <c r="N155"/>
  <c r="N156"/>
  <c r="N88"/>
  <c r="N89"/>
  <c r="N90"/>
  <c r="N59"/>
  <c r="N60"/>
  <c r="N61"/>
  <c r="S61" s="1"/>
  <c r="N62"/>
  <c r="S62" s="1"/>
  <c r="N63"/>
  <c r="N64"/>
  <c r="S73"/>
  <c r="U73" s="1"/>
  <c r="N74"/>
  <c r="S74" s="1"/>
  <c r="N75"/>
  <c r="S75" s="1"/>
  <c r="U75" s="1"/>
  <c r="S93"/>
  <c r="U93" s="1"/>
  <c r="N94"/>
  <c r="N95"/>
  <c r="N96"/>
  <c r="N97"/>
  <c r="N98"/>
  <c r="S105"/>
  <c r="U105" s="1"/>
  <c r="N106"/>
  <c r="N107"/>
  <c r="N108"/>
  <c r="N109"/>
  <c r="N110"/>
  <c r="N111"/>
  <c r="N112"/>
  <c r="S112" s="1"/>
  <c r="U112" s="1"/>
  <c r="N136"/>
  <c r="N158"/>
  <c r="N159"/>
  <c r="N160"/>
  <c r="S57"/>
  <c r="S70"/>
  <c r="S156"/>
  <c r="U156" s="1"/>
  <c r="N55"/>
  <c r="S55" s="1"/>
  <c r="L55"/>
  <c r="K55"/>
  <c r="J55"/>
  <c r="I55"/>
  <c r="H55"/>
  <c r="G55"/>
  <c r="E55"/>
  <c r="N54"/>
  <c r="L54"/>
  <c r="K54"/>
  <c r="J54"/>
  <c r="I54"/>
  <c r="H54"/>
  <c r="G54"/>
  <c r="E54"/>
  <c r="N53"/>
  <c r="L53"/>
  <c r="K53"/>
  <c r="J53"/>
  <c r="I53"/>
  <c r="H53"/>
  <c r="G53"/>
  <c r="E53"/>
  <c r="N52"/>
  <c r="L52"/>
  <c r="K52"/>
  <c r="J52"/>
  <c r="I52"/>
  <c r="H52"/>
  <c r="G52"/>
  <c r="E52"/>
  <c r="N51"/>
  <c r="L51"/>
  <c r="K51"/>
  <c r="J51"/>
  <c r="I51"/>
  <c r="H51"/>
  <c r="G51"/>
  <c r="E51"/>
  <c r="N50"/>
  <c r="L50"/>
  <c r="L163" s="1"/>
  <c r="K50"/>
  <c r="K163" s="1"/>
  <c r="J50"/>
  <c r="J163" s="1"/>
  <c r="I50"/>
  <c r="I163" s="1"/>
  <c r="H50"/>
  <c r="H163" s="1"/>
  <c r="G50"/>
  <c r="G163" s="1"/>
  <c r="E50"/>
  <c r="N49"/>
  <c r="L49"/>
  <c r="K49"/>
  <c r="J49"/>
  <c r="I49"/>
  <c r="H49"/>
  <c r="G49"/>
  <c r="E49"/>
  <c r="T48"/>
  <c r="K48"/>
  <c r="K167" s="1"/>
  <c r="F48"/>
  <c r="F167" s="1"/>
  <c r="N47"/>
  <c r="L47"/>
  <c r="K47"/>
  <c r="J47"/>
  <c r="I47"/>
  <c r="H47"/>
  <c r="G47"/>
  <c r="E47"/>
  <c r="N46"/>
  <c r="L46"/>
  <c r="J46"/>
  <c r="I46"/>
  <c r="H46"/>
  <c r="G46"/>
  <c r="E46"/>
  <c r="L45"/>
  <c r="K45"/>
  <c r="J45"/>
  <c r="I45"/>
  <c r="H45"/>
  <c r="G45"/>
  <c r="E45"/>
  <c r="L44"/>
  <c r="K44"/>
  <c r="J44"/>
  <c r="I44"/>
  <c r="H44"/>
  <c r="G44"/>
  <c r="E44"/>
  <c r="L43"/>
  <c r="K43"/>
  <c r="J43"/>
  <c r="I43"/>
  <c r="H43"/>
  <c r="G43"/>
  <c r="E43"/>
  <c r="L42"/>
  <c r="K42"/>
  <c r="J42"/>
  <c r="I42"/>
  <c r="H42"/>
  <c r="G42"/>
  <c r="E42"/>
  <c r="L41"/>
  <c r="K41"/>
  <c r="J41"/>
  <c r="I41"/>
  <c r="H41"/>
  <c r="G41"/>
  <c r="E41"/>
  <c r="L40"/>
  <c r="K40"/>
  <c r="J40"/>
  <c r="I40"/>
  <c r="H40"/>
  <c r="G40"/>
  <c r="E40"/>
  <c r="L39"/>
  <c r="K39"/>
  <c r="J39"/>
  <c r="I39"/>
  <c r="H39"/>
  <c r="G39"/>
  <c r="E39"/>
  <c r="L38"/>
  <c r="K38"/>
  <c r="J38"/>
  <c r="I38"/>
  <c r="H38"/>
  <c r="G38"/>
  <c r="E38"/>
  <c r="L37"/>
  <c r="K37"/>
  <c r="J37"/>
  <c r="I37"/>
  <c r="H37"/>
  <c r="G37"/>
  <c r="E37"/>
  <c r="L36"/>
  <c r="K36"/>
  <c r="J36"/>
  <c r="I36"/>
  <c r="H36"/>
  <c r="G36"/>
  <c r="E36"/>
  <c r="L35"/>
  <c r="K35"/>
  <c r="J35"/>
  <c r="I35"/>
  <c r="H35"/>
  <c r="G35"/>
  <c r="E35"/>
  <c r="L34"/>
  <c r="K34"/>
  <c r="J34"/>
  <c r="I34"/>
  <c r="H34"/>
  <c r="G34"/>
  <c r="E34"/>
  <c r="L33"/>
  <c r="K33"/>
  <c r="J33"/>
  <c r="I33"/>
  <c r="H33"/>
  <c r="G33"/>
  <c r="E33"/>
  <c r="L32"/>
  <c r="K32"/>
  <c r="J32"/>
  <c r="I32"/>
  <c r="H32"/>
  <c r="G32"/>
  <c r="E32"/>
  <c r="L31"/>
  <c r="K31"/>
  <c r="J31"/>
  <c r="I31"/>
  <c r="H31"/>
  <c r="G31"/>
  <c r="E31"/>
  <c r="L30"/>
  <c r="K30"/>
  <c r="J30"/>
  <c r="I30"/>
  <c r="H30"/>
  <c r="G30"/>
  <c r="E30"/>
  <c r="L29"/>
  <c r="K29"/>
  <c r="J29"/>
  <c r="I29"/>
  <c r="H29"/>
  <c r="G29"/>
  <c r="E29"/>
  <c r="L28"/>
  <c r="J28"/>
  <c r="I28"/>
  <c r="H28"/>
  <c r="G28"/>
  <c r="E28"/>
  <c r="L27"/>
  <c r="K27"/>
  <c r="J27"/>
  <c r="I27"/>
  <c r="H27"/>
  <c r="G27"/>
  <c r="E27"/>
  <c r="L26"/>
  <c r="K26"/>
  <c r="J26"/>
  <c r="I26"/>
  <c r="H26"/>
  <c r="G26"/>
  <c r="E26"/>
  <c r="L25"/>
  <c r="K25"/>
  <c r="J25"/>
  <c r="I25"/>
  <c r="H25"/>
  <c r="G25"/>
  <c r="E25"/>
  <c r="L24"/>
  <c r="K24"/>
  <c r="J24"/>
  <c r="I24"/>
  <c r="H24"/>
  <c r="G24"/>
  <c r="E24"/>
  <c r="L23"/>
  <c r="K23"/>
  <c r="J23"/>
  <c r="I23"/>
  <c r="H23"/>
  <c r="G23"/>
  <c r="E23"/>
  <c r="L22"/>
  <c r="K22"/>
  <c r="J22"/>
  <c r="I22"/>
  <c r="H22"/>
  <c r="G22"/>
  <c r="E22"/>
  <c r="L21"/>
  <c r="K21"/>
  <c r="J21"/>
  <c r="I21"/>
  <c r="I48" s="1"/>
  <c r="H21"/>
  <c r="G21"/>
  <c r="E21"/>
  <c r="L20"/>
  <c r="K20"/>
  <c r="J20"/>
  <c r="I20"/>
  <c r="H20"/>
  <c r="G20"/>
  <c r="E20"/>
  <c r="L19"/>
  <c r="K19"/>
  <c r="J19"/>
  <c r="I19"/>
  <c r="H19"/>
  <c r="G19"/>
  <c r="E19"/>
  <c r="L18"/>
  <c r="K18"/>
  <c r="J18"/>
  <c r="I18"/>
  <c r="H18"/>
  <c r="G18"/>
  <c r="E18"/>
  <c r="L17"/>
  <c r="K17"/>
  <c r="J17"/>
  <c r="I17"/>
  <c r="H17"/>
  <c r="G17"/>
  <c r="E17"/>
  <c r="L16"/>
  <c r="K16"/>
  <c r="J16"/>
  <c r="I16"/>
  <c r="H16"/>
  <c r="G16"/>
  <c r="E16"/>
  <c r="L15"/>
  <c r="K15"/>
  <c r="J15"/>
  <c r="I15"/>
  <c r="H15"/>
  <c r="E15"/>
  <c r="N14"/>
  <c r="L14"/>
  <c r="K14"/>
  <c r="J14"/>
  <c r="I14"/>
  <c r="H14"/>
  <c r="G14"/>
  <c r="E14"/>
  <c r="N13"/>
  <c r="L13"/>
  <c r="K13"/>
  <c r="J13"/>
  <c r="I13"/>
  <c r="H13"/>
  <c r="G13"/>
  <c r="E13"/>
  <c r="N12"/>
  <c r="L12"/>
  <c r="K12"/>
  <c r="J12"/>
  <c r="I12"/>
  <c r="H12"/>
  <c r="G12"/>
  <c r="E12"/>
  <c r="N11"/>
  <c r="L11"/>
  <c r="K11"/>
  <c r="J11"/>
  <c r="I11"/>
  <c r="H11"/>
  <c r="G11"/>
  <c r="E11"/>
  <c r="N10"/>
  <c r="L10"/>
  <c r="K10"/>
  <c r="J10"/>
  <c r="I10"/>
  <c r="H10"/>
  <c r="E10"/>
  <c r="L9"/>
  <c r="K9"/>
  <c r="J9"/>
  <c r="I9"/>
  <c r="H9"/>
  <c r="G9"/>
  <c r="E9"/>
  <c r="L8"/>
  <c r="K8"/>
  <c r="J8"/>
  <c r="I8"/>
  <c r="H8"/>
  <c r="G8"/>
  <c r="E8"/>
  <c r="L7"/>
  <c r="K7"/>
  <c r="J7"/>
  <c r="I7"/>
  <c r="H7"/>
  <c r="G7"/>
  <c r="E7"/>
  <c r="L6"/>
  <c r="K6"/>
  <c r="J6"/>
  <c r="I6"/>
  <c r="H6"/>
  <c r="G6"/>
  <c r="E6"/>
  <c r="L5"/>
  <c r="K5"/>
  <c r="J5"/>
  <c r="I5"/>
  <c r="H5"/>
  <c r="G5"/>
  <c r="N5" s="1"/>
  <c r="A5"/>
  <c r="L4"/>
  <c r="K4"/>
  <c r="J4"/>
  <c r="J48" s="1"/>
  <c r="J167" s="1"/>
  <c r="I4"/>
  <c r="I167" l="1"/>
  <c r="A7"/>
  <c r="A8" s="1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6"/>
  <c r="N6"/>
  <c r="N7"/>
  <c r="N8"/>
  <c r="N9"/>
  <c r="N28"/>
  <c r="N29"/>
  <c r="N30"/>
  <c r="N31"/>
  <c r="N32"/>
  <c r="N33"/>
  <c r="N34"/>
  <c r="N35"/>
  <c r="N36"/>
  <c r="N37"/>
  <c r="N38"/>
  <c r="N39"/>
  <c r="N40"/>
  <c r="N41"/>
  <c r="N42"/>
  <c r="N43"/>
  <c r="N44"/>
  <c r="N45"/>
  <c r="V136"/>
  <c r="S136"/>
  <c r="W98"/>
  <c r="W99" s="1"/>
  <c r="S98"/>
  <c r="U98" s="1"/>
  <c r="V92"/>
  <c r="W92" s="1"/>
  <c r="S91"/>
  <c r="U91" s="1"/>
  <c r="N16"/>
  <c r="N17"/>
  <c r="N18"/>
  <c r="N19"/>
  <c r="N20"/>
  <c r="N21"/>
  <c r="N22"/>
  <c r="N23"/>
  <c r="N24"/>
  <c r="N25"/>
  <c r="N26"/>
  <c r="N27"/>
  <c r="N15"/>
  <c r="V55"/>
  <c r="E163"/>
  <c r="V64"/>
  <c r="S64"/>
  <c r="H4"/>
  <c r="H48" s="1"/>
  <c r="H167" s="1"/>
  <c r="G4"/>
  <c r="G48" s="1"/>
  <c r="G167" s="1"/>
  <c r="E4"/>
  <c r="Q82" i="10"/>
  <c r="Q81"/>
  <c r="E48" i="9" l="1"/>
  <c r="N4"/>
  <c r="U55"/>
  <c r="W55"/>
  <c r="U136"/>
  <c r="V138"/>
  <c r="U64"/>
  <c r="W64"/>
  <c r="N163"/>
  <c r="O79" i="10"/>
  <c r="A48" i="9" l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8" s="1"/>
  <c r="A84" s="1"/>
  <c r="A85" s="1"/>
  <c r="A86" s="1"/>
  <c r="A88" s="1"/>
  <c r="A89" s="1"/>
  <c r="A90" s="1"/>
  <c r="A91" s="1"/>
  <c r="A93" s="1"/>
  <c r="A94" s="1"/>
  <c r="A95" s="1"/>
  <c r="A96" s="1"/>
  <c r="A97" s="1"/>
  <c r="A98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6" s="1"/>
  <c r="A127" s="1"/>
  <c r="A128" s="1"/>
  <c r="A129" s="1"/>
  <c r="A130" s="1"/>
  <c r="A131" s="1"/>
  <c r="A132" s="1"/>
  <c r="A133" s="1"/>
  <c r="A134" s="1"/>
  <c r="A135" s="1"/>
  <c r="A136" s="1"/>
  <c r="A137" s="1"/>
  <c r="A138" s="1"/>
  <c r="A139" s="1"/>
  <c r="A140" s="1"/>
  <c r="A141" s="1"/>
  <c r="A144" s="1"/>
  <c r="A145" s="1"/>
  <c r="A146" s="1"/>
  <c r="A148" s="1"/>
  <c r="A149" s="1"/>
  <c r="A150" s="1"/>
  <c r="A151" s="1"/>
  <c r="A152" s="1"/>
  <c r="A153" s="1"/>
  <c r="A154" s="1"/>
  <c r="A155" s="1"/>
  <c r="A156" s="1"/>
  <c r="A157" s="1"/>
  <c r="A158" s="1"/>
  <c r="E167"/>
  <c r="N48"/>
  <c r="L48" s="1"/>
  <c r="V139"/>
  <c r="T157" l="1"/>
  <c r="T160" s="1"/>
  <c r="A159"/>
  <c r="A160" s="1"/>
  <c r="A161" s="1"/>
  <c r="A162" s="1"/>
  <c r="A163" s="1"/>
  <c r="A164" s="1"/>
  <c r="A165" s="1"/>
  <c r="A166" s="1"/>
  <c r="A167" s="1"/>
  <c r="N167"/>
  <c r="L167" s="1"/>
  <c r="Q77" i="10"/>
  <c r="Q76"/>
  <c r="Q74"/>
  <c r="G72"/>
  <c r="O72" s="1"/>
  <c r="C72"/>
  <c r="G71"/>
  <c r="C71"/>
  <c r="G70"/>
  <c r="G69"/>
  <c r="O69" s="1"/>
  <c r="C69"/>
  <c r="G68"/>
  <c r="Q69" l="1"/>
  <c r="Q70"/>
  <c r="O68"/>
  <c r="C68"/>
  <c r="Q68" l="1"/>
  <c r="R67"/>
  <c r="G67"/>
  <c r="O67" s="1"/>
  <c r="C67"/>
  <c r="G66"/>
  <c r="O66" s="1"/>
  <c r="C66"/>
  <c r="G65"/>
  <c r="O65" s="1"/>
  <c r="C65"/>
  <c r="M73"/>
  <c r="Q65" l="1"/>
  <c r="Q67"/>
  <c r="Q66"/>
  <c r="L73"/>
  <c r="G64"/>
  <c r="G73" s="1"/>
  <c r="C64"/>
  <c r="Q63"/>
  <c r="Q62"/>
  <c r="N61"/>
  <c r="G60"/>
  <c r="C60"/>
  <c r="G59"/>
  <c r="C59"/>
  <c r="I61"/>
  <c r="G58"/>
  <c r="F61"/>
  <c r="C58"/>
  <c r="L61"/>
  <c r="K61"/>
  <c r="J61" s="1"/>
  <c r="H61"/>
  <c r="G57"/>
  <c r="C57"/>
  <c r="Q56"/>
  <c r="Q55"/>
  <c r="N54"/>
  <c r="G53"/>
  <c r="C53"/>
  <c r="G52"/>
  <c r="O52" s="1"/>
  <c r="C52"/>
  <c r="G61" l="1"/>
  <c r="I73"/>
  <c r="H73" s="1"/>
  <c r="N75"/>
  <c r="C61"/>
  <c r="C73"/>
  <c r="F73"/>
  <c r="O64"/>
  <c r="Q52"/>
  <c r="O57"/>
  <c r="J73"/>
  <c r="K73"/>
  <c r="O58"/>
  <c r="Q58" s="1"/>
  <c r="G51"/>
  <c r="O51" s="1"/>
  <c r="C51"/>
  <c r="G50"/>
  <c r="O50" s="1"/>
  <c r="C50"/>
  <c r="O49"/>
  <c r="G49"/>
  <c r="C49"/>
  <c r="G48"/>
  <c r="C48"/>
  <c r="G47"/>
  <c r="C47"/>
  <c r="O46"/>
  <c r="G46"/>
  <c r="C46"/>
  <c r="M54"/>
  <c r="L54"/>
  <c r="K54"/>
  <c r="J54"/>
  <c r="I54"/>
  <c r="G45"/>
  <c r="F54"/>
  <c r="C45"/>
  <c r="Q44"/>
  <c r="Q43"/>
  <c r="Q50" l="1"/>
  <c r="G54"/>
  <c r="Q64"/>
  <c r="C54"/>
  <c r="O45"/>
  <c r="Q57"/>
  <c r="H54"/>
  <c r="Q46"/>
  <c r="Q49"/>
  <c r="Q51"/>
  <c r="H42"/>
  <c r="G41"/>
  <c r="O41" s="1"/>
  <c r="G40"/>
  <c r="O40" s="1"/>
  <c r="C40"/>
  <c r="G39"/>
  <c r="C39"/>
  <c r="G38"/>
  <c r="O38" s="1"/>
  <c r="F42"/>
  <c r="F75" s="1"/>
  <c r="C38"/>
  <c r="L42"/>
  <c r="L75" s="1"/>
  <c r="K42"/>
  <c r="K75" s="1"/>
  <c r="G37"/>
  <c r="C37"/>
  <c r="A37" s="1"/>
  <c r="Q36"/>
  <c r="A36"/>
  <c r="Q35"/>
  <c r="Q34"/>
  <c r="G42" l="1"/>
  <c r="G75" s="1"/>
  <c r="A40"/>
  <c r="A39"/>
  <c r="A38"/>
  <c r="O37"/>
  <c r="Q37" s="1"/>
  <c r="M42"/>
  <c r="M75" s="1"/>
  <c r="Q38"/>
  <c r="Q45"/>
  <c r="J42"/>
  <c r="I42" s="1"/>
  <c r="I75" s="1"/>
  <c r="H75" s="1"/>
  <c r="J75" l="1"/>
  <c r="G32"/>
  <c r="O32" s="1"/>
  <c r="C32"/>
  <c r="O31"/>
  <c r="G31"/>
  <c r="G30"/>
  <c r="O29"/>
  <c r="Q29" s="1"/>
  <c r="G28"/>
  <c r="C28"/>
  <c r="Q31" l="1"/>
  <c r="G26"/>
  <c r="O26" s="1"/>
  <c r="O25"/>
  <c r="C25"/>
  <c r="M24"/>
  <c r="L24"/>
  <c r="L27" s="1"/>
  <c r="K24"/>
  <c r="J24"/>
  <c r="I24"/>
  <c r="H24"/>
  <c r="G24"/>
  <c r="F24"/>
  <c r="F27" s="1"/>
  <c r="O23"/>
  <c r="Q23" s="1"/>
  <c r="C23"/>
  <c r="O22"/>
  <c r="C22"/>
  <c r="Q21"/>
  <c r="Q20"/>
  <c r="G27" l="1"/>
  <c r="O24"/>
  <c r="O27" s="1"/>
  <c r="Q22"/>
  <c r="K27"/>
  <c r="Q25"/>
  <c r="C24"/>
  <c r="H18"/>
  <c r="C18"/>
  <c r="C17"/>
  <c r="H16"/>
  <c r="G16"/>
  <c r="F19"/>
  <c r="Q15"/>
  <c r="Q14"/>
  <c r="G13"/>
  <c r="C13"/>
  <c r="M11"/>
  <c r="L11"/>
  <c r="K11"/>
  <c r="I11"/>
  <c r="H11"/>
  <c r="G11"/>
  <c r="F11"/>
  <c r="J10"/>
  <c r="O10" s="1"/>
  <c r="C10"/>
  <c r="O9"/>
  <c r="J9"/>
  <c r="C9"/>
  <c r="O8"/>
  <c r="J8"/>
  <c r="C8"/>
  <c r="A7"/>
  <c r="G79" i="12"/>
  <c r="C16" i="10" l="1"/>
  <c r="Q16" s="1"/>
  <c r="G19"/>
  <c r="G33" s="1"/>
  <c r="G78" s="1"/>
  <c r="O16"/>
  <c r="I19" s="1"/>
  <c r="H19" s="1"/>
  <c r="A8"/>
  <c r="A9" s="1"/>
  <c r="A10" s="1"/>
  <c r="Q24"/>
  <c r="O11"/>
  <c r="F33"/>
  <c r="F78" s="1"/>
  <c r="L19"/>
  <c r="K19"/>
  <c r="M27"/>
  <c r="J27"/>
  <c r="I27" s="1"/>
  <c r="H27" s="1"/>
  <c r="C11"/>
  <c r="O13"/>
  <c r="J19"/>
  <c r="J11"/>
  <c r="M19"/>
  <c r="F73" i="12"/>
  <c r="C73"/>
  <c r="H72"/>
  <c r="G72"/>
  <c r="G71"/>
  <c r="G70"/>
  <c r="G69"/>
  <c r="G68"/>
  <c r="G67"/>
  <c r="G73" s="1"/>
  <c r="G66"/>
  <c r="G65"/>
  <c r="G64"/>
  <c r="G61"/>
  <c r="F61"/>
  <c r="C61"/>
  <c r="G60"/>
  <c r="G59"/>
  <c r="G58"/>
  <c r="G57"/>
  <c r="F54"/>
  <c r="C54"/>
  <c r="G53"/>
  <c r="G52"/>
  <c r="G51"/>
  <c r="G50"/>
  <c r="G49"/>
  <c r="G48"/>
  <c r="G47"/>
  <c r="G46"/>
  <c r="G45"/>
  <c r="G54" s="1"/>
  <c r="F42"/>
  <c r="F75" s="1"/>
  <c r="C41"/>
  <c r="G40"/>
  <c r="H39"/>
  <c r="G39"/>
  <c r="G38"/>
  <c r="G37"/>
  <c r="A36"/>
  <c r="C19" i="10" l="1"/>
  <c r="G42" i="12"/>
  <c r="G75" s="1"/>
  <c r="A11" i="10"/>
  <c r="C42" i="12"/>
  <c r="G41"/>
  <c r="F80" i="10"/>
  <c r="Q13"/>
  <c r="G84" i="12" l="1"/>
  <c r="F84" s="1"/>
  <c r="C84" s="1"/>
  <c r="H75"/>
  <c r="C75"/>
  <c r="D79" l="1"/>
  <c r="D72"/>
  <c r="D68"/>
  <c r="D64"/>
  <c r="D59"/>
  <c r="D50"/>
  <c r="D46"/>
  <c r="D66"/>
  <c r="D48"/>
  <c r="D37"/>
  <c r="D39"/>
  <c r="D57"/>
  <c r="D49"/>
  <c r="D38"/>
  <c r="D69"/>
  <c r="D65"/>
  <c r="D60"/>
  <c r="D51"/>
  <c r="D47"/>
  <c r="D70"/>
  <c r="D52"/>
  <c r="D53"/>
  <c r="D40"/>
  <c r="D45"/>
  <c r="D71"/>
  <c r="D67"/>
  <c r="D58"/>
  <c r="D41"/>
  <c r="H32"/>
  <c r="G31"/>
  <c r="G30"/>
  <c r="G29"/>
  <c r="G28"/>
  <c r="F27"/>
  <c r="C26"/>
  <c r="G25"/>
  <c r="G24"/>
  <c r="C24"/>
  <c r="G23"/>
  <c r="G22"/>
  <c r="C26" i="10" l="1"/>
  <c r="A37" i="12"/>
  <c r="D42"/>
  <c r="D61"/>
  <c r="D73"/>
  <c r="D54"/>
  <c r="G26"/>
  <c r="A38"/>
  <c r="G19"/>
  <c r="F19"/>
  <c r="C19"/>
  <c r="H18"/>
  <c r="G18"/>
  <c r="H17"/>
  <c r="G17"/>
  <c r="H16"/>
  <c r="G16"/>
  <c r="G13"/>
  <c r="G11"/>
  <c r="F11"/>
  <c r="F33" s="1"/>
  <c r="C11"/>
  <c r="G10"/>
  <c r="G9"/>
  <c r="G8"/>
  <c r="A7"/>
  <c r="F83" l="1"/>
  <c r="F78"/>
  <c r="H78" s="1"/>
  <c r="D75"/>
  <c r="H37"/>
  <c r="A39"/>
  <c r="Q26" i="10"/>
  <c r="C27"/>
  <c r="Q27" s="1"/>
  <c r="H33"/>
  <c r="H78" s="1"/>
  <c r="I33"/>
  <c r="I78" s="1"/>
  <c r="I80" s="1"/>
  <c r="J33"/>
  <c r="J78" s="1"/>
  <c r="J80" s="1"/>
  <c r="K33"/>
  <c r="K78" s="1"/>
  <c r="K80" s="1"/>
  <c r="L33"/>
  <c r="L78" s="1"/>
  <c r="L80" s="1"/>
  <c r="O18"/>
  <c r="Q18" s="1"/>
  <c r="C33"/>
  <c r="C41"/>
  <c r="C42" s="1"/>
  <c r="C75" s="1"/>
  <c r="C84" s="1"/>
  <c r="M33"/>
  <c r="M78" s="1"/>
  <c r="M80" s="1"/>
  <c r="O28"/>
  <c r="Q28" s="1"/>
  <c r="O30"/>
  <c r="O17"/>
  <c r="Q17" s="1"/>
  <c r="D19"/>
  <c r="D11"/>
  <c r="O53"/>
  <c r="Q53" s="1"/>
  <c r="O39"/>
  <c r="O48"/>
  <c r="O60"/>
  <c r="Q60" s="1"/>
  <c r="A41"/>
  <c r="Q40"/>
  <c r="O47"/>
  <c r="Q47" s="1"/>
  <c r="O59"/>
  <c r="O71"/>
  <c r="A42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Q41"/>
  <c r="S139" i="9"/>
  <c r="U139" s="1"/>
  <c r="S138"/>
  <c r="U138" s="1"/>
  <c r="C83" i="10"/>
  <c r="Q83" s="1"/>
  <c r="G80"/>
  <c r="Q79"/>
  <c r="Q32"/>
  <c r="S117" i="9"/>
  <c r="U117"/>
  <c r="S76"/>
  <c r="U76" s="1"/>
  <c r="S66"/>
  <c r="U66" s="1"/>
  <c r="N58"/>
  <c r="S58" s="1"/>
  <c r="U58" s="1"/>
  <c r="S152"/>
  <c r="U152"/>
  <c r="S128"/>
  <c r="U128" s="1"/>
  <c r="S111"/>
  <c r="U111" s="1"/>
  <c r="S107"/>
  <c r="U107" s="1"/>
  <c r="S96"/>
  <c r="U96"/>
  <c r="S154"/>
  <c r="U154" s="1"/>
  <c r="S148"/>
  <c r="U148" s="1"/>
  <c r="S89"/>
  <c r="U89" s="1"/>
  <c r="S122"/>
  <c r="U122"/>
  <c r="S118"/>
  <c r="U118" s="1"/>
  <c r="S84"/>
  <c r="U84" s="1"/>
  <c r="S71"/>
  <c r="U71" s="1"/>
  <c r="S67"/>
  <c r="U67"/>
  <c r="S88"/>
  <c r="U88"/>
  <c r="S144"/>
  <c r="U144" s="1"/>
  <c r="S94"/>
  <c r="U94" s="1"/>
  <c r="S78"/>
  <c r="U78"/>
  <c r="S59"/>
  <c r="U59"/>
  <c r="S129"/>
  <c r="U129" s="1"/>
  <c r="S113"/>
  <c r="U113" s="1"/>
  <c r="S108"/>
  <c r="U108" s="1"/>
  <c r="S97"/>
  <c r="U97"/>
  <c r="S155"/>
  <c r="U155" s="1"/>
  <c r="S149"/>
  <c r="U149" s="1"/>
  <c r="S132"/>
  <c r="U132" s="1"/>
  <c r="S90"/>
  <c r="U90"/>
  <c r="S137"/>
  <c r="U137" s="1"/>
  <c r="S121"/>
  <c r="U121" s="1"/>
  <c r="S141"/>
  <c r="U141" s="1"/>
  <c r="S131"/>
  <c r="U131" s="1"/>
  <c r="S123"/>
  <c r="U123" s="1"/>
  <c r="S119"/>
  <c r="U119" s="1"/>
  <c r="S115"/>
  <c r="U115" s="1"/>
  <c r="S85"/>
  <c r="U85" s="1"/>
  <c r="S72"/>
  <c r="U72" s="1"/>
  <c r="S68"/>
  <c r="U68" s="1"/>
  <c r="S145"/>
  <c r="U145"/>
  <c r="S103"/>
  <c r="U103" s="1"/>
  <c r="S130"/>
  <c r="U130" s="1"/>
  <c r="S109"/>
  <c r="U109" s="1"/>
  <c r="S60"/>
  <c r="U60" s="1"/>
  <c r="S150"/>
  <c r="U150" s="1"/>
  <c r="S133"/>
  <c r="U133" s="1"/>
  <c r="S124"/>
  <c r="U124" s="1"/>
  <c r="S120"/>
  <c r="U120" s="1"/>
  <c r="S116"/>
  <c r="U116" s="1"/>
  <c r="S86"/>
  <c r="U86" s="1"/>
  <c r="S69"/>
  <c r="U69" s="1"/>
  <c r="S65"/>
  <c r="U65" s="1"/>
  <c r="S56"/>
  <c r="U56" s="1"/>
  <c r="S146"/>
  <c r="U146" s="1"/>
  <c r="S140"/>
  <c r="U140" s="1"/>
  <c r="S104"/>
  <c r="U104" s="1"/>
  <c r="S151"/>
  <c r="U151" s="1"/>
  <c r="S127"/>
  <c r="U127" s="1"/>
  <c r="S110"/>
  <c r="U110" s="1"/>
  <c r="S106"/>
  <c r="U106" s="1"/>
  <c r="S95"/>
  <c r="U95" s="1"/>
  <c r="S63"/>
  <c r="U63" s="1"/>
  <c r="S153"/>
  <c r="U153" s="1"/>
  <c r="S134"/>
  <c r="U134" s="1"/>
  <c r="S126"/>
  <c r="U126" s="1"/>
  <c r="D41" i="10" l="1"/>
  <c r="D50"/>
  <c r="D66"/>
  <c r="D79"/>
  <c r="Q72"/>
  <c r="A74"/>
  <c r="A75" s="1"/>
  <c r="A76" s="1"/>
  <c r="A77" s="1"/>
  <c r="A78" s="1"/>
  <c r="A79" s="1"/>
  <c r="A80" s="1"/>
  <c r="A81" s="1"/>
  <c r="A82" s="1"/>
  <c r="A83" s="1"/>
  <c r="A84" s="1"/>
  <c r="A85" s="1"/>
  <c r="H38" i="12"/>
  <c r="A40"/>
  <c r="A41" s="1"/>
  <c r="D60" i="10"/>
  <c r="D70"/>
  <c r="D46"/>
  <c r="C78"/>
  <c r="C80" s="1"/>
  <c r="D37"/>
  <c r="Q84"/>
  <c r="C85"/>
  <c r="Q85" s="1"/>
  <c r="D72"/>
  <c r="D68"/>
  <c r="D64"/>
  <c r="D58"/>
  <c r="D52"/>
  <c r="D48"/>
  <c r="D39"/>
  <c r="D69"/>
  <c r="D65"/>
  <c r="D59"/>
  <c r="D53"/>
  <c r="D49"/>
  <c r="D45"/>
  <c r="D40"/>
  <c r="D71"/>
  <c r="D67"/>
  <c r="D57"/>
  <c r="D51"/>
  <c r="D47"/>
  <c r="D38"/>
  <c r="Q71"/>
  <c r="O73"/>
  <c r="Q73" s="1"/>
  <c r="Q59"/>
  <c r="O61"/>
  <c r="Q61" s="1"/>
  <c r="Q48"/>
  <c r="O54"/>
  <c r="Q54" s="1"/>
  <c r="Q39"/>
  <c r="O42"/>
  <c r="O19"/>
  <c r="Q19" s="1"/>
  <c r="H80"/>
  <c r="O80" s="1"/>
  <c r="O78"/>
  <c r="Q30"/>
  <c r="D33"/>
  <c r="H40" i="12" l="1"/>
  <c r="A42"/>
  <c r="H41" s="1"/>
  <c r="Q80" i="10"/>
  <c r="Q78"/>
  <c r="D42"/>
  <c r="D73"/>
  <c r="D61"/>
  <c r="D54"/>
  <c r="O75"/>
  <c r="Q75" s="1"/>
  <c r="Q42"/>
  <c r="O33"/>
  <c r="Q33" s="1"/>
  <c r="D75" l="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8" i="12"/>
  <c r="A9"/>
  <c r="A10"/>
  <c r="A11"/>
  <c r="A12"/>
  <c r="A13"/>
  <c r="A14"/>
  <c r="A15"/>
  <c r="A16"/>
  <c r="A17"/>
  <c r="A18"/>
  <c r="A19"/>
  <c r="H10"/>
  <c r="H9"/>
  <c r="A43"/>
  <c r="A44"/>
  <c r="A45"/>
  <c r="A46"/>
  <c r="A47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H66"/>
  <c r="A20"/>
  <c r="A21"/>
  <c r="A22"/>
  <c r="A23"/>
  <c r="A24"/>
  <c r="A25"/>
  <c r="A26"/>
  <c r="H25"/>
  <c r="H24"/>
  <c r="H23"/>
  <c r="H22"/>
  <c r="A69"/>
  <c r="H67"/>
  <c r="A70"/>
  <c r="A71"/>
  <c r="A72"/>
  <c r="A73"/>
  <c r="A74"/>
  <c r="A75"/>
  <c r="A76"/>
  <c r="A77"/>
  <c r="A78"/>
  <c r="A79"/>
  <c r="H61"/>
  <c r="H68"/>
  <c r="H45"/>
  <c r="H54"/>
  <c r="C27"/>
  <c r="C33"/>
  <c r="D16"/>
  <c r="D17"/>
  <c r="D18"/>
  <c r="D19"/>
  <c r="H13"/>
  <c r="H48"/>
  <c r="H69"/>
  <c r="H42"/>
  <c r="H64"/>
  <c r="D8"/>
  <c r="D9"/>
  <c r="D10"/>
  <c r="D11"/>
  <c r="H47"/>
  <c r="H46"/>
  <c r="H58"/>
  <c r="H70"/>
  <c r="H51"/>
  <c r="H50"/>
  <c r="H57"/>
  <c r="H49"/>
  <c r="H65"/>
  <c r="A80"/>
  <c r="A81"/>
  <c r="A82"/>
  <c r="A83"/>
  <c r="A84"/>
  <c r="G27"/>
  <c r="G33"/>
  <c r="G83"/>
  <c r="H83"/>
  <c r="F80"/>
  <c r="H80"/>
  <c r="H27"/>
  <c r="D27"/>
  <c r="A27"/>
  <c r="H26"/>
  <c r="H73"/>
  <c r="D13"/>
  <c r="D28"/>
  <c r="D29"/>
  <c r="D30"/>
  <c r="D31"/>
  <c r="D32"/>
  <c r="D33"/>
  <c r="H60"/>
  <c r="H59"/>
  <c r="H53"/>
  <c r="H52"/>
  <c r="H71"/>
  <c r="H33"/>
  <c r="G85"/>
  <c r="F85"/>
  <c r="H85"/>
  <c r="C83"/>
  <c r="C85"/>
  <c r="A85"/>
  <c r="H84"/>
  <c r="C78"/>
  <c r="C80"/>
  <c r="H79"/>
  <c r="H8"/>
  <c r="H11"/>
  <c r="D26"/>
  <c r="A28"/>
  <c r="A29"/>
  <c r="A30"/>
  <c r="A31"/>
  <c r="A32"/>
  <c r="H31"/>
  <c r="D25"/>
  <c r="D24"/>
  <c r="D22"/>
  <c r="H19"/>
  <c r="H30"/>
  <c r="D23"/>
  <c r="H28"/>
  <c r="A33"/>
</calcChain>
</file>

<file path=xl/comments1.xml><?xml version="1.0" encoding="utf-8"?>
<comments xmlns="http://schemas.openxmlformats.org/spreadsheetml/2006/main">
  <authors>
    <author>snewton</author>
  </authors>
  <commentList>
    <comment ref="A1" authorId="0">
      <text>
        <r>
          <rPr>
            <b/>
            <sz val="9"/>
            <color indexed="81"/>
            <rFont val="Tahoma"/>
            <family val="2"/>
          </rPr>
          <t>snewton: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snewton</author>
    <author>Jacqueline M. Johns</author>
  </authors>
  <commentList>
    <comment ref="B46" authorId="0">
      <text>
        <r>
          <rPr>
            <b/>
            <sz val="9"/>
            <color indexed="81"/>
            <rFont val="Tahoma"/>
            <family val="2"/>
          </rPr>
          <t>snewton: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73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Saralux - 14000*12
</t>
        </r>
      </text>
    </comment>
    <comment ref="R75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$95,000 for temp help for Johns, Dodge, Persaud
</t>
        </r>
      </text>
    </comment>
    <comment ref="T75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$5500 for Cookie warehouse assistance;
$8000 for camp facilitators; $6500
for Pathways facilitators
</t>
        </r>
      </text>
    </comment>
    <comment ref="T80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Will we have interns helping Marlaine next year?
</t>
        </r>
      </text>
    </comment>
    <comment ref="T82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in 2012 Bridging tickets and 100th anniv event for Brevard
</t>
        </r>
      </text>
    </comment>
    <comment ref="T83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Band for WoD
</t>
        </r>
      </text>
    </comment>
    <comment ref="T92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Avg $500 p/month now
</t>
        </r>
      </text>
    </comment>
    <comment ref="T95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$1000 for courier services to move museum to 100th anniv event</t>
        </r>
      </text>
    </comment>
    <comment ref="T97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Difference is from 100th anniv events and Chef's gone wild
</t>
        </r>
      </text>
    </comment>
    <comment ref="T105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$13560 for janitorial services, $6300 for lawn care, $4800 pinecastle lawn care off set by Philips contribution, $180 alarm monitoring, $3000 Tillis Pest Control, $720 Lawn care, $2700 pool chemicals
</t>
        </r>
      </text>
    </comment>
    <comment ref="T110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$595 Bidding for Good, $1440 for software??
</t>
        </r>
      </text>
    </comment>
    <comment ref="T112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Postage meter - $4800, $21,000 telephone rental, $7000 copier rental, $950 water cooler rental, $564 for shredding, $2300 AV for IHH
</t>
        </r>
      </text>
    </comment>
    <comment ref="T114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$11000 for postage meter service contract, $4260 elevator service, $570 for alarm, $770 for ADT
</t>
        </r>
      </text>
    </comment>
    <comment ref="T117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Radio Disney?
</t>
        </r>
      </text>
    </comment>
    <comment ref="T119" authorId="1">
      <text>
        <r>
          <rPr>
            <b/>
            <sz val="9"/>
            <color indexed="81"/>
            <rFont val="Tahoma"/>
            <family val="2"/>
          </rPr>
          <t>Jacqueline M. Johns:</t>
        </r>
        <r>
          <rPr>
            <sz val="9"/>
            <color indexed="81"/>
            <rFont val="Tahoma"/>
            <family val="2"/>
          </rPr>
          <t xml:space="preserve">
tolls
</t>
        </r>
      </text>
    </comment>
    <comment ref="T120" authorId="1">
      <text>
        <r>
          <rPr>
            <b/>
            <sz val="9"/>
            <color indexed="81"/>
            <rFont val="Tahoma"/>
            <family val="2"/>
          </rPr>
          <t>Jacqueline M. Johns: leasing vehicles to transport girls to/from camp activities</t>
        </r>
      </text>
    </comment>
  </commentList>
</comments>
</file>

<file path=xl/sharedStrings.xml><?xml version="1.0" encoding="utf-8"?>
<sst xmlns="http://schemas.openxmlformats.org/spreadsheetml/2006/main" count="415" uniqueCount="277">
  <si>
    <t xml:space="preserve">   Depreciation Expense</t>
  </si>
  <si>
    <t>Revenues</t>
  </si>
  <si>
    <t>Expenditures</t>
  </si>
  <si>
    <t>Total Revenues</t>
  </si>
  <si>
    <t>Total Budgeted Revenues</t>
  </si>
  <si>
    <t>Total Budgeted Expenditures</t>
  </si>
  <si>
    <t>Budget</t>
  </si>
  <si>
    <t xml:space="preserve">   Cookie Income, Net</t>
  </si>
  <si>
    <t xml:space="preserve">   Council Shop Income, Net</t>
  </si>
  <si>
    <t xml:space="preserve">   United Ways</t>
  </si>
  <si>
    <t xml:space="preserve">   Outside Usage Group Fees</t>
  </si>
  <si>
    <t xml:space="preserve">   Employee Benefits</t>
  </si>
  <si>
    <t xml:space="preserve">   Professional Fees</t>
  </si>
  <si>
    <t xml:space="preserve">   Telephone</t>
  </si>
  <si>
    <t xml:space="preserve">   Postage &amp; Shipping</t>
  </si>
  <si>
    <t xml:space="preserve">   Occupancy</t>
  </si>
  <si>
    <t xml:space="preserve">   Information Technology</t>
  </si>
  <si>
    <t xml:space="preserve">   Transportation</t>
  </si>
  <si>
    <t xml:space="preserve">   Assistance to Girls &amp; Adults</t>
  </si>
  <si>
    <t xml:space="preserve">   Insurance</t>
  </si>
  <si>
    <t xml:space="preserve">   Interest</t>
  </si>
  <si>
    <t xml:space="preserve">   Recruitment Expense</t>
  </si>
  <si>
    <t>Budget Surplus/(Deficit)</t>
  </si>
  <si>
    <t>% of Total</t>
  </si>
  <si>
    <t xml:space="preserve">   Equipment Maintenance</t>
  </si>
  <si>
    <t xml:space="preserve">   Government Agency Grants</t>
  </si>
  <si>
    <t xml:space="preserve">   Meetings &amp; Special Events</t>
  </si>
  <si>
    <t>Total</t>
  </si>
  <si>
    <t>Total Revenue</t>
  </si>
  <si>
    <t xml:space="preserve">   Contributions</t>
  </si>
  <si>
    <t xml:space="preserve">   Fund Raising Events</t>
  </si>
  <si>
    <t xml:space="preserve">   Rental Income</t>
  </si>
  <si>
    <t xml:space="preserve">   Investment  Income</t>
  </si>
  <si>
    <t xml:space="preserve">   Salaries </t>
  </si>
  <si>
    <t xml:space="preserve">   Seasonal Camp Staff</t>
  </si>
  <si>
    <t xml:space="preserve">   Contract-Hire Services</t>
  </si>
  <si>
    <t>2010-2011 Budget Recap:</t>
  </si>
  <si>
    <t xml:space="preserve">   Bad Debt</t>
  </si>
  <si>
    <t xml:space="preserve">   Office &amp; General Supplies</t>
  </si>
  <si>
    <t xml:space="preserve">   Mileage Reimbursement</t>
  </si>
  <si>
    <t xml:space="preserve">   Equipment &lt; $1,000</t>
  </si>
  <si>
    <t xml:space="preserve">   Equipment Rental</t>
  </si>
  <si>
    <t xml:space="preserve">   Food Cost</t>
  </si>
  <si>
    <t xml:space="preserve">   Computer Software</t>
  </si>
  <si>
    <t>Draft</t>
  </si>
  <si>
    <t xml:space="preserve">   Foundations &amp; Other Grants</t>
  </si>
  <si>
    <t xml:space="preserve">   Donated Goods,Service &amp; Facility</t>
  </si>
  <si>
    <t xml:space="preserve">   Interim CEO</t>
  </si>
  <si>
    <t xml:space="preserve"> Product &amp; Council Shop Revenue, Net</t>
  </si>
  <si>
    <t>Approved</t>
  </si>
  <si>
    <t xml:space="preserve">Budget Variance  </t>
  </si>
  <si>
    <t>Labor Cost</t>
  </si>
  <si>
    <t>Year Ending</t>
  </si>
  <si>
    <t>to</t>
  </si>
  <si>
    <t xml:space="preserve"> Total Product &amp; Council Shop Revenue </t>
  </si>
  <si>
    <t xml:space="preserve"> Foundations &amp; Grants</t>
  </si>
  <si>
    <t xml:space="preserve"> Total Foundations &amp; Grants</t>
  </si>
  <si>
    <t xml:space="preserve"> Program Fees</t>
  </si>
  <si>
    <r>
      <t xml:space="preserve">   </t>
    </r>
    <r>
      <rPr>
        <sz val="10"/>
        <rFont val="Arial"/>
        <family val="2"/>
      </rPr>
      <t>Resident Camp Fees</t>
    </r>
  </si>
  <si>
    <r>
      <t xml:space="preserve">   </t>
    </r>
    <r>
      <rPr>
        <sz val="10"/>
        <rFont val="Arial"/>
        <family val="2"/>
      </rPr>
      <t>Day Camp Fees</t>
    </r>
  </si>
  <si>
    <r>
      <t xml:space="preserve">   </t>
    </r>
    <r>
      <rPr>
        <sz val="10"/>
        <rFont val="Arial"/>
        <family val="2"/>
      </rPr>
      <t>Troop Camp Fees</t>
    </r>
  </si>
  <si>
    <r>
      <t xml:space="preserve">   </t>
    </r>
    <r>
      <rPr>
        <sz val="10"/>
        <rFont val="Arial"/>
        <family val="2"/>
      </rPr>
      <t>Year Round Program Fees</t>
    </r>
  </si>
  <si>
    <t xml:space="preserve">           Total Resident and Day Camp</t>
  </si>
  <si>
    <t>Total Program Fees</t>
  </si>
  <si>
    <t xml:space="preserve">   Fall Products, Net</t>
  </si>
  <si>
    <t>Under Expenses</t>
  </si>
  <si>
    <t>Revenues Over</t>
  </si>
  <si>
    <t>Total Expenses</t>
  </si>
  <si>
    <t>Capital Assets Donated</t>
  </si>
  <si>
    <t>Capital Asset Improvements-Extend Life</t>
  </si>
  <si>
    <t>Capital Asset Purchases</t>
  </si>
  <si>
    <t>CES Currency Adjustment</t>
  </si>
  <si>
    <t>Amortization EXP - Intangible Assets</t>
  </si>
  <si>
    <t>Depreciation - Other</t>
  </si>
  <si>
    <t>Depreciation - Equipment</t>
  </si>
  <si>
    <t>Depreciation - Buildings</t>
  </si>
  <si>
    <t>Depreciations - Land Imp</t>
  </si>
  <si>
    <t>Charter Fee to GSUSA</t>
  </si>
  <si>
    <t>CES Discounts</t>
  </si>
  <si>
    <t>Misc Fees</t>
  </si>
  <si>
    <t>Licenses and Fees</t>
  </si>
  <si>
    <t>Sales Taxes</t>
  </si>
  <si>
    <t>Bad Debts</t>
  </si>
  <si>
    <t>Credit Card Charges</t>
  </si>
  <si>
    <t>Bank Service Charges</t>
  </si>
  <si>
    <t>Claims Hurricane</t>
  </si>
  <si>
    <t>Directors and Officers</t>
  </si>
  <si>
    <t>Camper</t>
  </si>
  <si>
    <t>Vehicles and Boats</t>
  </si>
  <si>
    <t>Property</t>
  </si>
  <si>
    <t>General</t>
  </si>
  <si>
    <t>Interest Expense</t>
  </si>
  <si>
    <t>CES Debit Balance Write Off of FA</t>
  </si>
  <si>
    <t>CES Credit Balance Write Off of FA</t>
  </si>
  <si>
    <t>Transfer of Troop Donations Portion from Larger Donation</t>
  </si>
  <si>
    <t>F/A Shop Consignment Gift</t>
  </si>
  <si>
    <t>F/A Shop Consignment program piece</t>
  </si>
  <si>
    <t>Assistance F/A</t>
  </si>
  <si>
    <t>Key Volunteer Development</t>
  </si>
  <si>
    <t>Staff Development</t>
  </si>
  <si>
    <t>Meeting Space Rental - Council Wide</t>
  </si>
  <si>
    <t>Transportation Costs</t>
  </si>
  <si>
    <t>Housing - CEO interim related</t>
  </si>
  <si>
    <t>Hotel, Meals, and Incidentals</t>
  </si>
  <si>
    <t>Maintaining and Repairing Vehicles and Boats</t>
  </si>
  <si>
    <t>Vehicle Leasing and Chartering</t>
  </si>
  <si>
    <t>Local Transportation Costs</t>
  </si>
  <si>
    <t>Mileage Reimbursement/Auto Allowance</t>
  </si>
  <si>
    <t>Advertising</t>
  </si>
  <si>
    <t>Printing and Publications</t>
  </si>
  <si>
    <t>Comp Infrastructure Software</t>
  </si>
  <si>
    <t>Equipment Service Contracts</t>
  </si>
  <si>
    <t>Equipment Repair and Maint.</t>
  </si>
  <si>
    <t>Equipment Rental EXPense</t>
  </si>
  <si>
    <t>Equipment Purchase—IT</t>
  </si>
  <si>
    <t>Equipment Purchase—Small Equipment</t>
  </si>
  <si>
    <t>Occupancy Fees</t>
  </si>
  <si>
    <t>Intg Per Property Tax</t>
  </si>
  <si>
    <t>Building and Maintenance Supplies</t>
  </si>
  <si>
    <t>Building Repairs, Maintenance, and Services</t>
  </si>
  <si>
    <t>Real Estate Taxes</t>
  </si>
  <si>
    <t>Mortgage Interest</t>
  </si>
  <si>
    <t>Utilities</t>
  </si>
  <si>
    <t>Facility Rental</t>
  </si>
  <si>
    <t>Contract Mailing Service</t>
  </si>
  <si>
    <t>Courier Services</t>
  </si>
  <si>
    <t>Postage and Freight/Shipping</t>
  </si>
  <si>
    <t>Data Communications, Internet, Web Hosting</t>
  </si>
  <si>
    <t>Telephone</t>
  </si>
  <si>
    <t>Marketing Items</t>
  </si>
  <si>
    <t>Recognition Items</t>
  </si>
  <si>
    <t>Equestrian Supplies</t>
  </si>
  <si>
    <t>Program Supplies</t>
  </si>
  <si>
    <t>Office Stationery and Supplies</t>
  </si>
  <si>
    <t>Food and Beverages</t>
  </si>
  <si>
    <t>Girl Incentives</t>
  </si>
  <si>
    <t>Program Fees</t>
  </si>
  <si>
    <t>Program Professional Services</t>
  </si>
  <si>
    <t>Evaluation Services, Development and Measurement</t>
  </si>
  <si>
    <t>Computer and Technical Consultants</t>
  </si>
  <si>
    <t>Administrative Service Fees</t>
  </si>
  <si>
    <t>Public Relations</t>
  </si>
  <si>
    <t>Fundraising Professionals</t>
  </si>
  <si>
    <t>Lobbying</t>
  </si>
  <si>
    <t>Legal</t>
  </si>
  <si>
    <t>Audit and Accounting</t>
  </si>
  <si>
    <t>Worker's Compensation</t>
  </si>
  <si>
    <t>Unemployment Ins.</t>
  </si>
  <si>
    <t>FICA</t>
  </si>
  <si>
    <t>Background Screening</t>
  </si>
  <si>
    <t>Uniforms</t>
  </si>
  <si>
    <t>Severance Pay</t>
  </si>
  <si>
    <t>Long Term Disability Plan</t>
  </si>
  <si>
    <t>Council LIfe and Accidental Death Plan</t>
  </si>
  <si>
    <t>GSUSA Retirement Plan</t>
  </si>
  <si>
    <t>Vision Premiums</t>
  </si>
  <si>
    <t>Dental Plan Premiums</t>
  </si>
  <si>
    <t>Health Plan Premiums</t>
  </si>
  <si>
    <t>Rangers</t>
  </si>
  <si>
    <t>Temporary Staff</t>
  </si>
  <si>
    <t>Seasonal Employees</t>
  </si>
  <si>
    <t>Regular Employees—Nonexempt</t>
  </si>
  <si>
    <t>Regular Employees—Exempt</t>
  </si>
  <si>
    <t>Unrelated Business Income</t>
  </si>
  <si>
    <t>Gain or Loss on Sale of Assets (Property and Equipment)</t>
  </si>
  <si>
    <t>Misc Income Budget</t>
  </si>
  <si>
    <t>Misc Income</t>
  </si>
  <si>
    <t>Meetings and Conferences Reg Fees</t>
  </si>
  <si>
    <t>Investment Fees (contra)</t>
  </si>
  <si>
    <t>Unrealized Gain (or Loss)</t>
  </si>
  <si>
    <t>Realized Gain (or Loss)</t>
  </si>
  <si>
    <t>Investment Interest and Dividends</t>
  </si>
  <si>
    <t>Bank Interest</t>
  </si>
  <si>
    <t>Investment Income Budget</t>
  </si>
  <si>
    <t>INVESTMENT INCOME</t>
  </si>
  <si>
    <t>Rental Income Budget</t>
  </si>
  <si>
    <t>RENTAL INCOME</t>
  </si>
  <si>
    <t>Cost of Direct Benefit to Donor</t>
  </si>
  <si>
    <t>Special Event REVenue</t>
  </si>
  <si>
    <t>Government Fees and Contracts</t>
  </si>
  <si>
    <t>Program Revenue for Budget</t>
  </si>
  <si>
    <t>PROGRAM SERVICE FEES</t>
  </si>
  <si>
    <t>Net Retail</t>
  </si>
  <si>
    <t>Merchandise Discounts Taken</t>
  </si>
  <si>
    <t>Returns and Allowances (contra)</t>
  </si>
  <si>
    <t>Cost of Sales—Freight In (contra)</t>
  </si>
  <si>
    <t>Cost of Sales—inventory (contra)</t>
  </si>
  <si>
    <t>Retail Gross Sales</t>
  </si>
  <si>
    <t>Net</t>
  </si>
  <si>
    <t>Troop/SU Proceeds</t>
  </si>
  <si>
    <t>Cost of Product Sales</t>
  </si>
  <si>
    <t>Product Sales Gross</t>
  </si>
  <si>
    <t>Special Fundraising Events</t>
  </si>
  <si>
    <t>Government Grants</t>
  </si>
  <si>
    <t>Donated Assets</t>
  </si>
  <si>
    <t>Donated Use of Facilities</t>
  </si>
  <si>
    <t>Donated Services</t>
  </si>
  <si>
    <t>Donated Goods</t>
  </si>
  <si>
    <t>United Way</t>
  </si>
  <si>
    <t>Planned Giving</t>
  </si>
  <si>
    <t>Foundations</t>
  </si>
  <si>
    <t>Corporations/Civic Groups</t>
  </si>
  <si>
    <t>Individuals</t>
  </si>
  <si>
    <t>Direct Contributions</t>
  </si>
  <si>
    <t xml:space="preserve">   Bank &amp; Merchant Fees</t>
  </si>
  <si>
    <r>
      <rPr>
        <b/>
        <sz val="10"/>
        <rFont val="Arial"/>
        <family val="2"/>
      </rPr>
      <t>Total Labor Cost</t>
    </r>
    <r>
      <rPr>
        <sz val="10"/>
        <rFont val="Arial"/>
        <family val="2"/>
      </rPr>
      <t xml:space="preserve">   </t>
    </r>
  </si>
  <si>
    <t xml:space="preserve">   Program Supplies &amp; Expense</t>
  </si>
  <si>
    <t>Total Expenditures before Depreciation</t>
  </si>
  <si>
    <t>Excess of Revenues over Expenditures</t>
  </si>
  <si>
    <t xml:space="preserve">   before Depreciation</t>
  </si>
  <si>
    <t>Facility Cost</t>
  </si>
  <si>
    <t>Total Facility Cost</t>
  </si>
  <si>
    <t xml:space="preserve">   Printing &amp; Publications</t>
  </si>
  <si>
    <t>Administrative Expense</t>
  </si>
  <si>
    <t>Total Administrative Expense</t>
  </si>
  <si>
    <t>Program Cost</t>
  </si>
  <si>
    <t>Total Program cost</t>
  </si>
  <si>
    <t>Event</t>
  </si>
  <si>
    <t>Admin</t>
  </si>
  <si>
    <t>Grant</t>
  </si>
  <si>
    <t>Gifts</t>
  </si>
  <si>
    <t>Facilities</t>
  </si>
  <si>
    <t>Program</t>
  </si>
  <si>
    <t xml:space="preserve">Camp </t>
  </si>
  <si>
    <t>Program Services</t>
  </si>
  <si>
    <t>Revenue (Products/Shop)</t>
  </si>
  <si>
    <t>e</t>
  </si>
  <si>
    <t>f</t>
  </si>
  <si>
    <t>h</t>
  </si>
  <si>
    <t>i</t>
  </si>
  <si>
    <t>j</t>
  </si>
  <si>
    <t>k</t>
  </si>
  <si>
    <t>l</t>
  </si>
  <si>
    <t>m</t>
  </si>
  <si>
    <t>Product Sales/Shop</t>
  </si>
  <si>
    <t>Events</t>
  </si>
  <si>
    <t xml:space="preserve">                                                                                </t>
  </si>
  <si>
    <t>Administrative Column includes strategic learning, finance business services and Hr.</t>
  </si>
  <si>
    <t>Special Events includes 100th different celebration activities.  This is handled by their department, but is not a fund raising activity</t>
  </si>
  <si>
    <t>Recruitment - Advertising</t>
  </si>
  <si>
    <t>NGSCRP Frozen Retirement Plan Payments</t>
  </si>
  <si>
    <t>Audit and Accounting inactive</t>
  </si>
  <si>
    <t>Legal Fees - GSUSA Dec 2011</t>
  </si>
  <si>
    <t>Lobbying - GSUSA Dec 2011</t>
  </si>
  <si>
    <t>Fundraising Professionals - GSUSA Dec 2011</t>
  </si>
  <si>
    <t>Public Relations - GSUSA Dec 2011</t>
  </si>
  <si>
    <t>Computer and Technical Consultants - GSUSA Dec 2011</t>
  </si>
  <si>
    <t>Eval Svcs Development and Measurement - GSUSA Dec2011</t>
  </si>
  <si>
    <t>Program Professional Services - GSUSA Dec 2011</t>
  </si>
  <si>
    <t>Program Fees - GSUSA Dec 2011</t>
  </si>
  <si>
    <t>Other Purchased Services - GSUSA Dec 2011</t>
  </si>
  <si>
    <t>Recognitions and Appreciation - GSUSA Dec 2011</t>
  </si>
  <si>
    <t>Recognition Items INACTIVE</t>
  </si>
  <si>
    <t>Utilities INACTIVE 2012</t>
  </si>
  <si>
    <t>UTIL - ELECTRIC</t>
  </si>
  <si>
    <t>UTIL - WATER</t>
  </si>
  <si>
    <t>UTIL - GARBAGE</t>
  </si>
  <si>
    <t>UTIL - NAT GAS</t>
  </si>
  <si>
    <t>Mortgage Interest INACTIVE Dec 2011</t>
  </si>
  <si>
    <t>Intangible  Personal Property Tax</t>
  </si>
  <si>
    <t>Comp Infrastructure Software INACTIVE</t>
  </si>
  <si>
    <t>Staff Development - GSUSA Dec 2011</t>
  </si>
  <si>
    <t>Membership Dues - GSUSA Dec 2011</t>
  </si>
  <si>
    <t>Staff Development INACTIVE</t>
  </si>
  <si>
    <t>Assistance to Girl Members</t>
  </si>
  <si>
    <t>Interest Expense Mortgage - GSUSA Dec2011</t>
  </si>
  <si>
    <t>Insurance  - General Liab/Prop</t>
  </si>
  <si>
    <t>Insurance - Property</t>
  </si>
  <si>
    <t>Insurance - Troop Travel/Camper</t>
  </si>
  <si>
    <t>Insurance - Directors and Officers</t>
  </si>
  <si>
    <t>Recruitment/Relocation Expense GSUSA Dec 2011</t>
  </si>
  <si>
    <t>LATE FEES - Processing fees charged due to late payment</t>
  </si>
  <si>
    <t>Taxes</t>
  </si>
  <si>
    <t>Cell phones</t>
  </si>
  <si>
    <r>
      <t xml:space="preserve">Legal </t>
    </r>
    <r>
      <rPr>
        <sz val="12"/>
        <color rgb="FFFF0000"/>
        <rFont val="Times New Roman"/>
        <family val="1"/>
      </rPr>
      <t>Moved to 8005</t>
    </r>
  </si>
  <si>
    <t>Insurance - Vehicles and Boats</t>
  </si>
  <si>
    <t>Equipment Rental Expense</t>
  </si>
</sst>
</file>

<file path=xl/styles.xml><?xml version="1.0" encoding="utf-8"?>
<styleSheet xmlns="http://schemas.openxmlformats.org/spreadsheetml/2006/main">
  <numFmts count="8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_(* #,##0.0_);_(* \(#,##0.0\);_(* &quot;-&quot;?_);_(@_)"/>
    <numFmt numFmtId="167" formatCode="#,##0.000000_);[Red]\(#,##0.000000\)"/>
  </numFmts>
  <fonts count="36"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u val="singleAccounting"/>
      <sz val="10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b/>
      <i/>
      <sz val="8"/>
      <name val="Times New Roman"/>
      <family val="1"/>
    </font>
    <font>
      <b/>
      <sz val="10"/>
      <color indexed="10"/>
      <name val="Arial"/>
      <family val="2"/>
    </font>
    <font>
      <sz val="12"/>
      <color theme="1"/>
      <name val="Tahoma"/>
      <family val="2"/>
    </font>
    <font>
      <sz val="8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0"/>
      <name val="Tahoma"/>
      <family val="2"/>
    </font>
    <font>
      <sz val="8"/>
      <color rgb="FF9C0006"/>
      <name val="Tahoma"/>
      <family val="2"/>
    </font>
    <font>
      <b/>
      <sz val="8"/>
      <color rgb="FFFA7D00"/>
      <name val="Tahoma"/>
      <family val="2"/>
    </font>
    <font>
      <b/>
      <sz val="8"/>
      <color theme="0"/>
      <name val="Tahoma"/>
      <family val="2"/>
    </font>
    <font>
      <i/>
      <sz val="8"/>
      <color rgb="FF7F7F7F"/>
      <name val="Tahoma"/>
      <family val="2"/>
    </font>
    <font>
      <sz val="8"/>
      <color rgb="FF006100"/>
      <name val="Tahoma"/>
      <family val="2"/>
    </font>
    <font>
      <b/>
      <sz val="8"/>
      <color theme="3"/>
      <name val="Tahoma"/>
      <family val="2"/>
    </font>
    <font>
      <sz val="8"/>
      <color rgb="FF3F3F76"/>
      <name val="Tahoma"/>
      <family val="2"/>
    </font>
    <font>
      <sz val="8"/>
      <color rgb="FFFA7D00"/>
      <name val="Tahoma"/>
      <family val="2"/>
    </font>
    <font>
      <sz val="8"/>
      <color rgb="FF9C6500"/>
      <name val="Tahoma"/>
      <family val="2"/>
    </font>
    <font>
      <b/>
      <sz val="8"/>
      <color rgb="FF3F3F3F"/>
      <name val="Tahoma"/>
      <family val="2"/>
    </font>
    <font>
      <b/>
      <sz val="8"/>
      <color theme="1"/>
      <name val="Tahoma"/>
      <family val="2"/>
    </font>
    <font>
      <sz val="8"/>
      <color rgb="FFFF0000"/>
      <name val="Tahoma"/>
      <family val="2"/>
    </font>
    <font>
      <sz val="12"/>
      <name val="Times New Roman"/>
      <family val="1"/>
    </font>
    <font>
      <i/>
      <sz val="10"/>
      <name val="Arial"/>
      <family val="2"/>
    </font>
    <font>
      <sz val="12"/>
      <name val="Tahoma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2"/>
      <color rgb="FFFF0000"/>
      <name val="Times New Roman"/>
      <family val="1"/>
    </font>
    <font>
      <sz val="12"/>
      <color theme="2" tint="-0.499984740745262"/>
      <name val="Times New Roman"/>
      <family val="1"/>
    </font>
  </fonts>
  <fills count="4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2">
    <xf numFmtId="0" fontId="0" fillId="0" borderId="0"/>
    <xf numFmtId="0" fontId="1" fillId="0" borderId="0"/>
    <xf numFmtId="0" fontId="13" fillId="0" borderId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34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3" fillId="35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  <xf numFmtId="0" fontId="16" fillId="36" borderId="0" applyNumberFormat="0" applyBorder="0" applyAlignment="0" applyProtection="0"/>
    <xf numFmtId="0" fontId="16" fillId="13" borderId="0" applyNumberFormat="0" applyBorder="0" applyAlignment="0" applyProtection="0"/>
    <xf numFmtId="0" fontId="16" fillId="17" borderId="0" applyNumberFormat="0" applyBorder="0" applyAlignment="0" applyProtection="0"/>
    <xf numFmtId="0" fontId="16" fillId="21" borderId="0" applyNumberFormat="0" applyBorder="0" applyAlignment="0" applyProtection="0"/>
    <xf numFmtId="0" fontId="16" fillId="25" borderId="0" applyNumberFormat="0" applyBorder="0" applyAlignment="0" applyProtection="0"/>
    <xf numFmtId="0" fontId="16" fillId="29" borderId="0" applyNumberFormat="0" applyBorder="0" applyAlignment="0" applyProtection="0"/>
    <xf numFmtId="0" fontId="16" fillId="33" borderId="0" applyNumberFormat="0" applyBorder="0" applyAlignment="0" applyProtection="0"/>
    <xf numFmtId="0" fontId="17" fillId="7" borderId="0" applyNumberFormat="0" applyBorder="0" applyAlignment="0" applyProtection="0"/>
    <xf numFmtId="0" fontId="18" fillId="10" borderId="30" applyNumberFormat="0" applyAlignment="0" applyProtection="0"/>
    <xf numFmtId="0" fontId="19" fillId="11" borderId="33" applyNumberFormat="0" applyAlignment="0" applyProtection="0"/>
    <xf numFmtId="41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2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6" borderId="0" applyNumberFormat="0" applyBorder="0" applyAlignment="0" applyProtection="0"/>
    <xf numFmtId="0" fontId="22" fillId="0" borderId="27" applyNumberFormat="0" applyFill="0" applyAlignment="0" applyProtection="0"/>
    <xf numFmtId="0" fontId="22" fillId="0" borderId="28" applyNumberFormat="0" applyFill="0" applyAlignment="0" applyProtection="0"/>
    <xf numFmtId="0" fontId="22" fillId="0" borderId="29" applyNumberFormat="0" applyFill="0" applyAlignment="0" applyProtection="0"/>
    <xf numFmtId="0" fontId="22" fillId="0" borderId="0" applyNumberFormat="0" applyFill="0" applyBorder="0" applyAlignment="0" applyProtection="0"/>
    <xf numFmtId="0" fontId="23" fillId="9" borderId="30" applyNumberFormat="0" applyAlignment="0" applyProtection="0"/>
    <xf numFmtId="0" fontId="24" fillId="0" borderId="32" applyNumberFormat="0" applyFill="0" applyAlignment="0" applyProtection="0"/>
    <xf numFmtId="0" fontId="25" fillId="8" borderId="0" applyNumberFormat="0" applyBorder="0" applyAlignment="0" applyProtection="0"/>
    <xf numFmtId="0" fontId="13" fillId="12" borderId="34" applyNumberFormat="0" applyFont="0" applyAlignment="0" applyProtection="0"/>
    <xf numFmtId="0" fontId="26" fillId="10" borderId="31" applyNumberFormat="0" applyAlignment="0" applyProtection="0"/>
    <xf numFmtId="9" fontId="13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7" fillId="0" borderId="35" applyNumberFormat="0" applyFill="0" applyAlignment="0" applyProtection="0"/>
    <xf numFmtId="0" fontId="28" fillId="0" borderId="0" applyNumberFormat="0" applyFill="0" applyBorder="0" applyAlignment="0" applyProtection="0"/>
    <xf numFmtId="0" fontId="29" fillId="0" borderId="0">
      <alignment vertical="top"/>
    </xf>
  </cellStyleXfs>
  <cellXfs count="229">
    <xf numFmtId="0" fontId="0" fillId="0" borderId="0" xfId="0"/>
    <xf numFmtId="0" fontId="0" fillId="0" borderId="0" xfId="0" applyAlignment="1"/>
    <xf numFmtId="0" fontId="3" fillId="0" borderId="0" xfId="0" applyFont="1" applyAlignment="1"/>
    <xf numFmtId="0" fontId="0" fillId="0" borderId="3" xfId="0" applyBorder="1"/>
    <xf numFmtId="0" fontId="3" fillId="0" borderId="3" xfId="0" applyFont="1" applyBorder="1" applyAlignment="1"/>
    <xf numFmtId="0" fontId="5" fillId="0" borderId="4" xfId="0" applyFont="1" applyBorder="1" applyAlignment="1"/>
    <xf numFmtId="0" fontId="0" fillId="0" borderId="9" xfId="0" applyBorder="1"/>
    <xf numFmtId="0" fontId="3" fillId="0" borderId="9" xfId="0" applyFont="1" applyBorder="1" applyAlignment="1"/>
    <xf numFmtId="0" fontId="4" fillId="0" borderId="9" xfId="0" applyFont="1" applyBorder="1"/>
    <xf numFmtId="0" fontId="4" fillId="0" borderId="9" xfId="0" applyFont="1" applyBorder="1" applyAlignment="1"/>
    <xf numFmtId="0" fontId="8" fillId="0" borderId="10" xfId="0" applyFont="1" applyBorder="1" applyAlignment="1"/>
    <xf numFmtId="0" fontId="6" fillId="0" borderId="12" xfId="0" applyFont="1" applyBorder="1" applyAlignment="1"/>
    <xf numFmtId="41" fontId="5" fillId="2" borderId="4" xfId="0" applyNumberFormat="1" applyFont="1" applyFill="1" applyBorder="1" applyAlignment="1">
      <alignment horizontal="right" wrapText="1"/>
    </xf>
    <xf numFmtId="0" fontId="6" fillId="0" borderId="14" xfId="0" applyFont="1" applyBorder="1" applyAlignment="1"/>
    <xf numFmtId="0" fontId="8" fillId="0" borderId="15" xfId="0" applyFont="1" applyBorder="1" applyAlignment="1"/>
    <xf numFmtId="0" fontId="6" fillId="0" borderId="16" xfId="0" applyFont="1" applyBorder="1" applyAlignment="1"/>
    <xf numFmtId="0" fontId="0" fillId="0" borderId="0" xfId="0" applyBorder="1"/>
    <xf numFmtId="0" fontId="0" fillId="0" borderId="1" xfId="0" applyBorder="1"/>
    <xf numFmtId="0" fontId="3" fillId="0" borderId="1" xfId="0" applyFont="1" applyBorder="1" applyAlignment="1"/>
    <xf numFmtId="0" fontId="6" fillId="0" borderId="17" xfId="0" applyFont="1" applyBorder="1" applyAlignment="1"/>
    <xf numFmtId="0" fontId="6" fillId="0" borderId="18" xfId="0" applyFont="1" applyBorder="1" applyAlignment="1"/>
    <xf numFmtId="0" fontId="6" fillId="0" borderId="19" xfId="0" applyFont="1" applyBorder="1" applyAlignment="1"/>
    <xf numFmtId="0" fontId="6" fillId="0" borderId="20" xfId="0" applyFont="1" applyBorder="1" applyAlignment="1"/>
    <xf numFmtId="0" fontId="6" fillId="0" borderId="2" xfId="0" applyFont="1" applyBorder="1" applyAlignment="1"/>
    <xf numFmtId="0" fontId="6" fillId="0" borderId="21" xfId="0" applyFont="1" applyBorder="1" applyAlignment="1"/>
    <xf numFmtId="0" fontId="3" fillId="0" borderId="0" xfId="0" applyFont="1" applyBorder="1" applyAlignment="1"/>
    <xf numFmtId="0" fontId="10" fillId="0" borderId="0" xfId="0" applyFont="1"/>
    <xf numFmtId="0" fontId="11" fillId="0" borderId="13" xfId="0" applyFont="1" applyBorder="1" applyAlignment="1"/>
    <xf numFmtId="0" fontId="9" fillId="0" borderId="0" xfId="0" applyFont="1" applyFill="1"/>
    <xf numFmtId="0" fontId="10" fillId="0" borderId="0" xfId="0" applyFont="1" applyFill="1"/>
    <xf numFmtId="0" fontId="0" fillId="0" borderId="0" xfId="0" applyAlignment="1">
      <alignment horizontal="center"/>
    </xf>
    <xf numFmtId="0" fontId="10" fillId="0" borderId="0" xfId="0" applyFont="1" applyFill="1" applyAlignment="1">
      <alignment horizontal="center"/>
    </xf>
    <xf numFmtId="41" fontId="5" fillId="2" borderId="4" xfId="0" applyNumberFormat="1" applyFont="1" applyFill="1" applyBorder="1" applyAlignment="1">
      <alignment horizontal="center" wrapText="1"/>
    </xf>
    <xf numFmtId="0" fontId="6" fillId="4" borderId="22" xfId="0" applyNumberFormat="1" applyFont="1" applyFill="1" applyBorder="1" applyAlignment="1">
      <alignment horizontal="center"/>
    </xf>
    <xf numFmtId="0" fontId="6" fillId="4" borderId="4" xfId="0" applyNumberFormat="1" applyFont="1" applyFill="1" applyBorder="1" applyAlignment="1">
      <alignment horizontal="center"/>
    </xf>
    <xf numFmtId="0" fontId="6" fillId="4" borderId="20" xfId="0" applyNumberFormat="1" applyFont="1" applyFill="1" applyBorder="1" applyAlignment="1">
      <alignment horizontal="center"/>
    </xf>
    <xf numFmtId="41" fontId="7" fillId="4" borderId="6" xfId="0" applyNumberFormat="1" applyFont="1" applyFill="1" applyBorder="1" applyAlignment="1">
      <alignment horizontal="right"/>
    </xf>
    <xf numFmtId="41" fontId="6" fillId="4" borderId="8" xfId="0" applyNumberFormat="1" applyFont="1" applyFill="1" applyBorder="1" applyAlignment="1"/>
    <xf numFmtId="0" fontId="6" fillId="3" borderId="22" xfId="0" quotePrefix="1" applyNumberFormat="1" applyFont="1" applyFill="1" applyBorder="1" applyAlignment="1">
      <alignment horizontal="center"/>
    </xf>
    <xf numFmtId="0" fontId="6" fillId="3" borderId="4" xfId="0" applyNumberFormat="1" applyFont="1" applyFill="1" applyBorder="1" applyAlignment="1">
      <alignment horizontal="center"/>
    </xf>
    <xf numFmtId="0" fontId="6" fillId="3" borderId="20" xfId="0" applyNumberFormat="1" applyFont="1" applyFill="1" applyBorder="1" applyAlignment="1">
      <alignment horizontal="center"/>
    </xf>
    <xf numFmtId="41" fontId="7" fillId="3" borderId="6" xfId="0" applyNumberFormat="1" applyFont="1" applyFill="1" applyBorder="1" applyAlignment="1">
      <alignment horizontal="right"/>
    </xf>
    <xf numFmtId="41" fontId="7" fillId="3" borderId="6" xfId="0" applyNumberFormat="1" applyFont="1" applyFill="1" applyBorder="1" applyAlignment="1">
      <alignment horizontal="center"/>
    </xf>
    <xf numFmtId="41" fontId="6" fillId="3" borderId="8" xfId="0" applyNumberFormat="1" applyFont="1" applyFill="1" applyBorder="1" applyAlignment="1"/>
    <xf numFmtId="164" fontId="6" fillId="3" borderId="8" xfId="0" applyNumberFormat="1" applyFont="1" applyFill="1" applyBorder="1" applyAlignment="1">
      <alignment horizontal="center"/>
    </xf>
    <xf numFmtId="41" fontId="6" fillId="3" borderId="8" xfId="0" applyNumberFormat="1" applyFont="1" applyFill="1" applyBorder="1" applyAlignment="1">
      <alignment horizontal="center"/>
    </xf>
    <xf numFmtId="0" fontId="6" fillId="0" borderId="15" xfId="0" applyFont="1" applyBorder="1" applyAlignment="1"/>
    <xf numFmtId="41" fontId="6" fillId="4" borderId="5" xfId="0" applyNumberFormat="1" applyFont="1" applyFill="1" applyBorder="1" applyAlignment="1"/>
    <xf numFmtId="41" fontId="6" fillId="3" borderId="5" xfId="0" applyNumberFormat="1" applyFont="1" applyFill="1" applyBorder="1" applyAlignment="1"/>
    <xf numFmtId="41" fontId="6" fillId="3" borderId="5" xfId="0" applyNumberFormat="1" applyFont="1" applyFill="1" applyBorder="1" applyAlignment="1">
      <alignment horizontal="center"/>
    </xf>
    <xf numFmtId="41" fontId="6" fillId="4" borderId="7" xfId="0" applyNumberFormat="1" applyFont="1" applyFill="1" applyBorder="1" applyAlignment="1"/>
    <xf numFmtId="41" fontId="6" fillId="3" borderId="7" xfId="0" applyNumberFormat="1" applyFont="1" applyFill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0" xfId="0" applyFont="1" applyBorder="1" applyAlignment="1">
      <alignment shrinkToFit="1"/>
    </xf>
    <xf numFmtId="0" fontId="2" fillId="0" borderId="2" xfId="0" applyFont="1" applyBorder="1" applyAlignment="1"/>
    <xf numFmtId="41" fontId="2" fillId="5" borderId="5" xfId="0" applyNumberFormat="1" applyFont="1" applyFill="1" applyBorder="1" applyAlignment="1"/>
    <xf numFmtId="0" fontId="6" fillId="0" borderId="10" xfId="0" applyFont="1" applyBorder="1" applyAlignment="1"/>
    <xf numFmtId="14" fontId="6" fillId="3" borderId="4" xfId="0" applyNumberFormat="1" applyFont="1" applyFill="1" applyBorder="1" applyAlignment="1">
      <alignment horizontal="center"/>
    </xf>
    <xf numFmtId="14" fontId="6" fillId="4" borderId="4" xfId="0" applyNumberFormat="1" applyFont="1" applyFill="1" applyBorder="1" applyAlignment="1">
      <alignment horizontal="center"/>
    </xf>
    <xf numFmtId="0" fontId="6" fillId="3" borderId="22" xfId="0" applyNumberFormat="1" applyFont="1" applyFill="1" applyBorder="1" applyAlignment="1">
      <alignment horizontal="center"/>
    </xf>
    <xf numFmtId="14" fontId="6" fillId="4" borderId="20" xfId="0" applyNumberFormat="1" applyFont="1" applyFill="1" applyBorder="1" applyAlignment="1">
      <alignment horizontal="center"/>
    </xf>
    <xf numFmtId="0" fontId="4" fillId="0" borderId="0" xfId="0" applyFont="1" applyAlignment="1"/>
    <xf numFmtId="0" fontId="4" fillId="0" borderId="0" xfId="0" applyFont="1"/>
    <xf numFmtId="41" fontId="6" fillId="3" borderId="6" xfId="0" applyNumberFormat="1" applyFont="1" applyFill="1" applyBorder="1" applyAlignment="1"/>
    <xf numFmtId="164" fontId="6" fillId="3" borderId="6" xfId="0" applyNumberFormat="1" applyFont="1" applyFill="1" applyBorder="1" applyAlignment="1">
      <alignment horizontal="center"/>
    </xf>
    <xf numFmtId="41" fontId="6" fillId="4" borderId="6" xfId="0" applyNumberFormat="1" applyFont="1" applyFill="1" applyBorder="1" applyAlignment="1"/>
    <xf numFmtId="0" fontId="12" fillId="0" borderId="0" xfId="2" applyFont="1" applyAlignment="1">
      <alignment horizontal="left" wrapText="1"/>
    </xf>
    <xf numFmtId="0" fontId="12" fillId="0" borderId="0" xfId="2" applyFont="1" applyAlignment="1">
      <alignment horizontal="right" wrapText="1"/>
    </xf>
    <xf numFmtId="0" fontId="12" fillId="0" borderId="0" xfId="1" applyFont="1" applyAlignment="1">
      <alignment horizontal="center" wrapText="1"/>
    </xf>
    <xf numFmtId="41" fontId="6" fillId="3" borderId="4" xfId="0" applyNumberFormat="1" applyFont="1" applyFill="1" applyBorder="1" applyAlignment="1"/>
    <xf numFmtId="164" fontId="6" fillId="3" borderId="4" xfId="0" applyNumberFormat="1" applyFont="1" applyFill="1" applyBorder="1" applyAlignment="1">
      <alignment horizontal="center"/>
    </xf>
    <xf numFmtId="41" fontId="6" fillId="4" borderId="4" xfId="0" applyNumberFormat="1" applyFont="1" applyFill="1" applyBorder="1" applyAlignment="1"/>
    <xf numFmtId="0" fontId="4" fillId="0" borderId="0" xfId="0" applyFont="1" applyBorder="1" applyAlignment="1"/>
    <xf numFmtId="0" fontId="4" fillId="0" borderId="0" xfId="0" applyFont="1" applyBorder="1"/>
    <xf numFmtId="0" fontId="6" fillId="0" borderId="5" xfId="0" applyFont="1" applyBorder="1" applyAlignment="1"/>
    <xf numFmtId="0" fontId="6" fillId="0" borderId="24" xfId="0" applyFont="1" applyBorder="1" applyAlignment="1"/>
    <xf numFmtId="164" fontId="6" fillId="3" borderId="7" xfId="0" applyNumberFormat="1" applyFont="1" applyFill="1" applyBorder="1" applyAlignment="1">
      <alignment horizontal="center"/>
    </xf>
    <xf numFmtId="41" fontId="2" fillId="5" borderId="23" xfId="0" applyNumberFormat="1" applyFont="1" applyFill="1" applyBorder="1" applyAlignment="1"/>
    <xf numFmtId="41" fontId="2" fillId="5" borderId="8" xfId="0" applyNumberFormat="1" applyFont="1" applyFill="1" applyBorder="1" applyAlignment="1"/>
    <xf numFmtId="0" fontId="6" fillId="0" borderId="11" xfId="0" applyFont="1" applyBorder="1" applyAlignment="1"/>
    <xf numFmtId="0" fontId="6" fillId="0" borderId="4" xfId="0" applyFont="1" applyBorder="1" applyAlignment="1"/>
    <xf numFmtId="0" fontId="12" fillId="0" borderId="0" xfId="1" applyFont="1" applyAlignment="1">
      <alignment horizontal="center"/>
    </xf>
    <xf numFmtId="0" fontId="12" fillId="0" borderId="0" xfId="1" applyFont="1" applyAlignment="1">
      <alignment horizontal="right"/>
    </xf>
    <xf numFmtId="0" fontId="12" fillId="0" borderId="0" xfId="1" applyFont="1" applyAlignment="1">
      <alignment horizontal="left"/>
    </xf>
    <xf numFmtId="0" fontId="31" fillId="0" borderId="0" xfId="0" applyFont="1"/>
    <xf numFmtId="38" fontId="31" fillId="0" borderId="0" xfId="0" applyNumberFormat="1" applyFont="1"/>
    <xf numFmtId="38" fontId="31" fillId="39" borderId="0" xfId="0" applyNumberFormat="1" applyFont="1" applyFill="1"/>
    <xf numFmtId="38" fontId="31" fillId="38" borderId="0" xfId="0" applyNumberFormat="1" applyFont="1" applyFill="1"/>
    <xf numFmtId="0" fontId="31" fillId="0" borderId="0" xfId="0" applyFont="1" applyAlignment="1">
      <alignment horizontal="center" vertical="center" wrapText="1"/>
    </xf>
    <xf numFmtId="0" fontId="31" fillId="40" borderId="0" xfId="0" applyFont="1" applyFill="1"/>
    <xf numFmtId="0" fontId="0" fillId="40" borderId="0" xfId="0" applyFill="1"/>
    <xf numFmtId="41" fontId="2" fillId="3" borderId="5" xfId="0" applyNumberFormat="1" applyFont="1" applyFill="1" applyBorder="1" applyAlignment="1"/>
    <xf numFmtId="41" fontId="2" fillId="3" borderId="5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2" fillId="0" borderId="15" xfId="0" applyFont="1" applyBorder="1" applyAlignment="1"/>
    <xf numFmtId="41" fontId="2" fillId="3" borderId="23" xfId="0" applyNumberFormat="1" applyFont="1" applyFill="1" applyBorder="1" applyAlignment="1"/>
    <xf numFmtId="164" fontId="2" fillId="3" borderId="23" xfId="0" applyNumberFormat="1" applyFont="1" applyFill="1" applyBorder="1" applyAlignment="1">
      <alignment horizontal="center"/>
    </xf>
    <xf numFmtId="164" fontId="2" fillId="3" borderId="8" xfId="0" applyNumberFormat="1" applyFont="1" applyFill="1" applyBorder="1" applyAlignment="1">
      <alignment horizontal="center"/>
    </xf>
    <xf numFmtId="41" fontId="2" fillId="3" borderId="6" xfId="0" applyNumberFormat="1" applyFont="1" applyFill="1" applyBorder="1" applyAlignment="1"/>
    <xf numFmtId="164" fontId="2" fillId="3" borderId="6" xfId="0" applyNumberFormat="1" applyFont="1" applyFill="1" applyBorder="1" applyAlignment="1">
      <alignment horizontal="center"/>
    </xf>
    <xf numFmtId="0" fontId="2" fillId="0" borderId="25" xfId="0" applyFont="1" applyBorder="1" applyAlignment="1"/>
    <xf numFmtId="0" fontId="2" fillId="0" borderId="5" xfId="0" applyFont="1" applyBorder="1" applyAlignment="1"/>
    <xf numFmtId="41" fontId="2" fillId="3" borderId="4" xfId="0" applyNumberFormat="1" applyFont="1" applyFill="1" applyBorder="1" applyAlignment="1"/>
    <xf numFmtId="0" fontId="2" fillId="0" borderId="21" xfId="0" applyFont="1" applyBorder="1" applyAlignment="1"/>
    <xf numFmtId="0" fontId="2" fillId="0" borderId="13" xfId="0" applyFont="1" applyBorder="1" applyAlignment="1"/>
    <xf numFmtId="41" fontId="2" fillId="3" borderId="6" xfId="0" applyNumberFormat="1" applyFont="1" applyFill="1" applyBorder="1" applyAlignment="1">
      <alignment horizontal="center"/>
    </xf>
    <xf numFmtId="0" fontId="2" fillId="0" borderId="14" xfId="0" applyFont="1" applyBorder="1" applyAlignment="1"/>
    <xf numFmtId="164" fontId="2" fillId="3" borderId="4" xfId="0" applyNumberFormat="1" applyFont="1" applyFill="1" applyBorder="1" applyAlignment="1">
      <alignment horizontal="center"/>
    </xf>
    <xf numFmtId="41" fontId="2" fillId="3" borderId="8" xfId="0" applyNumberFormat="1" applyFont="1" applyFill="1" applyBorder="1" applyAlignment="1">
      <alignment horizontal="center"/>
    </xf>
    <xf numFmtId="0" fontId="2" fillId="0" borderId="4" xfId="0" applyFont="1" applyBorder="1" applyAlignment="1"/>
    <xf numFmtId="41" fontId="2" fillId="2" borderId="4" xfId="0" applyNumberFormat="1" applyFont="1" applyFill="1" applyBorder="1" applyAlignment="1">
      <alignment horizontal="right"/>
    </xf>
    <xf numFmtId="41" fontId="2" fillId="2" borderId="4" xfId="0" applyNumberFormat="1" applyFont="1" applyFill="1" applyBorder="1" applyAlignment="1">
      <alignment horizontal="center"/>
    </xf>
    <xf numFmtId="0" fontId="2" fillId="0" borderId="0" xfId="0" applyFont="1" applyBorder="1" applyAlignment="1"/>
    <xf numFmtId="0" fontId="2" fillId="0" borderId="0" xfId="0" applyFont="1" applyBorder="1"/>
    <xf numFmtId="0" fontId="2" fillId="0" borderId="0" xfId="0" applyFont="1"/>
    <xf numFmtId="0" fontId="2" fillId="0" borderId="3" xfId="0" applyFont="1" applyBorder="1" applyAlignment="1"/>
    <xf numFmtId="0" fontId="2" fillId="0" borderId="3" xfId="0" applyFont="1" applyBorder="1"/>
    <xf numFmtId="0" fontId="2" fillId="0" borderId="0" xfId="0" applyFont="1" applyAlignment="1"/>
    <xf numFmtId="0" fontId="6" fillId="0" borderId="0" xfId="0" applyFont="1"/>
    <xf numFmtId="0" fontId="2" fillId="0" borderId="9" xfId="0" applyFont="1" applyBorder="1"/>
    <xf numFmtId="0" fontId="6" fillId="0" borderId="9" xfId="0" applyFont="1" applyBorder="1"/>
    <xf numFmtId="0" fontId="6" fillId="0" borderId="0" xfId="0" applyFont="1" applyBorder="1"/>
    <xf numFmtId="0" fontId="2" fillId="0" borderId="0" xfId="0" applyFont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0" xfId="0" applyFont="1" applyFill="1"/>
    <xf numFmtId="3" fontId="2" fillId="0" borderId="0" xfId="0" applyNumberFormat="1" applyFont="1"/>
    <xf numFmtId="3" fontId="6" fillId="3" borderId="6" xfId="0" applyNumberFormat="1" applyFont="1" applyFill="1" applyBorder="1" applyAlignment="1"/>
    <xf numFmtId="3" fontId="6" fillId="0" borderId="0" xfId="0" applyNumberFormat="1" applyFont="1"/>
    <xf numFmtId="3" fontId="6" fillId="3" borderId="8" xfId="0" applyNumberFormat="1" applyFont="1" applyFill="1" applyBorder="1" applyAlignment="1"/>
    <xf numFmtId="3" fontId="2" fillId="0" borderId="9" xfId="0" applyNumberFormat="1" applyFont="1" applyBorder="1"/>
    <xf numFmtId="3" fontId="6" fillId="0" borderId="9" xfId="0" applyNumberFormat="1" applyFont="1" applyBorder="1"/>
    <xf numFmtId="3" fontId="6" fillId="0" borderId="0" xfId="0" applyNumberFormat="1" applyFont="1" applyBorder="1"/>
    <xf numFmtId="3" fontId="9" fillId="0" borderId="0" xfId="0" applyNumberFormat="1" applyFont="1"/>
    <xf numFmtId="0" fontId="6" fillId="0" borderId="0" xfId="0" applyFont="1" applyAlignment="1">
      <alignment horizontal="center" vertical="center" wrapText="1"/>
    </xf>
    <xf numFmtId="0" fontId="2" fillId="0" borderId="36" xfId="0" applyFont="1" applyBorder="1"/>
    <xf numFmtId="0" fontId="2" fillId="0" borderId="5" xfId="0" applyFont="1" applyBorder="1"/>
    <xf numFmtId="3" fontId="2" fillId="0" borderId="5" xfId="0" applyNumberFormat="1" applyFont="1" applyBorder="1"/>
    <xf numFmtId="3" fontId="3" fillId="0" borderId="5" xfId="0" applyNumberFormat="1" applyFont="1" applyBorder="1" applyAlignment="1"/>
    <xf numFmtId="3" fontId="2" fillId="0" borderId="23" xfId="0" applyNumberFormat="1" applyFont="1" applyBorder="1"/>
    <xf numFmtId="3" fontId="2" fillId="0" borderId="36" xfId="0" applyNumberFormat="1" applyFont="1" applyBorder="1"/>
    <xf numFmtId="3" fontId="6" fillId="3" borderId="5" xfId="0" applyNumberFormat="1" applyFont="1" applyFill="1" applyBorder="1" applyAlignment="1"/>
    <xf numFmtId="3" fontId="2" fillId="39" borderId="5" xfId="0" applyNumberFormat="1" applyFont="1" applyFill="1" applyBorder="1" applyAlignment="1"/>
    <xf numFmtId="3" fontId="2" fillId="39" borderId="5" xfId="0" applyNumberFormat="1" applyFont="1" applyFill="1" applyBorder="1"/>
    <xf numFmtId="3" fontId="6" fillId="37" borderId="22" xfId="0" applyNumberFormat="1" applyFont="1" applyFill="1" applyBorder="1"/>
    <xf numFmtId="3" fontId="6" fillId="37" borderId="4" xfId="0" applyNumberFormat="1" applyFont="1" applyFill="1" applyBorder="1"/>
    <xf numFmtId="3" fontId="6" fillId="37" borderId="6" xfId="0" applyNumberFormat="1" applyFont="1" applyFill="1" applyBorder="1"/>
    <xf numFmtId="0" fontId="2" fillId="37" borderId="5" xfId="0" applyFont="1" applyFill="1" applyBorder="1" applyAlignment="1"/>
    <xf numFmtId="3" fontId="2" fillId="37" borderId="0" xfId="0" applyNumberFormat="1" applyFont="1" applyFill="1"/>
    <xf numFmtId="0" fontId="2" fillId="37" borderId="14" xfId="0" applyFont="1" applyFill="1" applyBorder="1" applyAlignment="1"/>
    <xf numFmtId="0" fontId="8" fillId="37" borderId="15" xfId="0" applyFont="1" applyFill="1" applyBorder="1" applyAlignment="1"/>
    <xf numFmtId="0" fontId="6" fillId="37" borderId="15" xfId="0" applyFont="1" applyFill="1" applyBorder="1" applyAlignment="1"/>
    <xf numFmtId="0" fontId="6" fillId="37" borderId="5" xfId="0" applyFont="1" applyFill="1" applyBorder="1" applyAlignment="1"/>
    <xf numFmtId="0" fontId="6" fillId="37" borderId="24" xfId="0" applyFont="1" applyFill="1" applyBorder="1" applyAlignment="1"/>
    <xf numFmtId="3" fontId="2" fillId="37" borderId="5" xfId="0" applyNumberFormat="1" applyFont="1" applyFill="1" applyBorder="1"/>
    <xf numFmtId="3" fontId="2" fillId="37" borderId="6" xfId="0" applyNumberFormat="1" applyFont="1" applyFill="1" applyBorder="1"/>
    <xf numFmtId="3" fontId="2" fillId="37" borderId="23" xfId="0" applyNumberFormat="1" applyFont="1" applyFill="1" applyBorder="1"/>
    <xf numFmtId="3" fontId="2" fillId="37" borderId="8" xfId="0" applyNumberFormat="1" applyFont="1" applyFill="1" applyBorder="1"/>
    <xf numFmtId="3" fontId="2" fillId="37" borderId="20" xfId="0" applyNumberFormat="1" applyFont="1" applyFill="1" applyBorder="1"/>
    <xf numFmtId="0" fontId="6" fillId="37" borderId="21" xfId="0" applyFont="1" applyFill="1" applyBorder="1" applyAlignment="1"/>
    <xf numFmtId="41" fontId="6" fillId="3" borderId="23" xfId="0" applyNumberFormat="1" applyFont="1" applyFill="1" applyBorder="1" applyAlignment="1"/>
    <xf numFmtId="0" fontId="32" fillId="0" borderId="0" xfId="0" applyFont="1" applyFill="1"/>
    <xf numFmtId="0" fontId="33" fillId="0" borderId="0" xfId="0" applyFont="1" applyFill="1"/>
    <xf numFmtId="38" fontId="0" fillId="0" borderId="0" xfId="0" applyNumberFormat="1"/>
    <xf numFmtId="41" fontId="5" fillId="37" borderId="23" xfId="0" applyNumberFormat="1" applyFont="1" applyFill="1" applyBorder="1" applyAlignment="1"/>
    <xf numFmtId="41" fontId="5" fillId="37" borderId="5" xfId="0" applyNumberFormat="1" applyFont="1" applyFill="1" applyBorder="1" applyAlignment="1"/>
    <xf numFmtId="38" fontId="2" fillId="37" borderId="5" xfId="0" applyNumberFormat="1" applyFont="1" applyFill="1" applyBorder="1" applyAlignment="1"/>
    <xf numFmtId="41" fontId="5" fillId="37" borderId="6" xfId="0" applyNumberFormat="1" applyFont="1" applyFill="1" applyBorder="1" applyAlignment="1"/>
    <xf numFmtId="41" fontId="6" fillId="37" borderId="6" xfId="0" applyNumberFormat="1" applyFont="1" applyFill="1" applyBorder="1" applyAlignment="1"/>
    <xf numFmtId="41" fontId="5" fillId="37" borderId="4" xfId="0" applyNumberFormat="1" applyFont="1" applyFill="1" applyBorder="1" applyAlignment="1"/>
    <xf numFmtId="0" fontId="35" fillId="0" borderId="0" xfId="0" applyFont="1" applyAlignment="1">
      <alignment horizontal="left" wrapText="1"/>
    </xf>
    <xf numFmtId="40" fontId="35" fillId="0" borderId="0" xfId="0" applyNumberFormat="1" applyFont="1" applyAlignment="1">
      <alignment horizontal="right" wrapText="1"/>
    </xf>
    <xf numFmtId="0" fontId="35" fillId="0" borderId="0" xfId="0" applyFont="1" applyAlignment="1"/>
    <xf numFmtId="40" fontId="35" fillId="0" borderId="26" xfId="0" applyNumberFormat="1" applyFont="1" applyBorder="1" applyAlignment="1">
      <alignment horizontal="right" wrapText="1"/>
    </xf>
    <xf numFmtId="43" fontId="29" fillId="0" borderId="0" xfId="0" applyNumberFormat="1" applyFont="1"/>
    <xf numFmtId="40" fontId="35" fillId="0" borderId="0" xfId="0" applyNumberFormat="1" applyFont="1" applyAlignment="1"/>
    <xf numFmtId="0" fontId="35" fillId="37" borderId="0" xfId="0" applyFont="1" applyFill="1" applyAlignment="1">
      <alignment horizontal="left" wrapText="1"/>
    </xf>
    <xf numFmtId="40" fontId="35" fillId="0" borderId="0" xfId="0" applyNumberFormat="1" applyFont="1" applyFill="1" applyAlignment="1">
      <alignment horizontal="right" wrapText="1"/>
    </xf>
    <xf numFmtId="41" fontId="2" fillId="4" borderId="5" xfId="0" applyNumberFormat="1" applyFont="1" applyFill="1" applyBorder="1" applyAlignment="1"/>
    <xf numFmtId="41" fontId="2" fillId="4" borderId="23" xfId="0" applyNumberFormat="1" applyFont="1" applyFill="1" applyBorder="1" applyAlignment="1"/>
    <xf numFmtId="41" fontId="2" fillId="4" borderId="8" xfId="0" applyNumberFormat="1" applyFont="1" applyFill="1" applyBorder="1" applyAlignment="1"/>
    <xf numFmtId="41" fontId="2" fillId="4" borderId="6" xfId="0" applyNumberFormat="1" applyFont="1" applyFill="1" applyBorder="1" applyAlignment="1"/>
    <xf numFmtId="41" fontId="2" fillId="4" borderId="4" xfId="0" applyNumberFormat="1" applyFont="1" applyFill="1" applyBorder="1" applyAlignment="1"/>
    <xf numFmtId="41" fontId="2" fillId="5" borderId="6" xfId="0" applyNumberFormat="1" applyFont="1" applyFill="1" applyBorder="1" applyAlignment="1"/>
    <xf numFmtId="41" fontId="2" fillId="5" borderId="4" xfId="0" applyNumberFormat="1" applyFont="1" applyFill="1" applyBorder="1" applyAlignment="1"/>
    <xf numFmtId="38" fontId="2" fillId="5" borderId="5" xfId="0" applyNumberFormat="1" applyFont="1" applyFill="1" applyBorder="1" applyAlignment="1"/>
    <xf numFmtId="41" fontId="6" fillId="5" borderId="6" xfId="0" applyNumberFormat="1" applyFont="1" applyFill="1" applyBorder="1" applyAlignment="1"/>
    <xf numFmtId="41" fontId="6" fillId="5" borderId="8" xfId="0" applyNumberFormat="1" applyFont="1" applyFill="1" applyBorder="1" applyAlignment="1"/>
    <xf numFmtId="41" fontId="6" fillId="5" borderId="4" xfId="0" applyNumberFormat="1" applyFont="1" applyFill="1" applyBorder="1" applyAlignment="1"/>
    <xf numFmtId="41" fontId="6" fillId="5" borderId="5" xfId="0" applyNumberFormat="1" applyFont="1" applyFill="1" applyBorder="1" applyAlignment="1"/>
    <xf numFmtId="41" fontId="6" fillId="5" borderId="7" xfId="0" applyNumberFormat="1" applyFont="1" applyFill="1" applyBorder="1" applyAlignment="1"/>
    <xf numFmtId="0" fontId="2" fillId="0" borderId="23" xfId="0" applyFont="1" applyBorder="1" applyAlignment="1"/>
    <xf numFmtId="43" fontId="29" fillId="0" borderId="0" xfId="0" applyNumberFormat="1" applyFont="1" applyFill="1"/>
    <xf numFmtId="43" fontId="29" fillId="41" borderId="0" xfId="0" applyNumberFormat="1" applyFont="1" applyFill="1"/>
    <xf numFmtId="165" fontId="6" fillId="3" borderId="7" xfId="0" applyNumberFormat="1" applyFont="1" applyFill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43" fontId="29" fillId="37" borderId="5" xfId="0" applyNumberFormat="1" applyFont="1" applyFill="1" applyBorder="1"/>
    <xf numFmtId="41" fontId="2" fillId="4" borderId="36" xfId="0" applyNumberFormat="1" applyFont="1" applyFill="1" applyBorder="1" applyAlignment="1"/>
    <xf numFmtId="164" fontId="2" fillId="3" borderId="20" xfId="0" applyNumberFormat="1" applyFont="1" applyFill="1" applyBorder="1" applyAlignment="1">
      <alignment horizontal="center"/>
    </xf>
    <xf numFmtId="164" fontId="2" fillId="3" borderId="36" xfId="0" applyNumberFormat="1" applyFont="1" applyFill="1" applyBorder="1" applyAlignment="1">
      <alignment horizontal="center"/>
    </xf>
    <xf numFmtId="41" fontId="0" fillId="0" borderId="0" xfId="0" applyNumberFormat="1"/>
    <xf numFmtId="0" fontId="6" fillId="42" borderId="18" xfId="0" quotePrefix="1" applyNumberFormat="1" applyFont="1" applyFill="1" applyBorder="1" applyAlignment="1">
      <alignment horizontal="center"/>
    </xf>
    <xf numFmtId="0" fontId="6" fillId="42" borderId="21" xfId="0" applyNumberFormat="1" applyFont="1" applyFill="1" applyBorder="1" applyAlignment="1">
      <alignment horizontal="center"/>
    </xf>
    <xf numFmtId="0" fontId="6" fillId="42" borderId="24" xfId="0" applyNumberFormat="1" applyFont="1" applyFill="1" applyBorder="1" applyAlignment="1">
      <alignment horizontal="center"/>
    </xf>
    <xf numFmtId="41" fontId="7" fillId="42" borderId="6" xfId="0" applyNumberFormat="1" applyFont="1" applyFill="1" applyBorder="1" applyAlignment="1">
      <alignment horizontal="center"/>
    </xf>
    <xf numFmtId="41" fontId="2" fillId="42" borderId="5" xfId="0" applyNumberFormat="1" applyFont="1" applyFill="1" applyBorder="1" applyAlignment="1">
      <alignment horizontal="center"/>
    </xf>
    <xf numFmtId="164" fontId="2" fillId="42" borderId="5" xfId="0" applyNumberFormat="1" applyFont="1" applyFill="1" applyBorder="1" applyAlignment="1">
      <alignment horizontal="center"/>
    </xf>
    <xf numFmtId="164" fontId="2" fillId="42" borderId="23" xfId="0" applyNumberFormat="1" applyFont="1" applyFill="1" applyBorder="1" applyAlignment="1">
      <alignment horizontal="center"/>
    </xf>
    <xf numFmtId="10" fontId="0" fillId="0" borderId="0" xfId="0" applyNumberFormat="1"/>
    <xf numFmtId="43" fontId="0" fillId="0" borderId="0" xfId="0" applyNumberFormat="1"/>
    <xf numFmtId="40" fontId="0" fillId="0" borderId="0" xfId="0" applyNumberFormat="1"/>
    <xf numFmtId="167" fontId="0" fillId="0" borderId="0" xfId="0" applyNumberFormat="1"/>
    <xf numFmtId="41" fontId="2" fillId="0" borderId="0" xfId="0" applyNumberFormat="1" applyFont="1"/>
    <xf numFmtId="164" fontId="2" fillId="42" borderId="20" xfId="0" applyNumberFormat="1" applyFont="1" applyFill="1" applyBorder="1" applyAlignment="1">
      <alignment horizontal="center"/>
    </xf>
    <xf numFmtId="164" fontId="2" fillId="42" borderId="36" xfId="0" applyNumberFormat="1" applyFont="1" applyFill="1" applyBorder="1" applyAlignment="1">
      <alignment horizontal="center"/>
    </xf>
    <xf numFmtId="164" fontId="2" fillId="42" borderId="6" xfId="0" applyNumberFormat="1" applyFont="1" applyFill="1" applyBorder="1" applyAlignment="1">
      <alignment horizontal="center"/>
    </xf>
    <xf numFmtId="164" fontId="2" fillId="42" borderId="4" xfId="0" applyNumberFormat="1" applyFont="1" applyFill="1" applyBorder="1" applyAlignment="1">
      <alignment horizontal="center"/>
    </xf>
    <xf numFmtId="164" fontId="2" fillId="42" borderId="7" xfId="0" applyNumberFormat="1" applyFont="1" applyFill="1" applyBorder="1" applyAlignment="1">
      <alignment horizontal="center"/>
    </xf>
    <xf numFmtId="41" fontId="6" fillId="4" borderId="37" xfId="0" applyNumberFormat="1" applyFont="1" applyFill="1" applyBorder="1" applyAlignment="1"/>
    <xf numFmtId="41" fontId="6" fillId="0" borderId="0" xfId="0" applyNumberFormat="1" applyFont="1" applyFill="1" applyBorder="1" applyAlignment="1"/>
    <xf numFmtId="0" fontId="10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>
      <alignment horizontal="center"/>
    </xf>
    <xf numFmtId="0" fontId="0" fillId="0" borderId="0" xfId="0" applyFill="1" applyBorder="1"/>
    <xf numFmtId="0" fontId="0" fillId="0" borderId="0" xfId="0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30" fillId="0" borderId="0" xfId="0" applyFont="1" applyFill="1" applyBorder="1"/>
    <xf numFmtId="41" fontId="6" fillId="37" borderId="8" xfId="0" applyNumberFormat="1" applyFont="1" applyFill="1" applyBorder="1" applyAlignment="1"/>
  </cellXfs>
  <cellStyles count="52">
    <cellStyle name="20% - Accent1 2" xfId="3"/>
    <cellStyle name="20% - Accent2 2" xfId="4"/>
    <cellStyle name="20% - Accent3 2" xfId="5"/>
    <cellStyle name="20% - Accent4 2" xfId="6"/>
    <cellStyle name="20% - Accent5 2" xfId="7"/>
    <cellStyle name="20% - Accent6 2" xfId="8"/>
    <cellStyle name="40% - Accent1 2" xfId="9"/>
    <cellStyle name="40% - Accent2 2" xfId="10"/>
    <cellStyle name="40% - Accent3 2" xfId="11"/>
    <cellStyle name="40% - Accent4 2" xfId="12"/>
    <cellStyle name="40% - Accent5 2" xfId="13"/>
    <cellStyle name="40% - Accent6 2" xfId="14"/>
    <cellStyle name="60% - Accent1 2" xfId="15"/>
    <cellStyle name="60% - Accent2 2" xfId="16"/>
    <cellStyle name="60% - Accent3 2" xfId="17"/>
    <cellStyle name="60% - Accent4 2" xfId="18"/>
    <cellStyle name="60% - Accent5 2" xfId="19"/>
    <cellStyle name="60% - Accent6 2" xfId="20"/>
    <cellStyle name="Accent1 2" xfId="21"/>
    <cellStyle name="Accent2 2" xfId="22"/>
    <cellStyle name="Accent3 2" xfId="23"/>
    <cellStyle name="Accent4 2" xfId="24"/>
    <cellStyle name="Accent5 2" xfId="25"/>
    <cellStyle name="Accent6 2" xfId="26"/>
    <cellStyle name="Bad 2" xfId="27"/>
    <cellStyle name="Calculation 2" xfId="28"/>
    <cellStyle name="Check Cell 2" xfId="29"/>
    <cellStyle name="Comma [0] 2" xfId="30"/>
    <cellStyle name="Comma 2" xfId="31"/>
    <cellStyle name="Comma 3" xfId="32"/>
    <cellStyle name="Currency [0] 2" xfId="33"/>
    <cellStyle name="Currency 2" xfId="34"/>
    <cellStyle name="Currency 3" xfId="35"/>
    <cellStyle name="Explanatory Text 2" xfId="36"/>
    <cellStyle name="Good 2" xfId="37"/>
    <cellStyle name="Heading 1 2" xfId="38"/>
    <cellStyle name="Heading 2 2" xfId="39"/>
    <cellStyle name="Heading 3 2" xfId="40"/>
    <cellStyle name="Heading 4 2" xfId="41"/>
    <cellStyle name="Input 2" xfId="42"/>
    <cellStyle name="Linked Cell 2" xfId="43"/>
    <cellStyle name="Neutral 2" xfId="44"/>
    <cellStyle name="Normal" xfId="0" builtinId="0"/>
    <cellStyle name="Normal 2" xfId="1"/>
    <cellStyle name="Normal 2 2" xfId="2"/>
    <cellStyle name="Normal 3" xfId="51"/>
    <cellStyle name="Note 2" xfId="45"/>
    <cellStyle name="Output 2" xfId="46"/>
    <cellStyle name="Percent 2" xfId="47"/>
    <cellStyle name="Title 2" xfId="48"/>
    <cellStyle name="Total 2" xfId="49"/>
    <cellStyle name="Warning Text 2" xfId="5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Metro">
      <a:dk1>
        <a:sysClr val="windowText" lastClr="000000"/>
      </a:dk1>
      <a:lt1>
        <a:sysClr val="window" lastClr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Metro">
      <a:fillStyleLst>
        <a:solidFill>
          <a:schemeClr val="phClr"/>
        </a:solidFill>
        <a:gradFill rotWithShape="1">
          <a:gsLst>
            <a:gs pos="0">
              <a:schemeClr val="phClr">
                <a:tint val="25000"/>
                <a:satMod val="125000"/>
              </a:schemeClr>
            </a:gs>
            <a:gs pos="40000">
              <a:schemeClr val="phClr">
                <a:tint val="55000"/>
                <a:satMod val="130000"/>
              </a:schemeClr>
            </a:gs>
            <a:gs pos="50000">
              <a:schemeClr val="phClr">
                <a:tint val="59000"/>
                <a:satMod val="130000"/>
              </a:schemeClr>
            </a:gs>
            <a:gs pos="65000">
              <a:schemeClr val="phClr">
                <a:tint val="55000"/>
                <a:satMod val="130000"/>
              </a:schemeClr>
            </a:gs>
            <a:gs pos="100000">
              <a:schemeClr val="phClr">
                <a:tint val="20000"/>
                <a:satMod val="12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48000"/>
                <a:satMod val="138000"/>
              </a:schemeClr>
            </a:gs>
            <a:gs pos="25000">
              <a:schemeClr val="phClr">
                <a:tint val="85000"/>
              </a:schemeClr>
            </a:gs>
            <a:gs pos="40000">
              <a:schemeClr val="phClr">
                <a:tint val="92000"/>
              </a:schemeClr>
            </a:gs>
            <a:gs pos="50000">
              <a:schemeClr val="phClr">
                <a:tint val="93000"/>
              </a:schemeClr>
            </a:gs>
            <a:gs pos="60000">
              <a:schemeClr val="phClr">
                <a:tint val="92000"/>
              </a:schemeClr>
            </a:gs>
            <a:gs pos="75000">
              <a:schemeClr val="phClr">
                <a:tint val="83000"/>
                <a:satMod val="108000"/>
              </a:schemeClr>
            </a:gs>
            <a:gs pos="100000">
              <a:schemeClr val="phClr">
                <a:tint val="48000"/>
                <a:satMod val="150000"/>
              </a:schemeClr>
            </a:gs>
          </a:gsLst>
          <a:lin ang="5400000" scaled="0"/>
        </a:gradFill>
      </a:fillStyleLst>
      <a:lnStyleLst>
        <a:ln w="12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</a:effectStyle>
        <a:effectStyle>
          <a:effectLst>
            <a:glow rad="63500">
              <a:schemeClr val="phClr">
                <a:alpha val="45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brightRoom" dir="tl">
              <a:rot lat="0" lon="0" rev="8700000"/>
            </a:lightRig>
          </a:scene3d>
          <a:sp3d>
            <a:bevelT w="0" h="0"/>
            <a:contourClr>
              <a:schemeClr val="phClr">
                <a:tint val="70000"/>
              </a:schemeClr>
            </a:contourClr>
          </a:sp3d>
        </a:effectStyle>
        <a:effectStyle>
          <a:effectLst>
            <a:glow rad="101500">
              <a:schemeClr val="phClr">
                <a:alpha val="42000"/>
                <a:satMod val="120000"/>
              </a:schemeClr>
            </a:glow>
          </a:effectLst>
          <a:scene3d>
            <a:camera prst="orthographicFront" fov="0">
              <a:rot lat="0" lon="0" rev="0"/>
            </a:camera>
            <a:lightRig rig="glow" dir="t">
              <a:rot lat="0" lon="0" rev="4800000"/>
            </a:lightRig>
          </a:scene3d>
          <a:sp3d prstMaterial="powder">
            <a:bevelT w="50800" h="508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01"/>
  <sheetViews>
    <sheetView topLeftCell="A10" workbookViewId="0">
      <selection activeCell="C73" sqref="C73"/>
    </sheetView>
  </sheetViews>
  <sheetFormatPr defaultRowHeight="11.25"/>
  <cols>
    <col min="2" max="2" width="46.6640625" customWidth="1"/>
    <col min="3" max="3" width="18" customWidth="1"/>
    <col min="4" max="4" width="18.33203125" customWidth="1"/>
    <col min="6" max="6" width="18.5" customWidth="1"/>
    <col min="7" max="7" width="20.1640625" customWidth="1"/>
    <col min="8" max="8" width="13.33203125" customWidth="1"/>
    <col min="10" max="10" width="22" customWidth="1"/>
    <col min="11" max="11" width="21.5" customWidth="1"/>
  </cols>
  <sheetData>
    <row r="1" spans="1:8" ht="12.75">
      <c r="A1" s="18"/>
      <c r="B1" s="19"/>
      <c r="C1" s="60" t="s">
        <v>52</v>
      </c>
      <c r="D1" s="38"/>
      <c r="E1" s="20"/>
      <c r="F1" s="33" t="s">
        <v>52</v>
      </c>
      <c r="G1" s="33" t="s">
        <v>50</v>
      </c>
      <c r="H1" s="202"/>
    </row>
    <row r="2" spans="1:8" ht="12.75">
      <c r="A2" s="25"/>
      <c r="B2" s="23"/>
      <c r="C2" s="58">
        <v>41547</v>
      </c>
      <c r="D2" s="58">
        <v>41547</v>
      </c>
      <c r="E2" s="24"/>
      <c r="F2" s="59">
        <v>41182</v>
      </c>
      <c r="G2" s="59">
        <v>41182</v>
      </c>
      <c r="H2" s="203"/>
    </row>
    <row r="3" spans="1:8" ht="12.75">
      <c r="A3" s="25"/>
      <c r="B3" s="23"/>
      <c r="C3" s="39" t="s">
        <v>6</v>
      </c>
      <c r="D3" s="39"/>
      <c r="E3" s="24"/>
      <c r="F3" s="34" t="s">
        <v>49</v>
      </c>
      <c r="G3" s="34" t="s">
        <v>53</v>
      </c>
      <c r="H3" s="203"/>
    </row>
    <row r="4" spans="1:8" ht="13.5" thickBot="1">
      <c r="A4" s="4"/>
      <c r="B4" s="21"/>
      <c r="C4" s="40" t="s">
        <v>44</v>
      </c>
      <c r="D4" s="40" t="s">
        <v>23</v>
      </c>
      <c r="E4" s="22"/>
      <c r="F4" s="35" t="s">
        <v>6</v>
      </c>
      <c r="G4" s="61">
        <v>40816</v>
      </c>
      <c r="H4" s="204"/>
    </row>
    <row r="5" spans="1:8" ht="15">
      <c r="A5" s="2"/>
      <c r="B5" s="27"/>
      <c r="C5" s="41"/>
      <c r="D5" s="42"/>
      <c r="E5" s="13"/>
      <c r="F5" s="36"/>
      <c r="G5" s="36"/>
      <c r="H5" s="205"/>
    </row>
    <row r="6" spans="1:8" ht="12.75">
      <c r="A6" s="2">
        <v>1</v>
      </c>
      <c r="B6" s="10" t="s">
        <v>1</v>
      </c>
      <c r="C6" s="92"/>
      <c r="D6" s="93"/>
      <c r="E6" s="14"/>
      <c r="F6" s="179"/>
      <c r="G6" s="179"/>
      <c r="H6" s="206"/>
    </row>
    <row r="7" spans="1:8" ht="12.75">
      <c r="A7" s="2">
        <f>A6+1</f>
        <v>2</v>
      </c>
      <c r="B7" s="10" t="s">
        <v>48</v>
      </c>
      <c r="C7" s="92"/>
      <c r="D7" s="93"/>
      <c r="E7" s="14"/>
      <c r="F7" s="179"/>
      <c r="G7" s="179"/>
      <c r="H7" s="206"/>
    </row>
    <row r="8" spans="1:8" ht="12.75">
      <c r="A8" s="2">
        <f t="shared" ref="A8:A33" si="0">A7+1</f>
        <v>3</v>
      </c>
      <c r="B8" s="52" t="s">
        <v>7</v>
      </c>
      <c r="C8" s="166">
        <v>3082394</v>
      </c>
      <c r="D8" s="94">
        <f>+C8/$C$33</f>
        <v>0.66502944056587154</v>
      </c>
      <c r="E8" s="95"/>
      <c r="F8" s="56">
        <v>2913327</v>
      </c>
      <c r="G8" s="179">
        <f t="shared" ref="G8:G27" si="1">SUM(C8-F8)</f>
        <v>169067</v>
      </c>
      <c r="H8" s="207">
        <f>G8/F8</f>
        <v>5.8032277186872601E-2</v>
      </c>
    </row>
    <row r="9" spans="1:8" ht="12.75">
      <c r="A9" s="2">
        <f t="shared" si="0"/>
        <v>4</v>
      </c>
      <c r="B9" s="52" t="s">
        <v>64</v>
      </c>
      <c r="C9" s="167">
        <v>344629.75</v>
      </c>
      <c r="D9" s="94">
        <f>+C9/$C$33</f>
        <v>7.4354196720100088E-2</v>
      </c>
      <c r="E9" s="95"/>
      <c r="F9" s="186">
        <v>344630</v>
      </c>
      <c r="G9" s="179">
        <f t="shared" si="1"/>
        <v>-0.25</v>
      </c>
      <c r="H9" s="207">
        <f t="shared" ref="H9:H72" si="2">G9/F9</f>
        <v>-7.2541566317499927E-7</v>
      </c>
    </row>
    <row r="10" spans="1:8" ht="13.5" thickBot="1">
      <c r="A10" s="2">
        <f t="shared" si="0"/>
        <v>5</v>
      </c>
      <c r="B10" s="52" t="s">
        <v>8</v>
      </c>
      <c r="C10" s="165">
        <v>180250</v>
      </c>
      <c r="D10" s="97">
        <f>+C10/$C$33</f>
        <v>3.88891091346526E-2</v>
      </c>
      <c r="E10" s="95"/>
      <c r="F10" s="78">
        <v>185250</v>
      </c>
      <c r="G10" s="180">
        <f t="shared" si="1"/>
        <v>-5000</v>
      </c>
      <c r="H10" s="208">
        <f t="shared" si="2"/>
        <v>-2.6990553306342781E-2</v>
      </c>
    </row>
    <row r="11" spans="1:8" ht="13.5" thickBot="1">
      <c r="A11" s="2">
        <f t="shared" si="0"/>
        <v>6</v>
      </c>
      <c r="B11" s="57" t="s">
        <v>54</v>
      </c>
      <c r="C11" s="228">
        <f>SUM(C8:C10)</f>
        <v>3607273.75</v>
      </c>
      <c r="D11" s="98">
        <f>SUM(D8:D10)</f>
        <v>0.77827274642062427</v>
      </c>
      <c r="E11" s="95"/>
      <c r="F11" s="79">
        <f>SUM(F8:F10)</f>
        <v>3443207</v>
      </c>
      <c r="G11" s="180">
        <f t="shared" si="1"/>
        <v>164066.75</v>
      </c>
      <c r="H11" s="208">
        <f t="shared" si="2"/>
        <v>4.7649400689531593E-2</v>
      </c>
    </row>
    <row r="12" spans="1:8" ht="12.75">
      <c r="A12" s="2">
        <f t="shared" si="0"/>
        <v>7</v>
      </c>
      <c r="B12" s="52"/>
      <c r="C12" s="99"/>
      <c r="D12" s="100"/>
      <c r="E12" s="95"/>
      <c r="F12" s="184"/>
      <c r="G12" s="179"/>
      <c r="H12" s="215"/>
    </row>
    <row r="13" spans="1:8" ht="12.75">
      <c r="A13" s="2">
        <f t="shared" si="0"/>
        <v>8</v>
      </c>
      <c r="B13" s="52" t="s">
        <v>29</v>
      </c>
      <c r="C13" s="166">
        <v>168400</v>
      </c>
      <c r="D13" s="94">
        <f>+C13/$C$33</f>
        <v>3.6332460351042983E-2</v>
      </c>
      <c r="E13" s="95"/>
      <c r="F13" s="56">
        <v>129500</v>
      </c>
      <c r="G13" s="179">
        <f t="shared" si="1"/>
        <v>38900</v>
      </c>
      <c r="H13" s="207">
        <f t="shared" si="2"/>
        <v>0.30038610038610036</v>
      </c>
    </row>
    <row r="14" spans="1:8" ht="12.75">
      <c r="A14" s="2">
        <f t="shared" si="0"/>
        <v>9</v>
      </c>
      <c r="B14" s="52"/>
      <c r="C14" s="166"/>
      <c r="D14" s="94"/>
      <c r="E14" s="95"/>
      <c r="F14" s="56"/>
      <c r="G14" s="179"/>
      <c r="H14" s="207"/>
    </row>
    <row r="15" spans="1:8" ht="12.75">
      <c r="A15" s="2">
        <f t="shared" si="0"/>
        <v>10</v>
      </c>
      <c r="B15" s="57" t="s">
        <v>55</v>
      </c>
      <c r="C15" s="166"/>
      <c r="D15" s="94"/>
      <c r="E15" s="95"/>
      <c r="F15" s="56"/>
      <c r="G15" s="179"/>
      <c r="H15" s="207"/>
    </row>
    <row r="16" spans="1:8" ht="12.75">
      <c r="A16" s="2">
        <f t="shared" si="0"/>
        <v>11</v>
      </c>
      <c r="B16" s="52" t="s">
        <v>9</v>
      </c>
      <c r="C16" s="166">
        <v>85900</v>
      </c>
      <c r="D16" s="94">
        <f>+C16/$C$33</f>
        <v>1.8533006794267174E-2</v>
      </c>
      <c r="E16" s="95"/>
      <c r="F16" s="56">
        <v>85900</v>
      </c>
      <c r="G16" s="179">
        <f>SUM(C16-F16)</f>
        <v>0</v>
      </c>
      <c r="H16" s="207">
        <f t="shared" si="2"/>
        <v>0</v>
      </c>
    </row>
    <row r="17" spans="1:8" ht="12.75">
      <c r="A17" s="2">
        <f t="shared" si="0"/>
        <v>12</v>
      </c>
      <c r="B17" s="52" t="s">
        <v>45</v>
      </c>
      <c r="C17" s="166">
        <v>200000</v>
      </c>
      <c r="D17" s="94">
        <f>+C17/$C$33</f>
        <v>4.3150190440668625E-2</v>
      </c>
      <c r="E17" s="95"/>
      <c r="F17" s="56">
        <v>86000</v>
      </c>
      <c r="G17" s="179">
        <f t="shared" si="1"/>
        <v>114000</v>
      </c>
      <c r="H17" s="216">
        <f t="shared" si="2"/>
        <v>1.3255813953488371</v>
      </c>
    </row>
    <row r="18" spans="1:8" ht="13.5" thickBot="1">
      <c r="A18" s="2">
        <f t="shared" si="0"/>
        <v>13</v>
      </c>
      <c r="B18" s="52" t="s">
        <v>25</v>
      </c>
      <c r="C18" s="165">
        <v>53413</v>
      </c>
      <c r="D18" s="97">
        <f>+C18/$C$33</f>
        <v>1.1523905610037166E-2</v>
      </c>
      <c r="E18" s="95"/>
      <c r="F18" s="78">
        <v>50000</v>
      </c>
      <c r="G18" s="180">
        <f t="shared" si="1"/>
        <v>3413</v>
      </c>
      <c r="H18" s="214">
        <f t="shared" si="2"/>
        <v>6.8260000000000001E-2</v>
      </c>
    </row>
    <row r="19" spans="1:8" ht="12.75">
      <c r="A19" s="2">
        <f t="shared" si="0"/>
        <v>14</v>
      </c>
      <c r="B19" s="57" t="s">
        <v>56</v>
      </c>
      <c r="C19" s="169">
        <f>SUM(C16:C18)</f>
        <v>339313</v>
      </c>
      <c r="D19" s="100">
        <f>SUM(D16:D18)</f>
        <v>7.3207102844972963E-2</v>
      </c>
      <c r="E19" s="95"/>
      <c r="F19" s="184">
        <f>SUM(F16:F18)</f>
        <v>221900</v>
      </c>
      <c r="G19" s="198">
        <f>SUM(G16:G18)</f>
        <v>117413</v>
      </c>
      <c r="H19" s="215">
        <f t="shared" si="2"/>
        <v>0.52912573231185223</v>
      </c>
    </row>
    <row r="20" spans="1:8" ht="12.75">
      <c r="A20" s="2">
        <f t="shared" si="0"/>
        <v>15</v>
      </c>
      <c r="B20" s="52"/>
      <c r="C20" s="92"/>
      <c r="D20" s="94"/>
      <c r="E20" s="95"/>
      <c r="F20" s="56"/>
      <c r="G20" s="182"/>
      <c r="H20" s="207"/>
    </row>
    <row r="21" spans="1:8" ht="12.75">
      <c r="A21" s="2">
        <f t="shared" si="0"/>
        <v>16</v>
      </c>
      <c r="B21" s="57" t="s">
        <v>57</v>
      </c>
      <c r="C21" s="92"/>
      <c r="D21" s="94"/>
      <c r="E21" s="95"/>
      <c r="F21" s="56"/>
      <c r="G21" s="179"/>
      <c r="H21" s="207"/>
    </row>
    <row r="22" spans="1:8" ht="12.75">
      <c r="A22" s="2">
        <f t="shared" si="0"/>
        <v>17</v>
      </c>
      <c r="B22" s="57" t="s">
        <v>58</v>
      </c>
      <c r="C22" s="166">
        <v>206650</v>
      </c>
      <c r="D22" s="94">
        <f>+C22/$C$33</f>
        <v>4.4584934272820856E-2</v>
      </c>
      <c r="E22" s="95"/>
      <c r="F22" s="56">
        <v>178750</v>
      </c>
      <c r="G22" s="179">
        <f t="shared" si="1"/>
        <v>27900</v>
      </c>
      <c r="H22" s="207">
        <f t="shared" si="2"/>
        <v>0.15608391608391609</v>
      </c>
    </row>
    <row r="23" spans="1:8" ht="13.5" thickBot="1">
      <c r="A23" s="2">
        <f t="shared" si="0"/>
        <v>18</v>
      </c>
      <c r="B23" s="57" t="s">
        <v>59</v>
      </c>
      <c r="C23" s="165">
        <v>52000</v>
      </c>
      <c r="D23" s="199">
        <f>+C23/$C$33</f>
        <v>1.1219049514573842E-2</v>
      </c>
      <c r="E23" s="95"/>
      <c r="F23" s="78">
        <v>52000</v>
      </c>
      <c r="G23" s="180">
        <f t="shared" si="1"/>
        <v>0</v>
      </c>
      <c r="H23" s="214">
        <f t="shared" si="2"/>
        <v>0</v>
      </c>
    </row>
    <row r="24" spans="1:8" ht="12.75">
      <c r="A24" s="2">
        <f t="shared" si="0"/>
        <v>19</v>
      </c>
      <c r="B24" s="57" t="s">
        <v>62</v>
      </c>
      <c r="C24" s="169">
        <f>SUM(C22:C23)</f>
        <v>258650</v>
      </c>
      <c r="D24" s="200">
        <f>+C24/$C$33</f>
        <v>5.58039837873947E-2</v>
      </c>
      <c r="E24" s="95"/>
      <c r="F24" s="184">
        <v>230750</v>
      </c>
      <c r="G24" s="182">
        <f t="shared" si="1"/>
        <v>27900</v>
      </c>
      <c r="H24" s="215">
        <f t="shared" si="2"/>
        <v>0.12091007583965331</v>
      </c>
    </row>
    <row r="25" spans="1:8" ht="12.75">
      <c r="A25" s="2">
        <f t="shared" si="0"/>
        <v>20</v>
      </c>
      <c r="B25" s="57" t="s">
        <v>60</v>
      </c>
      <c r="C25" s="168">
        <v>33900</v>
      </c>
      <c r="D25" s="94">
        <f>+C25/$C$33</f>
        <v>7.3139572796933313E-3</v>
      </c>
      <c r="E25" s="95"/>
      <c r="F25" s="184">
        <v>66830</v>
      </c>
      <c r="G25" s="179">
        <f t="shared" si="1"/>
        <v>-32930</v>
      </c>
      <c r="H25" s="207">
        <f t="shared" si="2"/>
        <v>-0.49274278018853807</v>
      </c>
    </row>
    <row r="26" spans="1:8" ht="13.5" thickBot="1">
      <c r="A26" s="2">
        <f t="shared" si="0"/>
        <v>21</v>
      </c>
      <c r="B26" s="57" t="s">
        <v>61</v>
      </c>
      <c r="C26" s="165">
        <f>120467+6970</f>
        <v>127437</v>
      </c>
      <c r="D26" s="199">
        <f>+C26/$C$33</f>
        <v>2.7494654095937435E-2</v>
      </c>
      <c r="E26" s="101"/>
      <c r="F26" s="78">
        <v>73685</v>
      </c>
      <c r="G26" s="180">
        <f t="shared" si="1"/>
        <v>53752</v>
      </c>
      <c r="H26" s="214">
        <f t="shared" si="2"/>
        <v>0.72948361267557849</v>
      </c>
    </row>
    <row r="27" spans="1:8" ht="12.75">
      <c r="A27" s="2">
        <f t="shared" si="0"/>
        <v>22</v>
      </c>
      <c r="B27" s="57" t="s">
        <v>63</v>
      </c>
      <c r="C27" s="169">
        <f>SUM(C24:C26)</f>
        <v>419987</v>
      </c>
      <c r="D27" s="65">
        <f t="shared" ref="D27:D32" si="3">+C27/$C$33</f>
        <v>9.0612595163025458E-2</v>
      </c>
      <c r="E27" s="13"/>
      <c r="F27" s="187">
        <f>SUM(F24:F26)</f>
        <v>371265</v>
      </c>
      <c r="G27" s="66">
        <f t="shared" si="1"/>
        <v>48722</v>
      </c>
      <c r="H27" s="215">
        <f t="shared" si="2"/>
        <v>0.13123240811819051</v>
      </c>
    </row>
    <row r="28" spans="1:8" ht="12.75">
      <c r="A28" s="2">
        <f t="shared" si="0"/>
        <v>23</v>
      </c>
      <c r="B28" s="52" t="s">
        <v>30</v>
      </c>
      <c r="C28" s="166">
        <v>80000</v>
      </c>
      <c r="D28" s="94">
        <f t="shared" si="3"/>
        <v>1.7260076176267448E-2</v>
      </c>
      <c r="E28" s="95"/>
      <c r="F28" s="56">
        <v>68150</v>
      </c>
      <c r="G28" s="179">
        <f>SUM(C28-F28)</f>
        <v>11850</v>
      </c>
      <c r="H28" s="207">
        <f t="shared" si="2"/>
        <v>0.17388114453411593</v>
      </c>
    </row>
    <row r="29" spans="1:8" ht="12.75">
      <c r="A29" s="2">
        <f t="shared" si="0"/>
        <v>24</v>
      </c>
      <c r="B29" s="52" t="s">
        <v>10</v>
      </c>
      <c r="C29" s="166">
        <v>0</v>
      </c>
      <c r="D29" s="94">
        <f t="shared" si="3"/>
        <v>0</v>
      </c>
      <c r="E29" s="95"/>
      <c r="F29" s="56">
        <v>0</v>
      </c>
      <c r="G29" s="179">
        <f>SUM(C29-F29)</f>
        <v>0</v>
      </c>
      <c r="H29" s="207"/>
    </row>
    <row r="30" spans="1:8" ht="12.75">
      <c r="A30" s="2">
        <f t="shared" si="0"/>
        <v>25</v>
      </c>
      <c r="B30" s="53" t="s">
        <v>31</v>
      </c>
      <c r="C30" s="166">
        <v>0</v>
      </c>
      <c r="D30" s="94">
        <f t="shared" si="3"/>
        <v>0</v>
      </c>
      <c r="E30" s="95"/>
      <c r="F30" s="56">
        <v>19200</v>
      </c>
      <c r="G30" s="179">
        <f>SUM(C30-F30)</f>
        <v>-19200</v>
      </c>
      <c r="H30" s="207">
        <f t="shared" si="2"/>
        <v>-1</v>
      </c>
    </row>
    <row r="31" spans="1:8" ht="12.75">
      <c r="A31" s="2">
        <f t="shared" si="0"/>
        <v>26</v>
      </c>
      <c r="B31" s="52" t="s">
        <v>32</v>
      </c>
      <c r="C31" s="166">
        <v>0</v>
      </c>
      <c r="D31" s="94">
        <f t="shared" si="3"/>
        <v>0</v>
      </c>
      <c r="E31" s="102"/>
      <c r="F31" s="56">
        <v>48000</v>
      </c>
      <c r="G31" s="179">
        <f>SUM(C31-F31)</f>
        <v>-48000</v>
      </c>
      <c r="H31" s="207">
        <f t="shared" si="2"/>
        <v>-1</v>
      </c>
    </row>
    <row r="32" spans="1:8" ht="13.5" thickBot="1">
      <c r="A32" s="2">
        <f t="shared" si="0"/>
        <v>27</v>
      </c>
      <c r="B32" s="55" t="s">
        <v>46</v>
      </c>
      <c r="C32" s="170">
        <v>20000</v>
      </c>
      <c r="D32" s="94">
        <f t="shared" si="3"/>
        <v>4.3150190440668619E-3</v>
      </c>
      <c r="E32" s="104"/>
      <c r="F32" s="185">
        <v>38500</v>
      </c>
      <c r="G32" s="183"/>
      <c r="H32" s="214">
        <f t="shared" si="2"/>
        <v>0</v>
      </c>
    </row>
    <row r="33" spans="1:8" ht="13.5" thickBot="1">
      <c r="A33" s="2">
        <f t="shared" si="0"/>
        <v>28</v>
      </c>
      <c r="B33" s="11" t="s">
        <v>3</v>
      </c>
      <c r="C33" s="43">
        <f>C11+C13+C19+C27+C28+C29+C30+C31+C32</f>
        <v>4634973.75</v>
      </c>
      <c r="D33" s="44">
        <f>D11+D13+D19+D27+D28+D29+D30+D31+D32</f>
        <v>1</v>
      </c>
      <c r="E33" s="15"/>
      <c r="F33" s="188">
        <f>F11+F13+F19+F27+F28+F29+F30+F31+F32</f>
        <v>4339722</v>
      </c>
      <c r="G33" s="37">
        <f>G11+G13+G19+G27+G28+G29+G30+G31+G32</f>
        <v>313751.75</v>
      </c>
      <c r="H33" s="208">
        <f t="shared" si="2"/>
        <v>7.2297661002248534E-2</v>
      </c>
    </row>
    <row r="34" spans="1:8" ht="12.75">
      <c r="A34" s="2"/>
      <c r="B34" s="105"/>
      <c r="C34" s="99"/>
      <c r="D34" s="106"/>
      <c r="E34" s="107"/>
      <c r="F34" s="184"/>
      <c r="G34" s="182"/>
      <c r="H34" s="215"/>
    </row>
    <row r="35" spans="1:8" ht="12.75">
      <c r="A35" s="2">
        <v>29</v>
      </c>
      <c r="B35" s="10" t="s">
        <v>2</v>
      </c>
      <c r="C35" s="92"/>
      <c r="D35" s="93"/>
      <c r="E35" s="14"/>
      <c r="F35" s="56"/>
      <c r="G35" s="179"/>
      <c r="H35" s="207"/>
    </row>
    <row r="36" spans="1:8" ht="12.75">
      <c r="A36" s="2">
        <f>A35+1</f>
        <v>30</v>
      </c>
      <c r="B36" s="10" t="s">
        <v>51</v>
      </c>
      <c r="C36" s="92"/>
      <c r="D36" s="93"/>
      <c r="E36" s="14"/>
      <c r="F36" s="56"/>
      <c r="G36" s="179"/>
      <c r="H36" s="207"/>
    </row>
    <row r="37" spans="1:8" ht="12.75">
      <c r="A37" s="2">
        <f t="shared" ref="A37:A85" si="4">A36+1</f>
        <v>31</v>
      </c>
      <c r="B37" s="52" t="s">
        <v>33</v>
      </c>
      <c r="C37" s="92">
        <v>2274738</v>
      </c>
      <c r="D37" s="94">
        <f>+C37/$C$84</f>
        <v>0.49143094167933193</v>
      </c>
      <c r="E37" s="95"/>
      <c r="F37" s="56">
        <v>1887477</v>
      </c>
      <c r="G37" s="56">
        <f>SUM(C37-F37)</f>
        <v>387261</v>
      </c>
      <c r="H37" s="207">
        <f t="shared" si="2"/>
        <v>0.20517389086065685</v>
      </c>
    </row>
    <row r="38" spans="1:8" ht="12.75">
      <c r="A38" s="2">
        <f t="shared" si="4"/>
        <v>32</v>
      </c>
      <c r="B38" s="54" t="s">
        <v>34</v>
      </c>
      <c r="C38" s="92">
        <v>100000</v>
      </c>
      <c r="D38" s="94">
        <f>+C38/$C$84</f>
        <v>2.1603848077419548E-2</v>
      </c>
      <c r="E38" s="95"/>
      <c r="F38" s="56">
        <v>123350</v>
      </c>
      <c r="G38" s="56">
        <f>SUM(C38-F38)</f>
        <v>-23350</v>
      </c>
      <c r="H38" s="207">
        <f t="shared" si="2"/>
        <v>-0.18929874341305228</v>
      </c>
    </row>
    <row r="39" spans="1:8" ht="12.75">
      <c r="A39" s="2">
        <f t="shared" si="4"/>
        <v>33</v>
      </c>
      <c r="B39" s="54" t="s">
        <v>47</v>
      </c>
      <c r="C39" s="92">
        <v>0</v>
      </c>
      <c r="D39" s="94">
        <f>+C39/$C$84</f>
        <v>0</v>
      </c>
      <c r="E39" s="95"/>
      <c r="F39" s="56">
        <v>20000</v>
      </c>
      <c r="G39" s="56">
        <f>SUM(C39-F39)</f>
        <v>-20000</v>
      </c>
      <c r="H39" s="207">
        <f t="shared" si="2"/>
        <v>-1</v>
      </c>
    </row>
    <row r="40" spans="1:8" ht="12.75">
      <c r="A40" s="2">
        <f>A39+1</f>
        <v>34</v>
      </c>
      <c r="B40" s="52" t="s">
        <v>11</v>
      </c>
      <c r="C40" s="92">
        <v>531103</v>
      </c>
      <c r="D40" s="94">
        <f>+C40/$C$84</f>
        <v>0.11473868525461756</v>
      </c>
      <c r="E40" s="95"/>
      <c r="F40" s="56">
        <v>553210</v>
      </c>
      <c r="G40" s="56">
        <f>SUM(C40-F40)</f>
        <v>-22107</v>
      </c>
      <c r="H40" s="207">
        <f t="shared" si="2"/>
        <v>-3.9961316679018817E-2</v>
      </c>
    </row>
    <row r="41" spans="1:8" ht="13.5" thickBot="1">
      <c r="A41" s="2">
        <f t="shared" si="4"/>
        <v>35</v>
      </c>
      <c r="B41" s="52" t="s">
        <v>35</v>
      </c>
      <c r="C41" s="96">
        <f>500+5500</f>
        <v>6000</v>
      </c>
      <c r="D41" s="94">
        <f>+C41/$C$84</f>
        <v>1.2962308846451731E-3</v>
      </c>
      <c r="E41" s="95"/>
      <c r="F41" s="78">
        <v>4600</v>
      </c>
      <c r="G41" s="78">
        <f>SUM(C41-F41)</f>
        <v>1400</v>
      </c>
      <c r="H41" s="214">
        <f t="shared" si="2"/>
        <v>0.30434782608695654</v>
      </c>
    </row>
    <row r="42" spans="1:8" ht="13.5" thickBot="1">
      <c r="A42" s="2">
        <f t="shared" si="4"/>
        <v>36</v>
      </c>
      <c r="B42" s="52" t="s">
        <v>205</v>
      </c>
      <c r="C42" s="43">
        <f>SUM(C37:C41)</f>
        <v>2911841</v>
      </c>
      <c r="D42" s="98">
        <f>SUM(D37:D41)</f>
        <v>0.62906970589601419</v>
      </c>
      <c r="E42" s="95"/>
      <c r="F42" s="79">
        <f>SUM(F37:F41)</f>
        <v>2588637</v>
      </c>
      <c r="G42" s="79">
        <f>SUM(G37:G41)</f>
        <v>323204</v>
      </c>
      <c r="H42" s="208">
        <f t="shared" si="2"/>
        <v>0.12485489468009613</v>
      </c>
    </row>
    <row r="43" spans="1:8" ht="12.75">
      <c r="A43" s="2">
        <f t="shared" si="4"/>
        <v>37</v>
      </c>
      <c r="B43" s="52"/>
      <c r="C43" s="99"/>
      <c r="D43" s="100"/>
      <c r="E43" s="95"/>
      <c r="F43" s="184"/>
      <c r="G43" s="184"/>
      <c r="H43" s="215"/>
    </row>
    <row r="44" spans="1:8" ht="12.75">
      <c r="A44" s="2">
        <f t="shared" si="4"/>
        <v>38</v>
      </c>
      <c r="B44" s="57" t="s">
        <v>210</v>
      </c>
      <c r="C44" s="99"/>
      <c r="D44" s="100"/>
      <c r="E44" s="95"/>
      <c r="F44" s="184"/>
      <c r="G44" s="184"/>
      <c r="H44" s="207"/>
    </row>
    <row r="45" spans="1:8" ht="12.75">
      <c r="A45" s="2">
        <f t="shared" si="4"/>
        <v>39</v>
      </c>
      <c r="B45" s="52" t="s">
        <v>15</v>
      </c>
      <c r="C45" s="92">
        <v>207358</v>
      </c>
      <c r="D45" s="94">
        <f t="shared" ref="D45:D53" si="5">+C45/$C$84</f>
        <v>4.4797307296375634E-2</v>
      </c>
      <c r="E45" s="95"/>
      <c r="F45" s="56">
        <v>230926</v>
      </c>
      <c r="G45" s="56">
        <f t="shared" ref="G45:G53" si="6">SUM(C45-F45)</f>
        <v>-23568</v>
      </c>
      <c r="H45" s="207">
        <f t="shared" si="2"/>
        <v>-0.10205866814477366</v>
      </c>
    </row>
    <row r="46" spans="1:8" ht="12.75">
      <c r="A46" s="2">
        <f t="shared" si="4"/>
        <v>40</v>
      </c>
      <c r="B46" s="52" t="s">
        <v>19</v>
      </c>
      <c r="C46" s="92">
        <v>123900</v>
      </c>
      <c r="D46" s="94">
        <f t="shared" si="5"/>
        <v>2.6767167767922824E-2</v>
      </c>
      <c r="E46" s="95"/>
      <c r="F46" s="56">
        <v>141057</v>
      </c>
      <c r="G46" s="56">
        <f t="shared" si="6"/>
        <v>-17157</v>
      </c>
      <c r="H46" s="207">
        <f t="shared" si="2"/>
        <v>-0.12163168080988536</v>
      </c>
    </row>
    <row r="47" spans="1:8" ht="12.75">
      <c r="A47" s="2">
        <f t="shared" si="4"/>
        <v>41</v>
      </c>
      <c r="B47" s="52" t="s">
        <v>20</v>
      </c>
      <c r="C47" s="92">
        <v>28200</v>
      </c>
      <c r="D47" s="94">
        <f t="shared" si="5"/>
        <v>6.0922851578323134E-3</v>
      </c>
      <c r="E47" s="95"/>
      <c r="F47" s="56">
        <v>26300</v>
      </c>
      <c r="G47" s="56">
        <f t="shared" si="6"/>
        <v>1900</v>
      </c>
      <c r="H47" s="217">
        <f t="shared" si="2"/>
        <v>7.2243346007604556E-2</v>
      </c>
    </row>
    <row r="48" spans="1:8" ht="12.75">
      <c r="A48" s="2">
        <f t="shared" si="4"/>
        <v>42</v>
      </c>
      <c r="B48" s="52" t="s">
        <v>13</v>
      </c>
      <c r="C48" s="92">
        <v>65840</v>
      </c>
      <c r="D48" s="94">
        <f t="shared" si="5"/>
        <v>1.4223973574173031E-2</v>
      </c>
      <c r="E48" s="95"/>
      <c r="F48" s="56">
        <v>41746</v>
      </c>
      <c r="G48" s="56">
        <f t="shared" si="6"/>
        <v>24094</v>
      </c>
      <c r="H48" s="207">
        <f t="shared" si="2"/>
        <v>0.57715709289512773</v>
      </c>
    </row>
    <row r="49" spans="1:8" ht="12.75">
      <c r="A49" s="2">
        <f t="shared" si="4"/>
        <v>43</v>
      </c>
      <c r="B49" s="52" t="s">
        <v>41</v>
      </c>
      <c r="C49" s="92">
        <v>36614</v>
      </c>
      <c r="D49" s="94">
        <f t="shared" si="5"/>
        <v>7.9100329350663932E-3</v>
      </c>
      <c r="E49" s="95"/>
      <c r="F49" s="56">
        <v>50650</v>
      </c>
      <c r="G49" s="56">
        <f t="shared" si="6"/>
        <v>-14036</v>
      </c>
      <c r="H49" s="217">
        <f t="shared" si="2"/>
        <v>-0.27711747285291216</v>
      </c>
    </row>
    <row r="50" spans="1:8" ht="12.75">
      <c r="A50" s="2">
        <f t="shared" si="4"/>
        <v>44</v>
      </c>
      <c r="B50" s="52" t="s">
        <v>24</v>
      </c>
      <c r="C50" s="92">
        <v>28600</v>
      </c>
      <c r="D50" s="94">
        <f t="shared" si="5"/>
        <v>6.1787005501419915E-3</v>
      </c>
      <c r="E50" s="95"/>
      <c r="F50" s="56">
        <v>30930</v>
      </c>
      <c r="G50" s="56">
        <f t="shared" si="6"/>
        <v>-2330</v>
      </c>
      <c r="H50" s="207">
        <f t="shared" si="2"/>
        <v>-7.5331393469123833E-2</v>
      </c>
    </row>
    <row r="51" spans="1:8" ht="12.75">
      <c r="A51" s="2">
        <f t="shared" si="4"/>
        <v>45</v>
      </c>
      <c r="B51" s="52" t="s">
        <v>16</v>
      </c>
      <c r="C51" s="92">
        <v>168000</v>
      </c>
      <c r="D51" s="94">
        <f t="shared" si="5"/>
        <v>3.6294464770064844E-2</v>
      </c>
      <c r="E51" s="95"/>
      <c r="F51" s="56">
        <v>147463</v>
      </c>
      <c r="G51" s="56">
        <f t="shared" si="6"/>
        <v>20537</v>
      </c>
      <c r="H51" s="207">
        <f t="shared" si="2"/>
        <v>0.13926883353790442</v>
      </c>
    </row>
    <row r="52" spans="1:8" ht="12.75">
      <c r="A52" s="2">
        <f t="shared" si="4"/>
        <v>46</v>
      </c>
      <c r="B52" s="52" t="s">
        <v>40</v>
      </c>
      <c r="C52" s="92">
        <v>10250</v>
      </c>
      <c r="D52" s="94">
        <f>+C52/$C$84</f>
        <v>2.214394427935504E-3</v>
      </c>
      <c r="E52" s="95"/>
      <c r="F52" s="56">
        <v>10350</v>
      </c>
      <c r="G52" s="56">
        <f>SUM(C52-F52)</f>
        <v>-100</v>
      </c>
      <c r="H52" s="216">
        <f t="shared" si="2"/>
        <v>-9.6618357487922701E-3</v>
      </c>
    </row>
    <row r="53" spans="1:8" ht="13.5" thickBot="1">
      <c r="A53" s="2">
        <f t="shared" si="4"/>
        <v>47</v>
      </c>
      <c r="B53" s="52" t="s">
        <v>43</v>
      </c>
      <c r="C53" s="96">
        <v>0</v>
      </c>
      <c r="D53" s="97">
        <f t="shared" si="5"/>
        <v>0</v>
      </c>
      <c r="E53" s="95"/>
      <c r="F53" s="78">
        <v>11045</v>
      </c>
      <c r="G53" s="78">
        <f t="shared" si="6"/>
        <v>-11045</v>
      </c>
      <c r="H53" s="214">
        <f t="shared" si="2"/>
        <v>-1</v>
      </c>
    </row>
    <row r="54" spans="1:8" ht="13.5" thickBot="1">
      <c r="A54" s="2">
        <f t="shared" si="4"/>
        <v>48</v>
      </c>
      <c r="B54" s="57" t="s">
        <v>211</v>
      </c>
      <c r="C54" s="43">
        <f>SUM(C45:C53)</f>
        <v>668762</v>
      </c>
      <c r="D54" s="98">
        <f>SUM(D45:D53)</f>
        <v>0.14447832647951256</v>
      </c>
      <c r="E54" s="95"/>
      <c r="F54" s="79">
        <f>SUM(F45:F53)</f>
        <v>690467</v>
      </c>
      <c r="G54" s="79">
        <f>SUM(G45:G53)</f>
        <v>-21705</v>
      </c>
      <c r="H54" s="208">
        <f t="shared" si="2"/>
        <v>-3.1435246000170898E-2</v>
      </c>
    </row>
    <row r="55" spans="1:8" ht="12.75">
      <c r="A55" s="2">
        <f t="shared" si="4"/>
        <v>49</v>
      </c>
      <c r="B55" s="57"/>
      <c r="C55" s="99"/>
      <c r="D55" s="100"/>
      <c r="E55" s="95"/>
      <c r="F55" s="184"/>
      <c r="G55" s="184"/>
      <c r="H55" s="218"/>
    </row>
    <row r="56" spans="1:8" ht="12.75">
      <c r="A56" s="2">
        <f t="shared" si="4"/>
        <v>50</v>
      </c>
      <c r="B56" s="57" t="s">
        <v>213</v>
      </c>
      <c r="C56" s="99"/>
      <c r="D56" s="100"/>
      <c r="E56" s="95"/>
      <c r="F56" s="184"/>
      <c r="G56" s="184"/>
      <c r="H56" s="207"/>
    </row>
    <row r="57" spans="1:8" ht="12.75">
      <c r="A57" s="2">
        <f t="shared" si="4"/>
        <v>51</v>
      </c>
      <c r="B57" s="52" t="s">
        <v>12</v>
      </c>
      <c r="C57" s="92">
        <v>105300</v>
      </c>
      <c r="D57" s="94">
        <f>+C57/$C$84</f>
        <v>2.2748852025522785E-2</v>
      </c>
      <c r="E57" s="95"/>
      <c r="F57" s="56">
        <v>137695</v>
      </c>
      <c r="G57" s="56">
        <f t="shared" ref="G57:G71" si="7">SUM(C57-F57)</f>
        <v>-32395</v>
      </c>
      <c r="H57" s="217">
        <f t="shared" si="2"/>
        <v>-0.23526634954065143</v>
      </c>
    </row>
    <row r="58" spans="1:8" ht="12.75">
      <c r="A58" s="2">
        <f t="shared" si="4"/>
        <v>52</v>
      </c>
      <c r="B58" s="52" t="s">
        <v>38</v>
      </c>
      <c r="C58" s="92">
        <v>33500</v>
      </c>
      <c r="D58" s="94">
        <f>+C58/$C$84</f>
        <v>7.2372891059355494E-3</v>
      </c>
      <c r="E58" s="95"/>
      <c r="F58" s="56">
        <v>34490</v>
      </c>
      <c r="G58" s="56">
        <f>SUM(C58-F58)</f>
        <v>-990</v>
      </c>
      <c r="H58" s="207">
        <f t="shared" si="2"/>
        <v>-2.8703972165845172E-2</v>
      </c>
    </row>
    <row r="59" spans="1:8" ht="12.75">
      <c r="A59" s="2">
        <f t="shared" si="4"/>
        <v>53</v>
      </c>
      <c r="B59" s="53" t="s">
        <v>204</v>
      </c>
      <c r="C59" s="92">
        <v>30400</v>
      </c>
      <c r="D59" s="94">
        <f>+C59/$C$84</f>
        <v>6.5675698155355433E-3</v>
      </c>
      <c r="E59" s="95"/>
      <c r="F59" s="56">
        <v>37100</v>
      </c>
      <c r="G59" s="56">
        <f>SUM(C59-F59)</f>
        <v>-6700</v>
      </c>
      <c r="H59" s="207">
        <f t="shared" si="2"/>
        <v>-0.18059299191374664</v>
      </c>
    </row>
    <row r="60" spans="1:8" ht="13.5" thickBot="1">
      <c r="A60" s="2">
        <f t="shared" si="4"/>
        <v>54</v>
      </c>
      <c r="B60" s="53" t="s">
        <v>37</v>
      </c>
      <c r="C60" s="96">
        <v>0</v>
      </c>
      <c r="D60" s="97">
        <f>+C60/$C$84</f>
        <v>0</v>
      </c>
      <c r="E60" s="95"/>
      <c r="F60" s="78">
        <v>55000</v>
      </c>
      <c r="G60" s="78">
        <f>SUM(C60-F60)</f>
        <v>-55000</v>
      </c>
      <c r="H60" s="214">
        <f t="shared" si="2"/>
        <v>-1</v>
      </c>
    </row>
    <row r="61" spans="1:8" ht="13.5" thickBot="1">
      <c r="A61" s="2">
        <f t="shared" si="4"/>
        <v>55</v>
      </c>
      <c r="B61" s="80" t="s">
        <v>214</v>
      </c>
      <c r="C61" s="43">
        <f>SUM(C57:C60)</f>
        <v>169200</v>
      </c>
      <c r="D61" s="98">
        <f>SUM(D57:D60)</f>
        <v>3.6553710946993875E-2</v>
      </c>
      <c r="E61" s="95"/>
      <c r="F61" s="79">
        <f>SUM(F57:F60)</f>
        <v>264285</v>
      </c>
      <c r="G61" s="79">
        <f>SUM(G57:G60)</f>
        <v>-95085</v>
      </c>
      <c r="H61" s="208">
        <f t="shared" si="2"/>
        <v>-0.35978205346500935</v>
      </c>
    </row>
    <row r="62" spans="1:8" ht="12.75">
      <c r="A62" s="2">
        <f t="shared" si="4"/>
        <v>56</v>
      </c>
      <c r="B62" s="53"/>
      <c r="C62" s="99"/>
      <c r="D62" s="100"/>
      <c r="E62" s="95"/>
      <c r="F62" s="184"/>
      <c r="G62" s="184"/>
      <c r="H62" s="218"/>
    </row>
    <row r="63" spans="1:8" ht="12.75">
      <c r="A63" s="2">
        <f t="shared" si="4"/>
        <v>57</v>
      </c>
      <c r="B63" s="80" t="s">
        <v>215</v>
      </c>
      <c r="C63" s="99"/>
      <c r="D63" s="100"/>
      <c r="E63" s="95"/>
      <c r="F63" s="184"/>
      <c r="G63" s="184"/>
      <c r="H63" s="207"/>
    </row>
    <row r="64" spans="1:8" ht="12.75">
      <c r="A64" s="2">
        <f t="shared" si="4"/>
        <v>58</v>
      </c>
      <c r="B64" s="52" t="s">
        <v>206</v>
      </c>
      <c r="C64" s="92">
        <v>270432</v>
      </c>
      <c r="D64" s="94">
        <f t="shared" ref="D64:D72" si="8">+C64/$C$84</f>
        <v>5.8423718432727235E-2</v>
      </c>
      <c r="E64" s="95"/>
      <c r="F64" s="56">
        <v>210942</v>
      </c>
      <c r="G64" s="56">
        <f t="shared" si="7"/>
        <v>59490</v>
      </c>
      <c r="H64" s="217">
        <f t="shared" si="2"/>
        <v>0.28202065022612849</v>
      </c>
    </row>
    <row r="65" spans="1:11" ht="12.75">
      <c r="A65" s="2">
        <f t="shared" si="4"/>
        <v>59</v>
      </c>
      <c r="B65" s="52" t="s">
        <v>42</v>
      </c>
      <c r="C65" s="92">
        <v>85000</v>
      </c>
      <c r="D65" s="94">
        <f t="shared" si="8"/>
        <v>1.8363270865806618E-2</v>
      </c>
      <c r="E65" s="95"/>
      <c r="F65" s="56">
        <v>93443</v>
      </c>
      <c r="G65" s="56">
        <f t="shared" si="7"/>
        <v>-8443</v>
      </c>
      <c r="H65" s="207">
        <f t="shared" si="2"/>
        <v>-9.0354547692175977E-2</v>
      </c>
    </row>
    <row r="66" spans="1:11" ht="12.75">
      <c r="A66" s="2">
        <f t="shared" si="4"/>
        <v>60</v>
      </c>
      <c r="B66" s="52" t="s">
        <v>14</v>
      </c>
      <c r="C66" s="92">
        <v>19000</v>
      </c>
      <c r="D66" s="94">
        <f t="shared" si="8"/>
        <v>4.1047311347097142E-3</v>
      </c>
      <c r="E66" s="95"/>
      <c r="F66" s="56">
        <v>37823</v>
      </c>
      <c r="G66" s="56">
        <f t="shared" si="7"/>
        <v>-18823</v>
      </c>
      <c r="H66" s="217">
        <f t="shared" si="2"/>
        <v>-0.49766015387462653</v>
      </c>
    </row>
    <row r="67" spans="1:11" ht="12.75">
      <c r="A67" s="2">
        <f t="shared" si="4"/>
        <v>61</v>
      </c>
      <c r="B67" s="52" t="s">
        <v>212</v>
      </c>
      <c r="C67" s="92">
        <v>20000</v>
      </c>
      <c r="D67" s="94">
        <f t="shared" si="8"/>
        <v>4.3207696154839098E-3</v>
      </c>
      <c r="E67" s="95"/>
      <c r="F67" s="56">
        <v>44662</v>
      </c>
      <c r="G67" s="56">
        <f t="shared" si="7"/>
        <v>-24662</v>
      </c>
      <c r="H67" s="207">
        <f t="shared" si="2"/>
        <v>-0.55219202006179746</v>
      </c>
    </row>
    <row r="68" spans="1:11" ht="12.75">
      <c r="A68" s="2">
        <f t="shared" si="4"/>
        <v>62</v>
      </c>
      <c r="B68" s="52" t="s">
        <v>17</v>
      </c>
      <c r="C68" s="92">
        <v>25500</v>
      </c>
      <c r="D68" s="94">
        <f t="shared" si="8"/>
        <v>5.5089812597419853E-3</v>
      </c>
      <c r="E68" s="95"/>
      <c r="F68" s="56">
        <v>23785</v>
      </c>
      <c r="G68" s="56">
        <f t="shared" si="7"/>
        <v>1715</v>
      </c>
      <c r="H68" s="217">
        <f t="shared" si="2"/>
        <v>7.2104267395417282E-2</v>
      </c>
    </row>
    <row r="69" spans="1:11" ht="12.75">
      <c r="A69" s="2">
        <f t="shared" si="4"/>
        <v>63</v>
      </c>
      <c r="B69" s="52" t="s">
        <v>39</v>
      </c>
      <c r="C69" s="92">
        <v>47500</v>
      </c>
      <c r="D69" s="94">
        <f t="shared" si="8"/>
        <v>1.0261827836774286E-2</v>
      </c>
      <c r="E69" s="95"/>
      <c r="F69" s="56">
        <v>60000</v>
      </c>
      <c r="G69" s="56">
        <f t="shared" si="7"/>
        <v>-12500</v>
      </c>
      <c r="H69" s="207">
        <f t="shared" si="2"/>
        <v>-0.20833333333333334</v>
      </c>
    </row>
    <row r="70" spans="1:11" ht="12.75">
      <c r="A70" s="2">
        <f t="shared" si="4"/>
        <v>64</v>
      </c>
      <c r="B70" s="52" t="s">
        <v>26</v>
      </c>
      <c r="C70" s="92">
        <v>91570</v>
      </c>
      <c r="D70" s="94">
        <f t="shared" si="8"/>
        <v>1.9782643684493083E-2</v>
      </c>
      <c r="E70" s="95"/>
      <c r="F70" s="56">
        <v>62135</v>
      </c>
      <c r="G70" s="56">
        <f t="shared" si="7"/>
        <v>29435</v>
      </c>
      <c r="H70" s="217">
        <f t="shared" si="2"/>
        <v>0.47372656312867145</v>
      </c>
    </row>
    <row r="71" spans="1:11" ht="12.75">
      <c r="A71" s="2">
        <f t="shared" si="4"/>
        <v>65</v>
      </c>
      <c r="B71" s="52" t="s">
        <v>18</v>
      </c>
      <c r="C71" s="92">
        <v>56000</v>
      </c>
      <c r="D71" s="94">
        <f t="shared" si="8"/>
        <v>1.2098154923354948E-2</v>
      </c>
      <c r="E71" s="95"/>
      <c r="F71" s="56">
        <v>56000</v>
      </c>
      <c r="G71" s="56">
        <f t="shared" si="7"/>
        <v>0</v>
      </c>
      <c r="H71" s="207">
        <f t="shared" si="2"/>
        <v>0</v>
      </c>
    </row>
    <row r="72" spans="1:11" ht="13.5" thickBot="1">
      <c r="A72" s="2">
        <f t="shared" si="4"/>
        <v>66</v>
      </c>
      <c r="B72" s="52" t="s">
        <v>21</v>
      </c>
      <c r="C72" s="96">
        <v>0</v>
      </c>
      <c r="D72" s="97">
        <f t="shared" si="8"/>
        <v>0</v>
      </c>
      <c r="E72" s="95"/>
      <c r="F72" s="78">
        <v>9880</v>
      </c>
      <c r="G72" s="78">
        <f>SUM(C72-F72)</f>
        <v>-9880</v>
      </c>
      <c r="H72" s="214">
        <f t="shared" si="2"/>
        <v>-1</v>
      </c>
    </row>
    <row r="73" spans="1:11" ht="13.5" thickBot="1">
      <c r="A73" s="2">
        <f t="shared" si="4"/>
        <v>67</v>
      </c>
      <c r="B73" s="75" t="s">
        <v>216</v>
      </c>
      <c r="C73" s="43">
        <f>SUM(C64:C72)</f>
        <v>615002</v>
      </c>
      <c r="D73" s="98">
        <f>SUM(D64:D72)</f>
        <v>0.1328640977530918</v>
      </c>
      <c r="E73" s="102"/>
      <c r="F73" s="79">
        <f>SUM(F64:F72)</f>
        <v>598670</v>
      </c>
      <c r="G73" s="79">
        <f>SUM(G64:G72)</f>
        <v>16332</v>
      </c>
      <c r="H73" s="208">
        <f t="shared" ref="H73:H85" si="9">G73/F73</f>
        <v>2.7280471712295588E-2</v>
      </c>
    </row>
    <row r="74" spans="1:11" ht="13.5" thickBot="1">
      <c r="A74" s="2">
        <f t="shared" si="4"/>
        <v>68</v>
      </c>
      <c r="B74" s="192"/>
      <c r="C74" s="103"/>
      <c r="D74" s="108"/>
      <c r="E74" s="102"/>
      <c r="F74" s="185"/>
      <c r="G74" s="185"/>
      <c r="H74" s="208"/>
      <c r="K74" s="201"/>
    </row>
    <row r="75" spans="1:11" ht="13.5" thickBot="1">
      <c r="A75" s="2">
        <f t="shared" si="4"/>
        <v>69</v>
      </c>
      <c r="B75" s="11" t="s">
        <v>207</v>
      </c>
      <c r="C75" s="43">
        <f>C42+C54+C61+C73</f>
        <v>4364805</v>
      </c>
      <c r="D75" s="44">
        <f>D42+D54+D61+D73</f>
        <v>0.94296584107561243</v>
      </c>
      <c r="E75" s="75"/>
      <c r="F75" s="188">
        <f>F42+F54+F61+F73</f>
        <v>4142059</v>
      </c>
      <c r="G75" s="37">
        <f>G42+G54+G61+G73</f>
        <v>222746</v>
      </c>
      <c r="H75" s="208">
        <f t="shared" si="9"/>
        <v>5.3776636209189682E-2</v>
      </c>
    </row>
    <row r="76" spans="1:11" ht="12.75">
      <c r="A76" s="2">
        <f t="shared" si="4"/>
        <v>70</v>
      </c>
      <c r="B76" s="23"/>
      <c r="C76" s="70"/>
      <c r="D76" s="71"/>
      <c r="E76" s="24"/>
      <c r="F76" s="189"/>
      <c r="G76" s="72"/>
      <c r="H76" s="218"/>
    </row>
    <row r="77" spans="1:11" ht="12.75">
      <c r="A77" s="2">
        <f t="shared" si="4"/>
        <v>71</v>
      </c>
      <c r="B77" s="23" t="s">
        <v>208</v>
      </c>
      <c r="C77" s="70"/>
      <c r="D77" s="71"/>
      <c r="E77" s="24"/>
      <c r="F77" s="189"/>
      <c r="G77" s="219"/>
      <c r="H77" s="217"/>
    </row>
    <row r="78" spans="1:11" ht="13.5" thickBot="1">
      <c r="A78" s="2">
        <f t="shared" si="4"/>
        <v>72</v>
      </c>
      <c r="B78" s="23" t="s">
        <v>209</v>
      </c>
      <c r="C78" s="70">
        <f>C33-C75</f>
        <v>270168.75</v>
      </c>
      <c r="D78" s="71"/>
      <c r="E78" s="24"/>
      <c r="F78" s="189">
        <f>F33-F75</f>
        <v>197663</v>
      </c>
      <c r="G78" s="72"/>
      <c r="H78" s="214">
        <f t="shared" si="9"/>
        <v>0</v>
      </c>
    </row>
    <row r="79" spans="1:11" ht="13.5" thickBot="1">
      <c r="A79" s="2">
        <f t="shared" si="4"/>
        <v>73</v>
      </c>
      <c r="B79" s="53" t="s">
        <v>0</v>
      </c>
      <c r="C79" s="96">
        <v>264000</v>
      </c>
      <c r="D79" s="97">
        <f>+C79/$C$84</f>
        <v>5.703415892438761E-2</v>
      </c>
      <c r="E79" s="102"/>
      <c r="F79" s="78">
        <v>264800</v>
      </c>
      <c r="G79" s="78">
        <f>SUM(C79-F79)</f>
        <v>-800</v>
      </c>
      <c r="H79" s="208">
        <f t="shared" si="9"/>
        <v>-3.0211480362537764E-3</v>
      </c>
    </row>
    <row r="80" spans="1:11" ht="13.5" thickBot="1">
      <c r="A80" s="2">
        <f t="shared" si="4"/>
        <v>74</v>
      </c>
      <c r="B80" s="11" t="s">
        <v>22</v>
      </c>
      <c r="C80" s="43">
        <f>C78-C79</f>
        <v>6168.75</v>
      </c>
      <c r="D80" s="109"/>
      <c r="E80" s="102"/>
      <c r="F80" s="188">
        <f>F78-F79</f>
        <v>-67137</v>
      </c>
      <c r="G80" s="181"/>
      <c r="H80" s="208">
        <f t="shared" si="9"/>
        <v>0</v>
      </c>
    </row>
    <row r="81" spans="1:8" ht="12.75">
      <c r="A81" s="2">
        <f t="shared" si="4"/>
        <v>75</v>
      </c>
      <c r="B81" s="23"/>
      <c r="C81" s="64"/>
      <c r="D81" s="106"/>
      <c r="E81" s="107"/>
      <c r="F81" s="187"/>
      <c r="G81" s="182"/>
      <c r="H81" s="218"/>
    </row>
    <row r="82" spans="1:8" ht="12.75">
      <c r="A82" s="2">
        <f t="shared" si="4"/>
        <v>76</v>
      </c>
      <c r="B82" s="10" t="s">
        <v>36</v>
      </c>
      <c r="C82" s="92"/>
      <c r="D82" s="93"/>
      <c r="E82" s="14"/>
      <c r="F82" s="56"/>
      <c r="G82" s="179"/>
      <c r="H82" s="207"/>
    </row>
    <row r="83" spans="1:8" ht="15.75">
      <c r="A83" s="2">
        <f t="shared" si="4"/>
        <v>77</v>
      </c>
      <c r="B83" s="52" t="s">
        <v>4</v>
      </c>
      <c r="C83" s="48">
        <f>+C33</f>
        <v>4634973.75</v>
      </c>
      <c r="D83" s="197"/>
      <c r="E83" s="46"/>
      <c r="F83" s="190">
        <f>+F33</f>
        <v>4339722</v>
      </c>
      <c r="G83" s="47">
        <f>+G33</f>
        <v>313751.75</v>
      </c>
      <c r="H83" s="207">
        <f t="shared" si="9"/>
        <v>7.2297661002248534E-2</v>
      </c>
    </row>
    <row r="84" spans="1:8" ht="13.5" thickBot="1">
      <c r="A84" s="2">
        <f t="shared" si="4"/>
        <v>78</v>
      </c>
      <c r="B84" s="53" t="s">
        <v>5</v>
      </c>
      <c r="C84" s="51">
        <f>+C75+C79</f>
        <v>4628805</v>
      </c>
      <c r="D84" s="195"/>
      <c r="E84" s="75"/>
      <c r="F84" s="191">
        <f>+F75+F79</f>
        <v>4406859</v>
      </c>
      <c r="G84" s="50">
        <f>+G75</f>
        <v>222746</v>
      </c>
      <c r="H84" s="214">
        <f t="shared" si="9"/>
        <v>5.0545297682544413E-2</v>
      </c>
    </row>
    <row r="85" spans="1:8" ht="13.5" thickBot="1">
      <c r="A85" s="2">
        <f t="shared" si="4"/>
        <v>79</v>
      </c>
      <c r="B85" s="11" t="s">
        <v>22</v>
      </c>
      <c r="C85" s="43">
        <f>+C83-C84</f>
        <v>6168.75</v>
      </c>
      <c r="D85" s="45"/>
      <c r="E85" s="76"/>
      <c r="F85" s="188">
        <f>+F83-F84</f>
        <v>-67137</v>
      </c>
      <c r="G85" s="37">
        <f>+G83-G84</f>
        <v>91005.75</v>
      </c>
      <c r="H85" s="208">
        <f t="shared" si="9"/>
        <v>-1.3555230349881586</v>
      </c>
    </row>
    <row r="86" spans="1:8">
      <c r="D86" s="30"/>
      <c r="H86" s="30"/>
    </row>
    <row r="87" spans="1:8" ht="12.75">
      <c r="A87" s="26"/>
      <c r="B87" s="28"/>
      <c r="C87" s="26"/>
      <c r="D87" s="196"/>
      <c r="E87" s="29"/>
      <c r="F87" s="29"/>
      <c r="G87" s="29"/>
      <c r="H87" s="31"/>
    </row>
    <row r="88" spans="1:8" s="224" customFormat="1" ht="12.75">
      <c r="A88" s="221"/>
      <c r="B88" s="222"/>
      <c r="C88" s="221"/>
      <c r="D88" s="223"/>
      <c r="E88" s="221"/>
      <c r="F88" s="221"/>
      <c r="G88" s="221"/>
      <c r="H88" s="223"/>
    </row>
    <row r="89" spans="1:8" s="224" customFormat="1" ht="12.75">
      <c r="B89" s="222"/>
      <c r="D89" s="225"/>
      <c r="E89" s="222"/>
      <c r="F89" s="222"/>
      <c r="G89" s="222"/>
      <c r="H89" s="226"/>
    </row>
    <row r="90" spans="1:8" s="224" customFormat="1" ht="12.75">
      <c r="B90" s="227"/>
      <c r="C90" s="220"/>
      <c r="D90" s="225"/>
      <c r="E90" s="222"/>
      <c r="F90" s="222"/>
      <c r="G90" s="222"/>
      <c r="H90" s="226"/>
    </row>
    <row r="91" spans="1:8" s="224" customFormat="1" ht="12.75">
      <c r="B91" s="227"/>
      <c r="C91" s="220"/>
      <c r="D91" s="225"/>
      <c r="E91" s="222"/>
      <c r="F91" s="222"/>
      <c r="G91" s="222"/>
      <c r="H91" s="226"/>
    </row>
    <row r="92" spans="1:8" s="224" customFormat="1" ht="12.75">
      <c r="B92" s="227"/>
      <c r="C92" s="220"/>
      <c r="D92" s="225"/>
      <c r="H92" s="225"/>
    </row>
    <row r="93" spans="1:8" s="224" customFormat="1" ht="12.75">
      <c r="B93" s="227"/>
      <c r="C93" s="220"/>
      <c r="D93" s="225"/>
      <c r="H93" s="225"/>
    </row>
    <row r="94" spans="1:8" s="224" customFormat="1" ht="12.75">
      <c r="B94" s="227"/>
      <c r="C94" s="220"/>
      <c r="D94" s="225"/>
      <c r="H94" s="225"/>
    </row>
    <row r="95" spans="1:8" s="224" customFormat="1" ht="12.75">
      <c r="B95" s="227"/>
      <c r="C95" s="220"/>
      <c r="D95" s="225"/>
      <c r="H95" s="225"/>
    </row>
    <row r="96" spans="1:8" s="224" customFormat="1" ht="12.75">
      <c r="B96" s="227"/>
      <c r="C96" s="220"/>
      <c r="D96" s="225"/>
      <c r="H96" s="225"/>
    </row>
    <row r="97" spans="2:8" s="224" customFormat="1" ht="12.75">
      <c r="B97" s="222"/>
      <c r="C97" s="220"/>
      <c r="D97" s="225"/>
      <c r="H97" s="225"/>
    </row>
    <row r="98" spans="2:8" s="224" customFormat="1">
      <c r="D98" s="225"/>
      <c r="H98" s="225"/>
    </row>
    <row r="99" spans="2:8" s="224" customFormat="1">
      <c r="D99" s="225"/>
      <c r="H99" s="225"/>
    </row>
    <row r="100" spans="2:8" s="224" customFormat="1">
      <c r="D100" s="225"/>
      <c r="H100" s="225"/>
    </row>
    <row r="101" spans="2:8" s="224" customFormat="1">
      <c r="D101" s="225"/>
      <c r="H101" s="225"/>
    </row>
  </sheetData>
  <pageMargins left="0.7" right="0.7" top="0.75" bottom="0.75" header="0.3" footer="0.3"/>
  <pageSetup scale="86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S238"/>
  <sheetViews>
    <sheetView tabSelected="1" zoomScaleSheetLayoutView="100" zoomScalePageLayoutView="75" workbookViewId="0">
      <selection activeCell="B1" sqref="B1"/>
    </sheetView>
  </sheetViews>
  <sheetFormatPr defaultRowHeight="12.75"/>
  <cols>
    <col min="2" max="2" width="49.6640625" style="5" customWidth="1"/>
    <col min="3" max="3" width="20.83203125" style="12" customWidth="1"/>
    <col min="4" max="4" width="15.5" style="32" customWidth="1"/>
    <col min="5" max="5" width="2.6640625" style="5" customWidth="1"/>
    <col min="6" max="6" width="20" customWidth="1"/>
    <col min="7" max="9" width="14.83203125" customWidth="1"/>
    <col min="10" max="10" width="18.5" customWidth="1"/>
    <col min="11" max="11" width="16.83203125" customWidth="1"/>
    <col min="12" max="12" width="14.83203125" customWidth="1"/>
    <col min="13" max="13" width="17.1640625" customWidth="1"/>
    <col min="14" max="14" width="3" customWidth="1"/>
    <col min="15" max="15" width="19.6640625" customWidth="1"/>
    <col min="16" max="45" width="14.83203125" customWidth="1"/>
    <col min="46" max="46" width="19.33203125" customWidth="1"/>
  </cols>
  <sheetData>
    <row r="1" spans="1:71" s="18" customFormat="1">
      <c r="B1" s="19"/>
      <c r="C1" s="60" t="s">
        <v>52</v>
      </c>
      <c r="D1" s="38"/>
      <c r="E1" s="20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</row>
    <row r="2" spans="1:71" s="25" customFormat="1">
      <c r="A2" s="113"/>
      <c r="B2" s="23"/>
      <c r="C2" s="58">
        <v>41547</v>
      </c>
      <c r="D2" s="58">
        <v>41547</v>
      </c>
      <c r="E2" s="2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</row>
    <row r="3" spans="1:71" s="25" customFormat="1" ht="25.5">
      <c r="A3" s="113"/>
      <c r="B3" s="23"/>
      <c r="C3" s="39" t="s">
        <v>6</v>
      </c>
      <c r="D3" s="39"/>
      <c r="E3" s="24"/>
      <c r="F3" s="135" t="s">
        <v>218</v>
      </c>
      <c r="G3" s="135" t="s">
        <v>219</v>
      </c>
      <c r="H3" s="135" t="s">
        <v>220</v>
      </c>
      <c r="I3" s="135" t="s">
        <v>235</v>
      </c>
      <c r="J3" s="135" t="s">
        <v>234</v>
      </c>
      <c r="K3" s="135" t="s">
        <v>222</v>
      </c>
      <c r="L3" s="135" t="s">
        <v>223</v>
      </c>
      <c r="M3" s="135" t="s">
        <v>221</v>
      </c>
      <c r="N3" s="119"/>
      <c r="O3" s="119" t="s">
        <v>27</v>
      </c>
      <c r="P3" s="114"/>
      <c r="Q3" s="114"/>
      <c r="R3" s="114"/>
      <c r="S3" s="114"/>
      <c r="T3" s="114"/>
      <c r="U3" s="11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114"/>
      <c r="AM3" s="114"/>
      <c r="AN3" s="114"/>
      <c r="AO3" s="114"/>
      <c r="AP3" s="114"/>
      <c r="AQ3" s="114"/>
      <c r="AR3" s="114"/>
      <c r="AS3" s="114"/>
      <c r="AT3" s="114"/>
      <c r="AU3" s="114"/>
      <c r="AV3" s="114"/>
      <c r="AW3" s="114"/>
      <c r="AX3" s="114"/>
      <c r="AY3" s="114"/>
      <c r="AZ3" s="114"/>
      <c r="BA3" s="114"/>
      <c r="BB3" s="114"/>
      <c r="BC3" s="114"/>
      <c r="BD3" s="114"/>
      <c r="BE3" s="114"/>
      <c r="BF3" s="114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</row>
    <row r="4" spans="1:71" s="4" customFormat="1" ht="13.5" thickBot="1">
      <c r="A4" s="116"/>
      <c r="B4" s="21"/>
      <c r="C4" s="40" t="s">
        <v>44</v>
      </c>
      <c r="D4" s="40" t="s">
        <v>23</v>
      </c>
      <c r="E4" s="22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</row>
    <row r="5" spans="1:71" s="2" customFormat="1" ht="15">
      <c r="A5" s="118"/>
      <c r="B5" s="27"/>
      <c r="C5" s="41"/>
      <c r="D5" s="42"/>
      <c r="E5" s="13"/>
      <c r="F5" s="136"/>
      <c r="G5" s="136"/>
      <c r="H5" s="136"/>
      <c r="I5" s="136"/>
      <c r="J5" s="136"/>
      <c r="K5" s="136"/>
      <c r="L5" s="136"/>
      <c r="M5" s="136"/>
      <c r="N5" s="136"/>
      <c r="O5" s="136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/>
      <c r="BH5"/>
      <c r="BI5"/>
      <c r="BJ5"/>
      <c r="BK5"/>
      <c r="BL5"/>
      <c r="BM5"/>
      <c r="BN5"/>
      <c r="BO5"/>
      <c r="BP5"/>
      <c r="BQ5"/>
      <c r="BR5"/>
      <c r="BS5"/>
    </row>
    <row r="6" spans="1:71" s="2" customFormat="1">
      <c r="A6" s="118">
        <v>1</v>
      </c>
      <c r="B6" s="10" t="s">
        <v>1</v>
      </c>
      <c r="C6" s="92"/>
      <c r="D6" s="93"/>
      <c r="E6" s="14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  <c r="AR6" s="115"/>
      <c r="AS6" s="115"/>
      <c r="AT6" s="115"/>
      <c r="AU6" s="115"/>
      <c r="AV6" s="115"/>
      <c r="AW6" s="115"/>
      <c r="AX6" s="115"/>
      <c r="AY6" s="115"/>
      <c r="AZ6" s="115"/>
      <c r="BA6" s="115"/>
      <c r="BB6" s="115"/>
      <c r="BC6" s="115"/>
      <c r="BD6" s="115"/>
      <c r="BE6" s="115"/>
      <c r="BF6" s="115"/>
      <c r="BG6"/>
      <c r="BH6"/>
      <c r="BI6"/>
      <c r="BJ6"/>
      <c r="BK6"/>
      <c r="BL6"/>
      <c r="BM6"/>
      <c r="BN6"/>
      <c r="BO6"/>
      <c r="BP6"/>
      <c r="BQ6"/>
      <c r="BR6"/>
      <c r="BS6"/>
    </row>
    <row r="7" spans="1:71" s="2" customFormat="1">
      <c r="A7" s="118">
        <f>A6+1</f>
        <v>2</v>
      </c>
      <c r="B7" s="10" t="s">
        <v>48</v>
      </c>
      <c r="C7" s="92"/>
      <c r="D7" s="93"/>
      <c r="E7" s="14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27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/>
      <c r="BH7"/>
      <c r="BI7"/>
      <c r="BJ7"/>
      <c r="BK7"/>
      <c r="BL7"/>
      <c r="BM7"/>
      <c r="BN7"/>
      <c r="BO7"/>
      <c r="BP7"/>
      <c r="BQ7"/>
      <c r="BR7"/>
      <c r="BS7"/>
    </row>
    <row r="8" spans="1:71" s="2" customFormat="1">
      <c r="A8" s="118">
        <f t="shared" ref="A8:A33" si="0">A7+1</f>
        <v>3</v>
      </c>
      <c r="B8" s="52" t="s">
        <v>7</v>
      </c>
      <c r="C8" s="92">
        <f>'2013 Budget'!C8</f>
        <v>3082394</v>
      </c>
      <c r="D8" s="94">
        <v>0.66500000000000004</v>
      </c>
      <c r="E8" s="95"/>
      <c r="F8" s="139">
        <v>0</v>
      </c>
      <c r="G8" s="138">
        <v>0</v>
      </c>
      <c r="H8" s="138">
        <v>0</v>
      </c>
      <c r="I8" s="138">
        <v>0</v>
      </c>
      <c r="J8" s="138">
        <f>'2013 Budget'!C8</f>
        <v>3082394</v>
      </c>
      <c r="K8" s="138">
        <v>0</v>
      </c>
      <c r="L8" s="138">
        <v>0</v>
      </c>
      <c r="M8" s="138">
        <v>0</v>
      </c>
      <c r="N8" s="138"/>
      <c r="O8" s="138">
        <f>SUM(F8:M8)</f>
        <v>3082394</v>
      </c>
      <c r="P8" s="127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  <c r="AR8" s="115"/>
      <c r="AS8" s="115"/>
      <c r="AT8" s="115"/>
      <c r="AU8" s="115"/>
      <c r="AV8" s="115"/>
      <c r="AW8" s="115"/>
      <c r="AX8" s="115"/>
      <c r="AY8" s="115"/>
      <c r="AZ8" s="115"/>
      <c r="BA8" s="115"/>
      <c r="BB8" s="115"/>
      <c r="BC8" s="115"/>
      <c r="BD8" s="115"/>
      <c r="BE8" s="115"/>
      <c r="BF8" s="115"/>
      <c r="BG8"/>
      <c r="BH8"/>
      <c r="BI8"/>
      <c r="BJ8"/>
      <c r="BK8"/>
      <c r="BL8"/>
      <c r="BM8"/>
      <c r="BN8"/>
      <c r="BO8"/>
      <c r="BP8"/>
      <c r="BQ8"/>
      <c r="BR8"/>
      <c r="BS8"/>
    </row>
    <row r="9" spans="1:71" s="2" customFormat="1">
      <c r="A9" s="118">
        <f t="shared" si="0"/>
        <v>4</v>
      </c>
      <c r="B9" s="52" t="s">
        <v>64</v>
      </c>
      <c r="C9" s="92">
        <f>'2013 Budget'!C9</f>
        <v>344629.75</v>
      </c>
      <c r="D9" s="94">
        <v>7.3999999999999996E-2</v>
      </c>
      <c r="E9" s="95"/>
      <c r="F9" s="138">
        <v>0</v>
      </c>
      <c r="G9" s="138">
        <v>0</v>
      </c>
      <c r="H9" s="138">
        <v>0</v>
      </c>
      <c r="I9" s="138">
        <v>0</v>
      </c>
      <c r="J9" s="138">
        <f>'2013 Budget'!C9</f>
        <v>344629.75</v>
      </c>
      <c r="K9" s="138">
        <v>0</v>
      </c>
      <c r="L9" s="138">
        <v>0</v>
      </c>
      <c r="M9" s="138">
        <v>0</v>
      </c>
      <c r="N9" s="138"/>
      <c r="O9" s="138">
        <f t="shared" ref="O9:O26" si="1">SUM(F9:M9)</f>
        <v>344629.75</v>
      </c>
      <c r="P9" s="127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/>
      <c r="BH9"/>
      <c r="BI9"/>
      <c r="BJ9"/>
      <c r="BK9"/>
      <c r="BL9"/>
      <c r="BM9"/>
      <c r="BN9"/>
      <c r="BO9"/>
      <c r="BP9"/>
      <c r="BQ9"/>
      <c r="BR9"/>
      <c r="BS9"/>
    </row>
    <row r="10" spans="1:71" s="2" customFormat="1" ht="13.5" thickBot="1">
      <c r="A10" s="118">
        <f t="shared" si="0"/>
        <v>5</v>
      </c>
      <c r="B10" s="52" t="s">
        <v>8</v>
      </c>
      <c r="C10" s="96">
        <f>'2013 Budget'!C10</f>
        <v>180250</v>
      </c>
      <c r="D10" s="97">
        <v>3.9E-2</v>
      </c>
      <c r="E10" s="95"/>
      <c r="F10" s="140">
        <v>0</v>
      </c>
      <c r="G10" s="140">
        <v>0</v>
      </c>
      <c r="H10" s="140">
        <v>0</v>
      </c>
      <c r="I10" s="140">
        <v>0</v>
      </c>
      <c r="J10" s="140">
        <f>'2013 Budget'!C10</f>
        <v>180250</v>
      </c>
      <c r="K10" s="140">
        <v>0</v>
      </c>
      <c r="L10" s="140">
        <v>0</v>
      </c>
      <c r="M10" s="140">
        <v>0</v>
      </c>
      <c r="N10" s="140"/>
      <c r="O10" s="140">
        <f t="shared" si="1"/>
        <v>180250</v>
      </c>
      <c r="P10" s="127"/>
      <c r="Q10" s="115"/>
      <c r="R10" s="115"/>
      <c r="S10" s="115"/>
      <c r="T10" s="115"/>
      <c r="U10" s="115">
        <v>0</v>
      </c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5"/>
      <c r="AM10" s="115"/>
      <c r="AN10" s="115"/>
      <c r="AO10" s="115"/>
      <c r="AP10" s="115"/>
      <c r="AQ10" s="115"/>
      <c r="AR10" s="115"/>
      <c r="AS10" s="115"/>
      <c r="AT10" s="115"/>
      <c r="AU10" s="115"/>
      <c r="AV10" s="115"/>
      <c r="AW10" s="115"/>
      <c r="AX10" s="115"/>
      <c r="AY10" s="115"/>
      <c r="AZ10" s="115"/>
      <c r="BA10" s="115"/>
      <c r="BB10" s="115"/>
      <c r="BC10" s="115"/>
      <c r="BD10" s="115"/>
      <c r="BE10" s="115"/>
      <c r="BF10" s="115"/>
      <c r="BG10"/>
      <c r="BH10"/>
      <c r="BI10"/>
      <c r="BJ10"/>
      <c r="BK10"/>
      <c r="BL10"/>
      <c r="BM10"/>
      <c r="BN10"/>
      <c r="BO10"/>
      <c r="BP10"/>
      <c r="BQ10"/>
      <c r="BR10"/>
      <c r="BS10"/>
    </row>
    <row r="11" spans="1:71" s="2" customFormat="1" ht="13.5" thickBot="1">
      <c r="A11" s="118">
        <f t="shared" si="0"/>
        <v>6</v>
      </c>
      <c r="B11" s="57" t="s">
        <v>54</v>
      </c>
      <c r="C11" s="43">
        <f>SUM(C8:C10)</f>
        <v>3607273.75</v>
      </c>
      <c r="D11" s="98">
        <f>SUM(D8:D10)</f>
        <v>0.77800000000000002</v>
      </c>
      <c r="E11" s="95"/>
      <c r="F11" s="130">
        <f t="shared" ref="F11:O11" si="2">SUM(F8:F10)</f>
        <v>0</v>
      </c>
      <c r="G11" s="130">
        <f t="shared" si="2"/>
        <v>0</v>
      </c>
      <c r="H11" s="130">
        <f t="shared" si="2"/>
        <v>0</v>
      </c>
      <c r="I11" s="130">
        <f t="shared" si="2"/>
        <v>0</v>
      </c>
      <c r="J11" s="130">
        <f t="shared" si="2"/>
        <v>3607273.75</v>
      </c>
      <c r="K11" s="130">
        <f t="shared" si="2"/>
        <v>0</v>
      </c>
      <c r="L11" s="130">
        <f t="shared" si="2"/>
        <v>0</v>
      </c>
      <c r="M11" s="130">
        <f t="shared" si="2"/>
        <v>0</v>
      </c>
      <c r="N11" s="130"/>
      <c r="O11" s="130">
        <f t="shared" si="2"/>
        <v>3607273.75</v>
      </c>
      <c r="P11" s="127"/>
      <c r="Q11" s="115"/>
      <c r="R11" s="115"/>
      <c r="S11" s="115"/>
      <c r="T11" s="115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5"/>
      <c r="AZ11" s="115"/>
      <c r="BA11" s="115"/>
      <c r="BB11" s="115"/>
      <c r="BC11" s="115"/>
      <c r="BD11" s="115"/>
      <c r="BE11" s="115"/>
      <c r="BF11" s="115"/>
      <c r="BG11"/>
      <c r="BH11"/>
      <c r="BI11"/>
      <c r="BJ11"/>
      <c r="BK11"/>
      <c r="BL11"/>
      <c r="BM11"/>
      <c r="BN11"/>
      <c r="BO11"/>
      <c r="BP11"/>
      <c r="BQ11"/>
      <c r="BR11"/>
      <c r="BS11"/>
    </row>
    <row r="12" spans="1:71" s="2" customFormat="1">
      <c r="A12" s="118">
        <f t="shared" si="0"/>
        <v>7</v>
      </c>
      <c r="B12" s="52"/>
      <c r="C12" s="99"/>
      <c r="D12" s="100"/>
      <c r="E12" s="95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27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/>
      <c r="BH12"/>
      <c r="BI12"/>
      <c r="BJ12"/>
      <c r="BK12"/>
      <c r="BL12"/>
      <c r="BM12"/>
      <c r="BN12"/>
      <c r="BO12"/>
      <c r="BP12"/>
      <c r="BQ12"/>
      <c r="BR12"/>
      <c r="BS12"/>
    </row>
    <row r="13" spans="1:71" s="2" customFormat="1">
      <c r="A13" s="118">
        <f t="shared" si="0"/>
        <v>8</v>
      </c>
      <c r="B13" s="52" t="s">
        <v>29</v>
      </c>
      <c r="C13" s="92">
        <f>'2013 Budget'!C13</f>
        <v>168400</v>
      </c>
      <c r="D13" s="94">
        <v>3.5999999999999997E-2</v>
      </c>
      <c r="E13" s="95"/>
      <c r="F13" s="138">
        <v>0</v>
      </c>
      <c r="G13" s="138">
        <f>SUM('Detail Summary'!F9)</f>
        <v>0</v>
      </c>
      <c r="H13" s="138">
        <v>154400</v>
      </c>
      <c r="I13" s="138">
        <v>0</v>
      </c>
      <c r="J13" s="138">
        <v>0</v>
      </c>
      <c r="K13" s="138">
        <v>14000</v>
      </c>
      <c r="L13" s="138">
        <v>0</v>
      </c>
      <c r="M13" s="138">
        <v>0</v>
      </c>
      <c r="N13" s="138"/>
      <c r="O13" s="138">
        <f t="shared" si="1"/>
        <v>168400</v>
      </c>
      <c r="P13" s="127"/>
      <c r="Q13" s="213">
        <f>C13-O13</f>
        <v>0</v>
      </c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/>
      <c r="BH13"/>
      <c r="BI13"/>
      <c r="BJ13"/>
      <c r="BK13"/>
      <c r="BL13"/>
      <c r="BM13"/>
      <c r="BN13"/>
      <c r="BO13"/>
      <c r="BP13"/>
      <c r="BQ13"/>
      <c r="BR13"/>
      <c r="BS13"/>
    </row>
    <row r="14" spans="1:71" s="2" customFormat="1">
      <c r="A14" s="118">
        <f t="shared" si="0"/>
        <v>9</v>
      </c>
      <c r="B14" s="52"/>
      <c r="C14" s="92"/>
      <c r="D14" s="94"/>
      <c r="E14" s="95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27"/>
      <c r="Q14" s="213">
        <f t="shared" ref="Q14:Q77" si="3">C14-O14</f>
        <v>0</v>
      </c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5"/>
      <c r="AM14" s="115"/>
      <c r="AN14" s="115"/>
      <c r="AO14" s="115"/>
      <c r="AP14" s="115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/>
      <c r="BH14"/>
      <c r="BI14"/>
      <c r="BJ14"/>
      <c r="BK14"/>
      <c r="BL14"/>
      <c r="BM14"/>
      <c r="BN14"/>
      <c r="BO14"/>
      <c r="BP14"/>
      <c r="BQ14"/>
      <c r="BR14"/>
      <c r="BS14"/>
    </row>
    <row r="15" spans="1:71" s="2" customFormat="1">
      <c r="A15" s="118">
        <f t="shared" si="0"/>
        <v>10</v>
      </c>
      <c r="B15" s="57" t="s">
        <v>55</v>
      </c>
      <c r="C15" s="92"/>
      <c r="D15" s="94"/>
      <c r="E15" s="95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27"/>
      <c r="Q15" s="213">
        <f t="shared" si="3"/>
        <v>0</v>
      </c>
      <c r="R15" s="115"/>
      <c r="S15" s="115"/>
      <c r="T15" s="115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5"/>
      <c r="AM15" s="115"/>
      <c r="AN15" s="115"/>
      <c r="AO15" s="115"/>
      <c r="AP15" s="115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/>
      <c r="BH15"/>
      <c r="BI15"/>
      <c r="BJ15"/>
      <c r="BK15"/>
      <c r="BL15"/>
      <c r="BM15"/>
      <c r="BN15"/>
      <c r="BO15"/>
      <c r="BP15"/>
      <c r="BQ15"/>
      <c r="BR15"/>
      <c r="BS15"/>
    </row>
    <row r="16" spans="1:71" s="2" customFormat="1">
      <c r="A16" s="118">
        <f t="shared" si="0"/>
        <v>11</v>
      </c>
      <c r="B16" s="52" t="s">
        <v>9</v>
      </c>
      <c r="C16" s="92">
        <f>SUM(F16:M16)</f>
        <v>85900</v>
      </c>
      <c r="D16" s="94">
        <v>1.9E-2</v>
      </c>
      <c r="E16" s="95"/>
      <c r="F16" s="138">
        <v>0</v>
      </c>
      <c r="G16" s="138">
        <f>SUM('Detail Summary'!F10)</f>
        <v>85900</v>
      </c>
      <c r="H16" s="138">
        <f>SUM('Detail Summary'!G10)</f>
        <v>0</v>
      </c>
      <c r="I16" s="138">
        <v>0</v>
      </c>
      <c r="J16" s="138">
        <v>0</v>
      </c>
      <c r="K16" s="138">
        <v>0</v>
      </c>
      <c r="L16" s="138">
        <v>0</v>
      </c>
      <c r="M16" s="138">
        <v>0</v>
      </c>
      <c r="N16" s="138"/>
      <c r="O16" s="138">
        <f t="shared" si="1"/>
        <v>85900</v>
      </c>
      <c r="P16" s="127"/>
      <c r="Q16" s="213">
        <f t="shared" si="3"/>
        <v>0</v>
      </c>
      <c r="R16" s="115"/>
      <c r="S16" s="115"/>
      <c r="T16" s="115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5"/>
      <c r="AM16" s="115"/>
      <c r="AN16" s="115"/>
      <c r="AO16" s="115"/>
      <c r="AP16" s="115"/>
      <c r="AQ16" s="115"/>
      <c r="AR16" s="115"/>
      <c r="AS16" s="115"/>
      <c r="AT16" s="115"/>
      <c r="AU16" s="115"/>
      <c r="AV16" s="115"/>
      <c r="AW16" s="115"/>
      <c r="AX16" s="115"/>
      <c r="AY16" s="115"/>
      <c r="AZ16" s="115"/>
      <c r="BA16" s="115"/>
      <c r="BB16" s="115"/>
      <c r="BC16" s="115"/>
      <c r="BD16" s="115"/>
      <c r="BE16" s="115"/>
      <c r="BF16" s="115"/>
      <c r="BG16"/>
      <c r="BH16"/>
      <c r="BI16"/>
      <c r="BJ16"/>
      <c r="BK16"/>
      <c r="BL16"/>
      <c r="BM16"/>
      <c r="BN16"/>
      <c r="BO16"/>
      <c r="BP16"/>
      <c r="BQ16"/>
      <c r="BR16"/>
      <c r="BS16"/>
    </row>
    <row r="17" spans="1:71" s="2" customFormat="1">
      <c r="A17" s="118">
        <f t="shared" si="0"/>
        <v>12</v>
      </c>
      <c r="B17" s="52" t="s">
        <v>45</v>
      </c>
      <c r="C17" s="92">
        <f>'2013 Budget'!C17</f>
        <v>200000</v>
      </c>
      <c r="D17" s="94">
        <v>4.2999999999999997E-2</v>
      </c>
      <c r="E17" s="95"/>
      <c r="F17" s="138">
        <v>0</v>
      </c>
      <c r="G17" s="138">
        <v>125000</v>
      </c>
      <c r="H17" s="138">
        <v>75000</v>
      </c>
      <c r="I17" s="138">
        <v>0</v>
      </c>
      <c r="J17" s="138">
        <v>0</v>
      </c>
      <c r="K17" s="138">
        <v>0</v>
      </c>
      <c r="L17" s="138">
        <v>0</v>
      </c>
      <c r="M17" s="138">
        <v>0</v>
      </c>
      <c r="N17" s="138"/>
      <c r="O17" s="138">
        <f t="shared" si="1"/>
        <v>200000</v>
      </c>
      <c r="P17" s="127"/>
      <c r="Q17" s="213">
        <f t="shared" si="3"/>
        <v>0</v>
      </c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/>
      <c r="BH17"/>
      <c r="BI17"/>
      <c r="BJ17"/>
      <c r="BK17"/>
      <c r="BL17"/>
      <c r="BM17"/>
      <c r="BN17"/>
      <c r="BO17"/>
      <c r="BP17"/>
      <c r="BQ17"/>
      <c r="BR17"/>
      <c r="BS17"/>
    </row>
    <row r="18" spans="1:71" s="2" customFormat="1" ht="13.5" thickBot="1">
      <c r="A18" s="118">
        <f t="shared" si="0"/>
        <v>13</v>
      </c>
      <c r="B18" s="52" t="s">
        <v>25</v>
      </c>
      <c r="C18" s="96">
        <f>'2013 Budget'!C18</f>
        <v>53413</v>
      </c>
      <c r="D18" s="97">
        <v>1.2E-2</v>
      </c>
      <c r="E18" s="95"/>
      <c r="F18" s="138">
        <v>0</v>
      </c>
      <c r="G18" s="138">
        <v>53413</v>
      </c>
      <c r="H18" s="138">
        <f>SUM('Detail Summary'!G15)</f>
        <v>0</v>
      </c>
      <c r="I18" s="138">
        <v>0</v>
      </c>
      <c r="J18" s="138">
        <v>0</v>
      </c>
      <c r="K18" s="138">
        <v>0</v>
      </c>
      <c r="L18" s="138">
        <v>0</v>
      </c>
      <c r="M18" s="138">
        <v>0</v>
      </c>
      <c r="N18" s="138"/>
      <c r="O18" s="138">
        <f t="shared" si="1"/>
        <v>53413</v>
      </c>
      <c r="P18" s="127"/>
      <c r="Q18" s="213">
        <f t="shared" si="3"/>
        <v>0</v>
      </c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5"/>
      <c r="AM18" s="115"/>
      <c r="AN18" s="115"/>
      <c r="AO18" s="115"/>
      <c r="AP18" s="115"/>
      <c r="AQ18" s="115"/>
      <c r="AR18" s="115"/>
      <c r="AS18" s="115"/>
      <c r="AT18" s="115"/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/>
      <c r="BH18"/>
      <c r="BI18"/>
      <c r="BJ18"/>
      <c r="BK18"/>
      <c r="BL18"/>
      <c r="BM18"/>
      <c r="BN18"/>
      <c r="BO18"/>
      <c r="BP18"/>
      <c r="BQ18"/>
      <c r="BR18"/>
      <c r="BS18"/>
    </row>
    <row r="19" spans="1:71" s="2" customFormat="1">
      <c r="A19" s="118">
        <f t="shared" si="0"/>
        <v>14</v>
      </c>
      <c r="B19" s="57" t="s">
        <v>56</v>
      </c>
      <c r="C19" s="64">
        <f>SUM(C16:C18)</f>
        <v>339313</v>
      </c>
      <c r="D19" s="100">
        <f>SUM(D16:D18)</f>
        <v>7.3999999999999996E-2</v>
      </c>
      <c r="E19" s="95"/>
      <c r="F19" s="142">
        <f t="shared" ref="F19:O19" si="4">SUM(F16:F18)</f>
        <v>0</v>
      </c>
      <c r="G19" s="142">
        <f t="shared" si="4"/>
        <v>264313</v>
      </c>
      <c r="H19" s="142">
        <f t="shared" si="4"/>
        <v>75000</v>
      </c>
      <c r="I19" s="142">
        <f t="shared" si="4"/>
        <v>0</v>
      </c>
      <c r="J19" s="142">
        <f t="shared" si="4"/>
        <v>0</v>
      </c>
      <c r="K19" s="142">
        <f t="shared" si="4"/>
        <v>0</v>
      </c>
      <c r="L19" s="142">
        <f t="shared" si="4"/>
        <v>0</v>
      </c>
      <c r="M19" s="142">
        <f t="shared" si="4"/>
        <v>0</v>
      </c>
      <c r="N19" s="142"/>
      <c r="O19" s="142">
        <f t="shared" si="4"/>
        <v>339313</v>
      </c>
      <c r="P19" s="127"/>
      <c r="Q19" s="213">
        <f t="shared" si="3"/>
        <v>0</v>
      </c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/>
      <c r="BH19"/>
      <c r="BI19"/>
      <c r="BJ19"/>
      <c r="BK19"/>
      <c r="BL19"/>
      <c r="BM19"/>
      <c r="BN19"/>
      <c r="BO19"/>
      <c r="BP19"/>
      <c r="BQ19"/>
      <c r="BR19"/>
      <c r="BS19"/>
    </row>
    <row r="20" spans="1:71" s="2" customFormat="1">
      <c r="A20" s="118">
        <f t="shared" si="0"/>
        <v>15</v>
      </c>
      <c r="B20" s="52"/>
      <c r="C20" s="92"/>
      <c r="D20" s="94"/>
      <c r="E20" s="95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27"/>
      <c r="Q20" s="213">
        <f t="shared" si="3"/>
        <v>0</v>
      </c>
      <c r="R20" s="115"/>
      <c r="S20" s="115"/>
      <c r="T20" s="115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5"/>
      <c r="AM20" s="115"/>
      <c r="AN20" s="115"/>
      <c r="AO20" s="115"/>
      <c r="AP20" s="115"/>
      <c r="AQ20" s="115"/>
      <c r="AR20" s="115"/>
      <c r="AS20" s="115"/>
      <c r="AT20" s="115"/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/>
      <c r="BH20"/>
      <c r="BI20"/>
      <c r="BJ20"/>
      <c r="BK20"/>
      <c r="BL20"/>
      <c r="BM20"/>
      <c r="BN20"/>
      <c r="BO20"/>
      <c r="BP20"/>
      <c r="BQ20"/>
      <c r="BR20"/>
      <c r="BS20"/>
    </row>
    <row r="21" spans="1:71" s="2" customFormat="1">
      <c r="A21" s="118">
        <f t="shared" si="0"/>
        <v>16</v>
      </c>
      <c r="B21" s="57" t="s">
        <v>57</v>
      </c>
      <c r="C21" s="92"/>
      <c r="D21" s="94"/>
      <c r="E21" s="95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27"/>
      <c r="Q21" s="213">
        <f t="shared" si="3"/>
        <v>0</v>
      </c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/>
      <c r="BH21"/>
      <c r="BI21"/>
      <c r="BJ21"/>
      <c r="BK21"/>
      <c r="BL21"/>
      <c r="BM21"/>
      <c r="BN21"/>
      <c r="BO21"/>
      <c r="BP21"/>
      <c r="BQ21"/>
      <c r="BR21"/>
      <c r="BS21"/>
    </row>
    <row r="22" spans="1:71" s="2" customFormat="1" ht="13.5" thickBot="1">
      <c r="A22" s="118">
        <f t="shared" si="0"/>
        <v>17</v>
      </c>
      <c r="B22" s="57" t="s">
        <v>58</v>
      </c>
      <c r="C22" s="92">
        <f>'2013 Budget'!C22</f>
        <v>206650</v>
      </c>
      <c r="D22" s="97">
        <v>4.4999999999999998E-2</v>
      </c>
      <c r="E22" s="95"/>
      <c r="F22" s="138">
        <v>0</v>
      </c>
      <c r="G22" s="138">
        <v>0</v>
      </c>
      <c r="H22" s="138">
        <v>0</v>
      </c>
      <c r="I22" s="138">
        <v>0</v>
      </c>
      <c r="J22" s="138">
        <v>0</v>
      </c>
      <c r="K22" s="138">
        <v>0</v>
      </c>
      <c r="L22" s="138">
        <v>206650</v>
      </c>
      <c r="M22" s="138">
        <v>0</v>
      </c>
      <c r="N22" s="138"/>
      <c r="O22" s="138">
        <f t="shared" si="1"/>
        <v>206650</v>
      </c>
      <c r="P22" s="127"/>
      <c r="Q22" s="213">
        <f t="shared" si="3"/>
        <v>0</v>
      </c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  <c r="AO22" s="115"/>
      <c r="AP22" s="115"/>
      <c r="AQ22" s="115"/>
      <c r="AR22" s="115"/>
      <c r="AS22" s="115"/>
      <c r="AT22" s="115"/>
      <c r="AU22" s="115"/>
      <c r="AV22" s="115"/>
      <c r="AW22" s="115"/>
      <c r="AX22" s="115"/>
      <c r="AY22" s="115"/>
      <c r="AZ22" s="115"/>
      <c r="BA22" s="115"/>
      <c r="BB22" s="115"/>
      <c r="BC22" s="115"/>
      <c r="BD22" s="115"/>
      <c r="BE22" s="115"/>
      <c r="BF22" s="115"/>
      <c r="BG22"/>
      <c r="BH22"/>
      <c r="BI22"/>
      <c r="BJ22"/>
      <c r="BK22"/>
      <c r="BL22"/>
      <c r="BM22"/>
      <c r="BN22"/>
      <c r="BO22"/>
      <c r="BP22"/>
      <c r="BQ22"/>
      <c r="BR22"/>
      <c r="BS22"/>
    </row>
    <row r="23" spans="1:71" s="2" customFormat="1" ht="13.5" thickBot="1">
      <c r="A23" s="118">
        <f t="shared" si="0"/>
        <v>18</v>
      </c>
      <c r="B23" s="57" t="s">
        <v>59</v>
      </c>
      <c r="C23" s="96">
        <f>'2013 Budget'!C23</f>
        <v>52000</v>
      </c>
      <c r="D23" s="97">
        <v>1.0999999999999999E-2</v>
      </c>
      <c r="E23" s="95"/>
      <c r="F23" s="138">
        <v>0</v>
      </c>
      <c r="G23" s="138">
        <v>0</v>
      </c>
      <c r="H23" s="138">
        <v>0</v>
      </c>
      <c r="I23" s="138">
        <v>0</v>
      </c>
      <c r="J23" s="138">
        <v>0</v>
      </c>
      <c r="K23" s="138">
        <v>0</v>
      </c>
      <c r="L23" s="138">
        <v>52000</v>
      </c>
      <c r="M23" s="138">
        <v>0</v>
      </c>
      <c r="N23" s="138"/>
      <c r="O23" s="138">
        <f t="shared" si="1"/>
        <v>52000</v>
      </c>
      <c r="P23" s="127"/>
      <c r="Q23" s="213">
        <f t="shared" si="3"/>
        <v>0</v>
      </c>
      <c r="R23" s="115"/>
      <c r="S23" s="115"/>
      <c r="T23" s="115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  <c r="AO23" s="115"/>
      <c r="AP23" s="115"/>
      <c r="AQ23" s="115"/>
      <c r="AR23" s="115"/>
      <c r="AS23" s="115"/>
      <c r="AT23" s="115"/>
      <c r="AU23" s="115"/>
      <c r="AV23" s="115"/>
      <c r="AW23" s="115"/>
      <c r="AX23" s="115"/>
      <c r="AY23" s="115"/>
      <c r="AZ23" s="115"/>
      <c r="BA23" s="115"/>
      <c r="BB23" s="115"/>
      <c r="BC23" s="115"/>
      <c r="BD23" s="115"/>
      <c r="BE23" s="115"/>
      <c r="BF23" s="115"/>
      <c r="BG23"/>
      <c r="BH23"/>
      <c r="BI23"/>
      <c r="BJ23"/>
      <c r="BK23"/>
      <c r="BL23"/>
      <c r="BM23"/>
      <c r="BN23"/>
      <c r="BO23"/>
      <c r="BP23"/>
      <c r="BQ23"/>
      <c r="BR23"/>
      <c r="BS23"/>
    </row>
    <row r="24" spans="1:71" s="2" customFormat="1" ht="13.5" thickBot="1">
      <c r="A24" s="118">
        <f t="shared" si="0"/>
        <v>19</v>
      </c>
      <c r="B24" s="57" t="s">
        <v>62</v>
      </c>
      <c r="C24" s="64">
        <f>SUM(C22:C23)</f>
        <v>258650</v>
      </c>
      <c r="D24" s="97">
        <v>5.6000000000000001E-2</v>
      </c>
      <c r="E24" s="95"/>
      <c r="F24" s="128">
        <f t="shared" ref="F24:O24" si="5">SUM(F22:F23)</f>
        <v>0</v>
      </c>
      <c r="G24" s="128">
        <f t="shared" si="5"/>
        <v>0</v>
      </c>
      <c r="H24" s="128">
        <f t="shared" si="5"/>
        <v>0</v>
      </c>
      <c r="I24" s="128">
        <f t="shared" si="5"/>
        <v>0</v>
      </c>
      <c r="J24" s="128">
        <f t="shared" si="5"/>
        <v>0</v>
      </c>
      <c r="K24" s="128">
        <f t="shared" si="5"/>
        <v>0</v>
      </c>
      <c r="L24" s="128">
        <f t="shared" si="5"/>
        <v>258650</v>
      </c>
      <c r="M24" s="128">
        <f t="shared" si="5"/>
        <v>0</v>
      </c>
      <c r="N24" s="128"/>
      <c r="O24" s="128">
        <f t="shared" si="5"/>
        <v>258650</v>
      </c>
      <c r="P24" s="127"/>
      <c r="Q24" s="213">
        <f t="shared" si="3"/>
        <v>0</v>
      </c>
      <c r="R24" s="115"/>
      <c r="S24" s="115"/>
      <c r="T24" s="115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5"/>
      <c r="BD24" s="115"/>
      <c r="BE24" s="115"/>
      <c r="BF24" s="115"/>
      <c r="BG24"/>
      <c r="BH24"/>
      <c r="BI24"/>
      <c r="BJ24"/>
      <c r="BK24"/>
      <c r="BL24"/>
      <c r="BM24"/>
      <c r="BN24"/>
      <c r="BO24"/>
      <c r="BP24"/>
      <c r="BQ24"/>
      <c r="BR24"/>
      <c r="BS24"/>
    </row>
    <row r="25" spans="1:71" s="2" customFormat="1" ht="13.5" thickBot="1">
      <c r="A25" s="118">
        <f t="shared" si="0"/>
        <v>20</v>
      </c>
      <c r="B25" s="57" t="s">
        <v>60</v>
      </c>
      <c r="C25" s="99">
        <f>'2013 Budget'!C25</f>
        <v>33900</v>
      </c>
      <c r="D25" s="97">
        <v>7.0000000000000001E-3</v>
      </c>
      <c r="E25" s="95"/>
      <c r="F25" s="138">
        <v>0</v>
      </c>
      <c r="G25" s="138">
        <v>0</v>
      </c>
      <c r="H25" s="138">
        <v>0</v>
      </c>
      <c r="I25" s="138">
        <v>0</v>
      </c>
      <c r="J25" s="138">
        <v>0</v>
      </c>
      <c r="K25" s="138">
        <v>0</v>
      </c>
      <c r="L25" s="143">
        <v>33900</v>
      </c>
      <c r="M25" s="138">
        <v>0</v>
      </c>
      <c r="N25" s="138"/>
      <c r="O25" s="138">
        <f t="shared" si="1"/>
        <v>33900</v>
      </c>
      <c r="P25" s="127"/>
      <c r="Q25" s="213">
        <f t="shared" si="3"/>
        <v>0</v>
      </c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/>
      <c r="BH25"/>
      <c r="BI25"/>
      <c r="BJ25"/>
      <c r="BK25"/>
      <c r="BL25"/>
      <c r="BM25"/>
      <c r="BN25"/>
      <c r="BO25"/>
      <c r="BP25"/>
      <c r="BQ25"/>
      <c r="BR25"/>
      <c r="BS25"/>
    </row>
    <row r="26" spans="1:71" s="2" customFormat="1" ht="13.5" thickBot="1">
      <c r="A26" s="118">
        <f t="shared" si="0"/>
        <v>21</v>
      </c>
      <c r="B26" s="57" t="s">
        <v>61</v>
      </c>
      <c r="C26" s="96">
        <f>'2013 Budget'!C26</f>
        <v>127437</v>
      </c>
      <c r="D26" s="97">
        <v>2.7E-2</v>
      </c>
      <c r="E26" s="101"/>
      <c r="F26" s="138">
        <v>6970</v>
      </c>
      <c r="G26" s="138">
        <f>SUM('Detail Summary'!F28)</f>
        <v>0</v>
      </c>
      <c r="H26" s="138">
        <v>0</v>
      </c>
      <c r="I26" s="138">
        <v>0</v>
      </c>
      <c r="J26" s="138">
        <v>0</v>
      </c>
      <c r="K26" s="138">
        <v>120467</v>
      </c>
      <c r="L26" s="138">
        <v>0</v>
      </c>
      <c r="M26" s="138">
        <v>0</v>
      </c>
      <c r="N26" s="138"/>
      <c r="O26" s="138">
        <f t="shared" si="1"/>
        <v>127437</v>
      </c>
      <c r="P26" s="127"/>
      <c r="Q26" s="213">
        <f t="shared" si="3"/>
        <v>0</v>
      </c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5"/>
      <c r="AM26" s="115"/>
      <c r="AN26" s="115"/>
      <c r="AO26" s="115"/>
      <c r="AP26" s="115"/>
      <c r="AQ26" s="115"/>
      <c r="AR26" s="115"/>
      <c r="AS26" s="115"/>
      <c r="AT26" s="115"/>
      <c r="AU26" s="115"/>
      <c r="AV26" s="115"/>
      <c r="AW26" s="115"/>
      <c r="AX26" s="115"/>
      <c r="AY26" s="115"/>
      <c r="AZ26" s="115"/>
      <c r="BA26" s="115"/>
      <c r="BB26" s="115"/>
      <c r="BC26" s="115"/>
      <c r="BD26" s="115"/>
      <c r="BE26" s="115"/>
      <c r="BF26" s="115"/>
      <c r="BG26"/>
      <c r="BH26"/>
      <c r="BI26"/>
      <c r="BJ26"/>
      <c r="BK26"/>
      <c r="BL26"/>
      <c r="BM26"/>
      <c r="BN26"/>
      <c r="BO26"/>
      <c r="BP26"/>
      <c r="BQ26"/>
      <c r="BR26"/>
      <c r="BS26"/>
    </row>
    <row r="27" spans="1:71" s="62" customFormat="1">
      <c r="A27" s="118">
        <f t="shared" si="0"/>
        <v>22</v>
      </c>
      <c r="B27" s="57" t="s">
        <v>63</v>
      </c>
      <c r="C27" s="64">
        <f>SUM(C24:C26)</f>
        <v>419987</v>
      </c>
      <c r="D27" s="65">
        <v>9.0999999999999998E-2</v>
      </c>
      <c r="E27" s="13"/>
      <c r="F27" s="128">
        <f t="shared" ref="F27:O27" si="6">SUM(F24:F26)</f>
        <v>6970</v>
      </c>
      <c r="G27" s="128">
        <f t="shared" si="6"/>
        <v>0</v>
      </c>
      <c r="H27" s="128">
        <f t="shared" si="6"/>
        <v>0</v>
      </c>
      <c r="I27" s="128">
        <f t="shared" si="6"/>
        <v>0</v>
      </c>
      <c r="J27" s="128">
        <f t="shared" si="6"/>
        <v>0</v>
      </c>
      <c r="K27" s="128">
        <f t="shared" si="6"/>
        <v>120467</v>
      </c>
      <c r="L27" s="128">
        <f t="shared" si="6"/>
        <v>292550</v>
      </c>
      <c r="M27" s="128">
        <f t="shared" si="6"/>
        <v>0</v>
      </c>
      <c r="N27" s="128"/>
      <c r="O27" s="128">
        <f t="shared" si="6"/>
        <v>419987</v>
      </c>
      <c r="P27" s="129"/>
      <c r="Q27" s="213">
        <f t="shared" si="3"/>
        <v>0</v>
      </c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63"/>
      <c r="BH27" s="63"/>
      <c r="BI27" s="63"/>
      <c r="BJ27" s="63"/>
      <c r="BK27" s="63"/>
      <c r="BL27" s="63"/>
      <c r="BM27" s="63"/>
      <c r="BN27" s="63"/>
      <c r="BO27" s="63"/>
      <c r="BP27" s="63"/>
      <c r="BQ27" s="63"/>
      <c r="BR27" s="63"/>
      <c r="BS27" s="63"/>
    </row>
    <row r="28" spans="1:71" s="2" customFormat="1">
      <c r="A28" s="118">
        <f t="shared" si="0"/>
        <v>23</v>
      </c>
      <c r="B28" s="52" t="s">
        <v>30</v>
      </c>
      <c r="C28" s="92">
        <f>'2013 Budget'!C28</f>
        <v>80000</v>
      </c>
      <c r="D28" s="94">
        <v>1.7000000000000001E-2</v>
      </c>
      <c r="E28" s="95"/>
      <c r="F28" s="138">
        <v>0</v>
      </c>
      <c r="G28" s="138">
        <f>SUM('Detail Summary'!F16)</f>
        <v>0</v>
      </c>
      <c r="H28" s="138">
        <v>0</v>
      </c>
      <c r="I28" s="138">
        <v>80000</v>
      </c>
      <c r="J28" s="138">
        <v>0</v>
      </c>
      <c r="K28" s="138">
        <v>0</v>
      </c>
      <c r="L28" s="138">
        <v>0</v>
      </c>
      <c r="M28" s="138">
        <v>0</v>
      </c>
      <c r="N28" s="138"/>
      <c r="O28" s="138">
        <f>SUM(F28:M28)</f>
        <v>80000</v>
      </c>
      <c r="P28" s="127"/>
      <c r="Q28" s="213">
        <f t="shared" si="3"/>
        <v>0</v>
      </c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5"/>
      <c r="AM28" s="115"/>
      <c r="AN28" s="115"/>
      <c r="AO28" s="115"/>
      <c r="AP28" s="115"/>
      <c r="AQ28" s="115"/>
      <c r="AR28" s="115"/>
      <c r="AS28" s="115"/>
      <c r="AT28" s="115"/>
      <c r="AU28" s="115"/>
      <c r="AV28" s="115"/>
      <c r="AW28" s="115"/>
      <c r="AX28" s="115"/>
      <c r="AY28" s="115"/>
      <c r="AZ28" s="115"/>
      <c r="BA28" s="115"/>
      <c r="BB28" s="115"/>
      <c r="BC28" s="115"/>
      <c r="BD28" s="115"/>
      <c r="BE28" s="115"/>
      <c r="BF28" s="115"/>
      <c r="BG28"/>
      <c r="BH28"/>
      <c r="BI28"/>
      <c r="BJ28"/>
      <c r="BK28"/>
      <c r="BL28"/>
      <c r="BM28"/>
      <c r="BN28"/>
      <c r="BO28"/>
      <c r="BP28"/>
      <c r="BQ28"/>
      <c r="BR28"/>
      <c r="BS28"/>
    </row>
    <row r="29" spans="1:71" s="2" customFormat="1">
      <c r="A29" s="118">
        <f t="shared" si="0"/>
        <v>24</v>
      </c>
      <c r="B29" s="52" t="s">
        <v>10</v>
      </c>
      <c r="C29" s="92">
        <v>0</v>
      </c>
      <c r="D29" s="94">
        <v>0</v>
      </c>
      <c r="E29" s="95"/>
      <c r="F29" s="138">
        <v>0</v>
      </c>
      <c r="G29" s="138">
        <v>0</v>
      </c>
      <c r="H29" s="138">
        <v>0</v>
      </c>
      <c r="I29" s="138">
        <v>0</v>
      </c>
      <c r="J29" s="138">
        <v>0</v>
      </c>
      <c r="K29" s="138">
        <v>0</v>
      </c>
      <c r="L29" s="138">
        <v>0</v>
      </c>
      <c r="M29" s="138">
        <v>0</v>
      </c>
      <c r="N29" s="138"/>
      <c r="O29" s="138">
        <f>SUM(F29:M29)</f>
        <v>0</v>
      </c>
      <c r="P29" s="127"/>
      <c r="Q29" s="213">
        <f t="shared" si="3"/>
        <v>0</v>
      </c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5"/>
      <c r="AM29" s="115"/>
      <c r="AN29" s="115"/>
      <c r="AO29" s="115"/>
      <c r="AP29" s="115"/>
      <c r="AQ29" s="115"/>
      <c r="AR29" s="115"/>
      <c r="AS29" s="115"/>
      <c r="AT29" s="115"/>
      <c r="AU29" s="115"/>
      <c r="AV29" s="115"/>
      <c r="AW29" s="115"/>
      <c r="AX29" s="115"/>
      <c r="AY29" s="115"/>
      <c r="AZ29" s="115"/>
      <c r="BA29" s="115"/>
      <c r="BB29" s="115"/>
      <c r="BC29" s="115"/>
      <c r="BD29" s="115"/>
      <c r="BE29" s="115"/>
      <c r="BF29" s="115"/>
      <c r="BG29"/>
      <c r="BH29"/>
      <c r="BI29"/>
      <c r="BJ29"/>
      <c r="BK29"/>
      <c r="BL29"/>
      <c r="BM29"/>
      <c r="BN29"/>
      <c r="BO29"/>
      <c r="BP29"/>
      <c r="BQ29"/>
      <c r="BR29"/>
      <c r="BS29"/>
    </row>
    <row r="30" spans="1:71" s="2" customFormat="1">
      <c r="A30" s="118">
        <f t="shared" si="0"/>
        <v>25</v>
      </c>
      <c r="B30" s="53" t="s">
        <v>31</v>
      </c>
      <c r="C30" s="92">
        <v>0</v>
      </c>
      <c r="D30" s="94">
        <v>0</v>
      </c>
      <c r="E30" s="95"/>
      <c r="F30" s="138">
        <v>0</v>
      </c>
      <c r="G30" s="138">
        <f>SUM('Detail Summary'!F34)</f>
        <v>0</v>
      </c>
      <c r="H30" s="138">
        <v>0</v>
      </c>
      <c r="I30" s="138">
        <v>0</v>
      </c>
      <c r="J30" s="138">
        <v>0</v>
      </c>
      <c r="K30" s="138">
        <v>0</v>
      </c>
      <c r="L30" s="138">
        <v>0</v>
      </c>
      <c r="M30" s="138">
        <v>0</v>
      </c>
      <c r="N30" s="138"/>
      <c r="O30" s="138">
        <f>SUM(F30:M30)</f>
        <v>0</v>
      </c>
      <c r="P30" s="127"/>
      <c r="Q30" s="213">
        <f t="shared" si="3"/>
        <v>0</v>
      </c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5"/>
      <c r="AM30" s="115"/>
      <c r="AN30" s="115"/>
      <c r="AO30" s="115"/>
      <c r="AP30" s="115"/>
      <c r="AQ30" s="115"/>
      <c r="AR30" s="115"/>
      <c r="AS30" s="115"/>
      <c r="AT30" s="115"/>
      <c r="AU30" s="115"/>
      <c r="AV30" s="115"/>
      <c r="AW30" s="115"/>
      <c r="AX30" s="115"/>
      <c r="AY30" s="115"/>
      <c r="AZ30" s="115"/>
      <c r="BA30" s="115"/>
      <c r="BB30" s="115"/>
      <c r="BC30" s="115"/>
      <c r="BD30" s="115"/>
      <c r="BE30" s="115"/>
      <c r="BF30" s="115"/>
      <c r="BG30"/>
      <c r="BH30"/>
      <c r="BI30"/>
      <c r="BJ30"/>
      <c r="BK30"/>
      <c r="BL30"/>
      <c r="BM30"/>
      <c r="BN30"/>
      <c r="BO30"/>
      <c r="BP30"/>
      <c r="BQ30"/>
      <c r="BR30"/>
      <c r="BS30"/>
    </row>
    <row r="31" spans="1:71" s="2" customFormat="1">
      <c r="A31" s="118">
        <f t="shared" si="0"/>
        <v>26</v>
      </c>
      <c r="B31" s="52" t="s">
        <v>32</v>
      </c>
      <c r="C31" s="92">
        <v>0</v>
      </c>
      <c r="D31" s="94">
        <v>0</v>
      </c>
      <c r="E31" s="102"/>
      <c r="F31" s="138">
        <v>0</v>
      </c>
      <c r="G31" s="138">
        <f>SUM('Detail Summary'!F37:F38)</f>
        <v>0</v>
      </c>
      <c r="H31" s="138">
        <v>0</v>
      </c>
      <c r="I31" s="138">
        <v>0</v>
      </c>
      <c r="J31" s="138">
        <v>0</v>
      </c>
      <c r="K31" s="138">
        <v>0</v>
      </c>
      <c r="L31" s="138">
        <v>0</v>
      </c>
      <c r="M31" s="138">
        <v>0</v>
      </c>
      <c r="N31" s="138"/>
      <c r="O31" s="138">
        <f>SUM(F31:M31)</f>
        <v>0</v>
      </c>
      <c r="P31" s="127"/>
      <c r="Q31" s="213">
        <f t="shared" si="3"/>
        <v>0</v>
      </c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5"/>
      <c r="AM31" s="115"/>
      <c r="AN31" s="115"/>
      <c r="AO31" s="115"/>
      <c r="AP31" s="115"/>
      <c r="AQ31" s="115"/>
      <c r="AR31" s="115"/>
      <c r="AS31" s="115"/>
      <c r="AT31" s="115"/>
      <c r="AU31" s="115"/>
      <c r="AV31" s="115"/>
      <c r="AW31" s="115"/>
      <c r="AX31" s="115"/>
      <c r="AY31" s="115"/>
      <c r="AZ31" s="115"/>
      <c r="BA31" s="115"/>
      <c r="BB31" s="115"/>
      <c r="BC31" s="115"/>
      <c r="BD31" s="115"/>
      <c r="BE31" s="115"/>
      <c r="BF31" s="115"/>
      <c r="BG31"/>
      <c r="BH31"/>
      <c r="BI31"/>
      <c r="BJ31"/>
      <c r="BK31"/>
      <c r="BL31"/>
      <c r="BM31"/>
      <c r="BN31"/>
      <c r="BO31"/>
      <c r="BP31"/>
      <c r="BQ31"/>
      <c r="BR31"/>
      <c r="BS31"/>
    </row>
    <row r="32" spans="1:71" s="2" customFormat="1" ht="13.5" thickBot="1">
      <c r="A32" s="118">
        <f t="shared" si="0"/>
        <v>27</v>
      </c>
      <c r="B32" s="55" t="s">
        <v>46</v>
      </c>
      <c r="C32" s="103">
        <f>'2013 Budget'!C32</f>
        <v>20000</v>
      </c>
      <c r="D32" s="94">
        <v>4.0000000000000001E-3</v>
      </c>
      <c r="E32" s="104"/>
      <c r="F32" s="140">
        <v>0</v>
      </c>
      <c r="G32" s="140">
        <f>SUM('Detail Summary'!F11:F14)</f>
        <v>0</v>
      </c>
      <c r="H32" s="140">
        <v>0</v>
      </c>
      <c r="I32" s="140">
        <v>20000</v>
      </c>
      <c r="J32" s="140">
        <v>0</v>
      </c>
      <c r="K32" s="140">
        <v>0</v>
      </c>
      <c r="L32" s="140">
        <v>0</v>
      </c>
      <c r="M32" s="140">
        <v>0</v>
      </c>
      <c r="N32" s="140"/>
      <c r="O32" s="140">
        <f>SUM(F32:M32)</f>
        <v>20000</v>
      </c>
      <c r="P32" s="127"/>
      <c r="Q32" s="213">
        <f t="shared" si="3"/>
        <v>0</v>
      </c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5"/>
      <c r="AF32" s="115"/>
      <c r="AG32" s="115"/>
      <c r="AH32" s="115"/>
      <c r="AI32" s="115"/>
      <c r="AJ32" s="115"/>
      <c r="AK32" s="115"/>
      <c r="AL32" s="115"/>
      <c r="AM32" s="115"/>
      <c r="AN32" s="115"/>
      <c r="AO32" s="115"/>
      <c r="AP32" s="115"/>
      <c r="AQ32" s="115"/>
      <c r="AR32" s="115"/>
      <c r="AS32" s="115"/>
      <c r="AT32" s="115"/>
      <c r="AU32" s="115"/>
      <c r="AV32" s="115"/>
      <c r="AW32" s="115"/>
      <c r="AX32" s="115"/>
      <c r="AY32" s="115"/>
      <c r="AZ32" s="115"/>
      <c r="BA32" s="115"/>
      <c r="BB32" s="115"/>
      <c r="BC32" s="115"/>
      <c r="BD32" s="115"/>
      <c r="BE32" s="115"/>
      <c r="BF32" s="115"/>
      <c r="BG32"/>
      <c r="BH32"/>
      <c r="BI32"/>
      <c r="BJ32"/>
      <c r="BK32"/>
      <c r="BL32"/>
      <c r="BM32"/>
      <c r="BN32"/>
      <c r="BO32"/>
      <c r="BP32"/>
      <c r="BQ32"/>
      <c r="BR32"/>
      <c r="BS32"/>
    </row>
    <row r="33" spans="1:71" s="7" customFormat="1" ht="13.5" thickBot="1">
      <c r="A33" s="118">
        <f t="shared" si="0"/>
        <v>28</v>
      </c>
      <c r="B33" s="11" t="s">
        <v>3</v>
      </c>
      <c r="C33" s="43">
        <f>C11+C13+C19+C27+C28+C29+C30+C31+C32</f>
        <v>4634973.75</v>
      </c>
      <c r="D33" s="44">
        <f>D11+D13+D19+D27+D28+D29+D30+D31+D32</f>
        <v>1</v>
      </c>
      <c r="E33" s="15"/>
      <c r="F33" s="43">
        <f t="shared" ref="F33:O33" si="7">F11+F13+F19+F27+F28+F29+F30+F31+F32</f>
        <v>6970</v>
      </c>
      <c r="G33" s="43">
        <f t="shared" si="7"/>
        <v>264313</v>
      </c>
      <c r="H33" s="43">
        <f>H11+H13+H19+H27+H28+H29+H30+H31+H32</f>
        <v>229400</v>
      </c>
      <c r="I33" s="43">
        <f t="shared" si="7"/>
        <v>100000</v>
      </c>
      <c r="J33" s="43">
        <f t="shared" si="7"/>
        <v>3607273.75</v>
      </c>
      <c r="K33" s="43">
        <f t="shared" si="7"/>
        <v>134467</v>
      </c>
      <c r="L33" s="43">
        <f t="shared" si="7"/>
        <v>292550</v>
      </c>
      <c r="M33" s="43">
        <f t="shared" si="7"/>
        <v>0</v>
      </c>
      <c r="N33" s="130"/>
      <c r="O33" s="43">
        <f t="shared" si="7"/>
        <v>4634973.75</v>
      </c>
      <c r="P33" s="131"/>
      <c r="Q33" s="213">
        <f t="shared" si="3"/>
        <v>0</v>
      </c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</row>
    <row r="34" spans="1:71" s="2" customFormat="1">
      <c r="A34" s="118"/>
      <c r="B34" s="105"/>
      <c r="C34" s="99"/>
      <c r="D34" s="106"/>
      <c r="E34" s="107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27"/>
      <c r="Q34" s="213">
        <f t="shared" si="3"/>
        <v>0</v>
      </c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  <c r="AD34" s="115"/>
      <c r="AE34" s="115"/>
      <c r="AF34" s="115"/>
      <c r="AG34" s="115"/>
      <c r="AH34" s="115"/>
      <c r="AI34" s="115"/>
      <c r="AJ34" s="115"/>
      <c r="AK34" s="115"/>
      <c r="AL34" s="115"/>
      <c r="AM34" s="115"/>
      <c r="AN34" s="115"/>
      <c r="AO34" s="115"/>
      <c r="AP34" s="115"/>
      <c r="AQ34" s="115"/>
      <c r="AR34" s="115"/>
      <c r="AS34" s="115"/>
      <c r="AT34" s="115"/>
      <c r="AU34" s="115"/>
      <c r="AV34" s="115"/>
      <c r="AW34" s="115"/>
      <c r="AX34" s="115"/>
      <c r="AY34" s="115"/>
      <c r="AZ34" s="115"/>
      <c r="BA34" s="115"/>
      <c r="BB34" s="115"/>
      <c r="BC34" s="115"/>
      <c r="BD34" s="115"/>
      <c r="BE34" s="115"/>
      <c r="BF34" s="115"/>
      <c r="BG34"/>
      <c r="BH34"/>
      <c r="BI34"/>
      <c r="BJ34"/>
      <c r="BK34"/>
      <c r="BL34"/>
      <c r="BM34"/>
      <c r="BN34"/>
      <c r="BO34"/>
      <c r="BP34"/>
      <c r="BQ34"/>
      <c r="BR34"/>
      <c r="BS34"/>
    </row>
    <row r="35" spans="1:71" s="2" customFormat="1">
      <c r="A35" s="118">
        <v>29</v>
      </c>
      <c r="B35" s="10" t="s">
        <v>2</v>
      </c>
      <c r="C35" s="92"/>
      <c r="D35" s="93"/>
      <c r="E35" s="14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27"/>
      <c r="Q35" s="213">
        <f t="shared" si="3"/>
        <v>0</v>
      </c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5"/>
      <c r="AQ35" s="115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5"/>
      <c r="BF35" s="115"/>
      <c r="BG35"/>
      <c r="BH35"/>
      <c r="BI35"/>
      <c r="BJ35"/>
      <c r="BK35"/>
      <c r="BL35"/>
      <c r="BM35"/>
      <c r="BN35"/>
      <c r="BO35"/>
      <c r="BP35"/>
      <c r="BQ35"/>
      <c r="BR35"/>
      <c r="BS35"/>
    </row>
    <row r="36" spans="1:71" s="2" customFormat="1">
      <c r="A36" s="118">
        <f>A35+1</f>
        <v>30</v>
      </c>
      <c r="B36" s="10" t="s">
        <v>51</v>
      </c>
      <c r="C36" s="92"/>
      <c r="D36" s="93"/>
      <c r="E36" s="14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27"/>
      <c r="Q36" s="213">
        <f t="shared" si="3"/>
        <v>0</v>
      </c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/>
      <c r="BH36"/>
      <c r="BI36"/>
      <c r="BJ36"/>
      <c r="BK36"/>
      <c r="BL36"/>
      <c r="BM36"/>
      <c r="BN36"/>
      <c r="BO36"/>
      <c r="BP36"/>
      <c r="BQ36"/>
      <c r="BR36"/>
      <c r="BS36"/>
    </row>
    <row r="37" spans="1:71" s="2" customFormat="1">
      <c r="A37" s="118">
        <f t="shared" ref="A37:A85" si="8">A36+1</f>
        <v>31</v>
      </c>
      <c r="B37" s="52" t="s">
        <v>33</v>
      </c>
      <c r="C37" s="92">
        <f>'2013 Budget'!C37</f>
        <v>2274738</v>
      </c>
      <c r="D37" s="94">
        <f>+C37/$C$84</f>
        <v>0.49143094167933193</v>
      </c>
      <c r="E37" s="95"/>
      <c r="F37" s="138">
        <v>2274738</v>
      </c>
      <c r="G37" s="138">
        <f>SUM('Detail Summary'!F50:F51)+SUM('Detail Summary'!F53:F54)</f>
        <v>0</v>
      </c>
      <c r="H37" s="138">
        <v>0</v>
      </c>
      <c r="I37" s="138">
        <v>0</v>
      </c>
      <c r="J37" s="138">
        <v>0</v>
      </c>
      <c r="K37" s="138">
        <v>0</v>
      </c>
      <c r="L37" s="138">
        <v>0</v>
      </c>
      <c r="M37" s="138">
        <v>0</v>
      </c>
      <c r="N37" s="138"/>
      <c r="O37" s="138">
        <f>SUM(F37:M37)</f>
        <v>2274738</v>
      </c>
      <c r="P37" s="127"/>
      <c r="Q37" s="213">
        <f t="shared" si="3"/>
        <v>0</v>
      </c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  <c r="AD37" s="115"/>
      <c r="AE37" s="115"/>
      <c r="AF37" s="115"/>
      <c r="AG37" s="115"/>
      <c r="AH37" s="115"/>
      <c r="AI37" s="115"/>
      <c r="AJ37" s="115"/>
      <c r="AK37" s="115"/>
      <c r="AL37" s="115"/>
      <c r="AM37" s="115"/>
      <c r="AN37" s="115"/>
      <c r="AO37" s="115"/>
      <c r="AP37" s="115"/>
      <c r="AQ37" s="115"/>
      <c r="AR37" s="115"/>
      <c r="AS37" s="115"/>
      <c r="AT37" s="115"/>
      <c r="AU37" s="115"/>
      <c r="AV37" s="115"/>
      <c r="AW37" s="115"/>
      <c r="AX37" s="115"/>
      <c r="AY37" s="115"/>
      <c r="AZ37" s="115"/>
      <c r="BA37" s="115"/>
      <c r="BB37" s="115"/>
      <c r="BC37" s="115"/>
      <c r="BD37" s="115"/>
      <c r="BE37" s="115"/>
      <c r="BF37" s="115"/>
      <c r="BG37"/>
      <c r="BH37"/>
      <c r="BI37"/>
      <c r="BJ37"/>
      <c r="BK37"/>
      <c r="BL37"/>
      <c r="BM37"/>
      <c r="BN37"/>
      <c r="BO37"/>
      <c r="BP37"/>
      <c r="BQ37"/>
      <c r="BR37"/>
      <c r="BS37"/>
    </row>
    <row r="38" spans="1:71" s="2" customFormat="1">
      <c r="A38" s="118">
        <f t="shared" si="8"/>
        <v>32</v>
      </c>
      <c r="B38" s="54" t="s">
        <v>34</v>
      </c>
      <c r="C38" s="92">
        <f>'2013 Budget'!C38</f>
        <v>100000</v>
      </c>
      <c r="D38" s="94">
        <f>+C38/$C$84</f>
        <v>2.1603848077419548E-2</v>
      </c>
      <c r="E38" s="95"/>
      <c r="F38" s="138">
        <v>0</v>
      </c>
      <c r="G38" s="138">
        <f>SUM('Detail Summary'!F52)</f>
        <v>0</v>
      </c>
      <c r="H38" s="138">
        <v>0</v>
      </c>
      <c r="I38" s="138">
        <v>0</v>
      </c>
      <c r="J38" s="138">
        <v>0</v>
      </c>
      <c r="K38" s="138">
        <v>0</v>
      </c>
      <c r="L38" s="138">
        <v>100000</v>
      </c>
      <c r="M38" s="138">
        <v>0</v>
      </c>
      <c r="N38" s="138"/>
      <c r="O38" s="138">
        <f>SUM(F38:M38)</f>
        <v>100000</v>
      </c>
      <c r="P38" s="127"/>
      <c r="Q38" s="213">
        <f t="shared" si="3"/>
        <v>0</v>
      </c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15"/>
      <c r="AH38" s="115"/>
      <c r="AI38" s="115"/>
      <c r="AJ38" s="115"/>
      <c r="AK38" s="115"/>
      <c r="AL38" s="115"/>
      <c r="AM38" s="115"/>
      <c r="AN38" s="115"/>
      <c r="AO38" s="115"/>
      <c r="AP38" s="115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/>
      <c r="BH38"/>
      <c r="BI38"/>
      <c r="BJ38"/>
      <c r="BK38"/>
      <c r="BL38"/>
      <c r="BM38"/>
      <c r="BN38"/>
      <c r="BO38"/>
      <c r="BP38"/>
      <c r="BQ38"/>
      <c r="BR38"/>
      <c r="BS38"/>
    </row>
    <row r="39" spans="1:71" s="2" customFormat="1">
      <c r="A39" s="118">
        <f t="shared" si="8"/>
        <v>33</v>
      </c>
      <c r="B39" s="54" t="s">
        <v>47</v>
      </c>
      <c r="C39" s="92">
        <f>'2013 Budget'!C39</f>
        <v>0</v>
      </c>
      <c r="D39" s="94">
        <f>+C39/$C$84</f>
        <v>0</v>
      </c>
      <c r="E39" s="95"/>
      <c r="F39" s="144">
        <v>0</v>
      </c>
      <c r="G39" s="144">
        <f>SUM('Detail Summary'!F124)</f>
        <v>0</v>
      </c>
      <c r="H39" s="144">
        <v>0</v>
      </c>
      <c r="I39" s="144">
        <v>0</v>
      </c>
      <c r="J39" s="144">
        <v>0</v>
      </c>
      <c r="K39" s="144">
        <v>0</v>
      </c>
      <c r="L39" s="144">
        <v>0</v>
      </c>
      <c r="M39" s="144">
        <v>0</v>
      </c>
      <c r="N39" s="138"/>
      <c r="O39" s="138">
        <f>SUM(F39:M39)</f>
        <v>0</v>
      </c>
      <c r="P39" s="127"/>
      <c r="Q39" s="213">
        <f t="shared" si="3"/>
        <v>0</v>
      </c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5"/>
      <c r="AH39" s="115"/>
      <c r="AI39" s="115"/>
      <c r="AJ39" s="115"/>
      <c r="AK39" s="115"/>
      <c r="AL39" s="115"/>
      <c r="AM39" s="115"/>
      <c r="AN39" s="115"/>
      <c r="AO39" s="115"/>
      <c r="AP39" s="115"/>
      <c r="AQ39" s="115"/>
      <c r="AR39" s="115"/>
      <c r="AS39" s="115"/>
      <c r="AT39" s="115"/>
      <c r="AU39" s="115"/>
      <c r="AV39" s="115"/>
      <c r="AW39" s="115"/>
      <c r="AX39" s="115"/>
      <c r="AY39" s="115"/>
      <c r="AZ39" s="115"/>
      <c r="BA39" s="115"/>
      <c r="BB39" s="115"/>
      <c r="BC39" s="115"/>
      <c r="BD39" s="115"/>
      <c r="BE39" s="115"/>
      <c r="BF39" s="115"/>
      <c r="BG39"/>
      <c r="BH39"/>
      <c r="BI39"/>
      <c r="BJ39"/>
      <c r="BK39"/>
      <c r="BL39"/>
      <c r="BM39"/>
      <c r="BN39"/>
      <c r="BO39"/>
      <c r="BP39"/>
      <c r="BQ39"/>
      <c r="BR39"/>
      <c r="BS39"/>
    </row>
    <row r="40" spans="1:71" s="2" customFormat="1">
      <c r="A40" s="118">
        <f t="shared" si="8"/>
        <v>34</v>
      </c>
      <c r="B40" s="52" t="s">
        <v>11</v>
      </c>
      <c r="C40" s="92">
        <f>'2013 Budget'!C40</f>
        <v>531103</v>
      </c>
      <c r="D40" s="94">
        <f>+C40/$C$84</f>
        <v>0.11473868525461756</v>
      </c>
      <c r="E40" s="95"/>
      <c r="F40" s="138">
        <v>512679</v>
      </c>
      <c r="G40" s="138">
        <f>SUM('Detail Summary'!F55:F62)+SUM('Detail Summary'!F64:F66)</f>
        <v>0</v>
      </c>
      <c r="H40" s="138">
        <v>0</v>
      </c>
      <c r="I40" s="138">
        <v>0</v>
      </c>
      <c r="J40" s="138">
        <v>0</v>
      </c>
      <c r="K40" s="138">
        <v>0</v>
      </c>
      <c r="L40" s="138">
        <v>18424</v>
      </c>
      <c r="M40" s="138">
        <v>0</v>
      </c>
      <c r="N40" s="138"/>
      <c r="O40" s="138">
        <f>SUM(F40:M40)</f>
        <v>531103</v>
      </c>
      <c r="P40" s="127"/>
      <c r="Q40" s="213">
        <f t="shared" si="3"/>
        <v>0</v>
      </c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/>
      <c r="BH40"/>
      <c r="BI40"/>
      <c r="BJ40"/>
      <c r="BK40"/>
      <c r="BL40"/>
      <c r="BM40"/>
      <c r="BN40"/>
      <c r="BO40"/>
      <c r="BP40"/>
      <c r="BQ40"/>
      <c r="BR40"/>
      <c r="BS40"/>
    </row>
    <row r="41" spans="1:71" s="2" customFormat="1" ht="13.5" thickBot="1">
      <c r="A41" s="118">
        <f t="shared" si="8"/>
        <v>35</v>
      </c>
      <c r="B41" s="52" t="s">
        <v>35</v>
      </c>
      <c r="C41" s="92">
        <f>'2013 Budget'!C41</f>
        <v>6000</v>
      </c>
      <c r="D41" s="94">
        <f>+C41/$C$84</f>
        <v>1.2962308846451731E-3</v>
      </c>
      <c r="E41" s="95"/>
      <c r="F41" s="140">
        <v>0</v>
      </c>
      <c r="G41" s="140">
        <f>SUM('Detail Summary'!F53)</f>
        <v>0</v>
      </c>
      <c r="H41" s="140">
        <v>0</v>
      </c>
      <c r="I41" s="140">
        <v>0</v>
      </c>
      <c r="J41" s="140">
        <v>6000</v>
      </c>
      <c r="K41" s="140">
        <v>0</v>
      </c>
      <c r="L41" s="140">
        <v>0</v>
      </c>
      <c r="M41" s="140">
        <v>0</v>
      </c>
      <c r="N41" s="140"/>
      <c r="O41" s="140">
        <f>SUM(F41:M41)</f>
        <v>6000</v>
      </c>
      <c r="P41" s="127"/>
      <c r="Q41" s="213">
        <f t="shared" si="3"/>
        <v>0</v>
      </c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  <c r="AD41" s="115"/>
      <c r="AE41" s="115"/>
      <c r="AF41" s="115"/>
      <c r="AG41" s="115"/>
      <c r="AH41" s="115"/>
      <c r="AI41" s="115"/>
      <c r="AJ41" s="115"/>
      <c r="AK41" s="115"/>
      <c r="AL41" s="115"/>
      <c r="AM41" s="115"/>
      <c r="AN41" s="115"/>
      <c r="AO41" s="115"/>
      <c r="AP41" s="115"/>
      <c r="AQ41" s="115"/>
      <c r="AR41" s="115"/>
      <c r="AS41" s="115"/>
      <c r="AT41" s="115"/>
      <c r="AU41" s="115"/>
      <c r="AV41" s="115"/>
      <c r="AW41" s="115"/>
      <c r="AX41" s="115"/>
      <c r="AY41" s="115"/>
      <c r="AZ41" s="115"/>
      <c r="BA41" s="115"/>
      <c r="BB41" s="115"/>
      <c r="BC41" s="115"/>
      <c r="BD41" s="115"/>
      <c r="BE41" s="115"/>
      <c r="BF41" s="115"/>
      <c r="BG41"/>
      <c r="BH41"/>
      <c r="BI41"/>
      <c r="BJ41"/>
      <c r="BK41"/>
      <c r="BL41"/>
      <c r="BM41"/>
      <c r="BN41"/>
      <c r="BO41"/>
      <c r="BP41"/>
      <c r="BQ41"/>
      <c r="BR41"/>
      <c r="BS41"/>
    </row>
    <row r="42" spans="1:71" s="2" customFormat="1" ht="13.5" thickBot="1">
      <c r="A42" s="118">
        <f t="shared" si="8"/>
        <v>36</v>
      </c>
      <c r="B42" s="52" t="s">
        <v>205</v>
      </c>
      <c r="C42" s="43">
        <f>SUM(C37:C41)</f>
        <v>2911841</v>
      </c>
      <c r="D42" s="98">
        <f>SUM(D37:D41)</f>
        <v>0.62906970589601419</v>
      </c>
      <c r="E42" s="95"/>
      <c r="F42" s="130">
        <f t="shared" ref="F42:M42" si="9">SUM(F37:F41)</f>
        <v>2787417</v>
      </c>
      <c r="G42" s="130">
        <f t="shared" si="9"/>
        <v>0</v>
      </c>
      <c r="H42" s="130">
        <f t="shared" si="9"/>
        <v>0</v>
      </c>
      <c r="I42" s="130">
        <f t="shared" si="9"/>
        <v>0</v>
      </c>
      <c r="J42" s="130">
        <f t="shared" si="9"/>
        <v>6000</v>
      </c>
      <c r="K42" s="130">
        <f t="shared" si="9"/>
        <v>0</v>
      </c>
      <c r="L42" s="130">
        <f t="shared" si="9"/>
        <v>118424</v>
      </c>
      <c r="M42" s="130">
        <f t="shared" si="9"/>
        <v>0</v>
      </c>
      <c r="N42" s="130"/>
      <c r="O42" s="130">
        <f>SUM(O37:O41)</f>
        <v>2911841</v>
      </c>
      <c r="P42" s="127"/>
      <c r="Q42" s="213">
        <f t="shared" si="3"/>
        <v>0</v>
      </c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  <c r="AD42" s="115"/>
      <c r="AE42" s="115"/>
      <c r="AF42" s="115"/>
      <c r="AG42" s="115"/>
      <c r="AH42" s="115"/>
      <c r="AI42" s="115"/>
      <c r="AJ42" s="115"/>
      <c r="AK42" s="115"/>
      <c r="AL42" s="115"/>
      <c r="AM42" s="115"/>
      <c r="AN42" s="115"/>
      <c r="AO42" s="115"/>
      <c r="AP42" s="115"/>
      <c r="AQ42" s="115"/>
      <c r="AR42" s="115"/>
      <c r="AS42" s="115"/>
      <c r="AT42" s="115"/>
      <c r="AU42" s="115"/>
      <c r="AV42" s="115"/>
      <c r="AW42" s="115"/>
      <c r="AX42" s="115"/>
      <c r="AY42" s="115"/>
      <c r="AZ42" s="115"/>
      <c r="BA42" s="115"/>
      <c r="BB42" s="115"/>
      <c r="BC42" s="115"/>
      <c r="BD42" s="115"/>
      <c r="BE42" s="115"/>
      <c r="BF42" s="115"/>
      <c r="BG42"/>
      <c r="BH42"/>
      <c r="BI42"/>
      <c r="BJ42"/>
      <c r="BK42"/>
      <c r="BL42"/>
      <c r="BM42"/>
      <c r="BN42"/>
      <c r="BO42"/>
      <c r="BP42"/>
      <c r="BQ42"/>
      <c r="BR42"/>
      <c r="BS42"/>
    </row>
    <row r="43" spans="1:71" s="2" customFormat="1">
      <c r="A43" s="118">
        <f t="shared" si="8"/>
        <v>37</v>
      </c>
      <c r="B43" s="52"/>
      <c r="C43" s="99"/>
      <c r="D43" s="100"/>
      <c r="E43" s="95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27"/>
      <c r="Q43" s="213">
        <f t="shared" si="3"/>
        <v>0</v>
      </c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  <c r="AD43" s="115"/>
      <c r="AE43" s="115"/>
      <c r="AF43" s="115"/>
      <c r="AG43" s="115"/>
      <c r="AH43" s="115"/>
      <c r="AI43" s="115"/>
      <c r="AJ43" s="115"/>
      <c r="AK43" s="115"/>
      <c r="AL43" s="115"/>
      <c r="AM43" s="115"/>
      <c r="AN43" s="115"/>
      <c r="AO43" s="115"/>
      <c r="AP43" s="115"/>
      <c r="AQ43" s="115"/>
      <c r="AR43" s="115"/>
      <c r="AS43" s="115"/>
      <c r="AT43" s="115"/>
      <c r="AU43" s="115"/>
      <c r="AV43" s="115"/>
      <c r="AW43" s="115"/>
      <c r="AX43" s="115"/>
      <c r="AY43" s="115"/>
      <c r="AZ43" s="115"/>
      <c r="BA43" s="115"/>
      <c r="BB43" s="115"/>
      <c r="BC43" s="115"/>
      <c r="BD43" s="115"/>
      <c r="BE43" s="115"/>
      <c r="BF43" s="115"/>
      <c r="BG43"/>
      <c r="BH43"/>
      <c r="BI43"/>
      <c r="BJ43"/>
      <c r="BK43"/>
      <c r="BL43"/>
      <c r="BM43"/>
      <c r="BN43"/>
      <c r="BO43"/>
      <c r="BP43"/>
      <c r="BQ43"/>
      <c r="BR43"/>
      <c r="BS43"/>
    </row>
    <row r="44" spans="1:71" s="2" customFormat="1">
      <c r="A44" s="118">
        <f t="shared" si="8"/>
        <v>38</v>
      </c>
      <c r="B44" s="57" t="s">
        <v>210</v>
      </c>
      <c r="C44" s="99"/>
      <c r="D44" s="100"/>
      <c r="E44" s="95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27"/>
      <c r="Q44" s="213">
        <f t="shared" si="3"/>
        <v>0</v>
      </c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  <c r="AD44" s="115"/>
      <c r="AE44" s="115"/>
      <c r="AF44" s="115"/>
      <c r="AG44" s="115"/>
      <c r="AH44" s="115"/>
      <c r="AI44" s="115"/>
      <c r="AJ44" s="115"/>
      <c r="AK44" s="115"/>
      <c r="AL44" s="115"/>
      <c r="AM44" s="115"/>
      <c r="AN44" s="115"/>
      <c r="AO44" s="115"/>
      <c r="AP44" s="115"/>
      <c r="AQ44" s="115"/>
      <c r="AR44" s="115"/>
      <c r="AS44" s="115"/>
      <c r="AT44" s="115"/>
      <c r="AU44" s="115"/>
      <c r="AV44" s="115"/>
      <c r="AW44" s="115"/>
      <c r="AX44" s="115"/>
      <c r="AY44" s="115"/>
      <c r="AZ44" s="115"/>
      <c r="BA44" s="115"/>
      <c r="BB44" s="115"/>
      <c r="BC44" s="115"/>
      <c r="BD44" s="115"/>
      <c r="BE44" s="115"/>
      <c r="BF44" s="115"/>
      <c r="BG44"/>
      <c r="BH44"/>
      <c r="BI44"/>
      <c r="BJ44"/>
      <c r="BK44"/>
      <c r="BL44"/>
      <c r="BM44"/>
      <c r="BN44"/>
      <c r="BO44"/>
      <c r="BP44"/>
      <c r="BQ44"/>
      <c r="BR44"/>
      <c r="BS44"/>
    </row>
    <row r="45" spans="1:71" s="2" customFormat="1">
      <c r="A45" s="118">
        <f t="shared" si="8"/>
        <v>39</v>
      </c>
      <c r="B45" s="52" t="s">
        <v>15</v>
      </c>
      <c r="C45" s="92">
        <f>'2013 Budget'!C45</f>
        <v>207358</v>
      </c>
      <c r="D45" s="94">
        <f t="shared" ref="D45:D53" si="10">+C45/$C$84</f>
        <v>4.4797307296375634E-2</v>
      </c>
      <c r="E45" s="95"/>
      <c r="F45" s="138">
        <v>0</v>
      </c>
      <c r="G45" s="138">
        <f>SUM('Detail Summary'!F97:F98)+SUM('Detail Summary'!F104:F108)+SUM('Detail Summary'!F148:F149)</f>
        <v>0</v>
      </c>
      <c r="H45" s="138">
        <v>0</v>
      </c>
      <c r="I45" s="138">
        <v>5060</v>
      </c>
      <c r="J45" s="138">
        <v>0</v>
      </c>
      <c r="K45" s="138">
        <v>1540</v>
      </c>
      <c r="L45" s="138">
        <v>1500</v>
      </c>
      <c r="M45" s="138">
        <v>199258</v>
      </c>
      <c r="N45" s="138"/>
      <c r="O45" s="138">
        <f t="shared" ref="O45:O53" si="11">SUM(F45:M45)</f>
        <v>207358</v>
      </c>
      <c r="P45" s="127"/>
      <c r="Q45" s="213">
        <f t="shared" si="3"/>
        <v>0</v>
      </c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/>
      <c r="BH45"/>
      <c r="BI45"/>
      <c r="BJ45"/>
      <c r="BK45"/>
      <c r="BL45"/>
      <c r="BM45"/>
      <c r="BN45"/>
      <c r="BO45"/>
      <c r="BP45"/>
      <c r="BQ45"/>
      <c r="BR45"/>
      <c r="BS45"/>
    </row>
    <row r="46" spans="1:71" s="2" customFormat="1">
      <c r="A46" s="118">
        <f t="shared" si="8"/>
        <v>40</v>
      </c>
      <c r="B46" s="52" t="s">
        <v>19</v>
      </c>
      <c r="C46" s="92">
        <f>'2013 Budget'!C46</f>
        <v>123900</v>
      </c>
      <c r="D46" s="94">
        <f t="shared" si="10"/>
        <v>2.6767167767922824E-2</v>
      </c>
      <c r="E46" s="95"/>
      <c r="F46" s="138">
        <v>6600</v>
      </c>
      <c r="G46" s="138">
        <f>SUM('Detail Summary'!F136:F140)</f>
        <v>0</v>
      </c>
      <c r="H46" s="138">
        <v>0</v>
      </c>
      <c r="I46" s="138">
        <v>0</v>
      </c>
      <c r="J46" s="138">
        <v>0</v>
      </c>
      <c r="K46" s="138">
        <v>1511</v>
      </c>
      <c r="L46" s="138">
        <v>863</v>
      </c>
      <c r="M46" s="138">
        <v>114926</v>
      </c>
      <c r="N46" s="138"/>
      <c r="O46" s="138">
        <f t="shared" si="11"/>
        <v>123900</v>
      </c>
      <c r="P46" s="127"/>
      <c r="Q46" s="213">
        <f t="shared" si="3"/>
        <v>0</v>
      </c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  <c r="AD46" s="115"/>
      <c r="AE46" s="115"/>
      <c r="AF46" s="115"/>
      <c r="AG46" s="115"/>
      <c r="AH46" s="115"/>
      <c r="AI46" s="115"/>
      <c r="AJ46" s="115"/>
      <c r="AK46" s="115"/>
      <c r="AL46" s="115"/>
      <c r="AM46" s="115"/>
      <c r="AN46" s="115"/>
      <c r="AO46" s="115"/>
      <c r="AP46" s="115"/>
      <c r="AQ46" s="115"/>
      <c r="AR46" s="115"/>
      <c r="AS46" s="115"/>
      <c r="AT46" s="115"/>
      <c r="AU46" s="115"/>
      <c r="AV46" s="115"/>
      <c r="AW46" s="115"/>
      <c r="AX46" s="115"/>
      <c r="AY46" s="115"/>
      <c r="AZ46" s="115"/>
      <c r="BA46" s="115"/>
      <c r="BB46" s="115"/>
      <c r="BC46" s="115"/>
      <c r="BD46" s="115"/>
      <c r="BE46" s="115"/>
      <c r="BF46" s="115"/>
      <c r="BG46"/>
      <c r="BH46"/>
      <c r="BI46"/>
      <c r="BJ46"/>
      <c r="BK46"/>
      <c r="BL46"/>
      <c r="BM46"/>
      <c r="BN46"/>
      <c r="BO46"/>
      <c r="BP46"/>
      <c r="BQ46"/>
      <c r="BR46"/>
      <c r="BS46"/>
    </row>
    <row r="47" spans="1:71" s="2" customFormat="1">
      <c r="A47" s="118">
        <f t="shared" si="8"/>
        <v>41</v>
      </c>
      <c r="B47" s="52" t="s">
        <v>20</v>
      </c>
      <c r="C47" s="92">
        <f>'2013 Budget'!C47</f>
        <v>28200</v>
      </c>
      <c r="D47" s="94">
        <f t="shared" si="10"/>
        <v>6.0922851578323134E-3</v>
      </c>
      <c r="E47" s="95"/>
      <c r="F47" s="138">
        <v>0</v>
      </c>
      <c r="G47" s="138">
        <f>SUM('Detail Summary'!F103)</f>
        <v>0</v>
      </c>
      <c r="H47" s="138">
        <v>0</v>
      </c>
      <c r="I47" s="138">
        <v>0</v>
      </c>
      <c r="J47" s="138">
        <v>0</v>
      </c>
      <c r="K47" s="138">
        <v>0</v>
      </c>
      <c r="L47" s="138">
        <v>0</v>
      </c>
      <c r="M47" s="138">
        <v>28200</v>
      </c>
      <c r="N47" s="138"/>
      <c r="O47" s="138">
        <f t="shared" si="11"/>
        <v>28200</v>
      </c>
      <c r="P47" s="127"/>
      <c r="Q47" s="213">
        <f t="shared" si="3"/>
        <v>0</v>
      </c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  <c r="AD47" s="115"/>
      <c r="AE47" s="115"/>
      <c r="AF47" s="115"/>
      <c r="AG47" s="115"/>
      <c r="AH47" s="115"/>
      <c r="AI47" s="115"/>
      <c r="AJ47" s="115"/>
      <c r="AK47" s="115"/>
      <c r="AL47" s="115"/>
      <c r="AM47" s="115"/>
      <c r="AN47" s="115"/>
      <c r="AO47" s="115"/>
      <c r="AP47" s="115"/>
      <c r="AQ47" s="115"/>
      <c r="AR47" s="115"/>
      <c r="AS47" s="115"/>
      <c r="AT47" s="115"/>
      <c r="AU47" s="115"/>
      <c r="AV47" s="115"/>
      <c r="AW47" s="115"/>
      <c r="AX47" s="115"/>
      <c r="AY47" s="115"/>
      <c r="AZ47" s="115"/>
      <c r="BA47" s="115"/>
      <c r="BB47" s="115"/>
      <c r="BC47" s="115"/>
      <c r="BD47" s="115"/>
      <c r="BE47" s="115"/>
      <c r="BF47" s="115"/>
      <c r="BG47"/>
      <c r="BH47"/>
      <c r="BI47"/>
      <c r="BJ47"/>
      <c r="BK47"/>
      <c r="BL47"/>
      <c r="BM47"/>
      <c r="BN47"/>
      <c r="BO47"/>
      <c r="BP47"/>
      <c r="BQ47"/>
      <c r="BR47"/>
      <c r="BS47"/>
    </row>
    <row r="48" spans="1:71" s="2" customFormat="1" ht="13.5" customHeight="1">
      <c r="A48" s="118">
        <f t="shared" si="8"/>
        <v>42</v>
      </c>
      <c r="B48" s="52" t="s">
        <v>13</v>
      </c>
      <c r="C48" s="92">
        <f>'2013 Budget'!C48</f>
        <v>65840</v>
      </c>
      <c r="D48" s="94">
        <f t="shared" si="10"/>
        <v>1.4223973574173031E-2</v>
      </c>
      <c r="E48" s="95"/>
      <c r="F48" s="138">
        <v>65840</v>
      </c>
      <c r="G48" s="138">
        <f>SUM('Detail Summary'!F91)</f>
        <v>0</v>
      </c>
      <c r="H48" s="138">
        <v>0</v>
      </c>
      <c r="I48" s="138">
        <v>0</v>
      </c>
      <c r="J48" s="138">
        <v>0</v>
      </c>
      <c r="K48" s="138">
        <v>0</v>
      </c>
      <c r="L48" s="138">
        <v>0</v>
      </c>
      <c r="M48" s="138">
        <v>0</v>
      </c>
      <c r="N48" s="138"/>
      <c r="O48" s="138">
        <f t="shared" si="11"/>
        <v>65840</v>
      </c>
      <c r="P48" s="127"/>
      <c r="Q48" s="213">
        <f t="shared" si="3"/>
        <v>0</v>
      </c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5"/>
      <c r="AH48" s="115"/>
      <c r="AI48" s="115"/>
      <c r="AJ48" s="115"/>
      <c r="AK48" s="115"/>
      <c r="AL48" s="115"/>
      <c r="AM48" s="115"/>
      <c r="AN48" s="115"/>
      <c r="AO48" s="115"/>
      <c r="AP48" s="115"/>
      <c r="AQ48" s="115"/>
      <c r="AR48" s="115"/>
      <c r="AS48" s="115"/>
      <c r="AT48" s="115"/>
      <c r="AU48" s="115"/>
      <c r="AV48" s="115"/>
      <c r="AW48" s="115"/>
      <c r="AX48" s="115"/>
      <c r="AY48" s="115"/>
      <c r="AZ48" s="115"/>
      <c r="BA48" s="115"/>
      <c r="BB48" s="115"/>
      <c r="BC48" s="115"/>
      <c r="BD48" s="115"/>
      <c r="BE48" s="115"/>
      <c r="BF48" s="115"/>
      <c r="BG48"/>
      <c r="BH48"/>
      <c r="BI48"/>
      <c r="BJ48"/>
      <c r="BK48"/>
      <c r="BL48"/>
      <c r="BM48"/>
      <c r="BN48"/>
      <c r="BO48"/>
      <c r="BP48"/>
      <c r="BQ48"/>
      <c r="BR48"/>
      <c r="BS48"/>
    </row>
    <row r="49" spans="1:71" s="2" customFormat="1">
      <c r="A49" s="118">
        <f t="shared" si="8"/>
        <v>43</v>
      </c>
      <c r="B49" s="52" t="s">
        <v>41</v>
      </c>
      <c r="C49" s="92">
        <f>'2013 Budget'!C49</f>
        <v>36614</v>
      </c>
      <c r="D49" s="94">
        <f t="shared" si="10"/>
        <v>7.9100329350663932E-3</v>
      </c>
      <c r="E49" s="95"/>
      <c r="F49" s="138">
        <v>27270</v>
      </c>
      <c r="G49" s="138">
        <f>SUM('Detail Summary'!F112)</f>
        <v>0</v>
      </c>
      <c r="H49" s="138">
        <v>0</v>
      </c>
      <c r="I49" s="138">
        <v>1400</v>
      </c>
      <c r="J49" s="138">
        <v>1500</v>
      </c>
      <c r="K49" s="138">
        <v>0</v>
      </c>
      <c r="L49" s="138">
        <v>0</v>
      </c>
      <c r="M49" s="138">
        <v>6444</v>
      </c>
      <c r="N49" s="138"/>
      <c r="O49" s="138">
        <f t="shared" si="11"/>
        <v>36614</v>
      </c>
      <c r="P49" s="127"/>
      <c r="Q49" s="213">
        <f t="shared" si="3"/>
        <v>0</v>
      </c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  <c r="AD49" s="115"/>
      <c r="AE49" s="115"/>
      <c r="AF49" s="115"/>
      <c r="AG49" s="115"/>
      <c r="AH49" s="115"/>
      <c r="AI49" s="115"/>
      <c r="AJ49" s="115"/>
      <c r="AK49" s="115"/>
      <c r="AL49" s="115"/>
      <c r="AM49" s="115"/>
      <c r="AN49" s="115"/>
      <c r="AO49" s="115"/>
      <c r="AP49" s="115"/>
      <c r="AQ49" s="115"/>
      <c r="AR49" s="115"/>
      <c r="AS49" s="115"/>
      <c r="AT49" s="115"/>
      <c r="AU49" s="115"/>
      <c r="AV49" s="115"/>
      <c r="AW49" s="115"/>
      <c r="AX49" s="115"/>
      <c r="AY49" s="115"/>
      <c r="AZ49" s="115"/>
      <c r="BA49" s="115"/>
      <c r="BB49" s="115"/>
      <c r="BC49" s="115"/>
      <c r="BD49" s="115"/>
      <c r="BE49" s="115"/>
      <c r="BF49" s="115"/>
      <c r="BG49"/>
      <c r="BH49"/>
      <c r="BI49"/>
      <c r="BJ49"/>
      <c r="BK49"/>
      <c r="BL49"/>
      <c r="BM49"/>
      <c r="BN49"/>
      <c r="BO49"/>
      <c r="BP49"/>
      <c r="BQ49"/>
      <c r="BR49"/>
      <c r="BS49"/>
    </row>
    <row r="50" spans="1:71" s="2" customFormat="1">
      <c r="A50" s="118">
        <f t="shared" si="8"/>
        <v>44</v>
      </c>
      <c r="B50" s="52" t="s">
        <v>24</v>
      </c>
      <c r="C50" s="92">
        <f>'2013 Budget'!C50</f>
        <v>28600</v>
      </c>
      <c r="D50" s="94">
        <f t="shared" si="10"/>
        <v>6.1787005501419915E-3</v>
      </c>
      <c r="E50" s="95"/>
      <c r="F50" s="138">
        <v>21500</v>
      </c>
      <c r="G50" s="138">
        <f>SUM('Detail Summary'!F113+'Detail Summary'!F114+'Detail Summary'!F121)</f>
        <v>0</v>
      </c>
      <c r="H50" s="138">
        <v>0</v>
      </c>
      <c r="I50" s="138">
        <v>0</v>
      </c>
      <c r="J50" s="138">
        <v>300</v>
      </c>
      <c r="K50" s="138">
        <v>0</v>
      </c>
      <c r="L50" s="138">
        <v>0</v>
      </c>
      <c r="M50" s="138">
        <v>6800</v>
      </c>
      <c r="N50" s="138"/>
      <c r="O50" s="138">
        <f t="shared" si="11"/>
        <v>28600</v>
      </c>
      <c r="P50" s="127"/>
      <c r="Q50" s="213">
        <f t="shared" si="3"/>
        <v>0</v>
      </c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  <c r="AD50" s="115"/>
      <c r="AE50" s="115"/>
      <c r="AF50" s="115"/>
      <c r="AG50" s="115"/>
      <c r="AH50" s="115"/>
      <c r="AI50" s="115"/>
      <c r="AJ50" s="115"/>
      <c r="AK50" s="115"/>
      <c r="AL50" s="115"/>
      <c r="AM50" s="115"/>
      <c r="AN50" s="115"/>
      <c r="AO50" s="115"/>
      <c r="AP50" s="115"/>
      <c r="AQ50" s="115"/>
      <c r="AR50" s="115"/>
      <c r="AS50" s="115"/>
      <c r="AT50" s="115"/>
      <c r="AU50" s="115"/>
      <c r="AV50" s="115"/>
      <c r="AW50" s="115"/>
      <c r="AX50" s="115"/>
      <c r="AY50" s="115"/>
      <c r="AZ50" s="115"/>
      <c r="BA50" s="115"/>
      <c r="BB50" s="115"/>
      <c r="BC50" s="115"/>
      <c r="BD50" s="115"/>
      <c r="BE50" s="115"/>
      <c r="BF50" s="115"/>
      <c r="BG50"/>
      <c r="BH50"/>
      <c r="BI50"/>
      <c r="BJ50"/>
      <c r="BK50"/>
      <c r="BL50"/>
      <c r="BM50"/>
      <c r="BN50"/>
      <c r="BO50"/>
      <c r="BP50"/>
      <c r="BQ50"/>
      <c r="BR50"/>
      <c r="BS50"/>
    </row>
    <row r="51" spans="1:71" s="2" customFormat="1">
      <c r="A51" s="118">
        <f t="shared" si="8"/>
        <v>45</v>
      </c>
      <c r="B51" s="52" t="s">
        <v>16</v>
      </c>
      <c r="C51" s="92">
        <f>'2013 Budget'!C51</f>
        <v>168000</v>
      </c>
      <c r="D51" s="94">
        <f t="shared" si="10"/>
        <v>3.6294464770064844E-2</v>
      </c>
      <c r="E51" s="95"/>
      <c r="F51" s="138">
        <v>168000</v>
      </c>
      <c r="G51" s="138">
        <f>SUM('Detail Summary'!F73+'Detail Summary'!F93)</f>
        <v>0</v>
      </c>
      <c r="H51" s="138">
        <v>0</v>
      </c>
      <c r="I51" s="138">
        <v>0</v>
      </c>
      <c r="J51" s="138">
        <v>0</v>
      </c>
      <c r="K51" s="138">
        <v>0</v>
      </c>
      <c r="L51" s="138">
        <v>0</v>
      </c>
      <c r="M51" s="138">
        <v>0</v>
      </c>
      <c r="N51" s="138"/>
      <c r="O51" s="138">
        <f t="shared" si="11"/>
        <v>168000</v>
      </c>
      <c r="P51" s="127"/>
      <c r="Q51" s="213">
        <f t="shared" si="3"/>
        <v>0</v>
      </c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15"/>
      <c r="AE51" s="115"/>
      <c r="AF51" s="115"/>
      <c r="AG51" s="115"/>
      <c r="AH51" s="115"/>
      <c r="AI51" s="115"/>
      <c r="AJ51" s="115"/>
      <c r="AK51" s="115"/>
      <c r="AL51" s="115"/>
      <c r="AM51" s="115"/>
      <c r="AN51" s="115"/>
      <c r="AO51" s="115"/>
      <c r="AP51" s="115"/>
      <c r="AQ51" s="115"/>
      <c r="AR51" s="115"/>
      <c r="AS51" s="115"/>
      <c r="AT51" s="115"/>
      <c r="AU51" s="115"/>
      <c r="AV51" s="115"/>
      <c r="AW51" s="115"/>
      <c r="AX51" s="115"/>
      <c r="AY51" s="115"/>
      <c r="AZ51" s="115"/>
      <c r="BA51" s="115"/>
      <c r="BB51" s="115"/>
      <c r="BC51" s="115"/>
      <c r="BD51" s="115"/>
      <c r="BE51" s="115"/>
      <c r="BF51" s="115"/>
      <c r="BG51"/>
      <c r="BH51"/>
      <c r="BI51"/>
      <c r="BJ51"/>
      <c r="BK51"/>
      <c r="BL51"/>
      <c r="BM51"/>
      <c r="BN51"/>
      <c r="BO51"/>
      <c r="BP51"/>
      <c r="BQ51"/>
      <c r="BR51"/>
      <c r="BS51"/>
    </row>
    <row r="52" spans="1:71" s="2" customFormat="1">
      <c r="A52" s="118">
        <f t="shared" si="8"/>
        <v>46</v>
      </c>
      <c r="B52" s="52" t="s">
        <v>40</v>
      </c>
      <c r="C52" s="92">
        <f>'2013 Budget'!C52</f>
        <v>10250</v>
      </c>
      <c r="D52" s="94">
        <f>+C52/$C$84</f>
        <v>2.214394427935504E-3</v>
      </c>
      <c r="E52" s="95"/>
      <c r="F52" s="138">
        <v>5000</v>
      </c>
      <c r="G52" s="138">
        <f>SUM('Detail Summary'!F110+'Detail Summary'!F111)</f>
        <v>0</v>
      </c>
      <c r="H52" s="138">
        <v>0</v>
      </c>
      <c r="I52" s="138">
        <v>0</v>
      </c>
      <c r="J52" s="138">
        <v>250</v>
      </c>
      <c r="K52" s="138">
        <v>1200</v>
      </c>
      <c r="L52" s="138">
        <v>2800</v>
      </c>
      <c r="M52" s="138">
        <v>1000</v>
      </c>
      <c r="N52" s="138"/>
      <c r="O52" s="138">
        <f t="shared" si="11"/>
        <v>10250</v>
      </c>
      <c r="P52" s="127"/>
      <c r="Q52" s="213">
        <f t="shared" si="3"/>
        <v>0</v>
      </c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115"/>
      <c r="AE52" s="115"/>
      <c r="AF52" s="115"/>
      <c r="AG52" s="115"/>
      <c r="AH52" s="115"/>
      <c r="AI52" s="115"/>
      <c r="AJ52" s="115"/>
      <c r="AK52" s="115"/>
      <c r="AL52" s="115"/>
      <c r="AM52" s="115"/>
      <c r="AN52" s="115"/>
      <c r="AO52" s="115"/>
      <c r="AP52" s="115"/>
      <c r="AQ52" s="115"/>
      <c r="AR52" s="115"/>
      <c r="AS52" s="115"/>
      <c r="AT52" s="115"/>
      <c r="AU52" s="115"/>
      <c r="AV52" s="115"/>
      <c r="AW52" s="115"/>
      <c r="AX52" s="115"/>
      <c r="AY52" s="115"/>
      <c r="AZ52" s="115"/>
      <c r="BA52" s="115"/>
      <c r="BB52" s="115"/>
      <c r="BC52" s="115"/>
      <c r="BD52" s="115"/>
      <c r="BE52" s="115"/>
      <c r="BF52" s="115"/>
      <c r="BG52"/>
      <c r="BH52"/>
      <c r="BI52"/>
      <c r="BJ52"/>
      <c r="BK52"/>
      <c r="BL52"/>
      <c r="BM52"/>
      <c r="BN52"/>
      <c r="BO52"/>
      <c r="BP52"/>
      <c r="BQ52"/>
      <c r="BR52"/>
      <c r="BS52"/>
    </row>
    <row r="53" spans="1:71" s="2" customFormat="1" ht="13.5" thickBot="1">
      <c r="A53" s="118">
        <f t="shared" si="8"/>
        <v>47</v>
      </c>
      <c r="B53" s="52" t="s">
        <v>43</v>
      </c>
      <c r="C53" s="92">
        <f>'2013 Budget'!C53</f>
        <v>0</v>
      </c>
      <c r="D53" s="97">
        <f t="shared" si="10"/>
        <v>0</v>
      </c>
      <c r="E53" s="95"/>
      <c r="F53" s="140">
        <v>0</v>
      </c>
      <c r="G53" s="140">
        <f>SUM('Detail Summary'!F115)</f>
        <v>0</v>
      </c>
      <c r="H53" s="140">
        <v>0</v>
      </c>
      <c r="I53" s="140">
        <v>0</v>
      </c>
      <c r="J53" s="140">
        <v>0</v>
      </c>
      <c r="K53" s="140">
        <v>0</v>
      </c>
      <c r="L53" s="140">
        <v>0</v>
      </c>
      <c r="M53" s="140">
        <v>0</v>
      </c>
      <c r="N53" s="140"/>
      <c r="O53" s="140">
        <f t="shared" si="11"/>
        <v>0</v>
      </c>
      <c r="P53" s="127"/>
      <c r="Q53" s="213">
        <f t="shared" si="3"/>
        <v>0</v>
      </c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5"/>
      <c r="AR53" s="115"/>
      <c r="AS53" s="115"/>
      <c r="AT53" s="115"/>
      <c r="AU53" s="115"/>
      <c r="AV53" s="115"/>
      <c r="AW53" s="115"/>
      <c r="AX53" s="115"/>
      <c r="AY53" s="115"/>
      <c r="AZ53" s="115"/>
      <c r="BA53" s="115"/>
      <c r="BB53" s="115"/>
      <c r="BC53" s="115"/>
      <c r="BD53" s="115"/>
      <c r="BE53" s="115"/>
      <c r="BF53" s="115"/>
      <c r="BG53"/>
      <c r="BH53"/>
      <c r="BI53"/>
      <c r="BJ53"/>
      <c r="BK53"/>
      <c r="BL53"/>
      <c r="BM53"/>
      <c r="BN53"/>
      <c r="BO53"/>
      <c r="BP53"/>
      <c r="BQ53"/>
      <c r="BR53"/>
      <c r="BS53"/>
    </row>
    <row r="54" spans="1:71" s="2" customFormat="1" ht="13.5" thickBot="1">
      <c r="A54" s="118">
        <f t="shared" si="8"/>
        <v>48</v>
      </c>
      <c r="B54" s="57" t="s">
        <v>211</v>
      </c>
      <c r="C54" s="43">
        <f>SUM(C45:C53)</f>
        <v>668762</v>
      </c>
      <c r="D54" s="98">
        <f>SUM(D45:D53)</f>
        <v>0.14447832647951256</v>
      </c>
      <c r="E54" s="95"/>
      <c r="F54" s="130">
        <f t="shared" ref="F54:O54" si="12">SUM(F45:F53)</f>
        <v>294210</v>
      </c>
      <c r="G54" s="130">
        <f t="shared" si="12"/>
        <v>0</v>
      </c>
      <c r="H54" s="130">
        <f t="shared" si="12"/>
        <v>0</v>
      </c>
      <c r="I54" s="130">
        <f t="shared" si="12"/>
        <v>6460</v>
      </c>
      <c r="J54" s="130">
        <f t="shared" si="12"/>
        <v>2050</v>
      </c>
      <c r="K54" s="130">
        <f t="shared" si="12"/>
        <v>4251</v>
      </c>
      <c r="L54" s="130">
        <f t="shared" si="12"/>
        <v>5163</v>
      </c>
      <c r="M54" s="130">
        <f t="shared" si="12"/>
        <v>356628</v>
      </c>
      <c r="N54" s="130">
        <f t="shared" si="12"/>
        <v>0</v>
      </c>
      <c r="O54" s="130">
        <f t="shared" si="12"/>
        <v>668762</v>
      </c>
      <c r="P54" s="127"/>
      <c r="Q54" s="213">
        <f t="shared" si="3"/>
        <v>0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15"/>
      <c r="AE54" s="115"/>
      <c r="AF54" s="115"/>
      <c r="AG54" s="115"/>
      <c r="AH54" s="115"/>
      <c r="AI54" s="115"/>
      <c r="AJ54" s="115"/>
      <c r="AK54" s="115"/>
      <c r="AL54" s="115"/>
      <c r="AM54" s="115"/>
      <c r="AN54" s="115"/>
      <c r="AO54" s="115"/>
      <c r="AP54" s="115"/>
      <c r="AQ54" s="115"/>
      <c r="AR54" s="115"/>
      <c r="AS54" s="115"/>
      <c r="AT54" s="115"/>
      <c r="AU54" s="115"/>
      <c r="AV54" s="115"/>
      <c r="AW54" s="115"/>
      <c r="AX54" s="115"/>
      <c r="AY54" s="115"/>
      <c r="AZ54" s="115"/>
      <c r="BA54" s="115"/>
      <c r="BB54" s="115"/>
      <c r="BC54" s="115"/>
      <c r="BD54" s="115"/>
      <c r="BE54" s="115"/>
      <c r="BF54" s="115"/>
      <c r="BG54"/>
      <c r="BH54"/>
      <c r="BI54"/>
      <c r="BJ54"/>
      <c r="BK54"/>
      <c r="BL54"/>
      <c r="BM54"/>
      <c r="BN54"/>
      <c r="BO54"/>
      <c r="BP54"/>
      <c r="BQ54"/>
      <c r="BR54"/>
      <c r="BS54"/>
    </row>
    <row r="55" spans="1:71" s="2" customFormat="1">
      <c r="A55" s="118">
        <f t="shared" si="8"/>
        <v>49</v>
      </c>
      <c r="B55" s="57"/>
      <c r="C55" s="99"/>
      <c r="D55" s="100"/>
      <c r="E55" s="95"/>
      <c r="F55" s="141"/>
      <c r="G55" s="141"/>
      <c r="H55" s="141"/>
      <c r="I55" s="141"/>
      <c r="J55" s="141"/>
      <c r="K55" s="141"/>
      <c r="L55" s="141"/>
      <c r="M55" s="141"/>
      <c r="N55" s="141"/>
      <c r="O55" s="141"/>
      <c r="P55" s="127"/>
      <c r="Q55" s="213">
        <f t="shared" si="3"/>
        <v>0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115"/>
      <c r="AE55" s="115"/>
      <c r="AF55" s="115"/>
      <c r="AG55" s="115"/>
      <c r="AH55" s="115"/>
      <c r="AI55" s="115"/>
      <c r="AJ55" s="115"/>
      <c r="AK55" s="115"/>
      <c r="AL55" s="115"/>
      <c r="AM55" s="115"/>
      <c r="AN55" s="115"/>
      <c r="AO55" s="115"/>
      <c r="AP55" s="115"/>
      <c r="AQ55" s="115"/>
      <c r="AR55" s="115"/>
      <c r="AS55" s="115"/>
      <c r="AT55" s="115"/>
      <c r="AU55" s="115"/>
      <c r="AV55" s="115"/>
      <c r="AW55" s="115"/>
      <c r="AX55" s="115"/>
      <c r="AY55" s="115"/>
      <c r="AZ55" s="115"/>
      <c r="BA55" s="115"/>
      <c r="BB55" s="115"/>
      <c r="BC55" s="115"/>
      <c r="BD55" s="115"/>
      <c r="BE55" s="115"/>
      <c r="BF55" s="115"/>
      <c r="BG55"/>
      <c r="BH55"/>
      <c r="BI55"/>
      <c r="BJ55"/>
      <c r="BK55"/>
      <c r="BL55"/>
      <c r="BM55"/>
      <c r="BN55"/>
      <c r="BO55"/>
      <c r="BP55"/>
      <c r="BQ55"/>
      <c r="BR55"/>
      <c r="BS55"/>
    </row>
    <row r="56" spans="1:71" s="2" customFormat="1">
      <c r="A56" s="118">
        <f t="shared" si="8"/>
        <v>50</v>
      </c>
      <c r="B56" s="57" t="s">
        <v>213</v>
      </c>
      <c r="C56" s="99"/>
      <c r="D56" s="100"/>
      <c r="E56" s="95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27"/>
      <c r="Q56" s="213">
        <f t="shared" si="3"/>
        <v>0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15"/>
      <c r="AE56" s="115"/>
      <c r="AF56" s="115"/>
      <c r="AG56" s="115"/>
      <c r="AH56" s="115"/>
      <c r="AI56" s="115"/>
      <c r="AJ56" s="115"/>
      <c r="AK56" s="115"/>
      <c r="AL56" s="115"/>
      <c r="AM56" s="115"/>
      <c r="AN56" s="115"/>
      <c r="AO56" s="115"/>
      <c r="AP56" s="115"/>
      <c r="AQ56" s="115"/>
      <c r="AR56" s="115"/>
      <c r="AS56" s="115"/>
      <c r="AT56" s="115"/>
      <c r="AU56" s="115"/>
      <c r="AV56" s="115"/>
      <c r="AW56" s="115"/>
      <c r="AX56" s="115"/>
      <c r="AY56" s="115"/>
      <c r="AZ56" s="115"/>
      <c r="BA56" s="115"/>
      <c r="BB56" s="115"/>
      <c r="BC56" s="115"/>
      <c r="BD56" s="115"/>
      <c r="BE56" s="115"/>
      <c r="BF56" s="115"/>
      <c r="BG56"/>
      <c r="BH56"/>
      <c r="BI56"/>
      <c r="BJ56"/>
      <c r="BK56"/>
      <c r="BL56"/>
      <c r="BM56"/>
      <c r="BN56"/>
      <c r="BO56"/>
      <c r="BP56"/>
      <c r="BQ56"/>
      <c r="BR56"/>
      <c r="BS56"/>
    </row>
    <row r="57" spans="1:71" s="2" customFormat="1">
      <c r="A57" s="118">
        <f t="shared" si="8"/>
        <v>51</v>
      </c>
      <c r="B57" s="52" t="s">
        <v>12</v>
      </c>
      <c r="C57" s="92">
        <f>'2013 Budget'!C57</f>
        <v>105300</v>
      </c>
      <c r="D57" s="94">
        <f>+C57/$C$84</f>
        <v>2.2748852025522785E-2</v>
      </c>
      <c r="E57" s="95"/>
      <c r="F57" s="138">
        <v>66055</v>
      </c>
      <c r="G57" s="138">
        <f>SUM('Detail Summary'!F67+'Detail Summary'!F68+'Detail Summary'!F69+'Detail Summary'!F71+'Detail Summary'!F72+'Detail Summary'!F75)</f>
        <v>0</v>
      </c>
      <c r="H57" s="138">
        <v>0</v>
      </c>
      <c r="I57" s="138">
        <v>26500</v>
      </c>
      <c r="J57" s="138">
        <v>500</v>
      </c>
      <c r="K57" s="138">
        <v>7245</v>
      </c>
      <c r="L57" s="138">
        <v>5000</v>
      </c>
      <c r="M57" s="138">
        <v>0</v>
      </c>
      <c r="N57" s="138"/>
      <c r="O57" s="138">
        <f>SUM(F57:M57)</f>
        <v>105300</v>
      </c>
      <c r="P57" s="127"/>
      <c r="Q57" s="213">
        <f t="shared" si="3"/>
        <v>0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15"/>
      <c r="AE57" s="115"/>
      <c r="AF57" s="115"/>
      <c r="AG57" s="115"/>
      <c r="AH57" s="115"/>
      <c r="AI57" s="115"/>
      <c r="AJ57" s="115"/>
      <c r="AK57" s="115"/>
      <c r="AL57" s="115"/>
      <c r="AM57" s="115"/>
      <c r="AN57" s="115"/>
      <c r="AO57" s="115"/>
      <c r="AP57" s="115"/>
      <c r="AQ57" s="115"/>
      <c r="AR57" s="115"/>
      <c r="AS57" s="115"/>
      <c r="AT57" s="115"/>
      <c r="AU57" s="115"/>
      <c r="AV57" s="115"/>
      <c r="AW57" s="115"/>
      <c r="AX57" s="115"/>
      <c r="AY57" s="115"/>
      <c r="AZ57" s="115"/>
      <c r="BA57" s="115"/>
      <c r="BB57" s="115"/>
      <c r="BC57" s="115"/>
      <c r="BD57" s="115"/>
      <c r="BE57" s="115"/>
      <c r="BF57" s="115"/>
      <c r="BG57"/>
      <c r="BH57"/>
      <c r="BI57"/>
      <c r="BJ57"/>
      <c r="BK57"/>
      <c r="BL57"/>
      <c r="BM57"/>
      <c r="BN57"/>
      <c r="BO57"/>
      <c r="BP57"/>
      <c r="BQ57"/>
      <c r="BR57"/>
      <c r="BS57"/>
    </row>
    <row r="58" spans="1:71" s="2" customFormat="1">
      <c r="A58" s="118">
        <f t="shared" si="8"/>
        <v>52</v>
      </c>
      <c r="B58" s="52" t="s">
        <v>38</v>
      </c>
      <c r="C58" s="92">
        <f>'2013 Budget'!C58</f>
        <v>33500</v>
      </c>
      <c r="D58" s="94">
        <f>+C58/$C$84</f>
        <v>7.2372891059355494E-3</v>
      </c>
      <c r="E58" s="95"/>
      <c r="F58" s="138">
        <v>11294</v>
      </c>
      <c r="G58" s="138">
        <f>SUM('Detail Summary'!F85+'Detail Summary'!F90)</f>
        <v>0</v>
      </c>
      <c r="H58" s="138">
        <v>0</v>
      </c>
      <c r="I58" s="138">
        <v>0</v>
      </c>
      <c r="J58" s="138">
        <v>9900</v>
      </c>
      <c r="K58" s="138">
        <v>10906</v>
      </c>
      <c r="L58" s="138">
        <v>1400</v>
      </c>
      <c r="M58" s="138">
        <v>0</v>
      </c>
      <c r="N58" s="138"/>
      <c r="O58" s="138">
        <f t="shared" ref="O58:O72" si="13">SUM(F58:M58)</f>
        <v>33500</v>
      </c>
      <c r="P58" s="127"/>
      <c r="Q58" s="213">
        <f t="shared" si="3"/>
        <v>0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5"/>
      <c r="AH58" s="115"/>
      <c r="AI58" s="115"/>
      <c r="AJ58" s="115"/>
      <c r="AK58" s="115"/>
      <c r="AL58" s="115"/>
      <c r="AM58" s="115"/>
      <c r="AN58" s="115"/>
      <c r="AO58" s="115"/>
      <c r="AP58" s="115"/>
      <c r="AQ58" s="115"/>
      <c r="AR58" s="115"/>
      <c r="AS58" s="115"/>
      <c r="AT58" s="115"/>
      <c r="AU58" s="115"/>
      <c r="AV58" s="115"/>
      <c r="AW58" s="115"/>
      <c r="AX58" s="115"/>
      <c r="AY58" s="115"/>
      <c r="AZ58" s="115"/>
      <c r="BA58" s="115"/>
      <c r="BB58" s="115"/>
      <c r="BC58" s="115"/>
      <c r="BD58" s="115"/>
      <c r="BE58" s="115"/>
      <c r="BF58" s="115"/>
      <c r="BG58"/>
      <c r="BH58"/>
      <c r="BI58"/>
      <c r="BJ58"/>
      <c r="BK58"/>
      <c r="BL58"/>
      <c r="BM58"/>
      <c r="BN58"/>
      <c r="BO58"/>
      <c r="BP58"/>
      <c r="BQ58"/>
      <c r="BR58"/>
      <c r="BS58"/>
    </row>
    <row r="59" spans="1:71" s="2" customFormat="1">
      <c r="A59" s="118">
        <f t="shared" si="8"/>
        <v>53</v>
      </c>
      <c r="B59" s="53" t="s">
        <v>204</v>
      </c>
      <c r="C59" s="92">
        <f>'2013 Budget'!C59</f>
        <v>30400</v>
      </c>
      <c r="D59" s="94">
        <f>+C59/$C$84</f>
        <v>6.5675698155355433E-3</v>
      </c>
      <c r="E59" s="95"/>
      <c r="F59" s="138">
        <v>19300</v>
      </c>
      <c r="G59" s="138">
        <f>SUM('Detail Summary'!F144+'Detail Summary'!F145)</f>
        <v>0</v>
      </c>
      <c r="H59" s="138">
        <v>0</v>
      </c>
      <c r="I59" s="138">
        <v>0</v>
      </c>
      <c r="J59" s="138">
        <v>11100</v>
      </c>
      <c r="K59" s="138">
        <v>0</v>
      </c>
      <c r="L59" s="138">
        <v>0</v>
      </c>
      <c r="M59" s="138">
        <v>0</v>
      </c>
      <c r="N59" s="138"/>
      <c r="O59" s="138">
        <f t="shared" si="13"/>
        <v>30400</v>
      </c>
      <c r="P59" s="127"/>
      <c r="Q59" s="213">
        <f t="shared" si="3"/>
        <v>0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15"/>
      <c r="AE59" s="115"/>
      <c r="AF59" s="115"/>
      <c r="AG59" s="115"/>
      <c r="AH59" s="115"/>
      <c r="AI59" s="115"/>
      <c r="AJ59" s="115"/>
      <c r="AK59" s="115"/>
      <c r="AL59" s="115"/>
      <c r="AM59" s="115"/>
      <c r="AN59" s="115"/>
      <c r="AO59" s="115"/>
      <c r="AP59" s="115"/>
      <c r="AQ59" s="115"/>
      <c r="AR59" s="115"/>
      <c r="AS59" s="115"/>
      <c r="AT59" s="115"/>
      <c r="AU59" s="115"/>
      <c r="AV59" s="115"/>
      <c r="AW59" s="115"/>
      <c r="AX59" s="115"/>
      <c r="AY59" s="115"/>
      <c r="AZ59" s="115"/>
      <c r="BA59" s="115"/>
      <c r="BB59" s="115"/>
      <c r="BC59" s="115"/>
      <c r="BD59" s="115"/>
      <c r="BE59" s="115"/>
      <c r="BF59" s="115"/>
      <c r="BG59"/>
      <c r="BH59"/>
      <c r="BI59"/>
      <c r="BJ59"/>
      <c r="BK59"/>
      <c r="BL59"/>
      <c r="BM59"/>
      <c r="BN59"/>
      <c r="BO59"/>
      <c r="BP59"/>
      <c r="BQ59"/>
      <c r="BR59"/>
      <c r="BS59"/>
    </row>
    <row r="60" spans="1:71" s="2" customFormat="1" ht="13.5" thickBot="1">
      <c r="A60" s="118">
        <f t="shared" si="8"/>
        <v>54</v>
      </c>
      <c r="B60" s="53" t="s">
        <v>37</v>
      </c>
      <c r="C60" s="92">
        <f>'2013 Budget'!C60</f>
        <v>0</v>
      </c>
      <c r="D60" s="97">
        <f>+C60/$C$84</f>
        <v>0</v>
      </c>
      <c r="E60" s="95"/>
      <c r="F60" s="140">
        <v>0</v>
      </c>
      <c r="G60" s="140">
        <f>SUM('Detail Summary'!F146)</f>
        <v>0</v>
      </c>
      <c r="H60" s="140">
        <v>0</v>
      </c>
      <c r="I60" s="140">
        <v>0</v>
      </c>
      <c r="J60" s="140">
        <v>0</v>
      </c>
      <c r="K60" s="140">
        <v>0</v>
      </c>
      <c r="L60" s="140">
        <v>0</v>
      </c>
      <c r="M60" s="140">
        <v>0</v>
      </c>
      <c r="N60" s="140"/>
      <c r="O60" s="140">
        <f t="shared" si="13"/>
        <v>0</v>
      </c>
      <c r="P60" s="127"/>
      <c r="Q60" s="213">
        <f t="shared" si="3"/>
        <v>0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5"/>
      <c r="AJ60" s="115"/>
      <c r="AK60" s="115"/>
      <c r="AL60" s="115"/>
      <c r="AM60" s="115"/>
      <c r="AN60" s="115"/>
      <c r="AO60" s="115"/>
      <c r="AP60" s="115"/>
      <c r="AQ60" s="115"/>
      <c r="AR60" s="115"/>
      <c r="AS60" s="115"/>
      <c r="AT60" s="115"/>
      <c r="AU60" s="115"/>
      <c r="AV60" s="115"/>
      <c r="AW60" s="115"/>
      <c r="AX60" s="115"/>
      <c r="AY60" s="115"/>
      <c r="AZ60" s="115"/>
      <c r="BA60" s="115"/>
      <c r="BB60" s="115"/>
      <c r="BC60" s="115"/>
      <c r="BD60" s="115"/>
      <c r="BE60" s="115"/>
      <c r="BF60" s="115"/>
      <c r="BG60"/>
      <c r="BH60"/>
      <c r="BI60"/>
      <c r="BJ60"/>
      <c r="BK60"/>
      <c r="BL60"/>
      <c r="BM60"/>
      <c r="BN60"/>
      <c r="BO60"/>
      <c r="BP60"/>
      <c r="BQ60"/>
      <c r="BR60"/>
      <c r="BS60"/>
    </row>
    <row r="61" spans="1:71" s="2" customFormat="1" ht="13.5" thickBot="1">
      <c r="A61" s="118">
        <f t="shared" si="8"/>
        <v>55</v>
      </c>
      <c r="B61" s="80" t="s">
        <v>214</v>
      </c>
      <c r="C61" s="43">
        <f>SUM(C57:C60)</f>
        <v>169200</v>
      </c>
      <c r="D61" s="98">
        <f>SUM(D57:D60)</f>
        <v>3.6553710946993875E-2</v>
      </c>
      <c r="E61" s="95"/>
      <c r="F61" s="130">
        <f t="shared" ref="F61:O61" si="14">SUM(F57:F60)</f>
        <v>96649</v>
      </c>
      <c r="G61" s="130">
        <f t="shared" si="14"/>
        <v>0</v>
      </c>
      <c r="H61" s="130">
        <f t="shared" si="14"/>
        <v>0</v>
      </c>
      <c r="I61" s="130">
        <f t="shared" si="14"/>
        <v>26500</v>
      </c>
      <c r="J61" s="130">
        <f t="shared" si="14"/>
        <v>21500</v>
      </c>
      <c r="K61" s="130">
        <f t="shared" si="14"/>
        <v>18151</v>
      </c>
      <c r="L61" s="130">
        <f t="shared" si="14"/>
        <v>6400</v>
      </c>
      <c r="M61" s="130">
        <f>SUM(M57:M60)</f>
        <v>0</v>
      </c>
      <c r="N61" s="130">
        <f t="shared" si="14"/>
        <v>0</v>
      </c>
      <c r="O61" s="130">
        <f t="shared" si="14"/>
        <v>169200</v>
      </c>
      <c r="P61" s="127"/>
      <c r="Q61" s="213">
        <f t="shared" si="3"/>
        <v>0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15"/>
      <c r="AE61" s="115"/>
      <c r="AF61" s="115"/>
      <c r="AG61" s="115"/>
      <c r="AH61" s="115"/>
      <c r="AI61" s="115"/>
      <c r="AJ61" s="115"/>
      <c r="AK61" s="115"/>
      <c r="AL61" s="115"/>
      <c r="AM61" s="115"/>
      <c r="AN61" s="115"/>
      <c r="AO61" s="115"/>
      <c r="AP61" s="115"/>
      <c r="AQ61" s="115"/>
      <c r="AR61" s="115"/>
      <c r="AS61" s="115"/>
      <c r="AT61" s="115"/>
      <c r="AU61" s="115"/>
      <c r="AV61" s="115"/>
      <c r="AW61" s="115"/>
      <c r="AX61" s="115"/>
      <c r="AY61" s="115"/>
      <c r="AZ61" s="115"/>
      <c r="BA61" s="115"/>
      <c r="BB61" s="115"/>
      <c r="BC61" s="115"/>
      <c r="BD61" s="115"/>
      <c r="BE61" s="115"/>
      <c r="BF61" s="115"/>
      <c r="BG61"/>
      <c r="BH61"/>
      <c r="BI61"/>
      <c r="BJ61"/>
      <c r="BK61"/>
      <c r="BL61"/>
      <c r="BM61"/>
      <c r="BN61"/>
      <c r="BO61"/>
      <c r="BP61"/>
      <c r="BQ61"/>
      <c r="BR61"/>
      <c r="BS61"/>
    </row>
    <row r="62" spans="1:71" s="2" customFormat="1">
      <c r="A62" s="118">
        <f t="shared" si="8"/>
        <v>56</v>
      </c>
      <c r="B62" s="53"/>
      <c r="C62" s="99"/>
      <c r="D62" s="100"/>
      <c r="E62" s="95"/>
      <c r="F62" s="141"/>
      <c r="G62" s="141"/>
      <c r="H62" s="141"/>
      <c r="I62" s="141"/>
      <c r="J62" s="141"/>
      <c r="K62" s="141"/>
      <c r="L62" s="141"/>
      <c r="M62" s="141"/>
      <c r="N62" s="141"/>
      <c r="O62" s="141"/>
      <c r="P62" s="127"/>
      <c r="Q62" s="213">
        <f t="shared" si="3"/>
        <v>0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15"/>
      <c r="AE62" s="115"/>
      <c r="AF62" s="115"/>
      <c r="AG62" s="115"/>
      <c r="AH62" s="115"/>
      <c r="AI62" s="115"/>
      <c r="AJ62" s="115"/>
      <c r="AK62" s="115"/>
      <c r="AL62" s="115"/>
      <c r="AM62" s="115"/>
      <c r="AN62" s="115"/>
      <c r="AO62" s="115"/>
      <c r="AP62" s="115"/>
      <c r="AQ62" s="115"/>
      <c r="AR62" s="115"/>
      <c r="AS62" s="115"/>
      <c r="AT62" s="115"/>
      <c r="AU62" s="115"/>
      <c r="AV62" s="115"/>
      <c r="AW62" s="115"/>
      <c r="AX62" s="115"/>
      <c r="AY62" s="115"/>
      <c r="AZ62" s="115"/>
      <c r="BA62" s="115"/>
      <c r="BB62" s="115"/>
      <c r="BC62" s="115"/>
      <c r="BD62" s="115"/>
      <c r="BE62" s="115"/>
      <c r="BF62" s="115"/>
      <c r="BG62"/>
      <c r="BH62"/>
      <c r="BI62"/>
      <c r="BJ62"/>
      <c r="BK62"/>
      <c r="BL62"/>
      <c r="BM62"/>
      <c r="BN62"/>
      <c r="BO62"/>
      <c r="BP62"/>
      <c r="BQ62"/>
      <c r="BR62"/>
      <c r="BS62"/>
    </row>
    <row r="63" spans="1:71" s="2" customFormat="1">
      <c r="A63" s="118">
        <f t="shared" si="8"/>
        <v>57</v>
      </c>
      <c r="B63" s="80" t="s">
        <v>215</v>
      </c>
      <c r="C63" s="99"/>
      <c r="D63" s="100"/>
      <c r="E63" s="95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27"/>
      <c r="Q63" s="213">
        <f t="shared" si="3"/>
        <v>0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15"/>
      <c r="AE63" s="115"/>
      <c r="AF63" s="115"/>
      <c r="AG63" s="115"/>
      <c r="AH63" s="115"/>
      <c r="AI63" s="115"/>
      <c r="AJ63" s="115"/>
      <c r="AK63" s="115"/>
      <c r="AL63" s="115"/>
      <c r="AM63" s="115"/>
      <c r="AN63" s="115"/>
      <c r="AO63" s="115"/>
      <c r="AP63" s="115"/>
      <c r="AQ63" s="115"/>
      <c r="AR63" s="115"/>
      <c r="AS63" s="115"/>
      <c r="AT63" s="115"/>
      <c r="AU63" s="115"/>
      <c r="AV63" s="115"/>
      <c r="AW63" s="115"/>
      <c r="AX63" s="115"/>
      <c r="AY63" s="115"/>
      <c r="AZ63" s="115"/>
      <c r="BA63" s="115"/>
      <c r="BB63" s="115"/>
      <c r="BC63" s="115"/>
      <c r="BD63" s="115"/>
      <c r="BE63" s="115"/>
      <c r="BF63" s="115"/>
      <c r="BG63"/>
      <c r="BH63"/>
      <c r="BI63"/>
      <c r="BJ63"/>
      <c r="BK63"/>
      <c r="BL63"/>
      <c r="BM63"/>
      <c r="BN63"/>
      <c r="BO63"/>
      <c r="BP63"/>
      <c r="BQ63"/>
      <c r="BR63"/>
      <c r="BS63"/>
    </row>
    <row r="64" spans="1:71" s="2" customFormat="1">
      <c r="A64" s="118">
        <f t="shared" si="8"/>
        <v>58</v>
      </c>
      <c r="B64" s="52" t="s">
        <v>206</v>
      </c>
      <c r="C64" s="92">
        <f>'2013 Budget'!C64</f>
        <v>270432</v>
      </c>
      <c r="D64" s="94">
        <f t="shared" ref="D64:D72" si="15">+C64/$C$84</f>
        <v>5.8423718432727235E-2</v>
      </c>
      <c r="E64" s="95"/>
      <c r="F64" s="138">
        <v>29240</v>
      </c>
      <c r="G64" s="138">
        <f>SUM('Detail Summary'!F76+'Detail Summary'!F86+'Detail Summary'!F89)</f>
        <v>0</v>
      </c>
      <c r="H64" s="138">
        <v>7200</v>
      </c>
      <c r="I64" s="138">
        <v>30850</v>
      </c>
      <c r="J64" s="138">
        <v>10400</v>
      </c>
      <c r="K64" s="138">
        <v>98172</v>
      </c>
      <c r="L64" s="138">
        <v>94570</v>
      </c>
      <c r="M64" s="138">
        <v>0</v>
      </c>
      <c r="N64" s="138"/>
      <c r="O64" s="138">
        <f t="shared" si="13"/>
        <v>270432</v>
      </c>
      <c r="P64" s="127"/>
      <c r="Q64" s="213">
        <f t="shared" si="3"/>
        <v>0</v>
      </c>
      <c r="R64" s="115">
        <v>201217</v>
      </c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15"/>
      <c r="AE64" s="115"/>
      <c r="AF64" s="115"/>
      <c r="AG64" s="115"/>
      <c r="AH64" s="115"/>
      <c r="AI64" s="115"/>
      <c r="AJ64" s="115"/>
      <c r="AK64" s="115"/>
      <c r="AL64" s="115"/>
      <c r="AM64" s="115"/>
      <c r="AN64" s="115"/>
      <c r="AO64" s="115"/>
      <c r="AP64" s="115"/>
      <c r="AQ64" s="115"/>
      <c r="AR64" s="115"/>
      <c r="AS64" s="115"/>
      <c r="AT64" s="115"/>
      <c r="AU64" s="115"/>
      <c r="AV64" s="115"/>
      <c r="AW64" s="115"/>
      <c r="AX64" s="115"/>
      <c r="AY64" s="115"/>
      <c r="AZ64" s="115"/>
      <c r="BA64" s="115"/>
      <c r="BB64" s="115"/>
      <c r="BC64" s="115"/>
      <c r="BD64" s="115"/>
      <c r="BE64" s="115"/>
      <c r="BF64" s="115"/>
      <c r="BG64"/>
      <c r="BH64"/>
      <c r="BI64"/>
      <c r="BJ64"/>
      <c r="BK64"/>
      <c r="BL64"/>
      <c r="BM64"/>
      <c r="BN64"/>
      <c r="BO64"/>
      <c r="BP64"/>
      <c r="BQ64"/>
      <c r="BR64"/>
      <c r="BS64"/>
    </row>
    <row r="65" spans="1:71" s="2" customFormat="1">
      <c r="A65" s="118">
        <f t="shared" si="8"/>
        <v>59</v>
      </c>
      <c r="B65" s="52" t="s">
        <v>42</v>
      </c>
      <c r="C65" s="92">
        <f>'2013 Budget'!C65</f>
        <v>85000</v>
      </c>
      <c r="D65" s="94">
        <f t="shared" si="15"/>
        <v>1.8363270865806618E-2</v>
      </c>
      <c r="E65" s="95"/>
      <c r="F65" s="138">
        <v>6640</v>
      </c>
      <c r="G65" s="138">
        <f>SUM('Detail Summary'!F84)</f>
        <v>0</v>
      </c>
      <c r="H65" s="138">
        <v>721</v>
      </c>
      <c r="I65" s="138">
        <v>14750</v>
      </c>
      <c r="J65" s="138">
        <v>3800</v>
      </c>
      <c r="K65" s="138">
        <v>22004</v>
      </c>
      <c r="L65" s="138">
        <v>37085</v>
      </c>
      <c r="M65" s="138">
        <v>0</v>
      </c>
      <c r="N65" s="138"/>
      <c r="O65" s="138">
        <f t="shared" si="13"/>
        <v>85000</v>
      </c>
      <c r="P65" s="127"/>
      <c r="Q65" s="213">
        <f t="shared" si="3"/>
        <v>0</v>
      </c>
      <c r="R65" s="115">
        <v>91103</v>
      </c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15"/>
      <c r="AE65" s="115"/>
      <c r="AF65" s="115"/>
      <c r="AG65" s="115"/>
      <c r="AH65" s="115"/>
      <c r="AI65" s="115"/>
      <c r="AJ65" s="115"/>
      <c r="AK65" s="115"/>
      <c r="AL65" s="115"/>
      <c r="AM65" s="115"/>
      <c r="AN65" s="115"/>
      <c r="AO65" s="115"/>
      <c r="AP65" s="115"/>
      <c r="AQ65" s="115"/>
      <c r="AR65" s="115"/>
      <c r="AS65" s="115"/>
      <c r="AT65" s="115"/>
      <c r="AU65" s="115"/>
      <c r="AV65" s="115"/>
      <c r="AW65" s="115"/>
      <c r="AX65" s="115"/>
      <c r="AY65" s="115"/>
      <c r="AZ65" s="115"/>
      <c r="BA65" s="115"/>
      <c r="BB65" s="115"/>
      <c r="BC65" s="115"/>
      <c r="BD65" s="115"/>
      <c r="BE65" s="115"/>
      <c r="BF65" s="115"/>
      <c r="BG65"/>
      <c r="BH65"/>
      <c r="BI65"/>
      <c r="BJ65"/>
      <c r="BK65"/>
      <c r="BL65"/>
      <c r="BM65"/>
      <c r="BN65"/>
      <c r="BO65"/>
      <c r="BP65"/>
      <c r="BQ65"/>
      <c r="BR65"/>
      <c r="BS65"/>
    </row>
    <row r="66" spans="1:71" s="2" customFormat="1">
      <c r="A66" s="118">
        <f t="shared" si="8"/>
        <v>60</v>
      </c>
      <c r="B66" s="52" t="s">
        <v>14</v>
      </c>
      <c r="C66" s="92">
        <f>'2013 Budget'!C66</f>
        <v>19000</v>
      </c>
      <c r="D66" s="94">
        <f t="shared" si="15"/>
        <v>4.1047311347097142E-3</v>
      </c>
      <c r="E66" s="95"/>
      <c r="F66" s="138">
        <v>12162</v>
      </c>
      <c r="G66" s="138">
        <f>SUM('Detail Summary'!F94:F96)</f>
        <v>0</v>
      </c>
      <c r="H66" s="138">
        <v>1060</v>
      </c>
      <c r="I66" s="138">
        <v>0</v>
      </c>
      <c r="J66" s="138">
        <v>0</v>
      </c>
      <c r="K66" s="138">
        <v>4778</v>
      </c>
      <c r="L66" s="138">
        <v>1000</v>
      </c>
      <c r="M66" s="138">
        <v>0</v>
      </c>
      <c r="N66" s="138"/>
      <c r="O66" s="138">
        <f t="shared" si="13"/>
        <v>19000</v>
      </c>
      <c r="P66" s="127"/>
      <c r="Q66" s="213">
        <f t="shared" si="3"/>
        <v>0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115"/>
      <c r="AE66" s="115"/>
      <c r="AF66" s="115"/>
      <c r="AG66" s="115"/>
      <c r="AH66" s="115"/>
      <c r="AI66" s="115"/>
      <c r="AJ66" s="115"/>
      <c r="AK66" s="115"/>
      <c r="AL66" s="115"/>
      <c r="AM66" s="115"/>
      <c r="AN66" s="115"/>
      <c r="AO66" s="115"/>
      <c r="AP66" s="115"/>
      <c r="AQ66" s="115"/>
      <c r="AR66" s="115"/>
      <c r="AS66" s="115"/>
      <c r="AT66" s="115"/>
      <c r="AU66" s="115"/>
      <c r="AV66" s="115"/>
      <c r="AW66" s="115"/>
      <c r="AX66" s="115"/>
      <c r="AY66" s="115"/>
      <c r="AZ66" s="115"/>
      <c r="BA66" s="115"/>
      <c r="BB66" s="115"/>
      <c r="BC66" s="115"/>
      <c r="BD66" s="115"/>
      <c r="BE66" s="115"/>
      <c r="BF66" s="115"/>
      <c r="BG66"/>
      <c r="BH66"/>
      <c r="BI66"/>
      <c r="BJ66"/>
      <c r="BK66"/>
      <c r="BL66"/>
      <c r="BM66"/>
      <c r="BN66"/>
      <c r="BO66"/>
      <c r="BP66"/>
      <c r="BQ66"/>
      <c r="BR66"/>
      <c r="BS66"/>
    </row>
    <row r="67" spans="1:71" s="2" customFormat="1">
      <c r="A67" s="118">
        <f t="shared" si="8"/>
        <v>61</v>
      </c>
      <c r="B67" s="52" t="s">
        <v>212</v>
      </c>
      <c r="C67" s="92">
        <f>'2013 Budget'!C67</f>
        <v>20000</v>
      </c>
      <c r="D67" s="94">
        <f t="shared" si="15"/>
        <v>4.3207696154839098E-3</v>
      </c>
      <c r="E67" s="95"/>
      <c r="F67" s="138">
        <v>4400</v>
      </c>
      <c r="G67" s="138">
        <f>SUM('Detail Summary'!F116:F117)</f>
        <v>0</v>
      </c>
      <c r="H67" s="138">
        <v>3000</v>
      </c>
      <c r="I67" s="138">
        <v>3100</v>
      </c>
      <c r="J67" s="138">
        <v>1500</v>
      </c>
      <c r="K67" s="138">
        <v>5000</v>
      </c>
      <c r="L67" s="138">
        <v>3000</v>
      </c>
      <c r="M67" s="138">
        <v>0</v>
      </c>
      <c r="N67" s="138"/>
      <c r="O67" s="138">
        <f t="shared" si="13"/>
        <v>20000</v>
      </c>
      <c r="P67" s="127"/>
      <c r="Q67" s="213">
        <f t="shared" si="3"/>
        <v>0</v>
      </c>
      <c r="R67" s="115">
        <f>R64-R65</f>
        <v>110114</v>
      </c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15"/>
      <c r="AE67" s="115"/>
      <c r="AF67" s="115"/>
      <c r="AG67" s="115"/>
      <c r="AH67" s="115"/>
      <c r="AI67" s="115"/>
      <c r="AJ67" s="115"/>
      <c r="AK67" s="115"/>
      <c r="AL67" s="115"/>
      <c r="AM67" s="115"/>
      <c r="AN67" s="115"/>
      <c r="AO67" s="115"/>
      <c r="AP67" s="115"/>
      <c r="AQ67" s="115"/>
      <c r="AR67" s="115"/>
      <c r="AS67" s="115"/>
      <c r="AT67" s="115"/>
      <c r="AU67" s="115"/>
      <c r="AV67" s="115"/>
      <c r="AW67" s="115"/>
      <c r="AX67" s="115"/>
      <c r="AY67" s="115"/>
      <c r="AZ67" s="115"/>
      <c r="BA67" s="115"/>
      <c r="BB67" s="115"/>
      <c r="BC67" s="115"/>
      <c r="BD67" s="115"/>
      <c r="BE67" s="115"/>
      <c r="BF67" s="115"/>
      <c r="BG67"/>
      <c r="BH67"/>
      <c r="BI67"/>
      <c r="BJ67"/>
      <c r="BK67"/>
      <c r="BL67"/>
      <c r="BM67"/>
      <c r="BN67"/>
      <c r="BO67"/>
      <c r="BP67"/>
      <c r="BQ67"/>
      <c r="BR67"/>
      <c r="BS67"/>
    </row>
    <row r="68" spans="1:71" s="2" customFormat="1">
      <c r="A68" s="118">
        <f t="shared" si="8"/>
        <v>62</v>
      </c>
      <c r="B68" s="52" t="s">
        <v>17</v>
      </c>
      <c r="C68" s="92">
        <f>'2013 Budget'!C68</f>
        <v>25500</v>
      </c>
      <c r="D68" s="94">
        <f t="shared" si="15"/>
        <v>5.5089812597419853E-3</v>
      </c>
      <c r="E68" s="95"/>
      <c r="F68" s="138">
        <v>7025</v>
      </c>
      <c r="G68" s="138">
        <f>SUM('Detail Summary'!F120+'Detail Summary'!F122)</f>
        <v>0</v>
      </c>
      <c r="H68" s="138">
        <v>0</v>
      </c>
      <c r="I68" s="138">
        <v>0</v>
      </c>
      <c r="J68" s="138">
        <v>0</v>
      </c>
      <c r="K68" s="138">
        <v>4360</v>
      </c>
      <c r="L68" s="138">
        <v>14115</v>
      </c>
      <c r="M68" s="138">
        <v>0</v>
      </c>
      <c r="N68" s="138"/>
      <c r="O68" s="138">
        <f t="shared" si="13"/>
        <v>25500</v>
      </c>
      <c r="P68" s="127"/>
      <c r="Q68" s="213">
        <f t="shared" si="3"/>
        <v>0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15"/>
      <c r="AE68" s="115"/>
      <c r="AF68" s="115"/>
      <c r="AG68" s="115"/>
      <c r="AH68" s="115"/>
      <c r="AI68" s="115"/>
      <c r="AJ68" s="115"/>
      <c r="AK68" s="115"/>
      <c r="AL68" s="115"/>
      <c r="AM68" s="115"/>
      <c r="AN68" s="115"/>
      <c r="AO68" s="115"/>
      <c r="AP68" s="115"/>
      <c r="AQ68" s="115"/>
      <c r="AR68" s="115"/>
      <c r="AS68" s="115"/>
      <c r="AT68" s="115"/>
      <c r="AU68" s="115"/>
      <c r="AV68" s="115"/>
      <c r="AW68" s="115"/>
      <c r="AX68" s="115"/>
      <c r="AY68" s="115"/>
      <c r="AZ68" s="115"/>
      <c r="BA68" s="115"/>
      <c r="BB68" s="115"/>
      <c r="BC68" s="115"/>
      <c r="BD68" s="115"/>
      <c r="BE68" s="115"/>
      <c r="BF68" s="115"/>
      <c r="BG68"/>
      <c r="BH68"/>
      <c r="BI68"/>
      <c r="BJ68"/>
      <c r="BK68"/>
      <c r="BL68"/>
      <c r="BM68"/>
      <c r="BN68"/>
      <c r="BO68"/>
      <c r="BP68"/>
      <c r="BQ68"/>
      <c r="BR68"/>
      <c r="BS68"/>
    </row>
    <row r="69" spans="1:71" s="2" customFormat="1">
      <c r="A69" s="118">
        <f t="shared" si="8"/>
        <v>63</v>
      </c>
      <c r="B69" s="52" t="s">
        <v>39</v>
      </c>
      <c r="C69" s="92">
        <f>'2013 Budget'!C69</f>
        <v>47500</v>
      </c>
      <c r="D69" s="94">
        <f t="shared" si="15"/>
        <v>1.0261827836774286E-2</v>
      </c>
      <c r="E69" s="95"/>
      <c r="F69" s="138">
        <v>7200</v>
      </c>
      <c r="G69" s="138">
        <f>SUM('Detail Summary'!F118)</f>
        <v>0</v>
      </c>
      <c r="H69" s="138">
        <v>300</v>
      </c>
      <c r="I69" s="138">
        <v>800</v>
      </c>
      <c r="J69" s="138">
        <v>3300</v>
      </c>
      <c r="K69" s="138">
        <v>34600</v>
      </c>
      <c r="L69" s="138">
        <v>1300</v>
      </c>
      <c r="M69" s="138">
        <v>0</v>
      </c>
      <c r="N69" s="138"/>
      <c r="O69" s="138">
        <f t="shared" si="13"/>
        <v>47500</v>
      </c>
      <c r="P69" s="127"/>
      <c r="Q69" s="213">
        <f t="shared" si="3"/>
        <v>0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15"/>
      <c r="AE69" s="115"/>
      <c r="AF69" s="115"/>
      <c r="AG69" s="115"/>
      <c r="AH69" s="115"/>
      <c r="AI69" s="115"/>
      <c r="AJ69" s="115"/>
      <c r="AK69" s="115"/>
      <c r="AL69" s="115"/>
      <c r="AM69" s="115"/>
      <c r="AN69" s="115"/>
      <c r="AO69" s="115"/>
      <c r="AP69" s="115"/>
      <c r="AQ69" s="115"/>
      <c r="AR69" s="115"/>
      <c r="AS69" s="115"/>
      <c r="AT69" s="115"/>
      <c r="AU69" s="115"/>
      <c r="AV69" s="115"/>
      <c r="AW69" s="115"/>
      <c r="AX69" s="115"/>
      <c r="AY69" s="115"/>
      <c r="AZ69" s="115"/>
      <c r="BA69" s="115"/>
      <c r="BB69" s="115"/>
      <c r="BC69" s="115"/>
      <c r="BD69" s="115"/>
      <c r="BE69" s="115"/>
      <c r="BF69" s="115"/>
      <c r="BG69"/>
      <c r="BH69"/>
      <c r="BI69"/>
      <c r="BJ69"/>
      <c r="BK69"/>
      <c r="BL69"/>
      <c r="BM69"/>
      <c r="BN69"/>
      <c r="BO69"/>
      <c r="BP69"/>
      <c r="BQ69"/>
      <c r="BR69"/>
      <c r="BS69"/>
    </row>
    <row r="70" spans="1:71" s="2" customFormat="1">
      <c r="A70" s="118">
        <f t="shared" si="8"/>
        <v>64</v>
      </c>
      <c r="B70" s="52" t="s">
        <v>26</v>
      </c>
      <c r="C70" s="92">
        <v>91570</v>
      </c>
      <c r="D70" s="94">
        <f t="shared" si="15"/>
        <v>1.9782643684493083E-2</v>
      </c>
      <c r="E70" s="95"/>
      <c r="F70" s="138">
        <v>39838</v>
      </c>
      <c r="G70" s="138">
        <f>SUM('Detail Summary'!F123+'Detail Summary'!F127+'Detail Summary'!F128)</f>
        <v>0</v>
      </c>
      <c r="H70" s="138">
        <v>250</v>
      </c>
      <c r="I70" s="138">
        <v>29436</v>
      </c>
      <c r="J70" s="138">
        <v>1800</v>
      </c>
      <c r="K70" s="138">
        <v>17747</v>
      </c>
      <c r="L70" s="138">
        <v>2500</v>
      </c>
      <c r="M70" s="138">
        <v>0</v>
      </c>
      <c r="N70" s="138"/>
      <c r="O70" s="138">
        <v>91570</v>
      </c>
      <c r="P70" s="127"/>
      <c r="Q70" s="213">
        <f t="shared" si="3"/>
        <v>0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15"/>
      <c r="AE70" s="115"/>
      <c r="AF70" s="115"/>
      <c r="AG70" s="115"/>
      <c r="AH70" s="115"/>
      <c r="AI70" s="115"/>
      <c r="AJ70" s="115"/>
      <c r="AK70" s="115"/>
      <c r="AL70" s="115"/>
      <c r="AM70" s="115"/>
      <c r="AN70" s="115"/>
      <c r="AO70" s="115"/>
      <c r="AP70" s="115"/>
      <c r="AQ70" s="115"/>
      <c r="AR70" s="115"/>
      <c r="AS70" s="115"/>
      <c r="AT70" s="115"/>
      <c r="AU70" s="115"/>
      <c r="AV70" s="115"/>
      <c r="AW70" s="115"/>
      <c r="AX70" s="115"/>
      <c r="AY70" s="115"/>
      <c r="AZ70" s="115"/>
      <c r="BA70" s="115"/>
      <c r="BB70" s="115"/>
      <c r="BC70" s="115"/>
      <c r="BD70" s="115"/>
      <c r="BE70" s="115"/>
      <c r="BF70" s="115"/>
      <c r="BG70"/>
      <c r="BH70"/>
      <c r="BI70"/>
      <c r="BJ70"/>
      <c r="BK70"/>
      <c r="BL70"/>
      <c r="BM70"/>
      <c r="BN70"/>
      <c r="BO70"/>
      <c r="BP70"/>
      <c r="BQ70"/>
      <c r="BR70"/>
      <c r="BS70"/>
    </row>
    <row r="71" spans="1:71" s="2" customFormat="1">
      <c r="A71" s="118">
        <f t="shared" si="8"/>
        <v>65</v>
      </c>
      <c r="B71" s="52" t="s">
        <v>18</v>
      </c>
      <c r="C71" s="92">
        <f>'2013 Budget'!C71</f>
        <v>56000</v>
      </c>
      <c r="D71" s="94">
        <f t="shared" si="15"/>
        <v>1.2098154923354948E-2</v>
      </c>
      <c r="E71" s="95"/>
      <c r="F71" s="138">
        <v>0</v>
      </c>
      <c r="G71" s="138">
        <f>SUM('Detail Summary'!F129)</f>
        <v>0</v>
      </c>
      <c r="H71" s="138">
        <v>0</v>
      </c>
      <c r="I71" s="138">
        <v>0</v>
      </c>
      <c r="J71" s="138">
        <v>0</v>
      </c>
      <c r="K71" s="138">
        <v>51200</v>
      </c>
      <c r="L71" s="138">
        <v>4800</v>
      </c>
      <c r="M71" s="138">
        <v>0</v>
      </c>
      <c r="N71" s="138"/>
      <c r="O71" s="138">
        <f t="shared" si="13"/>
        <v>56000</v>
      </c>
      <c r="P71" s="127"/>
      <c r="Q71" s="213">
        <f t="shared" si="3"/>
        <v>0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15"/>
      <c r="AE71" s="115"/>
      <c r="AF71" s="115"/>
      <c r="AG71" s="115"/>
      <c r="AH71" s="115"/>
      <c r="AI71" s="115"/>
      <c r="AJ71" s="115"/>
      <c r="AK71" s="115"/>
      <c r="AL71" s="115"/>
      <c r="AM71" s="115"/>
      <c r="AN71" s="115"/>
      <c r="AO71" s="115"/>
      <c r="AP71" s="115"/>
      <c r="AQ71" s="115"/>
      <c r="AR71" s="115"/>
      <c r="AS71" s="115"/>
      <c r="AT71" s="115"/>
      <c r="AU71" s="115"/>
      <c r="AV71" s="115"/>
      <c r="AW71" s="115"/>
      <c r="AX71" s="115"/>
      <c r="AY71" s="115"/>
      <c r="AZ71" s="115"/>
      <c r="BA71" s="115"/>
      <c r="BB71" s="115"/>
      <c r="BC71" s="115"/>
      <c r="BD71" s="115"/>
      <c r="BE71" s="115"/>
      <c r="BF71" s="115"/>
      <c r="BG71"/>
      <c r="BH71"/>
      <c r="BI71"/>
      <c r="BJ71"/>
      <c r="BK71"/>
      <c r="BL71"/>
      <c r="BM71"/>
      <c r="BN71"/>
      <c r="BO71"/>
      <c r="BP71"/>
      <c r="BQ71"/>
      <c r="BR71"/>
      <c r="BS71"/>
    </row>
    <row r="72" spans="1:71" s="2" customFormat="1" ht="13.5" thickBot="1">
      <c r="A72" s="118">
        <f t="shared" si="8"/>
        <v>66</v>
      </c>
      <c r="B72" s="52" t="s">
        <v>21</v>
      </c>
      <c r="C72" s="92">
        <f>'2013 Budget'!C72</f>
        <v>0</v>
      </c>
      <c r="D72" s="97">
        <f t="shared" si="15"/>
        <v>0</v>
      </c>
      <c r="E72" s="95"/>
      <c r="F72" s="140">
        <v>0</v>
      </c>
      <c r="G72" s="140">
        <f>SUM('Detail Summary'!F150)+'Detail Summary'!F63</f>
        <v>0</v>
      </c>
      <c r="H72" s="140">
        <v>0</v>
      </c>
      <c r="I72" s="140">
        <v>0</v>
      </c>
      <c r="J72" s="140">
        <v>0</v>
      </c>
      <c r="K72" s="140">
        <v>0</v>
      </c>
      <c r="L72" s="140">
        <v>0</v>
      </c>
      <c r="M72" s="140">
        <v>0</v>
      </c>
      <c r="N72" s="140"/>
      <c r="O72" s="140">
        <f t="shared" si="13"/>
        <v>0</v>
      </c>
      <c r="P72" s="127"/>
      <c r="Q72" s="213">
        <f t="shared" si="3"/>
        <v>0</v>
      </c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15"/>
      <c r="AE72" s="115"/>
      <c r="AF72" s="115"/>
      <c r="AG72" s="115"/>
      <c r="AH72" s="115"/>
      <c r="AI72" s="115"/>
      <c r="AJ72" s="115"/>
      <c r="AK72" s="115"/>
      <c r="AL72" s="115"/>
      <c r="AM72" s="115"/>
      <c r="AN72" s="115"/>
      <c r="AO72" s="115"/>
      <c r="AP72" s="115"/>
      <c r="AQ72" s="115"/>
      <c r="AR72" s="115"/>
      <c r="AS72" s="115"/>
      <c r="AT72" s="115"/>
      <c r="AU72" s="115"/>
      <c r="AV72" s="115"/>
      <c r="AW72" s="115"/>
      <c r="AX72" s="115"/>
      <c r="AY72" s="115"/>
      <c r="AZ72" s="115"/>
      <c r="BA72" s="115"/>
      <c r="BB72" s="115"/>
      <c r="BC72" s="115"/>
      <c r="BD72" s="115"/>
      <c r="BE72" s="115"/>
      <c r="BF72" s="115"/>
      <c r="BG72"/>
      <c r="BH72"/>
      <c r="BI72"/>
      <c r="BJ72"/>
      <c r="BK72"/>
      <c r="BL72"/>
      <c r="BM72"/>
      <c r="BN72"/>
      <c r="BO72"/>
      <c r="BP72"/>
      <c r="BQ72"/>
      <c r="BR72"/>
      <c r="BS72"/>
    </row>
    <row r="73" spans="1:71" ht="13.5" thickBot="1">
      <c r="A73" s="118">
        <f t="shared" si="8"/>
        <v>67</v>
      </c>
      <c r="B73" s="81" t="s">
        <v>216</v>
      </c>
      <c r="C73" s="43">
        <f>SUM(C64:C72)</f>
        <v>615002</v>
      </c>
      <c r="D73" s="98">
        <f>SUM(D64:D72)</f>
        <v>0.1328640977530918</v>
      </c>
      <c r="E73" s="148"/>
      <c r="F73" s="43">
        <f t="shared" ref="F73:O73" si="16">SUM(F64:F72)</f>
        <v>106505</v>
      </c>
      <c r="G73" s="43">
        <f t="shared" si="16"/>
        <v>0</v>
      </c>
      <c r="H73" s="43">
        <f t="shared" si="16"/>
        <v>12531</v>
      </c>
      <c r="I73" s="43">
        <f t="shared" si="16"/>
        <v>78936</v>
      </c>
      <c r="J73" s="43">
        <f t="shared" si="16"/>
        <v>20800</v>
      </c>
      <c r="K73" s="43">
        <f t="shared" si="16"/>
        <v>237861</v>
      </c>
      <c r="L73" s="43">
        <f t="shared" si="16"/>
        <v>158370</v>
      </c>
      <c r="M73" s="43">
        <f t="shared" si="16"/>
        <v>0</v>
      </c>
      <c r="N73" s="43"/>
      <c r="O73" s="43">
        <f t="shared" si="16"/>
        <v>615002</v>
      </c>
      <c r="P73" s="127"/>
      <c r="Q73" s="213">
        <f t="shared" si="3"/>
        <v>0</v>
      </c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115"/>
      <c r="AE73" s="115"/>
      <c r="AF73" s="115"/>
      <c r="AG73" s="115"/>
      <c r="AH73" s="115"/>
      <c r="AI73" s="115"/>
      <c r="AJ73" s="115"/>
      <c r="AK73" s="115"/>
      <c r="AL73" s="115"/>
      <c r="AM73" s="115"/>
      <c r="AN73" s="115"/>
      <c r="AO73" s="115"/>
      <c r="AP73" s="115"/>
      <c r="AQ73" s="115"/>
      <c r="AR73" s="115"/>
      <c r="AS73" s="115"/>
      <c r="AT73" s="115"/>
      <c r="AU73" s="115"/>
      <c r="AV73" s="115"/>
      <c r="AW73" s="115"/>
      <c r="AX73" s="115"/>
      <c r="AY73" s="115"/>
      <c r="AZ73" s="115"/>
      <c r="BA73" s="115"/>
      <c r="BB73" s="115"/>
      <c r="BC73" s="115"/>
      <c r="BD73" s="115"/>
      <c r="BE73" s="115"/>
      <c r="BF73" s="115"/>
    </row>
    <row r="74" spans="1:71" ht="13.5" thickBot="1">
      <c r="A74" s="118">
        <f t="shared" si="8"/>
        <v>68</v>
      </c>
      <c r="B74" s="104"/>
      <c r="C74" s="103"/>
      <c r="D74" s="108"/>
      <c r="E74" s="148"/>
      <c r="F74" s="149"/>
      <c r="G74" s="149"/>
      <c r="H74" s="149"/>
      <c r="I74" s="149"/>
      <c r="J74" s="149"/>
      <c r="K74" s="149"/>
      <c r="L74" s="149"/>
      <c r="M74" s="149"/>
      <c r="N74" s="149"/>
      <c r="O74" s="149"/>
      <c r="P74" s="127"/>
      <c r="Q74" s="213">
        <f t="shared" si="3"/>
        <v>0</v>
      </c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115"/>
      <c r="AE74" s="115"/>
      <c r="AF74" s="115"/>
      <c r="AG74" s="115"/>
      <c r="AH74" s="115"/>
      <c r="AI74" s="115"/>
      <c r="AJ74" s="115"/>
      <c r="AK74" s="115"/>
      <c r="AL74" s="115"/>
      <c r="AM74" s="115"/>
      <c r="AN74" s="115"/>
      <c r="AO74" s="115"/>
      <c r="AP74" s="115"/>
      <c r="AQ74" s="115"/>
      <c r="AR74" s="115"/>
      <c r="AS74" s="115"/>
      <c r="AT74" s="115"/>
      <c r="AU74" s="115"/>
      <c r="AV74" s="115"/>
      <c r="AW74" s="115"/>
      <c r="AX74" s="115"/>
      <c r="AY74" s="115"/>
      <c r="AZ74" s="115"/>
      <c r="BA74" s="115"/>
      <c r="BB74" s="115"/>
      <c r="BC74" s="115"/>
      <c r="BD74" s="115"/>
      <c r="BE74" s="115"/>
      <c r="BF74" s="115"/>
    </row>
    <row r="75" spans="1:71" s="9" customFormat="1" ht="13.5" thickBot="1">
      <c r="A75" s="118">
        <f t="shared" si="8"/>
        <v>69</v>
      </c>
      <c r="B75" s="11" t="s">
        <v>207</v>
      </c>
      <c r="C75" s="43">
        <f>C42+C54+C61+C73</f>
        <v>4364805</v>
      </c>
      <c r="D75" s="44">
        <f>D42+D54+D61+D73</f>
        <v>0.94296584107561243</v>
      </c>
      <c r="E75" s="153"/>
      <c r="F75" s="43">
        <f t="shared" ref="F75:O75" si="17">F42+F54+F61+F73</f>
        <v>3284781</v>
      </c>
      <c r="G75" s="43">
        <f t="shared" si="17"/>
        <v>0</v>
      </c>
      <c r="H75" s="43">
        <f t="shared" si="17"/>
        <v>12531</v>
      </c>
      <c r="I75" s="43">
        <f t="shared" si="17"/>
        <v>111896</v>
      </c>
      <c r="J75" s="43">
        <f t="shared" si="17"/>
        <v>50350</v>
      </c>
      <c r="K75" s="43">
        <f t="shared" si="17"/>
        <v>260263</v>
      </c>
      <c r="L75" s="43">
        <f t="shared" si="17"/>
        <v>288357</v>
      </c>
      <c r="M75" s="43">
        <f t="shared" si="17"/>
        <v>356628</v>
      </c>
      <c r="N75" s="43">
        <f t="shared" si="17"/>
        <v>0</v>
      </c>
      <c r="O75" s="43">
        <f t="shared" si="17"/>
        <v>4364805</v>
      </c>
      <c r="P75" s="132"/>
      <c r="Q75" s="213">
        <f t="shared" si="3"/>
        <v>0</v>
      </c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  <c r="AK75" s="121"/>
      <c r="AL75" s="121"/>
      <c r="AM75" s="121"/>
      <c r="AN75" s="121"/>
      <c r="AO75" s="121"/>
      <c r="AP75" s="121"/>
      <c r="AQ75" s="121"/>
      <c r="AR75" s="121"/>
      <c r="AS75" s="121"/>
      <c r="AT75" s="121"/>
      <c r="AU75" s="121"/>
      <c r="AV75" s="121"/>
      <c r="AW75" s="121"/>
      <c r="AX75" s="121"/>
      <c r="AY75" s="121"/>
      <c r="AZ75" s="121"/>
      <c r="BA75" s="121"/>
      <c r="BB75" s="121"/>
      <c r="BC75" s="121"/>
      <c r="BD75" s="121"/>
      <c r="BE75" s="121"/>
      <c r="BF75" s="121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</row>
    <row r="76" spans="1:71" s="73" customFormat="1">
      <c r="A76" s="118">
        <f t="shared" si="8"/>
        <v>70</v>
      </c>
      <c r="B76" s="23"/>
      <c r="C76" s="70"/>
      <c r="D76" s="71"/>
      <c r="E76" s="160"/>
      <c r="F76" s="145"/>
      <c r="G76" s="145"/>
      <c r="H76" s="145"/>
      <c r="I76" s="145"/>
      <c r="J76" s="145"/>
      <c r="K76" s="145"/>
      <c r="L76" s="145"/>
      <c r="M76" s="145"/>
      <c r="N76" s="145"/>
      <c r="O76" s="145"/>
      <c r="P76" s="133"/>
      <c r="Q76" s="213">
        <f t="shared" si="3"/>
        <v>0</v>
      </c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2"/>
      <c r="AL76" s="122"/>
      <c r="AM76" s="122"/>
      <c r="AN76" s="122"/>
      <c r="AO76" s="122"/>
      <c r="AP76" s="122"/>
      <c r="AQ76" s="122"/>
      <c r="AR76" s="122"/>
      <c r="AS76" s="122"/>
      <c r="AT76" s="122"/>
      <c r="AU76" s="122"/>
      <c r="AV76" s="122"/>
      <c r="AW76" s="122"/>
      <c r="AX76" s="122"/>
      <c r="AY76" s="122"/>
      <c r="AZ76" s="122"/>
      <c r="BA76" s="122"/>
      <c r="BB76" s="122"/>
      <c r="BC76" s="122"/>
      <c r="BD76" s="122"/>
      <c r="BE76" s="122"/>
      <c r="BF76" s="122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74"/>
      <c r="BR76" s="74"/>
      <c r="BS76" s="74"/>
    </row>
    <row r="77" spans="1:71" s="73" customFormat="1">
      <c r="A77" s="118">
        <f t="shared" si="8"/>
        <v>71</v>
      </c>
      <c r="B77" s="23" t="s">
        <v>208</v>
      </c>
      <c r="C77" s="70"/>
      <c r="D77" s="71"/>
      <c r="E77" s="160"/>
      <c r="F77" s="146"/>
      <c r="G77" s="146"/>
      <c r="H77" s="146"/>
      <c r="I77" s="146"/>
      <c r="J77" s="146"/>
      <c r="K77" s="146"/>
      <c r="L77" s="146"/>
      <c r="M77" s="146"/>
      <c r="N77" s="146"/>
      <c r="O77" s="146"/>
      <c r="P77" s="133"/>
      <c r="Q77" s="213">
        <f t="shared" si="3"/>
        <v>0</v>
      </c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2"/>
      <c r="AL77" s="122"/>
      <c r="AM77" s="122"/>
      <c r="AN77" s="122"/>
      <c r="AO77" s="122"/>
      <c r="AP77" s="122"/>
      <c r="AQ77" s="122"/>
      <c r="AR77" s="122"/>
      <c r="AS77" s="122"/>
      <c r="AT77" s="122"/>
      <c r="AU77" s="122"/>
      <c r="AV77" s="122"/>
      <c r="AW77" s="122"/>
      <c r="AX77" s="122"/>
      <c r="AY77" s="122"/>
      <c r="AZ77" s="122"/>
      <c r="BA77" s="122"/>
      <c r="BB77" s="122"/>
      <c r="BC77" s="122"/>
      <c r="BD77" s="122"/>
      <c r="BE77" s="122"/>
      <c r="BF77" s="122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74"/>
      <c r="BR77" s="74"/>
      <c r="BS77" s="74"/>
    </row>
    <row r="78" spans="1:71" s="73" customFormat="1">
      <c r="A78" s="118">
        <f t="shared" si="8"/>
        <v>72</v>
      </c>
      <c r="B78" s="23" t="s">
        <v>209</v>
      </c>
      <c r="C78" s="70">
        <f>C33-C75</f>
        <v>270168.75</v>
      </c>
      <c r="D78" s="71"/>
      <c r="E78" s="160"/>
      <c r="F78" s="64">
        <f t="shared" ref="F78:M78" si="18">F33-F75</f>
        <v>-3277811</v>
      </c>
      <c r="G78" s="64">
        <f t="shared" si="18"/>
        <v>264313</v>
      </c>
      <c r="H78" s="64">
        <f t="shared" si="18"/>
        <v>216869</v>
      </c>
      <c r="I78" s="64">
        <f t="shared" si="18"/>
        <v>-11896</v>
      </c>
      <c r="J78" s="64">
        <f t="shared" si="18"/>
        <v>3556923.75</v>
      </c>
      <c r="K78" s="64">
        <f t="shared" si="18"/>
        <v>-125796</v>
      </c>
      <c r="L78" s="64">
        <f t="shared" si="18"/>
        <v>4193</v>
      </c>
      <c r="M78" s="64">
        <f t="shared" si="18"/>
        <v>-356628</v>
      </c>
      <c r="N78" s="147"/>
      <c r="O78" s="147">
        <f>SUM(F78:M78)</f>
        <v>270167.75</v>
      </c>
      <c r="P78" s="133"/>
      <c r="Q78" s="213">
        <f t="shared" ref="Q78:Q85" si="19">C78-O78</f>
        <v>1</v>
      </c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2"/>
      <c r="AL78" s="122"/>
      <c r="AM78" s="122"/>
      <c r="AN78" s="122"/>
      <c r="AO78" s="122"/>
      <c r="AP78" s="122"/>
      <c r="AQ78" s="122"/>
      <c r="AR78" s="122"/>
      <c r="AS78" s="122"/>
      <c r="AT78" s="122"/>
      <c r="AU78" s="122"/>
      <c r="AV78" s="122"/>
      <c r="AW78" s="122"/>
      <c r="AX78" s="122"/>
      <c r="AY78" s="122"/>
      <c r="AZ78" s="122"/>
      <c r="BA78" s="122"/>
      <c r="BB78" s="122"/>
      <c r="BC78" s="122"/>
      <c r="BD78" s="122"/>
      <c r="BE78" s="122"/>
      <c r="BF78" s="122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74"/>
      <c r="BR78" s="74"/>
      <c r="BS78" s="74"/>
    </row>
    <row r="79" spans="1:71" s="2" customFormat="1" ht="13.5" thickBot="1">
      <c r="A79" s="118">
        <f t="shared" si="8"/>
        <v>73</v>
      </c>
      <c r="B79" s="53" t="s">
        <v>0</v>
      </c>
      <c r="C79" s="96">
        <v>264000</v>
      </c>
      <c r="D79" s="97">
        <f>+C79/$C$84</f>
        <v>5.703415892438761E-2</v>
      </c>
      <c r="E79" s="148"/>
      <c r="F79" s="161">
        <v>264000</v>
      </c>
      <c r="G79" s="161">
        <v>0</v>
      </c>
      <c r="H79" s="161">
        <v>0</v>
      </c>
      <c r="I79" s="161">
        <v>0</v>
      </c>
      <c r="J79" s="161">
        <v>0</v>
      </c>
      <c r="K79" s="161">
        <v>0</v>
      </c>
      <c r="L79" s="161">
        <v>0</v>
      </c>
      <c r="M79" s="96">
        <v>0</v>
      </c>
      <c r="N79" s="155"/>
      <c r="O79" s="157">
        <f>SUM(F79:M79)</f>
        <v>264000</v>
      </c>
      <c r="P79" s="127"/>
      <c r="Q79" s="213">
        <f t="shared" si="19"/>
        <v>0</v>
      </c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15"/>
      <c r="AE79" s="115"/>
      <c r="AF79" s="115"/>
      <c r="AG79" s="115"/>
      <c r="AH79" s="115"/>
      <c r="AI79" s="115"/>
      <c r="AJ79" s="115"/>
      <c r="AK79" s="115"/>
      <c r="AL79" s="115"/>
      <c r="AM79" s="115"/>
      <c r="AN79" s="115"/>
      <c r="AO79" s="115"/>
      <c r="AP79" s="115"/>
      <c r="AQ79" s="115"/>
      <c r="AR79" s="115"/>
      <c r="AS79" s="115"/>
      <c r="AT79" s="115"/>
      <c r="AU79" s="115"/>
      <c r="AV79" s="115"/>
      <c r="AW79" s="115"/>
      <c r="AX79" s="115"/>
      <c r="AY79" s="115"/>
      <c r="AZ79" s="115"/>
      <c r="BA79" s="115"/>
      <c r="BB79" s="115"/>
      <c r="BC79" s="115"/>
      <c r="BD79" s="115"/>
      <c r="BE79" s="115"/>
      <c r="BF79" s="115"/>
      <c r="BG79"/>
      <c r="BH79"/>
      <c r="BI79"/>
      <c r="BJ79"/>
      <c r="BK79"/>
      <c r="BL79"/>
      <c r="BM79"/>
      <c r="BN79"/>
      <c r="BO79"/>
      <c r="BP79"/>
      <c r="BQ79"/>
      <c r="BR79"/>
      <c r="BS79"/>
    </row>
    <row r="80" spans="1:71" s="2" customFormat="1" ht="13.5" thickBot="1">
      <c r="A80" s="118">
        <f t="shared" si="8"/>
        <v>74</v>
      </c>
      <c r="B80" s="11" t="s">
        <v>22</v>
      </c>
      <c r="C80" s="43">
        <f>C78-C79</f>
        <v>6168.75</v>
      </c>
      <c r="D80" s="109"/>
      <c r="E80" s="148"/>
      <c r="F80" s="43">
        <f t="shared" ref="F80:M80" si="20">F78-F79</f>
        <v>-3541811</v>
      </c>
      <c r="G80" s="43">
        <f t="shared" si="20"/>
        <v>264313</v>
      </c>
      <c r="H80" s="43">
        <f t="shared" si="20"/>
        <v>216869</v>
      </c>
      <c r="I80" s="43">
        <f t="shared" si="20"/>
        <v>-11896</v>
      </c>
      <c r="J80" s="43">
        <f t="shared" si="20"/>
        <v>3556923.75</v>
      </c>
      <c r="K80" s="43">
        <f t="shared" si="20"/>
        <v>-125796</v>
      </c>
      <c r="L80" s="43">
        <f t="shared" si="20"/>
        <v>4193</v>
      </c>
      <c r="M80" s="43">
        <f t="shared" si="20"/>
        <v>-356628</v>
      </c>
      <c r="N80" s="155"/>
      <c r="O80" s="43">
        <f>SUM(F80:M80)</f>
        <v>6167.75</v>
      </c>
      <c r="P80" s="127"/>
      <c r="Q80" s="213">
        <f t="shared" si="19"/>
        <v>1</v>
      </c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115"/>
      <c r="AE80" s="115"/>
      <c r="AF80" s="115"/>
      <c r="AG80" s="115"/>
      <c r="AH80" s="115"/>
      <c r="AI80" s="115"/>
      <c r="AJ80" s="115"/>
      <c r="AK80" s="115"/>
      <c r="AL80" s="115"/>
      <c r="AM80" s="115"/>
      <c r="AN80" s="115"/>
      <c r="AO80" s="115"/>
      <c r="AP80" s="115"/>
      <c r="AQ80" s="115"/>
      <c r="AR80" s="115"/>
      <c r="AS80" s="115"/>
      <c r="AT80" s="115"/>
      <c r="AU80" s="115"/>
      <c r="AV80" s="115"/>
      <c r="AW80" s="115"/>
      <c r="AX80" s="115"/>
      <c r="AY80" s="115"/>
      <c r="AZ80" s="115"/>
      <c r="BA80" s="115"/>
      <c r="BB80" s="115"/>
      <c r="BC80" s="115"/>
      <c r="BD80" s="115"/>
      <c r="BE80" s="115"/>
      <c r="BF80" s="115"/>
      <c r="BG80"/>
      <c r="BH80"/>
      <c r="BI80"/>
      <c r="BJ80"/>
      <c r="BK80"/>
      <c r="BL80"/>
      <c r="BM80"/>
      <c r="BN80"/>
      <c r="BO80"/>
      <c r="BP80"/>
      <c r="BQ80"/>
      <c r="BR80"/>
      <c r="BS80"/>
    </row>
    <row r="81" spans="1:71" s="2" customFormat="1">
      <c r="A81" s="118">
        <f t="shared" si="8"/>
        <v>75</v>
      </c>
      <c r="B81" s="23"/>
      <c r="C81" s="64"/>
      <c r="D81" s="106"/>
      <c r="E81" s="150"/>
      <c r="F81" s="156"/>
      <c r="G81" s="156"/>
      <c r="H81" s="156"/>
      <c r="I81" s="156"/>
      <c r="J81" s="156"/>
      <c r="K81" s="156"/>
      <c r="L81" s="156"/>
      <c r="M81" s="156"/>
      <c r="N81" s="155"/>
      <c r="O81" s="156"/>
      <c r="P81" s="127"/>
      <c r="Q81" s="213">
        <f t="shared" si="19"/>
        <v>0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15"/>
      <c r="AE81" s="115"/>
      <c r="AF81" s="115"/>
      <c r="AG81" s="115"/>
      <c r="AH81" s="115"/>
      <c r="AI81" s="115"/>
      <c r="AJ81" s="115"/>
      <c r="AK81" s="115"/>
      <c r="AL81" s="115"/>
      <c r="AM81" s="115"/>
      <c r="AN81" s="115"/>
      <c r="AO81" s="115"/>
      <c r="AP81" s="115"/>
      <c r="AQ81" s="115"/>
      <c r="AR81" s="115"/>
      <c r="AS81" s="115"/>
      <c r="AT81" s="115"/>
      <c r="AU81" s="115"/>
      <c r="AV81" s="115"/>
      <c r="AW81" s="115"/>
      <c r="AX81" s="115"/>
      <c r="AY81" s="115"/>
      <c r="AZ81" s="115"/>
      <c r="BA81" s="115"/>
      <c r="BB81" s="115"/>
      <c r="BC81" s="115"/>
      <c r="BD81" s="115"/>
      <c r="BE81" s="115"/>
      <c r="BF81" s="115"/>
      <c r="BG81"/>
      <c r="BH81"/>
      <c r="BI81"/>
      <c r="BJ81"/>
      <c r="BK81"/>
      <c r="BL81"/>
      <c r="BM81"/>
      <c r="BN81"/>
      <c r="BO81"/>
      <c r="BP81"/>
      <c r="BQ81"/>
      <c r="BR81"/>
      <c r="BS81"/>
    </row>
    <row r="82" spans="1:71" s="2" customFormat="1">
      <c r="A82" s="118">
        <f t="shared" si="8"/>
        <v>76</v>
      </c>
      <c r="B82" s="10" t="s">
        <v>36</v>
      </c>
      <c r="C82" s="92"/>
      <c r="D82" s="93"/>
      <c r="E82" s="151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27"/>
      <c r="Q82" s="213">
        <f t="shared" si="19"/>
        <v>0</v>
      </c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15"/>
      <c r="AE82" s="115"/>
      <c r="AF82" s="115"/>
      <c r="AG82" s="115"/>
      <c r="AH82" s="115"/>
      <c r="AI82" s="115"/>
      <c r="AJ82" s="115"/>
      <c r="AK82" s="115"/>
      <c r="AL82" s="115"/>
      <c r="AM82" s="115"/>
      <c r="AN82" s="115"/>
      <c r="AO82" s="115"/>
      <c r="AP82" s="115"/>
      <c r="AQ82" s="115"/>
      <c r="AR82" s="115"/>
      <c r="AS82" s="115"/>
      <c r="AT82" s="115"/>
      <c r="AU82" s="115"/>
      <c r="AV82" s="115"/>
      <c r="AW82" s="115"/>
      <c r="AX82" s="115"/>
      <c r="AY82" s="115"/>
      <c r="AZ82" s="115"/>
      <c r="BA82" s="115"/>
      <c r="BB82" s="115"/>
      <c r="BC82" s="115"/>
      <c r="BD82" s="115"/>
      <c r="BE82" s="115"/>
      <c r="BF82" s="115"/>
      <c r="BG82"/>
      <c r="BH82"/>
      <c r="BI82"/>
      <c r="BJ82"/>
      <c r="BK82"/>
      <c r="BL82"/>
      <c r="BM82"/>
      <c r="BN82"/>
      <c r="BO82"/>
      <c r="BP82"/>
      <c r="BQ82"/>
      <c r="BR82"/>
      <c r="BS82"/>
    </row>
    <row r="83" spans="1:71" s="2" customFormat="1">
      <c r="A83" s="118">
        <f t="shared" si="8"/>
        <v>77</v>
      </c>
      <c r="B83" s="52" t="s">
        <v>4</v>
      </c>
      <c r="C83" s="48">
        <f>+C33</f>
        <v>4634973.75</v>
      </c>
      <c r="D83" s="49"/>
      <c r="E83" s="152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27"/>
      <c r="Q83" s="213">
        <f t="shared" si="19"/>
        <v>4634973.75</v>
      </c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15"/>
      <c r="AE83" s="115"/>
      <c r="AF83" s="115"/>
      <c r="AG83" s="115"/>
      <c r="AH83" s="115"/>
      <c r="AI83" s="115"/>
      <c r="AJ83" s="115"/>
      <c r="AK83" s="115"/>
      <c r="AL83" s="115"/>
      <c r="AM83" s="115"/>
      <c r="AN83" s="115"/>
      <c r="AO83" s="115"/>
      <c r="AP83" s="115"/>
      <c r="AQ83" s="115"/>
      <c r="AR83" s="115"/>
      <c r="AS83" s="115"/>
      <c r="AT83" s="115"/>
      <c r="AU83" s="115"/>
      <c r="AV83" s="115"/>
      <c r="AW83" s="115"/>
      <c r="AX83" s="115"/>
      <c r="AY83" s="115"/>
      <c r="AZ83" s="115"/>
      <c r="BA83" s="115"/>
      <c r="BB83" s="115"/>
      <c r="BC83" s="115"/>
      <c r="BD83" s="115"/>
      <c r="BE83" s="115"/>
      <c r="BF83" s="115"/>
      <c r="BG83"/>
      <c r="BH83"/>
      <c r="BI83"/>
      <c r="BJ83"/>
      <c r="BK83"/>
      <c r="BL83"/>
      <c r="BM83"/>
      <c r="BN83"/>
      <c r="BO83"/>
      <c r="BP83"/>
      <c r="BQ83"/>
      <c r="BR83"/>
      <c r="BS83"/>
    </row>
    <row r="84" spans="1:71" s="2" customFormat="1" ht="13.5" thickBot="1">
      <c r="A84" s="118">
        <f t="shared" si="8"/>
        <v>78</v>
      </c>
      <c r="B84" s="53" t="s">
        <v>5</v>
      </c>
      <c r="C84" s="51">
        <f>+C75+C79</f>
        <v>4628805</v>
      </c>
      <c r="D84" s="77"/>
      <c r="E84" s="153"/>
      <c r="F84" s="157"/>
      <c r="G84" s="157"/>
      <c r="H84" s="157"/>
      <c r="I84" s="157"/>
      <c r="J84" s="157"/>
      <c r="K84" s="157"/>
      <c r="L84" s="157"/>
      <c r="M84" s="157"/>
      <c r="N84" s="155"/>
      <c r="O84" s="157"/>
      <c r="P84" s="127"/>
      <c r="Q84" s="213">
        <f t="shared" si="19"/>
        <v>4628805</v>
      </c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15"/>
      <c r="AE84" s="115"/>
      <c r="AF84" s="115"/>
      <c r="AG84" s="115"/>
      <c r="AH84" s="115"/>
      <c r="AI84" s="115"/>
      <c r="AJ84" s="115"/>
      <c r="AK84" s="115"/>
      <c r="AL84" s="115"/>
      <c r="AM84" s="115"/>
      <c r="AN84" s="115"/>
      <c r="AO84" s="115"/>
      <c r="AP84" s="115"/>
      <c r="AQ84" s="115"/>
      <c r="AR84" s="115"/>
      <c r="AS84" s="115"/>
      <c r="AT84" s="115"/>
      <c r="AU84" s="115"/>
      <c r="AV84" s="115"/>
      <c r="AW84" s="115"/>
      <c r="AX84" s="115"/>
      <c r="AY84" s="115"/>
      <c r="AZ84" s="115"/>
      <c r="BA84" s="115"/>
      <c r="BB84" s="115"/>
      <c r="BC84" s="115"/>
      <c r="BD84" s="115"/>
      <c r="BE84" s="115"/>
      <c r="BF84" s="115"/>
      <c r="BG84"/>
      <c r="BH84"/>
      <c r="BI84"/>
      <c r="BJ84"/>
      <c r="BK84"/>
      <c r="BL84"/>
      <c r="BM84"/>
      <c r="BN84"/>
      <c r="BO84"/>
      <c r="BP84"/>
      <c r="BQ84"/>
      <c r="BR84"/>
      <c r="BS84"/>
    </row>
    <row r="85" spans="1:71" s="9" customFormat="1" ht="13.5" thickBot="1">
      <c r="A85" s="118">
        <f t="shared" si="8"/>
        <v>79</v>
      </c>
      <c r="B85" s="11" t="s">
        <v>22</v>
      </c>
      <c r="C85" s="43">
        <f>+C83-C84</f>
        <v>6168.75</v>
      </c>
      <c r="D85" s="45"/>
      <c r="E85" s="154"/>
      <c r="F85" s="159"/>
      <c r="G85" s="159"/>
      <c r="H85" s="159"/>
      <c r="I85" s="159"/>
      <c r="J85" s="159"/>
      <c r="K85" s="159"/>
      <c r="L85" s="159"/>
      <c r="M85" s="159"/>
      <c r="N85" s="155"/>
      <c r="O85" s="158"/>
      <c r="P85" s="131"/>
      <c r="Q85" s="213">
        <f t="shared" si="19"/>
        <v>6168.75</v>
      </c>
      <c r="R85" s="120"/>
      <c r="S85" s="120"/>
      <c r="T85" s="120"/>
      <c r="U85" s="120"/>
      <c r="V85" s="120"/>
      <c r="W85" s="120"/>
      <c r="X85" s="120"/>
      <c r="Y85" s="120"/>
      <c r="Z85" s="120"/>
      <c r="AA85" s="120"/>
      <c r="AB85" s="120"/>
      <c r="AC85" s="120"/>
      <c r="AD85" s="120"/>
      <c r="AE85" s="120"/>
      <c r="AF85" s="120"/>
      <c r="AG85" s="120"/>
      <c r="AH85" s="120"/>
      <c r="AI85" s="120"/>
      <c r="AJ85" s="120"/>
      <c r="AK85" s="120"/>
      <c r="AL85" s="120"/>
      <c r="AM85" s="120"/>
      <c r="AN85" s="120"/>
      <c r="AO85" s="120"/>
      <c r="AP85" s="120"/>
      <c r="AQ85" s="120"/>
      <c r="AR85" s="120"/>
      <c r="AS85" s="120"/>
      <c r="AT85" s="120"/>
      <c r="AU85" s="120"/>
      <c r="AV85" s="120"/>
      <c r="AW85" s="120"/>
      <c r="AX85" s="120"/>
      <c r="AY85" s="120"/>
      <c r="AZ85" s="120"/>
      <c r="BA85" s="120"/>
      <c r="BB85" s="120"/>
      <c r="BC85" s="120"/>
      <c r="BD85" s="120"/>
      <c r="BE85" s="120"/>
      <c r="BF85" s="120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</row>
    <row r="86" spans="1:71">
      <c r="A86" s="115"/>
      <c r="B86" s="115"/>
      <c r="C86" s="115"/>
      <c r="D86" s="123"/>
      <c r="E86" s="115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15"/>
      <c r="AE86" s="115"/>
      <c r="AF86" s="115"/>
      <c r="AG86" s="115"/>
      <c r="AH86" s="115"/>
      <c r="AI86" s="115"/>
      <c r="AJ86" s="115"/>
      <c r="AK86" s="115"/>
      <c r="AL86" s="115"/>
      <c r="AM86" s="115"/>
      <c r="AN86" s="115"/>
      <c r="AO86" s="115"/>
      <c r="AP86" s="115"/>
      <c r="AQ86" s="115"/>
      <c r="AR86" s="115"/>
      <c r="AS86" s="115"/>
      <c r="AT86" s="115"/>
      <c r="AU86" s="115"/>
      <c r="AV86" s="115"/>
      <c r="AW86" s="115"/>
      <c r="AX86" s="115"/>
      <c r="AY86" s="115"/>
      <c r="AZ86" s="115"/>
      <c r="BA86" s="115"/>
      <c r="BB86" s="115"/>
      <c r="BC86" s="115"/>
      <c r="BD86" s="115"/>
      <c r="BE86" s="115"/>
      <c r="BF86" s="115"/>
    </row>
    <row r="87" spans="1:71" s="26" customFormat="1">
      <c r="A87" s="124"/>
      <c r="B87" s="28"/>
      <c r="C87" s="124"/>
      <c r="D87" s="125"/>
      <c r="E87" s="28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24"/>
      <c r="R87" s="124"/>
      <c r="S87" s="124"/>
      <c r="T87" s="124"/>
      <c r="U87" s="124"/>
      <c r="V87" s="124"/>
      <c r="W87" s="124"/>
      <c r="X87" s="124"/>
      <c r="Y87" s="124"/>
      <c r="Z87" s="124"/>
      <c r="AA87" s="124"/>
      <c r="AB87" s="124"/>
      <c r="AC87" s="124"/>
      <c r="AD87" s="124"/>
      <c r="AE87" s="124"/>
      <c r="AF87" s="124"/>
      <c r="AG87" s="124"/>
      <c r="AH87" s="124"/>
      <c r="AI87" s="124"/>
      <c r="AJ87" s="124"/>
      <c r="AK87" s="124"/>
      <c r="AL87" s="124"/>
      <c r="AM87" s="124"/>
      <c r="AN87" s="124"/>
      <c r="AO87" s="124"/>
      <c r="AP87" s="124"/>
      <c r="AQ87" s="124"/>
      <c r="AR87" s="124"/>
      <c r="AS87" s="124"/>
      <c r="AT87" s="124"/>
      <c r="AU87" s="124"/>
      <c r="AV87" s="124"/>
      <c r="AW87" s="124"/>
      <c r="AX87" s="124"/>
      <c r="AY87" s="124"/>
      <c r="AZ87" s="124"/>
      <c r="BA87" s="124"/>
      <c r="BB87" s="124"/>
      <c r="BC87" s="124"/>
      <c r="BD87" s="124"/>
      <c r="BE87" s="124"/>
      <c r="BF87" s="124"/>
    </row>
    <row r="88" spans="1:71" s="26" customFormat="1" ht="14.25">
      <c r="A88" s="124"/>
      <c r="B88" s="162" t="s">
        <v>237</v>
      </c>
      <c r="C88" s="124"/>
      <c r="D88" s="125"/>
      <c r="E88" s="28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24"/>
      <c r="R88" s="124"/>
      <c r="S88" s="124"/>
      <c r="T88" s="124"/>
      <c r="U88" s="124"/>
      <c r="V88" s="124"/>
      <c r="W88" s="124"/>
      <c r="X88" s="124"/>
      <c r="Y88" s="124"/>
      <c r="Z88" s="124"/>
      <c r="AA88" s="124"/>
      <c r="AB88" s="124"/>
      <c r="AC88" s="124"/>
      <c r="AD88" s="124"/>
      <c r="AE88" s="124"/>
      <c r="AF88" s="124"/>
      <c r="AG88" s="124"/>
      <c r="AH88" s="124"/>
      <c r="AI88" s="124"/>
      <c r="AJ88" s="124"/>
      <c r="AK88" s="124"/>
      <c r="AL88" s="124"/>
      <c r="AM88" s="124"/>
      <c r="AN88" s="124"/>
      <c r="AO88" s="124"/>
      <c r="AP88" s="124"/>
      <c r="AQ88" s="124"/>
      <c r="AR88" s="124"/>
      <c r="AS88" s="124"/>
      <c r="AT88" s="124"/>
      <c r="AU88" s="124"/>
      <c r="AV88" s="124"/>
      <c r="AW88" s="124"/>
      <c r="AX88" s="124"/>
      <c r="AY88" s="124"/>
      <c r="AZ88" s="124"/>
      <c r="BA88" s="124"/>
      <c r="BB88" s="124"/>
      <c r="BC88" s="124"/>
      <c r="BD88" s="124"/>
      <c r="BE88" s="124"/>
      <c r="BF88" s="124"/>
    </row>
    <row r="89" spans="1:71" ht="15">
      <c r="A89" s="115"/>
      <c r="B89" s="163" t="s">
        <v>238</v>
      </c>
      <c r="C89" s="115"/>
      <c r="D89" s="123"/>
      <c r="E89" s="28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  <c r="AU89" s="115"/>
      <c r="AV89" s="115"/>
      <c r="AW89" s="115"/>
      <c r="AX89" s="115"/>
      <c r="AY89" s="115"/>
      <c r="AZ89" s="115"/>
      <c r="BA89" s="115"/>
      <c r="BB89" s="115"/>
      <c r="BC89" s="115"/>
      <c r="BD89" s="115"/>
      <c r="BE89" s="115"/>
      <c r="BF89" s="115"/>
    </row>
    <row r="90" spans="1:71">
      <c r="A90" s="115"/>
      <c r="B90" s="126"/>
      <c r="C90" s="115"/>
      <c r="D90" s="123"/>
      <c r="E90" s="126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15"/>
      <c r="AE90" s="115"/>
      <c r="AF90" s="115"/>
      <c r="AG90" s="115"/>
      <c r="AH90" s="115"/>
      <c r="AI90" s="115"/>
      <c r="AJ90" s="115"/>
      <c r="AK90" s="115"/>
      <c r="AL90" s="115"/>
      <c r="AM90" s="115"/>
      <c r="AN90" s="115"/>
      <c r="AO90" s="115"/>
      <c r="AP90" s="115"/>
      <c r="AQ90" s="115"/>
      <c r="AR90" s="115"/>
      <c r="AS90" s="115"/>
      <c r="AT90" s="115"/>
      <c r="AU90" s="115"/>
      <c r="AV90" s="115"/>
      <c r="AW90" s="115"/>
      <c r="AX90" s="115"/>
      <c r="AY90" s="115"/>
      <c r="AZ90" s="115"/>
      <c r="BA90" s="115"/>
      <c r="BB90" s="115"/>
      <c r="BC90" s="115"/>
      <c r="BD90" s="115"/>
      <c r="BE90" s="115"/>
      <c r="BF90" s="115"/>
    </row>
    <row r="91" spans="1:71">
      <c r="A91" s="115"/>
      <c r="B91" s="115"/>
      <c r="C91" s="115"/>
      <c r="D91" s="123"/>
      <c r="E91" s="115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115"/>
      <c r="AE91" s="115"/>
      <c r="AF91" s="115"/>
      <c r="AG91" s="115"/>
      <c r="AH91" s="115"/>
      <c r="AI91" s="115"/>
      <c r="AJ91" s="115"/>
      <c r="AK91" s="115"/>
      <c r="AL91" s="115"/>
      <c r="AM91" s="115"/>
      <c r="AN91" s="115"/>
      <c r="AO91" s="115"/>
      <c r="AP91" s="115"/>
      <c r="AQ91" s="115"/>
      <c r="AR91" s="115"/>
      <c r="AS91" s="115"/>
      <c r="AT91" s="115"/>
      <c r="AU91" s="115"/>
      <c r="AV91" s="115"/>
      <c r="AW91" s="115"/>
      <c r="AX91" s="115"/>
      <c r="AY91" s="115"/>
      <c r="AZ91" s="115"/>
      <c r="BA91" s="115"/>
      <c r="BB91" s="115"/>
      <c r="BC91" s="115"/>
      <c r="BD91" s="115"/>
      <c r="BE91" s="115"/>
      <c r="BF91" s="115"/>
    </row>
    <row r="92" spans="1:71">
      <c r="A92" s="115"/>
      <c r="B92" s="115"/>
      <c r="C92" s="115"/>
      <c r="D92" s="123"/>
      <c r="E92" s="115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15"/>
      <c r="AE92" s="115"/>
      <c r="AF92" s="115"/>
      <c r="AG92" s="115"/>
      <c r="AH92" s="115"/>
      <c r="AI92" s="115"/>
      <c r="AJ92" s="115"/>
      <c r="AK92" s="115"/>
      <c r="AL92" s="115"/>
      <c r="AM92" s="115"/>
      <c r="AN92" s="115"/>
      <c r="AO92" s="115"/>
      <c r="AP92" s="115"/>
      <c r="AQ92" s="115"/>
      <c r="AR92" s="115"/>
      <c r="AS92" s="115"/>
      <c r="AT92" s="115"/>
      <c r="AU92" s="115"/>
      <c r="AV92" s="115"/>
      <c r="AW92" s="115"/>
      <c r="AX92" s="115"/>
      <c r="AY92" s="115"/>
      <c r="AZ92" s="115"/>
      <c r="BA92" s="115"/>
      <c r="BB92" s="115"/>
      <c r="BC92" s="115"/>
      <c r="BD92" s="115"/>
      <c r="BE92" s="115"/>
      <c r="BF92" s="115"/>
    </row>
    <row r="93" spans="1:71">
      <c r="A93" s="115"/>
      <c r="B93" s="115"/>
      <c r="C93" s="115"/>
      <c r="D93" s="123"/>
      <c r="E93" s="115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115"/>
      <c r="AE93" s="115"/>
      <c r="AF93" s="115"/>
      <c r="AG93" s="115"/>
      <c r="AH93" s="115"/>
      <c r="AI93" s="115"/>
      <c r="AJ93" s="115"/>
      <c r="AK93" s="115"/>
      <c r="AL93" s="115"/>
      <c r="AM93" s="115"/>
      <c r="AN93" s="115"/>
      <c r="AO93" s="115"/>
      <c r="AP93" s="115"/>
      <c r="AQ93" s="115"/>
      <c r="AR93" s="115"/>
      <c r="AS93" s="115"/>
      <c r="AT93" s="115"/>
      <c r="AU93" s="115"/>
      <c r="AV93" s="115"/>
      <c r="AW93" s="115"/>
      <c r="AX93" s="115"/>
      <c r="AY93" s="115"/>
      <c r="AZ93" s="115"/>
      <c r="BA93" s="115"/>
      <c r="BB93" s="115"/>
      <c r="BC93" s="115"/>
      <c r="BD93" s="115"/>
      <c r="BE93" s="115"/>
      <c r="BF93" s="115"/>
    </row>
    <row r="94" spans="1:71">
      <c r="A94" s="115"/>
      <c r="B94" s="115"/>
      <c r="C94" s="115"/>
      <c r="D94" s="123"/>
      <c r="E94" s="115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115"/>
      <c r="AE94" s="115"/>
      <c r="AF94" s="115"/>
      <c r="AG94" s="115"/>
      <c r="AH94" s="115"/>
      <c r="AI94" s="115"/>
      <c r="AJ94" s="115"/>
      <c r="AK94" s="115"/>
      <c r="AL94" s="115"/>
      <c r="AM94" s="115"/>
      <c r="AN94" s="115"/>
      <c r="AO94" s="115"/>
      <c r="AP94" s="115"/>
      <c r="AQ94" s="115"/>
      <c r="AR94" s="115"/>
      <c r="AS94" s="115"/>
      <c r="AT94" s="115"/>
      <c r="AU94" s="115"/>
      <c r="AV94" s="115"/>
      <c r="AW94" s="115"/>
      <c r="AX94" s="115"/>
      <c r="AY94" s="115"/>
      <c r="AZ94" s="115"/>
      <c r="BA94" s="115"/>
      <c r="BB94" s="115"/>
      <c r="BC94" s="115"/>
      <c r="BD94" s="115"/>
      <c r="BE94" s="115"/>
      <c r="BF94" s="115"/>
    </row>
    <row r="95" spans="1:71">
      <c r="A95" s="115"/>
      <c r="B95" s="115"/>
      <c r="C95" s="115"/>
      <c r="D95" s="123"/>
      <c r="E95" s="115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15"/>
      <c r="AE95" s="115"/>
      <c r="AF95" s="115"/>
      <c r="AG95" s="115"/>
      <c r="AH95" s="115"/>
      <c r="AI95" s="115"/>
      <c r="AJ95" s="115"/>
      <c r="AK95" s="115"/>
      <c r="AL95" s="115"/>
      <c r="AM95" s="115"/>
      <c r="AN95" s="115"/>
      <c r="AO95" s="115"/>
      <c r="AP95" s="115"/>
      <c r="AQ95" s="115"/>
      <c r="AR95" s="115"/>
      <c r="AS95" s="115"/>
      <c r="AT95" s="115"/>
      <c r="AU95" s="115"/>
      <c r="AV95" s="115"/>
      <c r="AW95" s="115"/>
      <c r="AX95" s="115"/>
      <c r="AY95" s="115"/>
      <c r="AZ95" s="115"/>
      <c r="BA95" s="115"/>
      <c r="BB95" s="115"/>
      <c r="BC95" s="115"/>
      <c r="BD95" s="115"/>
      <c r="BE95" s="115"/>
      <c r="BF95" s="115"/>
    </row>
    <row r="96" spans="1:71">
      <c r="A96" s="115"/>
      <c r="B96" s="115"/>
      <c r="C96" s="115"/>
      <c r="D96" s="123"/>
      <c r="E96" s="115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15"/>
      <c r="AE96" s="115"/>
      <c r="AF96" s="115"/>
      <c r="AG96" s="115"/>
      <c r="AH96" s="115"/>
      <c r="AI96" s="115"/>
      <c r="AJ96" s="115"/>
      <c r="AK96" s="115"/>
      <c r="AL96" s="115"/>
      <c r="AM96" s="115"/>
      <c r="AN96" s="115"/>
      <c r="AO96" s="115"/>
      <c r="AP96" s="115"/>
      <c r="AQ96" s="115"/>
      <c r="AR96" s="115"/>
      <c r="AS96" s="115"/>
      <c r="AT96" s="115"/>
      <c r="AU96" s="115"/>
      <c r="AV96" s="115"/>
      <c r="AW96" s="115"/>
      <c r="AX96" s="115"/>
      <c r="AY96" s="115"/>
      <c r="AZ96" s="115"/>
      <c r="BA96" s="115"/>
      <c r="BB96" s="115"/>
      <c r="BC96" s="115"/>
      <c r="BD96" s="115"/>
      <c r="BE96" s="115"/>
      <c r="BF96" s="115"/>
    </row>
    <row r="97" spans="1:58">
      <c r="A97" s="115"/>
      <c r="B97" s="115"/>
      <c r="C97" s="115"/>
      <c r="D97" s="123"/>
      <c r="E97" s="115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15"/>
      <c r="AE97" s="115"/>
      <c r="AF97" s="115"/>
      <c r="AG97" s="115"/>
      <c r="AH97" s="115"/>
      <c r="AI97" s="115"/>
      <c r="AJ97" s="115"/>
      <c r="AK97" s="115"/>
      <c r="AL97" s="115"/>
      <c r="AM97" s="115"/>
      <c r="AN97" s="115"/>
      <c r="AO97" s="115"/>
      <c r="AP97" s="115"/>
      <c r="AQ97" s="115"/>
      <c r="AR97" s="115"/>
      <c r="AS97" s="115"/>
      <c r="AT97" s="115"/>
      <c r="AU97" s="115"/>
      <c r="AV97" s="115"/>
      <c r="AW97" s="115"/>
      <c r="AX97" s="115"/>
      <c r="AY97" s="115"/>
      <c r="AZ97" s="115"/>
      <c r="BA97" s="115"/>
      <c r="BB97" s="115"/>
      <c r="BC97" s="115"/>
      <c r="BD97" s="115"/>
      <c r="BE97" s="115"/>
      <c r="BF97" s="115"/>
    </row>
    <row r="98" spans="1:58">
      <c r="A98" s="115"/>
      <c r="B98" s="115"/>
      <c r="C98" s="115"/>
      <c r="D98" s="123"/>
      <c r="E98" s="115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15"/>
      <c r="AE98" s="115"/>
      <c r="AF98" s="115"/>
      <c r="AG98" s="115"/>
      <c r="AH98" s="115"/>
      <c r="AI98" s="115"/>
      <c r="AJ98" s="115"/>
      <c r="AK98" s="115"/>
      <c r="AL98" s="115"/>
      <c r="AM98" s="115"/>
      <c r="AN98" s="115"/>
      <c r="AO98" s="115"/>
      <c r="AP98" s="115"/>
      <c r="AQ98" s="115"/>
      <c r="AR98" s="115"/>
      <c r="AS98" s="115"/>
      <c r="AT98" s="115"/>
      <c r="AU98" s="115"/>
      <c r="AV98" s="115"/>
      <c r="AW98" s="115"/>
      <c r="AX98" s="115"/>
      <c r="AY98" s="115"/>
      <c r="AZ98" s="115"/>
      <c r="BA98" s="115"/>
      <c r="BB98" s="115"/>
      <c r="BC98" s="115"/>
      <c r="BD98" s="115"/>
      <c r="BE98" s="115"/>
      <c r="BF98" s="115"/>
    </row>
    <row r="99" spans="1:58">
      <c r="A99" s="115"/>
      <c r="B99" s="115"/>
      <c r="C99" s="115"/>
      <c r="D99" s="123"/>
      <c r="E99" s="115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15"/>
      <c r="AE99" s="115"/>
      <c r="AF99" s="115"/>
      <c r="AG99" s="115"/>
      <c r="AH99" s="115"/>
      <c r="AI99" s="115"/>
      <c r="AJ99" s="115"/>
      <c r="AK99" s="115"/>
      <c r="AL99" s="115"/>
      <c r="AM99" s="115"/>
      <c r="AN99" s="115"/>
      <c r="AO99" s="115"/>
      <c r="AP99" s="115"/>
      <c r="AQ99" s="115"/>
      <c r="AR99" s="115"/>
      <c r="AS99" s="115"/>
      <c r="AT99" s="115"/>
      <c r="AU99" s="115"/>
      <c r="AV99" s="115"/>
      <c r="AW99" s="115"/>
      <c r="AX99" s="115"/>
      <c r="AY99" s="115"/>
      <c r="AZ99" s="115"/>
      <c r="BA99" s="115"/>
      <c r="BB99" s="115"/>
      <c r="BC99" s="115"/>
      <c r="BD99" s="115"/>
      <c r="BE99" s="115"/>
      <c r="BF99" s="115"/>
    </row>
    <row r="100" spans="1:58">
      <c r="A100" s="115"/>
      <c r="B100" s="115"/>
      <c r="C100" s="115"/>
      <c r="D100" s="123"/>
      <c r="E100" s="115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15"/>
      <c r="AF100" s="115"/>
      <c r="AG100" s="115"/>
      <c r="AH100" s="115"/>
      <c r="AI100" s="115"/>
      <c r="AJ100" s="115"/>
      <c r="AK100" s="115"/>
      <c r="AL100" s="115"/>
      <c r="AM100" s="115"/>
      <c r="AN100" s="115"/>
      <c r="AO100" s="115"/>
      <c r="AP100" s="115"/>
      <c r="AQ100" s="115"/>
      <c r="AR100" s="115"/>
      <c r="AS100" s="115"/>
      <c r="AT100" s="115"/>
      <c r="AU100" s="115"/>
      <c r="AV100" s="115"/>
      <c r="AW100" s="115"/>
      <c r="AX100" s="115"/>
      <c r="AY100" s="115"/>
      <c r="AZ100" s="115"/>
      <c r="BA100" s="115"/>
      <c r="BB100" s="115"/>
      <c r="BC100" s="115"/>
      <c r="BD100" s="115"/>
      <c r="BE100" s="115"/>
      <c r="BF100" s="115"/>
    </row>
    <row r="101" spans="1:58">
      <c r="A101" s="115"/>
      <c r="B101" s="115"/>
      <c r="C101" s="115"/>
      <c r="D101" s="123"/>
      <c r="E101" s="115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15"/>
      <c r="AF101" s="115"/>
      <c r="AG101" s="115"/>
      <c r="AH101" s="115"/>
      <c r="AI101" s="115"/>
      <c r="AJ101" s="115"/>
      <c r="AK101" s="115"/>
      <c r="AL101" s="115"/>
      <c r="AM101" s="115"/>
      <c r="AN101" s="115"/>
      <c r="AO101" s="115"/>
      <c r="AP101" s="115"/>
      <c r="AQ101" s="115"/>
      <c r="AR101" s="115"/>
      <c r="AS101" s="115"/>
      <c r="AT101" s="115"/>
      <c r="AU101" s="115"/>
      <c r="AV101" s="115"/>
      <c r="AW101" s="115"/>
      <c r="AX101" s="115"/>
      <c r="AY101" s="115"/>
      <c r="AZ101" s="115"/>
      <c r="BA101" s="115"/>
      <c r="BB101" s="115"/>
      <c r="BC101" s="115"/>
      <c r="BD101" s="115"/>
      <c r="BE101" s="115"/>
      <c r="BF101" s="115"/>
    </row>
    <row r="102" spans="1:58">
      <c r="A102" s="115"/>
      <c r="B102" s="115"/>
      <c r="C102" s="115"/>
      <c r="D102" s="123"/>
      <c r="E102" s="115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15"/>
      <c r="AF102" s="115"/>
      <c r="AG102" s="115"/>
      <c r="AH102" s="115"/>
      <c r="AI102" s="115"/>
      <c r="AJ102" s="115"/>
      <c r="AK102" s="115"/>
      <c r="AL102" s="115"/>
      <c r="AM102" s="115"/>
      <c r="AN102" s="115"/>
      <c r="AO102" s="115"/>
      <c r="AP102" s="115"/>
      <c r="AQ102" s="115"/>
      <c r="AR102" s="115"/>
      <c r="AS102" s="115"/>
      <c r="AT102" s="115"/>
      <c r="AU102" s="115"/>
      <c r="AV102" s="115"/>
      <c r="AW102" s="115"/>
      <c r="AX102" s="115"/>
      <c r="AY102" s="115"/>
      <c r="AZ102" s="115"/>
      <c r="BA102" s="115"/>
      <c r="BB102" s="115"/>
      <c r="BC102" s="115"/>
      <c r="BD102" s="115"/>
      <c r="BE102" s="115"/>
      <c r="BF102" s="115"/>
    </row>
    <row r="103" spans="1:58">
      <c r="A103" s="115"/>
      <c r="B103" s="115"/>
      <c r="C103" s="115"/>
      <c r="D103" s="123"/>
      <c r="E103" s="115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15"/>
      <c r="AF103" s="115"/>
      <c r="AG103" s="115"/>
      <c r="AH103" s="115"/>
      <c r="AI103" s="115"/>
      <c r="AJ103" s="115"/>
      <c r="AK103" s="115"/>
      <c r="AL103" s="115"/>
      <c r="AM103" s="115"/>
      <c r="AN103" s="115"/>
      <c r="AO103" s="115"/>
      <c r="AP103" s="115"/>
      <c r="AQ103" s="115"/>
      <c r="AR103" s="115"/>
      <c r="AS103" s="115"/>
      <c r="AT103" s="115"/>
      <c r="AU103" s="115"/>
      <c r="AV103" s="115"/>
      <c r="AW103" s="115"/>
      <c r="AX103" s="115"/>
      <c r="AY103" s="115"/>
      <c r="AZ103" s="115"/>
      <c r="BA103" s="115"/>
      <c r="BB103" s="115"/>
      <c r="BC103" s="115"/>
      <c r="BD103" s="115"/>
      <c r="BE103" s="115"/>
      <c r="BF103" s="115"/>
    </row>
    <row r="104" spans="1:58">
      <c r="A104" s="115"/>
      <c r="B104" s="115"/>
      <c r="C104" s="115"/>
      <c r="D104" s="123"/>
      <c r="E104" s="115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15"/>
      <c r="AF104" s="115"/>
      <c r="AG104" s="115"/>
      <c r="AH104" s="115"/>
      <c r="AI104" s="115"/>
      <c r="AJ104" s="115"/>
      <c r="AK104" s="115"/>
      <c r="AL104" s="115"/>
      <c r="AM104" s="115"/>
      <c r="AN104" s="115"/>
      <c r="AO104" s="115"/>
      <c r="AP104" s="115"/>
      <c r="AQ104" s="115"/>
      <c r="AR104" s="115"/>
      <c r="AS104" s="115"/>
      <c r="AT104" s="115"/>
      <c r="AU104" s="115"/>
      <c r="AV104" s="115"/>
      <c r="AW104" s="115"/>
      <c r="AX104" s="115"/>
      <c r="AY104" s="115"/>
      <c r="AZ104" s="115"/>
      <c r="BA104" s="115"/>
      <c r="BB104" s="115"/>
      <c r="BC104" s="115"/>
      <c r="BD104" s="115"/>
      <c r="BE104" s="115"/>
      <c r="BF104" s="115"/>
    </row>
    <row r="105" spans="1:58">
      <c r="A105" s="115"/>
      <c r="B105" s="115"/>
      <c r="C105" s="115"/>
      <c r="D105" s="123"/>
      <c r="E105" s="115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15"/>
      <c r="AF105" s="115"/>
      <c r="AG105" s="115"/>
      <c r="AH105" s="115"/>
      <c r="AI105" s="115"/>
      <c r="AJ105" s="115"/>
      <c r="AK105" s="115"/>
      <c r="AL105" s="115"/>
      <c r="AM105" s="115"/>
      <c r="AN105" s="115"/>
      <c r="AO105" s="115"/>
      <c r="AP105" s="115"/>
      <c r="AQ105" s="115"/>
      <c r="AR105" s="115"/>
      <c r="AS105" s="115"/>
      <c r="AT105" s="115"/>
      <c r="AU105" s="115"/>
      <c r="AV105" s="115"/>
      <c r="AW105" s="115"/>
      <c r="AX105" s="115"/>
      <c r="AY105" s="115"/>
      <c r="AZ105" s="115"/>
      <c r="BA105" s="115"/>
      <c r="BB105" s="115"/>
      <c r="BC105" s="115"/>
      <c r="BD105" s="115"/>
      <c r="BE105" s="115"/>
      <c r="BF105" s="115"/>
    </row>
    <row r="106" spans="1:58">
      <c r="A106" s="115"/>
      <c r="B106" s="115"/>
      <c r="C106" s="115"/>
      <c r="D106" s="123"/>
      <c r="E106" s="115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15"/>
      <c r="AF106" s="115"/>
      <c r="AG106" s="115"/>
      <c r="AH106" s="115"/>
      <c r="AI106" s="115"/>
      <c r="AJ106" s="115"/>
      <c r="AK106" s="115"/>
      <c r="AL106" s="115"/>
      <c r="AM106" s="115"/>
      <c r="AN106" s="115"/>
      <c r="AO106" s="115"/>
      <c r="AP106" s="115"/>
      <c r="AQ106" s="115"/>
      <c r="AR106" s="115"/>
      <c r="AS106" s="115"/>
      <c r="AT106" s="115"/>
      <c r="AU106" s="115"/>
      <c r="AV106" s="115"/>
      <c r="AW106" s="115"/>
      <c r="AX106" s="115"/>
      <c r="AY106" s="115"/>
      <c r="AZ106" s="115"/>
      <c r="BA106" s="115"/>
      <c r="BB106" s="115"/>
      <c r="BC106" s="115"/>
      <c r="BD106" s="115"/>
      <c r="BE106" s="115"/>
      <c r="BF106" s="115"/>
    </row>
    <row r="107" spans="1:58">
      <c r="A107" s="115"/>
      <c r="B107" s="115"/>
      <c r="C107" s="115"/>
      <c r="D107" s="123"/>
      <c r="E107" s="115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15"/>
      <c r="AF107" s="115"/>
      <c r="AG107" s="115"/>
      <c r="AH107" s="115"/>
      <c r="AI107" s="115"/>
      <c r="AJ107" s="115"/>
      <c r="AK107" s="115"/>
      <c r="AL107" s="115"/>
      <c r="AM107" s="115"/>
      <c r="AN107" s="115"/>
      <c r="AO107" s="115"/>
      <c r="AP107" s="115"/>
      <c r="AQ107" s="115"/>
      <c r="AR107" s="115"/>
      <c r="AS107" s="115"/>
      <c r="AT107" s="115"/>
      <c r="AU107" s="115"/>
      <c r="AV107" s="115"/>
      <c r="AW107" s="115"/>
      <c r="AX107" s="115"/>
      <c r="AY107" s="115"/>
      <c r="AZ107" s="115"/>
      <c r="BA107" s="115"/>
      <c r="BB107" s="115"/>
      <c r="BC107" s="115"/>
      <c r="BD107" s="115"/>
      <c r="BE107" s="115"/>
      <c r="BF107" s="115"/>
    </row>
    <row r="108" spans="1:58">
      <c r="A108" s="115"/>
      <c r="B108" s="115"/>
      <c r="C108" s="115"/>
      <c r="D108" s="123"/>
      <c r="E108" s="115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15"/>
      <c r="AF108" s="115"/>
      <c r="AG108" s="115"/>
      <c r="AH108" s="115"/>
      <c r="AI108" s="115"/>
      <c r="AJ108" s="115"/>
      <c r="AK108" s="115"/>
      <c r="AL108" s="115"/>
      <c r="AM108" s="115"/>
      <c r="AN108" s="115"/>
      <c r="AO108" s="115"/>
      <c r="AP108" s="115"/>
      <c r="AQ108" s="115"/>
      <c r="AR108" s="115"/>
      <c r="AS108" s="115"/>
      <c r="AT108" s="115"/>
      <c r="AU108" s="115"/>
      <c r="AV108" s="115"/>
      <c r="AW108" s="115"/>
      <c r="AX108" s="115"/>
      <c r="AY108" s="115"/>
      <c r="AZ108" s="115"/>
      <c r="BA108" s="115"/>
      <c r="BB108" s="115"/>
      <c r="BC108" s="115"/>
      <c r="BD108" s="115"/>
      <c r="BE108" s="115"/>
      <c r="BF108" s="115"/>
    </row>
    <row r="109" spans="1:58">
      <c r="A109" s="115"/>
      <c r="B109" s="115"/>
      <c r="C109" s="115"/>
      <c r="D109" s="123"/>
      <c r="E109" s="115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15"/>
      <c r="AF109" s="115"/>
      <c r="AG109" s="115"/>
      <c r="AH109" s="115"/>
      <c r="AI109" s="115"/>
      <c r="AJ109" s="115"/>
      <c r="AK109" s="115"/>
      <c r="AL109" s="115"/>
      <c r="AM109" s="115"/>
      <c r="AN109" s="115"/>
      <c r="AO109" s="115"/>
      <c r="AP109" s="115"/>
      <c r="AQ109" s="115"/>
      <c r="AR109" s="115"/>
      <c r="AS109" s="115"/>
      <c r="AT109" s="115"/>
      <c r="AU109" s="115"/>
      <c r="AV109" s="115"/>
      <c r="AW109" s="115"/>
      <c r="AX109" s="115"/>
      <c r="AY109" s="115"/>
      <c r="AZ109" s="115"/>
      <c r="BA109" s="115"/>
      <c r="BB109" s="115"/>
      <c r="BC109" s="115"/>
      <c r="BD109" s="115"/>
      <c r="BE109" s="115"/>
      <c r="BF109" s="115"/>
    </row>
    <row r="110" spans="1:58">
      <c r="A110" s="115"/>
      <c r="B110" s="115"/>
      <c r="C110" s="115"/>
      <c r="D110" s="123"/>
      <c r="E110" s="115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15"/>
      <c r="AF110" s="115"/>
      <c r="AG110" s="115"/>
      <c r="AH110" s="115"/>
      <c r="AI110" s="115"/>
      <c r="AJ110" s="115"/>
      <c r="AK110" s="115"/>
      <c r="AL110" s="115"/>
      <c r="AM110" s="115"/>
      <c r="AN110" s="115"/>
      <c r="AO110" s="115"/>
      <c r="AP110" s="115"/>
      <c r="AQ110" s="115"/>
      <c r="AR110" s="115"/>
      <c r="AS110" s="115"/>
      <c r="AT110" s="115"/>
      <c r="AU110" s="115"/>
      <c r="AV110" s="115"/>
      <c r="AW110" s="115"/>
      <c r="AX110" s="115"/>
      <c r="AY110" s="115"/>
      <c r="AZ110" s="115"/>
      <c r="BA110" s="115"/>
      <c r="BB110" s="115"/>
      <c r="BC110" s="115"/>
      <c r="BD110" s="115"/>
      <c r="BE110" s="115"/>
      <c r="BF110" s="115"/>
    </row>
    <row r="111" spans="1:58">
      <c r="A111" s="115"/>
      <c r="B111" s="115"/>
      <c r="C111" s="115"/>
      <c r="D111" s="123"/>
      <c r="E111" s="115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15"/>
      <c r="AF111" s="115"/>
      <c r="AG111" s="115"/>
      <c r="AH111" s="115"/>
      <c r="AI111" s="115"/>
      <c r="AJ111" s="115"/>
      <c r="AK111" s="115"/>
      <c r="AL111" s="115"/>
      <c r="AM111" s="115"/>
      <c r="AN111" s="115"/>
      <c r="AO111" s="115"/>
      <c r="AP111" s="115"/>
      <c r="AQ111" s="115"/>
      <c r="AR111" s="115"/>
      <c r="AS111" s="115"/>
      <c r="AT111" s="115"/>
      <c r="AU111" s="115"/>
      <c r="AV111" s="115"/>
      <c r="AW111" s="115"/>
      <c r="AX111" s="115"/>
      <c r="AY111" s="115"/>
      <c r="AZ111" s="115"/>
      <c r="BA111" s="115"/>
      <c r="BB111" s="115"/>
      <c r="BC111" s="115"/>
      <c r="BD111" s="115"/>
      <c r="BE111" s="115"/>
      <c r="BF111" s="115"/>
    </row>
    <row r="112" spans="1:58">
      <c r="A112" s="115"/>
      <c r="B112" s="115"/>
      <c r="C112" s="115"/>
      <c r="D112" s="123"/>
      <c r="E112" s="115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15"/>
      <c r="AF112" s="115"/>
      <c r="AG112" s="115"/>
      <c r="AH112" s="115"/>
      <c r="AI112" s="115"/>
      <c r="AJ112" s="115"/>
      <c r="AK112" s="115"/>
      <c r="AL112" s="115"/>
      <c r="AM112" s="115"/>
      <c r="AN112" s="115"/>
      <c r="AO112" s="115"/>
      <c r="AP112" s="115"/>
      <c r="AQ112" s="115"/>
      <c r="AR112" s="115"/>
      <c r="AS112" s="115"/>
      <c r="AT112" s="115"/>
      <c r="AU112" s="115"/>
      <c r="AV112" s="115"/>
      <c r="AW112" s="115"/>
      <c r="AX112" s="115"/>
      <c r="AY112" s="115"/>
      <c r="AZ112" s="115"/>
      <c r="BA112" s="115"/>
      <c r="BB112" s="115"/>
      <c r="BC112" s="115"/>
      <c r="BD112" s="115"/>
      <c r="BE112" s="115"/>
      <c r="BF112" s="115"/>
    </row>
    <row r="113" spans="1:58">
      <c r="A113" s="115"/>
      <c r="B113" s="115"/>
      <c r="C113" s="115"/>
      <c r="D113" s="123"/>
      <c r="E113" s="115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15"/>
      <c r="AF113" s="115"/>
      <c r="AG113" s="115"/>
      <c r="AH113" s="115"/>
      <c r="AI113" s="115"/>
      <c r="AJ113" s="115"/>
      <c r="AK113" s="115"/>
      <c r="AL113" s="115"/>
      <c r="AM113" s="115"/>
      <c r="AN113" s="115"/>
      <c r="AO113" s="115"/>
      <c r="AP113" s="115"/>
      <c r="AQ113" s="115"/>
      <c r="AR113" s="115"/>
      <c r="AS113" s="115"/>
      <c r="AT113" s="115"/>
      <c r="AU113" s="115"/>
      <c r="AV113" s="115"/>
      <c r="AW113" s="115"/>
      <c r="AX113" s="115"/>
      <c r="AY113" s="115"/>
      <c r="AZ113" s="115"/>
      <c r="BA113" s="115"/>
      <c r="BB113" s="115"/>
      <c r="BC113" s="115"/>
      <c r="BD113" s="115"/>
      <c r="BE113" s="115"/>
      <c r="BF113" s="115"/>
    </row>
    <row r="114" spans="1:58">
      <c r="A114" s="115"/>
      <c r="B114" s="115"/>
      <c r="C114" s="115"/>
      <c r="D114" s="123"/>
      <c r="E114" s="115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115"/>
      <c r="AF114" s="115"/>
      <c r="AG114" s="115"/>
      <c r="AH114" s="115"/>
      <c r="AI114" s="115"/>
      <c r="AJ114" s="115"/>
      <c r="AK114" s="115"/>
      <c r="AL114" s="115"/>
      <c r="AM114" s="115"/>
      <c r="AN114" s="115"/>
      <c r="AO114" s="115"/>
      <c r="AP114" s="115"/>
      <c r="AQ114" s="115"/>
      <c r="AR114" s="115"/>
      <c r="AS114" s="115"/>
      <c r="AT114" s="115"/>
      <c r="AU114" s="115"/>
      <c r="AV114" s="115"/>
      <c r="AW114" s="115"/>
      <c r="AX114" s="115"/>
      <c r="AY114" s="115"/>
      <c r="AZ114" s="115"/>
      <c r="BA114" s="115"/>
      <c r="BB114" s="115"/>
      <c r="BC114" s="115"/>
      <c r="BD114" s="115"/>
      <c r="BE114" s="115"/>
      <c r="BF114" s="115"/>
    </row>
    <row r="115" spans="1:58">
      <c r="A115" s="115"/>
      <c r="B115" s="115"/>
      <c r="C115" s="115"/>
      <c r="D115" s="123"/>
      <c r="E115" s="115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15"/>
      <c r="AF115" s="115"/>
      <c r="AG115" s="115"/>
      <c r="AH115" s="115"/>
      <c r="AI115" s="115"/>
      <c r="AJ115" s="115"/>
      <c r="AK115" s="115"/>
      <c r="AL115" s="115"/>
      <c r="AM115" s="115"/>
      <c r="AN115" s="115"/>
      <c r="AO115" s="115"/>
      <c r="AP115" s="115"/>
      <c r="AQ115" s="115"/>
      <c r="AR115" s="115"/>
      <c r="AS115" s="115"/>
      <c r="AT115" s="115"/>
      <c r="AU115" s="115"/>
      <c r="AV115" s="115"/>
      <c r="AW115" s="115"/>
      <c r="AX115" s="115"/>
      <c r="AY115" s="115"/>
      <c r="AZ115" s="115"/>
      <c r="BA115" s="115"/>
      <c r="BB115" s="115"/>
      <c r="BC115" s="115"/>
      <c r="BD115" s="115"/>
      <c r="BE115" s="115"/>
      <c r="BF115" s="115"/>
    </row>
    <row r="116" spans="1:58">
      <c r="A116" s="115"/>
      <c r="B116" s="115"/>
      <c r="C116" s="115"/>
      <c r="D116" s="123"/>
      <c r="E116" s="115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15"/>
      <c r="AF116" s="115"/>
      <c r="AG116" s="115"/>
      <c r="AH116" s="115"/>
      <c r="AI116" s="115"/>
      <c r="AJ116" s="115"/>
      <c r="AK116" s="115"/>
      <c r="AL116" s="115"/>
      <c r="AM116" s="115"/>
      <c r="AN116" s="115"/>
      <c r="AO116" s="115"/>
      <c r="AP116" s="115"/>
      <c r="AQ116" s="115"/>
      <c r="AR116" s="115"/>
      <c r="AS116" s="115"/>
      <c r="AT116" s="115"/>
      <c r="AU116" s="115"/>
      <c r="AV116" s="115"/>
      <c r="AW116" s="115"/>
      <c r="AX116" s="115"/>
      <c r="AY116" s="115"/>
      <c r="AZ116" s="115"/>
      <c r="BA116" s="115"/>
      <c r="BB116" s="115"/>
      <c r="BC116" s="115"/>
      <c r="BD116" s="115"/>
      <c r="BE116" s="115"/>
      <c r="BF116" s="115"/>
    </row>
    <row r="117" spans="1:58">
      <c r="A117" s="115"/>
      <c r="B117" s="115"/>
      <c r="C117" s="115"/>
      <c r="D117" s="123"/>
      <c r="E117" s="115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15"/>
      <c r="AF117" s="115"/>
      <c r="AG117" s="115"/>
      <c r="AH117" s="115"/>
      <c r="AI117" s="115"/>
      <c r="AJ117" s="115"/>
      <c r="AK117" s="115"/>
      <c r="AL117" s="115"/>
      <c r="AM117" s="115"/>
      <c r="AN117" s="115"/>
      <c r="AO117" s="115"/>
      <c r="AP117" s="115"/>
      <c r="AQ117" s="115"/>
      <c r="AR117" s="115"/>
      <c r="AS117" s="115"/>
      <c r="AT117" s="115"/>
      <c r="AU117" s="115"/>
      <c r="AV117" s="115"/>
      <c r="AW117" s="115"/>
      <c r="AX117" s="115"/>
      <c r="AY117" s="115"/>
      <c r="AZ117" s="115"/>
      <c r="BA117" s="115"/>
      <c r="BB117" s="115"/>
      <c r="BC117" s="115"/>
      <c r="BD117" s="115"/>
      <c r="BE117" s="115"/>
      <c r="BF117" s="115"/>
    </row>
    <row r="118" spans="1:58">
      <c r="A118" s="115"/>
      <c r="B118" s="115"/>
      <c r="C118" s="115"/>
      <c r="D118" s="123"/>
      <c r="E118" s="115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115"/>
      <c r="AF118" s="115"/>
      <c r="AG118" s="115"/>
      <c r="AH118" s="115"/>
      <c r="AI118" s="115"/>
      <c r="AJ118" s="115"/>
      <c r="AK118" s="115"/>
      <c r="AL118" s="115"/>
      <c r="AM118" s="115"/>
      <c r="AN118" s="115"/>
      <c r="AO118" s="115"/>
      <c r="AP118" s="115"/>
      <c r="AQ118" s="115"/>
      <c r="AR118" s="115"/>
      <c r="AS118" s="115"/>
      <c r="AT118" s="115"/>
      <c r="AU118" s="115"/>
      <c r="AV118" s="115"/>
      <c r="AW118" s="115"/>
      <c r="AX118" s="115"/>
      <c r="AY118" s="115"/>
      <c r="AZ118" s="115"/>
      <c r="BA118" s="115"/>
      <c r="BB118" s="115"/>
      <c r="BC118" s="115"/>
      <c r="BD118" s="115"/>
      <c r="BE118" s="115"/>
      <c r="BF118" s="115"/>
    </row>
    <row r="119" spans="1:58">
      <c r="A119" s="115"/>
      <c r="B119" s="115"/>
      <c r="C119" s="115"/>
      <c r="D119" s="123"/>
      <c r="E119" s="115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115"/>
      <c r="AF119" s="115"/>
      <c r="AG119" s="115"/>
      <c r="AH119" s="115"/>
      <c r="AI119" s="115"/>
      <c r="AJ119" s="115"/>
      <c r="AK119" s="115"/>
      <c r="AL119" s="115"/>
      <c r="AM119" s="115"/>
      <c r="AN119" s="115"/>
      <c r="AO119" s="115"/>
      <c r="AP119" s="115"/>
      <c r="AQ119" s="115"/>
      <c r="AR119" s="115"/>
      <c r="AS119" s="115"/>
      <c r="AT119" s="115"/>
      <c r="AU119" s="115"/>
      <c r="AV119" s="115"/>
      <c r="AW119" s="115"/>
      <c r="AX119" s="115"/>
      <c r="AY119" s="115"/>
      <c r="AZ119" s="115"/>
      <c r="BA119" s="115"/>
      <c r="BB119" s="115"/>
      <c r="BC119" s="115"/>
      <c r="BD119" s="115"/>
      <c r="BE119" s="115"/>
      <c r="BF119" s="115"/>
    </row>
    <row r="120" spans="1:58">
      <c r="A120" s="115"/>
      <c r="B120" s="115"/>
      <c r="C120" s="115"/>
      <c r="D120" s="123"/>
      <c r="E120" s="115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115"/>
      <c r="AF120" s="115"/>
      <c r="AG120" s="115"/>
      <c r="AH120" s="115"/>
      <c r="AI120" s="115"/>
      <c r="AJ120" s="115"/>
      <c r="AK120" s="115"/>
      <c r="AL120" s="115"/>
      <c r="AM120" s="115"/>
      <c r="AN120" s="115"/>
      <c r="AO120" s="115"/>
      <c r="AP120" s="115"/>
      <c r="AQ120" s="115"/>
      <c r="AR120" s="115"/>
      <c r="AS120" s="115"/>
      <c r="AT120" s="115"/>
      <c r="AU120" s="115"/>
      <c r="AV120" s="115"/>
      <c r="AW120" s="115"/>
      <c r="AX120" s="115"/>
      <c r="AY120" s="115"/>
      <c r="AZ120" s="115"/>
      <c r="BA120" s="115"/>
      <c r="BB120" s="115"/>
      <c r="BC120" s="115"/>
      <c r="BD120" s="115"/>
      <c r="BE120" s="115"/>
      <c r="BF120" s="115"/>
    </row>
    <row r="121" spans="1:58">
      <c r="A121" s="115"/>
      <c r="B121" s="115"/>
      <c r="C121" s="115"/>
      <c r="D121" s="123"/>
      <c r="E121" s="115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115"/>
      <c r="AF121" s="115"/>
      <c r="AG121" s="115"/>
      <c r="AH121" s="115"/>
      <c r="AI121" s="115"/>
      <c r="AJ121" s="115"/>
      <c r="AK121" s="115"/>
      <c r="AL121" s="115"/>
      <c r="AM121" s="115"/>
      <c r="AN121" s="115"/>
      <c r="AO121" s="115"/>
      <c r="AP121" s="115"/>
      <c r="AQ121" s="115"/>
      <c r="AR121" s="115"/>
      <c r="AS121" s="115"/>
      <c r="AT121" s="115"/>
      <c r="AU121" s="115"/>
      <c r="AV121" s="115"/>
      <c r="AW121" s="115"/>
      <c r="AX121" s="115"/>
      <c r="AY121" s="115"/>
      <c r="AZ121" s="115"/>
      <c r="BA121" s="115"/>
      <c r="BB121" s="115"/>
      <c r="BC121" s="115"/>
      <c r="BD121" s="115"/>
      <c r="BE121" s="115"/>
      <c r="BF121" s="115"/>
    </row>
    <row r="122" spans="1:58">
      <c r="A122" s="115"/>
      <c r="B122" s="115"/>
      <c r="C122" s="115"/>
      <c r="D122" s="123"/>
      <c r="E122" s="115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15"/>
      <c r="AF122" s="115"/>
      <c r="AG122" s="115"/>
      <c r="AH122" s="115"/>
      <c r="AI122" s="115"/>
      <c r="AJ122" s="115"/>
      <c r="AK122" s="115"/>
      <c r="AL122" s="115"/>
      <c r="AM122" s="115"/>
      <c r="AN122" s="115"/>
      <c r="AO122" s="115"/>
      <c r="AP122" s="115"/>
      <c r="AQ122" s="115"/>
      <c r="AR122" s="115"/>
      <c r="AS122" s="115"/>
      <c r="AT122" s="115"/>
      <c r="AU122" s="115"/>
      <c r="AV122" s="115"/>
      <c r="AW122" s="115"/>
      <c r="AX122" s="115"/>
      <c r="AY122" s="115"/>
      <c r="AZ122" s="115"/>
      <c r="BA122" s="115"/>
      <c r="BB122" s="115"/>
      <c r="BC122" s="115"/>
      <c r="BD122" s="115"/>
      <c r="BE122" s="115"/>
      <c r="BF122" s="115"/>
    </row>
    <row r="123" spans="1:58">
      <c r="A123" s="115"/>
      <c r="B123" s="115"/>
      <c r="C123" s="115"/>
      <c r="D123" s="123"/>
      <c r="E123" s="115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15"/>
      <c r="AF123" s="115"/>
      <c r="AG123" s="115"/>
      <c r="AH123" s="115"/>
      <c r="AI123" s="115"/>
      <c r="AJ123" s="115"/>
      <c r="AK123" s="115"/>
      <c r="AL123" s="115"/>
      <c r="AM123" s="115"/>
      <c r="AN123" s="115"/>
      <c r="AO123" s="115"/>
      <c r="AP123" s="115"/>
      <c r="AQ123" s="115"/>
      <c r="AR123" s="115"/>
      <c r="AS123" s="115"/>
      <c r="AT123" s="115"/>
      <c r="AU123" s="115"/>
      <c r="AV123" s="115"/>
      <c r="AW123" s="115"/>
      <c r="AX123" s="115"/>
      <c r="AY123" s="115"/>
      <c r="AZ123" s="115"/>
      <c r="BA123" s="115"/>
      <c r="BB123" s="115"/>
      <c r="BC123" s="115"/>
      <c r="BD123" s="115"/>
      <c r="BE123" s="115"/>
      <c r="BF123" s="115"/>
    </row>
    <row r="124" spans="1:58">
      <c r="A124" s="115"/>
      <c r="B124" s="115"/>
      <c r="C124" s="115"/>
      <c r="D124" s="123"/>
      <c r="E124" s="115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15"/>
      <c r="AF124" s="115"/>
      <c r="AG124" s="115"/>
      <c r="AH124" s="115"/>
      <c r="AI124" s="115"/>
      <c r="AJ124" s="115"/>
      <c r="AK124" s="115"/>
      <c r="AL124" s="115"/>
      <c r="AM124" s="115"/>
      <c r="AN124" s="115"/>
      <c r="AO124" s="115"/>
      <c r="AP124" s="115"/>
      <c r="AQ124" s="115"/>
      <c r="AR124" s="115"/>
      <c r="AS124" s="115"/>
      <c r="AT124" s="115"/>
      <c r="AU124" s="115"/>
      <c r="AV124" s="115"/>
      <c r="AW124" s="115"/>
      <c r="AX124" s="115"/>
      <c r="AY124" s="115"/>
      <c r="AZ124" s="115"/>
      <c r="BA124" s="115"/>
      <c r="BB124" s="115"/>
      <c r="BC124" s="115"/>
      <c r="BD124" s="115"/>
      <c r="BE124" s="115"/>
      <c r="BF124" s="115"/>
    </row>
    <row r="125" spans="1:58">
      <c r="A125" s="115"/>
      <c r="B125" s="115"/>
      <c r="C125" s="115"/>
      <c r="D125" s="123"/>
      <c r="E125" s="115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15"/>
      <c r="AF125" s="115"/>
      <c r="AG125" s="115"/>
      <c r="AH125" s="115"/>
      <c r="AI125" s="115"/>
      <c r="AJ125" s="115"/>
      <c r="AK125" s="115"/>
      <c r="AL125" s="115"/>
      <c r="AM125" s="115"/>
      <c r="AN125" s="115"/>
      <c r="AO125" s="115"/>
      <c r="AP125" s="115"/>
      <c r="AQ125" s="115"/>
      <c r="AR125" s="115"/>
      <c r="AS125" s="115"/>
      <c r="AT125" s="115"/>
      <c r="AU125" s="115"/>
      <c r="AV125" s="115"/>
      <c r="AW125" s="115"/>
      <c r="AX125" s="115"/>
      <c r="AY125" s="115"/>
      <c r="AZ125" s="115"/>
      <c r="BA125" s="115"/>
      <c r="BB125" s="115"/>
      <c r="BC125" s="115"/>
      <c r="BD125" s="115"/>
      <c r="BE125" s="115"/>
      <c r="BF125" s="115"/>
    </row>
    <row r="126" spans="1:58">
      <c r="A126" s="115"/>
      <c r="B126" s="115"/>
      <c r="C126" s="115"/>
      <c r="D126" s="123"/>
      <c r="E126" s="115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15"/>
      <c r="AF126" s="115"/>
      <c r="AG126" s="115"/>
      <c r="AH126" s="115"/>
      <c r="AI126" s="115"/>
      <c r="AJ126" s="115"/>
      <c r="AK126" s="115"/>
      <c r="AL126" s="115"/>
      <c r="AM126" s="115"/>
      <c r="AN126" s="115"/>
      <c r="AO126" s="115"/>
      <c r="AP126" s="115"/>
      <c r="AQ126" s="115"/>
      <c r="AR126" s="115"/>
      <c r="AS126" s="115"/>
      <c r="AT126" s="115"/>
      <c r="AU126" s="115"/>
      <c r="AV126" s="115"/>
      <c r="AW126" s="115"/>
      <c r="AX126" s="115"/>
      <c r="AY126" s="115"/>
      <c r="AZ126" s="115"/>
      <c r="BA126" s="115"/>
      <c r="BB126" s="115"/>
      <c r="BC126" s="115"/>
      <c r="BD126" s="115"/>
      <c r="BE126" s="115"/>
      <c r="BF126" s="115"/>
    </row>
    <row r="127" spans="1:58">
      <c r="A127" s="115"/>
      <c r="B127" s="115"/>
      <c r="C127" s="115"/>
      <c r="D127" s="123"/>
      <c r="E127" s="115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15"/>
      <c r="AF127" s="115"/>
      <c r="AG127" s="115"/>
      <c r="AH127" s="115"/>
      <c r="AI127" s="115"/>
      <c r="AJ127" s="115"/>
      <c r="AK127" s="115"/>
      <c r="AL127" s="115"/>
      <c r="AM127" s="115"/>
      <c r="AN127" s="115"/>
      <c r="AO127" s="115"/>
      <c r="AP127" s="115"/>
      <c r="AQ127" s="115"/>
      <c r="AR127" s="115"/>
      <c r="AS127" s="115"/>
      <c r="AT127" s="115"/>
      <c r="AU127" s="115"/>
      <c r="AV127" s="115"/>
      <c r="AW127" s="115"/>
      <c r="AX127" s="115"/>
      <c r="AY127" s="115"/>
      <c r="AZ127" s="115"/>
      <c r="BA127" s="115"/>
      <c r="BB127" s="115"/>
      <c r="BC127" s="115"/>
      <c r="BD127" s="115"/>
      <c r="BE127" s="115"/>
      <c r="BF127" s="115"/>
    </row>
    <row r="128" spans="1:58">
      <c r="A128" s="115"/>
      <c r="B128" s="115"/>
      <c r="C128" s="115"/>
      <c r="D128" s="123"/>
      <c r="E128" s="115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15"/>
      <c r="AF128" s="115"/>
      <c r="AG128" s="115"/>
      <c r="AH128" s="115"/>
      <c r="AI128" s="115"/>
      <c r="AJ128" s="115"/>
      <c r="AK128" s="115"/>
      <c r="AL128" s="115"/>
      <c r="AM128" s="115"/>
      <c r="AN128" s="115"/>
      <c r="AO128" s="115"/>
      <c r="AP128" s="115"/>
      <c r="AQ128" s="115"/>
      <c r="AR128" s="115"/>
      <c r="AS128" s="115"/>
      <c r="AT128" s="115"/>
      <c r="AU128" s="115"/>
      <c r="AV128" s="115"/>
      <c r="AW128" s="115"/>
      <c r="AX128" s="115"/>
      <c r="AY128" s="115"/>
      <c r="AZ128" s="115"/>
      <c r="BA128" s="115"/>
      <c r="BB128" s="115"/>
      <c r="BC128" s="115"/>
      <c r="BD128" s="115"/>
      <c r="BE128" s="115"/>
      <c r="BF128" s="115"/>
    </row>
    <row r="129" spans="1:71">
      <c r="A129" s="115"/>
      <c r="B129" s="115"/>
      <c r="C129" s="115"/>
      <c r="D129" s="123"/>
      <c r="E129" s="115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15"/>
      <c r="AF129" s="115"/>
      <c r="AG129" s="115"/>
      <c r="AH129" s="115"/>
      <c r="AI129" s="115"/>
      <c r="AJ129" s="115"/>
      <c r="AK129" s="115"/>
      <c r="AL129" s="115"/>
      <c r="AM129" s="115"/>
      <c r="AN129" s="115"/>
      <c r="AO129" s="115"/>
      <c r="AP129" s="115"/>
      <c r="AQ129" s="115"/>
      <c r="AR129" s="115"/>
      <c r="AS129" s="115"/>
      <c r="AT129" s="115"/>
      <c r="AU129" s="115"/>
      <c r="AV129" s="115"/>
      <c r="AW129" s="115"/>
      <c r="AX129" s="115"/>
      <c r="AY129" s="115"/>
      <c r="AZ129" s="115"/>
      <c r="BA129" s="115"/>
      <c r="BB129" s="115"/>
      <c r="BC129" s="115"/>
      <c r="BD129" s="115"/>
      <c r="BE129" s="115"/>
      <c r="BF129" s="115"/>
    </row>
    <row r="130" spans="1:71">
      <c r="A130" s="115"/>
      <c r="B130" s="115"/>
      <c r="C130" s="115"/>
      <c r="D130" s="123"/>
      <c r="E130" s="115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15"/>
      <c r="AF130" s="115"/>
      <c r="AG130" s="115"/>
      <c r="AH130" s="115"/>
      <c r="AI130" s="115"/>
      <c r="AJ130" s="115"/>
      <c r="AK130" s="115"/>
      <c r="AL130" s="115"/>
      <c r="AM130" s="115"/>
      <c r="AN130" s="115"/>
      <c r="AO130" s="115"/>
      <c r="AP130" s="115"/>
      <c r="AQ130" s="115"/>
      <c r="AR130" s="115"/>
      <c r="AS130" s="115"/>
      <c r="AT130" s="115"/>
      <c r="AU130" s="115"/>
      <c r="AV130" s="115"/>
      <c r="AW130" s="115"/>
      <c r="AX130" s="115"/>
      <c r="AY130" s="115"/>
      <c r="AZ130" s="115"/>
      <c r="BA130" s="115"/>
      <c r="BB130" s="115"/>
      <c r="BC130" s="115"/>
      <c r="BD130" s="115"/>
      <c r="BE130" s="115"/>
      <c r="BF130" s="115"/>
    </row>
    <row r="131" spans="1:71">
      <c r="A131" s="115"/>
      <c r="B131" s="115"/>
      <c r="C131" s="115"/>
      <c r="D131" s="123"/>
      <c r="E131" s="115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15"/>
      <c r="AF131" s="115"/>
      <c r="AG131" s="115"/>
      <c r="AH131" s="115"/>
      <c r="AI131" s="115"/>
      <c r="AJ131" s="115"/>
      <c r="AK131" s="115"/>
      <c r="AL131" s="115"/>
      <c r="AM131" s="115"/>
      <c r="AN131" s="115"/>
      <c r="AO131" s="115"/>
      <c r="AP131" s="115"/>
      <c r="AQ131" s="115"/>
      <c r="AR131" s="115"/>
      <c r="AS131" s="115"/>
      <c r="AT131" s="115"/>
      <c r="AU131" s="115"/>
      <c r="AV131" s="115"/>
      <c r="AW131" s="115"/>
      <c r="AX131" s="115"/>
      <c r="AY131" s="115"/>
      <c r="AZ131" s="115"/>
      <c r="BA131" s="115"/>
      <c r="BB131" s="115"/>
      <c r="BC131" s="115"/>
      <c r="BD131" s="115"/>
      <c r="BE131" s="115"/>
      <c r="BF131" s="115"/>
    </row>
    <row r="132" spans="1:71">
      <c r="A132" s="115"/>
      <c r="B132" s="115"/>
      <c r="C132" s="115"/>
      <c r="D132" s="123"/>
      <c r="E132" s="115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15"/>
      <c r="AF132" s="115"/>
      <c r="AG132" s="115"/>
      <c r="AH132" s="115"/>
      <c r="AI132" s="115"/>
      <c r="AJ132" s="115"/>
      <c r="AK132" s="115"/>
      <c r="AL132" s="115"/>
      <c r="AM132" s="115"/>
      <c r="AN132" s="115"/>
      <c r="AO132" s="115"/>
      <c r="AP132" s="115"/>
      <c r="AQ132" s="115"/>
      <c r="AR132" s="115"/>
      <c r="AS132" s="115"/>
      <c r="AT132" s="115"/>
      <c r="AU132" s="115"/>
      <c r="AV132" s="115"/>
      <c r="AW132" s="115"/>
      <c r="AX132" s="115"/>
      <c r="AY132" s="115"/>
      <c r="AZ132" s="115"/>
      <c r="BA132" s="115"/>
      <c r="BB132" s="115"/>
      <c r="BC132" s="115"/>
      <c r="BD132" s="115"/>
      <c r="BE132" s="115"/>
      <c r="BF132" s="115"/>
    </row>
    <row r="133" spans="1:71">
      <c r="A133" s="115"/>
      <c r="B133" s="115"/>
      <c r="C133" s="115"/>
      <c r="D133" s="123"/>
      <c r="E133" s="115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15"/>
      <c r="AF133" s="115"/>
      <c r="AG133" s="115"/>
      <c r="AH133" s="115"/>
      <c r="AI133" s="115"/>
      <c r="AJ133" s="115"/>
      <c r="AK133" s="115"/>
      <c r="AL133" s="115"/>
      <c r="AM133" s="115"/>
      <c r="AN133" s="115"/>
      <c r="AO133" s="115"/>
      <c r="AP133" s="115"/>
      <c r="AQ133" s="115"/>
      <c r="AR133" s="115"/>
      <c r="AS133" s="115"/>
      <c r="AT133" s="115"/>
      <c r="AU133" s="115"/>
      <c r="AV133" s="115"/>
      <c r="AW133" s="115"/>
      <c r="AX133" s="115"/>
      <c r="AY133" s="115"/>
      <c r="AZ133" s="115"/>
      <c r="BA133" s="115"/>
      <c r="BB133" s="115"/>
      <c r="BC133" s="115"/>
      <c r="BD133" s="115"/>
      <c r="BE133" s="115"/>
      <c r="BF133" s="115"/>
    </row>
    <row r="134" spans="1:71">
      <c r="A134" s="115"/>
      <c r="B134" s="115"/>
      <c r="C134" s="115"/>
      <c r="D134" s="123"/>
      <c r="E134" s="115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15"/>
      <c r="AF134" s="115"/>
      <c r="AG134" s="115"/>
      <c r="AH134" s="115"/>
      <c r="AI134" s="115"/>
      <c r="AJ134" s="115"/>
      <c r="AK134" s="115"/>
      <c r="AL134" s="115"/>
      <c r="AM134" s="115"/>
      <c r="AN134" s="115"/>
      <c r="AO134" s="115"/>
      <c r="AP134" s="115"/>
      <c r="AQ134" s="115"/>
      <c r="AR134" s="115"/>
      <c r="AS134" s="115"/>
      <c r="AT134" s="115"/>
      <c r="AU134" s="115"/>
      <c r="AV134" s="115"/>
      <c r="AW134" s="115"/>
      <c r="AX134" s="115"/>
      <c r="AY134" s="115"/>
      <c r="AZ134" s="115"/>
      <c r="BA134" s="115"/>
      <c r="BB134" s="115"/>
      <c r="BC134" s="115"/>
      <c r="BD134" s="115"/>
      <c r="BE134" s="115"/>
      <c r="BF134" s="115"/>
    </row>
    <row r="135" spans="1:71">
      <c r="A135" s="115"/>
      <c r="B135" s="115"/>
      <c r="C135" s="115"/>
      <c r="D135" s="123"/>
      <c r="E135" s="115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15"/>
      <c r="AF135" s="115"/>
      <c r="AG135" s="115"/>
      <c r="AH135" s="115"/>
      <c r="AI135" s="115"/>
      <c r="AJ135" s="115"/>
      <c r="AK135" s="115"/>
      <c r="AL135" s="115"/>
      <c r="AM135" s="115"/>
      <c r="AN135" s="115"/>
      <c r="AO135" s="115"/>
      <c r="AP135" s="115"/>
      <c r="AQ135" s="115"/>
      <c r="AR135" s="115"/>
      <c r="AS135" s="115"/>
      <c r="AT135" s="115"/>
      <c r="AU135" s="115"/>
      <c r="AV135" s="115"/>
      <c r="AW135" s="115"/>
      <c r="AX135" s="115"/>
      <c r="AY135" s="115"/>
      <c r="AZ135" s="115"/>
      <c r="BA135" s="115"/>
      <c r="BB135" s="115"/>
      <c r="BC135" s="115"/>
      <c r="BD135" s="115"/>
      <c r="BE135" s="115"/>
      <c r="BF135" s="115"/>
    </row>
    <row r="136" spans="1:71">
      <c r="A136" s="115"/>
      <c r="B136" s="115"/>
      <c r="C136" s="115"/>
      <c r="D136" s="123"/>
      <c r="E136" s="115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15"/>
      <c r="AF136" s="115"/>
      <c r="AG136" s="115"/>
      <c r="AH136" s="115"/>
      <c r="AI136" s="115"/>
      <c r="AJ136" s="115"/>
      <c r="AK136" s="115"/>
      <c r="AL136" s="115"/>
      <c r="AM136" s="115"/>
      <c r="AN136" s="115"/>
      <c r="AO136" s="115"/>
      <c r="AP136" s="115"/>
      <c r="AQ136" s="115"/>
      <c r="AR136" s="115"/>
      <c r="AS136" s="115"/>
      <c r="AT136" s="115"/>
      <c r="AU136" s="115"/>
      <c r="AV136" s="115"/>
      <c r="AW136" s="115"/>
      <c r="AX136" s="115"/>
      <c r="AY136" s="115"/>
      <c r="AZ136" s="115"/>
      <c r="BA136" s="115"/>
      <c r="BB136" s="115"/>
      <c r="BC136" s="115"/>
      <c r="BD136" s="115"/>
      <c r="BE136" s="115"/>
      <c r="BF136" s="115"/>
    </row>
    <row r="137" spans="1:71">
      <c r="A137" s="115"/>
      <c r="B137" s="115"/>
      <c r="C137" s="115"/>
      <c r="D137" s="123"/>
      <c r="E137" s="115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15"/>
      <c r="AF137" s="115"/>
      <c r="AG137" s="115"/>
      <c r="AH137" s="115"/>
      <c r="AI137" s="115"/>
      <c r="AJ137" s="115"/>
      <c r="AK137" s="115"/>
      <c r="AL137" s="115"/>
      <c r="AM137" s="115"/>
      <c r="AN137" s="115"/>
      <c r="AO137" s="115"/>
      <c r="AP137" s="115"/>
      <c r="AQ137" s="115"/>
      <c r="AR137" s="115"/>
      <c r="AS137" s="115"/>
      <c r="AT137" s="115"/>
      <c r="AU137" s="115"/>
      <c r="AV137" s="115"/>
      <c r="AW137" s="115"/>
      <c r="AX137" s="115"/>
      <c r="AY137" s="115"/>
      <c r="AZ137" s="115"/>
      <c r="BA137" s="115"/>
      <c r="BB137" s="115"/>
      <c r="BC137" s="115"/>
      <c r="BD137" s="115"/>
      <c r="BE137" s="115"/>
      <c r="BF137" s="115"/>
    </row>
    <row r="138" spans="1:71">
      <c r="A138" s="115"/>
      <c r="B138" s="115"/>
      <c r="C138" s="115"/>
      <c r="D138" s="123"/>
      <c r="E138" s="115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15"/>
      <c r="AF138" s="115"/>
      <c r="AG138" s="115"/>
      <c r="AH138" s="115"/>
      <c r="AI138" s="115"/>
      <c r="AJ138" s="115"/>
      <c r="AK138" s="115"/>
      <c r="AL138" s="115"/>
      <c r="AM138" s="115"/>
      <c r="AN138" s="115"/>
      <c r="AO138" s="115"/>
      <c r="AP138" s="115"/>
      <c r="AQ138" s="115"/>
      <c r="AR138" s="115"/>
      <c r="AS138" s="115"/>
      <c r="AT138" s="115"/>
      <c r="AU138" s="115"/>
      <c r="AV138" s="115"/>
      <c r="AW138" s="115"/>
      <c r="AX138" s="115"/>
      <c r="AY138" s="115"/>
      <c r="AZ138" s="115"/>
      <c r="BA138" s="115"/>
      <c r="BB138" s="115"/>
      <c r="BC138" s="115"/>
      <c r="BD138" s="115"/>
      <c r="BE138" s="115"/>
      <c r="BF138" s="115"/>
    </row>
    <row r="139" spans="1:71">
      <c r="A139" s="115"/>
      <c r="B139" s="115"/>
      <c r="C139" s="115"/>
      <c r="D139" s="123"/>
      <c r="E139" s="115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15"/>
      <c r="AF139" s="115"/>
      <c r="AG139" s="115"/>
      <c r="AH139" s="115"/>
      <c r="AI139" s="115"/>
      <c r="AJ139" s="115"/>
      <c r="AK139" s="115"/>
      <c r="AL139" s="115"/>
      <c r="AM139" s="115"/>
      <c r="AN139" s="115"/>
      <c r="AO139" s="115"/>
      <c r="AP139" s="115"/>
      <c r="AQ139" s="115"/>
      <c r="AR139" s="115"/>
      <c r="AS139" s="115"/>
      <c r="AT139" s="115"/>
      <c r="AU139" s="115"/>
      <c r="AV139" s="115"/>
      <c r="AW139" s="115"/>
      <c r="AX139" s="115"/>
      <c r="AY139" s="115"/>
      <c r="AZ139" s="115"/>
      <c r="BA139" s="115"/>
      <c r="BB139" s="115"/>
      <c r="BC139" s="115"/>
      <c r="BD139" s="115"/>
      <c r="BE139" s="115"/>
      <c r="BF139" s="115"/>
    </row>
    <row r="140" spans="1:71">
      <c r="A140" s="115"/>
      <c r="B140" s="115"/>
      <c r="C140" s="115"/>
      <c r="D140" s="123"/>
      <c r="E140" s="115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115"/>
      <c r="AF140" s="115"/>
      <c r="AG140" s="115"/>
      <c r="AH140" s="115"/>
      <c r="AI140" s="115"/>
      <c r="AJ140" s="115"/>
      <c r="AK140" s="115"/>
      <c r="AL140" s="115"/>
      <c r="AM140" s="115"/>
      <c r="AN140" s="115"/>
      <c r="AO140" s="115"/>
      <c r="AP140" s="115"/>
      <c r="AQ140" s="115"/>
      <c r="AR140" s="115"/>
      <c r="AS140" s="115"/>
      <c r="AT140" s="115"/>
      <c r="AU140" s="115"/>
      <c r="AV140" s="115"/>
      <c r="AW140" s="115"/>
      <c r="AX140" s="115"/>
      <c r="AY140" s="115"/>
      <c r="AZ140" s="115"/>
      <c r="BA140" s="115"/>
      <c r="BB140" s="115"/>
      <c r="BC140" s="115"/>
      <c r="BD140" s="115"/>
      <c r="BE140" s="115"/>
      <c r="BF140" s="115"/>
    </row>
    <row r="141" spans="1:71">
      <c r="A141" s="115"/>
      <c r="B141" s="115"/>
      <c r="C141" s="115"/>
      <c r="D141" s="123"/>
      <c r="E141" s="115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115"/>
      <c r="AF141" s="115"/>
      <c r="AG141" s="115"/>
      <c r="AH141" s="115"/>
      <c r="AI141" s="115"/>
      <c r="AJ141" s="115"/>
      <c r="AK141" s="115"/>
      <c r="AL141" s="115"/>
      <c r="AM141" s="115"/>
      <c r="AN141" s="115"/>
      <c r="AO141" s="115"/>
      <c r="AP141" s="115"/>
      <c r="AQ141" s="115"/>
      <c r="AR141" s="115"/>
      <c r="AS141" s="115"/>
      <c r="AT141" s="115"/>
      <c r="AU141" s="115"/>
      <c r="AV141" s="115"/>
      <c r="AW141" s="115"/>
      <c r="AX141" s="115"/>
      <c r="AY141" s="115"/>
      <c r="AZ141" s="115"/>
      <c r="BA141" s="115"/>
      <c r="BB141" s="115"/>
      <c r="BC141" s="115"/>
      <c r="BD141" s="115"/>
      <c r="BE141" s="115"/>
      <c r="BF141" s="115"/>
    </row>
    <row r="142" spans="1:71">
      <c r="A142" s="115"/>
      <c r="B142" s="115"/>
      <c r="C142" s="115"/>
      <c r="D142" s="123"/>
      <c r="E142" s="115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115"/>
      <c r="AF142" s="115"/>
      <c r="AG142" s="115"/>
      <c r="AH142" s="115"/>
      <c r="AI142" s="115"/>
      <c r="AJ142" s="115"/>
      <c r="AK142" s="115"/>
      <c r="AL142" s="115"/>
      <c r="AM142" s="115"/>
      <c r="AN142" s="115"/>
      <c r="AO142" s="115"/>
      <c r="AP142" s="115"/>
      <c r="AQ142" s="115"/>
      <c r="AR142" s="115"/>
      <c r="AS142" s="115"/>
      <c r="AT142" s="115"/>
      <c r="AU142" s="115"/>
      <c r="AV142" s="115"/>
      <c r="AW142" s="115"/>
      <c r="AX142" s="115"/>
      <c r="AY142" s="115"/>
      <c r="AZ142" s="115"/>
      <c r="BA142" s="115"/>
      <c r="BB142" s="115"/>
      <c r="BC142" s="115"/>
      <c r="BD142" s="115"/>
      <c r="BE142" s="115"/>
      <c r="BF142" s="115"/>
    </row>
    <row r="143" spans="1:71" s="1" customFormat="1">
      <c r="A143" s="118"/>
      <c r="B143" s="110"/>
      <c r="C143" s="111"/>
      <c r="D143" s="112"/>
      <c r="E143" s="110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15"/>
      <c r="AF143" s="115"/>
      <c r="AG143" s="115"/>
      <c r="AH143" s="115"/>
      <c r="AI143" s="115"/>
      <c r="AJ143" s="115"/>
      <c r="AK143" s="115"/>
      <c r="AL143" s="115"/>
      <c r="AM143" s="115"/>
      <c r="AN143" s="115"/>
      <c r="AO143" s="115"/>
      <c r="AP143" s="115"/>
      <c r="AQ143" s="115"/>
      <c r="AR143" s="115"/>
      <c r="AS143" s="115"/>
      <c r="AT143" s="115"/>
      <c r="AU143" s="115"/>
      <c r="AV143" s="115"/>
      <c r="AW143" s="115"/>
      <c r="AX143" s="115"/>
      <c r="AY143" s="115"/>
      <c r="AZ143" s="115"/>
      <c r="BA143" s="115"/>
      <c r="BB143" s="115"/>
      <c r="BC143" s="115"/>
      <c r="BD143" s="115"/>
      <c r="BE143" s="115"/>
      <c r="BF143" s="115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</row>
    <row r="144" spans="1:71" s="1" customFormat="1">
      <c r="A144" s="118"/>
      <c r="B144" s="110"/>
      <c r="C144" s="111"/>
      <c r="D144" s="112"/>
      <c r="E144" s="110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15"/>
      <c r="AF144" s="115"/>
      <c r="AG144" s="115"/>
      <c r="AH144" s="115"/>
      <c r="AI144" s="115"/>
      <c r="AJ144" s="115"/>
      <c r="AK144" s="115"/>
      <c r="AL144" s="115"/>
      <c r="AM144" s="115"/>
      <c r="AN144" s="115"/>
      <c r="AO144" s="115"/>
      <c r="AP144" s="115"/>
      <c r="AQ144" s="115"/>
      <c r="AR144" s="115"/>
      <c r="AS144" s="115"/>
      <c r="AT144" s="115"/>
      <c r="AU144" s="115"/>
      <c r="AV144" s="115"/>
      <c r="AW144" s="115"/>
      <c r="AX144" s="115"/>
      <c r="AY144" s="115"/>
      <c r="AZ144" s="115"/>
      <c r="BA144" s="115"/>
      <c r="BB144" s="115"/>
      <c r="BC144" s="115"/>
      <c r="BD144" s="115"/>
      <c r="BE144" s="115"/>
      <c r="BF144" s="115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</row>
    <row r="145" spans="1:71" s="1" customFormat="1">
      <c r="A145" s="118"/>
      <c r="B145" s="110"/>
      <c r="C145" s="111"/>
      <c r="D145" s="112"/>
      <c r="E145" s="110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15"/>
      <c r="AF145" s="115"/>
      <c r="AG145" s="115"/>
      <c r="AH145" s="115"/>
      <c r="AI145" s="115"/>
      <c r="AJ145" s="115"/>
      <c r="AK145" s="115"/>
      <c r="AL145" s="115"/>
      <c r="AM145" s="115"/>
      <c r="AN145" s="115"/>
      <c r="AO145" s="115"/>
      <c r="AP145" s="115"/>
      <c r="AQ145" s="115"/>
      <c r="AR145" s="115"/>
      <c r="AS145" s="115"/>
      <c r="AT145" s="115"/>
      <c r="AU145" s="115"/>
      <c r="AV145" s="115"/>
      <c r="AW145" s="115"/>
      <c r="AX145" s="115"/>
      <c r="AY145" s="115"/>
      <c r="AZ145" s="115"/>
      <c r="BA145" s="115"/>
      <c r="BB145" s="115"/>
      <c r="BC145" s="115"/>
      <c r="BD145" s="115"/>
      <c r="BE145" s="115"/>
      <c r="BF145" s="11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</row>
    <row r="146" spans="1:71" s="1" customFormat="1">
      <c r="A146" s="118"/>
      <c r="B146" s="110"/>
      <c r="C146" s="111"/>
      <c r="D146" s="112"/>
      <c r="E146" s="110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15"/>
      <c r="AF146" s="115"/>
      <c r="AG146" s="115"/>
      <c r="AH146" s="115"/>
      <c r="AI146" s="115"/>
      <c r="AJ146" s="115"/>
      <c r="AK146" s="115"/>
      <c r="AL146" s="115"/>
      <c r="AM146" s="115"/>
      <c r="AN146" s="115"/>
      <c r="AO146" s="115"/>
      <c r="AP146" s="115"/>
      <c r="AQ146" s="115"/>
      <c r="AR146" s="115"/>
      <c r="AS146" s="115"/>
      <c r="AT146" s="115"/>
      <c r="AU146" s="115"/>
      <c r="AV146" s="115"/>
      <c r="AW146" s="115"/>
      <c r="AX146" s="115"/>
      <c r="AY146" s="115"/>
      <c r="AZ146" s="115"/>
      <c r="BA146" s="115"/>
      <c r="BB146" s="115"/>
      <c r="BC146" s="115"/>
      <c r="BD146" s="115"/>
      <c r="BE146" s="115"/>
      <c r="BF146" s="115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</row>
    <row r="147" spans="1:71" s="1" customFormat="1">
      <c r="A147" s="118"/>
      <c r="B147" s="110"/>
      <c r="C147" s="111"/>
      <c r="D147" s="112"/>
      <c r="E147" s="110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15"/>
      <c r="AF147" s="115"/>
      <c r="AG147" s="115"/>
      <c r="AH147" s="115"/>
      <c r="AI147" s="115"/>
      <c r="AJ147" s="115"/>
      <c r="AK147" s="115"/>
      <c r="AL147" s="115"/>
      <c r="AM147" s="115"/>
      <c r="AN147" s="115"/>
      <c r="AO147" s="115"/>
      <c r="AP147" s="115"/>
      <c r="AQ147" s="115"/>
      <c r="AR147" s="115"/>
      <c r="AS147" s="115"/>
      <c r="AT147" s="115"/>
      <c r="AU147" s="115"/>
      <c r="AV147" s="115"/>
      <c r="AW147" s="115"/>
      <c r="AX147" s="115"/>
      <c r="AY147" s="115"/>
      <c r="AZ147" s="115"/>
      <c r="BA147" s="115"/>
      <c r="BB147" s="115"/>
      <c r="BC147" s="115"/>
      <c r="BD147" s="115"/>
      <c r="BE147" s="115"/>
      <c r="BF147" s="115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</row>
    <row r="148" spans="1:71" s="1" customFormat="1">
      <c r="A148" s="118"/>
      <c r="B148" s="110"/>
      <c r="C148" s="111"/>
      <c r="D148" s="112"/>
      <c r="E148" s="110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15"/>
      <c r="AF148" s="115"/>
      <c r="AG148" s="115"/>
      <c r="AH148" s="115"/>
      <c r="AI148" s="115"/>
      <c r="AJ148" s="115"/>
      <c r="AK148" s="115"/>
      <c r="AL148" s="115"/>
      <c r="AM148" s="115"/>
      <c r="AN148" s="115"/>
      <c r="AO148" s="115"/>
      <c r="AP148" s="115"/>
      <c r="AQ148" s="115"/>
      <c r="AR148" s="115"/>
      <c r="AS148" s="115"/>
      <c r="AT148" s="115"/>
      <c r="AU148" s="115"/>
      <c r="AV148" s="115"/>
      <c r="AW148" s="115"/>
      <c r="AX148" s="115"/>
      <c r="AY148" s="115"/>
      <c r="AZ148" s="115"/>
      <c r="BA148" s="115"/>
      <c r="BB148" s="115"/>
      <c r="BC148" s="115"/>
      <c r="BD148" s="115"/>
      <c r="BE148" s="115"/>
      <c r="BF148" s="115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</row>
    <row r="149" spans="1:71" s="1" customFormat="1">
      <c r="A149" s="118"/>
      <c r="B149" s="110"/>
      <c r="C149" s="111"/>
      <c r="D149" s="112"/>
      <c r="E149" s="110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115"/>
      <c r="AF149" s="115"/>
      <c r="AG149" s="115"/>
      <c r="AH149" s="115"/>
      <c r="AI149" s="115"/>
      <c r="AJ149" s="115"/>
      <c r="AK149" s="115"/>
      <c r="AL149" s="115"/>
      <c r="AM149" s="115"/>
      <c r="AN149" s="115"/>
      <c r="AO149" s="115"/>
      <c r="AP149" s="115"/>
      <c r="AQ149" s="115"/>
      <c r="AR149" s="115"/>
      <c r="AS149" s="115"/>
      <c r="AT149" s="115"/>
      <c r="AU149" s="115"/>
      <c r="AV149" s="115"/>
      <c r="AW149" s="115"/>
      <c r="AX149" s="115"/>
      <c r="AY149" s="115"/>
      <c r="AZ149" s="115"/>
      <c r="BA149" s="115"/>
      <c r="BB149" s="115"/>
      <c r="BC149" s="115"/>
      <c r="BD149" s="115"/>
      <c r="BE149" s="115"/>
      <c r="BF149" s="115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</row>
    <row r="150" spans="1:71" s="1" customFormat="1">
      <c r="A150" s="118"/>
      <c r="B150" s="110"/>
      <c r="C150" s="111"/>
      <c r="D150" s="112"/>
      <c r="E150" s="110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15"/>
      <c r="AF150" s="115"/>
      <c r="AG150" s="115"/>
      <c r="AH150" s="115"/>
      <c r="AI150" s="115"/>
      <c r="AJ150" s="115"/>
      <c r="AK150" s="115"/>
      <c r="AL150" s="115"/>
      <c r="AM150" s="115"/>
      <c r="AN150" s="115"/>
      <c r="AO150" s="115"/>
      <c r="AP150" s="115"/>
      <c r="AQ150" s="115"/>
      <c r="AR150" s="115"/>
      <c r="AS150" s="115"/>
      <c r="AT150" s="115"/>
      <c r="AU150" s="115"/>
      <c r="AV150" s="115"/>
      <c r="AW150" s="115"/>
      <c r="AX150" s="115"/>
      <c r="AY150" s="115"/>
      <c r="AZ150" s="115"/>
      <c r="BA150" s="115"/>
      <c r="BB150" s="115"/>
      <c r="BC150" s="115"/>
      <c r="BD150" s="115"/>
      <c r="BE150" s="115"/>
      <c r="BF150" s="115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</row>
    <row r="151" spans="1:71" s="1" customFormat="1">
      <c r="A151" s="118"/>
      <c r="B151" s="110"/>
      <c r="C151" s="111"/>
      <c r="D151" s="112"/>
      <c r="E151" s="110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15"/>
      <c r="AF151" s="115"/>
      <c r="AG151" s="115"/>
      <c r="AH151" s="115"/>
      <c r="AI151" s="115"/>
      <c r="AJ151" s="115"/>
      <c r="AK151" s="115"/>
      <c r="AL151" s="115"/>
      <c r="AM151" s="115"/>
      <c r="AN151" s="115"/>
      <c r="AO151" s="115"/>
      <c r="AP151" s="115"/>
      <c r="AQ151" s="115"/>
      <c r="AR151" s="115"/>
      <c r="AS151" s="115"/>
      <c r="AT151" s="115"/>
      <c r="AU151" s="115"/>
      <c r="AV151" s="115"/>
      <c r="AW151" s="115"/>
      <c r="AX151" s="115"/>
      <c r="AY151" s="115"/>
      <c r="AZ151" s="115"/>
      <c r="BA151" s="115"/>
      <c r="BB151" s="115"/>
      <c r="BC151" s="115"/>
      <c r="BD151" s="115"/>
      <c r="BE151" s="115"/>
      <c r="BF151" s="115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</row>
    <row r="152" spans="1:71" s="1" customFormat="1">
      <c r="A152" s="118"/>
      <c r="B152" s="110"/>
      <c r="C152" s="111"/>
      <c r="D152" s="112"/>
      <c r="E152" s="110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15"/>
      <c r="AF152" s="115"/>
      <c r="AG152" s="115"/>
      <c r="AH152" s="115"/>
      <c r="AI152" s="115"/>
      <c r="AJ152" s="115"/>
      <c r="AK152" s="115"/>
      <c r="AL152" s="115"/>
      <c r="AM152" s="115"/>
      <c r="AN152" s="115"/>
      <c r="AO152" s="115"/>
      <c r="AP152" s="115"/>
      <c r="AQ152" s="115"/>
      <c r="AR152" s="115"/>
      <c r="AS152" s="115"/>
      <c r="AT152" s="115"/>
      <c r="AU152" s="115"/>
      <c r="AV152" s="115"/>
      <c r="AW152" s="115"/>
      <c r="AX152" s="115"/>
      <c r="AY152" s="115"/>
      <c r="AZ152" s="115"/>
      <c r="BA152" s="115"/>
      <c r="BB152" s="115"/>
      <c r="BC152" s="115"/>
      <c r="BD152" s="115"/>
      <c r="BE152" s="115"/>
      <c r="BF152" s="115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</row>
    <row r="153" spans="1:71" s="1" customFormat="1">
      <c r="A153" s="118"/>
      <c r="B153" s="110"/>
      <c r="C153" s="111"/>
      <c r="D153" s="112"/>
      <c r="E153" s="110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15"/>
      <c r="AF153" s="115"/>
      <c r="AG153" s="115"/>
      <c r="AH153" s="115"/>
      <c r="AI153" s="115"/>
      <c r="AJ153" s="115"/>
      <c r="AK153" s="115"/>
      <c r="AL153" s="115"/>
      <c r="AM153" s="115"/>
      <c r="AN153" s="115"/>
      <c r="AO153" s="115"/>
      <c r="AP153" s="115"/>
      <c r="AQ153" s="115"/>
      <c r="AR153" s="115"/>
      <c r="AS153" s="115"/>
      <c r="AT153" s="115"/>
      <c r="AU153" s="115"/>
      <c r="AV153" s="115"/>
      <c r="AW153" s="115"/>
      <c r="AX153" s="115"/>
      <c r="AY153" s="115"/>
      <c r="AZ153" s="115"/>
      <c r="BA153" s="115"/>
      <c r="BB153" s="115"/>
      <c r="BC153" s="115"/>
      <c r="BD153" s="115"/>
      <c r="BE153" s="115"/>
      <c r="BF153" s="115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</row>
    <row r="154" spans="1:71" s="1" customFormat="1">
      <c r="A154" s="118"/>
      <c r="B154" s="110"/>
      <c r="C154" s="111"/>
      <c r="D154" s="112"/>
      <c r="E154" s="110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15"/>
      <c r="AF154" s="115"/>
      <c r="AG154" s="115"/>
      <c r="AH154" s="115"/>
      <c r="AI154" s="115"/>
      <c r="AJ154" s="115"/>
      <c r="AK154" s="115"/>
      <c r="AL154" s="115"/>
      <c r="AM154" s="115"/>
      <c r="AN154" s="115"/>
      <c r="AO154" s="115"/>
      <c r="AP154" s="115"/>
      <c r="AQ154" s="115"/>
      <c r="AR154" s="115"/>
      <c r="AS154" s="115"/>
      <c r="AT154" s="115"/>
      <c r="AU154" s="115"/>
      <c r="AV154" s="115"/>
      <c r="AW154" s="115"/>
      <c r="AX154" s="115"/>
      <c r="AY154" s="115"/>
      <c r="AZ154" s="115"/>
      <c r="BA154" s="115"/>
      <c r="BB154" s="115"/>
      <c r="BC154" s="115"/>
      <c r="BD154" s="115"/>
      <c r="BE154" s="115"/>
      <c r="BF154" s="115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</row>
    <row r="155" spans="1:71" s="1" customFormat="1">
      <c r="A155" s="118"/>
      <c r="B155" s="110"/>
      <c r="C155" s="111"/>
      <c r="D155" s="112"/>
      <c r="E155" s="110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15"/>
      <c r="AF155" s="115"/>
      <c r="AG155" s="115"/>
      <c r="AH155" s="115"/>
      <c r="AI155" s="115"/>
      <c r="AJ155" s="115"/>
      <c r="AK155" s="115"/>
      <c r="AL155" s="115"/>
      <c r="AM155" s="115"/>
      <c r="AN155" s="115"/>
      <c r="AO155" s="115"/>
      <c r="AP155" s="115"/>
      <c r="AQ155" s="115"/>
      <c r="AR155" s="115"/>
      <c r="AS155" s="115"/>
      <c r="AT155" s="115"/>
      <c r="AU155" s="115"/>
      <c r="AV155" s="115"/>
      <c r="AW155" s="115"/>
      <c r="AX155" s="115"/>
      <c r="AY155" s="115"/>
      <c r="AZ155" s="115"/>
      <c r="BA155" s="115"/>
      <c r="BB155" s="115"/>
      <c r="BC155" s="115"/>
      <c r="BD155" s="115"/>
      <c r="BE155" s="115"/>
      <c r="BF155" s="11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</row>
    <row r="156" spans="1:71" s="1" customFormat="1">
      <c r="A156" s="118"/>
      <c r="B156" s="110"/>
      <c r="C156" s="111"/>
      <c r="D156" s="112"/>
      <c r="E156" s="110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15"/>
      <c r="AF156" s="115"/>
      <c r="AG156" s="115"/>
      <c r="AH156" s="115"/>
      <c r="AI156" s="115"/>
      <c r="AJ156" s="115"/>
      <c r="AK156" s="115"/>
      <c r="AL156" s="115"/>
      <c r="AM156" s="115"/>
      <c r="AN156" s="115"/>
      <c r="AO156" s="115"/>
      <c r="AP156" s="115"/>
      <c r="AQ156" s="115"/>
      <c r="AR156" s="115"/>
      <c r="AS156" s="115"/>
      <c r="AT156" s="115"/>
      <c r="AU156" s="115"/>
      <c r="AV156" s="115"/>
      <c r="AW156" s="115"/>
      <c r="AX156" s="115"/>
      <c r="AY156" s="115"/>
      <c r="AZ156" s="115"/>
      <c r="BA156" s="115"/>
      <c r="BB156" s="115"/>
      <c r="BC156" s="115"/>
      <c r="BD156" s="115"/>
      <c r="BE156" s="115"/>
      <c r="BF156" s="115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</row>
    <row r="157" spans="1:71" s="1" customFormat="1">
      <c r="A157" s="118"/>
      <c r="B157" s="110"/>
      <c r="C157" s="111"/>
      <c r="D157" s="112"/>
      <c r="E157" s="110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15"/>
      <c r="AF157" s="115"/>
      <c r="AG157" s="115"/>
      <c r="AH157" s="115"/>
      <c r="AI157" s="115"/>
      <c r="AJ157" s="115"/>
      <c r="AK157" s="115"/>
      <c r="AL157" s="115"/>
      <c r="AM157" s="115"/>
      <c r="AN157" s="115"/>
      <c r="AO157" s="115"/>
      <c r="AP157" s="115"/>
      <c r="AQ157" s="115"/>
      <c r="AR157" s="115"/>
      <c r="AS157" s="115"/>
      <c r="AT157" s="115"/>
      <c r="AU157" s="115"/>
      <c r="AV157" s="115"/>
      <c r="AW157" s="115"/>
      <c r="AX157" s="115"/>
      <c r="AY157" s="115"/>
      <c r="AZ157" s="115"/>
      <c r="BA157" s="115"/>
      <c r="BB157" s="115"/>
      <c r="BC157" s="115"/>
      <c r="BD157" s="115"/>
      <c r="BE157" s="115"/>
      <c r="BF157" s="115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</row>
    <row r="158" spans="1:71" s="1" customFormat="1">
      <c r="A158" s="118"/>
      <c r="B158" s="110"/>
      <c r="C158" s="111"/>
      <c r="D158" s="112"/>
      <c r="E158" s="110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15"/>
      <c r="AF158" s="115"/>
      <c r="AG158" s="115"/>
      <c r="AH158" s="115"/>
      <c r="AI158" s="115"/>
      <c r="AJ158" s="115"/>
      <c r="AK158" s="115"/>
      <c r="AL158" s="115"/>
      <c r="AM158" s="115"/>
      <c r="AN158" s="115"/>
      <c r="AO158" s="115"/>
      <c r="AP158" s="115"/>
      <c r="AQ158" s="115"/>
      <c r="AR158" s="115"/>
      <c r="AS158" s="115"/>
      <c r="AT158" s="115"/>
      <c r="AU158" s="115"/>
      <c r="AV158" s="115"/>
      <c r="AW158" s="115"/>
      <c r="AX158" s="115"/>
      <c r="AY158" s="115"/>
      <c r="AZ158" s="115"/>
      <c r="BA158" s="115"/>
      <c r="BB158" s="115"/>
      <c r="BC158" s="115"/>
      <c r="BD158" s="115"/>
      <c r="BE158" s="115"/>
      <c r="BF158" s="115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</row>
    <row r="159" spans="1:71" s="1" customFormat="1">
      <c r="A159" s="118"/>
      <c r="B159" s="110"/>
      <c r="C159" s="111"/>
      <c r="D159" s="112"/>
      <c r="E159" s="110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15"/>
      <c r="AF159" s="115"/>
      <c r="AG159" s="115"/>
      <c r="AH159" s="115"/>
      <c r="AI159" s="115"/>
      <c r="AJ159" s="115"/>
      <c r="AK159" s="115"/>
      <c r="AL159" s="115"/>
      <c r="AM159" s="115"/>
      <c r="AN159" s="115"/>
      <c r="AO159" s="115"/>
      <c r="AP159" s="115"/>
      <c r="AQ159" s="115"/>
      <c r="AR159" s="115"/>
      <c r="AS159" s="115"/>
      <c r="AT159" s="115"/>
      <c r="AU159" s="115"/>
      <c r="AV159" s="115"/>
      <c r="AW159" s="115"/>
      <c r="AX159" s="115"/>
      <c r="AY159" s="115"/>
      <c r="AZ159" s="115"/>
      <c r="BA159" s="115"/>
      <c r="BB159" s="115"/>
      <c r="BC159" s="115"/>
      <c r="BD159" s="115"/>
      <c r="BE159" s="115"/>
      <c r="BF159" s="115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</row>
    <row r="160" spans="1:71" s="1" customFormat="1">
      <c r="A160" s="118"/>
      <c r="B160" s="110"/>
      <c r="C160" s="111"/>
      <c r="D160" s="112"/>
      <c r="E160" s="110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15"/>
      <c r="AF160" s="115"/>
      <c r="AG160" s="115"/>
      <c r="AH160" s="115"/>
      <c r="AI160" s="115"/>
      <c r="AJ160" s="115"/>
      <c r="AK160" s="115"/>
      <c r="AL160" s="115"/>
      <c r="AM160" s="115"/>
      <c r="AN160" s="115"/>
      <c r="AO160" s="115"/>
      <c r="AP160" s="115"/>
      <c r="AQ160" s="115"/>
      <c r="AR160" s="115"/>
      <c r="AS160" s="115"/>
      <c r="AT160" s="115"/>
      <c r="AU160" s="115"/>
      <c r="AV160" s="115"/>
      <c r="AW160" s="115"/>
      <c r="AX160" s="115"/>
      <c r="AY160" s="115"/>
      <c r="AZ160" s="115"/>
      <c r="BA160" s="115"/>
      <c r="BB160" s="115"/>
      <c r="BC160" s="115"/>
      <c r="BD160" s="115"/>
      <c r="BE160" s="115"/>
      <c r="BF160" s="115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</row>
    <row r="161" spans="1:71" s="1" customFormat="1">
      <c r="A161" s="118"/>
      <c r="B161" s="110"/>
      <c r="C161" s="111"/>
      <c r="D161" s="112"/>
      <c r="E161" s="110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15"/>
      <c r="AF161" s="115"/>
      <c r="AG161" s="115"/>
      <c r="AH161" s="115"/>
      <c r="AI161" s="115"/>
      <c r="AJ161" s="115"/>
      <c r="AK161" s="115"/>
      <c r="AL161" s="115"/>
      <c r="AM161" s="115"/>
      <c r="AN161" s="115"/>
      <c r="AO161" s="115"/>
      <c r="AP161" s="115"/>
      <c r="AQ161" s="115"/>
      <c r="AR161" s="115"/>
      <c r="AS161" s="115"/>
      <c r="AT161" s="115"/>
      <c r="AU161" s="115"/>
      <c r="AV161" s="115"/>
      <c r="AW161" s="115"/>
      <c r="AX161" s="115"/>
      <c r="AY161" s="115"/>
      <c r="AZ161" s="115"/>
      <c r="BA161" s="115"/>
      <c r="BB161" s="115"/>
      <c r="BC161" s="115"/>
      <c r="BD161" s="115"/>
      <c r="BE161" s="115"/>
      <c r="BF161" s="115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</row>
    <row r="162" spans="1:71" s="1" customFormat="1">
      <c r="A162" s="118"/>
      <c r="B162" s="110"/>
      <c r="C162" s="111"/>
      <c r="D162" s="112"/>
      <c r="E162" s="110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115"/>
      <c r="AJ162" s="115"/>
      <c r="AK162" s="115"/>
      <c r="AL162" s="115"/>
      <c r="AM162" s="115"/>
      <c r="AN162" s="115"/>
      <c r="AO162" s="115"/>
      <c r="AP162" s="115"/>
      <c r="AQ162" s="115"/>
      <c r="AR162" s="115"/>
      <c r="AS162" s="115"/>
      <c r="AT162" s="115"/>
      <c r="AU162" s="115"/>
      <c r="AV162" s="115"/>
      <c r="AW162" s="115"/>
      <c r="AX162" s="115"/>
      <c r="AY162" s="115"/>
      <c r="AZ162" s="115"/>
      <c r="BA162" s="115"/>
      <c r="BB162" s="115"/>
      <c r="BC162" s="115"/>
      <c r="BD162" s="115"/>
      <c r="BE162" s="115"/>
      <c r="BF162" s="115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</row>
    <row r="163" spans="1:71" s="1" customFormat="1">
      <c r="A163" s="118"/>
      <c r="B163" s="110"/>
      <c r="C163" s="111"/>
      <c r="D163" s="112"/>
      <c r="E163" s="110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115"/>
      <c r="AF163" s="115"/>
      <c r="AG163" s="115"/>
      <c r="AH163" s="115"/>
      <c r="AI163" s="115"/>
      <c r="AJ163" s="115"/>
      <c r="AK163" s="115"/>
      <c r="AL163" s="115"/>
      <c r="AM163" s="115"/>
      <c r="AN163" s="115"/>
      <c r="AO163" s="115"/>
      <c r="AP163" s="115"/>
      <c r="AQ163" s="115"/>
      <c r="AR163" s="115"/>
      <c r="AS163" s="115"/>
      <c r="AT163" s="115"/>
      <c r="AU163" s="115"/>
      <c r="AV163" s="115"/>
      <c r="AW163" s="115"/>
      <c r="AX163" s="115"/>
      <c r="AY163" s="115"/>
      <c r="AZ163" s="115"/>
      <c r="BA163" s="115"/>
      <c r="BB163" s="115"/>
      <c r="BC163" s="115"/>
      <c r="BD163" s="115"/>
      <c r="BE163" s="115"/>
      <c r="BF163" s="115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</row>
    <row r="164" spans="1:71" s="1" customFormat="1">
      <c r="A164" s="118"/>
      <c r="B164" s="110"/>
      <c r="C164" s="111"/>
      <c r="D164" s="112"/>
      <c r="E164" s="110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115"/>
      <c r="AJ164" s="115"/>
      <c r="AK164" s="115"/>
      <c r="AL164" s="115"/>
      <c r="AM164" s="115"/>
      <c r="AN164" s="115"/>
      <c r="AO164" s="115"/>
      <c r="AP164" s="115"/>
      <c r="AQ164" s="115"/>
      <c r="AR164" s="115"/>
      <c r="AS164" s="115"/>
      <c r="AT164" s="115"/>
      <c r="AU164" s="115"/>
      <c r="AV164" s="115"/>
      <c r="AW164" s="115"/>
      <c r="AX164" s="115"/>
      <c r="AY164" s="115"/>
      <c r="AZ164" s="115"/>
      <c r="BA164" s="115"/>
      <c r="BB164" s="115"/>
      <c r="BC164" s="115"/>
      <c r="BD164" s="115"/>
      <c r="BE164" s="115"/>
      <c r="BF164" s="115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</row>
    <row r="165" spans="1:71" s="1" customFormat="1">
      <c r="A165" s="118"/>
      <c r="B165" s="110"/>
      <c r="C165" s="111"/>
      <c r="D165" s="112"/>
      <c r="E165" s="110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115"/>
      <c r="AF165" s="115"/>
      <c r="AG165" s="115"/>
      <c r="AH165" s="115"/>
      <c r="AI165" s="115"/>
      <c r="AJ165" s="115"/>
      <c r="AK165" s="115"/>
      <c r="AL165" s="115"/>
      <c r="AM165" s="115"/>
      <c r="AN165" s="115"/>
      <c r="AO165" s="115"/>
      <c r="AP165" s="115"/>
      <c r="AQ165" s="115"/>
      <c r="AR165" s="115"/>
      <c r="AS165" s="115"/>
      <c r="AT165" s="115"/>
      <c r="AU165" s="115"/>
      <c r="AV165" s="115"/>
      <c r="AW165" s="115"/>
      <c r="AX165" s="115"/>
      <c r="AY165" s="115"/>
      <c r="AZ165" s="115"/>
      <c r="BA165" s="115"/>
      <c r="BB165" s="115"/>
      <c r="BC165" s="115"/>
      <c r="BD165" s="115"/>
      <c r="BE165" s="115"/>
      <c r="BF165" s="11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</row>
    <row r="166" spans="1:71" s="1" customFormat="1">
      <c r="A166" s="118"/>
      <c r="B166" s="110"/>
      <c r="C166" s="111"/>
      <c r="D166" s="112"/>
      <c r="E166" s="110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115"/>
      <c r="AF166" s="115"/>
      <c r="AG166" s="115"/>
      <c r="AH166" s="115"/>
      <c r="AI166" s="115"/>
      <c r="AJ166" s="115"/>
      <c r="AK166" s="115"/>
      <c r="AL166" s="115"/>
      <c r="AM166" s="115"/>
      <c r="AN166" s="115"/>
      <c r="AO166" s="115"/>
      <c r="AP166" s="115"/>
      <c r="AQ166" s="115"/>
      <c r="AR166" s="115"/>
      <c r="AS166" s="115"/>
      <c r="AT166" s="115"/>
      <c r="AU166" s="115"/>
      <c r="AV166" s="115"/>
      <c r="AW166" s="115"/>
      <c r="AX166" s="115"/>
      <c r="AY166" s="115"/>
      <c r="AZ166" s="115"/>
      <c r="BA166" s="115"/>
      <c r="BB166" s="115"/>
      <c r="BC166" s="115"/>
      <c r="BD166" s="115"/>
      <c r="BE166" s="115"/>
      <c r="BF166" s="115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</row>
    <row r="167" spans="1:71" s="1" customFormat="1">
      <c r="A167" s="118"/>
      <c r="B167" s="110"/>
      <c r="C167" s="111"/>
      <c r="D167" s="112"/>
      <c r="E167" s="110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115"/>
      <c r="AF167" s="115"/>
      <c r="AG167" s="115"/>
      <c r="AH167" s="115"/>
      <c r="AI167" s="115"/>
      <c r="AJ167" s="115"/>
      <c r="AK167" s="115"/>
      <c r="AL167" s="115"/>
      <c r="AM167" s="115"/>
      <c r="AN167" s="115"/>
      <c r="AO167" s="115"/>
      <c r="AP167" s="115"/>
      <c r="AQ167" s="115"/>
      <c r="AR167" s="115"/>
      <c r="AS167" s="115"/>
      <c r="AT167" s="115"/>
      <c r="AU167" s="115"/>
      <c r="AV167" s="115"/>
      <c r="AW167" s="115"/>
      <c r="AX167" s="115"/>
      <c r="AY167" s="115"/>
      <c r="AZ167" s="115"/>
      <c r="BA167" s="115"/>
      <c r="BB167" s="115"/>
      <c r="BC167" s="115"/>
      <c r="BD167" s="115"/>
      <c r="BE167" s="115"/>
      <c r="BF167" s="115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</row>
    <row r="168" spans="1:71" s="1" customFormat="1">
      <c r="A168" s="118"/>
      <c r="B168" s="110"/>
      <c r="C168" s="111"/>
      <c r="D168" s="112"/>
      <c r="E168" s="110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115"/>
      <c r="AF168" s="115"/>
      <c r="AG168" s="115"/>
      <c r="AH168" s="115"/>
      <c r="AI168" s="115"/>
      <c r="AJ168" s="115"/>
      <c r="AK168" s="115"/>
      <c r="AL168" s="115"/>
      <c r="AM168" s="115"/>
      <c r="AN168" s="115"/>
      <c r="AO168" s="115"/>
      <c r="AP168" s="115"/>
      <c r="AQ168" s="115"/>
      <c r="AR168" s="115"/>
      <c r="AS168" s="115"/>
      <c r="AT168" s="115"/>
      <c r="AU168" s="115"/>
      <c r="AV168" s="115"/>
      <c r="AW168" s="115"/>
      <c r="AX168" s="115"/>
      <c r="AY168" s="115"/>
      <c r="AZ168" s="115"/>
      <c r="BA168" s="115"/>
      <c r="BB168" s="115"/>
      <c r="BC168" s="115"/>
      <c r="BD168" s="115"/>
      <c r="BE168" s="115"/>
      <c r="BF168" s="115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</row>
    <row r="169" spans="1:71" s="1" customFormat="1">
      <c r="A169" s="118"/>
      <c r="B169" s="110"/>
      <c r="C169" s="111"/>
      <c r="D169" s="112"/>
      <c r="E169" s="110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15"/>
      <c r="AF169" s="115"/>
      <c r="AG169" s="115"/>
      <c r="AH169" s="115"/>
      <c r="AI169" s="115"/>
      <c r="AJ169" s="115"/>
      <c r="AK169" s="115"/>
      <c r="AL169" s="115"/>
      <c r="AM169" s="115"/>
      <c r="AN169" s="115"/>
      <c r="AO169" s="115"/>
      <c r="AP169" s="115"/>
      <c r="AQ169" s="115"/>
      <c r="AR169" s="115"/>
      <c r="AS169" s="115"/>
      <c r="AT169" s="115"/>
      <c r="AU169" s="115"/>
      <c r="AV169" s="115"/>
      <c r="AW169" s="115"/>
      <c r="AX169" s="115"/>
      <c r="AY169" s="115"/>
      <c r="AZ169" s="115"/>
      <c r="BA169" s="115"/>
      <c r="BB169" s="115"/>
      <c r="BC169" s="115"/>
      <c r="BD169" s="115"/>
      <c r="BE169" s="115"/>
      <c r="BF169" s="115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</row>
    <row r="170" spans="1:71" s="1" customFormat="1">
      <c r="A170" s="118"/>
      <c r="B170" s="110"/>
      <c r="C170" s="111"/>
      <c r="D170" s="112"/>
      <c r="E170" s="110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15"/>
      <c r="AF170" s="115"/>
      <c r="AG170" s="115"/>
      <c r="AH170" s="115"/>
      <c r="AI170" s="115"/>
      <c r="AJ170" s="115"/>
      <c r="AK170" s="115"/>
      <c r="AL170" s="115"/>
      <c r="AM170" s="115"/>
      <c r="AN170" s="115"/>
      <c r="AO170" s="115"/>
      <c r="AP170" s="115"/>
      <c r="AQ170" s="115"/>
      <c r="AR170" s="115"/>
      <c r="AS170" s="115"/>
      <c r="AT170" s="115"/>
      <c r="AU170" s="115"/>
      <c r="AV170" s="115"/>
      <c r="AW170" s="115"/>
      <c r="AX170" s="115"/>
      <c r="AY170" s="115"/>
      <c r="AZ170" s="115"/>
      <c r="BA170" s="115"/>
      <c r="BB170" s="115"/>
      <c r="BC170" s="115"/>
      <c r="BD170" s="115"/>
      <c r="BE170" s="115"/>
      <c r="BF170" s="115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</row>
    <row r="171" spans="1:71" s="1" customFormat="1">
      <c r="A171" s="118"/>
      <c r="B171" s="110"/>
      <c r="C171" s="111"/>
      <c r="D171" s="112"/>
      <c r="E171" s="110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15"/>
      <c r="AF171" s="115"/>
      <c r="AG171" s="115"/>
      <c r="AH171" s="115"/>
      <c r="AI171" s="115"/>
      <c r="AJ171" s="115"/>
      <c r="AK171" s="115"/>
      <c r="AL171" s="115"/>
      <c r="AM171" s="115"/>
      <c r="AN171" s="115"/>
      <c r="AO171" s="115"/>
      <c r="AP171" s="115"/>
      <c r="AQ171" s="115"/>
      <c r="AR171" s="115"/>
      <c r="AS171" s="115"/>
      <c r="AT171" s="115"/>
      <c r="AU171" s="115"/>
      <c r="AV171" s="115"/>
      <c r="AW171" s="115"/>
      <c r="AX171" s="115"/>
      <c r="AY171" s="115"/>
      <c r="AZ171" s="115"/>
      <c r="BA171" s="115"/>
      <c r="BB171" s="115"/>
      <c r="BC171" s="115"/>
      <c r="BD171" s="115"/>
      <c r="BE171" s="115"/>
      <c r="BF171" s="115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</row>
    <row r="172" spans="1:71" s="1" customFormat="1">
      <c r="A172" s="118"/>
      <c r="B172" s="110"/>
      <c r="C172" s="111"/>
      <c r="D172" s="112"/>
      <c r="E172" s="110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15"/>
      <c r="AF172" s="115"/>
      <c r="AG172" s="115"/>
      <c r="AH172" s="115"/>
      <c r="AI172" s="115"/>
      <c r="AJ172" s="115"/>
      <c r="AK172" s="115"/>
      <c r="AL172" s="115"/>
      <c r="AM172" s="115"/>
      <c r="AN172" s="115"/>
      <c r="AO172" s="115"/>
      <c r="AP172" s="115"/>
      <c r="AQ172" s="115"/>
      <c r="AR172" s="115"/>
      <c r="AS172" s="115"/>
      <c r="AT172" s="115"/>
      <c r="AU172" s="115"/>
      <c r="AV172" s="115"/>
      <c r="AW172" s="115"/>
      <c r="AX172" s="115"/>
      <c r="AY172" s="115"/>
      <c r="AZ172" s="115"/>
      <c r="BA172" s="115"/>
      <c r="BB172" s="115"/>
      <c r="BC172" s="115"/>
      <c r="BD172" s="115"/>
      <c r="BE172" s="115"/>
      <c r="BF172" s="115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</row>
    <row r="173" spans="1:71" s="1" customFormat="1">
      <c r="A173" s="118"/>
      <c r="B173" s="110"/>
      <c r="C173" s="111"/>
      <c r="D173" s="112"/>
      <c r="E173" s="110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15"/>
      <c r="AF173" s="115"/>
      <c r="AG173" s="115"/>
      <c r="AH173" s="115"/>
      <c r="AI173" s="115"/>
      <c r="AJ173" s="115"/>
      <c r="AK173" s="115"/>
      <c r="AL173" s="115"/>
      <c r="AM173" s="115"/>
      <c r="AN173" s="115"/>
      <c r="AO173" s="115"/>
      <c r="AP173" s="115"/>
      <c r="AQ173" s="115"/>
      <c r="AR173" s="115"/>
      <c r="AS173" s="115"/>
      <c r="AT173" s="115"/>
      <c r="AU173" s="115"/>
      <c r="AV173" s="115"/>
      <c r="AW173" s="115"/>
      <c r="AX173" s="115"/>
      <c r="AY173" s="115"/>
      <c r="AZ173" s="115"/>
      <c r="BA173" s="115"/>
      <c r="BB173" s="115"/>
      <c r="BC173" s="115"/>
      <c r="BD173" s="115"/>
      <c r="BE173" s="115"/>
      <c r="BF173" s="115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</row>
    <row r="174" spans="1:71" s="1" customFormat="1">
      <c r="A174" s="118"/>
      <c r="B174" s="110"/>
      <c r="C174" s="111"/>
      <c r="D174" s="112"/>
      <c r="E174" s="110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15"/>
      <c r="AF174" s="115"/>
      <c r="AG174" s="115"/>
      <c r="AH174" s="115"/>
      <c r="AI174" s="115"/>
      <c r="AJ174" s="115"/>
      <c r="AK174" s="115"/>
      <c r="AL174" s="115"/>
      <c r="AM174" s="115"/>
      <c r="AN174" s="115"/>
      <c r="AO174" s="115"/>
      <c r="AP174" s="115"/>
      <c r="AQ174" s="115"/>
      <c r="AR174" s="115"/>
      <c r="AS174" s="115"/>
      <c r="AT174" s="115"/>
      <c r="AU174" s="115"/>
      <c r="AV174" s="115"/>
      <c r="AW174" s="115"/>
      <c r="AX174" s="115"/>
      <c r="AY174" s="115"/>
      <c r="AZ174" s="115"/>
      <c r="BA174" s="115"/>
      <c r="BB174" s="115"/>
      <c r="BC174" s="115"/>
      <c r="BD174" s="115"/>
      <c r="BE174" s="115"/>
      <c r="BF174" s="115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</row>
    <row r="175" spans="1:71" s="1" customFormat="1">
      <c r="A175" s="118"/>
      <c r="B175" s="110"/>
      <c r="C175" s="111"/>
      <c r="D175" s="112"/>
      <c r="E175" s="110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15"/>
      <c r="AF175" s="115"/>
      <c r="AG175" s="115"/>
      <c r="AH175" s="115"/>
      <c r="AI175" s="115"/>
      <c r="AJ175" s="115"/>
      <c r="AK175" s="115"/>
      <c r="AL175" s="115"/>
      <c r="AM175" s="115"/>
      <c r="AN175" s="115"/>
      <c r="AO175" s="115"/>
      <c r="AP175" s="115"/>
      <c r="AQ175" s="115"/>
      <c r="AR175" s="115"/>
      <c r="AS175" s="115"/>
      <c r="AT175" s="115"/>
      <c r="AU175" s="115"/>
      <c r="AV175" s="115"/>
      <c r="AW175" s="115"/>
      <c r="AX175" s="115"/>
      <c r="AY175" s="115"/>
      <c r="AZ175" s="115"/>
      <c r="BA175" s="115"/>
      <c r="BB175" s="115"/>
      <c r="BC175" s="115"/>
      <c r="BD175" s="115"/>
      <c r="BE175" s="115"/>
      <c r="BF175" s="11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</row>
    <row r="176" spans="1:71" s="1" customFormat="1">
      <c r="A176" s="118"/>
      <c r="B176" s="110"/>
      <c r="C176" s="111"/>
      <c r="D176" s="112"/>
      <c r="E176" s="110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15"/>
      <c r="AF176" s="115"/>
      <c r="AG176" s="115"/>
      <c r="AH176" s="115"/>
      <c r="AI176" s="115"/>
      <c r="AJ176" s="115"/>
      <c r="AK176" s="115"/>
      <c r="AL176" s="115"/>
      <c r="AM176" s="115"/>
      <c r="AN176" s="115"/>
      <c r="AO176" s="115"/>
      <c r="AP176" s="115"/>
      <c r="AQ176" s="115"/>
      <c r="AR176" s="115"/>
      <c r="AS176" s="115"/>
      <c r="AT176" s="115"/>
      <c r="AU176" s="115"/>
      <c r="AV176" s="115"/>
      <c r="AW176" s="115"/>
      <c r="AX176" s="115"/>
      <c r="AY176" s="115"/>
      <c r="AZ176" s="115"/>
      <c r="BA176" s="115"/>
      <c r="BB176" s="115"/>
      <c r="BC176" s="115"/>
      <c r="BD176" s="115"/>
      <c r="BE176" s="115"/>
      <c r="BF176" s="115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</row>
    <row r="177" spans="1:71" s="1" customFormat="1">
      <c r="A177" s="118"/>
      <c r="B177" s="110"/>
      <c r="C177" s="111"/>
      <c r="D177" s="112"/>
      <c r="E177" s="110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15"/>
      <c r="AF177" s="115"/>
      <c r="AG177" s="115"/>
      <c r="AH177" s="115"/>
      <c r="AI177" s="115"/>
      <c r="AJ177" s="115"/>
      <c r="AK177" s="115"/>
      <c r="AL177" s="115"/>
      <c r="AM177" s="115"/>
      <c r="AN177" s="115"/>
      <c r="AO177" s="115"/>
      <c r="AP177" s="115"/>
      <c r="AQ177" s="115"/>
      <c r="AR177" s="115"/>
      <c r="AS177" s="115"/>
      <c r="AT177" s="115"/>
      <c r="AU177" s="115"/>
      <c r="AV177" s="115"/>
      <c r="AW177" s="115"/>
      <c r="AX177" s="115"/>
      <c r="AY177" s="115"/>
      <c r="AZ177" s="115"/>
      <c r="BA177" s="115"/>
      <c r="BB177" s="115"/>
      <c r="BC177" s="115"/>
      <c r="BD177" s="115"/>
      <c r="BE177" s="115"/>
      <c r="BF177" s="115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</row>
    <row r="178" spans="1:71" s="1" customFormat="1">
      <c r="A178" s="118"/>
      <c r="B178" s="110"/>
      <c r="C178" s="111"/>
      <c r="D178" s="112"/>
      <c r="E178" s="110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15"/>
      <c r="AF178" s="115"/>
      <c r="AG178" s="115"/>
      <c r="AH178" s="115"/>
      <c r="AI178" s="115"/>
      <c r="AJ178" s="115"/>
      <c r="AK178" s="115"/>
      <c r="AL178" s="115"/>
      <c r="AM178" s="115"/>
      <c r="AN178" s="115"/>
      <c r="AO178" s="115"/>
      <c r="AP178" s="115"/>
      <c r="AQ178" s="115"/>
      <c r="AR178" s="115"/>
      <c r="AS178" s="115"/>
      <c r="AT178" s="115"/>
      <c r="AU178" s="115"/>
      <c r="AV178" s="115"/>
      <c r="AW178" s="115"/>
      <c r="AX178" s="115"/>
      <c r="AY178" s="115"/>
      <c r="AZ178" s="115"/>
      <c r="BA178" s="115"/>
      <c r="BB178" s="115"/>
      <c r="BC178" s="115"/>
      <c r="BD178" s="115"/>
      <c r="BE178" s="115"/>
      <c r="BF178" s="115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</row>
    <row r="179" spans="1:71" s="1" customFormat="1">
      <c r="A179" s="118"/>
      <c r="B179" s="110"/>
      <c r="C179" s="111"/>
      <c r="D179" s="112"/>
      <c r="E179" s="110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15"/>
      <c r="AF179" s="115"/>
      <c r="AG179" s="115"/>
      <c r="AH179" s="115"/>
      <c r="AI179" s="115"/>
      <c r="AJ179" s="115"/>
      <c r="AK179" s="115"/>
      <c r="AL179" s="115"/>
      <c r="AM179" s="115"/>
      <c r="AN179" s="115"/>
      <c r="AO179" s="115"/>
      <c r="AP179" s="115"/>
      <c r="AQ179" s="115"/>
      <c r="AR179" s="115"/>
      <c r="AS179" s="115"/>
      <c r="AT179" s="115"/>
      <c r="AU179" s="115"/>
      <c r="AV179" s="115"/>
      <c r="AW179" s="115"/>
      <c r="AX179" s="115"/>
      <c r="AY179" s="115"/>
      <c r="AZ179" s="115"/>
      <c r="BA179" s="115"/>
      <c r="BB179" s="115"/>
      <c r="BC179" s="115"/>
      <c r="BD179" s="115"/>
      <c r="BE179" s="115"/>
      <c r="BF179" s="115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</row>
    <row r="180" spans="1:71" s="1" customFormat="1">
      <c r="A180" s="118"/>
      <c r="B180" s="110"/>
      <c r="C180" s="111"/>
      <c r="D180" s="112"/>
      <c r="E180" s="110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15"/>
      <c r="AF180" s="115"/>
      <c r="AG180" s="115"/>
      <c r="AH180" s="115"/>
      <c r="AI180" s="115"/>
      <c r="AJ180" s="115"/>
      <c r="AK180" s="115"/>
      <c r="AL180" s="115"/>
      <c r="AM180" s="115"/>
      <c r="AN180" s="115"/>
      <c r="AO180" s="115"/>
      <c r="AP180" s="115"/>
      <c r="AQ180" s="115"/>
      <c r="AR180" s="115"/>
      <c r="AS180" s="115"/>
      <c r="AT180" s="115"/>
      <c r="AU180" s="115"/>
      <c r="AV180" s="115"/>
      <c r="AW180" s="115"/>
      <c r="AX180" s="115"/>
      <c r="AY180" s="115"/>
      <c r="AZ180" s="115"/>
      <c r="BA180" s="115"/>
      <c r="BB180" s="115"/>
      <c r="BC180" s="115"/>
      <c r="BD180" s="115"/>
      <c r="BE180" s="115"/>
      <c r="BF180" s="115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</row>
    <row r="181" spans="1:71" s="1" customFormat="1">
      <c r="A181" s="118"/>
      <c r="B181" s="110"/>
      <c r="C181" s="111"/>
      <c r="D181" s="112"/>
      <c r="E181" s="110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15"/>
      <c r="AF181" s="115"/>
      <c r="AG181" s="115"/>
      <c r="AH181" s="115"/>
      <c r="AI181" s="115"/>
      <c r="AJ181" s="115"/>
      <c r="AK181" s="115"/>
      <c r="AL181" s="115"/>
      <c r="AM181" s="115"/>
      <c r="AN181" s="115"/>
      <c r="AO181" s="115"/>
      <c r="AP181" s="115"/>
      <c r="AQ181" s="115"/>
      <c r="AR181" s="115"/>
      <c r="AS181" s="115"/>
      <c r="AT181" s="115"/>
      <c r="AU181" s="115"/>
      <c r="AV181" s="115"/>
      <c r="AW181" s="115"/>
      <c r="AX181" s="115"/>
      <c r="AY181" s="115"/>
      <c r="AZ181" s="115"/>
      <c r="BA181" s="115"/>
      <c r="BB181" s="115"/>
      <c r="BC181" s="115"/>
      <c r="BD181" s="115"/>
      <c r="BE181" s="115"/>
      <c r="BF181" s="115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</row>
    <row r="182" spans="1:71" s="1" customFormat="1">
      <c r="A182" s="118"/>
      <c r="B182" s="110"/>
      <c r="C182" s="111"/>
      <c r="D182" s="112"/>
      <c r="E182" s="110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15"/>
      <c r="AF182" s="115"/>
      <c r="AG182" s="115"/>
      <c r="AH182" s="115"/>
      <c r="AI182" s="115"/>
      <c r="AJ182" s="115"/>
      <c r="AK182" s="115"/>
      <c r="AL182" s="115"/>
      <c r="AM182" s="115"/>
      <c r="AN182" s="115"/>
      <c r="AO182" s="115"/>
      <c r="AP182" s="115"/>
      <c r="AQ182" s="115"/>
      <c r="AR182" s="115"/>
      <c r="AS182" s="115"/>
      <c r="AT182" s="115"/>
      <c r="AU182" s="115"/>
      <c r="AV182" s="115"/>
      <c r="AW182" s="115"/>
      <c r="AX182" s="115"/>
      <c r="AY182" s="115"/>
      <c r="AZ182" s="115"/>
      <c r="BA182" s="115"/>
      <c r="BB182" s="115"/>
      <c r="BC182" s="115"/>
      <c r="BD182" s="115"/>
      <c r="BE182" s="115"/>
      <c r="BF182" s="115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</row>
    <row r="183" spans="1:71" s="1" customFormat="1">
      <c r="A183" s="118"/>
      <c r="B183" s="110"/>
      <c r="C183" s="111"/>
      <c r="D183" s="112"/>
      <c r="E183" s="110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115"/>
      <c r="AI183" s="115"/>
      <c r="AJ183" s="115"/>
      <c r="AK183" s="115"/>
      <c r="AL183" s="115"/>
      <c r="AM183" s="115"/>
      <c r="AN183" s="115"/>
      <c r="AO183" s="115"/>
      <c r="AP183" s="115"/>
      <c r="AQ183" s="115"/>
      <c r="AR183" s="115"/>
      <c r="AS183" s="115"/>
      <c r="AT183" s="115"/>
      <c r="AU183" s="115"/>
      <c r="AV183" s="115"/>
      <c r="AW183" s="115"/>
      <c r="AX183" s="115"/>
      <c r="AY183" s="115"/>
      <c r="AZ183" s="115"/>
      <c r="BA183" s="115"/>
      <c r="BB183" s="115"/>
      <c r="BC183" s="115"/>
      <c r="BD183" s="115"/>
      <c r="BE183" s="115"/>
      <c r="BF183" s="115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</row>
    <row r="184" spans="1:71" s="1" customFormat="1">
      <c r="A184" s="118"/>
      <c r="B184" s="110"/>
      <c r="C184" s="111"/>
      <c r="D184" s="112"/>
      <c r="E184" s="110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15"/>
      <c r="AF184" s="115"/>
      <c r="AG184" s="115"/>
      <c r="AH184" s="115"/>
      <c r="AI184" s="115"/>
      <c r="AJ184" s="115"/>
      <c r="AK184" s="115"/>
      <c r="AL184" s="115"/>
      <c r="AM184" s="115"/>
      <c r="AN184" s="115"/>
      <c r="AO184" s="115"/>
      <c r="AP184" s="115"/>
      <c r="AQ184" s="115"/>
      <c r="AR184" s="115"/>
      <c r="AS184" s="115"/>
      <c r="AT184" s="115"/>
      <c r="AU184" s="115"/>
      <c r="AV184" s="115"/>
      <c r="AW184" s="115"/>
      <c r="AX184" s="115"/>
      <c r="AY184" s="115"/>
      <c r="AZ184" s="115"/>
      <c r="BA184" s="115"/>
      <c r="BB184" s="115"/>
      <c r="BC184" s="115"/>
      <c r="BD184" s="115"/>
      <c r="BE184" s="115"/>
      <c r="BF184" s="115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</row>
    <row r="185" spans="1:71" s="1" customFormat="1">
      <c r="A185" s="118"/>
      <c r="B185" s="110"/>
      <c r="C185" s="111"/>
      <c r="D185" s="112"/>
      <c r="E185" s="110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15"/>
      <c r="AF185" s="115"/>
      <c r="AG185" s="115"/>
      <c r="AH185" s="115"/>
      <c r="AI185" s="115"/>
      <c r="AJ185" s="115"/>
      <c r="AK185" s="115"/>
      <c r="AL185" s="115"/>
      <c r="AM185" s="115"/>
      <c r="AN185" s="115"/>
      <c r="AO185" s="115"/>
      <c r="AP185" s="115"/>
      <c r="AQ185" s="115"/>
      <c r="AR185" s="115"/>
      <c r="AS185" s="115"/>
      <c r="AT185" s="115"/>
      <c r="AU185" s="115"/>
      <c r="AV185" s="115"/>
      <c r="AW185" s="115"/>
      <c r="AX185" s="115"/>
      <c r="AY185" s="115"/>
      <c r="AZ185" s="115"/>
      <c r="BA185" s="115"/>
      <c r="BB185" s="115"/>
      <c r="BC185" s="115"/>
      <c r="BD185" s="115"/>
      <c r="BE185" s="115"/>
      <c r="BF185" s="11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</row>
    <row r="186" spans="1:71" s="1" customFormat="1">
      <c r="A186" s="118"/>
      <c r="B186" s="110"/>
      <c r="C186" s="111"/>
      <c r="D186" s="112"/>
      <c r="E186" s="110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5"/>
      <c r="AP186" s="115"/>
      <c r="AQ186" s="115"/>
      <c r="AR186" s="115"/>
      <c r="AS186" s="115"/>
      <c r="AT186" s="115"/>
      <c r="AU186" s="115"/>
      <c r="AV186" s="115"/>
      <c r="AW186" s="115"/>
      <c r="AX186" s="115"/>
      <c r="AY186" s="115"/>
      <c r="AZ186" s="115"/>
      <c r="BA186" s="115"/>
      <c r="BB186" s="115"/>
      <c r="BC186" s="115"/>
      <c r="BD186" s="115"/>
      <c r="BE186" s="115"/>
      <c r="BF186" s="115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</row>
    <row r="187" spans="1:71" s="1" customFormat="1">
      <c r="A187" s="118"/>
      <c r="B187" s="110"/>
      <c r="C187" s="111"/>
      <c r="D187" s="112"/>
      <c r="E187" s="110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15"/>
      <c r="AF187" s="115"/>
      <c r="AG187" s="115"/>
      <c r="AH187" s="115"/>
      <c r="AI187" s="115"/>
      <c r="AJ187" s="115"/>
      <c r="AK187" s="115"/>
      <c r="AL187" s="115"/>
      <c r="AM187" s="115"/>
      <c r="AN187" s="115"/>
      <c r="AO187" s="115"/>
      <c r="AP187" s="115"/>
      <c r="AQ187" s="115"/>
      <c r="AR187" s="115"/>
      <c r="AS187" s="115"/>
      <c r="AT187" s="115"/>
      <c r="AU187" s="115"/>
      <c r="AV187" s="115"/>
      <c r="AW187" s="115"/>
      <c r="AX187" s="115"/>
      <c r="AY187" s="115"/>
      <c r="AZ187" s="115"/>
      <c r="BA187" s="115"/>
      <c r="BB187" s="115"/>
      <c r="BC187" s="115"/>
      <c r="BD187" s="115"/>
      <c r="BE187" s="115"/>
      <c r="BF187" s="115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</row>
    <row r="188" spans="1:71" s="1" customFormat="1">
      <c r="A188" s="118"/>
      <c r="B188" s="110"/>
      <c r="C188" s="111"/>
      <c r="D188" s="112"/>
      <c r="E188" s="110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15"/>
      <c r="AF188" s="115"/>
      <c r="AG188" s="115"/>
      <c r="AH188" s="115"/>
      <c r="AI188" s="115"/>
      <c r="AJ188" s="115"/>
      <c r="AK188" s="115"/>
      <c r="AL188" s="115"/>
      <c r="AM188" s="115"/>
      <c r="AN188" s="115"/>
      <c r="AO188" s="115"/>
      <c r="AP188" s="115"/>
      <c r="AQ188" s="115"/>
      <c r="AR188" s="115"/>
      <c r="AS188" s="115"/>
      <c r="AT188" s="115"/>
      <c r="AU188" s="115"/>
      <c r="AV188" s="115"/>
      <c r="AW188" s="115"/>
      <c r="AX188" s="115"/>
      <c r="AY188" s="115"/>
      <c r="AZ188" s="115"/>
      <c r="BA188" s="115"/>
      <c r="BB188" s="115"/>
      <c r="BC188" s="115"/>
      <c r="BD188" s="115"/>
      <c r="BE188" s="115"/>
      <c r="BF188" s="115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</row>
    <row r="189" spans="1:71" s="1" customFormat="1">
      <c r="A189" s="118"/>
      <c r="B189" s="110"/>
      <c r="C189" s="111"/>
      <c r="D189" s="112"/>
      <c r="E189" s="110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15"/>
      <c r="AF189" s="115"/>
      <c r="AG189" s="115"/>
      <c r="AH189" s="115"/>
      <c r="AI189" s="115"/>
      <c r="AJ189" s="115"/>
      <c r="AK189" s="115"/>
      <c r="AL189" s="115"/>
      <c r="AM189" s="115"/>
      <c r="AN189" s="115"/>
      <c r="AO189" s="115"/>
      <c r="AP189" s="115"/>
      <c r="AQ189" s="115"/>
      <c r="AR189" s="115"/>
      <c r="AS189" s="115"/>
      <c r="AT189" s="115"/>
      <c r="AU189" s="115"/>
      <c r="AV189" s="115"/>
      <c r="AW189" s="115"/>
      <c r="AX189" s="115"/>
      <c r="AY189" s="115"/>
      <c r="AZ189" s="115"/>
      <c r="BA189" s="115"/>
      <c r="BB189" s="115"/>
      <c r="BC189" s="115"/>
      <c r="BD189" s="115"/>
      <c r="BE189" s="115"/>
      <c r="BF189" s="115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</row>
    <row r="190" spans="1:71" s="1" customFormat="1">
      <c r="A190" s="118"/>
      <c r="B190" s="110"/>
      <c r="C190" s="111"/>
      <c r="D190" s="112"/>
      <c r="E190" s="110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15"/>
      <c r="AF190" s="115"/>
      <c r="AG190" s="115"/>
      <c r="AH190" s="115"/>
      <c r="AI190" s="115"/>
      <c r="AJ190" s="115"/>
      <c r="AK190" s="115"/>
      <c r="AL190" s="115"/>
      <c r="AM190" s="115"/>
      <c r="AN190" s="115"/>
      <c r="AO190" s="115"/>
      <c r="AP190" s="115"/>
      <c r="AQ190" s="115"/>
      <c r="AR190" s="115"/>
      <c r="AS190" s="115"/>
      <c r="AT190" s="115"/>
      <c r="AU190" s="115"/>
      <c r="AV190" s="115"/>
      <c r="AW190" s="115"/>
      <c r="AX190" s="115"/>
      <c r="AY190" s="115"/>
      <c r="AZ190" s="115"/>
      <c r="BA190" s="115"/>
      <c r="BB190" s="115"/>
      <c r="BC190" s="115"/>
      <c r="BD190" s="115"/>
      <c r="BE190" s="115"/>
      <c r="BF190" s="115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</row>
    <row r="191" spans="1:71" s="1" customFormat="1">
      <c r="A191" s="118"/>
      <c r="B191" s="110"/>
      <c r="C191" s="111"/>
      <c r="D191" s="112"/>
      <c r="E191" s="110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15"/>
      <c r="AF191" s="115"/>
      <c r="AG191" s="115"/>
      <c r="AH191" s="115"/>
      <c r="AI191" s="115"/>
      <c r="AJ191" s="115"/>
      <c r="AK191" s="115"/>
      <c r="AL191" s="115"/>
      <c r="AM191" s="115"/>
      <c r="AN191" s="115"/>
      <c r="AO191" s="115"/>
      <c r="AP191" s="115"/>
      <c r="AQ191" s="115"/>
      <c r="AR191" s="115"/>
      <c r="AS191" s="115"/>
      <c r="AT191" s="115"/>
      <c r="AU191" s="115"/>
      <c r="AV191" s="115"/>
      <c r="AW191" s="115"/>
      <c r="AX191" s="115"/>
      <c r="AY191" s="115"/>
      <c r="AZ191" s="115"/>
      <c r="BA191" s="115"/>
      <c r="BB191" s="115"/>
      <c r="BC191" s="115"/>
      <c r="BD191" s="115"/>
      <c r="BE191" s="115"/>
      <c r="BF191" s="115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</row>
    <row r="192" spans="1:71" s="1" customFormat="1">
      <c r="A192" s="118"/>
      <c r="B192" s="110"/>
      <c r="C192" s="111"/>
      <c r="D192" s="112"/>
      <c r="E192" s="110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15"/>
      <c r="AF192" s="115"/>
      <c r="AG192" s="115"/>
      <c r="AH192" s="115"/>
      <c r="AI192" s="115"/>
      <c r="AJ192" s="115"/>
      <c r="AK192" s="115"/>
      <c r="AL192" s="115"/>
      <c r="AM192" s="115"/>
      <c r="AN192" s="115"/>
      <c r="AO192" s="115"/>
      <c r="AP192" s="115"/>
      <c r="AQ192" s="115"/>
      <c r="AR192" s="115"/>
      <c r="AS192" s="115"/>
      <c r="AT192" s="115"/>
      <c r="AU192" s="115"/>
      <c r="AV192" s="115"/>
      <c r="AW192" s="115"/>
      <c r="AX192" s="115"/>
      <c r="AY192" s="115"/>
      <c r="AZ192" s="115"/>
      <c r="BA192" s="115"/>
      <c r="BB192" s="115"/>
      <c r="BC192" s="115"/>
      <c r="BD192" s="115"/>
      <c r="BE192" s="115"/>
      <c r="BF192" s="115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</row>
    <row r="193" spans="1:71" s="1" customFormat="1">
      <c r="A193" s="118"/>
      <c r="B193" s="110"/>
      <c r="C193" s="111"/>
      <c r="D193" s="112"/>
      <c r="E193" s="110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15"/>
      <c r="AF193" s="115"/>
      <c r="AG193" s="115"/>
      <c r="AH193" s="115"/>
      <c r="AI193" s="115"/>
      <c r="AJ193" s="115"/>
      <c r="AK193" s="115"/>
      <c r="AL193" s="115"/>
      <c r="AM193" s="115"/>
      <c r="AN193" s="115"/>
      <c r="AO193" s="115"/>
      <c r="AP193" s="115"/>
      <c r="AQ193" s="115"/>
      <c r="AR193" s="115"/>
      <c r="AS193" s="115"/>
      <c r="AT193" s="115"/>
      <c r="AU193" s="115"/>
      <c r="AV193" s="115"/>
      <c r="AW193" s="115"/>
      <c r="AX193" s="115"/>
      <c r="AY193" s="115"/>
      <c r="AZ193" s="115"/>
      <c r="BA193" s="115"/>
      <c r="BB193" s="115"/>
      <c r="BC193" s="115"/>
      <c r="BD193" s="115"/>
      <c r="BE193" s="115"/>
      <c r="BF193" s="115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</row>
    <row r="194" spans="1:71" s="1" customFormat="1">
      <c r="A194" s="118"/>
      <c r="B194" s="110"/>
      <c r="C194" s="111"/>
      <c r="D194" s="112"/>
      <c r="E194" s="110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115"/>
      <c r="AF194" s="115"/>
      <c r="AG194" s="115"/>
      <c r="AH194" s="115"/>
      <c r="AI194" s="115"/>
      <c r="AJ194" s="115"/>
      <c r="AK194" s="115"/>
      <c r="AL194" s="115"/>
      <c r="AM194" s="115"/>
      <c r="AN194" s="115"/>
      <c r="AO194" s="115"/>
      <c r="AP194" s="115"/>
      <c r="AQ194" s="115"/>
      <c r="AR194" s="115"/>
      <c r="AS194" s="115"/>
      <c r="AT194" s="115"/>
      <c r="AU194" s="115"/>
      <c r="AV194" s="115"/>
      <c r="AW194" s="115"/>
      <c r="AX194" s="115"/>
      <c r="AY194" s="115"/>
      <c r="AZ194" s="115"/>
      <c r="BA194" s="115"/>
      <c r="BB194" s="115"/>
      <c r="BC194" s="115"/>
      <c r="BD194" s="115"/>
      <c r="BE194" s="115"/>
      <c r="BF194" s="115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</row>
    <row r="195" spans="1:71" s="1" customFormat="1">
      <c r="A195" s="118"/>
      <c r="B195" s="110"/>
      <c r="C195" s="111"/>
      <c r="D195" s="112"/>
      <c r="E195" s="110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115"/>
      <c r="AF195" s="115"/>
      <c r="AG195" s="115"/>
      <c r="AH195" s="115"/>
      <c r="AI195" s="115"/>
      <c r="AJ195" s="115"/>
      <c r="AK195" s="115"/>
      <c r="AL195" s="115"/>
      <c r="AM195" s="115"/>
      <c r="AN195" s="115"/>
      <c r="AO195" s="115"/>
      <c r="AP195" s="115"/>
      <c r="AQ195" s="115"/>
      <c r="AR195" s="115"/>
      <c r="AS195" s="115"/>
      <c r="AT195" s="115"/>
      <c r="AU195" s="115"/>
      <c r="AV195" s="115"/>
      <c r="AW195" s="115"/>
      <c r="AX195" s="115"/>
      <c r="AY195" s="115"/>
      <c r="AZ195" s="115"/>
      <c r="BA195" s="115"/>
      <c r="BB195" s="115"/>
      <c r="BC195" s="115"/>
      <c r="BD195" s="115"/>
      <c r="BE195" s="115"/>
      <c r="BF195" s="11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</row>
    <row r="196" spans="1:71" s="1" customFormat="1">
      <c r="A196" s="118"/>
      <c r="B196" s="110"/>
      <c r="C196" s="111"/>
      <c r="D196" s="112"/>
      <c r="E196" s="110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115"/>
      <c r="AF196" s="115"/>
      <c r="AG196" s="115"/>
      <c r="AH196" s="115"/>
      <c r="AI196" s="115"/>
      <c r="AJ196" s="115"/>
      <c r="AK196" s="115"/>
      <c r="AL196" s="115"/>
      <c r="AM196" s="115"/>
      <c r="AN196" s="115"/>
      <c r="AO196" s="115"/>
      <c r="AP196" s="115"/>
      <c r="AQ196" s="115"/>
      <c r="AR196" s="115"/>
      <c r="AS196" s="115"/>
      <c r="AT196" s="115"/>
      <c r="AU196" s="115"/>
      <c r="AV196" s="115"/>
      <c r="AW196" s="115"/>
      <c r="AX196" s="115"/>
      <c r="AY196" s="115"/>
      <c r="AZ196" s="115"/>
      <c r="BA196" s="115"/>
      <c r="BB196" s="115"/>
      <c r="BC196" s="115"/>
      <c r="BD196" s="115"/>
      <c r="BE196" s="115"/>
      <c r="BF196" s="115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</row>
    <row r="197" spans="1:71" s="1" customFormat="1">
      <c r="A197" s="118"/>
      <c r="B197" s="110"/>
      <c r="C197" s="111"/>
      <c r="D197" s="112"/>
      <c r="E197" s="110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15"/>
      <c r="AL197" s="115"/>
      <c r="AM197" s="115"/>
      <c r="AN197" s="115"/>
      <c r="AO197" s="115"/>
      <c r="AP197" s="115"/>
      <c r="AQ197" s="115"/>
      <c r="AR197" s="115"/>
      <c r="AS197" s="115"/>
      <c r="AT197" s="115"/>
      <c r="AU197" s="115"/>
      <c r="AV197" s="115"/>
      <c r="AW197" s="115"/>
      <c r="AX197" s="115"/>
      <c r="AY197" s="115"/>
      <c r="AZ197" s="115"/>
      <c r="BA197" s="115"/>
      <c r="BB197" s="115"/>
      <c r="BC197" s="115"/>
      <c r="BD197" s="115"/>
      <c r="BE197" s="115"/>
      <c r="BF197" s="115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</row>
    <row r="198" spans="1:71" s="1" customFormat="1">
      <c r="A198" s="118"/>
      <c r="B198" s="110"/>
      <c r="C198" s="111"/>
      <c r="D198" s="112"/>
      <c r="E198" s="110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15"/>
      <c r="AL198" s="115"/>
      <c r="AM198" s="115"/>
      <c r="AN198" s="115"/>
      <c r="AO198" s="115"/>
      <c r="AP198" s="115"/>
      <c r="AQ198" s="115"/>
      <c r="AR198" s="115"/>
      <c r="AS198" s="115"/>
      <c r="AT198" s="115"/>
      <c r="AU198" s="115"/>
      <c r="AV198" s="115"/>
      <c r="AW198" s="115"/>
      <c r="AX198" s="115"/>
      <c r="AY198" s="115"/>
      <c r="AZ198" s="115"/>
      <c r="BA198" s="115"/>
      <c r="BB198" s="115"/>
      <c r="BC198" s="115"/>
      <c r="BD198" s="115"/>
      <c r="BE198" s="115"/>
      <c r="BF198" s="115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</row>
    <row r="199" spans="1:71" s="1" customFormat="1">
      <c r="A199" s="118"/>
      <c r="B199" s="110"/>
      <c r="C199" s="111"/>
      <c r="D199" s="112"/>
      <c r="E199" s="110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15"/>
      <c r="AL199" s="115"/>
      <c r="AM199" s="115"/>
      <c r="AN199" s="115"/>
      <c r="AO199" s="115"/>
      <c r="AP199" s="115"/>
      <c r="AQ199" s="115"/>
      <c r="AR199" s="115"/>
      <c r="AS199" s="115"/>
      <c r="AT199" s="115"/>
      <c r="AU199" s="115"/>
      <c r="AV199" s="115"/>
      <c r="AW199" s="115"/>
      <c r="AX199" s="115"/>
      <c r="AY199" s="115"/>
      <c r="AZ199" s="115"/>
      <c r="BA199" s="115"/>
      <c r="BB199" s="115"/>
      <c r="BC199" s="115"/>
      <c r="BD199" s="115"/>
      <c r="BE199" s="115"/>
      <c r="BF199" s="115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</row>
    <row r="200" spans="1:71" s="1" customFormat="1">
      <c r="A200" s="118"/>
      <c r="B200" s="110"/>
      <c r="C200" s="111"/>
      <c r="D200" s="112"/>
      <c r="E200" s="110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15"/>
      <c r="AL200" s="115"/>
      <c r="AM200" s="115"/>
      <c r="AN200" s="115"/>
      <c r="AO200" s="115"/>
      <c r="AP200" s="115"/>
      <c r="AQ200" s="115"/>
      <c r="AR200" s="115"/>
      <c r="AS200" s="115"/>
      <c r="AT200" s="115"/>
      <c r="AU200" s="115"/>
      <c r="AV200" s="115"/>
      <c r="AW200" s="115"/>
      <c r="AX200" s="115"/>
      <c r="AY200" s="115"/>
      <c r="AZ200" s="115"/>
      <c r="BA200" s="115"/>
      <c r="BB200" s="115"/>
      <c r="BC200" s="115"/>
      <c r="BD200" s="115"/>
      <c r="BE200" s="115"/>
      <c r="BF200" s="115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</row>
    <row r="201" spans="1:71" s="1" customFormat="1">
      <c r="A201" s="118"/>
      <c r="B201" s="110"/>
      <c r="C201" s="111"/>
      <c r="D201" s="112"/>
      <c r="E201" s="110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15"/>
      <c r="AL201" s="115"/>
      <c r="AM201" s="115"/>
      <c r="AN201" s="115"/>
      <c r="AO201" s="115"/>
      <c r="AP201" s="115"/>
      <c r="AQ201" s="115"/>
      <c r="AR201" s="115"/>
      <c r="AS201" s="115"/>
      <c r="AT201" s="115"/>
      <c r="AU201" s="115"/>
      <c r="AV201" s="115"/>
      <c r="AW201" s="115"/>
      <c r="AX201" s="115"/>
      <c r="AY201" s="115"/>
      <c r="AZ201" s="115"/>
      <c r="BA201" s="115"/>
      <c r="BB201" s="115"/>
      <c r="BC201" s="115"/>
      <c r="BD201" s="115"/>
      <c r="BE201" s="115"/>
      <c r="BF201" s="115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</row>
    <row r="202" spans="1:71" s="1" customFormat="1">
      <c r="A202" s="118"/>
      <c r="B202" s="110"/>
      <c r="C202" s="111"/>
      <c r="D202" s="112"/>
      <c r="E202" s="110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15"/>
      <c r="AL202" s="115"/>
      <c r="AM202" s="115"/>
      <c r="AN202" s="115"/>
      <c r="AO202" s="115"/>
      <c r="AP202" s="115"/>
      <c r="AQ202" s="115"/>
      <c r="AR202" s="115"/>
      <c r="AS202" s="115"/>
      <c r="AT202" s="115"/>
      <c r="AU202" s="115"/>
      <c r="AV202" s="115"/>
      <c r="AW202" s="115"/>
      <c r="AX202" s="115"/>
      <c r="AY202" s="115"/>
      <c r="AZ202" s="115"/>
      <c r="BA202" s="115"/>
      <c r="BB202" s="115"/>
      <c r="BC202" s="115"/>
      <c r="BD202" s="115"/>
      <c r="BE202" s="115"/>
      <c r="BF202" s="115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</row>
    <row r="203" spans="1:71" s="1" customFormat="1">
      <c r="A203" s="118"/>
      <c r="B203" s="110"/>
      <c r="C203" s="111"/>
      <c r="D203" s="112"/>
      <c r="E203" s="110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15"/>
      <c r="AL203" s="115"/>
      <c r="AM203" s="115"/>
      <c r="AN203" s="115"/>
      <c r="AO203" s="115"/>
      <c r="AP203" s="115"/>
      <c r="AQ203" s="115"/>
      <c r="AR203" s="115"/>
      <c r="AS203" s="115"/>
      <c r="AT203" s="115"/>
      <c r="AU203" s="115"/>
      <c r="AV203" s="115"/>
      <c r="AW203" s="115"/>
      <c r="AX203" s="115"/>
      <c r="AY203" s="115"/>
      <c r="AZ203" s="115"/>
      <c r="BA203" s="115"/>
      <c r="BB203" s="115"/>
      <c r="BC203" s="115"/>
      <c r="BD203" s="115"/>
      <c r="BE203" s="115"/>
      <c r="BF203" s="115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</row>
    <row r="204" spans="1:71" s="1" customFormat="1">
      <c r="A204" s="118"/>
      <c r="B204" s="110"/>
      <c r="C204" s="111"/>
      <c r="D204" s="112"/>
      <c r="E204" s="110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15"/>
      <c r="AL204" s="115"/>
      <c r="AM204" s="115"/>
      <c r="AN204" s="115"/>
      <c r="AO204" s="115"/>
      <c r="AP204" s="115"/>
      <c r="AQ204" s="115"/>
      <c r="AR204" s="115"/>
      <c r="AS204" s="115"/>
      <c r="AT204" s="115"/>
      <c r="AU204" s="115"/>
      <c r="AV204" s="115"/>
      <c r="AW204" s="115"/>
      <c r="AX204" s="115"/>
      <c r="AY204" s="115"/>
      <c r="AZ204" s="115"/>
      <c r="BA204" s="115"/>
      <c r="BB204" s="115"/>
      <c r="BC204" s="115"/>
      <c r="BD204" s="115"/>
      <c r="BE204" s="115"/>
      <c r="BF204" s="115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</row>
    <row r="205" spans="1:71" s="1" customFormat="1">
      <c r="A205" s="118"/>
      <c r="B205" s="110"/>
      <c r="C205" s="111"/>
      <c r="D205" s="112"/>
      <c r="E205" s="110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15"/>
      <c r="AL205" s="115"/>
      <c r="AM205" s="115"/>
      <c r="AN205" s="115"/>
      <c r="AO205" s="115"/>
      <c r="AP205" s="115"/>
      <c r="AQ205" s="115"/>
      <c r="AR205" s="115"/>
      <c r="AS205" s="115"/>
      <c r="AT205" s="115"/>
      <c r="AU205" s="115"/>
      <c r="AV205" s="115"/>
      <c r="AW205" s="115"/>
      <c r="AX205" s="115"/>
      <c r="AY205" s="115"/>
      <c r="AZ205" s="115"/>
      <c r="BA205" s="115"/>
      <c r="BB205" s="115"/>
      <c r="BC205" s="115"/>
      <c r="BD205" s="115"/>
      <c r="BE205" s="115"/>
      <c r="BF205" s="11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</row>
    <row r="206" spans="1:71" s="1" customFormat="1">
      <c r="A206" s="118"/>
      <c r="B206" s="110"/>
      <c r="C206" s="111"/>
      <c r="D206" s="112"/>
      <c r="E206" s="110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15"/>
      <c r="AL206" s="115"/>
      <c r="AM206" s="115"/>
      <c r="AN206" s="115"/>
      <c r="AO206" s="115"/>
      <c r="AP206" s="115"/>
      <c r="AQ206" s="115"/>
      <c r="AR206" s="115"/>
      <c r="AS206" s="115"/>
      <c r="AT206" s="115"/>
      <c r="AU206" s="115"/>
      <c r="AV206" s="115"/>
      <c r="AW206" s="115"/>
      <c r="AX206" s="115"/>
      <c r="AY206" s="115"/>
      <c r="AZ206" s="115"/>
      <c r="BA206" s="115"/>
      <c r="BB206" s="115"/>
      <c r="BC206" s="115"/>
      <c r="BD206" s="115"/>
      <c r="BE206" s="115"/>
      <c r="BF206" s="115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</row>
    <row r="207" spans="1:71" s="1" customFormat="1">
      <c r="A207" s="118"/>
      <c r="B207" s="110"/>
      <c r="C207" s="111"/>
      <c r="D207" s="112"/>
      <c r="E207" s="110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15"/>
      <c r="AL207" s="115"/>
      <c r="AM207" s="115"/>
      <c r="AN207" s="115"/>
      <c r="AO207" s="115"/>
      <c r="AP207" s="115"/>
      <c r="AQ207" s="115"/>
      <c r="AR207" s="115"/>
      <c r="AS207" s="115"/>
      <c r="AT207" s="115"/>
      <c r="AU207" s="115"/>
      <c r="AV207" s="115"/>
      <c r="AW207" s="115"/>
      <c r="AX207" s="115"/>
      <c r="AY207" s="115"/>
      <c r="AZ207" s="115"/>
      <c r="BA207" s="115"/>
      <c r="BB207" s="115"/>
      <c r="BC207" s="115"/>
      <c r="BD207" s="115"/>
      <c r="BE207" s="115"/>
      <c r="BF207" s="115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</row>
    <row r="208" spans="1:71" s="1" customFormat="1">
      <c r="A208" s="118"/>
      <c r="B208" s="110"/>
      <c r="C208" s="111"/>
      <c r="D208" s="112"/>
      <c r="E208" s="110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15"/>
      <c r="AL208" s="115"/>
      <c r="AM208" s="115"/>
      <c r="AN208" s="115"/>
      <c r="AO208" s="115"/>
      <c r="AP208" s="115"/>
      <c r="AQ208" s="115"/>
      <c r="AR208" s="115"/>
      <c r="AS208" s="115"/>
      <c r="AT208" s="115"/>
      <c r="AU208" s="115"/>
      <c r="AV208" s="115"/>
      <c r="AW208" s="115"/>
      <c r="AX208" s="115"/>
      <c r="AY208" s="115"/>
      <c r="AZ208" s="115"/>
      <c r="BA208" s="115"/>
      <c r="BB208" s="115"/>
      <c r="BC208" s="115"/>
      <c r="BD208" s="115"/>
      <c r="BE208" s="115"/>
      <c r="BF208" s="115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</row>
    <row r="209" spans="1:71" s="1" customFormat="1">
      <c r="A209" s="118"/>
      <c r="B209" s="110"/>
      <c r="C209" s="111"/>
      <c r="D209" s="112"/>
      <c r="E209" s="110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  <c r="AP209" s="115"/>
      <c r="AQ209" s="115"/>
      <c r="AR209" s="115"/>
      <c r="AS209" s="115"/>
      <c r="AT209" s="115"/>
      <c r="AU209" s="115"/>
      <c r="AV209" s="115"/>
      <c r="AW209" s="115"/>
      <c r="AX209" s="115"/>
      <c r="AY209" s="115"/>
      <c r="AZ209" s="115"/>
      <c r="BA209" s="115"/>
      <c r="BB209" s="115"/>
      <c r="BC209" s="115"/>
      <c r="BD209" s="115"/>
      <c r="BE209" s="115"/>
      <c r="BF209" s="115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</row>
    <row r="210" spans="1:71" s="1" customFormat="1">
      <c r="A210" s="118"/>
      <c r="B210" s="110"/>
      <c r="C210" s="111"/>
      <c r="D210" s="112"/>
      <c r="E210" s="110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  <c r="AP210" s="115"/>
      <c r="AQ210" s="115"/>
      <c r="AR210" s="115"/>
      <c r="AS210" s="115"/>
      <c r="AT210" s="115"/>
      <c r="AU210" s="115"/>
      <c r="AV210" s="115"/>
      <c r="AW210" s="115"/>
      <c r="AX210" s="115"/>
      <c r="AY210" s="115"/>
      <c r="AZ210" s="115"/>
      <c r="BA210" s="115"/>
      <c r="BB210" s="115"/>
      <c r="BC210" s="115"/>
      <c r="BD210" s="115"/>
      <c r="BE210" s="115"/>
      <c r="BF210" s="115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</row>
    <row r="211" spans="1:71" s="1" customFormat="1">
      <c r="A211" s="118"/>
      <c r="B211" s="110"/>
      <c r="C211" s="111"/>
      <c r="D211" s="112"/>
      <c r="E211" s="110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15"/>
      <c r="AL211" s="115"/>
      <c r="AM211" s="115"/>
      <c r="AN211" s="115"/>
      <c r="AO211" s="115"/>
      <c r="AP211" s="115"/>
      <c r="AQ211" s="115"/>
      <c r="AR211" s="115"/>
      <c r="AS211" s="115"/>
      <c r="AT211" s="115"/>
      <c r="AU211" s="115"/>
      <c r="AV211" s="115"/>
      <c r="AW211" s="115"/>
      <c r="AX211" s="115"/>
      <c r="AY211" s="115"/>
      <c r="AZ211" s="115"/>
      <c r="BA211" s="115"/>
      <c r="BB211" s="115"/>
      <c r="BC211" s="115"/>
      <c r="BD211" s="115"/>
      <c r="BE211" s="115"/>
      <c r="BF211" s="115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</row>
    <row r="212" spans="1:71" s="1" customFormat="1">
      <c r="A212" s="118"/>
      <c r="B212" s="110"/>
      <c r="C212" s="111"/>
      <c r="D212" s="112"/>
      <c r="E212" s="110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15"/>
      <c r="AL212" s="115"/>
      <c r="AM212" s="115"/>
      <c r="AN212" s="115"/>
      <c r="AO212" s="115"/>
      <c r="AP212" s="115"/>
      <c r="AQ212" s="115"/>
      <c r="AR212" s="115"/>
      <c r="AS212" s="115"/>
      <c r="AT212" s="115"/>
      <c r="AU212" s="115"/>
      <c r="AV212" s="115"/>
      <c r="AW212" s="115"/>
      <c r="AX212" s="115"/>
      <c r="AY212" s="115"/>
      <c r="AZ212" s="115"/>
      <c r="BA212" s="115"/>
      <c r="BB212" s="115"/>
      <c r="BC212" s="115"/>
      <c r="BD212" s="115"/>
      <c r="BE212" s="115"/>
      <c r="BF212" s="115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</row>
    <row r="213" spans="1:71" s="1" customFormat="1">
      <c r="A213" s="118"/>
      <c r="B213" s="110"/>
      <c r="C213" s="111"/>
      <c r="D213" s="112"/>
      <c r="E213" s="110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15"/>
      <c r="AL213" s="115"/>
      <c r="AM213" s="115"/>
      <c r="AN213" s="115"/>
      <c r="AO213" s="115"/>
      <c r="AP213" s="115"/>
      <c r="AQ213" s="115"/>
      <c r="AR213" s="115"/>
      <c r="AS213" s="115"/>
      <c r="AT213" s="115"/>
      <c r="AU213" s="115"/>
      <c r="AV213" s="115"/>
      <c r="AW213" s="115"/>
      <c r="AX213" s="115"/>
      <c r="AY213" s="115"/>
      <c r="AZ213" s="115"/>
      <c r="BA213" s="115"/>
      <c r="BB213" s="115"/>
      <c r="BC213" s="115"/>
      <c r="BD213" s="115"/>
      <c r="BE213" s="115"/>
      <c r="BF213" s="115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</row>
    <row r="214" spans="1:71" s="1" customFormat="1">
      <c r="A214" s="118"/>
      <c r="B214" s="110"/>
      <c r="C214" s="111"/>
      <c r="D214" s="112"/>
      <c r="E214" s="110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15"/>
      <c r="AL214" s="115"/>
      <c r="AM214" s="115"/>
      <c r="AN214" s="115"/>
      <c r="AO214" s="115"/>
      <c r="AP214" s="115"/>
      <c r="AQ214" s="115"/>
      <c r="AR214" s="115"/>
      <c r="AS214" s="115"/>
      <c r="AT214" s="115"/>
      <c r="AU214" s="115"/>
      <c r="AV214" s="115"/>
      <c r="AW214" s="115"/>
      <c r="AX214" s="115"/>
      <c r="AY214" s="115"/>
      <c r="AZ214" s="115"/>
      <c r="BA214" s="115"/>
      <c r="BB214" s="115"/>
      <c r="BC214" s="115"/>
      <c r="BD214" s="115"/>
      <c r="BE214" s="115"/>
      <c r="BF214" s="115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</row>
    <row r="215" spans="1:71" s="1" customFormat="1">
      <c r="A215" s="118"/>
      <c r="B215" s="110"/>
      <c r="C215" s="111"/>
      <c r="D215" s="112"/>
      <c r="E215" s="110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15"/>
      <c r="AL215" s="115"/>
      <c r="AM215" s="115"/>
      <c r="AN215" s="115"/>
      <c r="AO215" s="115"/>
      <c r="AP215" s="115"/>
      <c r="AQ215" s="115"/>
      <c r="AR215" s="115"/>
      <c r="AS215" s="115"/>
      <c r="AT215" s="115"/>
      <c r="AU215" s="115"/>
      <c r="AV215" s="115"/>
      <c r="AW215" s="115"/>
      <c r="AX215" s="115"/>
      <c r="AY215" s="115"/>
      <c r="AZ215" s="115"/>
      <c r="BA215" s="115"/>
      <c r="BB215" s="115"/>
      <c r="BC215" s="115"/>
      <c r="BD215" s="115"/>
      <c r="BE215" s="115"/>
      <c r="BF215" s="1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</row>
    <row r="216" spans="1:71" s="1" customFormat="1">
      <c r="A216" s="118"/>
      <c r="B216" s="110"/>
      <c r="C216" s="111"/>
      <c r="D216" s="112"/>
      <c r="E216" s="110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15"/>
      <c r="AL216" s="115"/>
      <c r="AM216" s="115"/>
      <c r="AN216" s="115"/>
      <c r="AO216" s="115"/>
      <c r="AP216" s="115"/>
      <c r="AQ216" s="115"/>
      <c r="AR216" s="115"/>
      <c r="AS216" s="115"/>
      <c r="AT216" s="115"/>
      <c r="AU216" s="115"/>
      <c r="AV216" s="115"/>
      <c r="AW216" s="115"/>
      <c r="AX216" s="115"/>
      <c r="AY216" s="115"/>
      <c r="AZ216" s="115"/>
      <c r="BA216" s="115"/>
      <c r="BB216" s="115"/>
      <c r="BC216" s="115"/>
      <c r="BD216" s="115"/>
      <c r="BE216" s="115"/>
      <c r="BF216" s="115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</row>
    <row r="217" spans="1:71" s="1" customFormat="1">
      <c r="A217" s="118"/>
      <c r="B217" s="110"/>
      <c r="C217" s="111"/>
      <c r="D217" s="112"/>
      <c r="E217" s="110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15"/>
      <c r="AL217" s="115"/>
      <c r="AM217" s="115"/>
      <c r="AN217" s="115"/>
      <c r="AO217" s="115"/>
      <c r="AP217" s="115"/>
      <c r="AQ217" s="115"/>
      <c r="AR217" s="115"/>
      <c r="AS217" s="115"/>
      <c r="AT217" s="115"/>
      <c r="AU217" s="115"/>
      <c r="AV217" s="115"/>
      <c r="AW217" s="115"/>
      <c r="AX217" s="115"/>
      <c r="AY217" s="115"/>
      <c r="AZ217" s="115"/>
      <c r="BA217" s="115"/>
      <c r="BB217" s="115"/>
      <c r="BC217" s="115"/>
      <c r="BD217" s="115"/>
      <c r="BE217" s="115"/>
      <c r="BF217" s="115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</row>
    <row r="218" spans="1:71" s="1" customFormat="1">
      <c r="A218" s="118"/>
      <c r="B218" s="110"/>
      <c r="C218" s="111"/>
      <c r="D218" s="112"/>
      <c r="E218" s="110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15"/>
      <c r="AL218" s="115"/>
      <c r="AM218" s="115"/>
      <c r="AN218" s="115"/>
      <c r="AO218" s="115"/>
      <c r="AP218" s="115"/>
      <c r="AQ218" s="115"/>
      <c r="AR218" s="115"/>
      <c r="AS218" s="115"/>
      <c r="AT218" s="115"/>
      <c r="AU218" s="115"/>
      <c r="AV218" s="115"/>
      <c r="AW218" s="115"/>
      <c r="AX218" s="115"/>
      <c r="AY218" s="115"/>
      <c r="AZ218" s="115"/>
      <c r="BA218" s="115"/>
      <c r="BB218" s="115"/>
      <c r="BC218" s="115"/>
      <c r="BD218" s="115"/>
      <c r="BE218" s="115"/>
      <c r="BF218" s="115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</row>
    <row r="219" spans="1:71" s="1" customFormat="1">
      <c r="A219" s="118"/>
      <c r="B219" s="110"/>
      <c r="C219" s="111"/>
      <c r="D219" s="112"/>
      <c r="E219" s="110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15"/>
      <c r="AL219" s="115"/>
      <c r="AM219" s="115"/>
      <c r="AN219" s="115"/>
      <c r="AO219" s="115"/>
      <c r="AP219" s="115"/>
      <c r="AQ219" s="115"/>
      <c r="AR219" s="115"/>
      <c r="AS219" s="115"/>
      <c r="AT219" s="115"/>
      <c r="AU219" s="115"/>
      <c r="AV219" s="115"/>
      <c r="AW219" s="115"/>
      <c r="AX219" s="115"/>
      <c r="AY219" s="115"/>
      <c r="AZ219" s="115"/>
      <c r="BA219" s="115"/>
      <c r="BB219" s="115"/>
      <c r="BC219" s="115"/>
      <c r="BD219" s="115"/>
      <c r="BE219" s="115"/>
      <c r="BF219" s="115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</row>
    <row r="220" spans="1:71" s="1" customFormat="1">
      <c r="A220" s="118"/>
      <c r="B220" s="110"/>
      <c r="C220" s="111"/>
      <c r="D220" s="112"/>
      <c r="E220" s="110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15"/>
      <c r="AL220" s="115"/>
      <c r="AM220" s="115"/>
      <c r="AN220" s="115"/>
      <c r="AO220" s="115"/>
      <c r="AP220" s="115"/>
      <c r="AQ220" s="115"/>
      <c r="AR220" s="115"/>
      <c r="AS220" s="115"/>
      <c r="AT220" s="115"/>
      <c r="AU220" s="115"/>
      <c r="AV220" s="115"/>
      <c r="AW220" s="115"/>
      <c r="AX220" s="115"/>
      <c r="AY220" s="115"/>
      <c r="AZ220" s="115"/>
      <c r="BA220" s="115"/>
      <c r="BB220" s="115"/>
      <c r="BC220" s="115"/>
      <c r="BD220" s="115"/>
      <c r="BE220" s="115"/>
      <c r="BF220" s="115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</row>
    <row r="221" spans="1:71" s="1" customFormat="1">
      <c r="A221" s="118"/>
      <c r="B221" s="110"/>
      <c r="C221" s="111"/>
      <c r="D221" s="112"/>
      <c r="E221" s="110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15"/>
      <c r="AL221" s="115"/>
      <c r="AM221" s="115"/>
      <c r="AN221" s="115"/>
      <c r="AO221" s="115"/>
      <c r="AP221" s="115"/>
      <c r="AQ221" s="115"/>
      <c r="AR221" s="115"/>
      <c r="AS221" s="115"/>
      <c r="AT221" s="115"/>
      <c r="AU221" s="115"/>
      <c r="AV221" s="115"/>
      <c r="AW221" s="115"/>
      <c r="AX221" s="115"/>
      <c r="AY221" s="115"/>
      <c r="AZ221" s="115"/>
      <c r="BA221" s="115"/>
      <c r="BB221" s="115"/>
      <c r="BC221" s="115"/>
      <c r="BD221" s="115"/>
      <c r="BE221" s="115"/>
      <c r="BF221" s="115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</row>
    <row r="222" spans="1:71" s="1" customFormat="1">
      <c r="A222" s="118"/>
      <c r="B222" s="110"/>
      <c r="C222" s="111"/>
      <c r="D222" s="112"/>
      <c r="E222" s="110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15"/>
      <c r="AL222" s="115"/>
      <c r="AM222" s="115"/>
      <c r="AN222" s="115"/>
      <c r="AO222" s="115"/>
      <c r="AP222" s="115"/>
      <c r="AQ222" s="115"/>
      <c r="AR222" s="115"/>
      <c r="AS222" s="115"/>
      <c r="AT222" s="115"/>
      <c r="AU222" s="115"/>
      <c r="AV222" s="115"/>
      <c r="AW222" s="115"/>
      <c r="AX222" s="115"/>
      <c r="AY222" s="115"/>
      <c r="AZ222" s="115"/>
      <c r="BA222" s="115"/>
      <c r="BB222" s="115"/>
      <c r="BC222" s="115"/>
      <c r="BD222" s="115"/>
      <c r="BE222" s="115"/>
      <c r="BF222" s="115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</row>
    <row r="223" spans="1:71" s="1" customFormat="1">
      <c r="A223" s="118"/>
      <c r="B223" s="110"/>
      <c r="C223" s="111"/>
      <c r="D223" s="112"/>
      <c r="E223" s="110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15"/>
      <c r="AL223" s="115"/>
      <c r="AM223" s="115"/>
      <c r="AN223" s="115"/>
      <c r="AO223" s="115"/>
      <c r="AP223" s="115"/>
      <c r="AQ223" s="115"/>
      <c r="AR223" s="115"/>
      <c r="AS223" s="115"/>
      <c r="AT223" s="115"/>
      <c r="AU223" s="115"/>
      <c r="AV223" s="115"/>
      <c r="AW223" s="115"/>
      <c r="AX223" s="115"/>
      <c r="AY223" s="115"/>
      <c r="AZ223" s="115"/>
      <c r="BA223" s="115"/>
      <c r="BB223" s="115"/>
      <c r="BC223" s="115"/>
      <c r="BD223" s="115"/>
      <c r="BE223" s="115"/>
      <c r="BF223" s="115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</row>
    <row r="224" spans="1:71" s="1" customFormat="1">
      <c r="A224" s="118"/>
      <c r="B224" s="110"/>
      <c r="C224" s="111"/>
      <c r="D224" s="112"/>
      <c r="E224" s="110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15"/>
      <c r="AL224" s="115"/>
      <c r="AM224" s="115"/>
      <c r="AN224" s="115"/>
      <c r="AO224" s="115"/>
      <c r="AP224" s="115"/>
      <c r="AQ224" s="115"/>
      <c r="AR224" s="115"/>
      <c r="AS224" s="115"/>
      <c r="AT224" s="115"/>
      <c r="AU224" s="115"/>
      <c r="AV224" s="115"/>
      <c r="AW224" s="115"/>
      <c r="AX224" s="115"/>
      <c r="AY224" s="115"/>
      <c r="AZ224" s="115"/>
      <c r="BA224" s="115"/>
      <c r="BB224" s="115"/>
      <c r="BC224" s="115"/>
      <c r="BD224" s="115"/>
      <c r="BE224" s="115"/>
      <c r="BF224" s="115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</row>
    <row r="225" spans="1:71" s="1" customFormat="1">
      <c r="A225" s="118"/>
      <c r="B225" s="110"/>
      <c r="C225" s="111"/>
      <c r="D225" s="112"/>
      <c r="E225" s="110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115"/>
      <c r="AR225" s="115"/>
      <c r="AS225" s="115"/>
      <c r="AT225" s="115"/>
      <c r="AU225" s="115"/>
      <c r="AV225" s="115"/>
      <c r="AW225" s="115"/>
      <c r="AX225" s="115"/>
      <c r="AY225" s="115"/>
      <c r="AZ225" s="115"/>
      <c r="BA225" s="115"/>
      <c r="BB225" s="115"/>
      <c r="BC225" s="115"/>
      <c r="BD225" s="115"/>
      <c r="BE225" s="115"/>
      <c r="BF225" s="11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</row>
    <row r="226" spans="1:71" s="1" customFormat="1">
      <c r="A226" s="118"/>
      <c r="B226" s="110"/>
      <c r="C226" s="111"/>
      <c r="D226" s="112"/>
      <c r="E226" s="110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15"/>
      <c r="AL226" s="115"/>
      <c r="AM226" s="115"/>
      <c r="AN226" s="115"/>
      <c r="AO226" s="115"/>
      <c r="AP226" s="115"/>
      <c r="AQ226" s="115"/>
      <c r="AR226" s="115"/>
      <c r="AS226" s="115"/>
      <c r="AT226" s="115"/>
      <c r="AU226" s="115"/>
      <c r="AV226" s="115"/>
      <c r="AW226" s="115"/>
      <c r="AX226" s="115"/>
      <c r="AY226" s="115"/>
      <c r="AZ226" s="115"/>
      <c r="BA226" s="115"/>
      <c r="BB226" s="115"/>
      <c r="BC226" s="115"/>
      <c r="BD226" s="115"/>
      <c r="BE226" s="115"/>
      <c r="BF226" s="115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</row>
    <row r="227" spans="1:71" s="1" customFormat="1">
      <c r="A227" s="118"/>
      <c r="B227" s="110"/>
      <c r="C227" s="111"/>
      <c r="D227" s="112"/>
      <c r="E227" s="110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15"/>
      <c r="AL227" s="115"/>
      <c r="AM227" s="115"/>
      <c r="AN227" s="115"/>
      <c r="AO227" s="115"/>
      <c r="AP227" s="115"/>
      <c r="AQ227" s="115"/>
      <c r="AR227" s="115"/>
      <c r="AS227" s="115"/>
      <c r="AT227" s="115"/>
      <c r="AU227" s="115"/>
      <c r="AV227" s="115"/>
      <c r="AW227" s="115"/>
      <c r="AX227" s="115"/>
      <c r="AY227" s="115"/>
      <c r="AZ227" s="115"/>
      <c r="BA227" s="115"/>
      <c r="BB227" s="115"/>
      <c r="BC227" s="115"/>
      <c r="BD227" s="115"/>
      <c r="BE227" s="115"/>
      <c r="BF227" s="115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</row>
    <row r="228" spans="1:71" s="1" customFormat="1">
      <c r="A228" s="118"/>
      <c r="B228" s="110"/>
      <c r="C228" s="111"/>
      <c r="D228" s="112"/>
      <c r="E228" s="110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15"/>
      <c r="AL228" s="115"/>
      <c r="AM228" s="115"/>
      <c r="AN228" s="115"/>
      <c r="AO228" s="115"/>
      <c r="AP228" s="115"/>
      <c r="AQ228" s="115"/>
      <c r="AR228" s="115"/>
      <c r="AS228" s="115"/>
      <c r="AT228" s="115"/>
      <c r="AU228" s="115"/>
      <c r="AV228" s="115"/>
      <c r="AW228" s="115"/>
      <c r="AX228" s="115"/>
      <c r="AY228" s="115"/>
      <c r="AZ228" s="115"/>
      <c r="BA228" s="115"/>
      <c r="BB228" s="115"/>
      <c r="BC228" s="115"/>
      <c r="BD228" s="115"/>
      <c r="BE228" s="115"/>
      <c r="BF228" s="115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</row>
    <row r="229" spans="1:71" s="1" customFormat="1">
      <c r="A229" s="118"/>
      <c r="B229" s="110"/>
      <c r="C229" s="111"/>
      <c r="D229" s="112"/>
      <c r="E229" s="110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15"/>
      <c r="AL229" s="115"/>
      <c r="AM229" s="115"/>
      <c r="AN229" s="115"/>
      <c r="AO229" s="115"/>
      <c r="AP229" s="115"/>
      <c r="AQ229" s="115"/>
      <c r="AR229" s="115"/>
      <c r="AS229" s="115"/>
      <c r="AT229" s="115"/>
      <c r="AU229" s="115"/>
      <c r="AV229" s="115"/>
      <c r="AW229" s="115"/>
      <c r="AX229" s="115"/>
      <c r="AY229" s="115"/>
      <c r="AZ229" s="115"/>
      <c r="BA229" s="115"/>
      <c r="BB229" s="115"/>
      <c r="BC229" s="115"/>
      <c r="BD229" s="115"/>
      <c r="BE229" s="115"/>
      <c r="BF229" s="115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</row>
    <row r="230" spans="1:71" s="1" customFormat="1">
      <c r="A230" s="118"/>
      <c r="B230" s="110"/>
      <c r="C230" s="111"/>
      <c r="D230" s="112"/>
      <c r="E230" s="110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15"/>
      <c r="AL230" s="115"/>
      <c r="AM230" s="115"/>
      <c r="AN230" s="115"/>
      <c r="AO230" s="115"/>
      <c r="AP230" s="115"/>
      <c r="AQ230" s="115"/>
      <c r="AR230" s="115"/>
      <c r="AS230" s="115"/>
      <c r="AT230" s="115"/>
      <c r="AU230" s="115"/>
      <c r="AV230" s="115"/>
      <c r="AW230" s="115"/>
      <c r="AX230" s="115"/>
      <c r="AY230" s="115"/>
      <c r="AZ230" s="115"/>
      <c r="BA230" s="115"/>
      <c r="BB230" s="115"/>
      <c r="BC230" s="115"/>
      <c r="BD230" s="115"/>
      <c r="BE230" s="115"/>
      <c r="BF230" s="115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</row>
    <row r="231" spans="1:71" s="1" customFormat="1">
      <c r="A231" s="118"/>
      <c r="B231" s="110"/>
      <c r="C231" s="111"/>
      <c r="D231" s="112"/>
      <c r="E231" s="110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15"/>
      <c r="AL231" s="115"/>
      <c r="AM231" s="115"/>
      <c r="AN231" s="115"/>
      <c r="AO231" s="115"/>
      <c r="AP231" s="115"/>
      <c r="AQ231" s="115"/>
      <c r="AR231" s="115"/>
      <c r="AS231" s="115"/>
      <c r="AT231" s="115"/>
      <c r="AU231" s="115"/>
      <c r="AV231" s="115"/>
      <c r="AW231" s="115"/>
      <c r="AX231" s="115"/>
      <c r="AY231" s="115"/>
      <c r="AZ231" s="115"/>
      <c r="BA231" s="115"/>
      <c r="BB231" s="115"/>
      <c r="BC231" s="115"/>
      <c r="BD231" s="115"/>
      <c r="BE231" s="115"/>
      <c r="BF231" s="115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</row>
    <row r="232" spans="1:71" s="1" customFormat="1">
      <c r="A232" s="118"/>
      <c r="B232" s="110"/>
      <c r="C232" s="111"/>
      <c r="D232" s="112"/>
      <c r="E232" s="110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15"/>
      <c r="AL232" s="115"/>
      <c r="AM232" s="115"/>
      <c r="AN232" s="115"/>
      <c r="AO232" s="115"/>
      <c r="AP232" s="115"/>
      <c r="AQ232" s="115"/>
      <c r="AR232" s="115"/>
      <c r="AS232" s="115"/>
      <c r="AT232" s="115"/>
      <c r="AU232" s="115"/>
      <c r="AV232" s="115"/>
      <c r="AW232" s="115"/>
      <c r="AX232" s="115"/>
      <c r="AY232" s="115"/>
      <c r="AZ232" s="115"/>
      <c r="BA232" s="115"/>
      <c r="BB232" s="115"/>
      <c r="BC232" s="115"/>
      <c r="BD232" s="115"/>
      <c r="BE232" s="115"/>
      <c r="BF232" s="115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</row>
    <row r="233" spans="1:71" s="1" customFormat="1">
      <c r="A233" s="118"/>
      <c r="B233" s="110"/>
      <c r="C233" s="111"/>
      <c r="D233" s="112"/>
      <c r="E233" s="110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15"/>
      <c r="AL233" s="115"/>
      <c r="AM233" s="115"/>
      <c r="AN233" s="115"/>
      <c r="AO233" s="115"/>
      <c r="AP233" s="115"/>
      <c r="AQ233" s="115"/>
      <c r="AR233" s="115"/>
      <c r="AS233" s="115"/>
      <c r="AT233" s="115"/>
      <c r="AU233" s="115"/>
      <c r="AV233" s="115"/>
      <c r="AW233" s="115"/>
      <c r="AX233" s="115"/>
      <c r="AY233" s="115"/>
      <c r="AZ233" s="115"/>
      <c r="BA233" s="115"/>
      <c r="BB233" s="115"/>
      <c r="BC233" s="115"/>
      <c r="BD233" s="115"/>
      <c r="BE233" s="115"/>
      <c r="BF233" s="115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</row>
    <row r="234" spans="1:71" s="1" customFormat="1">
      <c r="A234" s="118"/>
      <c r="B234" s="110"/>
      <c r="C234" s="111"/>
      <c r="D234" s="112"/>
      <c r="E234" s="110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15"/>
      <c r="AL234" s="115"/>
      <c r="AM234" s="115"/>
      <c r="AN234" s="115"/>
      <c r="AO234" s="115"/>
      <c r="AP234" s="115"/>
      <c r="AQ234" s="115"/>
      <c r="AR234" s="115"/>
      <c r="AS234" s="115"/>
      <c r="AT234" s="115"/>
      <c r="AU234" s="115"/>
      <c r="AV234" s="115"/>
      <c r="AW234" s="115"/>
      <c r="AX234" s="115"/>
      <c r="AY234" s="115"/>
      <c r="AZ234" s="115"/>
      <c r="BA234" s="115"/>
      <c r="BB234" s="115"/>
      <c r="BC234" s="115"/>
      <c r="BD234" s="115"/>
      <c r="BE234" s="115"/>
      <c r="BF234" s="115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</row>
    <row r="235" spans="1:71" s="1" customFormat="1">
      <c r="A235" s="118"/>
      <c r="B235" s="110"/>
      <c r="C235" s="111"/>
      <c r="D235" s="112"/>
      <c r="E235" s="110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15"/>
      <c r="AL235" s="115"/>
      <c r="AM235" s="115"/>
      <c r="AN235" s="115"/>
      <c r="AO235" s="115"/>
      <c r="AP235" s="115"/>
      <c r="AQ235" s="115"/>
      <c r="AR235" s="115"/>
      <c r="AS235" s="115"/>
      <c r="AT235" s="115"/>
      <c r="AU235" s="115"/>
      <c r="AV235" s="115"/>
      <c r="AW235" s="115"/>
      <c r="AX235" s="115"/>
      <c r="AY235" s="115"/>
      <c r="AZ235" s="115"/>
      <c r="BA235" s="115"/>
      <c r="BB235" s="115"/>
      <c r="BC235" s="115"/>
      <c r="BD235" s="115"/>
      <c r="BE235" s="115"/>
      <c r="BF235" s="11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</row>
    <row r="236" spans="1:71" s="1" customFormat="1">
      <c r="A236" s="118"/>
      <c r="B236" s="110"/>
      <c r="C236" s="111"/>
      <c r="D236" s="112"/>
      <c r="E236" s="110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15"/>
      <c r="AL236" s="115"/>
      <c r="AM236" s="115"/>
      <c r="AN236" s="115"/>
      <c r="AO236" s="115"/>
      <c r="AP236" s="115"/>
      <c r="AQ236" s="115"/>
      <c r="AR236" s="115"/>
      <c r="AS236" s="115"/>
      <c r="AT236" s="115"/>
      <c r="AU236" s="115"/>
      <c r="AV236" s="115"/>
      <c r="AW236" s="115"/>
      <c r="AX236" s="115"/>
      <c r="AY236" s="115"/>
      <c r="AZ236" s="115"/>
      <c r="BA236" s="115"/>
      <c r="BB236" s="115"/>
      <c r="BC236" s="115"/>
      <c r="BD236" s="115"/>
      <c r="BE236" s="115"/>
      <c r="BF236" s="115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</row>
    <row r="237" spans="1:71" s="1" customFormat="1">
      <c r="A237" s="118"/>
      <c r="B237" s="110"/>
      <c r="C237" s="111"/>
      <c r="D237" s="112"/>
      <c r="E237" s="110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15"/>
      <c r="AL237" s="115"/>
      <c r="AM237" s="115"/>
      <c r="AN237" s="115"/>
      <c r="AO237" s="115"/>
      <c r="AP237" s="115"/>
      <c r="AQ237" s="115"/>
      <c r="AR237" s="115"/>
      <c r="AS237" s="115"/>
      <c r="AT237" s="115"/>
      <c r="AU237" s="115"/>
      <c r="AV237" s="115"/>
      <c r="AW237" s="115"/>
      <c r="AX237" s="115"/>
      <c r="AY237" s="115"/>
      <c r="AZ237" s="115"/>
      <c r="BA237" s="115"/>
      <c r="BB237" s="115"/>
      <c r="BC237" s="115"/>
      <c r="BD237" s="115"/>
      <c r="BE237" s="115"/>
      <c r="BF237" s="115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</row>
    <row r="238" spans="1:71" s="1" customFormat="1">
      <c r="A238" s="118"/>
      <c r="B238" s="110"/>
      <c r="C238" s="111"/>
      <c r="D238" s="112"/>
      <c r="E238" s="110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15"/>
      <c r="AL238" s="115"/>
      <c r="AM238" s="115"/>
      <c r="AN238" s="115"/>
      <c r="AO238" s="115"/>
      <c r="AP238" s="115"/>
      <c r="AQ238" s="115"/>
      <c r="AR238" s="115"/>
      <c r="AS238" s="115"/>
      <c r="AT238" s="115"/>
      <c r="AU238" s="115"/>
      <c r="AV238" s="115"/>
      <c r="AW238" s="115"/>
      <c r="AX238" s="115"/>
      <c r="AY238" s="115"/>
      <c r="AZ238" s="115"/>
      <c r="BA238" s="115"/>
      <c r="BB238" s="115"/>
      <c r="BC238" s="115"/>
      <c r="BD238" s="115"/>
      <c r="BE238" s="115"/>
      <c r="BF238" s="115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</row>
  </sheetData>
  <pageMargins left="0" right="0" top="0.25" bottom="0.25" header="0" footer="0.05"/>
  <pageSetup scale="59" orientation="portrait" r:id="rId1"/>
  <headerFooter alignWithMargins="0">
    <oddFooter xml:space="preserve">&amp;L&amp;"Arial,Regular"
</oddFooter>
  </headerFooter>
  <ignoredErrors>
    <ignoredError sqref="O27 O24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W174"/>
  <sheetViews>
    <sheetView workbookViewId="0">
      <pane xSplit="3" ySplit="2" topLeftCell="N57" activePane="bottomRight" state="frozen"/>
      <selection pane="topRight" activeCell="D1" sqref="D1"/>
      <selection pane="bottomLeft" activeCell="A3" sqref="A3"/>
      <selection pane="bottomRight" activeCell="U77" sqref="U77"/>
    </sheetView>
  </sheetViews>
  <sheetFormatPr defaultRowHeight="15.75"/>
  <cols>
    <col min="2" max="2" width="12.83203125" customWidth="1"/>
    <col min="3" max="3" width="26" customWidth="1"/>
    <col min="5" max="5" width="15.83203125" bestFit="1" customWidth="1"/>
    <col min="6" max="6" width="14.33203125" customWidth="1"/>
    <col min="7" max="7" width="13.33203125" customWidth="1"/>
    <col min="8" max="8" width="13" customWidth="1"/>
    <col min="9" max="9" width="22.33203125" customWidth="1"/>
    <col min="10" max="10" width="17.83203125" customWidth="1"/>
    <col min="11" max="11" width="17.1640625" customWidth="1"/>
    <col min="12" max="12" width="13.33203125" customWidth="1"/>
    <col min="13" max="13" width="9.33203125" style="91"/>
    <col min="14" max="14" width="19.83203125" customWidth="1"/>
    <col min="17" max="17" width="30.33203125" customWidth="1"/>
    <col min="18" max="18" width="19.33203125" customWidth="1"/>
    <col min="19" max="19" width="14.33203125" customWidth="1"/>
    <col min="20" max="20" width="26.5" style="175" customWidth="1"/>
    <col min="21" max="21" width="10.1640625" style="209" customWidth="1"/>
    <col min="22" max="22" width="15.83203125" customWidth="1"/>
    <col min="23" max="23" width="15" customWidth="1"/>
  </cols>
  <sheetData>
    <row r="1" spans="1:14">
      <c r="B1" s="82"/>
      <c r="C1" s="82"/>
      <c r="D1" s="85"/>
      <c r="E1" s="85" t="s">
        <v>226</v>
      </c>
      <c r="F1" s="85" t="s">
        <v>227</v>
      </c>
      <c r="G1" s="85" t="s">
        <v>220</v>
      </c>
      <c r="H1" s="85" t="s">
        <v>228</v>
      </c>
      <c r="I1" s="85" t="s">
        <v>229</v>
      </c>
      <c r="J1" s="85" t="s">
        <v>230</v>
      </c>
      <c r="K1" s="85" t="s">
        <v>231</v>
      </c>
      <c r="L1" s="85" t="s">
        <v>232</v>
      </c>
      <c r="M1" s="90"/>
      <c r="N1" s="85" t="s">
        <v>233</v>
      </c>
    </row>
    <row r="2" spans="1:14" ht="30">
      <c r="B2" s="82"/>
      <c r="C2" s="82"/>
      <c r="D2" s="85"/>
      <c r="E2" s="89" t="s">
        <v>218</v>
      </c>
      <c r="F2" s="89" t="s">
        <v>219</v>
      </c>
      <c r="G2" s="89" t="s">
        <v>220</v>
      </c>
      <c r="H2" s="89" t="s">
        <v>217</v>
      </c>
      <c r="I2" s="89" t="s">
        <v>225</v>
      </c>
      <c r="J2" s="89" t="s">
        <v>224</v>
      </c>
      <c r="K2" s="89" t="s">
        <v>223</v>
      </c>
      <c r="L2" s="89" t="s">
        <v>221</v>
      </c>
      <c r="M2" s="90"/>
      <c r="N2" s="85" t="s">
        <v>27</v>
      </c>
    </row>
    <row r="3" spans="1:14">
      <c r="B3" s="69"/>
      <c r="C3" s="69"/>
      <c r="D3" s="85"/>
      <c r="E3" s="85"/>
      <c r="F3" s="85"/>
      <c r="G3" s="85"/>
      <c r="H3" s="85"/>
      <c r="I3" s="85"/>
      <c r="J3" s="85"/>
      <c r="K3" s="85"/>
      <c r="L3" s="85"/>
      <c r="M3" s="90"/>
      <c r="N3" s="85"/>
    </row>
    <row r="4" spans="1:14">
      <c r="A4">
        <v>4</v>
      </c>
      <c r="B4" s="68">
        <v>4100</v>
      </c>
      <c r="C4" s="67" t="s">
        <v>203</v>
      </c>
      <c r="D4" s="85"/>
      <c r="E4" s="86" t="e">
        <f>SUM(#REF!)</f>
        <v>#REF!</v>
      </c>
      <c r="F4" s="85"/>
      <c r="G4" s="86" t="e">
        <f>SUM(#REF!)</f>
        <v>#REF!</v>
      </c>
      <c r="H4" s="86" t="e">
        <f>SUM(#REF!)</f>
        <v>#REF!</v>
      </c>
      <c r="I4" s="86" t="e">
        <f>SUM(#REF!)</f>
        <v>#REF!</v>
      </c>
      <c r="J4" s="86" t="e">
        <f>SUM(#REF!+#REF!+#REF!+#REF!)</f>
        <v>#REF!</v>
      </c>
      <c r="K4" s="86" t="e">
        <f>SUM(#REF!)</f>
        <v>#REF!</v>
      </c>
      <c r="L4" s="86" t="e">
        <f>SUM(#REF!)</f>
        <v>#REF!</v>
      </c>
      <c r="M4" s="90"/>
      <c r="N4" s="86" t="e">
        <f>SUM(E4:M4)</f>
        <v>#REF!</v>
      </c>
    </row>
    <row r="5" spans="1:14">
      <c r="A5">
        <f>+A4+1</f>
        <v>5</v>
      </c>
      <c r="B5" s="68">
        <v>4110</v>
      </c>
      <c r="C5" s="67" t="s">
        <v>202</v>
      </c>
      <c r="D5" s="85"/>
      <c r="E5" s="86">
        <v>0</v>
      </c>
      <c r="F5" s="85"/>
      <c r="G5" s="86" t="e">
        <f>SUM(#REF!)+#REF!</f>
        <v>#REF!</v>
      </c>
      <c r="H5" s="86" t="e">
        <f>SUM(#REF!)</f>
        <v>#REF!</v>
      </c>
      <c r="I5" s="86" t="e">
        <f>SUM(#REF!)</f>
        <v>#REF!</v>
      </c>
      <c r="J5" s="86" t="e">
        <f>SUM(#REF!+#REF!+#REF!+#REF!)</f>
        <v>#REF!</v>
      </c>
      <c r="K5" s="86" t="e">
        <f>SUM(#REF!)</f>
        <v>#REF!</v>
      </c>
      <c r="L5" s="86" t="e">
        <f>SUM(#REF!)</f>
        <v>#REF!</v>
      </c>
      <c r="M5" s="90"/>
      <c r="N5" s="86" t="e">
        <f t="shared" ref="N5:N68" si="0">SUM(E5:M5)</f>
        <v>#REF!</v>
      </c>
    </row>
    <row r="6" spans="1:14" ht="30.75">
      <c r="A6">
        <f t="shared" ref="A6:A69" si="1">+A5+1</f>
        <v>6</v>
      </c>
      <c r="B6" s="68">
        <v>4120</v>
      </c>
      <c r="C6" s="67" t="s">
        <v>201</v>
      </c>
      <c r="D6" s="85"/>
      <c r="E6" s="86" t="e">
        <f>SUM(#REF!)</f>
        <v>#REF!</v>
      </c>
      <c r="F6" s="85"/>
      <c r="G6" s="86" t="e">
        <f>SUM(#REF!)</f>
        <v>#REF!</v>
      </c>
      <c r="H6" s="86" t="e">
        <f>SUM(#REF!)</f>
        <v>#REF!</v>
      </c>
      <c r="I6" s="86" t="e">
        <f>SUM(#REF!)</f>
        <v>#REF!</v>
      </c>
      <c r="J6" s="86" t="e">
        <f>SUM(#REF!+#REF!+#REF!+#REF!)</f>
        <v>#REF!</v>
      </c>
      <c r="K6" s="86" t="e">
        <f>SUM(#REF!)</f>
        <v>#REF!</v>
      </c>
      <c r="L6" s="86" t="e">
        <f>SUM(#REF!)</f>
        <v>#REF!</v>
      </c>
      <c r="M6" s="90"/>
      <c r="N6" s="86" t="e">
        <f t="shared" si="0"/>
        <v>#REF!</v>
      </c>
    </row>
    <row r="7" spans="1:14">
      <c r="A7">
        <f t="shared" si="1"/>
        <v>7</v>
      </c>
      <c r="B7" s="68">
        <v>4130</v>
      </c>
      <c r="C7" s="67" t="s">
        <v>200</v>
      </c>
      <c r="D7" s="85"/>
      <c r="E7" s="86" t="e">
        <f>SUM(#REF!)</f>
        <v>#REF!</v>
      </c>
      <c r="F7" s="85"/>
      <c r="G7" s="86" t="e">
        <f>SUM(#REF!)</f>
        <v>#REF!</v>
      </c>
      <c r="H7" s="86" t="e">
        <f>SUM(#REF!)</f>
        <v>#REF!</v>
      </c>
      <c r="I7" s="86" t="e">
        <f>SUM(#REF!)</f>
        <v>#REF!</v>
      </c>
      <c r="J7" s="86" t="e">
        <f>SUM(#REF!+#REF!+#REF!+#REF!)</f>
        <v>#REF!</v>
      </c>
      <c r="K7" s="86" t="e">
        <f>SUM(#REF!)</f>
        <v>#REF!</v>
      </c>
      <c r="L7" s="86" t="e">
        <f>SUM(#REF!)</f>
        <v>#REF!</v>
      </c>
      <c r="M7" s="90"/>
      <c r="N7" s="86" t="e">
        <f t="shared" si="0"/>
        <v>#REF!</v>
      </c>
    </row>
    <row r="8" spans="1:14">
      <c r="A8">
        <f t="shared" si="1"/>
        <v>8</v>
      </c>
      <c r="B8" s="68">
        <v>4140</v>
      </c>
      <c r="C8" s="67" t="s">
        <v>199</v>
      </c>
      <c r="D8" s="85"/>
      <c r="E8" s="86" t="e">
        <f>SUM(#REF!)</f>
        <v>#REF!</v>
      </c>
      <c r="F8" s="85"/>
      <c r="G8" s="86" t="e">
        <f>SUM(#REF!)</f>
        <v>#REF!</v>
      </c>
      <c r="H8" s="86" t="e">
        <f>SUM(#REF!)</f>
        <v>#REF!</v>
      </c>
      <c r="I8" s="86" t="e">
        <f>SUM(#REF!)</f>
        <v>#REF!</v>
      </c>
      <c r="J8" s="86" t="e">
        <f>SUM(#REF!+#REF!+#REF!+#REF!)</f>
        <v>#REF!</v>
      </c>
      <c r="K8" s="86" t="e">
        <f>SUM(#REF!)</f>
        <v>#REF!</v>
      </c>
      <c r="L8" s="86" t="e">
        <f>SUM(#REF!)</f>
        <v>#REF!</v>
      </c>
      <c r="M8" s="90"/>
      <c r="N8" s="86" t="e">
        <f t="shared" si="0"/>
        <v>#REF!</v>
      </c>
    </row>
    <row r="9" spans="1:14">
      <c r="A9">
        <f t="shared" si="1"/>
        <v>9</v>
      </c>
      <c r="B9" s="68"/>
      <c r="C9" s="67"/>
      <c r="D9" s="85"/>
      <c r="E9" s="86" t="e">
        <f>SUM(#REF!)</f>
        <v>#REF!</v>
      </c>
      <c r="F9" s="85"/>
      <c r="G9" s="86" t="e">
        <f>SUM(#REF!)</f>
        <v>#REF!</v>
      </c>
      <c r="H9" s="86" t="e">
        <f>SUM(#REF!)</f>
        <v>#REF!</v>
      </c>
      <c r="I9" s="86" t="e">
        <f>SUM(#REF!)</f>
        <v>#REF!</v>
      </c>
      <c r="J9" s="86" t="e">
        <f>SUM(#REF!+#REF!+#REF!+#REF!)</f>
        <v>#REF!</v>
      </c>
      <c r="K9" s="86" t="e">
        <f>SUM(#REF!)</f>
        <v>#REF!</v>
      </c>
      <c r="L9" s="86" t="e">
        <f>SUM(#REF!)</f>
        <v>#REF!</v>
      </c>
      <c r="M9" s="90"/>
      <c r="N9" s="86" t="e">
        <f t="shared" si="0"/>
        <v>#REF!</v>
      </c>
    </row>
    <row r="10" spans="1:14">
      <c r="A10">
        <f t="shared" si="1"/>
        <v>10</v>
      </c>
      <c r="B10" s="68">
        <v>4200</v>
      </c>
      <c r="C10" s="67" t="s">
        <v>198</v>
      </c>
      <c r="D10" s="85"/>
      <c r="E10" s="86" t="e">
        <f>SUM(#REF!)</f>
        <v>#REF!</v>
      </c>
      <c r="F10" s="85">
        <v>85900</v>
      </c>
      <c r="G10" s="86"/>
      <c r="H10" s="86" t="e">
        <f>SUM(#REF!)</f>
        <v>#REF!</v>
      </c>
      <c r="I10" s="86" t="e">
        <f>SUM(#REF!)</f>
        <v>#REF!</v>
      </c>
      <c r="J10" s="86" t="e">
        <f>SUM(#REF!+#REF!+#REF!+#REF!)</f>
        <v>#REF!</v>
      </c>
      <c r="K10" s="86" t="e">
        <f>SUM(#REF!)</f>
        <v>#REF!</v>
      </c>
      <c r="L10" s="86" t="e">
        <f>SUM(#REF!)</f>
        <v>#REF!</v>
      </c>
      <c r="M10" s="90"/>
      <c r="N10" s="86" t="e">
        <f t="shared" si="0"/>
        <v>#REF!</v>
      </c>
    </row>
    <row r="11" spans="1:14">
      <c r="A11">
        <f t="shared" si="1"/>
        <v>11</v>
      </c>
      <c r="B11" s="68">
        <v>4310</v>
      </c>
      <c r="C11" s="67" t="s">
        <v>197</v>
      </c>
      <c r="D11" s="85"/>
      <c r="E11" s="86" t="e">
        <f>SUM(#REF!)</f>
        <v>#REF!</v>
      </c>
      <c r="F11" s="85"/>
      <c r="G11" s="86" t="e">
        <f>SUM(#REF!)</f>
        <v>#REF!</v>
      </c>
      <c r="H11" s="86" t="e">
        <f>SUM(#REF!)</f>
        <v>#REF!</v>
      </c>
      <c r="I11" s="86" t="e">
        <f>SUM(#REF!)</f>
        <v>#REF!</v>
      </c>
      <c r="J11" s="86" t="e">
        <f>SUM(#REF!+#REF!+#REF!+#REF!)</f>
        <v>#REF!</v>
      </c>
      <c r="K11" s="86" t="e">
        <f>SUM(#REF!)</f>
        <v>#REF!</v>
      </c>
      <c r="L11" s="86" t="e">
        <f>SUM(#REF!)</f>
        <v>#REF!</v>
      </c>
      <c r="M11" s="90"/>
      <c r="N11" s="86" t="e">
        <f t="shared" si="0"/>
        <v>#REF!</v>
      </c>
    </row>
    <row r="12" spans="1:14">
      <c r="A12">
        <f t="shared" si="1"/>
        <v>12</v>
      </c>
      <c r="B12" s="68">
        <v>4320</v>
      </c>
      <c r="C12" s="67" t="s">
        <v>196</v>
      </c>
      <c r="D12" s="85"/>
      <c r="E12" s="86" t="e">
        <f>SUM(#REF!)</f>
        <v>#REF!</v>
      </c>
      <c r="F12" s="85"/>
      <c r="G12" s="86" t="e">
        <f>SUM(#REF!)</f>
        <v>#REF!</v>
      </c>
      <c r="H12" s="86" t="e">
        <f>SUM(#REF!)</f>
        <v>#REF!</v>
      </c>
      <c r="I12" s="86" t="e">
        <f>SUM(#REF!)</f>
        <v>#REF!</v>
      </c>
      <c r="J12" s="86" t="e">
        <f>SUM(#REF!+#REF!+#REF!+#REF!)</f>
        <v>#REF!</v>
      </c>
      <c r="K12" s="86" t="e">
        <f>SUM(#REF!)</f>
        <v>#REF!</v>
      </c>
      <c r="L12" s="86" t="e">
        <f>SUM(#REF!)</f>
        <v>#REF!</v>
      </c>
      <c r="M12" s="90"/>
      <c r="N12" s="86" t="e">
        <f t="shared" si="0"/>
        <v>#REF!</v>
      </c>
    </row>
    <row r="13" spans="1:14" ht="30.75">
      <c r="A13">
        <f t="shared" si="1"/>
        <v>13</v>
      </c>
      <c r="B13" s="68">
        <v>4330</v>
      </c>
      <c r="C13" s="67" t="s">
        <v>195</v>
      </c>
      <c r="D13" s="85"/>
      <c r="E13" s="86" t="e">
        <f>SUM(#REF!)</f>
        <v>#REF!</v>
      </c>
      <c r="F13" s="85"/>
      <c r="G13" s="86" t="e">
        <f>SUM(#REF!)</f>
        <v>#REF!</v>
      </c>
      <c r="H13" s="86" t="e">
        <f>SUM(#REF!)</f>
        <v>#REF!</v>
      </c>
      <c r="I13" s="86" t="e">
        <f>SUM(#REF!)</f>
        <v>#REF!</v>
      </c>
      <c r="J13" s="86" t="e">
        <f>SUM(#REF!+#REF!+#REF!+#REF!)</f>
        <v>#REF!</v>
      </c>
      <c r="K13" s="86" t="e">
        <f>SUM(#REF!)</f>
        <v>#REF!</v>
      </c>
      <c r="L13" s="86" t="e">
        <f>SUM(#REF!)</f>
        <v>#REF!</v>
      </c>
      <c r="M13" s="90"/>
      <c r="N13" s="86" t="e">
        <f t="shared" si="0"/>
        <v>#REF!</v>
      </c>
    </row>
    <row r="14" spans="1:14">
      <c r="A14">
        <f t="shared" si="1"/>
        <v>14</v>
      </c>
      <c r="B14" s="68">
        <v>4340</v>
      </c>
      <c r="C14" s="67" t="s">
        <v>194</v>
      </c>
      <c r="D14" s="85"/>
      <c r="E14" s="86" t="e">
        <f>SUM(#REF!)</f>
        <v>#REF!</v>
      </c>
      <c r="F14" s="85"/>
      <c r="G14" s="86" t="e">
        <f>SUM(#REF!)</f>
        <v>#REF!</v>
      </c>
      <c r="H14" s="86" t="e">
        <f>SUM(#REF!)</f>
        <v>#REF!</v>
      </c>
      <c r="I14" s="86" t="e">
        <f>SUM(#REF!)</f>
        <v>#REF!</v>
      </c>
      <c r="J14" s="86" t="e">
        <f>SUM(#REF!+#REF!+#REF!+#REF!)</f>
        <v>#REF!</v>
      </c>
      <c r="K14" s="86" t="e">
        <f>SUM(#REF!)</f>
        <v>#REF!</v>
      </c>
      <c r="L14" s="86" t="e">
        <f>SUM(#REF!)</f>
        <v>#REF!</v>
      </c>
      <c r="M14" s="90"/>
      <c r="N14" s="86" t="e">
        <f t="shared" si="0"/>
        <v>#REF!</v>
      </c>
    </row>
    <row r="15" spans="1:14">
      <c r="A15">
        <f t="shared" si="1"/>
        <v>15</v>
      </c>
      <c r="B15" s="68">
        <v>4400</v>
      </c>
      <c r="C15" s="67" t="s">
        <v>193</v>
      </c>
      <c r="D15" s="85"/>
      <c r="E15" s="86" t="e">
        <f>SUM(#REF!)</f>
        <v>#REF!</v>
      </c>
      <c r="F15" s="85">
        <v>50000</v>
      </c>
      <c r="G15" s="86"/>
      <c r="H15" s="86" t="e">
        <f>SUM(#REF!)</f>
        <v>#REF!</v>
      </c>
      <c r="I15" s="86" t="e">
        <f>SUM(#REF!)</f>
        <v>#REF!</v>
      </c>
      <c r="J15" s="86" t="e">
        <f>SUM(#REF!+#REF!+#REF!+#REF!)</f>
        <v>#REF!</v>
      </c>
      <c r="K15" s="86" t="e">
        <f>SUM(#REF!)</f>
        <v>#REF!</v>
      </c>
      <c r="L15" s="86" t="e">
        <f>SUM(#REF!)</f>
        <v>#REF!</v>
      </c>
      <c r="M15" s="90"/>
      <c r="N15" s="86" t="e">
        <f t="shared" si="0"/>
        <v>#REF!</v>
      </c>
    </row>
    <row r="16" spans="1:14" ht="30.75">
      <c r="A16">
        <f t="shared" si="1"/>
        <v>16</v>
      </c>
      <c r="B16" s="68">
        <v>4500</v>
      </c>
      <c r="C16" s="67" t="s">
        <v>192</v>
      </c>
      <c r="D16" s="85"/>
      <c r="E16" s="86" t="e">
        <f>SUM(#REF!)</f>
        <v>#REF!</v>
      </c>
      <c r="F16" s="85"/>
      <c r="G16" s="86" t="e">
        <f>SUM(#REF!)</f>
        <v>#REF!</v>
      </c>
      <c r="H16" s="86" t="e">
        <f>SUM(#REF!)</f>
        <v>#REF!</v>
      </c>
      <c r="I16" s="86" t="e">
        <f>SUM(#REF!)</f>
        <v>#REF!</v>
      </c>
      <c r="J16" s="86" t="e">
        <f>SUM(#REF!+#REF!+#REF!+#REF!)</f>
        <v>#REF!</v>
      </c>
      <c r="K16" s="86" t="e">
        <f>SUM(#REF!)</f>
        <v>#REF!</v>
      </c>
      <c r="L16" s="86" t="e">
        <f>SUM(#REF!)</f>
        <v>#REF!</v>
      </c>
      <c r="M16" s="90"/>
      <c r="N16" s="86" t="e">
        <f t="shared" si="0"/>
        <v>#REF!</v>
      </c>
    </row>
    <row r="17" spans="1:14">
      <c r="A17">
        <f t="shared" si="1"/>
        <v>17</v>
      </c>
      <c r="B17" s="68"/>
      <c r="C17" s="67"/>
      <c r="D17" s="85"/>
      <c r="E17" s="86" t="e">
        <f>SUM(#REF!)</f>
        <v>#REF!</v>
      </c>
      <c r="F17" s="85"/>
      <c r="G17" s="86" t="e">
        <f>SUM(#REF!)</f>
        <v>#REF!</v>
      </c>
      <c r="H17" s="86" t="e">
        <f>SUM(#REF!)</f>
        <v>#REF!</v>
      </c>
      <c r="I17" s="86" t="e">
        <f>SUM(#REF!)</f>
        <v>#REF!</v>
      </c>
      <c r="J17" s="86" t="e">
        <f>SUM(#REF!+#REF!+#REF!+#REF!)</f>
        <v>#REF!</v>
      </c>
      <c r="K17" s="86" t="e">
        <f>SUM(#REF!)</f>
        <v>#REF!</v>
      </c>
      <c r="L17" s="86" t="e">
        <f>SUM(#REF!)</f>
        <v>#REF!</v>
      </c>
      <c r="M17" s="90"/>
      <c r="N17" s="86" t="e">
        <f t="shared" si="0"/>
        <v>#REF!</v>
      </c>
    </row>
    <row r="18" spans="1:14">
      <c r="A18">
        <f t="shared" si="1"/>
        <v>18</v>
      </c>
      <c r="B18" s="68">
        <v>5010</v>
      </c>
      <c r="C18" s="67" t="s">
        <v>191</v>
      </c>
      <c r="D18" s="85"/>
      <c r="E18" s="86" t="e">
        <f>SUM(#REF!)</f>
        <v>#REF!</v>
      </c>
      <c r="F18" s="85"/>
      <c r="G18" s="86" t="e">
        <f>SUM(#REF!)</f>
        <v>#REF!</v>
      </c>
      <c r="H18" s="86" t="e">
        <f>SUM(#REF!)</f>
        <v>#REF!</v>
      </c>
      <c r="I18" s="86" t="e">
        <f>SUM(#REF!)</f>
        <v>#REF!</v>
      </c>
      <c r="J18" s="86" t="e">
        <f>SUM(#REF!+#REF!+#REF!+#REF!)</f>
        <v>#REF!</v>
      </c>
      <c r="K18" s="86" t="e">
        <f>SUM(#REF!)</f>
        <v>#REF!</v>
      </c>
      <c r="L18" s="86" t="e">
        <f>SUM(#REF!)</f>
        <v>#REF!</v>
      </c>
      <c r="M18" s="90"/>
      <c r="N18" s="86" t="e">
        <f t="shared" si="0"/>
        <v>#REF!</v>
      </c>
    </row>
    <row r="19" spans="1:14" ht="30.75">
      <c r="A19">
        <f t="shared" si="1"/>
        <v>19</v>
      </c>
      <c r="B19" s="68">
        <v>5011</v>
      </c>
      <c r="C19" s="67" t="s">
        <v>190</v>
      </c>
      <c r="D19" s="85"/>
      <c r="E19" s="86" t="e">
        <f>SUM(#REF!)</f>
        <v>#REF!</v>
      </c>
      <c r="F19" s="85"/>
      <c r="G19" s="86" t="e">
        <f>SUM(#REF!)</f>
        <v>#REF!</v>
      </c>
      <c r="H19" s="86" t="e">
        <f>SUM(#REF!)</f>
        <v>#REF!</v>
      </c>
      <c r="I19" s="86" t="e">
        <f>SUM(#REF!)</f>
        <v>#REF!</v>
      </c>
      <c r="J19" s="86" t="e">
        <f>SUM(#REF!+#REF!+#REF!+#REF!)</f>
        <v>#REF!</v>
      </c>
      <c r="K19" s="86" t="e">
        <f>SUM(#REF!)</f>
        <v>#REF!</v>
      </c>
      <c r="L19" s="86" t="e">
        <f>SUM(#REF!)</f>
        <v>#REF!</v>
      </c>
      <c r="M19" s="90"/>
      <c r="N19" s="86" t="e">
        <f t="shared" si="0"/>
        <v>#REF!</v>
      </c>
    </row>
    <row r="20" spans="1:14">
      <c r="A20">
        <f t="shared" si="1"/>
        <v>20</v>
      </c>
      <c r="B20" s="68">
        <v>5012</v>
      </c>
      <c r="C20" s="67" t="s">
        <v>189</v>
      </c>
      <c r="D20" s="85"/>
      <c r="E20" s="86" t="e">
        <f>SUM(#REF!)</f>
        <v>#REF!</v>
      </c>
      <c r="F20" s="85"/>
      <c r="G20" s="86" t="e">
        <f>SUM(#REF!)</f>
        <v>#REF!</v>
      </c>
      <c r="H20" s="86" t="e">
        <f>SUM(#REF!)</f>
        <v>#REF!</v>
      </c>
      <c r="I20" s="86" t="e">
        <f>SUM(#REF!)</f>
        <v>#REF!</v>
      </c>
      <c r="J20" s="86" t="e">
        <f>SUM(#REF!+#REF!+#REF!+#REF!)</f>
        <v>#REF!</v>
      </c>
      <c r="K20" s="86" t="e">
        <f>SUM(#REF!)</f>
        <v>#REF!</v>
      </c>
      <c r="L20" s="86" t="e">
        <f>SUM(#REF!)</f>
        <v>#REF!</v>
      </c>
      <c r="M20" s="90"/>
      <c r="N20" s="86" t="e">
        <f t="shared" si="0"/>
        <v>#REF!</v>
      </c>
    </row>
    <row r="21" spans="1:14">
      <c r="A21">
        <f t="shared" si="1"/>
        <v>21</v>
      </c>
      <c r="B21" s="68"/>
      <c r="C21" s="67" t="s">
        <v>188</v>
      </c>
      <c r="D21" s="85"/>
      <c r="E21" s="86" t="e">
        <f>SUM(#REF!)</f>
        <v>#REF!</v>
      </c>
      <c r="F21" s="85"/>
      <c r="G21" s="86" t="e">
        <f>SUM(#REF!)</f>
        <v>#REF!</v>
      </c>
      <c r="H21" s="86" t="e">
        <f>SUM(#REF!)</f>
        <v>#REF!</v>
      </c>
      <c r="I21" s="86" t="e">
        <f>SUM(#REF!)</f>
        <v>#REF!</v>
      </c>
      <c r="J21" s="86" t="e">
        <f>SUM(#REF!+#REF!+#REF!+#REF!)</f>
        <v>#REF!</v>
      </c>
      <c r="K21" s="86" t="e">
        <f>SUM(#REF!)</f>
        <v>#REF!</v>
      </c>
      <c r="L21" s="86" t="e">
        <f>SUM(#REF!)</f>
        <v>#REF!</v>
      </c>
      <c r="M21" s="90"/>
      <c r="N21" s="86" t="e">
        <f t="shared" si="0"/>
        <v>#REF!</v>
      </c>
    </row>
    <row r="22" spans="1:14">
      <c r="A22">
        <f t="shared" si="1"/>
        <v>22</v>
      </c>
      <c r="B22" s="68">
        <v>5110</v>
      </c>
      <c r="C22" s="67" t="s">
        <v>187</v>
      </c>
      <c r="D22" s="85"/>
      <c r="E22" s="86" t="e">
        <f>SUM(#REF!)</f>
        <v>#REF!</v>
      </c>
      <c r="F22" s="85"/>
      <c r="G22" s="86" t="e">
        <f>SUM(#REF!)</f>
        <v>#REF!</v>
      </c>
      <c r="H22" s="86" t="e">
        <f>SUM(#REF!)</f>
        <v>#REF!</v>
      </c>
      <c r="I22" s="86" t="e">
        <f>SUM(#REF!)</f>
        <v>#REF!</v>
      </c>
      <c r="J22" s="86" t="e">
        <f>SUM(#REF!+#REF!+#REF!+#REF!)</f>
        <v>#REF!</v>
      </c>
      <c r="K22" s="86" t="e">
        <f>SUM(#REF!)</f>
        <v>#REF!</v>
      </c>
      <c r="L22" s="86" t="e">
        <f>SUM(#REF!)</f>
        <v>#REF!</v>
      </c>
      <c r="M22" s="90"/>
      <c r="N22" s="86" t="e">
        <f t="shared" si="0"/>
        <v>#REF!</v>
      </c>
    </row>
    <row r="23" spans="1:14" ht="45.75">
      <c r="A23">
        <f t="shared" si="1"/>
        <v>23</v>
      </c>
      <c r="B23" s="68">
        <v>5111</v>
      </c>
      <c r="C23" s="67" t="s">
        <v>186</v>
      </c>
      <c r="D23" s="85"/>
      <c r="E23" s="86" t="e">
        <f>SUM(#REF!)</f>
        <v>#REF!</v>
      </c>
      <c r="F23" s="85"/>
      <c r="G23" s="86" t="e">
        <f>SUM(#REF!)</f>
        <v>#REF!</v>
      </c>
      <c r="H23" s="86" t="e">
        <f>SUM(#REF!)</f>
        <v>#REF!</v>
      </c>
      <c r="I23" s="86" t="e">
        <f>SUM(#REF!)</f>
        <v>#REF!</v>
      </c>
      <c r="J23" s="86" t="e">
        <f>SUM(#REF!+#REF!+#REF!+#REF!)</f>
        <v>#REF!</v>
      </c>
      <c r="K23" s="86" t="e">
        <f>SUM(#REF!)</f>
        <v>#REF!</v>
      </c>
      <c r="L23" s="86" t="e">
        <f>SUM(#REF!)</f>
        <v>#REF!</v>
      </c>
      <c r="M23" s="90"/>
      <c r="N23" s="86" t="e">
        <f t="shared" si="0"/>
        <v>#REF!</v>
      </c>
    </row>
    <row r="24" spans="1:14" ht="45.75">
      <c r="A24">
        <f t="shared" si="1"/>
        <v>24</v>
      </c>
      <c r="B24" s="68">
        <v>5112</v>
      </c>
      <c r="C24" s="67" t="s">
        <v>185</v>
      </c>
      <c r="D24" s="85"/>
      <c r="E24" s="86" t="e">
        <f>SUM(#REF!)</f>
        <v>#REF!</v>
      </c>
      <c r="F24" s="85"/>
      <c r="G24" s="86" t="e">
        <f>SUM(#REF!)</f>
        <v>#REF!</v>
      </c>
      <c r="H24" s="86" t="e">
        <f>SUM(#REF!)</f>
        <v>#REF!</v>
      </c>
      <c r="I24" s="86" t="e">
        <f>SUM(#REF!)</f>
        <v>#REF!</v>
      </c>
      <c r="J24" s="86" t="e">
        <f>SUM(#REF!+#REF!+#REF!+#REF!)</f>
        <v>#REF!</v>
      </c>
      <c r="K24" s="86" t="e">
        <f>SUM(#REF!)</f>
        <v>#REF!</v>
      </c>
      <c r="L24" s="86" t="e">
        <f>SUM(#REF!)</f>
        <v>#REF!</v>
      </c>
      <c r="M24" s="90"/>
      <c r="N24" s="86" t="e">
        <f t="shared" si="0"/>
        <v>#REF!</v>
      </c>
    </row>
    <row r="25" spans="1:14" ht="30.75">
      <c r="A25">
        <f t="shared" si="1"/>
        <v>25</v>
      </c>
      <c r="B25" s="68">
        <v>5113</v>
      </c>
      <c r="C25" s="67" t="s">
        <v>184</v>
      </c>
      <c r="D25" s="85"/>
      <c r="E25" s="86" t="e">
        <f>SUM(#REF!)</f>
        <v>#REF!</v>
      </c>
      <c r="F25" s="85"/>
      <c r="G25" s="86" t="e">
        <f>SUM(#REF!)</f>
        <v>#REF!</v>
      </c>
      <c r="H25" s="86" t="e">
        <f>SUM(#REF!)</f>
        <v>#REF!</v>
      </c>
      <c r="I25" s="86" t="e">
        <f>SUM(#REF!)</f>
        <v>#REF!</v>
      </c>
      <c r="J25" s="86" t="e">
        <f>SUM(#REF!+#REF!+#REF!+#REF!)</f>
        <v>#REF!</v>
      </c>
      <c r="K25" s="86" t="e">
        <f>SUM(#REF!)</f>
        <v>#REF!</v>
      </c>
      <c r="L25" s="86" t="e">
        <f>SUM(#REF!)</f>
        <v>#REF!</v>
      </c>
      <c r="M25" s="90"/>
      <c r="N25" s="86" t="e">
        <f t="shared" si="0"/>
        <v>#REF!</v>
      </c>
    </row>
    <row r="26" spans="1:14" ht="30.75">
      <c r="A26">
        <f t="shared" si="1"/>
        <v>26</v>
      </c>
      <c r="B26" s="68">
        <v>5114</v>
      </c>
      <c r="C26" s="67" t="s">
        <v>183</v>
      </c>
      <c r="D26" s="85"/>
      <c r="E26" s="86" t="e">
        <f>SUM(#REF!)</f>
        <v>#REF!</v>
      </c>
      <c r="F26" s="85"/>
      <c r="G26" s="86" t="e">
        <f>SUM(#REF!)</f>
        <v>#REF!</v>
      </c>
      <c r="H26" s="86" t="e">
        <f>SUM(#REF!)</f>
        <v>#REF!</v>
      </c>
      <c r="I26" s="86" t="e">
        <f>SUM(#REF!)</f>
        <v>#REF!</v>
      </c>
      <c r="J26" s="86" t="e">
        <f>SUM(#REF!+#REF!+#REF!+#REF!)</f>
        <v>#REF!</v>
      </c>
      <c r="K26" s="86" t="e">
        <f>SUM(#REF!)</f>
        <v>#REF!</v>
      </c>
      <c r="L26" s="86" t="e">
        <f>SUM(#REF!)</f>
        <v>#REF!</v>
      </c>
      <c r="M26" s="90"/>
      <c r="N26" s="86" t="e">
        <f t="shared" si="0"/>
        <v>#REF!</v>
      </c>
    </row>
    <row r="27" spans="1:14">
      <c r="A27">
        <f t="shared" si="1"/>
        <v>27</v>
      </c>
      <c r="B27" s="68"/>
      <c r="C27" s="67" t="s">
        <v>182</v>
      </c>
      <c r="D27" s="85"/>
      <c r="E27" s="86" t="e">
        <f>SUM(#REF!)</f>
        <v>#REF!</v>
      </c>
      <c r="F27" s="85"/>
      <c r="G27" s="86" t="e">
        <f>SUM(#REF!)</f>
        <v>#REF!</v>
      </c>
      <c r="H27" s="86" t="e">
        <f>SUM(#REF!)</f>
        <v>#REF!</v>
      </c>
      <c r="I27" s="86" t="e">
        <f>SUM(#REF!)</f>
        <v>#REF!</v>
      </c>
      <c r="J27" s="86" t="e">
        <f>SUM(#REF!+#REF!+#REF!+#REF!)</f>
        <v>#REF!</v>
      </c>
      <c r="K27" s="86" t="e">
        <f>SUM(#REF!)</f>
        <v>#REF!</v>
      </c>
      <c r="L27" s="86" t="e">
        <f>SUM(#REF!)</f>
        <v>#REF!</v>
      </c>
      <c r="M27" s="90"/>
      <c r="N27" s="86" t="e">
        <f t="shared" si="0"/>
        <v>#REF!</v>
      </c>
    </row>
    <row r="28" spans="1:14" ht="30.75">
      <c r="A28">
        <f t="shared" si="1"/>
        <v>28</v>
      </c>
      <c r="B28" s="68">
        <v>5200</v>
      </c>
      <c r="C28" s="67" t="s">
        <v>181</v>
      </c>
      <c r="D28" s="85"/>
      <c r="E28" s="86" t="e">
        <f>SUM(#REF!)</f>
        <v>#REF!</v>
      </c>
      <c r="F28" s="85"/>
      <c r="G28" s="86" t="e">
        <f>SUM(#REF!)</f>
        <v>#REF!</v>
      </c>
      <c r="H28" s="86" t="e">
        <f>SUM(#REF!)</f>
        <v>#REF!</v>
      </c>
      <c r="I28" s="86" t="e">
        <f>SUM(#REF!)</f>
        <v>#REF!</v>
      </c>
      <c r="J28" s="86" t="e">
        <f>SUM(#REF!+#REF!+#REF!+#REF!)</f>
        <v>#REF!</v>
      </c>
      <c r="K28" s="86" t="s">
        <v>236</v>
      </c>
      <c r="L28" s="86" t="e">
        <f>SUM(#REF!)</f>
        <v>#REF!</v>
      </c>
      <c r="M28" s="90"/>
      <c r="N28" s="86" t="e">
        <f t="shared" si="0"/>
        <v>#REF!</v>
      </c>
    </row>
    <row r="29" spans="1:14" ht="30.75">
      <c r="A29">
        <f t="shared" si="1"/>
        <v>29</v>
      </c>
      <c r="B29" s="68">
        <v>5201</v>
      </c>
      <c r="C29" s="67" t="s">
        <v>180</v>
      </c>
      <c r="D29" s="85"/>
      <c r="E29" s="86" t="e">
        <f>SUM(#REF!)</f>
        <v>#REF!</v>
      </c>
      <c r="F29" s="85"/>
      <c r="G29" s="86" t="e">
        <f>SUM(#REF!)</f>
        <v>#REF!</v>
      </c>
      <c r="H29" s="86" t="e">
        <f>SUM(#REF!)</f>
        <v>#REF!</v>
      </c>
      <c r="I29" s="86" t="e">
        <f>SUM(#REF!)</f>
        <v>#REF!</v>
      </c>
      <c r="J29" s="86" t="e">
        <f>SUM(#REF!+#REF!+#REF!+#REF!)</f>
        <v>#REF!</v>
      </c>
      <c r="K29" s="86" t="e">
        <f>SUM(#REF!)</f>
        <v>#REF!</v>
      </c>
      <c r="L29" s="86" t="e">
        <f>SUM(#REF!)</f>
        <v>#REF!</v>
      </c>
      <c r="M29" s="90"/>
      <c r="N29" s="86" t="e">
        <f t="shared" si="0"/>
        <v>#REF!</v>
      </c>
    </row>
    <row r="30" spans="1:14" ht="30.75">
      <c r="A30">
        <f t="shared" si="1"/>
        <v>30</v>
      </c>
      <c r="B30" s="68">
        <v>5280</v>
      </c>
      <c r="C30" s="67" t="s">
        <v>179</v>
      </c>
      <c r="D30" s="85"/>
      <c r="E30" s="86" t="e">
        <f>SUM(#REF!)</f>
        <v>#REF!</v>
      </c>
      <c r="F30" s="85"/>
      <c r="G30" s="86" t="e">
        <f>SUM(#REF!)</f>
        <v>#REF!</v>
      </c>
      <c r="H30" s="86" t="e">
        <f>SUM(#REF!)</f>
        <v>#REF!</v>
      </c>
      <c r="I30" s="86" t="e">
        <f>SUM(#REF!)</f>
        <v>#REF!</v>
      </c>
      <c r="J30" s="86" t="e">
        <f>SUM(#REF!+#REF!+#REF!+#REF!)</f>
        <v>#REF!</v>
      </c>
      <c r="K30" s="86" t="e">
        <f>SUM(#REF!)</f>
        <v>#REF!</v>
      </c>
      <c r="L30" s="86" t="e">
        <f>SUM(#REF!)</f>
        <v>#REF!</v>
      </c>
      <c r="M30" s="90"/>
      <c r="N30" s="86" t="e">
        <f t="shared" si="0"/>
        <v>#REF!</v>
      </c>
    </row>
    <row r="31" spans="1:14" ht="30.75">
      <c r="A31">
        <f t="shared" si="1"/>
        <v>31</v>
      </c>
      <c r="B31" s="68">
        <v>5290</v>
      </c>
      <c r="C31" s="67" t="s">
        <v>178</v>
      </c>
      <c r="D31" s="85"/>
      <c r="E31" s="86" t="e">
        <f>SUM(#REF!)</f>
        <v>#REF!</v>
      </c>
      <c r="F31" s="85"/>
      <c r="G31" s="86" t="e">
        <f>SUM(#REF!)</f>
        <v>#REF!</v>
      </c>
      <c r="H31" s="86" t="e">
        <f>SUM(#REF!)</f>
        <v>#REF!</v>
      </c>
      <c r="I31" s="86" t="e">
        <f>SUM(#REF!)</f>
        <v>#REF!</v>
      </c>
      <c r="J31" s="86" t="e">
        <f>SUM(#REF!+#REF!+#REF!+#REF!)</f>
        <v>#REF!</v>
      </c>
      <c r="K31" s="86" t="e">
        <f>SUM(#REF!)</f>
        <v>#REF!</v>
      </c>
      <c r="L31" s="86" t="e">
        <f>SUM(#REF!)</f>
        <v>#REF!</v>
      </c>
      <c r="M31" s="90"/>
      <c r="N31" s="86" t="e">
        <f t="shared" si="0"/>
        <v>#REF!</v>
      </c>
    </row>
    <row r="32" spans="1:14" ht="30.75">
      <c r="A32">
        <f t="shared" si="1"/>
        <v>32</v>
      </c>
      <c r="B32" s="68">
        <v>5291</v>
      </c>
      <c r="C32" s="67" t="s">
        <v>177</v>
      </c>
      <c r="D32" s="85"/>
      <c r="E32" s="86" t="e">
        <f>SUM(#REF!)</f>
        <v>#REF!</v>
      </c>
      <c r="F32" s="85"/>
      <c r="G32" s="86" t="e">
        <f>SUM(#REF!)</f>
        <v>#REF!</v>
      </c>
      <c r="H32" s="86" t="e">
        <f>SUM(#REF!)</f>
        <v>#REF!</v>
      </c>
      <c r="I32" s="86" t="e">
        <f>SUM(#REF!)</f>
        <v>#REF!</v>
      </c>
      <c r="J32" s="86" t="e">
        <f>SUM(#REF!+#REF!+#REF!+#REF!)</f>
        <v>#REF!</v>
      </c>
      <c r="K32" s="86" t="e">
        <f>SUM(#REF!)</f>
        <v>#REF!</v>
      </c>
      <c r="L32" s="86" t="e">
        <f>SUM(#REF!)</f>
        <v>#REF!</v>
      </c>
      <c r="M32" s="90"/>
      <c r="N32" s="86" t="e">
        <f t="shared" si="0"/>
        <v>#REF!</v>
      </c>
    </row>
    <row r="33" spans="1:20">
      <c r="A33">
        <f t="shared" si="1"/>
        <v>33</v>
      </c>
      <c r="B33" s="68">
        <v>5300</v>
      </c>
      <c r="C33" s="67" t="s">
        <v>176</v>
      </c>
      <c r="D33" s="85"/>
      <c r="E33" s="86" t="e">
        <f>SUM(#REF!)</f>
        <v>#REF!</v>
      </c>
      <c r="F33" s="85"/>
      <c r="G33" s="86" t="e">
        <f>SUM(#REF!)</f>
        <v>#REF!</v>
      </c>
      <c r="H33" s="86" t="e">
        <f>SUM(#REF!)</f>
        <v>#REF!</v>
      </c>
      <c r="I33" s="86" t="e">
        <f>SUM(#REF!)</f>
        <v>#REF!</v>
      </c>
      <c r="J33" s="86" t="e">
        <f>SUM(#REF!+#REF!+#REF!+#REF!)</f>
        <v>#REF!</v>
      </c>
      <c r="K33" s="86" t="e">
        <f>SUM(#REF!)</f>
        <v>#REF!</v>
      </c>
      <c r="L33" s="86" t="e">
        <f>SUM(#REF!)</f>
        <v>#REF!</v>
      </c>
      <c r="M33" s="90"/>
      <c r="N33" s="86" t="e">
        <f t="shared" si="0"/>
        <v>#REF!</v>
      </c>
    </row>
    <row r="34" spans="1:20" ht="30.75">
      <c r="A34">
        <f t="shared" si="1"/>
        <v>34</v>
      </c>
      <c r="B34" s="68">
        <v>5301</v>
      </c>
      <c r="C34" s="67" t="s">
        <v>175</v>
      </c>
      <c r="D34" s="85"/>
      <c r="E34" s="86" t="e">
        <f>SUM(#REF!)</f>
        <v>#REF!</v>
      </c>
      <c r="F34" s="85"/>
      <c r="G34" s="86" t="e">
        <f>SUM(#REF!)</f>
        <v>#REF!</v>
      </c>
      <c r="H34" s="86" t="e">
        <f>SUM(#REF!)</f>
        <v>#REF!</v>
      </c>
      <c r="I34" s="86" t="e">
        <f>SUM(#REF!)</f>
        <v>#REF!</v>
      </c>
      <c r="J34" s="86" t="e">
        <f>SUM(#REF!+#REF!+#REF!+#REF!)</f>
        <v>#REF!</v>
      </c>
      <c r="K34" s="86" t="e">
        <f>SUM(#REF!)</f>
        <v>#REF!</v>
      </c>
      <c r="L34" s="86" t="e">
        <f>SUM(#REF!)</f>
        <v>#REF!</v>
      </c>
      <c r="M34" s="90"/>
      <c r="N34" s="86" t="e">
        <f t="shared" si="0"/>
        <v>#REF!</v>
      </c>
    </row>
    <row r="35" spans="1:20" ht="30.75">
      <c r="A35">
        <f t="shared" si="1"/>
        <v>35</v>
      </c>
      <c r="B35" s="68">
        <v>5400</v>
      </c>
      <c r="C35" s="67" t="s">
        <v>174</v>
      </c>
      <c r="D35" s="85"/>
      <c r="E35" s="86" t="e">
        <f>SUM(#REF!)</f>
        <v>#REF!</v>
      </c>
      <c r="F35" s="85"/>
      <c r="G35" s="86" t="e">
        <f>SUM(#REF!)</f>
        <v>#REF!</v>
      </c>
      <c r="H35" s="86" t="e">
        <f>SUM(#REF!)</f>
        <v>#REF!</v>
      </c>
      <c r="I35" s="86" t="e">
        <f>SUM(#REF!)</f>
        <v>#REF!</v>
      </c>
      <c r="J35" s="86" t="e">
        <f>SUM(#REF!+#REF!+#REF!+#REF!)</f>
        <v>#REF!</v>
      </c>
      <c r="K35" s="86" t="e">
        <f>SUM(#REF!)</f>
        <v>#REF!</v>
      </c>
      <c r="L35" s="86" t="e">
        <f>SUM(#REF!)</f>
        <v>#REF!</v>
      </c>
      <c r="M35" s="90"/>
      <c r="N35" s="86" t="e">
        <f t="shared" si="0"/>
        <v>#REF!</v>
      </c>
    </row>
    <row r="36" spans="1:20" ht="30.75">
      <c r="A36">
        <f t="shared" si="1"/>
        <v>36</v>
      </c>
      <c r="B36" s="68">
        <v>5401</v>
      </c>
      <c r="C36" s="67" t="s">
        <v>173</v>
      </c>
      <c r="D36" s="85"/>
      <c r="E36" s="86" t="e">
        <f>SUM(#REF!)</f>
        <v>#REF!</v>
      </c>
      <c r="F36" s="85"/>
      <c r="G36" s="86" t="e">
        <f>SUM(#REF!)</f>
        <v>#REF!</v>
      </c>
      <c r="H36" s="86" t="e">
        <f>SUM(#REF!)</f>
        <v>#REF!</v>
      </c>
      <c r="I36" s="86" t="e">
        <f>SUM(#REF!)</f>
        <v>#REF!</v>
      </c>
      <c r="J36" s="86" t="e">
        <f>SUM(#REF!+#REF!+#REF!+#REF!)</f>
        <v>#REF!</v>
      </c>
      <c r="K36" s="86" t="e">
        <f>SUM(#REF!)</f>
        <v>#REF!</v>
      </c>
      <c r="L36" s="86" t="e">
        <f>SUM(#REF!)</f>
        <v>#REF!</v>
      </c>
      <c r="M36" s="90"/>
      <c r="N36" s="86" t="e">
        <f t="shared" si="0"/>
        <v>#REF!</v>
      </c>
    </row>
    <row r="37" spans="1:20">
      <c r="A37">
        <f t="shared" si="1"/>
        <v>37</v>
      </c>
      <c r="B37" s="68">
        <v>5410</v>
      </c>
      <c r="C37" s="67" t="s">
        <v>172</v>
      </c>
      <c r="D37" s="85"/>
      <c r="E37" s="86" t="e">
        <f>SUM(#REF!)</f>
        <v>#REF!</v>
      </c>
      <c r="F37" s="85"/>
      <c r="G37" s="86" t="e">
        <f>SUM(#REF!)</f>
        <v>#REF!</v>
      </c>
      <c r="H37" s="86" t="e">
        <f>SUM(#REF!)</f>
        <v>#REF!</v>
      </c>
      <c r="I37" s="86" t="e">
        <f>SUM(#REF!)</f>
        <v>#REF!</v>
      </c>
      <c r="J37" s="86" t="e">
        <f>SUM(#REF!+#REF!+#REF!+#REF!)</f>
        <v>#REF!</v>
      </c>
      <c r="K37" s="86" t="e">
        <f>SUM(#REF!)</f>
        <v>#REF!</v>
      </c>
      <c r="L37" s="86" t="e">
        <f>SUM(#REF!)</f>
        <v>#REF!</v>
      </c>
      <c r="M37" s="90"/>
      <c r="N37" s="86" t="e">
        <f t="shared" si="0"/>
        <v>#REF!</v>
      </c>
    </row>
    <row r="38" spans="1:20" ht="30.75">
      <c r="A38">
        <f t="shared" si="1"/>
        <v>38</v>
      </c>
      <c r="B38" s="68">
        <v>5415</v>
      </c>
      <c r="C38" s="67" t="s">
        <v>171</v>
      </c>
      <c r="D38" s="85"/>
      <c r="E38" s="86" t="e">
        <f>SUM(#REF!)</f>
        <v>#REF!</v>
      </c>
      <c r="F38" s="85"/>
      <c r="G38" s="86" t="e">
        <f>SUM(#REF!)</f>
        <v>#REF!</v>
      </c>
      <c r="H38" s="86" t="e">
        <f>SUM(#REF!)</f>
        <v>#REF!</v>
      </c>
      <c r="I38" s="86" t="e">
        <f>SUM(#REF!)</f>
        <v>#REF!</v>
      </c>
      <c r="J38" s="86" t="e">
        <f>SUM(#REF!+#REF!+#REF!+#REF!)</f>
        <v>#REF!</v>
      </c>
      <c r="K38" s="86" t="e">
        <f>SUM(#REF!)</f>
        <v>#REF!</v>
      </c>
      <c r="L38" s="86" t="e">
        <f>SUM(#REF!)</f>
        <v>#REF!</v>
      </c>
      <c r="M38" s="90"/>
      <c r="N38" s="86" t="e">
        <f t="shared" si="0"/>
        <v>#REF!</v>
      </c>
    </row>
    <row r="39" spans="1:20" ht="30.75">
      <c r="A39">
        <f t="shared" si="1"/>
        <v>39</v>
      </c>
      <c r="B39" s="68">
        <v>5420</v>
      </c>
      <c r="C39" s="67" t="s">
        <v>170</v>
      </c>
      <c r="D39" s="85"/>
      <c r="E39" s="86" t="e">
        <f>SUM(#REF!)</f>
        <v>#REF!</v>
      </c>
      <c r="F39" s="85"/>
      <c r="G39" s="86" t="e">
        <f>SUM(#REF!)</f>
        <v>#REF!</v>
      </c>
      <c r="H39" s="86" t="e">
        <f>SUM(#REF!)</f>
        <v>#REF!</v>
      </c>
      <c r="I39" s="86" t="e">
        <f>SUM(#REF!)</f>
        <v>#REF!</v>
      </c>
      <c r="J39" s="86" t="e">
        <f>SUM(#REF!+#REF!+#REF!+#REF!)</f>
        <v>#REF!</v>
      </c>
      <c r="K39" s="86" t="e">
        <f>SUM(#REF!)</f>
        <v>#REF!</v>
      </c>
      <c r="L39" s="86" t="e">
        <f>SUM(#REF!)</f>
        <v>#REF!</v>
      </c>
      <c r="M39" s="90"/>
      <c r="N39" s="86" t="e">
        <f t="shared" si="0"/>
        <v>#REF!</v>
      </c>
    </row>
    <row r="40" spans="1:20" ht="30.75">
      <c r="A40">
        <f t="shared" si="1"/>
        <v>40</v>
      </c>
      <c r="B40" s="68">
        <v>5430</v>
      </c>
      <c r="C40" s="67" t="s">
        <v>169</v>
      </c>
      <c r="D40" s="85"/>
      <c r="E40" s="86" t="e">
        <f>SUM(#REF!)</f>
        <v>#REF!</v>
      </c>
      <c r="F40" s="85"/>
      <c r="G40" s="86" t="e">
        <f>SUM(#REF!)</f>
        <v>#REF!</v>
      </c>
      <c r="H40" s="86" t="e">
        <f>SUM(#REF!)</f>
        <v>#REF!</v>
      </c>
      <c r="I40" s="86" t="e">
        <f>SUM(#REF!)</f>
        <v>#REF!</v>
      </c>
      <c r="J40" s="86" t="e">
        <f>SUM(#REF!+#REF!+#REF!+#REF!)</f>
        <v>#REF!</v>
      </c>
      <c r="K40" s="86" t="e">
        <f>SUM(#REF!)</f>
        <v>#REF!</v>
      </c>
      <c r="L40" s="86" t="e">
        <f>SUM(#REF!)</f>
        <v>#REF!</v>
      </c>
      <c r="M40" s="90"/>
      <c r="N40" s="86" t="e">
        <f t="shared" si="0"/>
        <v>#REF!</v>
      </c>
    </row>
    <row r="41" spans="1:20" ht="30.75">
      <c r="A41">
        <f t="shared" si="1"/>
        <v>41</v>
      </c>
      <c r="B41" s="68">
        <v>5440</v>
      </c>
      <c r="C41" s="67" t="s">
        <v>168</v>
      </c>
      <c r="D41" s="85"/>
      <c r="E41" s="86" t="e">
        <f>SUM(#REF!)</f>
        <v>#REF!</v>
      </c>
      <c r="F41" s="85"/>
      <c r="G41" s="86" t="e">
        <f>SUM(#REF!)</f>
        <v>#REF!</v>
      </c>
      <c r="H41" s="86" t="e">
        <f>SUM(#REF!)</f>
        <v>#REF!</v>
      </c>
      <c r="I41" s="86" t="e">
        <f>SUM(#REF!)</f>
        <v>#REF!</v>
      </c>
      <c r="J41" s="86" t="e">
        <f>SUM(#REF!+#REF!+#REF!+#REF!)</f>
        <v>#REF!</v>
      </c>
      <c r="K41" s="86" t="e">
        <f>SUM(#REF!)</f>
        <v>#REF!</v>
      </c>
      <c r="L41" s="86" t="e">
        <f>SUM(#REF!)</f>
        <v>#REF!</v>
      </c>
      <c r="M41" s="90"/>
      <c r="N41" s="86" t="e">
        <f t="shared" si="0"/>
        <v>#REF!</v>
      </c>
    </row>
    <row r="42" spans="1:20" ht="45.75">
      <c r="A42">
        <f t="shared" si="1"/>
        <v>42</v>
      </c>
      <c r="B42" s="68">
        <v>5500</v>
      </c>
      <c r="C42" s="67" t="s">
        <v>167</v>
      </c>
      <c r="D42" s="85"/>
      <c r="E42" s="86" t="e">
        <f>SUM(#REF!)</f>
        <v>#REF!</v>
      </c>
      <c r="F42" s="85"/>
      <c r="G42" s="86" t="e">
        <f>SUM(#REF!)</f>
        <v>#REF!</v>
      </c>
      <c r="H42" s="86" t="e">
        <f>SUM(#REF!)</f>
        <v>#REF!</v>
      </c>
      <c r="I42" s="86" t="e">
        <f>SUM(#REF!)</f>
        <v>#REF!</v>
      </c>
      <c r="J42" s="86" t="e">
        <f>SUM(#REF!+#REF!+#REF!+#REF!)</f>
        <v>#REF!</v>
      </c>
      <c r="K42" s="86" t="e">
        <f>SUM(#REF!)</f>
        <v>#REF!</v>
      </c>
      <c r="L42" s="86" t="e">
        <f>SUM(#REF!)</f>
        <v>#REF!</v>
      </c>
      <c r="M42" s="90"/>
      <c r="N42" s="86" t="e">
        <f t="shared" si="0"/>
        <v>#REF!</v>
      </c>
    </row>
    <row r="43" spans="1:20">
      <c r="A43">
        <f t="shared" si="1"/>
        <v>43</v>
      </c>
      <c r="B43" s="68">
        <v>5600</v>
      </c>
      <c r="C43" s="67" t="s">
        <v>166</v>
      </c>
      <c r="D43" s="85"/>
      <c r="E43" s="86" t="e">
        <f>SUM(#REF!)</f>
        <v>#REF!</v>
      </c>
      <c r="F43" s="85"/>
      <c r="G43" s="86" t="e">
        <f>SUM(#REF!)</f>
        <v>#REF!</v>
      </c>
      <c r="H43" s="86" t="e">
        <f>SUM(#REF!)</f>
        <v>#REF!</v>
      </c>
      <c r="I43" s="86" t="e">
        <f>SUM(#REF!)</f>
        <v>#REF!</v>
      </c>
      <c r="J43" s="86" t="e">
        <f>SUM(#REF!+#REF!+#REF!+#REF!)</f>
        <v>#REF!</v>
      </c>
      <c r="K43" s="86" t="e">
        <f>SUM(#REF!)</f>
        <v>#REF!</v>
      </c>
      <c r="L43" s="86" t="e">
        <f>SUM(#REF!)</f>
        <v>#REF!</v>
      </c>
      <c r="M43" s="90"/>
      <c r="N43" s="86" t="e">
        <f t="shared" si="0"/>
        <v>#REF!</v>
      </c>
    </row>
    <row r="44" spans="1:20">
      <c r="A44">
        <f t="shared" si="1"/>
        <v>44</v>
      </c>
      <c r="B44" s="68">
        <v>5601</v>
      </c>
      <c r="C44" s="67" t="s">
        <v>165</v>
      </c>
      <c r="D44" s="85"/>
      <c r="E44" s="86" t="e">
        <f>SUM(#REF!)</f>
        <v>#REF!</v>
      </c>
      <c r="F44" s="85"/>
      <c r="G44" s="86" t="e">
        <f>SUM(#REF!)</f>
        <v>#REF!</v>
      </c>
      <c r="H44" s="86" t="e">
        <f>SUM(#REF!)</f>
        <v>#REF!</v>
      </c>
      <c r="I44" s="86" t="e">
        <f>SUM(#REF!)</f>
        <v>#REF!</v>
      </c>
      <c r="J44" s="86" t="e">
        <f>SUM(#REF!+#REF!+#REF!+#REF!)</f>
        <v>#REF!</v>
      </c>
      <c r="K44" s="86" t="e">
        <f>SUM(#REF!)</f>
        <v>#REF!</v>
      </c>
      <c r="L44" s="86" t="e">
        <f>SUM(#REF!)</f>
        <v>#REF!</v>
      </c>
      <c r="M44" s="90"/>
      <c r="N44" s="86" t="e">
        <f t="shared" si="0"/>
        <v>#REF!</v>
      </c>
    </row>
    <row r="45" spans="1:20" ht="60.75">
      <c r="A45">
        <f t="shared" si="1"/>
        <v>45</v>
      </c>
      <c r="B45" s="68">
        <v>5650</v>
      </c>
      <c r="C45" s="67" t="s">
        <v>164</v>
      </c>
      <c r="D45" s="85"/>
      <c r="E45" s="86" t="e">
        <f>SUM(#REF!)</f>
        <v>#REF!</v>
      </c>
      <c r="F45" s="85"/>
      <c r="G45" s="86" t="e">
        <f>SUM(#REF!)</f>
        <v>#REF!</v>
      </c>
      <c r="H45" s="86" t="e">
        <f>SUM(#REF!)</f>
        <v>#REF!</v>
      </c>
      <c r="I45" s="86" t="e">
        <f>SUM(#REF!)</f>
        <v>#REF!</v>
      </c>
      <c r="J45" s="86" t="e">
        <f>SUM(#REF!+#REF!+#REF!+#REF!)</f>
        <v>#REF!</v>
      </c>
      <c r="K45" s="86" t="e">
        <f>SUM(#REF!)</f>
        <v>#REF!</v>
      </c>
      <c r="L45" s="86" t="e">
        <f>SUM(#REF!)</f>
        <v>#REF!</v>
      </c>
      <c r="M45" s="90"/>
      <c r="N45" s="86" t="e">
        <f t="shared" si="0"/>
        <v>#REF!</v>
      </c>
    </row>
    <row r="46" spans="1:20" ht="30.75">
      <c r="A46">
        <f t="shared" si="1"/>
        <v>46</v>
      </c>
      <c r="B46" s="68">
        <v>5700</v>
      </c>
      <c r="C46" s="67" t="s">
        <v>163</v>
      </c>
      <c r="D46" s="85"/>
      <c r="E46" s="86" t="e">
        <f>SUM(#REF!)</f>
        <v>#REF!</v>
      </c>
      <c r="F46" s="85"/>
      <c r="G46" s="86" t="e">
        <f>SUM(#REF!)</f>
        <v>#REF!</v>
      </c>
      <c r="H46" s="86" t="e">
        <f>SUM(#REF!)</f>
        <v>#REF!</v>
      </c>
      <c r="I46" s="86" t="e">
        <f>SUM(#REF!)</f>
        <v>#REF!</v>
      </c>
      <c r="J46" s="86" t="e">
        <f>SUM(#REF!+#REF!+#REF!+#REF!)</f>
        <v>#REF!</v>
      </c>
      <c r="K46" s="87">
        <v>0</v>
      </c>
      <c r="L46" s="86" t="e">
        <f>SUM(#REF!)</f>
        <v>#REF!</v>
      </c>
      <c r="M46" s="90"/>
      <c r="N46" s="86" t="e">
        <f t="shared" si="0"/>
        <v>#REF!</v>
      </c>
    </row>
    <row r="47" spans="1:20">
      <c r="A47">
        <f t="shared" si="1"/>
        <v>47</v>
      </c>
      <c r="B47" s="68"/>
      <c r="C47" s="67"/>
      <c r="D47" s="85"/>
      <c r="E47" s="86" t="e">
        <f>SUM(#REF!)</f>
        <v>#REF!</v>
      </c>
      <c r="F47" s="85"/>
      <c r="G47" s="86" t="e">
        <f>SUM(#REF!)</f>
        <v>#REF!</v>
      </c>
      <c r="H47" s="86" t="e">
        <f>SUM(#REF!)</f>
        <v>#REF!</v>
      </c>
      <c r="I47" s="86" t="e">
        <f>SUM(#REF!)</f>
        <v>#REF!</v>
      </c>
      <c r="J47" s="86" t="e">
        <f>SUM(#REF!+#REF!+#REF!+#REF!)</f>
        <v>#REF!</v>
      </c>
      <c r="K47" s="87" t="e">
        <f>SUM(#REF!)</f>
        <v>#REF!</v>
      </c>
      <c r="L47" s="86" t="e">
        <f>SUM(#REF!)</f>
        <v>#REF!</v>
      </c>
      <c r="M47" s="90"/>
      <c r="N47" s="86" t="e">
        <f t="shared" si="0"/>
        <v>#REF!</v>
      </c>
    </row>
    <row r="48" spans="1:20">
      <c r="A48">
        <f t="shared" si="1"/>
        <v>48</v>
      </c>
      <c r="B48" s="68"/>
      <c r="C48" s="67" t="s">
        <v>28</v>
      </c>
      <c r="D48" s="85"/>
      <c r="E48" s="86" t="e">
        <f>SUM(E4:E47)</f>
        <v>#REF!</v>
      </c>
      <c r="F48" s="86">
        <f>SUM(F4:F47)</f>
        <v>135900</v>
      </c>
      <c r="G48" s="86" t="e">
        <f>SUM(G4:G47)</f>
        <v>#REF!</v>
      </c>
      <c r="H48" s="86" t="e">
        <f>SUM(H4:H47)</f>
        <v>#REF!</v>
      </c>
      <c r="I48" s="86" t="e">
        <f>I21+I27</f>
        <v>#REF!</v>
      </c>
      <c r="J48" s="86" t="e">
        <f>SUM(J4:J47)</f>
        <v>#REF!</v>
      </c>
      <c r="K48" s="87" t="e">
        <f>SUM(#REF!)</f>
        <v>#REF!</v>
      </c>
      <c r="L48" s="86" t="e">
        <f>SUM(L4:L47)</f>
        <v>#REF!</v>
      </c>
      <c r="M48" s="90"/>
      <c r="N48" s="86" t="e">
        <f>SUM(E48:M48)</f>
        <v>#REF!</v>
      </c>
      <c r="R48" s="67" t="s">
        <v>28</v>
      </c>
      <c r="T48" s="175" t="e">
        <f>#REF!</f>
        <v>#REF!</v>
      </c>
    </row>
    <row r="49" spans="1:23">
      <c r="A49">
        <f t="shared" si="1"/>
        <v>49</v>
      </c>
      <c r="B49" s="68"/>
      <c r="C49" s="67"/>
      <c r="D49" s="85"/>
      <c r="E49" s="86" t="e">
        <f>SUM(#REF!)</f>
        <v>#REF!</v>
      </c>
      <c r="F49" s="85"/>
      <c r="G49" s="86" t="e">
        <f>SUM(#REF!)</f>
        <v>#REF!</v>
      </c>
      <c r="H49" s="86" t="e">
        <f>SUM(#REF!)</f>
        <v>#REF!</v>
      </c>
      <c r="I49" s="86" t="e">
        <f>SUM(#REF!)</f>
        <v>#REF!</v>
      </c>
      <c r="J49" s="86" t="e">
        <f>SUM(#REF!+#REF!+#REF!+#REF!)</f>
        <v>#REF!</v>
      </c>
      <c r="K49" s="86" t="e">
        <f>SUM(#REF!)</f>
        <v>#REF!</v>
      </c>
      <c r="L49" s="86" t="e">
        <f>SUM(#REF!)</f>
        <v>#REF!</v>
      </c>
      <c r="M49" s="90"/>
      <c r="N49" s="86" t="e">
        <f t="shared" si="0"/>
        <v>#REF!</v>
      </c>
    </row>
    <row r="50" spans="1:23" ht="31.5">
      <c r="A50">
        <f t="shared" si="1"/>
        <v>50</v>
      </c>
      <c r="B50" s="68">
        <v>7001</v>
      </c>
      <c r="C50" s="67" t="s">
        <v>162</v>
      </c>
      <c r="D50" s="85"/>
      <c r="E50" s="88" t="e">
        <f>SUM(#REF!)</f>
        <v>#REF!</v>
      </c>
      <c r="F50" s="85"/>
      <c r="G50" s="86" t="e">
        <f>SUM(#REF!)</f>
        <v>#REF!</v>
      </c>
      <c r="H50" s="86" t="e">
        <f>SUM(#REF!)</f>
        <v>#REF!</v>
      </c>
      <c r="I50" s="86" t="e">
        <f>SUM(#REF!)</f>
        <v>#REF!</v>
      </c>
      <c r="J50" s="86" t="e">
        <f>SUM(#REF!+#REF!+#REF!+#REF!)</f>
        <v>#REF!</v>
      </c>
      <c r="K50" s="86" t="e">
        <f>SUM(#REF!)</f>
        <v>#REF!</v>
      </c>
      <c r="L50" s="86" t="e">
        <f>SUM(#REF!)</f>
        <v>#REF!</v>
      </c>
      <c r="M50" s="90"/>
      <c r="N50" s="86" t="e">
        <f t="shared" si="0"/>
        <v>#REF!</v>
      </c>
      <c r="P50" s="171">
        <v>7001</v>
      </c>
      <c r="Q50" s="171" t="s">
        <v>162</v>
      </c>
      <c r="R50" s="172">
        <v>1336183.27</v>
      </c>
      <c r="S50" s="172"/>
      <c r="T50" s="194">
        <v>2274738</v>
      </c>
    </row>
    <row r="51" spans="1:23" ht="45.75">
      <c r="A51">
        <f t="shared" si="1"/>
        <v>51</v>
      </c>
      <c r="B51" s="68">
        <v>7002</v>
      </c>
      <c r="C51" s="67" t="s">
        <v>161</v>
      </c>
      <c r="D51" s="85"/>
      <c r="E51" s="88" t="e">
        <f>SUM(#REF!)</f>
        <v>#REF!</v>
      </c>
      <c r="F51" s="85"/>
      <c r="G51" s="86" t="e">
        <f>SUM(#REF!)</f>
        <v>#REF!</v>
      </c>
      <c r="H51" s="86" t="e">
        <f>SUM(#REF!)</f>
        <v>#REF!</v>
      </c>
      <c r="I51" s="86" t="e">
        <f>SUM(#REF!)</f>
        <v>#REF!</v>
      </c>
      <c r="J51" s="86" t="e">
        <f>SUM(#REF!+#REF!+#REF!+#REF!)</f>
        <v>#REF!</v>
      </c>
      <c r="K51" s="86" t="e">
        <f>SUM(#REF!)</f>
        <v>#REF!</v>
      </c>
      <c r="L51" s="86" t="e">
        <f>SUM(#REF!)</f>
        <v>#REF!</v>
      </c>
      <c r="M51" s="90"/>
      <c r="N51" s="86" t="e">
        <f t="shared" si="0"/>
        <v>#REF!</v>
      </c>
      <c r="P51" s="171">
        <v>7002</v>
      </c>
      <c r="Q51" s="171" t="s">
        <v>161</v>
      </c>
      <c r="R51" s="172">
        <v>420445.42</v>
      </c>
      <c r="S51" s="172"/>
    </row>
    <row r="52" spans="1:23">
      <c r="A52">
        <f t="shared" si="1"/>
        <v>52</v>
      </c>
      <c r="B52" s="68">
        <v>7003</v>
      </c>
      <c r="C52" s="67" t="s">
        <v>160</v>
      </c>
      <c r="D52" s="85"/>
      <c r="E52" s="88" t="e">
        <f>SUM(#REF!)</f>
        <v>#REF!</v>
      </c>
      <c r="F52" s="85"/>
      <c r="G52" s="86" t="e">
        <f>SUM(#REF!)</f>
        <v>#REF!</v>
      </c>
      <c r="H52" s="86" t="e">
        <f>SUM(#REF!)</f>
        <v>#REF!</v>
      </c>
      <c r="I52" s="86" t="e">
        <f>SUM(#REF!)</f>
        <v>#REF!</v>
      </c>
      <c r="J52" s="86" t="e">
        <f>SUM(#REF!+#REF!+#REF!+#REF!)</f>
        <v>#REF!</v>
      </c>
      <c r="K52" s="86" t="e">
        <f>SUM(#REF!)</f>
        <v>#REF!</v>
      </c>
      <c r="L52" s="86" t="e">
        <f>SUM(#REF!)</f>
        <v>#REF!</v>
      </c>
      <c r="M52" s="90"/>
      <c r="N52" s="86" t="e">
        <f t="shared" si="0"/>
        <v>#REF!</v>
      </c>
      <c r="P52" s="173"/>
      <c r="Q52" s="173"/>
      <c r="R52" s="173"/>
      <c r="S52" s="173"/>
      <c r="T52" s="194">
        <v>100000</v>
      </c>
    </row>
    <row r="53" spans="1:23">
      <c r="A53">
        <f t="shared" si="1"/>
        <v>53</v>
      </c>
      <c r="B53" s="68">
        <v>7004</v>
      </c>
      <c r="C53" s="67" t="s">
        <v>159</v>
      </c>
      <c r="D53" s="85"/>
      <c r="E53" s="88" t="e">
        <f>SUM(#REF!)</f>
        <v>#REF!</v>
      </c>
      <c r="F53" s="85"/>
      <c r="G53" s="86" t="e">
        <f>SUM(#REF!)</f>
        <v>#REF!</v>
      </c>
      <c r="H53" s="86" t="e">
        <f>SUM(#REF!)</f>
        <v>#REF!</v>
      </c>
      <c r="I53" s="86" t="e">
        <f>SUM(#REF!)</f>
        <v>#REF!</v>
      </c>
      <c r="J53" s="86" t="e">
        <f>SUM(#REF!+#REF!+#REF!+#REF!)</f>
        <v>#REF!</v>
      </c>
      <c r="K53" s="86" t="e">
        <f>SUM(#REF!)</f>
        <v>#REF!</v>
      </c>
      <c r="L53" s="86" t="e">
        <f>SUM(#REF!)</f>
        <v>#REF!</v>
      </c>
      <c r="M53" s="90"/>
      <c r="N53" s="86" t="e">
        <f t="shared" si="0"/>
        <v>#REF!</v>
      </c>
      <c r="P53" s="173"/>
      <c r="Q53" s="173"/>
      <c r="R53" s="173"/>
      <c r="S53" s="173"/>
    </row>
    <row r="54" spans="1:23">
      <c r="A54">
        <f t="shared" si="1"/>
        <v>54</v>
      </c>
      <c r="B54" s="68">
        <v>7005</v>
      </c>
      <c r="C54" s="67" t="s">
        <v>158</v>
      </c>
      <c r="D54" s="85"/>
      <c r="E54" s="88" t="e">
        <f>SUM(#REF!)</f>
        <v>#REF!</v>
      </c>
      <c r="F54" s="85"/>
      <c r="G54" s="86" t="e">
        <f>SUM(#REF!)</f>
        <v>#REF!</v>
      </c>
      <c r="H54" s="86" t="e">
        <f>SUM(#REF!)</f>
        <v>#REF!</v>
      </c>
      <c r="I54" s="86" t="e">
        <f>SUM(#REF!)</f>
        <v>#REF!</v>
      </c>
      <c r="J54" s="86" t="e">
        <f>SUM(#REF!+#REF!+#REF!+#REF!)</f>
        <v>#REF!</v>
      </c>
      <c r="K54" s="86" t="e">
        <f>SUM(#REF!)</f>
        <v>#REF!</v>
      </c>
      <c r="L54" s="86" t="e">
        <f>SUM(#REF!)</f>
        <v>#REF!</v>
      </c>
      <c r="M54" s="90"/>
      <c r="N54" s="86" t="e">
        <f t="shared" si="0"/>
        <v>#REF!</v>
      </c>
      <c r="P54" s="173"/>
      <c r="Q54" s="173"/>
      <c r="R54" s="173"/>
      <c r="S54" s="173"/>
    </row>
    <row r="55" spans="1:23" ht="30.75">
      <c r="A55">
        <f t="shared" si="1"/>
        <v>55</v>
      </c>
      <c r="B55" s="68">
        <v>7101</v>
      </c>
      <c r="C55" s="67" t="s">
        <v>157</v>
      </c>
      <c r="D55" s="85"/>
      <c r="E55" s="86" t="e">
        <f>SUM(#REF!)</f>
        <v>#REF!</v>
      </c>
      <c r="F55" s="85"/>
      <c r="G55" s="86" t="e">
        <f>SUM(#REF!)</f>
        <v>#REF!</v>
      </c>
      <c r="H55" s="86" t="e">
        <f>SUM(#REF!)</f>
        <v>#REF!</v>
      </c>
      <c r="I55" s="86" t="e">
        <f>SUM(#REF!)</f>
        <v>#REF!</v>
      </c>
      <c r="J55" s="86" t="e">
        <f>SUM(#REF!+#REF!+#REF!+#REF!)</f>
        <v>#REF!</v>
      </c>
      <c r="K55" s="86" t="e">
        <f>SUM(#REF!)</f>
        <v>#REF!</v>
      </c>
      <c r="L55" s="86" t="e">
        <f>SUM(#REF!)</f>
        <v>#REF!</v>
      </c>
      <c r="M55" s="90"/>
      <c r="N55" s="86" t="e">
        <f t="shared" si="0"/>
        <v>#REF!</v>
      </c>
      <c r="P55" s="171">
        <v>7101</v>
      </c>
      <c r="Q55" s="171" t="s">
        <v>157</v>
      </c>
      <c r="R55" s="172">
        <v>126043.19</v>
      </c>
      <c r="S55" s="172" t="e">
        <f>N55-T55</f>
        <v>#REF!</v>
      </c>
      <c r="T55" s="194">
        <v>134790</v>
      </c>
      <c r="U55" s="209" t="e">
        <f>S55/N55</f>
        <v>#REF!</v>
      </c>
      <c r="V55" s="164" t="e">
        <f>N55+N56+N57-T55-T56-T57</f>
        <v>#REF!</v>
      </c>
      <c r="W55" t="e">
        <f>V55/188600</f>
        <v>#REF!</v>
      </c>
    </row>
    <row r="56" spans="1:23" ht="30.75">
      <c r="A56">
        <f t="shared" si="1"/>
        <v>56</v>
      </c>
      <c r="B56" s="68">
        <v>7102</v>
      </c>
      <c r="C56" s="67" t="s">
        <v>156</v>
      </c>
      <c r="D56" s="85"/>
      <c r="E56" s="86" t="e">
        <f>SUM(#REF!)</f>
        <v>#REF!</v>
      </c>
      <c r="F56" s="85"/>
      <c r="G56" s="86" t="e">
        <f>SUM(#REF!)</f>
        <v>#REF!</v>
      </c>
      <c r="H56" s="86" t="e">
        <f>SUM(#REF!)</f>
        <v>#REF!</v>
      </c>
      <c r="I56" s="86" t="e">
        <f>SUM(#REF!)</f>
        <v>#REF!</v>
      </c>
      <c r="J56" s="86" t="e">
        <f>SUM(#REF!+#REF!+#REF!+#REF!)</f>
        <v>#REF!</v>
      </c>
      <c r="K56" s="86" t="e">
        <f>SUM(#REF!)</f>
        <v>#REF!</v>
      </c>
      <c r="L56" s="86" t="e">
        <f>SUM(#REF!)</f>
        <v>#REF!</v>
      </c>
      <c r="M56" s="90"/>
      <c r="N56" s="86" t="e">
        <f t="shared" si="0"/>
        <v>#REF!</v>
      </c>
      <c r="P56" s="171">
        <v>7102</v>
      </c>
      <c r="Q56" s="171" t="s">
        <v>156</v>
      </c>
      <c r="R56" s="172">
        <v>6995.01</v>
      </c>
      <c r="S56" s="172" t="e">
        <f>N56-T56</f>
        <v>#REF!</v>
      </c>
      <c r="T56" s="194">
        <v>7914</v>
      </c>
      <c r="U56" s="209" t="e">
        <f>S56/N56</f>
        <v>#REF!</v>
      </c>
    </row>
    <row r="57" spans="1:23">
      <c r="A57">
        <f t="shared" si="1"/>
        <v>57</v>
      </c>
      <c r="B57" s="68">
        <v>7103</v>
      </c>
      <c r="C57" s="67" t="s">
        <v>155</v>
      </c>
      <c r="D57" s="85"/>
      <c r="E57" s="86" t="e">
        <f>SUM(#REF!)</f>
        <v>#REF!</v>
      </c>
      <c r="F57" s="85"/>
      <c r="G57" s="86" t="e">
        <f>SUM(#REF!)</f>
        <v>#REF!</v>
      </c>
      <c r="H57" s="86" t="e">
        <f>SUM(#REF!)</f>
        <v>#REF!</v>
      </c>
      <c r="I57" s="86" t="e">
        <f>SUM(#REF!)</f>
        <v>#REF!</v>
      </c>
      <c r="J57" s="86" t="e">
        <f>SUM(#REF!+#REF!+#REF!+#REF!)</f>
        <v>#REF!</v>
      </c>
      <c r="K57" s="86" t="e">
        <f>SUM(#REF!)</f>
        <v>#REF!</v>
      </c>
      <c r="L57" s="86" t="e">
        <f>SUM(#REF!)</f>
        <v>#REF!</v>
      </c>
      <c r="M57" s="90"/>
      <c r="N57" s="86" t="e">
        <f t="shared" si="0"/>
        <v>#REF!</v>
      </c>
      <c r="P57" s="171">
        <v>7103</v>
      </c>
      <c r="Q57" s="171" t="s">
        <v>155</v>
      </c>
      <c r="R57" s="172">
        <v>920.84</v>
      </c>
      <c r="S57" s="172" t="e">
        <f>N57-T57</f>
        <v>#REF!</v>
      </c>
      <c r="T57" s="194">
        <v>1021</v>
      </c>
    </row>
    <row r="58" spans="1:23" ht="31.5">
      <c r="A58">
        <f t="shared" si="1"/>
        <v>58</v>
      </c>
      <c r="B58" s="68">
        <v>7104</v>
      </c>
      <c r="C58" s="67" t="s">
        <v>154</v>
      </c>
      <c r="D58" s="85"/>
      <c r="E58" s="86" t="e">
        <f>SUM(#REF!)</f>
        <v>#REF!</v>
      </c>
      <c r="F58" s="85"/>
      <c r="G58" s="86" t="e">
        <f>SUM(#REF!)</f>
        <v>#REF!</v>
      </c>
      <c r="H58" s="86" t="e">
        <f>SUM(#REF!)</f>
        <v>#REF!</v>
      </c>
      <c r="I58" s="86" t="e">
        <f>SUM(#REF!)</f>
        <v>#REF!</v>
      </c>
      <c r="J58" s="86" t="e">
        <f>SUM(#REF!+#REF!+#REF!+#REF!)</f>
        <v>#REF!</v>
      </c>
      <c r="K58" s="86" t="e">
        <f>SUM(#REF!)</f>
        <v>#REF!</v>
      </c>
      <c r="L58" s="86" t="e">
        <f>SUM(#REF!)</f>
        <v>#REF!</v>
      </c>
      <c r="M58" s="90"/>
      <c r="N58" s="86" t="e">
        <f t="shared" si="0"/>
        <v>#REF!</v>
      </c>
      <c r="P58" s="171">
        <v>7104</v>
      </c>
      <c r="Q58" s="171" t="s">
        <v>240</v>
      </c>
      <c r="R58" s="172">
        <v>116994.09</v>
      </c>
      <c r="S58" s="172" t="e">
        <f>N58-T58</f>
        <v>#REF!</v>
      </c>
      <c r="T58" s="194">
        <f>12000*12</f>
        <v>144000</v>
      </c>
      <c r="U58" s="209" t="e">
        <f t="shared" ref="U58:U121" si="2">S58/N58</f>
        <v>#REF!</v>
      </c>
      <c r="V58" s="210">
        <f>T58-R58</f>
        <v>27005.910000000003</v>
      </c>
      <c r="W58" s="210">
        <f>V58/R58</f>
        <v>0.23083140353499912</v>
      </c>
    </row>
    <row r="59" spans="1:23" ht="45.75">
      <c r="A59">
        <f t="shared" si="1"/>
        <v>59</v>
      </c>
      <c r="B59" s="68">
        <v>7106</v>
      </c>
      <c r="C59" s="67" t="s">
        <v>153</v>
      </c>
      <c r="D59" s="85"/>
      <c r="E59" s="86" t="e">
        <f>SUM(#REF!)</f>
        <v>#REF!</v>
      </c>
      <c r="F59" s="85"/>
      <c r="G59" s="86" t="e">
        <f>SUM(#REF!)</f>
        <v>#REF!</v>
      </c>
      <c r="H59" s="86" t="e">
        <f>SUM(#REF!)</f>
        <v>#REF!</v>
      </c>
      <c r="I59" s="86" t="e">
        <f>SUM(#REF!)</f>
        <v>#REF!</v>
      </c>
      <c r="J59" s="86" t="e">
        <f>SUM(#REF!+#REF!+#REF!+#REF!)</f>
        <v>#REF!</v>
      </c>
      <c r="K59" s="86" t="e">
        <f>SUM(#REF!)</f>
        <v>#REF!</v>
      </c>
      <c r="L59" s="86" t="e">
        <f>SUM(#REF!)</f>
        <v>#REF!</v>
      </c>
      <c r="M59" s="90"/>
      <c r="N59" s="86" t="e">
        <f t="shared" si="0"/>
        <v>#REF!</v>
      </c>
      <c r="P59" s="171">
        <v>7106</v>
      </c>
      <c r="Q59" s="171" t="s">
        <v>153</v>
      </c>
      <c r="R59" s="172">
        <v>2679.13</v>
      </c>
      <c r="S59" s="172" t="e">
        <f t="shared" ref="S59:S122" si="3">N59-T59</f>
        <v>#REF!</v>
      </c>
      <c r="T59" s="194">
        <v>3000</v>
      </c>
      <c r="U59" s="209" t="e">
        <f t="shared" si="2"/>
        <v>#REF!</v>
      </c>
    </row>
    <row r="60" spans="1:23" ht="30.75">
      <c r="A60">
        <f t="shared" si="1"/>
        <v>60</v>
      </c>
      <c r="B60" s="68">
        <v>7110</v>
      </c>
      <c r="C60" s="67" t="s">
        <v>152</v>
      </c>
      <c r="D60" s="85"/>
      <c r="E60" s="86" t="e">
        <f>SUM(#REF!)</f>
        <v>#REF!</v>
      </c>
      <c r="F60" s="85"/>
      <c r="G60" s="86" t="e">
        <f>SUM(#REF!)</f>
        <v>#REF!</v>
      </c>
      <c r="H60" s="86" t="e">
        <f>SUM(#REF!)</f>
        <v>#REF!</v>
      </c>
      <c r="I60" s="86" t="e">
        <f>SUM(#REF!)</f>
        <v>#REF!</v>
      </c>
      <c r="J60" s="86" t="e">
        <f>SUM(#REF!+#REF!+#REF!+#REF!)</f>
        <v>#REF!</v>
      </c>
      <c r="K60" s="86" t="e">
        <f>SUM(#REF!)</f>
        <v>#REF!</v>
      </c>
      <c r="L60" s="86" t="e">
        <f>SUM(#REF!)</f>
        <v>#REF!</v>
      </c>
      <c r="M60" s="90"/>
      <c r="N60" s="86" t="e">
        <f t="shared" si="0"/>
        <v>#REF!</v>
      </c>
      <c r="P60" s="171">
        <v>7110</v>
      </c>
      <c r="Q60" s="171" t="s">
        <v>152</v>
      </c>
      <c r="R60" s="172">
        <v>3045.49</v>
      </c>
      <c r="S60" s="172" t="e">
        <f t="shared" si="3"/>
        <v>#REF!</v>
      </c>
      <c r="T60" s="194">
        <v>3200</v>
      </c>
      <c r="U60" s="209" t="e">
        <f t="shared" si="2"/>
        <v>#REF!</v>
      </c>
    </row>
    <row r="61" spans="1:23">
      <c r="A61">
        <f t="shared" si="1"/>
        <v>61</v>
      </c>
      <c r="B61" s="68">
        <v>7120</v>
      </c>
      <c r="C61" s="67" t="s">
        <v>151</v>
      </c>
      <c r="D61" s="85"/>
      <c r="E61" s="86" t="e">
        <f>SUM(#REF!)</f>
        <v>#REF!</v>
      </c>
      <c r="F61" s="85"/>
      <c r="G61" s="86" t="e">
        <f>SUM(#REF!)</f>
        <v>#REF!</v>
      </c>
      <c r="H61" s="86" t="e">
        <f>SUM(#REF!)</f>
        <v>#REF!</v>
      </c>
      <c r="I61" s="86" t="e">
        <f>SUM(#REF!)</f>
        <v>#REF!</v>
      </c>
      <c r="J61" s="86" t="e">
        <f>SUM(#REF!+#REF!+#REF!+#REF!)</f>
        <v>#REF!</v>
      </c>
      <c r="K61" s="86" t="e">
        <f>SUM(#REF!)</f>
        <v>#REF!</v>
      </c>
      <c r="L61" s="86" t="e">
        <f>SUM(#REF!)</f>
        <v>#REF!</v>
      </c>
      <c r="M61" s="90"/>
      <c r="N61" s="86" t="e">
        <f t="shared" si="0"/>
        <v>#REF!</v>
      </c>
      <c r="P61" s="171">
        <v>7120</v>
      </c>
      <c r="Q61" s="171" t="s">
        <v>151</v>
      </c>
      <c r="R61" s="172">
        <v>26952.48</v>
      </c>
      <c r="S61" s="172" t="e">
        <f t="shared" si="3"/>
        <v>#REF!</v>
      </c>
      <c r="T61" s="175">
        <v>0</v>
      </c>
    </row>
    <row r="62" spans="1:23">
      <c r="A62">
        <f t="shared" si="1"/>
        <v>62</v>
      </c>
      <c r="B62" s="68">
        <v>7121</v>
      </c>
      <c r="C62" s="67" t="s">
        <v>150</v>
      </c>
      <c r="D62" s="85"/>
      <c r="E62" s="86" t="e">
        <f>SUM(#REF!)</f>
        <v>#REF!</v>
      </c>
      <c r="F62" s="85"/>
      <c r="G62" s="86" t="e">
        <f>SUM(#REF!)</f>
        <v>#REF!</v>
      </c>
      <c r="H62" s="86" t="e">
        <f>SUM(#REF!)</f>
        <v>#REF!</v>
      </c>
      <c r="I62" s="86" t="e">
        <f>SUM(#REF!)</f>
        <v>#REF!</v>
      </c>
      <c r="J62" s="86" t="e">
        <f>SUM(#REF!+#REF!+#REF!+#REF!)</f>
        <v>#REF!</v>
      </c>
      <c r="K62" s="86" t="e">
        <f>SUM(#REF!)</f>
        <v>#REF!</v>
      </c>
      <c r="L62" s="86" t="e">
        <f>SUM(#REF!)</f>
        <v>#REF!</v>
      </c>
      <c r="M62" s="90"/>
      <c r="N62" s="86" t="e">
        <f t="shared" si="0"/>
        <v>#REF!</v>
      </c>
      <c r="P62" s="173"/>
      <c r="Q62" s="173"/>
      <c r="R62" s="173"/>
      <c r="S62" s="172" t="e">
        <f t="shared" si="3"/>
        <v>#REF!</v>
      </c>
    </row>
    <row r="63" spans="1:23" ht="30.75">
      <c r="A63">
        <f t="shared" si="1"/>
        <v>63</v>
      </c>
      <c r="B63" s="68">
        <v>7122</v>
      </c>
      <c r="C63" s="67" t="s">
        <v>149</v>
      </c>
      <c r="D63" s="85"/>
      <c r="E63" s="86" t="e">
        <f>SUM(#REF!)</f>
        <v>#REF!</v>
      </c>
      <c r="F63" s="85"/>
      <c r="G63" s="86" t="e">
        <f>SUM(#REF!)</f>
        <v>#REF!</v>
      </c>
      <c r="H63" s="86" t="e">
        <f>SUM(#REF!)</f>
        <v>#REF!</v>
      </c>
      <c r="I63" s="86" t="e">
        <f>SUM(#REF!)</f>
        <v>#REF!</v>
      </c>
      <c r="J63" s="86" t="e">
        <f>SUM(#REF!+#REF!+#REF!+#REF!)</f>
        <v>#REF!</v>
      </c>
      <c r="K63" s="86" t="e">
        <f>SUM(#REF!)</f>
        <v>#REF!</v>
      </c>
      <c r="L63" s="86" t="e">
        <f>SUM(#REF!)</f>
        <v>#REF!</v>
      </c>
      <c r="M63" s="90"/>
      <c r="N63" s="86" t="e">
        <f t="shared" si="0"/>
        <v>#REF!</v>
      </c>
      <c r="P63" s="171">
        <v>7122</v>
      </c>
      <c r="Q63" s="171" t="s">
        <v>149</v>
      </c>
      <c r="R63" s="172">
        <v>5729.4</v>
      </c>
      <c r="S63" s="172" t="e">
        <f t="shared" si="3"/>
        <v>#REF!</v>
      </c>
      <c r="T63" s="194">
        <v>8000</v>
      </c>
      <c r="U63" s="209" t="e">
        <f t="shared" si="2"/>
        <v>#REF!</v>
      </c>
    </row>
    <row r="64" spans="1:23">
      <c r="A64">
        <f t="shared" si="1"/>
        <v>64</v>
      </c>
      <c r="B64" s="68">
        <v>7201</v>
      </c>
      <c r="C64" s="67" t="s">
        <v>148</v>
      </c>
      <c r="D64" s="85"/>
      <c r="E64" s="86" t="e">
        <f>SUM(#REF!)</f>
        <v>#REF!</v>
      </c>
      <c r="F64" s="85"/>
      <c r="G64" s="86" t="e">
        <f>SUM(#REF!)</f>
        <v>#REF!</v>
      </c>
      <c r="H64" s="86" t="e">
        <f>SUM(#REF!)</f>
        <v>#REF!</v>
      </c>
      <c r="I64" s="86" t="e">
        <f>SUM(#REF!)</f>
        <v>#REF!</v>
      </c>
      <c r="J64" s="86" t="e">
        <f>SUM(#REF!+#REF!+#REF!+#REF!)</f>
        <v>#REF!</v>
      </c>
      <c r="K64" s="86" t="e">
        <f>SUM(#REF!)</f>
        <v>#REF!</v>
      </c>
      <c r="L64" s="86" t="e">
        <f>SUM(#REF!)</f>
        <v>#REF!</v>
      </c>
      <c r="M64" s="90"/>
      <c r="N64" s="86" t="e">
        <f t="shared" si="0"/>
        <v>#REF!</v>
      </c>
      <c r="P64" s="171">
        <v>7201</v>
      </c>
      <c r="Q64" s="171" t="s">
        <v>148</v>
      </c>
      <c r="R64" s="172">
        <v>130099.65</v>
      </c>
      <c r="S64" s="172" t="e">
        <f t="shared" si="3"/>
        <v>#REF!</v>
      </c>
      <c r="T64" s="194">
        <v>180833</v>
      </c>
      <c r="U64" s="209" t="e">
        <f t="shared" si="2"/>
        <v>#REF!</v>
      </c>
      <c r="V64" s="212" t="e">
        <f>N64+N65+N66-R64-R65-R66</f>
        <v>#REF!</v>
      </c>
      <c r="W64" t="e">
        <f>V64/186922</f>
        <v>#REF!</v>
      </c>
    </row>
    <row r="65" spans="1:21">
      <c r="A65">
        <f t="shared" si="1"/>
        <v>65</v>
      </c>
      <c r="B65" s="68">
        <v>7202</v>
      </c>
      <c r="C65" s="67" t="s">
        <v>147</v>
      </c>
      <c r="D65" s="85"/>
      <c r="E65" s="86" t="e">
        <f>SUM(#REF!)</f>
        <v>#REF!</v>
      </c>
      <c r="F65" s="85"/>
      <c r="G65" s="86" t="e">
        <f>SUM(#REF!)</f>
        <v>#REF!</v>
      </c>
      <c r="H65" s="86" t="e">
        <f>SUM(#REF!)</f>
        <v>#REF!</v>
      </c>
      <c r="I65" s="86" t="e">
        <f>SUM(#REF!)</f>
        <v>#REF!</v>
      </c>
      <c r="J65" s="86" t="e">
        <f>SUM(#REF!+#REF!+#REF!+#REF!)</f>
        <v>#REF!</v>
      </c>
      <c r="K65" s="86" t="e">
        <f>SUM(#REF!)</f>
        <v>#REF!</v>
      </c>
      <c r="L65" s="86" t="e">
        <f>SUM(#REF!)</f>
        <v>#REF!</v>
      </c>
      <c r="M65" s="90"/>
      <c r="N65" s="86" t="e">
        <f t="shared" si="0"/>
        <v>#REF!</v>
      </c>
      <c r="P65" s="171">
        <v>7202</v>
      </c>
      <c r="Q65" s="171" t="s">
        <v>147</v>
      </c>
      <c r="R65" s="172">
        <v>30835.3</v>
      </c>
      <c r="S65" s="172" t="e">
        <f t="shared" si="3"/>
        <v>#REF!</v>
      </c>
      <c r="T65" s="194">
        <v>31500</v>
      </c>
      <c r="U65" s="209" t="e">
        <f t="shared" si="2"/>
        <v>#REF!</v>
      </c>
    </row>
    <row r="66" spans="1:21" ht="30.75">
      <c r="A66">
        <f t="shared" si="1"/>
        <v>66</v>
      </c>
      <c r="B66" s="68">
        <v>7203</v>
      </c>
      <c r="C66" s="67" t="s">
        <v>146</v>
      </c>
      <c r="D66" s="85"/>
      <c r="E66" s="86" t="e">
        <f>SUM(#REF!)</f>
        <v>#REF!</v>
      </c>
      <c r="F66" s="85"/>
      <c r="G66" s="86" t="e">
        <f>SUM(#REF!)</f>
        <v>#REF!</v>
      </c>
      <c r="H66" s="86" t="e">
        <f>SUM(#REF!)</f>
        <v>#REF!</v>
      </c>
      <c r="I66" s="86" t="e">
        <f>SUM(#REF!)</f>
        <v>#REF!</v>
      </c>
      <c r="J66" s="86" t="e">
        <f>SUM(#REF!+#REF!+#REF!+#REF!)</f>
        <v>#REF!</v>
      </c>
      <c r="K66" s="86" t="e">
        <f>SUM(#REF!)</f>
        <v>#REF!</v>
      </c>
      <c r="L66" s="86" t="e">
        <f>SUM(#REF!)</f>
        <v>#REF!</v>
      </c>
      <c r="M66" s="90"/>
      <c r="N66" s="86" t="e">
        <f t="shared" si="0"/>
        <v>#REF!</v>
      </c>
      <c r="P66" s="171">
        <v>7203</v>
      </c>
      <c r="Q66" s="171" t="s">
        <v>146</v>
      </c>
      <c r="R66" s="172">
        <v>15938.94</v>
      </c>
      <c r="S66" s="172" t="e">
        <f t="shared" si="3"/>
        <v>#REF!</v>
      </c>
      <c r="T66" s="194">
        <v>16845</v>
      </c>
      <c r="U66" s="209" t="e">
        <f t="shared" si="2"/>
        <v>#REF!</v>
      </c>
    </row>
    <row r="67" spans="1:21" ht="31.5">
      <c r="A67">
        <f t="shared" si="1"/>
        <v>67</v>
      </c>
      <c r="B67" s="68">
        <v>8001</v>
      </c>
      <c r="C67" s="67" t="s">
        <v>145</v>
      </c>
      <c r="D67" s="85"/>
      <c r="E67" s="86" t="e">
        <f>SUM(#REF!)</f>
        <v>#REF!</v>
      </c>
      <c r="F67" s="85"/>
      <c r="G67" s="86" t="e">
        <f>SUM(#REF!)</f>
        <v>#REF!</v>
      </c>
      <c r="H67" s="86" t="e">
        <f>SUM(#REF!)</f>
        <v>#REF!</v>
      </c>
      <c r="I67" s="86" t="e">
        <f>SUM(#REF!)</f>
        <v>#REF!</v>
      </c>
      <c r="J67" s="86" t="e">
        <f>SUM(#REF!+#REF!+#REF!+#REF!)</f>
        <v>#REF!</v>
      </c>
      <c r="K67" s="86" t="e">
        <f>SUM(#REF!)</f>
        <v>#REF!</v>
      </c>
      <c r="L67" s="86" t="e">
        <f>SUM(#REF!)</f>
        <v>#REF!</v>
      </c>
      <c r="M67" s="90"/>
      <c r="N67" s="86" t="e">
        <f t="shared" si="0"/>
        <v>#REF!</v>
      </c>
      <c r="P67" s="171">
        <v>8001</v>
      </c>
      <c r="Q67" s="171" t="s">
        <v>241</v>
      </c>
      <c r="R67" s="172">
        <v>31722</v>
      </c>
      <c r="S67" s="172" t="e">
        <f t="shared" si="3"/>
        <v>#REF!</v>
      </c>
      <c r="T67" s="194">
        <v>29000</v>
      </c>
      <c r="U67" s="209" t="e">
        <f t="shared" si="2"/>
        <v>#REF!</v>
      </c>
    </row>
    <row r="68" spans="1:21">
      <c r="A68">
        <f t="shared" si="1"/>
        <v>68</v>
      </c>
      <c r="B68" s="68">
        <v>8002</v>
      </c>
      <c r="C68" s="67" t="s">
        <v>144</v>
      </c>
      <c r="D68" s="85"/>
      <c r="E68" s="86" t="e">
        <f>SUM(#REF!)</f>
        <v>#REF!</v>
      </c>
      <c r="F68" s="85"/>
      <c r="G68" s="86" t="e">
        <f>SUM(#REF!)</f>
        <v>#REF!</v>
      </c>
      <c r="H68" s="86" t="e">
        <f>SUM(#REF!)</f>
        <v>#REF!</v>
      </c>
      <c r="I68" s="86" t="e">
        <f>SUM(#REF!)</f>
        <v>#REF!</v>
      </c>
      <c r="J68" s="86" t="e">
        <f>SUM(#REF!+#REF!+#REF!+#REF!)</f>
        <v>#REF!</v>
      </c>
      <c r="K68" s="86" t="e">
        <f>SUM(#REF!)</f>
        <v>#REF!</v>
      </c>
      <c r="L68" s="86" t="e">
        <f>SUM(#REF!)</f>
        <v>#REF!</v>
      </c>
      <c r="M68" s="90"/>
      <c r="N68" s="86" t="e">
        <f t="shared" si="0"/>
        <v>#REF!</v>
      </c>
      <c r="P68" s="171">
        <v>8002</v>
      </c>
      <c r="Q68" s="171" t="s">
        <v>274</v>
      </c>
      <c r="R68" s="172">
        <v>8716.98</v>
      </c>
      <c r="S68" s="172" t="e">
        <f t="shared" si="3"/>
        <v>#REF!</v>
      </c>
      <c r="T68" s="193"/>
      <c r="U68" s="209" t="e">
        <f t="shared" si="2"/>
        <v>#REF!</v>
      </c>
    </row>
    <row r="69" spans="1:21" ht="31.5">
      <c r="A69">
        <f t="shared" si="1"/>
        <v>69</v>
      </c>
      <c r="B69" s="68">
        <v>8003</v>
      </c>
      <c r="C69" s="67" t="s">
        <v>143</v>
      </c>
      <c r="D69" s="85"/>
      <c r="E69" s="86" t="e">
        <f>SUM(#REF!)</f>
        <v>#REF!</v>
      </c>
      <c r="F69" s="85"/>
      <c r="G69" s="86" t="e">
        <f>SUM(#REF!)</f>
        <v>#REF!</v>
      </c>
      <c r="H69" s="86" t="e">
        <f>SUM(#REF!)</f>
        <v>#REF!</v>
      </c>
      <c r="I69" s="86" t="e">
        <f>SUM(#REF!)</f>
        <v>#REF!</v>
      </c>
      <c r="J69" s="86" t="e">
        <f>SUM(#REF!+#REF!+#REF!+#REF!)</f>
        <v>#REF!</v>
      </c>
      <c r="K69" s="86" t="e">
        <f>SUM(#REF!)</f>
        <v>#REF!</v>
      </c>
      <c r="L69" s="86" t="e">
        <f>SUM(#REF!)</f>
        <v>#REF!</v>
      </c>
      <c r="M69" s="90"/>
      <c r="N69" s="86" t="e">
        <f t="shared" ref="N69:N148" si="4">SUM(E69:M69)</f>
        <v>#REF!</v>
      </c>
      <c r="P69" s="171">
        <v>8010</v>
      </c>
      <c r="Q69" s="171" t="s">
        <v>243</v>
      </c>
      <c r="R69" s="172">
        <v>17201.21</v>
      </c>
      <c r="S69" s="172" t="e">
        <f t="shared" si="3"/>
        <v>#REF!</v>
      </c>
      <c r="T69" s="194">
        <v>8000</v>
      </c>
      <c r="U69" s="209" t="e">
        <f t="shared" si="2"/>
        <v>#REF!</v>
      </c>
    </row>
    <row r="70" spans="1:21" ht="30.75">
      <c r="A70">
        <f t="shared" ref="A70:A149" si="5">+A69+1</f>
        <v>70</v>
      </c>
      <c r="B70" s="68">
        <v>8004</v>
      </c>
      <c r="C70" s="67" t="s">
        <v>142</v>
      </c>
      <c r="D70" s="85"/>
      <c r="E70" s="86" t="e">
        <f>SUM(#REF!)</f>
        <v>#REF!</v>
      </c>
      <c r="F70" s="85"/>
      <c r="G70" s="86" t="e">
        <f>SUM(#REF!)</f>
        <v>#REF!</v>
      </c>
      <c r="H70" s="86" t="e">
        <f>SUM(#REF!)</f>
        <v>#REF!</v>
      </c>
      <c r="I70" s="86" t="e">
        <f>SUM(#REF!)</f>
        <v>#REF!</v>
      </c>
      <c r="J70" s="86" t="e">
        <f>SUM(#REF!+#REF!+#REF!+#REF!)</f>
        <v>#REF!</v>
      </c>
      <c r="K70" s="86" t="e">
        <f>SUM(#REF!)</f>
        <v>#REF!</v>
      </c>
      <c r="L70" s="86" t="e">
        <f>SUM(#REF!)</f>
        <v>#REF!</v>
      </c>
      <c r="M70" s="90"/>
      <c r="N70" s="86" t="e">
        <f t="shared" si="4"/>
        <v>#REF!</v>
      </c>
      <c r="P70" s="171">
        <v>8004</v>
      </c>
      <c r="Q70" s="171" t="s">
        <v>142</v>
      </c>
      <c r="R70" s="172">
        <v>0</v>
      </c>
      <c r="S70" s="172" t="e">
        <f t="shared" si="3"/>
        <v>#REF!</v>
      </c>
      <c r="T70" s="193">
        <v>0</v>
      </c>
    </row>
    <row r="71" spans="1:21" ht="31.5">
      <c r="A71">
        <f t="shared" si="5"/>
        <v>71</v>
      </c>
      <c r="B71" s="68">
        <v>8005</v>
      </c>
      <c r="C71" s="67" t="s">
        <v>141</v>
      </c>
      <c r="D71" s="85"/>
      <c r="E71" s="86" t="e">
        <f>SUM(#REF!)</f>
        <v>#REF!</v>
      </c>
      <c r="F71" s="85"/>
      <c r="G71" s="86" t="e">
        <f>SUM(#REF!)</f>
        <v>#REF!</v>
      </c>
      <c r="H71" s="86" t="e">
        <f>SUM(#REF!)</f>
        <v>#REF!</v>
      </c>
      <c r="I71" s="86" t="e">
        <f>SUM(#REF!)</f>
        <v>#REF!</v>
      </c>
      <c r="J71" s="86" t="e">
        <f>SUM(#REF!+#REF!+#REF!+#REF!)</f>
        <v>#REF!</v>
      </c>
      <c r="K71" s="86" t="e">
        <f>SUM(#REF!)</f>
        <v>#REF!</v>
      </c>
      <c r="L71" s="86" t="e">
        <f>SUM(#REF!)</f>
        <v>#REF!</v>
      </c>
      <c r="M71" s="90"/>
      <c r="N71" s="86" t="e">
        <f t="shared" si="4"/>
        <v>#REF!</v>
      </c>
      <c r="P71" s="171">
        <v>8005</v>
      </c>
      <c r="Q71" s="171" t="s">
        <v>242</v>
      </c>
      <c r="R71" s="172">
        <v>4083.04</v>
      </c>
      <c r="S71" s="172" t="e">
        <f t="shared" si="3"/>
        <v>#REF!</v>
      </c>
      <c r="T71" s="194">
        <v>12800</v>
      </c>
      <c r="U71" s="209" t="e">
        <f t="shared" si="2"/>
        <v>#REF!</v>
      </c>
    </row>
    <row r="72" spans="1:21" ht="30.75">
      <c r="A72">
        <f t="shared" si="5"/>
        <v>72</v>
      </c>
      <c r="B72" s="68">
        <v>8006</v>
      </c>
      <c r="C72" s="67" t="s">
        <v>140</v>
      </c>
      <c r="D72" s="85"/>
      <c r="E72" s="86" t="e">
        <f>SUM(#REF!)</f>
        <v>#REF!</v>
      </c>
      <c r="F72" s="85"/>
      <c r="G72" s="86" t="e">
        <f>SUM(#REF!)</f>
        <v>#REF!</v>
      </c>
      <c r="H72" s="86" t="e">
        <f>SUM(#REF!)</f>
        <v>#REF!</v>
      </c>
      <c r="I72" s="86" t="e">
        <f>SUM(#REF!)</f>
        <v>#REF!</v>
      </c>
      <c r="J72" s="86" t="e">
        <f>SUM(#REF!+#REF!+#REF!+#REF!)</f>
        <v>#REF!</v>
      </c>
      <c r="K72" s="86" t="e">
        <f>SUM(#REF!)</f>
        <v>#REF!</v>
      </c>
      <c r="L72" s="86" t="e">
        <f>SUM(#REF!)</f>
        <v>#REF!</v>
      </c>
      <c r="M72" s="90"/>
      <c r="N72" s="86" t="e">
        <f t="shared" si="4"/>
        <v>#REF!</v>
      </c>
      <c r="P72" s="171">
        <v>8006</v>
      </c>
      <c r="Q72" s="171" t="s">
        <v>140</v>
      </c>
      <c r="R72" s="172">
        <v>3468.66</v>
      </c>
      <c r="S72" s="172" t="e">
        <f t="shared" si="3"/>
        <v>#REF!</v>
      </c>
      <c r="T72" s="193"/>
      <c r="U72" s="209" t="e">
        <f t="shared" si="2"/>
        <v>#REF!</v>
      </c>
    </row>
    <row r="73" spans="1:21" ht="45.75">
      <c r="A73">
        <f t="shared" si="5"/>
        <v>73</v>
      </c>
      <c r="B73" s="68">
        <v>8007</v>
      </c>
      <c r="C73" s="67" t="s">
        <v>139</v>
      </c>
      <c r="D73" s="85"/>
      <c r="E73" s="86" t="e">
        <f>SUM(#REF!)</f>
        <v>#REF!</v>
      </c>
      <c r="F73" s="85"/>
      <c r="G73" s="86" t="e">
        <f>SUM(#REF!)</f>
        <v>#REF!</v>
      </c>
      <c r="H73" s="86" t="e">
        <f>SUM(#REF!)</f>
        <v>#REF!</v>
      </c>
      <c r="I73" s="86" t="e">
        <f>SUM(#REF!)</f>
        <v>#REF!</v>
      </c>
      <c r="J73" s="86" t="e">
        <f>SUM(#REF!+#REF!+#REF!+#REF!)</f>
        <v>#REF!</v>
      </c>
      <c r="K73" s="86" t="e">
        <f>SUM(#REF!)</f>
        <v>#REF!</v>
      </c>
      <c r="L73" s="86" t="e">
        <f>SUM(#REF!)</f>
        <v>#REF!</v>
      </c>
      <c r="M73" s="90"/>
      <c r="N73" s="86" t="e">
        <f t="shared" si="4"/>
        <v>#REF!</v>
      </c>
      <c r="P73" s="171">
        <v>8007</v>
      </c>
      <c r="Q73" s="171" t="s">
        <v>139</v>
      </c>
      <c r="R73" s="172">
        <f>64721.9+6813.59</f>
        <v>71535.490000000005</v>
      </c>
      <c r="S73" s="172" t="e">
        <f t="shared" si="3"/>
        <v>#REF!</v>
      </c>
      <c r="T73" s="194">
        <f>14000*12</f>
        <v>168000</v>
      </c>
      <c r="U73" s="209" t="e">
        <f t="shared" si="2"/>
        <v>#REF!</v>
      </c>
    </row>
    <row r="74" spans="1:21" ht="47.25">
      <c r="A74">
        <f t="shared" si="5"/>
        <v>74</v>
      </c>
      <c r="B74" s="68">
        <v>8008</v>
      </c>
      <c r="C74" s="67" t="s">
        <v>138</v>
      </c>
      <c r="D74" s="85"/>
      <c r="E74" s="86" t="e">
        <f>SUM(#REF!)</f>
        <v>#REF!</v>
      </c>
      <c r="F74" s="85"/>
      <c r="G74" s="86" t="e">
        <f>SUM(#REF!)</f>
        <v>#REF!</v>
      </c>
      <c r="H74" s="86" t="e">
        <f>SUM(#REF!)</f>
        <v>#REF!</v>
      </c>
      <c r="I74" s="86" t="e">
        <f>SUM(#REF!)</f>
        <v>#REF!</v>
      </c>
      <c r="J74" s="86" t="e">
        <f>SUM(#REF!+#REF!+#REF!+#REF!)</f>
        <v>#REF!</v>
      </c>
      <c r="K74" s="86" t="e">
        <f>SUM(#REF!)</f>
        <v>#REF!</v>
      </c>
      <c r="L74" s="86" t="e">
        <f>SUM(#REF!)</f>
        <v>#REF!</v>
      </c>
      <c r="M74" s="90"/>
      <c r="N74" s="86" t="e">
        <f t="shared" si="4"/>
        <v>#REF!</v>
      </c>
      <c r="P74" s="171">
        <v>8008</v>
      </c>
      <c r="Q74" s="171" t="s">
        <v>138</v>
      </c>
      <c r="R74" s="172">
        <v>200</v>
      </c>
      <c r="S74" s="172" t="e">
        <f t="shared" si="3"/>
        <v>#REF!</v>
      </c>
      <c r="T74" s="193"/>
    </row>
    <row r="75" spans="1:21" ht="45.75">
      <c r="A75">
        <f t="shared" si="5"/>
        <v>75</v>
      </c>
      <c r="B75" s="68">
        <v>8009</v>
      </c>
      <c r="C75" s="67" t="s">
        <v>137</v>
      </c>
      <c r="D75" s="85"/>
      <c r="E75" s="86" t="e">
        <f>SUM(#REF!)</f>
        <v>#REF!</v>
      </c>
      <c r="F75" s="85"/>
      <c r="G75" s="86" t="e">
        <f>SUM(#REF!)</f>
        <v>#REF!</v>
      </c>
      <c r="H75" s="86" t="e">
        <f>SUM(#REF!)</f>
        <v>#REF!</v>
      </c>
      <c r="I75" s="86" t="e">
        <f>SUM(#REF!)</f>
        <v>#REF!</v>
      </c>
      <c r="J75" s="86" t="e">
        <f>SUM(#REF!+#REF!+#REF!+#REF!)</f>
        <v>#REF!</v>
      </c>
      <c r="K75" s="86" t="e">
        <f>SUM(#REF!)</f>
        <v>#REF!</v>
      </c>
      <c r="L75" s="86" t="e">
        <f>SUM(#REF!)</f>
        <v>#REF!</v>
      </c>
      <c r="M75" s="90"/>
      <c r="N75" s="86" t="e">
        <f t="shared" si="4"/>
        <v>#REF!</v>
      </c>
      <c r="P75" s="171">
        <v>8009</v>
      </c>
      <c r="Q75" s="171" t="s">
        <v>137</v>
      </c>
      <c r="R75" s="172">
        <f>111588.91+2010</f>
        <v>113598.91</v>
      </c>
      <c r="S75" s="172" t="e">
        <f t="shared" si="3"/>
        <v>#REF!</v>
      </c>
      <c r="T75" s="194">
        <f>9500+4500+6000</f>
        <v>20000</v>
      </c>
      <c r="U75" s="209" t="e">
        <f t="shared" si="2"/>
        <v>#REF!</v>
      </c>
    </row>
    <row r="76" spans="1:21">
      <c r="A76">
        <f t="shared" si="5"/>
        <v>76</v>
      </c>
      <c r="B76" s="68">
        <v>8010</v>
      </c>
      <c r="C76" s="67" t="s">
        <v>136</v>
      </c>
      <c r="D76" s="85"/>
      <c r="E76" s="86" t="e">
        <f>SUM(#REF!)</f>
        <v>#REF!</v>
      </c>
      <c r="F76" s="85"/>
      <c r="G76" s="86" t="e">
        <f>SUM(#REF!)</f>
        <v>#REF!</v>
      </c>
      <c r="H76" s="86" t="e">
        <f>SUM(#REF!)</f>
        <v>#REF!</v>
      </c>
      <c r="I76" s="86" t="e">
        <f>SUM(#REF!)</f>
        <v>#REF!</v>
      </c>
      <c r="J76" s="86" t="e">
        <f>SUM(#REF!+#REF!+#REF!+#REF!)</f>
        <v>#REF!</v>
      </c>
      <c r="K76" s="86" t="e">
        <f>SUM(#REF!)</f>
        <v>#REF!</v>
      </c>
      <c r="L76" s="86" t="e">
        <f>SUM(#REF!)</f>
        <v>#REF!</v>
      </c>
      <c r="M76" s="90"/>
      <c r="N76" s="86" t="e">
        <f t="shared" si="4"/>
        <v>#REF!</v>
      </c>
      <c r="P76" s="173"/>
      <c r="Q76" s="173"/>
      <c r="R76" s="173"/>
      <c r="S76" s="172" t="e">
        <f t="shared" si="3"/>
        <v>#REF!</v>
      </c>
      <c r="T76" s="193"/>
      <c r="U76" s="209" t="e">
        <f t="shared" si="2"/>
        <v>#REF!</v>
      </c>
    </row>
    <row r="77" spans="1:21" ht="31.5">
      <c r="B77" s="68"/>
      <c r="C77" s="67"/>
      <c r="D77" s="85"/>
      <c r="E77" s="86"/>
      <c r="F77" s="85"/>
      <c r="G77" s="86"/>
      <c r="H77" s="86"/>
      <c r="I77" s="86"/>
      <c r="J77" s="86"/>
      <c r="K77" s="86"/>
      <c r="L77" s="86"/>
      <c r="M77" s="90"/>
      <c r="N77" s="86"/>
      <c r="P77" s="171">
        <v>8015</v>
      </c>
      <c r="Q77" s="171" t="s">
        <v>244</v>
      </c>
      <c r="R77" s="178"/>
      <c r="S77" s="172">
        <f t="shared" si="3"/>
        <v>0</v>
      </c>
      <c r="T77" s="193">
        <v>0</v>
      </c>
    </row>
    <row r="78" spans="1:21" ht="31.5">
      <c r="A78">
        <f>+A76+1</f>
        <v>77</v>
      </c>
      <c r="B78" s="68">
        <v>8020</v>
      </c>
      <c r="C78" s="67" t="s">
        <v>135</v>
      </c>
      <c r="D78" s="85"/>
      <c r="E78" s="86" t="e">
        <f>SUM(#REF!)</f>
        <v>#REF!</v>
      </c>
      <c r="F78" s="85"/>
      <c r="G78" s="86" t="e">
        <f>SUM(#REF!)</f>
        <v>#REF!</v>
      </c>
      <c r="H78" s="86" t="e">
        <f>SUM(#REF!)</f>
        <v>#REF!</v>
      </c>
      <c r="I78" s="86" t="e">
        <f>SUM(#REF!)</f>
        <v>#REF!</v>
      </c>
      <c r="J78" s="86" t="e">
        <f>SUM(#REF!+#REF!+#REF!+#REF!)</f>
        <v>#REF!</v>
      </c>
      <c r="K78" s="86" t="e">
        <f>SUM(#REF!)</f>
        <v>#REF!</v>
      </c>
      <c r="L78" s="86" t="e">
        <f>SUM(#REF!)</f>
        <v>#REF!</v>
      </c>
      <c r="M78" s="90"/>
      <c r="N78" s="86" t="e">
        <f t="shared" si="4"/>
        <v>#REF!</v>
      </c>
      <c r="P78" s="171">
        <v>8020</v>
      </c>
      <c r="Q78" s="171" t="s">
        <v>245</v>
      </c>
      <c r="R78" s="172">
        <f>22937.5+6741.5</f>
        <v>29679</v>
      </c>
      <c r="S78" s="172" t="e">
        <f t="shared" si="3"/>
        <v>#REF!</v>
      </c>
      <c r="T78" s="194">
        <v>15000</v>
      </c>
      <c r="U78" s="209" t="e">
        <f t="shared" si="2"/>
        <v>#REF!</v>
      </c>
    </row>
    <row r="79" spans="1:21" ht="47.25">
      <c r="B79" s="68"/>
      <c r="C79" s="67"/>
      <c r="D79" s="85"/>
      <c r="E79" s="86"/>
      <c r="F79" s="85"/>
      <c r="G79" s="86"/>
      <c r="H79" s="86"/>
      <c r="I79" s="86"/>
      <c r="J79" s="86"/>
      <c r="K79" s="86"/>
      <c r="L79" s="86"/>
      <c r="M79" s="90"/>
      <c r="N79" s="86"/>
      <c r="P79" s="171">
        <v>8030</v>
      </c>
      <c r="Q79" s="171" t="s">
        <v>246</v>
      </c>
      <c r="R79" s="172">
        <v>0</v>
      </c>
      <c r="S79" s="172">
        <f t="shared" si="3"/>
        <v>0</v>
      </c>
      <c r="T79" s="193">
        <v>0</v>
      </c>
      <c r="U79" s="209" t="e">
        <f t="shared" si="2"/>
        <v>#DIV/0!</v>
      </c>
    </row>
    <row r="80" spans="1:21" ht="47.25">
      <c r="B80" s="68"/>
      <c r="C80" s="67"/>
      <c r="D80" s="85"/>
      <c r="E80" s="86"/>
      <c r="F80" s="85"/>
      <c r="G80" s="86"/>
      <c r="H80" s="86"/>
      <c r="I80" s="86"/>
      <c r="J80" s="86"/>
      <c r="K80" s="86"/>
      <c r="L80" s="86"/>
      <c r="M80" s="90"/>
      <c r="N80" s="86"/>
      <c r="P80" s="171">
        <v>8035</v>
      </c>
      <c r="Q80" s="177" t="s">
        <v>247</v>
      </c>
      <c r="R80" s="172">
        <v>1000</v>
      </c>
      <c r="S80" s="172">
        <f t="shared" si="3"/>
        <v>-1000</v>
      </c>
      <c r="T80" s="194">
        <v>1000</v>
      </c>
      <c r="U80" s="209" t="e">
        <f t="shared" si="2"/>
        <v>#DIV/0!</v>
      </c>
    </row>
    <row r="81" spans="1:23" ht="47.25">
      <c r="B81" s="68"/>
      <c r="C81" s="67"/>
      <c r="D81" s="85"/>
      <c r="E81" s="86"/>
      <c r="F81" s="85"/>
      <c r="G81" s="86"/>
      <c r="H81" s="86"/>
      <c r="I81" s="86"/>
      <c r="J81" s="86"/>
      <c r="K81" s="86"/>
      <c r="L81" s="86"/>
      <c r="M81" s="90"/>
      <c r="N81" s="86"/>
      <c r="P81" s="171">
        <v>8040</v>
      </c>
      <c r="Q81" s="177" t="s">
        <v>248</v>
      </c>
      <c r="R81" s="172">
        <v>0</v>
      </c>
      <c r="S81" s="172">
        <f t="shared" si="3"/>
        <v>0</v>
      </c>
      <c r="T81" s="193"/>
      <c r="U81" s="209" t="e">
        <f t="shared" si="2"/>
        <v>#DIV/0!</v>
      </c>
    </row>
    <row r="82" spans="1:23" ht="31.5">
      <c r="B82" s="68"/>
      <c r="C82" s="67"/>
      <c r="D82" s="85"/>
      <c r="E82" s="86"/>
      <c r="F82" s="85"/>
      <c r="G82" s="86"/>
      <c r="H82" s="86"/>
      <c r="I82" s="86"/>
      <c r="J82" s="86"/>
      <c r="K82" s="86"/>
      <c r="L82" s="86"/>
      <c r="M82" s="90"/>
      <c r="N82" s="86"/>
      <c r="P82" s="171">
        <v>8045</v>
      </c>
      <c r="Q82" s="177" t="s">
        <v>249</v>
      </c>
      <c r="R82" s="172">
        <v>30946.27</v>
      </c>
      <c r="S82" s="172">
        <f t="shared" si="3"/>
        <v>-23000</v>
      </c>
      <c r="T82" s="194">
        <v>23000</v>
      </c>
      <c r="U82" s="209" t="e">
        <f t="shared" si="2"/>
        <v>#DIV/0!</v>
      </c>
    </row>
    <row r="83" spans="1:23" ht="31.5">
      <c r="B83" s="68"/>
      <c r="C83" s="67"/>
      <c r="D83" s="85"/>
      <c r="E83" s="86"/>
      <c r="F83" s="85"/>
      <c r="G83" s="86"/>
      <c r="H83" s="86"/>
      <c r="I83" s="86"/>
      <c r="J83" s="86"/>
      <c r="K83" s="86"/>
      <c r="L83" s="86"/>
      <c r="M83" s="90"/>
      <c r="N83" s="86"/>
      <c r="P83" s="171">
        <v>8050</v>
      </c>
      <c r="Q83" s="171" t="s">
        <v>250</v>
      </c>
      <c r="R83" s="172">
        <v>2000</v>
      </c>
      <c r="S83" s="172">
        <f t="shared" si="3"/>
        <v>-2000</v>
      </c>
      <c r="T83" s="194">
        <v>2000</v>
      </c>
      <c r="U83" s="209" t="e">
        <f t="shared" si="2"/>
        <v>#DIV/0!</v>
      </c>
    </row>
    <row r="84" spans="1:23">
      <c r="A84">
        <f>+A78+1</f>
        <v>78</v>
      </c>
      <c r="B84" s="68">
        <v>8110</v>
      </c>
      <c r="C84" s="67" t="s">
        <v>134</v>
      </c>
      <c r="D84" s="85"/>
      <c r="E84" s="86" t="e">
        <f>SUM(#REF!)</f>
        <v>#REF!</v>
      </c>
      <c r="F84" s="85"/>
      <c r="G84" s="86" t="e">
        <f>SUM(#REF!)</f>
        <v>#REF!</v>
      </c>
      <c r="H84" s="86" t="e">
        <f>SUM(#REF!)</f>
        <v>#REF!</v>
      </c>
      <c r="I84" s="86" t="e">
        <f>SUM(#REF!)</f>
        <v>#REF!</v>
      </c>
      <c r="J84" s="86" t="e">
        <f>SUM(#REF!+#REF!+#REF!+#REF!)</f>
        <v>#REF!</v>
      </c>
      <c r="K84" s="86" t="e">
        <f>SUM(#REF!)</f>
        <v>#REF!</v>
      </c>
      <c r="L84" s="86" t="e">
        <f>SUM(#REF!)</f>
        <v>#REF!</v>
      </c>
      <c r="M84" s="90"/>
      <c r="N84" s="86" t="e">
        <f t="shared" si="4"/>
        <v>#REF!</v>
      </c>
      <c r="P84" s="171">
        <v>8110</v>
      </c>
      <c r="Q84" s="171" t="s">
        <v>134</v>
      </c>
      <c r="R84" s="172">
        <v>79733.14</v>
      </c>
      <c r="S84" s="172" t="e">
        <f t="shared" si="3"/>
        <v>#REF!</v>
      </c>
      <c r="T84" s="194">
        <v>85000</v>
      </c>
      <c r="U84" s="209" t="e">
        <f t="shared" si="2"/>
        <v>#REF!</v>
      </c>
    </row>
    <row r="85" spans="1:23" ht="31.5">
      <c r="A85">
        <f t="shared" si="5"/>
        <v>79</v>
      </c>
      <c r="B85" s="68">
        <v>8120</v>
      </c>
      <c r="C85" s="67" t="s">
        <v>133</v>
      </c>
      <c r="D85" s="85"/>
      <c r="E85" s="86" t="e">
        <f>SUM(#REF!)</f>
        <v>#REF!</v>
      </c>
      <c r="F85" s="85"/>
      <c r="G85" s="86" t="e">
        <f>SUM(#REF!)</f>
        <v>#REF!</v>
      </c>
      <c r="H85" s="86" t="e">
        <f>SUM(#REF!)</f>
        <v>#REF!</v>
      </c>
      <c r="I85" s="86" t="e">
        <f>SUM(#REF!)</f>
        <v>#REF!</v>
      </c>
      <c r="J85" s="86" t="e">
        <f>SUM(#REF!+#REF!+#REF!+#REF!)</f>
        <v>#REF!</v>
      </c>
      <c r="K85" s="86" t="e">
        <f>SUM(#REF!)</f>
        <v>#REF!</v>
      </c>
      <c r="L85" s="86" t="e">
        <f>SUM(#REF!)</f>
        <v>#REF!</v>
      </c>
      <c r="M85" s="90"/>
      <c r="N85" s="86" t="e">
        <f t="shared" si="4"/>
        <v>#REF!</v>
      </c>
      <c r="P85" s="171">
        <v>8120</v>
      </c>
      <c r="Q85" s="171" t="s">
        <v>133</v>
      </c>
      <c r="R85" s="172">
        <v>20369.52</v>
      </c>
      <c r="S85" s="172" t="e">
        <f t="shared" si="3"/>
        <v>#REF!</v>
      </c>
      <c r="T85" s="194">
        <v>25500</v>
      </c>
      <c r="U85" s="209" t="e">
        <f t="shared" si="2"/>
        <v>#REF!</v>
      </c>
    </row>
    <row r="86" spans="1:23">
      <c r="A86">
        <f t="shared" si="5"/>
        <v>80</v>
      </c>
      <c r="B86" s="68">
        <v>8130</v>
      </c>
      <c r="C86" s="67" t="s">
        <v>132</v>
      </c>
      <c r="D86" s="85"/>
      <c r="E86" s="86" t="e">
        <f>SUM(#REF!)</f>
        <v>#REF!</v>
      </c>
      <c r="F86" s="85"/>
      <c r="G86" s="86" t="e">
        <f>SUM(#REF!)</f>
        <v>#REF!</v>
      </c>
      <c r="H86" s="86" t="e">
        <f>SUM(#REF!)</f>
        <v>#REF!</v>
      </c>
      <c r="I86" s="86" t="e">
        <f>SUM(#REF!)</f>
        <v>#REF!</v>
      </c>
      <c r="J86" s="86" t="e">
        <f>SUM(#REF!+#REF!+#REF!+#REF!)</f>
        <v>#REF!</v>
      </c>
      <c r="K86" s="86" t="e">
        <f>SUM(#REF!)</f>
        <v>#REF!</v>
      </c>
      <c r="L86" s="86" t="e">
        <f>SUM(#REF!)</f>
        <v>#REF!</v>
      </c>
      <c r="M86" s="90"/>
      <c r="N86" s="86" t="e">
        <f t="shared" si="4"/>
        <v>#REF!</v>
      </c>
      <c r="P86" s="171">
        <v>8130</v>
      </c>
      <c r="Q86" s="171" t="s">
        <v>132</v>
      </c>
      <c r="R86" s="172">
        <v>87331.1</v>
      </c>
      <c r="S86" s="172" t="e">
        <f t="shared" si="3"/>
        <v>#REF!</v>
      </c>
      <c r="T86" s="194">
        <v>90000</v>
      </c>
      <c r="U86" s="209" t="e">
        <f t="shared" si="2"/>
        <v>#REF!</v>
      </c>
    </row>
    <row r="87" spans="1:23" ht="47.25">
      <c r="B87" s="68"/>
      <c r="C87" s="67"/>
      <c r="D87" s="85"/>
      <c r="E87" s="86"/>
      <c r="F87" s="85"/>
      <c r="G87" s="86"/>
      <c r="H87" s="86"/>
      <c r="I87" s="86"/>
      <c r="J87" s="86"/>
      <c r="K87" s="86"/>
      <c r="L87" s="86"/>
      <c r="M87" s="90"/>
      <c r="N87" s="86"/>
      <c r="P87" s="171">
        <v>8135</v>
      </c>
      <c r="Q87" s="171" t="s">
        <v>251</v>
      </c>
      <c r="R87" s="172">
        <v>60449.919999999998</v>
      </c>
      <c r="S87" s="172">
        <f t="shared" si="3"/>
        <v>-180432</v>
      </c>
      <c r="T87" s="194">
        <f>60449+119983</f>
        <v>180432</v>
      </c>
      <c r="U87" s="209" t="e">
        <f t="shared" si="2"/>
        <v>#DIV/0!</v>
      </c>
    </row>
    <row r="88" spans="1:23">
      <c r="A88">
        <f>+A86+1</f>
        <v>81</v>
      </c>
      <c r="B88" s="68">
        <v>8140</v>
      </c>
      <c r="C88" s="67" t="s">
        <v>131</v>
      </c>
      <c r="D88" s="85"/>
      <c r="E88" s="86" t="e">
        <f>SUM(#REF!)</f>
        <v>#REF!</v>
      </c>
      <c r="F88" s="85"/>
      <c r="G88" s="86" t="e">
        <f>SUM(#REF!)</f>
        <v>#REF!</v>
      </c>
      <c r="H88" s="86" t="e">
        <f>SUM(#REF!)</f>
        <v>#REF!</v>
      </c>
      <c r="I88" s="86" t="e">
        <f>SUM(#REF!)</f>
        <v>#REF!</v>
      </c>
      <c r="J88" s="86" t="e">
        <f>SUM(#REF!+#REF!+#REF!+#REF!)</f>
        <v>#REF!</v>
      </c>
      <c r="K88" s="86" t="e">
        <f>SUM(#REF!)</f>
        <v>#REF!</v>
      </c>
      <c r="L88" s="86" t="e">
        <f>SUM(#REF!)</f>
        <v>#REF!</v>
      </c>
      <c r="M88" s="90"/>
      <c r="N88" s="86" t="e">
        <f t="shared" si="4"/>
        <v>#REF!</v>
      </c>
      <c r="P88" s="173"/>
      <c r="Q88" s="173"/>
      <c r="R88" s="173"/>
      <c r="S88" s="172" t="e">
        <f t="shared" si="3"/>
        <v>#REF!</v>
      </c>
      <c r="T88" s="193"/>
      <c r="U88" s="209" t="e">
        <f t="shared" si="2"/>
        <v>#REF!</v>
      </c>
    </row>
    <row r="89" spans="1:23" ht="31.5">
      <c r="A89">
        <f t="shared" si="5"/>
        <v>82</v>
      </c>
      <c r="B89" s="68">
        <v>8150</v>
      </c>
      <c r="C89" s="67" t="s">
        <v>130</v>
      </c>
      <c r="D89" s="85"/>
      <c r="E89" s="86" t="e">
        <f>SUM(#REF!)</f>
        <v>#REF!</v>
      </c>
      <c r="F89" s="85"/>
      <c r="G89" s="86" t="e">
        <f>SUM(#REF!)</f>
        <v>#REF!</v>
      </c>
      <c r="H89" s="86" t="e">
        <f>SUM(#REF!)</f>
        <v>#REF!</v>
      </c>
      <c r="I89" s="86" t="e">
        <f>SUM(#REF!)</f>
        <v>#REF!</v>
      </c>
      <c r="J89" s="86" t="e">
        <f>SUM(#REF!+#REF!+#REF!+#REF!)</f>
        <v>#REF!</v>
      </c>
      <c r="K89" s="86" t="e">
        <f>SUM(#REF!)</f>
        <v>#REF!</v>
      </c>
      <c r="L89" s="86" t="e">
        <f>SUM(#REF!)</f>
        <v>#REF!</v>
      </c>
      <c r="M89" s="90"/>
      <c r="N89" s="86" t="e">
        <f t="shared" si="4"/>
        <v>#REF!</v>
      </c>
      <c r="P89" s="171">
        <v>8150</v>
      </c>
      <c r="Q89" s="171" t="s">
        <v>252</v>
      </c>
      <c r="R89" s="172">
        <v>119983.46</v>
      </c>
      <c r="S89" s="172" t="e">
        <f t="shared" si="3"/>
        <v>#REF!</v>
      </c>
      <c r="T89" s="193">
        <v>0</v>
      </c>
      <c r="U89" s="209" t="e">
        <f t="shared" si="2"/>
        <v>#REF!</v>
      </c>
    </row>
    <row r="90" spans="1:23">
      <c r="A90">
        <f t="shared" si="5"/>
        <v>83</v>
      </c>
      <c r="B90" s="68">
        <v>8160</v>
      </c>
      <c r="C90" s="67" t="s">
        <v>129</v>
      </c>
      <c r="D90" s="85"/>
      <c r="E90" s="86" t="e">
        <f>SUM(#REF!)</f>
        <v>#REF!</v>
      </c>
      <c r="F90" s="85"/>
      <c r="G90" s="86" t="e">
        <f>SUM(#REF!)</f>
        <v>#REF!</v>
      </c>
      <c r="H90" s="86" t="e">
        <f>SUM(#REF!)</f>
        <v>#REF!</v>
      </c>
      <c r="I90" s="86" t="e">
        <f>SUM(#REF!)</f>
        <v>#REF!</v>
      </c>
      <c r="J90" s="86" t="e">
        <f>SUM(#REF!+#REF!+#REF!+#REF!)</f>
        <v>#REF!</v>
      </c>
      <c r="K90" s="86" t="e">
        <f>SUM(#REF!)</f>
        <v>#REF!</v>
      </c>
      <c r="L90" s="86" t="e">
        <f>SUM(#REF!)</f>
        <v>#REF!</v>
      </c>
      <c r="M90" s="90"/>
      <c r="N90" s="86" t="e">
        <f t="shared" si="4"/>
        <v>#REF!</v>
      </c>
      <c r="P90" s="171">
        <v>8160</v>
      </c>
      <c r="Q90" s="171" t="s">
        <v>129</v>
      </c>
      <c r="R90" s="172">
        <v>7625.63</v>
      </c>
      <c r="S90" s="172" t="e">
        <f t="shared" si="3"/>
        <v>#REF!</v>
      </c>
      <c r="T90" s="194">
        <v>8000</v>
      </c>
      <c r="U90" s="209" t="e">
        <f t="shared" si="2"/>
        <v>#REF!</v>
      </c>
    </row>
    <row r="91" spans="1:23">
      <c r="A91">
        <f t="shared" si="5"/>
        <v>84</v>
      </c>
      <c r="B91" s="68">
        <v>8210</v>
      </c>
      <c r="C91" s="67" t="s">
        <v>128</v>
      </c>
      <c r="D91" s="85"/>
      <c r="E91" s="86" t="e">
        <f>SUM(#REF!)</f>
        <v>#REF!</v>
      </c>
      <c r="F91" s="85"/>
      <c r="G91" s="86" t="e">
        <f>SUM(#REF!)</f>
        <v>#REF!</v>
      </c>
      <c r="H91" s="86" t="e">
        <f>SUM(#REF!)</f>
        <v>#REF!</v>
      </c>
      <c r="I91" s="86" t="e">
        <f>SUM(#REF!)</f>
        <v>#REF!</v>
      </c>
      <c r="J91" s="86" t="e">
        <f>SUM(#REF!+#REF!+#REF!+#REF!)</f>
        <v>#REF!</v>
      </c>
      <c r="K91" s="86" t="e">
        <f>SUM(#REF!)</f>
        <v>#REF!</v>
      </c>
      <c r="L91" s="86" t="e">
        <f>SUM(#REF!)</f>
        <v>#REF!</v>
      </c>
      <c r="M91" s="90"/>
      <c r="N91" s="86" t="e">
        <f t="shared" si="4"/>
        <v>#REF!</v>
      </c>
      <c r="P91" s="171">
        <v>8210</v>
      </c>
      <c r="Q91" s="171" t="s">
        <v>128</v>
      </c>
      <c r="R91" s="172">
        <v>35860.019999999997</v>
      </c>
      <c r="S91" s="172" t="e">
        <f t="shared" si="3"/>
        <v>#REF!</v>
      </c>
      <c r="T91" s="194">
        <v>38000</v>
      </c>
      <c r="U91" s="209" t="e">
        <f t="shared" si="2"/>
        <v>#REF!</v>
      </c>
      <c r="V91" s="210">
        <f>T91+T92</f>
        <v>51920</v>
      </c>
    </row>
    <row r="92" spans="1:23">
      <c r="B92" s="68"/>
      <c r="C92" s="67"/>
      <c r="D92" s="85"/>
      <c r="E92" s="86"/>
      <c r="F92" s="85"/>
      <c r="G92" s="86"/>
      <c r="H92" s="86"/>
      <c r="I92" s="86"/>
      <c r="J92" s="86"/>
      <c r="K92" s="86"/>
      <c r="L92" s="86"/>
      <c r="M92" s="90"/>
      <c r="N92" s="86"/>
      <c r="P92" s="171"/>
      <c r="Q92" s="171" t="s">
        <v>273</v>
      </c>
      <c r="R92" s="172"/>
      <c r="S92" s="172">
        <f t="shared" si="3"/>
        <v>-13920</v>
      </c>
      <c r="T92" s="194">
        <f>1160*12</f>
        <v>13920</v>
      </c>
      <c r="U92" s="209" t="e">
        <f t="shared" si="2"/>
        <v>#DIV/0!</v>
      </c>
      <c r="V92" s="210" t="e">
        <f>V91-N91</f>
        <v>#REF!</v>
      </c>
      <c r="W92" s="210" t="e">
        <f>V92/N91</f>
        <v>#REF!</v>
      </c>
    </row>
    <row r="93" spans="1:23" ht="60.75">
      <c r="A93">
        <f>+A91+1</f>
        <v>85</v>
      </c>
      <c r="B93" s="68">
        <v>8215</v>
      </c>
      <c r="C93" s="67" t="s">
        <v>127</v>
      </c>
      <c r="D93" s="85"/>
      <c r="E93" s="86" t="e">
        <f>SUM(#REF!)</f>
        <v>#REF!</v>
      </c>
      <c r="F93" s="85"/>
      <c r="G93" s="86" t="e">
        <f>SUM(#REF!)</f>
        <v>#REF!</v>
      </c>
      <c r="H93" s="86" t="e">
        <f>SUM(#REF!)</f>
        <v>#REF!</v>
      </c>
      <c r="I93" s="86" t="e">
        <f>SUM(#REF!)</f>
        <v>#REF!</v>
      </c>
      <c r="J93" s="86" t="e">
        <f>SUM(#REF!+#REF!+#REF!+#REF!)</f>
        <v>#REF!</v>
      </c>
      <c r="K93" s="86" t="e">
        <f>SUM(#REF!)</f>
        <v>#REF!</v>
      </c>
      <c r="L93" s="86" t="e">
        <f>SUM(#REF!)</f>
        <v>#REF!</v>
      </c>
      <c r="M93" s="90"/>
      <c r="N93" s="86" t="e">
        <f t="shared" si="4"/>
        <v>#REF!</v>
      </c>
      <c r="P93" s="171">
        <v>8215</v>
      </c>
      <c r="Q93" s="171" t="s">
        <v>127</v>
      </c>
      <c r="R93" s="172">
        <v>14603.39</v>
      </c>
      <c r="S93" s="172" t="e">
        <f t="shared" si="3"/>
        <v>#REF!</v>
      </c>
      <c r="T93" s="194">
        <f>1160*12</f>
        <v>13920</v>
      </c>
      <c r="U93" s="209" t="e">
        <f t="shared" si="2"/>
        <v>#REF!</v>
      </c>
    </row>
    <row r="94" spans="1:23" ht="31.5">
      <c r="A94">
        <f t="shared" si="5"/>
        <v>86</v>
      </c>
      <c r="B94" s="68">
        <v>8310</v>
      </c>
      <c r="C94" s="67" t="s">
        <v>126</v>
      </c>
      <c r="D94" s="85"/>
      <c r="E94" s="86" t="e">
        <f>SUM(#REF!)</f>
        <v>#REF!</v>
      </c>
      <c r="F94" s="85"/>
      <c r="G94" s="86" t="e">
        <f>SUM(#REF!)</f>
        <v>#REF!</v>
      </c>
      <c r="H94" s="86" t="e">
        <f>SUM(#REF!)</f>
        <v>#REF!</v>
      </c>
      <c r="I94" s="86" t="e">
        <f>SUM(#REF!)</f>
        <v>#REF!</v>
      </c>
      <c r="J94" s="86" t="e">
        <f>SUM(#REF!+#REF!+#REF!+#REF!)</f>
        <v>#REF!</v>
      </c>
      <c r="K94" s="86" t="e">
        <f>SUM(#REF!)</f>
        <v>#REF!</v>
      </c>
      <c r="L94" s="86" t="e">
        <f>SUM(#REF!)</f>
        <v>#REF!</v>
      </c>
      <c r="M94" s="90"/>
      <c r="N94" s="86" t="e">
        <f t="shared" si="4"/>
        <v>#REF!</v>
      </c>
      <c r="P94" s="171">
        <v>8310</v>
      </c>
      <c r="Q94" s="171" t="s">
        <v>126</v>
      </c>
      <c r="R94" s="172">
        <v>14629.3</v>
      </c>
      <c r="S94" s="172" t="e">
        <f t="shared" si="3"/>
        <v>#REF!</v>
      </c>
      <c r="T94" s="194">
        <v>17000</v>
      </c>
      <c r="U94" s="209" t="e">
        <f t="shared" si="2"/>
        <v>#REF!</v>
      </c>
    </row>
    <row r="95" spans="1:23">
      <c r="A95">
        <f t="shared" si="5"/>
        <v>87</v>
      </c>
      <c r="B95" s="68">
        <v>8320</v>
      </c>
      <c r="C95" s="67" t="s">
        <v>125</v>
      </c>
      <c r="D95" s="85"/>
      <c r="E95" s="86" t="e">
        <f>SUM(#REF!)</f>
        <v>#REF!</v>
      </c>
      <c r="F95" s="85"/>
      <c r="G95" s="86" t="e">
        <f>SUM(#REF!)</f>
        <v>#REF!</v>
      </c>
      <c r="H95" s="86" t="e">
        <f>SUM(#REF!)</f>
        <v>#REF!</v>
      </c>
      <c r="I95" s="86" t="e">
        <f>SUM(#REF!)</f>
        <v>#REF!</v>
      </c>
      <c r="J95" s="86" t="e">
        <f>SUM(#REF!+#REF!+#REF!+#REF!)</f>
        <v>#REF!</v>
      </c>
      <c r="K95" s="86" t="e">
        <f>SUM(#REF!)</f>
        <v>#REF!</v>
      </c>
      <c r="L95" s="86" t="e">
        <f>SUM(#REF!)</f>
        <v>#REF!</v>
      </c>
      <c r="M95" s="90"/>
      <c r="N95" s="86" t="e">
        <f t="shared" si="4"/>
        <v>#REF!</v>
      </c>
      <c r="P95" s="171">
        <v>8320</v>
      </c>
      <c r="Q95" s="171" t="s">
        <v>125</v>
      </c>
      <c r="R95" s="172">
        <v>2710.06</v>
      </c>
      <c r="S95" s="172" t="e">
        <f t="shared" si="3"/>
        <v>#REF!</v>
      </c>
      <c r="T95" s="194">
        <v>2000</v>
      </c>
      <c r="U95" s="209" t="e">
        <f t="shared" si="2"/>
        <v>#REF!</v>
      </c>
    </row>
    <row r="96" spans="1:23" ht="30.75">
      <c r="A96">
        <f t="shared" si="5"/>
        <v>88</v>
      </c>
      <c r="B96" s="68">
        <v>8330</v>
      </c>
      <c r="C96" s="67" t="s">
        <v>124</v>
      </c>
      <c r="D96" s="85"/>
      <c r="E96" s="86" t="e">
        <f>SUM(#REF!)</f>
        <v>#REF!</v>
      </c>
      <c r="F96" s="85"/>
      <c r="G96" s="86" t="e">
        <f>SUM(#REF!)</f>
        <v>#REF!</v>
      </c>
      <c r="H96" s="86" t="e">
        <f>SUM(#REF!)</f>
        <v>#REF!</v>
      </c>
      <c r="I96" s="86" t="e">
        <f>SUM(#REF!)</f>
        <v>#REF!</v>
      </c>
      <c r="J96" s="86" t="e">
        <f>SUM(#REF!+#REF!+#REF!+#REF!)</f>
        <v>#REF!</v>
      </c>
      <c r="K96" s="86" t="e">
        <f>SUM(#REF!)</f>
        <v>#REF!</v>
      </c>
      <c r="L96" s="86" t="e">
        <f>SUM(#REF!)</f>
        <v>#REF!</v>
      </c>
      <c r="M96" s="90"/>
      <c r="N96" s="86" t="e">
        <f t="shared" si="4"/>
        <v>#REF!</v>
      </c>
      <c r="P96" s="173"/>
      <c r="Q96" s="173"/>
      <c r="R96" s="173"/>
      <c r="S96" s="172" t="e">
        <f t="shared" si="3"/>
        <v>#REF!</v>
      </c>
      <c r="T96" s="193"/>
      <c r="U96" s="209" t="e">
        <f t="shared" si="2"/>
        <v>#REF!</v>
      </c>
    </row>
    <row r="97" spans="1:23">
      <c r="A97">
        <f t="shared" si="5"/>
        <v>89</v>
      </c>
      <c r="B97" s="68">
        <v>8410</v>
      </c>
      <c r="C97" s="67" t="s">
        <v>123</v>
      </c>
      <c r="D97" s="85"/>
      <c r="E97" s="86" t="e">
        <f>SUM(#REF!)</f>
        <v>#REF!</v>
      </c>
      <c r="F97" s="85"/>
      <c r="G97" s="86" t="e">
        <f>SUM(#REF!)</f>
        <v>#REF!</v>
      </c>
      <c r="H97" s="86" t="e">
        <f>SUM(#REF!)</f>
        <v>#REF!</v>
      </c>
      <c r="I97" s="86" t="e">
        <f>SUM(#REF!)</f>
        <v>#REF!</v>
      </c>
      <c r="J97" s="86" t="e">
        <f>SUM(#REF!+#REF!+#REF!+#REF!)</f>
        <v>#REF!</v>
      </c>
      <c r="K97" s="86" t="e">
        <f>SUM(#REF!)</f>
        <v>#REF!</v>
      </c>
      <c r="L97" s="86" t="e">
        <f>SUM(#REF!)</f>
        <v>#REF!</v>
      </c>
      <c r="M97" s="90"/>
      <c r="N97" s="86" t="e">
        <f t="shared" si="4"/>
        <v>#REF!</v>
      </c>
      <c r="P97" s="171">
        <v>8410</v>
      </c>
      <c r="Q97" s="171" t="s">
        <v>123</v>
      </c>
      <c r="R97" s="172">
        <v>3434.69</v>
      </c>
      <c r="S97" s="172" t="e">
        <f t="shared" si="3"/>
        <v>#REF!</v>
      </c>
      <c r="T97" s="194">
        <v>2000</v>
      </c>
      <c r="U97" s="209" t="e">
        <f t="shared" si="2"/>
        <v>#REF!</v>
      </c>
    </row>
    <row r="98" spans="1:23">
      <c r="A98">
        <f t="shared" si="5"/>
        <v>90</v>
      </c>
      <c r="B98" s="68">
        <v>8420</v>
      </c>
      <c r="C98" s="67" t="s">
        <v>122</v>
      </c>
      <c r="D98" s="85"/>
      <c r="E98" s="86" t="e">
        <f>SUM(#REF!)</f>
        <v>#REF!</v>
      </c>
      <c r="F98" s="85"/>
      <c r="G98" s="86" t="e">
        <f>SUM(#REF!)</f>
        <v>#REF!</v>
      </c>
      <c r="H98" s="86" t="e">
        <f>SUM(#REF!)</f>
        <v>#REF!</v>
      </c>
      <c r="I98" s="86" t="e">
        <f>SUM(#REF!)</f>
        <v>#REF!</v>
      </c>
      <c r="J98" s="86" t="e">
        <f>SUM(#REF!+#REF!+#REF!+#REF!)</f>
        <v>#REF!</v>
      </c>
      <c r="K98" s="86" t="e">
        <f>SUM(#REF!)</f>
        <v>#REF!</v>
      </c>
      <c r="L98" s="86" t="e">
        <f>SUM(#REF!)</f>
        <v>#REF!</v>
      </c>
      <c r="M98" s="90"/>
      <c r="N98" s="86" t="e">
        <f t="shared" si="4"/>
        <v>#REF!</v>
      </c>
      <c r="P98" s="171">
        <v>8420</v>
      </c>
      <c r="Q98" s="171" t="s">
        <v>253</v>
      </c>
      <c r="R98" s="172">
        <v>635.36</v>
      </c>
      <c r="S98" s="172" t="e">
        <f t="shared" si="3"/>
        <v>#REF!</v>
      </c>
      <c r="T98" s="194">
        <v>90000</v>
      </c>
      <c r="U98" s="209" t="e">
        <f>S98/N98</f>
        <v>#REF!</v>
      </c>
      <c r="V98" s="211">
        <f>SUM(R98:R102)</f>
        <v>78595.910000000018</v>
      </c>
      <c r="W98" s="211" t="e">
        <f>N98-V98</f>
        <v>#REF!</v>
      </c>
    </row>
    <row r="99" spans="1:23">
      <c r="B99" s="68"/>
      <c r="C99" s="67"/>
      <c r="D99" s="85"/>
      <c r="E99" s="86"/>
      <c r="F99" s="85"/>
      <c r="G99" s="86"/>
      <c r="H99" s="86"/>
      <c r="I99" s="86"/>
      <c r="J99" s="86"/>
      <c r="K99" s="86"/>
      <c r="L99" s="86"/>
      <c r="M99" s="90"/>
      <c r="N99" s="86"/>
      <c r="P99" s="171">
        <v>8421</v>
      </c>
      <c r="Q99" s="171" t="s">
        <v>254</v>
      </c>
      <c r="R99" s="172">
        <v>53353.96</v>
      </c>
      <c r="S99" s="172">
        <f t="shared" si="3"/>
        <v>0</v>
      </c>
      <c r="T99" s="194"/>
      <c r="U99" s="209" t="e">
        <f t="shared" si="2"/>
        <v>#DIV/0!</v>
      </c>
      <c r="W99" t="e">
        <f>W98/N98</f>
        <v>#REF!</v>
      </c>
    </row>
    <row r="100" spans="1:23">
      <c r="B100" s="68"/>
      <c r="C100" s="67"/>
      <c r="D100" s="85"/>
      <c r="E100" s="86"/>
      <c r="F100" s="85"/>
      <c r="G100" s="86"/>
      <c r="H100" s="86"/>
      <c r="I100" s="86"/>
      <c r="J100" s="86"/>
      <c r="K100" s="86"/>
      <c r="L100" s="86"/>
      <c r="M100" s="90"/>
      <c r="N100" s="86"/>
      <c r="P100" s="171">
        <v>8422</v>
      </c>
      <c r="Q100" s="171" t="s">
        <v>255</v>
      </c>
      <c r="R100" s="172">
        <v>19762.810000000001</v>
      </c>
      <c r="S100" s="172">
        <f t="shared" si="3"/>
        <v>0</v>
      </c>
      <c r="T100" s="194"/>
      <c r="U100" s="209" t="e">
        <f t="shared" si="2"/>
        <v>#DIV/0!</v>
      </c>
    </row>
    <row r="101" spans="1:23">
      <c r="B101" s="68"/>
      <c r="C101" s="67"/>
      <c r="D101" s="85"/>
      <c r="E101" s="86"/>
      <c r="F101" s="85"/>
      <c r="G101" s="86"/>
      <c r="H101" s="86"/>
      <c r="I101" s="86"/>
      <c r="J101" s="86"/>
      <c r="K101" s="86"/>
      <c r="L101" s="86"/>
      <c r="M101" s="90"/>
      <c r="N101" s="86"/>
      <c r="P101" s="171">
        <v>8423</v>
      </c>
      <c r="Q101" s="171" t="s">
        <v>256</v>
      </c>
      <c r="R101" s="172">
        <v>4030.96</v>
      </c>
      <c r="S101" s="172">
        <f t="shared" si="3"/>
        <v>0</v>
      </c>
      <c r="T101" s="194"/>
      <c r="U101" s="209" t="e">
        <f t="shared" si="2"/>
        <v>#DIV/0!</v>
      </c>
    </row>
    <row r="102" spans="1:23">
      <c r="B102" s="68"/>
      <c r="C102" s="67"/>
      <c r="D102" s="85"/>
      <c r="E102" s="86"/>
      <c r="F102" s="85"/>
      <c r="G102" s="86"/>
      <c r="H102" s="86"/>
      <c r="I102" s="86"/>
      <c r="J102" s="86"/>
      <c r="K102" s="86"/>
      <c r="L102" s="86"/>
      <c r="M102" s="90"/>
      <c r="N102" s="86"/>
      <c r="P102" s="171">
        <v>8424</v>
      </c>
      <c r="Q102" s="171" t="s">
        <v>257</v>
      </c>
      <c r="R102" s="172">
        <v>812.82</v>
      </c>
      <c r="S102" s="172">
        <f t="shared" si="3"/>
        <v>0</v>
      </c>
      <c r="T102" s="194"/>
      <c r="U102" s="209" t="e">
        <f t="shared" si="2"/>
        <v>#DIV/0!</v>
      </c>
    </row>
    <row r="103" spans="1:23" ht="31.5">
      <c r="A103">
        <f>+A98+1</f>
        <v>91</v>
      </c>
      <c r="B103" s="68">
        <v>8430</v>
      </c>
      <c r="C103" s="67" t="s">
        <v>121</v>
      </c>
      <c r="D103" s="85"/>
      <c r="E103" s="86" t="e">
        <f>SUM(#REF!)</f>
        <v>#REF!</v>
      </c>
      <c r="F103" s="85"/>
      <c r="G103" s="86" t="e">
        <f>SUM(#REF!)</f>
        <v>#REF!</v>
      </c>
      <c r="H103" s="86" t="e">
        <f>SUM(#REF!)</f>
        <v>#REF!</v>
      </c>
      <c r="I103" s="86" t="e">
        <f>SUM(#REF!)</f>
        <v>#REF!</v>
      </c>
      <c r="J103" s="86" t="e">
        <f>SUM(#REF!+#REF!+#REF!+#REF!)</f>
        <v>#REF!</v>
      </c>
      <c r="K103" s="86" t="e">
        <f>SUM(#REF!)</f>
        <v>#REF!</v>
      </c>
      <c r="L103" s="86" t="e">
        <f>SUM(#REF!)</f>
        <v>#REF!</v>
      </c>
      <c r="M103" s="90"/>
      <c r="N103" s="86" t="e">
        <f t="shared" si="4"/>
        <v>#REF!</v>
      </c>
      <c r="P103" s="171">
        <v>8430</v>
      </c>
      <c r="Q103" s="171" t="s">
        <v>258</v>
      </c>
      <c r="R103" s="172">
        <v>17519.009999999998</v>
      </c>
      <c r="S103" s="172" t="e">
        <f t="shared" si="3"/>
        <v>#REF!</v>
      </c>
      <c r="T103" s="194">
        <v>31000</v>
      </c>
      <c r="U103" s="209" t="e">
        <f t="shared" si="2"/>
        <v>#REF!</v>
      </c>
    </row>
    <row r="104" spans="1:23">
      <c r="A104">
        <f t="shared" si="5"/>
        <v>92</v>
      </c>
      <c r="B104" s="68">
        <v>8435</v>
      </c>
      <c r="C104" s="67" t="s">
        <v>120</v>
      </c>
      <c r="D104" s="85"/>
      <c r="E104" s="86" t="e">
        <f>SUM(#REF!)</f>
        <v>#REF!</v>
      </c>
      <c r="F104" s="85"/>
      <c r="G104" s="86" t="e">
        <f>SUM(#REF!)</f>
        <v>#REF!</v>
      </c>
      <c r="H104" s="86" t="e">
        <f>SUM(#REF!)</f>
        <v>#REF!</v>
      </c>
      <c r="I104" s="86" t="e">
        <f>SUM(#REF!)</f>
        <v>#REF!</v>
      </c>
      <c r="J104" s="86" t="e">
        <f>SUM(#REF!+#REF!+#REF!+#REF!)</f>
        <v>#REF!</v>
      </c>
      <c r="K104" s="86" t="e">
        <f>SUM(#REF!)</f>
        <v>#REF!</v>
      </c>
      <c r="L104" s="86" t="e">
        <f>SUM(#REF!)</f>
        <v>#REF!</v>
      </c>
      <c r="M104" s="90"/>
      <c r="N104" s="86" t="e">
        <f t="shared" si="4"/>
        <v>#REF!</v>
      </c>
      <c r="P104" s="171">
        <v>8435</v>
      </c>
      <c r="Q104" s="171" t="s">
        <v>120</v>
      </c>
      <c r="R104" s="172">
        <v>8668.5400000000009</v>
      </c>
      <c r="S104" s="172" t="e">
        <f t="shared" si="3"/>
        <v>#REF!</v>
      </c>
      <c r="T104" s="194">
        <v>9000</v>
      </c>
      <c r="U104" s="209" t="e">
        <f t="shared" si="2"/>
        <v>#REF!</v>
      </c>
    </row>
    <row r="105" spans="1:23" ht="45.75">
      <c r="A105">
        <f t="shared" si="5"/>
        <v>93</v>
      </c>
      <c r="B105" s="68">
        <v>8440</v>
      </c>
      <c r="C105" s="67" t="s">
        <v>119</v>
      </c>
      <c r="D105" s="85"/>
      <c r="E105" s="86" t="e">
        <f>SUM(#REF!)</f>
        <v>#REF!</v>
      </c>
      <c r="F105" s="85"/>
      <c r="G105" s="86" t="e">
        <f>SUM(#REF!)</f>
        <v>#REF!</v>
      </c>
      <c r="H105" s="86" t="e">
        <f>SUM(#REF!)</f>
        <v>#REF!</v>
      </c>
      <c r="I105" s="86" t="e">
        <f>SUM(#REF!)</f>
        <v>#REF!</v>
      </c>
      <c r="J105" s="86" t="e">
        <f>SUM(#REF!+#REF!+#REF!+#REF!)</f>
        <v>#REF!</v>
      </c>
      <c r="K105" s="86" t="e">
        <f>SUM(#REF!)</f>
        <v>#REF!</v>
      </c>
      <c r="L105" s="86" t="e">
        <f>SUM(#REF!)</f>
        <v>#REF!</v>
      </c>
      <c r="M105" s="90"/>
      <c r="N105" s="86" t="e">
        <f t="shared" si="4"/>
        <v>#REF!</v>
      </c>
      <c r="P105" s="171">
        <v>8440</v>
      </c>
      <c r="Q105" s="171" t="s">
        <v>119</v>
      </c>
      <c r="R105" s="172">
        <v>45223.68</v>
      </c>
      <c r="S105" s="172" t="e">
        <f t="shared" si="3"/>
        <v>#REF!</v>
      </c>
      <c r="T105" s="194">
        <f>13560+6300+4800+180+3000+720+4300+20000</f>
        <v>52860</v>
      </c>
      <c r="U105" s="209" t="e">
        <f t="shared" si="2"/>
        <v>#REF!</v>
      </c>
    </row>
    <row r="106" spans="1:23" ht="45.75">
      <c r="A106">
        <f t="shared" si="5"/>
        <v>94</v>
      </c>
      <c r="B106" s="68">
        <v>8450</v>
      </c>
      <c r="C106" s="67" t="s">
        <v>118</v>
      </c>
      <c r="D106" s="85"/>
      <c r="E106" s="86" t="e">
        <f>SUM(#REF!)</f>
        <v>#REF!</v>
      </c>
      <c r="F106" s="85"/>
      <c r="G106" s="86" t="e">
        <f>SUM(#REF!)</f>
        <v>#REF!</v>
      </c>
      <c r="H106" s="86" t="e">
        <f>SUM(#REF!)</f>
        <v>#REF!</v>
      </c>
      <c r="I106" s="86" t="e">
        <f>SUM(#REF!)</f>
        <v>#REF!</v>
      </c>
      <c r="J106" s="86" t="e">
        <f>SUM(#REF!+#REF!+#REF!+#REF!)</f>
        <v>#REF!</v>
      </c>
      <c r="K106" s="86" t="e">
        <f>SUM(#REF!)</f>
        <v>#REF!</v>
      </c>
      <c r="L106" s="86" t="e">
        <f>SUM(#REF!)</f>
        <v>#REF!</v>
      </c>
      <c r="M106" s="90"/>
      <c r="N106" s="86" t="e">
        <f t="shared" si="4"/>
        <v>#REF!</v>
      </c>
      <c r="P106" s="171">
        <v>8450</v>
      </c>
      <c r="Q106" s="171" t="s">
        <v>118</v>
      </c>
      <c r="R106" s="172">
        <v>20337.14</v>
      </c>
      <c r="S106" s="172" t="e">
        <f t="shared" si="3"/>
        <v>#REF!</v>
      </c>
      <c r="T106" s="194">
        <v>21000</v>
      </c>
      <c r="U106" s="209" t="e">
        <f t="shared" si="2"/>
        <v>#REF!</v>
      </c>
    </row>
    <row r="107" spans="1:23" ht="31.5">
      <c r="A107">
        <f t="shared" si="5"/>
        <v>95</v>
      </c>
      <c r="B107" s="68">
        <v>8460</v>
      </c>
      <c r="C107" s="67" t="s">
        <v>117</v>
      </c>
      <c r="D107" s="85"/>
      <c r="E107" s="86" t="e">
        <f>SUM(#REF!)</f>
        <v>#REF!</v>
      </c>
      <c r="F107" s="85"/>
      <c r="G107" s="86" t="e">
        <f>SUM(#REF!)</f>
        <v>#REF!</v>
      </c>
      <c r="H107" s="86" t="e">
        <f>SUM(#REF!)</f>
        <v>#REF!</v>
      </c>
      <c r="I107" s="86" t="e">
        <f>SUM(#REF!)</f>
        <v>#REF!</v>
      </c>
      <c r="J107" s="86" t="e">
        <f>SUM(#REF!+#REF!+#REF!+#REF!)</f>
        <v>#REF!</v>
      </c>
      <c r="K107" s="86" t="e">
        <f>SUM(#REF!)</f>
        <v>#REF!</v>
      </c>
      <c r="L107" s="86" t="e">
        <f>SUM(#REF!)</f>
        <v>#REF!</v>
      </c>
      <c r="M107" s="90"/>
      <c r="N107" s="86" t="e">
        <f t="shared" si="4"/>
        <v>#REF!</v>
      </c>
      <c r="P107" s="171">
        <v>8460</v>
      </c>
      <c r="Q107" s="171" t="s">
        <v>259</v>
      </c>
      <c r="R107" s="172">
        <v>515.41999999999996</v>
      </c>
      <c r="S107" s="172" t="e">
        <f t="shared" si="3"/>
        <v>#REF!</v>
      </c>
      <c r="T107" s="194">
        <v>520</v>
      </c>
      <c r="U107" s="209" t="e">
        <f t="shared" si="2"/>
        <v>#REF!</v>
      </c>
    </row>
    <row r="108" spans="1:23">
      <c r="A108">
        <f t="shared" si="5"/>
        <v>96</v>
      </c>
      <c r="B108" s="68">
        <v>8461</v>
      </c>
      <c r="C108" s="67" t="s">
        <v>80</v>
      </c>
      <c r="D108" s="85"/>
      <c r="E108" s="86" t="e">
        <f>SUM(#REF!)</f>
        <v>#REF!</v>
      </c>
      <c r="F108" s="85"/>
      <c r="G108" s="86" t="e">
        <f>SUM(#REF!)</f>
        <v>#REF!</v>
      </c>
      <c r="H108" s="86" t="e">
        <f>SUM(#REF!)</f>
        <v>#REF!</v>
      </c>
      <c r="I108" s="86" t="e">
        <f>SUM(#REF!)</f>
        <v>#REF!</v>
      </c>
      <c r="J108" s="86" t="e">
        <f>SUM(#REF!+#REF!+#REF!+#REF!)</f>
        <v>#REF!</v>
      </c>
      <c r="K108" s="86" t="e">
        <f>SUM(#REF!)</f>
        <v>#REF!</v>
      </c>
      <c r="L108" s="86" t="e">
        <f>SUM(#REF!)</f>
        <v>#REF!</v>
      </c>
      <c r="M108" s="90"/>
      <c r="N108" s="86" t="e">
        <f t="shared" si="4"/>
        <v>#REF!</v>
      </c>
      <c r="P108" s="171">
        <v>8461</v>
      </c>
      <c r="Q108" s="171" t="s">
        <v>80</v>
      </c>
      <c r="R108" s="172">
        <v>778.05</v>
      </c>
      <c r="S108" s="172" t="e">
        <f t="shared" si="3"/>
        <v>#REF!</v>
      </c>
      <c r="T108" s="194">
        <v>778</v>
      </c>
      <c r="U108" s="209" t="e">
        <f t="shared" si="2"/>
        <v>#REF!</v>
      </c>
    </row>
    <row r="109" spans="1:23">
      <c r="A109">
        <f t="shared" si="5"/>
        <v>97</v>
      </c>
      <c r="B109" s="68">
        <v>8462</v>
      </c>
      <c r="C109" s="67" t="s">
        <v>116</v>
      </c>
      <c r="D109" s="85"/>
      <c r="E109" s="86" t="e">
        <f>SUM(#REF!)</f>
        <v>#REF!</v>
      </c>
      <c r="F109" s="85"/>
      <c r="G109" s="86" t="e">
        <f>SUM(#REF!)</f>
        <v>#REF!</v>
      </c>
      <c r="H109" s="86" t="e">
        <f>SUM(#REF!)</f>
        <v>#REF!</v>
      </c>
      <c r="I109" s="86" t="e">
        <f>SUM(#REF!)</f>
        <v>#REF!</v>
      </c>
      <c r="J109" s="86" t="e">
        <f>SUM(#REF!+#REF!+#REF!+#REF!)</f>
        <v>#REF!</v>
      </c>
      <c r="K109" s="86" t="e">
        <f>SUM(#REF!)</f>
        <v>#REF!</v>
      </c>
      <c r="L109" s="86" t="e">
        <f>SUM(#REF!)</f>
        <v>#REF!</v>
      </c>
      <c r="M109" s="90"/>
      <c r="N109" s="86" t="e">
        <f t="shared" si="4"/>
        <v>#REF!</v>
      </c>
      <c r="P109" s="171">
        <v>8462</v>
      </c>
      <c r="Q109" s="171" t="s">
        <v>116</v>
      </c>
      <c r="R109" s="172">
        <v>200</v>
      </c>
      <c r="S109" s="172" t="e">
        <f t="shared" si="3"/>
        <v>#REF!</v>
      </c>
      <c r="T109" s="194">
        <v>200</v>
      </c>
      <c r="U109" s="209" t="e">
        <f t="shared" si="2"/>
        <v>#REF!</v>
      </c>
    </row>
    <row r="110" spans="1:23" ht="47.25">
      <c r="A110">
        <f t="shared" si="5"/>
        <v>98</v>
      </c>
      <c r="B110" s="68">
        <v>8510</v>
      </c>
      <c r="C110" s="67" t="s">
        <v>115</v>
      </c>
      <c r="D110" s="85"/>
      <c r="E110" s="86" t="e">
        <f>SUM(#REF!)</f>
        <v>#REF!</v>
      </c>
      <c r="F110" s="85"/>
      <c r="G110" s="86" t="e">
        <f>SUM(#REF!)</f>
        <v>#REF!</v>
      </c>
      <c r="H110" s="86" t="e">
        <f>SUM(#REF!)</f>
        <v>#REF!</v>
      </c>
      <c r="I110" s="86" t="e">
        <f>SUM(#REF!)</f>
        <v>#REF!</v>
      </c>
      <c r="J110" s="86" t="e">
        <f>SUM(#REF!+#REF!+#REF!+#REF!)</f>
        <v>#REF!</v>
      </c>
      <c r="K110" s="86" t="e">
        <f>SUM(#REF!)</f>
        <v>#REF!</v>
      </c>
      <c r="L110" s="86" t="e">
        <f>SUM(#REF!)</f>
        <v>#REF!</v>
      </c>
      <c r="M110" s="90"/>
      <c r="N110" s="86" t="e">
        <f t="shared" si="4"/>
        <v>#REF!</v>
      </c>
      <c r="P110" s="171">
        <v>8510</v>
      </c>
      <c r="Q110" s="171" t="s">
        <v>115</v>
      </c>
      <c r="R110" s="172">
        <v>7385.39</v>
      </c>
      <c r="S110" s="172" t="e">
        <f t="shared" si="3"/>
        <v>#REF!</v>
      </c>
      <c r="T110" s="194">
        <v>5250</v>
      </c>
      <c r="U110" s="209" t="e">
        <f t="shared" si="2"/>
        <v>#REF!</v>
      </c>
    </row>
    <row r="111" spans="1:23" ht="30.75">
      <c r="A111">
        <f t="shared" si="5"/>
        <v>99</v>
      </c>
      <c r="B111" s="68">
        <v>8520</v>
      </c>
      <c r="C111" s="67" t="s">
        <v>114</v>
      </c>
      <c r="D111" s="85"/>
      <c r="E111" s="86" t="e">
        <f>SUM(#REF!)</f>
        <v>#REF!</v>
      </c>
      <c r="F111" s="85"/>
      <c r="G111" s="86" t="e">
        <f>SUM(#REF!)</f>
        <v>#REF!</v>
      </c>
      <c r="H111" s="86" t="e">
        <f>SUM(#REF!)</f>
        <v>#REF!</v>
      </c>
      <c r="I111" s="86" t="e">
        <f>SUM(#REF!)</f>
        <v>#REF!</v>
      </c>
      <c r="J111" s="86" t="e">
        <f>SUM(#REF!+#REF!+#REF!+#REF!)</f>
        <v>#REF!</v>
      </c>
      <c r="K111" s="86" t="e">
        <f>SUM(#REF!)</f>
        <v>#REF!</v>
      </c>
      <c r="L111" s="86" t="e">
        <f>SUM(#REF!)</f>
        <v>#REF!</v>
      </c>
      <c r="M111" s="90"/>
      <c r="N111" s="86" t="e">
        <f t="shared" si="4"/>
        <v>#REF!</v>
      </c>
      <c r="P111" s="171">
        <v>8520</v>
      </c>
      <c r="Q111" s="171" t="s">
        <v>114</v>
      </c>
      <c r="R111" s="172">
        <v>8998.3700000000008</v>
      </c>
      <c r="S111" s="172" t="e">
        <f t="shared" si="3"/>
        <v>#REF!</v>
      </c>
      <c r="T111" s="194">
        <v>5000</v>
      </c>
      <c r="U111" s="209" t="e">
        <f t="shared" si="2"/>
        <v>#REF!</v>
      </c>
    </row>
    <row r="112" spans="1:23" ht="30.75">
      <c r="A112">
        <f t="shared" si="5"/>
        <v>100</v>
      </c>
      <c r="B112" s="68">
        <v>8530</v>
      </c>
      <c r="C112" s="67" t="s">
        <v>113</v>
      </c>
      <c r="D112" s="85"/>
      <c r="E112" s="86" t="e">
        <f>SUM(#REF!)</f>
        <v>#REF!</v>
      </c>
      <c r="F112" s="85"/>
      <c r="G112" s="86" t="e">
        <f>SUM(#REF!)</f>
        <v>#REF!</v>
      </c>
      <c r="H112" s="86" t="e">
        <f>SUM(#REF!)</f>
        <v>#REF!</v>
      </c>
      <c r="I112" s="86" t="e">
        <f>SUM(#REF!)</f>
        <v>#REF!</v>
      </c>
      <c r="J112" s="86" t="e">
        <f>SUM(#REF!+#REF!+#REF!+#REF!)</f>
        <v>#REF!</v>
      </c>
      <c r="K112" s="86" t="e">
        <f>SUM(#REF!)</f>
        <v>#REF!</v>
      </c>
      <c r="L112" s="86" t="e">
        <f>SUM(#REF!)</f>
        <v>#REF!</v>
      </c>
      <c r="M112" s="90"/>
      <c r="N112" s="86" t="e">
        <f t="shared" si="4"/>
        <v>#REF!</v>
      </c>
      <c r="P112" s="171">
        <v>8530</v>
      </c>
      <c r="Q112" s="171" t="s">
        <v>276</v>
      </c>
      <c r="R112" s="172">
        <v>43591.57</v>
      </c>
      <c r="S112" s="172" t="e">
        <f>N112-T112</f>
        <v>#REF!</v>
      </c>
      <c r="T112" s="194">
        <f>4800+21000+7000+564+950+2300</f>
        <v>36614</v>
      </c>
      <c r="U112" s="209" t="e">
        <f>S112/N112</f>
        <v>#REF!</v>
      </c>
    </row>
    <row r="113" spans="1:21" ht="31.5">
      <c r="A113">
        <f t="shared" si="5"/>
        <v>101</v>
      </c>
      <c r="B113" s="68">
        <v>8540</v>
      </c>
      <c r="C113" s="67" t="s">
        <v>112</v>
      </c>
      <c r="D113" s="85"/>
      <c r="E113" s="86" t="e">
        <f>SUM(#REF!)</f>
        <v>#REF!</v>
      </c>
      <c r="F113" s="85"/>
      <c r="G113" s="86" t="e">
        <f>SUM(#REF!)</f>
        <v>#REF!</v>
      </c>
      <c r="H113" s="86" t="e">
        <f>SUM(#REF!)</f>
        <v>#REF!</v>
      </c>
      <c r="I113" s="86" t="e">
        <f>SUM(#REF!)</f>
        <v>#REF!</v>
      </c>
      <c r="J113" s="86" t="e">
        <f>SUM(#REF!+#REF!+#REF!+#REF!)</f>
        <v>#REF!</v>
      </c>
      <c r="K113" s="86" t="e">
        <f>SUM(#REF!)</f>
        <v>#REF!</v>
      </c>
      <c r="L113" s="86" t="e">
        <f>SUM(#REF!)</f>
        <v>#REF!</v>
      </c>
      <c r="M113" s="90"/>
      <c r="N113" s="86" t="e">
        <f t="shared" si="4"/>
        <v>#REF!</v>
      </c>
      <c r="P113" s="171">
        <v>8540</v>
      </c>
      <c r="Q113" s="171" t="s">
        <v>112</v>
      </c>
      <c r="R113" s="172">
        <v>12109.49</v>
      </c>
      <c r="S113" s="172" t="e">
        <f t="shared" si="3"/>
        <v>#REF!</v>
      </c>
      <c r="T113" s="194">
        <v>13000</v>
      </c>
      <c r="U113" s="209" t="e">
        <f t="shared" si="2"/>
        <v>#REF!</v>
      </c>
    </row>
    <row r="114" spans="1:21" ht="31.5">
      <c r="A114">
        <f t="shared" si="5"/>
        <v>102</v>
      </c>
      <c r="B114" s="68">
        <v>8550</v>
      </c>
      <c r="C114" s="67" t="s">
        <v>111</v>
      </c>
      <c r="D114" s="85"/>
      <c r="E114" s="86" t="e">
        <f>SUM(#REF!)</f>
        <v>#REF!</v>
      </c>
      <c r="F114" s="85"/>
      <c r="G114" s="86" t="e">
        <f>SUM(#REF!)</f>
        <v>#REF!</v>
      </c>
      <c r="H114" s="86" t="e">
        <f>SUM(#REF!)</f>
        <v>#REF!</v>
      </c>
      <c r="I114" s="86" t="e">
        <f>SUM(#REF!)</f>
        <v>#REF!</v>
      </c>
      <c r="J114" s="86" t="e">
        <f>SUM(#REF!+#REF!+#REF!+#REF!)</f>
        <v>#REF!</v>
      </c>
      <c r="K114" s="86" t="e">
        <f>SUM(#REF!)</f>
        <v>#REF!</v>
      </c>
      <c r="L114" s="86" t="e">
        <f>SUM(#REF!)</f>
        <v>#REF!</v>
      </c>
      <c r="M114" s="90"/>
      <c r="N114" s="86" t="e">
        <f t="shared" si="4"/>
        <v>#REF!</v>
      </c>
      <c r="P114" s="171">
        <v>8550</v>
      </c>
      <c r="Q114" s="171" t="s">
        <v>111</v>
      </c>
      <c r="R114" s="172">
        <v>15025.19</v>
      </c>
      <c r="S114" s="172" t="e">
        <f t="shared" si="3"/>
        <v>#REF!</v>
      </c>
      <c r="T114" s="194">
        <f>10000+4260+570+770</f>
        <v>15600</v>
      </c>
      <c r="U114" s="209" t="e">
        <f t="shared" si="2"/>
        <v>#REF!</v>
      </c>
    </row>
    <row r="115" spans="1:21" ht="31.5">
      <c r="A115">
        <f t="shared" si="5"/>
        <v>103</v>
      </c>
      <c r="B115" s="68">
        <v>8560</v>
      </c>
      <c r="C115" s="67" t="s">
        <v>110</v>
      </c>
      <c r="D115" s="85"/>
      <c r="E115" s="86" t="e">
        <f>SUM(#REF!)</f>
        <v>#REF!</v>
      </c>
      <c r="F115" s="85"/>
      <c r="G115" s="86" t="e">
        <f>SUM(#REF!)</f>
        <v>#REF!</v>
      </c>
      <c r="H115" s="86" t="e">
        <f>SUM(#REF!)</f>
        <v>#REF!</v>
      </c>
      <c r="I115" s="86" t="e">
        <f>SUM(#REF!)</f>
        <v>#REF!</v>
      </c>
      <c r="J115" s="86" t="e">
        <f>SUM(#REF!+#REF!+#REF!+#REF!)</f>
        <v>#REF!</v>
      </c>
      <c r="K115" s="86" t="e">
        <f>SUM(#REF!)</f>
        <v>#REF!</v>
      </c>
      <c r="L115" s="86" t="e">
        <f>SUM(#REF!)</f>
        <v>#REF!</v>
      </c>
      <c r="M115" s="90"/>
      <c r="N115" s="86" t="e">
        <f t="shared" si="4"/>
        <v>#REF!</v>
      </c>
      <c r="P115" s="171">
        <v>8560</v>
      </c>
      <c r="Q115" s="171" t="s">
        <v>260</v>
      </c>
      <c r="R115" s="172">
        <v>845</v>
      </c>
      <c r="S115" s="172" t="e">
        <f t="shared" si="3"/>
        <v>#REF!</v>
      </c>
      <c r="T115" s="193"/>
      <c r="U115" s="209" t="e">
        <f t="shared" si="2"/>
        <v>#REF!</v>
      </c>
    </row>
    <row r="116" spans="1:21" ht="30.75">
      <c r="A116">
        <f t="shared" si="5"/>
        <v>104</v>
      </c>
      <c r="B116" s="68">
        <v>8610</v>
      </c>
      <c r="C116" s="67" t="s">
        <v>109</v>
      </c>
      <c r="D116" s="85"/>
      <c r="E116" s="86" t="e">
        <f>SUM(#REF!)</f>
        <v>#REF!</v>
      </c>
      <c r="F116" s="85"/>
      <c r="G116" s="86" t="e">
        <f>SUM(#REF!)</f>
        <v>#REF!</v>
      </c>
      <c r="H116" s="86" t="e">
        <f>SUM(#REF!)</f>
        <v>#REF!</v>
      </c>
      <c r="I116" s="86" t="e">
        <f>SUM(#REF!)</f>
        <v>#REF!</v>
      </c>
      <c r="J116" s="86" t="e">
        <f>SUM(#REF!+#REF!+#REF!+#REF!)</f>
        <v>#REF!</v>
      </c>
      <c r="K116" s="86" t="e">
        <f>SUM(#REF!)</f>
        <v>#REF!</v>
      </c>
      <c r="L116" s="86" t="e">
        <f>SUM(#REF!)</f>
        <v>#REF!</v>
      </c>
      <c r="M116" s="90"/>
      <c r="N116" s="86" t="e">
        <f t="shared" si="4"/>
        <v>#REF!</v>
      </c>
      <c r="P116" s="171">
        <v>8610</v>
      </c>
      <c r="Q116" s="171" t="s">
        <v>109</v>
      </c>
      <c r="R116" s="172">
        <v>12639.91</v>
      </c>
      <c r="S116" s="172" t="e">
        <f t="shared" si="3"/>
        <v>#REF!</v>
      </c>
      <c r="T116" s="194">
        <v>15000</v>
      </c>
      <c r="U116" s="209" t="e">
        <f t="shared" si="2"/>
        <v>#REF!</v>
      </c>
    </row>
    <row r="117" spans="1:21">
      <c r="A117">
        <f t="shared" si="5"/>
        <v>105</v>
      </c>
      <c r="B117" s="68">
        <v>8620</v>
      </c>
      <c r="C117" s="67" t="s">
        <v>108</v>
      </c>
      <c r="D117" s="85"/>
      <c r="E117" s="86" t="e">
        <f>SUM(#REF!)</f>
        <v>#REF!</v>
      </c>
      <c r="F117" s="85"/>
      <c r="G117" s="86" t="e">
        <f>SUM(#REF!)</f>
        <v>#REF!</v>
      </c>
      <c r="H117" s="86" t="e">
        <f>SUM(#REF!)</f>
        <v>#REF!</v>
      </c>
      <c r="I117" s="86" t="e">
        <f>SUM(#REF!)</f>
        <v>#REF!</v>
      </c>
      <c r="J117" s="86" t="e">
        <f>SUM(#REF!+#REF!+#REF!+#REF!)</f>
        <v>#REF!</v>
      </c>
      <c r="K117" s="86" t="e">
        <f>SUM(#REF!)</f>
        <v>#REF!</v>
      </c>
      <c r="L117" s="86" t="e">
        <f>SUM(#REF!)</f>
        <v>#REF!</v>
      </c>
      <c r="M117" s="90"/>
      <c r="N117" s="86" t="e">
        <f t="shared" si="4"/>
        <v>#REF!</v>
      </c>
      <c r="P117" s="171">
        <v>8620</v>
      </c>
      <c r="Q117" s="171" t="s">
        <v>108</v>
      </c>
      <c r="R117" s="172">
        <v>10050</v>
      </c>
      <c r="S117" s="172" t="e">
        <f t="shared" si="3"/>
        <v>#REF!</v>
      </c>
      <c r="T117" s="194">
        <v>5000</v>
      </c>
      <c r="U117" s="209" t="e">
        <f t="shared" si="2"/>
        <v>#REF!</v>
      </c>
    </row>
    <row r="118" spans="1:21" ht="47.25">
      <c r="A118">
        <f t="shared" si="5"/>
        <v>106</v>
      </c>
      <c r="B118" s="68">
        <v>8710</v>
      </c>
      <c r="C118" s="67" t="s">
        <v>107</v>
      </c>
      <c r="D118" s="85"/>
      <c r="E118" s="86" t="e">
        <f>SUM(#REF!)</f>
        <v>#REF!</v>
      </c>
      <c r="F118" s="85"/>
      <c r="G118" s="86" t="e">
        <f>SUM(#REF!)</f>
        <v>#REF!</v>
      </c>
      <c r="H118" s="86" t="e">
        <f>SUM(#REF!)</f>
        <v>#REF!</v>
      </c>
      <c r="I118" s="86" t="e">
        <f>SUM(#REF!)</f>
        <v>#REF!</v>
      </c>
      <c r="J118" s="86" t="e">
        <f>SUM(#REF!+#REF!+#REF!+#REF!)</f>
        <v>#REF!</v>
      </c>
      <c r="K118" s="86" t="e">
        <f>SUM(#REF!)</f>
        <v>#REF!</v>
      </c>
      <c r="L118" s="86" t="e">
        <f>SUM(#REF!)</f>
        <v>#REF!</v>
      </c>
      <c r="M118" s="90"/>
      <c r="N118" s="86" t="e">
        <f t="shared" si="4"/>
        <v>#REF!</v>
      </c>
      <c r="P118" s="171">
        <v>8710</v>
      </c>
      <c r="Q118" s="171" t="s">
        <v>107</v>
      </c>
      <c r="R118" s="172">
        <v>35768.910000000003</v>
      </c>
      <c r="S118" s="172" t="e">
        <f t="shared" si="3"/>
        <v>#REF!</v>
      </c>
      <c r="T118" s="194">
        <v>45000</v>
      </c>
      <c r="U118" s="209" t="e">
        <f t="shared" si="2"/>
        <v>#REF!</v>
      </c>
    </row>
    <row r="119" spans="1:21" ht="45.75">
      <c r="A119">
        <f t="shared" si="5"/>
        <v>107</v>
      </c>
      <c r="B119" s="68">
        <v>8715</v>
      </c>
      <c r="C119" s="67" t="s">
        <v>106</v>
      </c>
      <c r="D119" s="85"/>
      <c r="E119" s="86" t="e">
        <f>SUM(#REF!)</f>
        <v>#REF!</v>
      </c>
      <c r="F119" s="85"/>
      <c r="G119" s="86" t="e">
        <f>SUM(#REF!)</f>
        <v>#REF!</v>
      </c>
      <c r="H119" s="86" t="e">
        <f>SUM(#REF!)</f>
        <v>#REF!</v>
      </c>
      <c r="I119" s="86" t="e">
        <f>SUM(#REF!)</f>
        <v>#REF!</v>
      </c>
      <c r="J119" s="86" t="e">
        <f>SUM(#REF!+#REF!+#REF!+#REF!)</f>
        <v>#REF!</v>
      </c>
      <c r="K119" s="86" t="e">
        <f>SUM(#REF!)</f>
        <v>#REF!</v>
      </c>
      <c r="L119" s="86" t="e">
        <f>SUM(#REF!)</f>
        <v>#REF!</v>
      </c>
      <c r="M119" s="90"/>
      <c r="N119" s="86" t="e">
        <f t="shared" si="4"/>
        <v>#REF!</v>
      </c>
      <c r="P119" s="171">
        <v>8715</v>
      </c>
      <c r="Q119" s="171" t="s">
        <v>106</v>
      </c>
      <c r="R119" s="172">
        <v>2109.34</v>
      </c>
      <c r="S119" s="172" t="e">
        <f t="shared" si="3"/>
        <v>#REF!</v>
      </c>
      <c r="T119" s="194">
        <v>2500</v>
      </c>
      <c r="U119" s="209" t="e">
        <f t="shared" si="2"/>
        <v>#REF!</v>
      </c>
    </row>
    <row r="120" spans="1:21" ht="31.5">
      <c r="A120">
        <f t="shared" si="5"/>
        <v>108</v>
      </c>
      <c r="B120" s="68">
        <v>8720</v>
      </c>
      <c r="C120" s="67" t="s">
        <v>105</v>
      </c>
      <c r="D120" s="85"/>
      <c r="E120" s="86" t="e">
        <f>SUM(#REF!)</f>
        <v>#REF!</v>
      </c>
      <c r="F120" s="85"/>
      <c r="G120" s="86" t="e">
        <f>SUM(#REF!)</f>
        <v>#REF!</v>
      </c>
      <c r="H120" s="86" t="e">
        <f>SUM(#REF!)</f>
        <v>#REF!</v>
      </c>
      <c r="I120" s="86" t="e">
        <f>SUM(#REF!)</f>
        <v>#REF!</v>
      </c>
      <c r="J120" s="86" t="e">
        <f>SUM(#REF!+#REF!+#REF!+#REF!)</f>
        <v>#REF!</v>
      </c>
      <c r="K120" s="86" t="e">
        <f>SUM(#REF!)</f>
        <v>#REF!</v>
      </c>
      <c r="L120" s="86" t="e">
        <f>SUM(#REF!)</f>
        <v>#REF!</v>
      </c>
      <c r="M120" s="90"/>
      <c r="N120" s="86" t="e">
        <f t="shared" si="4"/>
        <v>#REF!</v>
      </c>
      <c r="P120" s="171">
        <v>8720</v>
      </c>
      <c r="Q120" s="171" t="s">
        <v>105</v>
      </c>
      <c r="R120" s="172">
        <v>5449.18</v>
      </c>
      <c r="S120" s="172" t="e">
        <f t="shared" si="3"/>
        <v>#REF!</v>
      </c>
      <c r="T120" s="194">
        <v>5500</v>
      </c>
      <c r="U120" s="209" t="e">
        <f t="shared" si="2"/>
        <v>#REF!</v>
      </c>
    </row>
    <row r="121" spans="1:21" ht="45.75">
      <c r="A121">
        <f t="shared" si="5"/>
        <v>109</v>
      </c>
      <c r="B121" s="68">
        <v>8730</v>
      </c>
      <c r="C121" s="67" t="s">
        <v>104</v>
      </c>
      <c r="D121" s="85"/>
      <c r="E121" s="86" t="e">
        <f>SUM(#REF!)</f>
        <v>#REF!</v>
      </c>
      <c r="F121" s="85"/>
      <c r="G121" s="86" t="e">
        <f>SUM(#REF!)</f>
        <v>#REF!</v>
      </c>
      <c r="H121" s="86" t="e">
        <f>SUM(#REF!)</f>
        <v>#REF!</v>
      </c>
      <c r="I121" s="86" t="e">
        <f>SUM(#REF!)</f>
        <v>#REF!</v>
      </c>
      <c r="J121" s="86" t="e">
        <f>SUM(#REF!+#REF!+#REF!+#REF!)</f>
        <v>#REF!</v>
      </c>
      <c r="K121" s="86" t="e">
        <f>SUM(#REF!)</f>
        <v>#REF!</v>
      </c>
      <c r="L121" s="86" t="e">
        <f>SUM(#REF!)</f>
        <v>#REF!</v>
      </c>
      <c r="M121" s="90"/>
      <c r="N121" s="86" t="e">
        <f t="shared" si="4"/>
        <v>#REF!</v>
      </c>
      <c r="P121" s="171">
        <v>8730</v>
      </c>
      <c r="Q121" s="171" t="s">
        <v>104</v>
      </c>
      <c r="R121" s="172">
        <v>11375.6</v>
      </c>
      <c r="S121" s="172" t="e">
        <f t="shared" si="3"/>
        <v>#REF!</v>
      </c>
      <c r="T121" s="194">
        <v>13000</v>
      </c>
      <c r="U121" s="209" t="e">
        <f t="shared" si="2"/>
        <v>#REF!</v>
      </c>
    </row>
    <row r="122" spans="1:21" ht="30.75">
      <c r="A122">
        <f t="shared" si="5"/>
        <v>110</v>
      </c>
      <c r="B122" s="68">
        <v>8740</v>
      </c>
      <c r="C122" s="67" t="s">
        <v>101</v>
      </c>
      <c r="D122" s="85"/>
      <c r="E122" s="86" t="e">
        <f>SUM(#REF!)</f>
        <v>#REF!</v>
      </c>
      <c r="F122" s="85"/>
      <c r="G122" s="86" t="e">
        <f>SUM(#REF!)</f>
        <v>#REF!</v>
      </c>
      <c r="H122" s="86" t="e">
        <f>SUM(#REF!)</f>
        <v>#REF!</v>
      </c>
      <c r="I122" s="86" t="e">
        <f>SUM(#REF!)</f>
        <v>#REF!</v>
      </c>
      <c r="J122" s="86" t="e">
        <f>SUM(#REF!+#REF!+#REF!+#REF!)</f>
        <v>#REF!</v>
      </c>
      <c r="K122" s="86" t="e">
        <f>SUM(#REF!)</f>
        <v>#REF!</v>
      </c>
      <c r="L122" s="86" t="e">
        <f>SUM(#REF!)</f>
        <v>#REF!</v>
      </c>
      <c r="M122" s="90"/>
      <c r="N122" s="86" t="e">
        <f t="shared" si="4"/>
        <v>#REF!</v>
      </c>
      <c r="P122" s="171">
        <v>8740</v>
      </c>
      <c r="Q122" s="171" t="s">
        <v>101</v>
      </c>
      <c r="R122" s="172">
        <v>6381.31</v>
      </c>
      <c r="S122" s="172" t="e">
        <f t="shared" si="3"/>
        <v>#REF!</v>
      </c>
      <c r="T122" s="194">
        <v>7000</v>
      </c>
      <c r="U122" s="209" t="e">
        <f t="shared" ref="U122:U156" si="6">S122/N122</f>
        <v>#REF!</v>
      </c>
    </row>
    <row r="123" spans="1:21" ht="31.5">
      <c r="A123">
        <f t="shared" si="5"/>
        <v>111</v>
      </c>
      <c r="B123" s="68">
        <v>8750</v>
      </c>
      <c r="C123" s="67" t="s">
        <v>103</v>
      </c>
      <c r="D123" s="85"/>
      <c r="E123" s="86" t="e">
        <f>SUM(#REF!)</f>
        <v>#REF!</v>
      </c>
      <c r="F123" s="85"/>
      <c r="G123" s="86" t="e">
        <f>SUM(#REF!)</f>
        <v>#REF!</v>
      </c>
      <c r="H123" s="86" t="e">
        <f>SUM(#REF!)</f>
        <v>#REF!</v>
      </c>
      <c r="I123" s="86" t="e">
        <f>SUM(#REF!)</f>
        <v>#REF!</v>
      </c>
      <c r="J123" s="86" t="e">
        <f>SUM(#REF!+#REF!+#REF!+#REF!)</f>
        <v>#REF!</v>
      </c>
      <c r="K123" s="86" t="e">
        <f>SUM(#REF!)</f>
        <v>#REF!</v>
      </c>
      <c r="L123" s="86" t="e">
        <f>SUM(#REF!)</f>
        <v>#REF!</v>
      </c>
      <c r="M123" s="90"/>
      <c r="N123" s="86" t="e">
        <f t="shared" si="4"/>
        <v>#REF!</v>
      </c>
      <c r="P123" s="171">
        <v>8750</v>
      </c>
      <c r="Q123" s="171" t="s">
        <v>103</v>
      </c>
      <c r="R123" s="172">
        <v>111052.9</v>
      </c>
      <c r="S123" s="172" t="e">
        <f t="shared" ref="S123:S156" si="7">N123-T123</f>
        <v>#REF!</v>
      </c>
      <c r="T123" s="194">
        <v>50000</v>
      </c>
      <c r="U123" s="209" t="e">
        <f t="shared" si="6"/>
        <v>#REF!</v>
      </c>
    </row>
    <row r="124" spans="1:21" ht="31.5">
      <c r="A124">
        <f t="shared" si="5"/>
        <v>112</v>
      </c>
      <c r="B124" s="68">
        <v>8751</v>
      </c>
      <c r="C124" s="67" t="s">
        <v>102</v>
      </c>
      <c r="D124" s="85"/>
      <c r="E124" s="86" t="e">
        <f>SUM(#REF!)</f>
        <v>#REF!</v>
      </c>
      <c r="F124" s="85"/>
      <c r="G124" s="86" t="e">
        <f>SUM(#REF!)</f>
        <v>#REF!</v>
      </c>
      <c r="H124" s="86" t="e">
        <f>SUM(#REF!)</f>
        <v>#REF!</v>
      </c>
      <c r="I124" s="86" t="e">
        <f>SUM(#REF!)</f>
        <v>#REF!</v>
      </c>
      <c r="J124" s="86" t="e">
        <f>SUM(#REF!+#REF!+#REF!+#REF!)</f>
        <v>#REF!</v>
      </c>
      <c r="K124" s="86" t="e">
        <f>SUM(#REF!)</f>
        <v>#REF!</v>
      </c>
      <c r="L124" s="86" t="e">
        <f>SUM(#REF!)</f>
        <v>#REF!</v>
      </c>
      <c r="M124" s="90"/>
      <c r="N124" s="86" t="e">
        <f t="shared" si="4"/>
        <v>#REF!</v>
      </c>
      <c r="P124" s="171">
        <v>8751</v>
      </c>
      <c r="Q124" s="171" t="s">
        <v>102</v>
      </c>
      <c r="R124" s="172">
        <v>0</v>
      </c>
      <c r="S124" s="172" t="e">
        <f t="shared" si="7"/>
        <v>#REF!</v>
      </c>
      <c r="T124" s="193">
        <v>0</v>
      </c>
      <c r="U124" s="209" t="e">
        <f t="shared" si="6"/>
        <v>#REF!</v>
      </c>
    </row>
    <row r="125" spans="1:21" ht="31.5">
      <c r="B125" s="68"/>
      <c r="C125" s="67"/>
      <c r="D125" s="85"/>
      <c r="E125" s="86"/>
      <c r="F125" s="85"/>
      <c r="G125" s="86"/>
      <c r="H125" s="86"/>
      <c r="I125" s="86"/>
      <c r="J125" s="86"/>
      <c r="K125" s="86"/>
      <c r="L125" s="86"/>
      <c r="M125" s="90"/>
      <c r="N125" s="86"/>
      <c r="P125" s="171">
        <v>8810</v>
      </c>
      <c r="Q125" s="171" t="s">
        <v>261</v>
      </c>
      <c r="R125" s="172">
        <f>1156+16242.27</f>
        <v>17398.27</v>
      </c>
      <c r="S125" s="172">
        <f t="shared" si="7"/>
        <v>-19600</v>
      </c>
      <c r="T125" s="194">
        <v>19600</v>
      </c>
      <c r="U125" s="209" t="e">
        <f t="shared" si="6"/>
        <v>#DIV/0!</v>
      </c>
    </row>
    <row r="126" spans="1:21" ht="45.75">
      <c r="A126">
        <f>+A124+1</f>
        <v>113</v>
      </c>
      <c r="B126" s="68">
        <v>8820</v>
      </c>
      <c r="C126" s="67" t="s">
        <v>100</v>
      </c>
      <c r="D126" s="85"/>
      <c r="E126" s="86" t="e">
        <f>SUM(#REF!)</f>
        <v>#REF!</v>
      </c>
      <c r="F126" s="85"/>
      <c r="G126" s="86" t="e">
        <f>SUM(#REF!)</f>
        <v>#REF!</v>
      </c>
      <c r="H126" s="86" t="e">
        <f>SUM(#REF!)</f>
        <v>#REF!</v>
      </c>
      <c r="I126" s="86" t="e">
        <f>SUM(#REF!)</f>
        <v>#REF!</v>
      </c>
      <c r="J126" s="86" t="e">
        <f>SUM(#REF!+#REF!+#REF!+#REF!)</f>
        <v>#REF!</v>
      </c>
      <c r="K126" s="86" t="e">
        <f>SUM(#REF!)</f>
        <v>#REF!</v>
      </c>
      <c r="L126" s="86" t="e">
        <f>SUM(#REF!)</f>
        <v>#REF!</v>
      </c>
      <c r="M126" s="90"/>
      <c r="N126" s="86" t="e">
        <f t="shared" si="4"/>
        <v>#REF!</v>
      </c>
      <c r="P126" s="171">
        <v>8820</v>
      </c>
      <c r="Q126" s="171" t="s">
        <v>262</v>
      </c>
      <c r="R126" s="172">
        <v>470</v>
      </c>
      <c r="S126" s="172" t="e">
        <f t="shared" si="7"/>
        <v>#REF!</v>
      </c>
      <c r="T126" s="194">
        <v>470</v>
      </c>
      <c r="U126" s="209" t="e">
        <f t="shared" si="6"/>
        <v>#REF!</v>
      </c>
    </row>
    <row r="127" spans="1:21" ht="31.5">
      <c r="A127">
        <f t="shared" si="5"/>
        <v>114</v>
      </c>
      <c r="B127" s="68">
        <v>8825</v>
      </c>
      <c r="C127" s="67" t="s">
        <v>99</v>
      </c>
      <c r="D127" s="85"/>
      <c r="E127" s="86" t="e">
        <f>SUM(#REF!)</f>
        <v>#REF!</v>
      </c>
      <c r="F127" s="85"/>
      <c r="G127" s="86" t="e">
        <f>SUM(#REF!)</f>
        <v>#REF!</v>
      </c>
      <c r="H127" s="86" t="e">
        <f>SUM(#REF!)</f>
        <v>#REF!</v>
      </c>
      <c r="I127" s="86" t="e">
        <f>SUM(#REF!)</f>
        <v>#REF!</v>
      </c>
      <c r="J127" s="86" t="e">
        <f>SUM(#REF!+#REF!+#REF!+#REF!)</f>
        <v>#REF!</v>
      </c>
      <c r="K127" s="86" t="e">
        <f>SUM(#REF!)</f>
        <v>#REF!</v>
      </c>
      <c r="L127" s="86" t="e">
        <f>SUM(#REF!)</f>
        <v>#REF!</v>
      </c>
      <c r="M127" s="90"/>
      <c r="N127" s="86" t="e">
        <f t="shared" si="4"/>
        <v>#REF!</v>
      </c>
      <c r="P127" s="171">
        <v>8825</v>
      </c>
      <c r="Q127" s="171" t="s">
        <v>263</v>
      </c>
      <c r="R127" s="172">
        <v>0</v>
      </c>
      <c r="S127" s="172" t="e">
        <f t="shared" si="7"/>
        <v>#REF!</v>
      </c>
      <c r="T127" s="194"/>
      <c r="U127" s="209" t="e">
        <f t="shared" si="6"/>
        <v>#REF!</v>
      </c>
    </row>
    <row r="128" spans="1:21" ht="31.5">
      <c r="A128">
        <f t="shared" si="5"/>
        <v>115</v>
      </c>
      <c r="B128" s="68">
        <v>8850</v>
      </c>
      <c r="C128" s="67" t="s">
        <v>98</v>
      </c>
      <c r="D128" s="85"/>
      <c r="E128" s="86" t="e">
        <f>SUM(#REF!)</f>
        <v>#REF!</v>
      </c>
      <c r="F128" s="85"/>
      <c r="G128" s="86" t="e">
        <f>SUM(#REF!)</f>
        <v>#REF!</v>
      </c>
      <c r="H128" s="86" t="e">
        <f>SUM(#REF!)</f>
        <v>#REF!</v>
      </c>
      <c r="I128" s="86" t="e">
        <f>SUM(#REF!)</f>
        <v>#REF!</v>
      </c>
      <c r="J128" s="86" t="e">
        <f>SUM(#REF!+#REF!+#REF!+#REF!)</f>
        <v>#REF!</v>
      </c>
      <c r="K128" s="86" t="e">
        <f>SUM(#REF!)</f>
        <v>#REF!</v>
      </c>
      <c r="L128" s="86" t="e">
        <f>SUM(#REF!)</f>
        <v>#REF!</v>
      </c>
      <c r="M128" s="90"/>
      <c r="N128" s="86" t="e">
        <f t="shared" si="4"/>
        <v>#REF!</v>
      </c>
      <c r="P128" s="171">
        <v>8850</v>
      </c>
      <c r="Q128" s="171" t="s">
        <v>98</v>
      </c>
      <c r="R128" s="172">
        <v>1229.95</v>
      </c>
      <c r="S128" s="172" t="e">
        <f t="shared" si="7"/>
        <v>#REF!</v>
      </c>
      <c r="T128" s="194">
        <v>1500</v>
      </c>
      <c r="U128" s="209" t="e">
        <f t="shared" si="6"/>
        <v>#REF!</v>
      </c>
    </row>
    <row r="129" spans="1:23">
      <c r="A129">
        <f t="shared" si="5"/>
        <v>116</v>
      </c>
      <c r="B129" s="68">
        <v>8910</v>
      </c>
      <c r="C129" s="67" t="s">
        <v>97</v>
      </c>
      <c r="D129" s="85"/>
      <c r="E129" s="86" t="e">
        <f>SUM(#REF!)</f>
        <v>#REF!</v>
      </c>
      <c r="F129" s="85"/>
      <c r="G129" s="86" t="e">
        <f>SUM(#REF!)</f>
        <v>#REF!</v>
      </c>
      <c r="H129" s="86" t="e">
        <f>SUM(#REF!)</f>
        <v>#REF!</v>
      </c>
      <c r="I129" s="86" t="e">
        <f>SUM(#REF!)</f>
        <v>#REF!</v>
      </c>
      <c r="J129" s="86" t="e">
        <f>SUM(#REF!+#REF!+#REF!+#REF!)</f>
        <v>#REF!</v>
      </c>
      <c r="K129" s="86" t="e">
        <f>SUM(#REF!)</f>
        <v>#REF!</v>
      </c>
      <c r="L129" s="86" t="e">
        <f>SUM(#REF!)</f>
        <v>#REF!</v>
      </c>
      <c r="M129" s="90"/>
      <c r="N129" s="86" t="e">
        <f t="shared" si="4"/>
        <v>#REF!</v>
      </c>
      <c r="P129" s="171">
        <v>8910</v>
      </c>
      <c r="Q129" s="171" t="s">
        <v>264</v>
      </c>
      <c r="R129" s="172">
        <v>54544.29</v>
      </c>
      <c r="S129" s="172" t="e">
        <f t="shared" si="7"/>
        <v>#REF!</v>
      </c>
      <c r="T129" s="194">
        <v>56000</v>
      </c>
      <c r="U129" s="209" t="e">
        <f t="shared" si="6"/>
        <v>#REF!</v>
      </c>
    </row>
    <row r="130" spans="1:23" ht="45.75">
      <c r="A130">
        <f t="shared" si="5"/>
        <v>117</v>
      </c>
      <c r="B130" s="68">
        <v>8911</v>
      </c>
      <c r="C130" s="67" t="s">
        <v>96</v>
      </c>
      <c r="D130" s="85"/>
      <c r="E130" s="86" t="e">
        <f>SUM(#REF!)</f>
        <v>#REF!</v>
      </c>
      <c r="F130" s="85"/>
      <c r="G130" s="86" t="e">
        <f>SUM(#REF!)</f>
        <v>#REF!</v>
      </c>
      <c r="H130" s="86" t="e">
        <f>SUM(#REF!)</f>
        <v>#REF!</v>
      </c>
      <c r="I130" s="86" t="e">
        <f>SUM(#REF!)</f>
        <v>#REF!</v>
      </c>
      <c r="J130" s="86" t="e">
        <f>SUM(#REF!+#REF!+#REF!+#REF!)</f>
        <v>#REF!</v>
      </c>
      <c r="K130" s="86" t="e">
        <f>SUM(#REF!)</f>
        <v>#REF!</v>
      </c>
      <c r="L130" s="86" t="e">
        <f>SUM(#REF!)</f>
        <v>#REF!</v>
      </c>
      <c r="M130" s="90"/>
      <c r="N130" s="86" t="e">
        <f t="shared" si="4"/>
        <v>#REF!</v>
      </c>
      <c r="P130" s="173"/>
      <c r="Q130" s="173"/>
      <c r="R130" s="173"/>
      <c r="S130" s="172" t="e">
        <f t="shared" si="7"/>
        <v>#REF!</v>
      </c>
      <c r="T130" s="193"/>
      <c r="U130" s="209" t="e">
        <f t="shared" si="6"/>
        <v>#REF!</v>
      </c>
    </row>
    <row r="131" spans="1:23" ht="30.75">
      <c r="A131">
        <f t="shared" si="5"/>
        <v>118</v>
      </c>
      <c r="B131" s="68">
        <v>8912</v>
      </c>
      <c r="C131" s="67" t="s">
        <v>95</v>
      </c>
      <c r="D131" s="85"/>
      <c r="E131" s="86" t="e">
        <f>SUM(#REF!)</f>
        <v>#REF!</v>
      </c>
      <c r="F131" s="85"/>
      <c r="G131" s="86" t="e">
        <f>SUM(#REF!)</f>
        <v>#REF!</v>
      </c>
      <c r="H131" s="86" t="e">
        <f>SUM(#REF!)</f>
        <v>#REF!</v>
      </c>
      <c r="I131" s="86" t="e">
        <f>SUM(#REF!)</f>
        <v>#REF!</v>
      </c>
      <c r="J131" s="86" t="e">
        <f>SUM(#REF!+#REF!+#REF!+#REF!)</f>
        <v>#REF!</v>
      </c>
      <c r="K131" s="86" t="e">
        <f>SUM(#REF!)</f>
        <v>#REF!</v>
      </c>
      <c r="L131" s="86" t="e">
        <f>SUM(#REF!)</f>
        <v>#REF!</v>
      </c>
      <c r="M131" s="90"/>
      <c r="N131" s="86" t="e">
        <f t="shared" si="4"/>
        <v>#REF!</v>
      </c>
      <c r="P131" s="173"/>
      <c r="Q131" s="173"/>
      <c r="R131" s="173"/>
      <c r="S131" s="172" t="e">
        <f t="shared" si="7"/>
        <v>#REF!</v>
      </c>
      <c r="T131" s="193"/>
      <c r="U131" s="209" t="e">
        <f t="shared" si="6"/>
        <v>#REF!</v>
      </c>
    </row>
    <row r="132" spans="1:23" ht="60.75">
      <c r="A132">
        <f t="shared" si="5"/>
        <v>119</v>
      </c>
      <c r="B132" s="68">
        <v>8920</v>
      </c>
      <c r="C132" s="67" t="s">
        <v>94</v>
      </c>
      <c r="D132" s="85"/>
      <c r="E132" s="86" t="e">
        <f>SUM(#REF!)</f>
        <v>#REF!</v>
      </c>
      <c r="F132" s="85"/>
      <c r="G132" s="86" t="e">
        <f>SUM(#REF!)</f>
        <v>#REF!</v>
      </c>
      <c r="H132" s="86" t="e">
        <f>SUM(#REF!)</f>
        <v>#REF!</v>
      </c>
      <c r="I132" s="86" t="e">
        <f>SUM(#REF!)</f>
        <v>#REF!</v>
      </c>
      <c r="J132" s="86" t="e">
        <f>SUM(#REF!+#REF!+#REF!+#REF!)</f>
        <v>#REF!</v>
      </c>
      <c r="K132" s="86" t="e">
        <f>SUM(#REF!)</f>
        <v>#REF!</v>
      </c>
      <c r="L132" s="86" t="e">
        <f>SUM(#REF!)</f>
        <v>#REF!</v>
      </c>
      <c r="M132" s="90"/>
      <c r="N132" s="86" t="e">
        <f t="shared" si="4"/>
        <v>#REF!</v>
      </c>
      <c r="P132" s="173"/>
      <c r="Q132" s="173"/>
      <c r="R132" s="173"/>
      <c r="S132" s="172" t="e">
        <f t="shared" si="7"/>
        <v>#REF!</v>
      </c>
      <c r="T132" s="193"/>
      <c r="U132" s="209" t="e">
        <f t="shared" si="6"/>
        <v>#REF!</v>
      </c>
    </row>
    <row r="133" spans="1:23" ht="30.75">
      <c r="A133">
        <f t="shared" si="5"/>
        <v>120</v>
      </c>
      <c r="B133" s="68">
        <v>8990</v>
      </c>
      <c r="C133" s="67" t="s">
        <v>93</v>
      </c>
      <c r="D133" s="85"/>
      <c r="E133" s="86" t="e">
        <f>SUM(#REF!)</f>
        <v>#REF!</v>
      </c>
      <c r="F133" s="85"/>
      <c r="G133" s="86" t="e">
        <f>SUM(#REF!)</f>
        <v>#REF!</v>
      </c>
      <c r="H133" s="86" t="e">
        <f>SUM(#REF!)</f>
        <v>#REF!</v>
      </c>
      <c r="I133" s="86" t="e">
        <f>SUM(#REF!)</f>
        <v>#REF!</v>
      </c>
      <c r="J133" s="86" t="e">
        <f>SUM(#REF!+#REF!+#REF!+#REF!)</f>
        <v>#REF!</v>
      </c>
      <c r="K133" s="86" t="e">
        <f>SUM(#REF!)</f>
        <v>#REF!</v>
      </c>
      <c r="L133" s="86" t="e">
        <f>SUM(#REF!)</f>
        <v>#REF!</v>
      </c>
      <c r="M133" s="90"/>
      <c r="N133" s="86" t="e">
        <f t="shared" si="4"/>
        <v>#REF!</v>
      </c>
      <c r="P133" s="173"/>
      <c r="Q133" s="173"/>
      <c r="R133" s="173"/>
      <c r="S133" s="172" t="e">
        <f t="shared" si="7"/>
        <v>#REF!</v>
      </c>
      <c r="T133" s="193"/>
      <c r="U133" s="209" t="e">
        <f t="shared" si="6"/>
        <v>#REF!</v>
      </c>
    </row>
    <row r="134" spans="1:23" ht="31.5">
      <c r="A134">
        <f t="shared" si="5"/>
        <v>121</v>
      </c>
      <c r="B134" s="68">
        <v>8995</v>
      </c>
      <c r="C134" s="67" t="s">
        <v>92</v>
      </c>
      <c r="D134" s="85"/>
      <c r="E134" s="86" t="e">
        <f>SUM(#REF!)</f>
        <v>#REF!</v>
      </c>
      <c r="F134" s="85"/>
      <c r="G134" s="86" t="e">
        <f>SUM(#REF!)</f>
        <v>#REF!</v>
      </c>
      <c r="H134" s="86" t="e">
        <f>SUM(#REF!)</f>
        <v>#REF!</v>
      </c>
      <c r="I134" s="86" t="e">
        <f>SUM(#REF!)</f>
        <v>#REF!</v>
      </c>
      <c r="J134" s="86" t="e">
        <f>SUM(#REF!+#REF!+#REF!+#REF!)</f>
        <v>#REF!</v>
      </c>
      <c r="K134" s="86" t="e">
        <f>SUM(#REF!)</f>
        <v>#REF!</v>
      </c>
      <c r="L134" s="86" t="e">
        <f>SUM(#REF!)</f>
        <v>#REF!</v>
      </c>
      <c r="M134" s="90"/>
      <c r="N134" s="86" t="e">
        <f t="shared" si="4"/>
        <v>#REF!</v>
      </c>
      <c r="P134" s="171">
        <v>8995</v>
      </c>
      <c r="Q134" s="171" t="s">
        <v>92</v>
      </c>
      <c r="R134" s="172">
        <v>519</v>
      </c>
      <c r="S134" s="172" t="e">
        <f t="shared" si="7"/>
        <v>#REF!</v>
      </c>
      <c r="T134" s="193">
        <v>0</v>
      </c>
      <c r="U134" s="209" t="e">
        <f t="shared" si="6"/>
        <v>#REF!</v>
      </c>
    </row>
    <row r="135" spans="1:23" ht="31.5">
      <c r="A135">
        <f t="shared" si="5"/>
        <v>122</v>
      </c>
      <c r="B135" s="68">
        <v>9210</v>
      </c>
      <c r="C135" s="67" t="s">
        <v>91</v>
      </c>
      <c r="D135" s="85"/>
      <c r="E135" s="86" t="e">
        <f>SUM(#REF!)</f>
        <v>#REF!</v>
      </c>
      <c r="F135" s="85"/>
      <c r="G135" s="86" t="e">
        <f>SUM(#REF!)</f>
        <v>#REF!</v>
      </c>
      <c r="H135" s="86" t="e">
        <f>SUM(#REF!)</f>
        <v>#REF!</v>
      </c>
      <c r="I135" s="86" t="e">
        <f>SUM(#REF!)</f>
        <v>#REF!</v>
      </c>
      <c r="J135" s="86" t="e">
        <f>SUM(#REF!+#REF!+#REF!+#REF!)</f>
        <v>#REF!</v>
      </c>
      <c r="K135" s="86" t="e">
        <f>SUM(#REF!)</f>
        <v>#REF!</v>
      </c>
      <c r="L135" s="86" t="e">
        <f>SUM(#REF!)</f>
        <v>#REF!</v>
      </c>
      <c r="M135" s="90"/>
      <c r="N135" s="86">
        <v>26300</v>
      </c>
      <c r="P135" s="171">
        <v>9210</v>
      </c>
      <c r="Q135" s="171" t="s">
        <v>265</v>
      </c>
      <c r="R135" s="172">
        <v>9353.43</v>
      </c>
      <c r="S135" s="172">
        <f t="shared" si="7"/>
        <v>-1900</v>
      </c>
      <c r="T135" s="194">
        <v>28200</v>
      </c>
      <c r="U135" s="209">
        <f t="shared" si="6"/>
        <v>-7.2243346007604556E-2</v>
      </c>
      <c r="V135" s="210">
        <f>T135-N135</f>
        <v>1900</v>
      </c>
      <c r="W135" s="209">
        <f>V135/N135</f>
        <v>7.2243346007604556E-2</v>
      </c>
    </row>
    <row r="136" spans="1:23" ht="31.5">
      <c r="A136">
        <f t="shared" si="5"/>
        <v>123</v>
      </c>
      <c r="B136" s="68">
        <v>9310</v>
      </c>
      <c r="C136" s="67" t="s">
        <v>90</v>
      </c>
      <c r="D136" s="85"/>
      <c r="E136" s="86" t="e">
        <f>SUM(#REF!)</f>
        <v>#REF!</v>
      </c>
      <c r="F136" s="85"/>
      <c r="G136" s="86" t="e">
        <f>SUM(#REF!)</f>
        <v>#REF!</v>
      </c>
      <c r="H136" s="86" t="e">
        <f>SUM(#REF!)</f>
        <v>#REF!</v>
      </c>
      <c r="I136" s="86" t="e">
        <f>SUM(#REF!)</f>
        <v>#REF!</v>
      </c>
      <c r="J136" s="86" t="e">
        <f>SUM(#REF!+#REF!+#REF!+#REF!)</f>
        <v>#REF!</v>
      </c>
      <c r="K136" s="86" t="e">
        <f>SUM(#REF!)</f>
        <v>#REF!</v>
      </c>
      <c r="L136" s="86" t="e">
        <f>SUM(#REF!)</f>
        <v>#REF!</v>
      </c>
      <c r="M136" s="90"/>
      <c r="N136" s="86" t="e">
        <f t="shared" si="4"/>
        <v>#REF!</v>
      </c>
      <c r="P136" s="171">
        <v>9310</v>
      </c>
      <c r="Q136" s="171" t="s">
        <v>266</v>
      </c>
      <c r="R136" s="172">
        <v>102086.66</v>
      </c>
      <c r="S136" s="172" t="e">
        <f t="shared" si="7"/>
        <v>#REF!</v>
      </c>
      <c r="T136" s="194">
        <v>103000</v>
      </c>
      <c r="U136" s="209" t="e">
        <f t="shared" si="6"/>
        <v>#REF!</v>
      </c>
      <c r="V136" s="164" t="e">
        <f>SUM(N136:N140)</f>
        <v>#REF!</v>
      </c>
    </row>
    <row r="137" spans="1:23">
      <c r="A137">
        <f t="shared" si="5"/>
        <v>124</v>
      </c>
      <c r="B137" s="68">
        <v>9320</v>
      </c>
      <c r="C137" s="67" t="s">
        <v>89</v>
      </c>
      <c r="D137" s="85"/>
      <c r="E137" s="86" t="e">
        <f>SUM(#REF!)</f>
        <v>#REF!</v>
      </c>
      <c r="F137" s="85"/>
      <c r="G137" s="86" t="e">
        <f>SUM(#REF!)</f>
        <v>#REF!</v>
      </c>
      <c r="H137" s="86" t="e">
        <f>SUM(#REF!)</f>
        <v>#REF!</v>
      </c>
      <c r="I137" s="86" t="e">
        <f>SUM(#REF!)</f>
        <v>#REF!</v>
      </c>
      <c r="J137" s="86" t="e">
        <f>SUM(#REF!+#REF!+#REF!+#REF!)</f>
        <v>#REF!</v>
      </c>
      <c r="K137" s="86" t="e">
        <f>SUM(#REF!)</f>
        <v>#REF!</v>
      </c>
      <c r="L137" s="86" t="e">
        <f>SUM(#REF!)</f>
        <v>#REF!</v>
      </c>
      <c r="M137" s="90"/>
      <c r="N137" s="86" t="e">
        <f t="shared" si="4"/>
        <v>#REF!</v>
      </c>
      <c r="P137" s="171">
        <v>9320</v>
      </c>
      <c r="Q137" s="171" t="s">
        <v>267</v>
      </c>
      <c r="R137" s="172">
        <v>2127</v>
      </c>
      <c r="S137" s="172" t="e">
        <f t="shared" si="7"/>
        <v>#REF!</v>
      </c>
      <c r="T137" s="194">
        <v>2500</v>
      </c>
      <c r="U137" s="209" t="e">
        <f t="shared" si="6"/>
        <v>#REF!</v>
      </c>
      <c r="V137" s="211">
        <f>SUM(R136:R140)</f>
        <v>122440.76</v>
      </c>
    </row>
    <row r="138" spans="1:23" ht="31.5">
      <c r="A138">
        <f t="shared" si="5"/>
        <v>125</v>
      </c>
      <c r="B138" s="68">
        <v>9330</v>
      </c>
      <c r="C138" s="67" t="s">
        <v>88</v>
      </c>
      <c r="D138" s="85"/>
      <c r="E138" s="86" t="e">
        <f>SUM(#REF!)</f>
        <v>#REF!</v>
      </c>
      <c r="F138" s="85"/>
      <c r="G138" s="86" t="e">
        <f>SUM(#REF!)</f>
        <v>#REF!</v>
      </c>
      <c r="H138" s="86" t="e">
        <f>SUM(#REF!)</f>
        <v>#REF!</v>
      </c>
      <c r="I138" s="86" t="e">
        <f>SUM(#REF!)</f>
        <v>#REF!</v>
      </c>
      <c r="J138" s="86" t="e">
        <f>SUM(#REF!+#REF!+#REF!+#REF!)</f>
        <v>#REF!</v>
      </c>
      <c r="K138" s="86" t="e">
        <f>SUM(#REF!)</f>
        <v>#REF!</v>
      </c>
      <c r="L138" s="86" t="e">
        <f>SUM(#REF!)</f>
        <v>#REF!</v>
      </c>
      <c r="M138" s="90"/>
      <c r="N138" s="86" t="e">
        <f t="shared" si="4"/>
        <v>#REF!</v>
      </c>
      <c r="P138" s="171">
        <v>9330</v>
      </c>
      <c r="Q138" s="171" t="s">
        <v>275</v>
      </c>
      <c r="R138" s="172">
        <v>9888.34</v>
      </c>
      <c r="S138" s="172" t="e">
        <f t="shared" si="7"/>
        <v>#REF!</v>
      </c>
      <c r="T138" s="194">
        <v>10000</v>
      </c>
      <c r="U138" s="209" t="e">
        <f t="shared" si="6"/>
        <v>#REF!</v>
      </c>
      <c r="V138" s="211" t="e">
        <f>V136-V137</f>
        <v>#REF!</v>
      </c>
    </row>
    <row r="139" spans="1:23" ht="31.5">
      <c r="A139">
        <f t="shared" si="5"/>
        <v>126</v>
      </c>
      <c r="B139" s="68">
        <v>9340</v>
      </c>
      <c r="C139" s="67" t="s">
        <v>87</v>
      </c>
      <c r="D139" s="85"/>
      <c r="E139" s="86" t="e">
        <f>SUM(#REF!)</f>
        <v>#REF!</v>
      </c>
      <c r="F139" s="85"/>
      <c r="G139" s="86" t="e">
        <f>SUM(#REF!)</f>
        <v>#REF!</v>
      </c>
      <c r="H139" s="86" t="e">
        <f>SUM(#REF!)</f>
        <v>#REF!</v>
      </c>
      <c r="I139" s="86" t="e">
        <f>SUM(#REF!)</f>
        <v>#REF!</v>
      </c>
      <c r="J139" s="86" t="e">
        <f>SUM(#REF!+#REF!+#REF!+#REF!)</f>
        <v>#REF!</v>
      </c>
      <c r="K139" s="86" t="e">
        <f>SUM(#REF!)</f>
        <v>#REF!</v>
      </c>
      <c r="L139" s="86" t="e">
        <f>SUM(#REF!)</f>
        <v>#REF!</v>
      </c>
      <c r="M139" s="90"/>
      <c r="N139" s="86" t="e">
        <f t="shared" si="4"/>
        <v>#REF!</v>
      </c>
      <c r="P139" s="171">
        <v>9340</v>
      </c>
      <c r="Q139" s="171" t="s">
        <v>268</v>
      </c>
      <c r="R139" s="172">
        <v>1268.17</v>
      </c>
      <c r="S139" s="172" t="e">
        <f t="shared" si="7"/>
        <v>#REF!</v>
      </c>
      <c r="T139" s="194">
        <v>1300</v>
      </c>
      <c r="U139" s="209" t="e">
        <f t="shared" si="6"/>
        <v>#REF!</v>
      </c>
      <c r="V139" t="e">
        <f>V138/V136</f>
        <v>#REF!</v>
      </c>
    </row>
    <row r="140" spans="1:23" ht="31.5">
      <c r="A140">
        <f t="shared" si="5"/>
        <v>127</v>
      </c>
      <c r="B140" s="68">
        <v>9350</v>
      </c>
      <c r="C140" s="67" t="s">
        <v>86</v>
      </c>
      <c r="D140" s="85"/>
      <c r="E140" s="86" t="e">
        <f>SUM(#REF!)</f>
        <v>#REF!</v>
      </c>
      <c r="F140" s="85"/>
      <c r="G140" s="86" t="e">
        <f>SUM(#REF!)</f>
        <v>#REF!</v>
      </c>
      <c r="H140" s="86" t="e">
        <f>SUM(#REF!)</f>
        <v>#REF!</v>
      </c>
      <c r="I140" s="86" t="e">
        <f>SUM(#REF!)</f>
        <v>#REF!</v>
      </c>
      <c r="J140" s="86" t="e">
        <f>SUM(#REF!+#REF!+#REF!+#REF!)</f>
        <v>#REF!</v>
      </c>
      <c r="K140" s="86" t="e">
        <f>SUM(#REF!)</f>
        <v>#REF!</v>
      </c>
      <c r="L140" s="86" t="e">
        <f>SUM(#REF!)</f>
        <v>#REF!</v>
      </c>
      <c r="M140" s="90"/>
      <c r="N140" s="86" t="e">
        <f t="shared" si="4"/>
        <v>#REF!</v>
      </c>
      <c r="P140" s="171">
        <v>9350</v>
      </c>
      <c r="Q140" s="171" t="s">
        <v>269</v>
      </c>
      <c r="R140" s="172">
        <v>7070.59</v>
      </c>
      <c r="S140" s="172" t="e">
        <f t="shared" si="7"/>
        <v>#REF!</v>
      </c>
      <c r="T140" s="194">
        <v>7100</v>
      </c>
      <c r="U140" s="209" t="e">
        <f t="shared" si="6"/>
        <v>#REF!</v>
      </c>
    </row>
    <row r="141" spans="1:23">
      <c r="A141">
        <f t="shared" si="5"/>
        <v>128</v>
      </c>
      <c r="B141" s="68">
        <v>9360</v>
      </c>
      <c r="C141" s="67" t="s">
        <v>85</v>
      </c>
      <c r="D141" s="85"/>
      <c r="E141" s="86" t="e">
        <f>SUM(#REF!)</f>
        <v>#REF!</v>
      </c>
      <c r="F141" s="85"/>
      <c r="G141" s="86" t="e">
        <f>SUM(#REF!)</f>
        <v>#REF!</v>
      </c>
      <c r="H141" s="86" t="e">
        <f>SUM(#REF!)</f>
        <v>#REF!</v>
      </c>
      <c r="I141" s="86" t="e">
        <f>SUM(#REF!)</f>
        <v>#REF!</v>
      </c>
      <c r="J141" s="86" t="e">
        <f>SUM(#REF!+#REF!+#REF!+#REF!)</f>
        <v>#REF!</v>
      </c>
      <c r="K141" s="86" t="e">
        <f>SUM(#REF!)</f>
        <v>#REF!</v>
      </c>
      <c r="L141" s="86" t="e">
        <f>SUM(#REF!)</f>
        <v>#REF!</v>
      </c>
      <c r="M141" s="90"/>
      <c r="N141" s="86" t="e">
        <f t="shared" si="4"/>
        <v>#REF!</v>
      </c>
      <c r="P141" s="173"/>
      <c r="Q141" s="173"/>
      <c r="R141" s="173"/>
      <c r="S141" s="172" t="e">
        <f t="shared" si="7"/>
        <v>#REF!</v>
      </c>
      <c r="T141" s="193"/>
      <c r="U141" s="209" t="e">
        <f t="shared" si="6"/>
        <v>#REF!</v>
      </c>
    </row>
    <row r="142" spans="1:23" ht="47.25">
      <c r="B142" s="68"/>
      <c r="C142" s="67"/>
      <c r="D142" s="85"/>
      <c r="E142" s="86"/>
      <c r="F142" s="85"/>
      <c r="G142" s="86"/>
      <c r="H142" s="86"/>
      <c r="I142" s="86"/>
      <c r="J142" s="86"/>
      <c r="K142" s="86"/>
      <c r="L142" s="86"/>
      <c r="M142" s="90"/>
      <c r="N142" s="86"/>
      <c r="P142" s="171">
        <v>9401</v>
      </c>
      <c r="Q142" s="171" t="s">
        <v>270</v>
      </c>
      <c r="R142" s="172">
        <v>144.5</v>
      </c>
      <c r="S142" s="172">
        <f t="shared" si="7"/>
        <v>0</v>
      </c>
      <c r="T142" s="193">
        <v>0</v>
      </c>
      <c r="U142" s="209" t="e">
        <f t="shared" si="6"/>
        <v>#DIV/0!</v>
      </c>
    </row>
    <row r="143" spans="1:23">
      <c r="B143" s="68"/>
      <c r="C143" s="67"/>
      <c r="D143" s="85"/>
      <c r="E143" s="86"/>
      <c r="F143" s="85"/>
      <c r="G143" s="86"/>
      <c r="H143" s="86"/>
      <c r="I143" s="86"/>
      <c r="J143" s="86"/>
      <c r="K143" s="86"/>
      <c r="L143" s="86"/>
      <c r="M143" s="90"/>
      <c r="N143" s="86"/>
      <c r="P143" s="171">
        <v>9402</v>
      </c>
      <c r="Q143" s="171" t="s">
        <v>239</v>
      </c>
      <c r="R143" s="172">
        <v>419</v>
      </c>
      <c r="S143" s="172">
        <f t="shared" si="7"/>
        <v>-500</v>
      </c>
      <c r="T143" s="194">
        <v>500</v>
      </c>
      <c r="U143" s="209" t="e">
        <f t="shared" si="6"/>
        <v>#DIV/0!</v>
      </c>
    </row>
    <row r="144" spans="1:23" ht="30.75">
      <c r="A144">
        <f>+A141+1</f>
        <v>129</v>
      </c>
      <c r="B144" s="68">
        <v>9410</v>
      </c>
      <c r="C144" s="67" t="s">
        <v>84</v>
      </c>
      <c r="D144" s="85"/>
      <c r="E144" s="86" t="e">
        <f>SUM(#REF!)</f>
        <v>#REF!</v>
      </c>
      <c r="F144" s="85"/>
      <c r="G144" s="86" t="e">
        <f>SUM(#REF!)</f>
        <v>#REF!</v>
      </c>
      <c r="H144" s="86" t="e">
        <f>SUM(#REF!)</f>
        <v>#REF!</v>
      </c>
      <c r="I144" s="86" t="e">
        <f>SUM(#REF!)</f>
        <v>#REF!</v>
      </c>
      <c r="J144" s="86" t="e">
        <f>SUM(#REF!+#REF!+#REF!+#REF!)</f>
        <v>#REF!</v>
      </c>
      <c r="K144" s="86" t="e">
        <f>SUM(#REF!)</f>
        <v>#REF!</v>
      </c>
      <c r="L144" s="86" t="e">
        <f>SUM(#REF!)</f>
        <v>#REF!</v>
      </c>
      <c r="M144" s="90"/>
      <c r="N144" s="86" t="e">
        <f t="shared" si="4"/>
        <v>#REF!</v>
      </c>
      <c r="P144" s="171">
        <v>9410</v>
      </c>
      <c r="Q144" s="171" t="s">
        <v>84</v>
      </c>
      <c r="R144" s="172">
        <v>17205.37</v>
      </c>
      <c r="S144" s="172" t="e">
        <f t="shared" si="7"/>
        <v>#REF!</v>
      </c>
      <c r="T144" s="194">
        <v>17000</v>
      </c>
      <c r="U144" s="209" t="e">
        <f t="shared" si="6"/>
        <v>#REF!</v>
      </c>
    </row>
    <row r="145" spans="1:21">
      <c r="A145">
        <f t="shared" si="5"/>
        <v>130</v>
      </c>
      <c r="B145" s="68">
        <v>9415</v>
      </c>
      <c r="C145" s="67" t="s">
        <v>83</v>
      </c>
      <c r="D145" s="85"/>
      <c r="E145" s="86" t="e">
        <f>SUM(#REF!)</f>
        <v>#REF!</v>
      </c>
      <c r="F145" s="85"/>
      <c r="G145" s="86" t="e">
        <f>SUM(#REF!)</f>
        <v>#REF!</v>
      </c>
      <c r="H145" s="86" t="e">
        <f>SUM(#REF!)</f>
        <v>#REF!</v>
      </c>
      <c r="I145" s="86" t="e">
        <f>SUM(#REF!)</f>
        <v>#REF!</v>
      </c>
      <c r="J145" s="86" t="e">
        <f>SUM(#REF!+#REF!+#REF!+#REF!)</f>
        <v>#REF!</v>
      </c>
      <c r="K145" s="86" t="e">
        <f>SUM(#REF!)</f>
        <v>#REF!</v>
      </c>
      <c r="L145" s="86" t="e">
        <f>SUM(#REF!)</f>
        <v>#REF!</v>
      </c>
      <c r="M145" s="90"/>
      <c r="N145" s="86" t="e">
        <f t="shared" si="4"/>
        <v>#REF!</v>
      </c>
      <c r="P145" s="171">
        <v>9415</v>
      </c>
      <c r="Q145" s="171" t="s">
        <v>83</v>
      </c>
      <c r="R145" s="172">
        <v>11860.95</v>
      </c>
      <c r="S145" s="172" t="e">
        <f t="shared" si="7"/>
        <v>#REF!</v>
      </c>
      <c r="T145" s="194">
        <v>12000</v>
      </c>
      <c r="U145" s="209" t="e">
        <f t="shared" si="6"/>
        <v>#REF!</v>
      </c>
    </row>
    <row r="146" spans="1:21">
      <c r="A146">
        <f t="shared" si="5"/>
        <v>131</v>
      </c>
      <c r="B146" s="68">
        <v>9420</v>
      </c>
      <c r="C146" s="67" t="s">
        <v>82</v>
      </c>
      <c r="D146" s="85"/>
      <c r="E146" s="86" t="e">
        <f>SUM(#REF!)</f>
        <v>#REF!</v>
      </c>
      <c r="F146" s="85"/>
      <c r="G146" s="86" t="e">
        <f>SUM(#REF!)</f>
        <v>#REF!</v>
      </c>
      <c r="H146" s="86" t="e">
        <f>SUM(#REF!)</f>
        <v>#REF!</v>
      </c>
      <c r="I146" s="86" t="e">
        <f>SUM(#REF!)</f>
        <v>#REF!</v>
      </c>
      <c r="J146" s="86" t="e">
        <f>SUM(#REF!+#REF!+#REF!+#REF!)</f>
        <v>#REF!</v>
      </c>
      <c r="K146" s="86" t="e">
        <f>SUM(#REF!)</f>
        <v>#REF!</v>
      </c>
      <c r="L146" s="86" t="e">
        <f>SUM(#REF!)</f>
        <v>#REF!</v>
      </c>
      <c r="M146" s="90"/>
      <c r="N146" s="86" t="e">
        <f t="shared" si="4"/>
        <v>#REF!</v>
      </c>
      <c r="P146" s="171">
        <v>9420</v>
      </c>
      <c r="Q146" s="171" t="s">
        <v>82</v>
      </c>
      <c r="R146" s="172">
        <v>3.5</v>
      </c>
      <c r="S146" s="172" t="e">
        <f t="shared" si="7"/>
        <v>#REF!</v>
      </c>
      <c r="T146" s="193"/>
      <c r="U146" s="209" t="e">
        <f t="shared" si="6"/>
        <v>#REF!</v>
      </c>
    </row>
    <row r="147" spans="1:21" ht="47.25">
      <c r="B147" s="68"/>
      <c r="C147" s="67"/>
      <c r="D147" s="85"/>
      <c r="E147" s="86"/>
      <c r="F147" s="85"/>
      <c r="G147" s="86"/>
      <c r="H147" s="86"/>
      <c r="I147" s="86"/>
      <c r="J147" s="86"/>
      <c r="K147" s="86"/>
      <c r="L147" s="86"/>
      <c r="M147" s="90"/>
      <c r="N147" s="86"/>
      <c r="P147" s="171">
        <v>9425</v>
      </c>
      <c r="Q147" s="171" t="s">
        <v>271</v>
      </c>
      <c r="R147" s="172">
        <v>146.29</v>
      </c>
      <c r="S147" s="172">
        <f t="shared" si="7"/>
        <v>0</v>
      </c>
      <c r="T147" s="193">
        <v>0</v>
      </c>
      <c r="U147" s="209" t="e">
        <f t="shared" si="6"/>
        <v>#DIV/0!</v>
      </c>
    </row>
    <row r="148" spans="1:21">
      <c r="A148">
        <f>+A146+1</f>
        <v>132</v>
      </c>
      <c r="B148" s="68">
        <v>9430</v>
      </c>
      <c r="C148" s="67" t="s">
        <v>81</v>
      </c>
      <c r="D148" s="85"/>
      <c r="E148" s="86" t="e">
        <f>SUM(#REF!)</f>
        <v>#REF!</v>
      </c>
      <c r="F148" s="85"/>
      <c r="G148" s="86" t="e">
        <f>SUM(#REF!)</f>
        <v>#REF!</v>
      </c>
      <c r="H148" s="86" t="e">
        <f>SUM(#REF!)</f>
        <v>#REF!</v>
      </c>
      <c r="I148" s="86" t="e">
        <f>SUM(#REF!)</f>
        <v>#REF!</v>
      </c>
      <c r="J148" s="86" t="e">
        <f>SUM(#REF!+#REF!+#REF!+#REF!)</f>
        <v>#REF!</v>
      </c>
      <c r="K148" s="86" t="e">
        <f>SUM(#REF!)</f>
        <v>#REF!</v>
      </c>
      <c r="L148" s="86" t="e">
        <f>SUM(#REF!)</f>
        <v>#REF!</v>
      </c>
      <c r="M148" s="90"/>
      <c r="N148" s="86" t="e">
        <f t="shared" si="4"/>
        <v>#REF!</v>
      </c>
      <c r="P148" s="171">
        <v>9430</v>
      </c>
      <c r="Q148" s="171" t="s">
        <v>272</v>
      </c>
      <c r="R148" s="172">
        <v>196.8</v>
      </c>
      <c r="S148" s="172" t="e">
        <f t="shared" si="7"/>
        <v>#REF!</v>
      </c>
      <c r="T148" s="194">
        <v>200</v>
      </c>
      <c r="U148" s="209" t="e">
        <f t="shared" si="6"/>
        <v>#REF!</v>
      </c>
    </row>
    <row r="149" spans="1:21">
      <c r="A149">
        <f t="shared" si="5"/>
        <v>133</v>
      </c>
      <c r="B149" s="68">
        <v>9440</v>
      </c>
      <c r="C149" s="67" t="s">
        <v>80</v>
      </c>
      <c r="D149" s="85"/>
      <c r="E149" s="86" t="e">
        <f>SUM(#REF!)</f>
        <v>#REF!</v>
      </c>
      <c r="F149" s="85"/>
      <c r="G149" s="86" t="e">
        <f>SUM(#REF!)</f>
        <v>#REF!</v>
      </c>
      <c r="H149" s="86" t="e">
        <f>SUM(#REF!)</f>
        <v>#REF!</v>
      </c>
      <c r="I149" s="86" t="e">
        <f>SUM(#REF!)</f>
        <v>#REF!</v>
      </c>
      <c r="J149" s="86" t="e">
        <f>SUM(#REF!+#REF!+#REF!+#REF!)</f>
        <v>#REF!</v>
      </c>
      <c r="K149" s="86" t="e">
        <f>SUM(#REF!)</f>
        <v>#REF!</v>
      </c>
      <c r="L149" s="86" t="e">
        <f>SUM(#REF!)</f>
        <v>#REF!</v>
      </c>
      <c r="M149" s="90"/>
      <c r="N149" s="86" t="e">
        <f t="shared" ref="N149:N166" si="8">SUM(E149:M149)</f>
        <v>#REF!</v>
      </c>
      <c r="P149" s="171">
        <v>9440</v>
      </c>
      <c r="Q149" s="171" t="s">
        <v>80</v>
      </c>
      <c r="R149" s="172">
        <v>1165.25</v>
      </c>
      <c r="S149" s="172" t="e">
        <f t="shared" si="7"/>
        <v>#REF!</v>
      </c>
      <c r="T149" s="194">
        <v>1200</v>
      </c>
      <c r="U149" s="209" t="e">
        <f t="shared" si="6"/>
        <v>#REF!</v>
      </c>
    </row>
    <row r="150" spans="1:21">
      <c r="A150">
        <f t="shared" ref="A150:A167" si="9">+A149+1</f>
        <v>134</v>
      </c>
      <c r="B150" s="68">
        <v>9450</v>
      </c>
      <c r="C150" s="67" t="s">
        <v>79</v>
      </c>
      <c r="D150" s="85"/>
      <c r="E150" s="86" t="e">
        <f>SUM(#REF!)</f>
        <v>#REF!</v>
      </c>
      <c r="F150" s="85"/>
      <c r="G150" s="86" t="e">
        <f>SUM(#REF!)</f>
        <v>#REF!</v>
      </c>
      <c r="H150" s="86" t="e">
        <f>SUM(#REF!)</f>
        <v>#REF!</v>
      </c>
      <c r="I150" s="86" t="e">
        <f>SUM(#REF!)</f>
        <v>#REF!</v>
      </c>
      <c r="J150" s="86" t="e">
        <f>SUM(#REF!+#REF!+#REF!+#REF!)</f>
        <v>#REF!</v>
      </c>
      <c r="K150" s="86" t="e">
        <f>SUM(#REF!)</f>
        <v>#REF!</v>
      </c>
      <c r="L150" s="86" t="e">
        <f>SUM(#REF!)</f>
        <v>#REF!</v>
      </c>
      <c r="M150" s="90"/>
      <c r="N150" s="86" t="e">
        <f t="shared" si="8"/>
        <v>#REF!</v>
      </c>
      <c r="P150" s="171">
        <v>9450</v>
      </c>
      <c r="Q150" s="171" t="s">
        <v>79</v>
      </c>
      <c r="R150" s="172"/>
      <c r="S150" s="172" t="e">
        <f t="shared" si="7"/>
        <v>#REF!</v>
      </c>
      <c r="T150" s="193"/>
      <c r="U150" s="209" t="e">
        <f t="shared" si="6"/>
        <v>#REF!</v>
      </c>
    </row>
    <row r="151" spans="1:21">
      <c r="A151">
        <f t="shared" si="9"/>
        <v>135</v>
      </c>
      <c r="B151" s="68">
        <v>9490</v>
      </c>
      <c r="C151" s="67" t="s">
        <v>78</v>
      </c>
      <c r="D151" s="85"/>
      <c r="E151" s="86" t="e">
        <f>SUM(#REF!)</f>
        <v>#REF!</v>
      </c>
      <c r="F151" s="85"/>
      <c r="G151" s="86" t="e">
        <f>SUM(#REF!)</f>
        <v>#REF!</v>
      </c>
      <c r="H151" s="86" t="e">
        <f>SUM(#REF!)</f>
        <v>#REF!</v>
      </c>
      <c r="I151" s="86" t="e">
        <f>SUM(#REF!)</f>
        <v>#REF!</v>
      </c>
      <c r="J151" s="86" t="e">
        <f>SUM(#REF!+#REF!+#REF!+#REF!)</f>
        <v>#REF!</v>
      </c>
      <c r="K151" s="86" t="e">
        <f>SUM(#REF!)</f>
        <v>#REF!</v>
      </c>
      <c r="L151" s="86" t="e">
        <f>SUM(#REF!)</f>
        <v>#REF!</v>
      </c>
      <c r="M151" s="90"/>
      <c r="N151" s="86" t="e">
        <f t="shared" si="8"/>
        <v>#REF!</v>
      </c>
      <c r="P151" s="173"/>
      <c r="Q151" s="173"/>
      <c r="R151" s="173"/>
      <c r="S151" s="172" t="e">
        <f t="shared" si="7"/>
        <v>#REF!</v>
      </c>
      <c r="T151" s="193"/>
      <c r="U151" s="209" t="e">
        <f t="shared" si="6"/>
        <v>#REF!</v>
      </c>
    </row>
    <row r="152" spans="1:21" ht="30.75">
      <c r="A152">
        <f t="shared" si="9"/>
        <v>136</v>
      </c>
      <c r="B152" s="68">
        <v>9499</v>
      </c>
      <c r="C152" s="67" t="s">
        <v>77</v>
      </c>
      <c r="D152" s="85"/>
      <c r="E152" s="86" t="e">
        <f>SUM(#REF!)</f>
        <v>#REF!</v>
      </c>
      <c r="F152" s="85"/>
      <c r="G152" s="86" t="e">
        <f>SUM(#REF!)</f>
        <v>#REF!</v>
      </c>
      <c r="H152" s="86" t="e">
        <f>SUM(#REF!)</f>
        <v>#REF!</v>
      </c>
      <c r="I152" s="86" t="e">
        <f>SUM(#REF!)</f>
        <v>#REF!</v>
      </c>
      <c r="J152" s="86" t="e">
        <f>SUM(#REF!+#REF!+#REF!+#REF!)</f>
        <v>#REF!</v>
      </c>
      <c r="K152" s="86" t="e">
        <f>SUM(#REF!)</f>
        <v>#REF!</v>
      </c>
      <c r="L152" s="86" t="e">
        <f>SUM(#REF!)</f>
        <v>#REF!</v>
      </c>
      <c r="M152" s="90"/>
      <c r="N152" s="86" t="e">
        <f t="shared" si="8"/>
        <v>#REF!</v>
      </c>
      <c r="P152" s="173"/>
      <c r="Q152" s="173"/>
      <c r="R152" s="173"/>
      <c r="S152" s="172" t="e">
        <f t="shared" si="7"/>
        <v>#REF!</v>
      </c>
      <c r="T152" s="193"/>
      <c r="U152" s="209" t="e">
        <f t="shared" si="6"/>
        <v>#REF!</v>
      </c>
    </row>
    <row r="153" spans="1:21" ht="30.75">
      <c r="A153">
        <f t="shared" si="9"/>
        <v>137</v>
      </c>
      <c r="B153" s="68">
        <v>9501</v>
      </c>
      <c r="C153" s="67" t="s">
        <v>76</v>
      </c>
      <c r="D153" s="85"/>
      <c r="E153" s="86" t="e">
        <f>SUM(#REF!)</f>
        <v>#REF!</v>
      </c>
      <c r="F153" s="85"/>
      <c r="G153" s="86" t="e">
        <f>SUM(#REF!)</f>
        <v>#REF!</v>
      </c>
      <c r="H153" s="86" t="e">
        <f>SUM(#REF!)</f>
        <v>#REF!</v>
      </c>
      <c r="I153" s="86" t="e">
        <f>SUM(#REF!)</f>
        <v>#REF!</v>
      </c>
      <c r="J153" s="86" t="e">
        <f>SUM(#REF!+#REF!+#REF!+#REF!)</f>
        <v>#REF!</v>
      </c>
      <c r="K153" s="86" t="e">
        <f>SUM(#REF!)</f>
        <v>#REF!</v>
      </c>
      <c r="L153" s="86" t="e">
        <f>SUM(#REF!)</f>
        <v>#REF!</v>
      </c>
      <c r="M153" s="90"/>
      <c r="N153" s="86" t="e">
        <f t="shared" si="8"/>
        <v>#REF!</v>
      </c>
      <c r="P153" s="173"/>
      <c r="Q153" s="173"/>
      <c r="R153" s="173"/>
      <c r="S153" s="172" t="e">
        <f t="shared" si="7"/>
        <v>#REF!</v>
      </c>
      <c r="T153" s="193"/>
      <c r="U153" s="209" t="e">
        <f t="shared" si="6"/>
        <v>#REF!</v>
      </c>
    </row>
    <row r="154" spans="1:21" ht="30.75">
      <c r="A154">
        <f t="shared" si="9"/>
        <v>138</v>
      </c>
      <c r="B154" s="68">
        <v>9502</v>
      </c>
      <c r="C154" s="67" t="s">
        <v>75</v>
      </c>
      <c r="D154" s="85"/>
      <c r="E154" s="86" t="e">
        <f>SUM(#REF!)</f>
        <v>#REF!</v>
      </c>
      <c r="F154" s="85"/>
      <c r="G154" s="86" t="e">
        <f>SUM(#REF!)</f>
        <v>#REF!</v>
      </c>
      <c r="H154" s="86" t="e">
        <f>SUM(#REF!)</f>
        <v>#REF!</v>
      </c>
      <c r="I154" s="86" t="e">
        <f>SUM(#REF!)</f>
        <v>#REF!</v>
      </c>
      <c r="J154" s="86" t="e">
        <f>SUM(#REF!+#REF!+#REF!+#REF!)</f>
        <v>#REF!</v>
      </c>
      <c r="K154" s="86" t="e">
        <f>SUM(#REF!)</f>
        <v>#REF!</v>
      </c>
      <c r="L154" s="86" t="e">
        <f>SUM(#REF!)</f>
        <v>#REF!</v>
      </c>
      <c r="M154" s="90"/>
      <c r="N154" s="86" t="e">
        <f t="shared" si="8"/>
        <v>#REF!</v>
      </c>
      <c r="P154" s="173"/>
      <c r="Q154" s="173"/>
      <c r="R154" s="173"/>
      <c r="S154" s="172" t="e">
        <f t="shared" si="7"/>
        <v>#REF!</v>
      </c>
      <c r="U154" s="209" t="e">
        <f t="shared" si="6"/>
        <v>#REF!</v>
      </c>
    </row>
    <row r="155" spans="1:21" ht="30.75">
      <c r="A155">
        <f t="shared" si="9"/>
        <v>139</v>
      </c>
      <c r="B155" s="68">
        <v>9503</v>
      </c>
      <c r="C155" s="67" t="s">
        <v>74</v>
      </c>
      <c r="D155" s="85"/>
      <c r="E155" s="86" t="e">
        <f>SUM(#REF!)</f>
        <v>#REF!</v>
      </c>
      <c r="F155" s="85"/>
      <c r="G155" s="86" t="e">
        <f>SUM(#REF!)</f>
        <v>#REF!</v>
      </c>
      <c r="H155" s="86" t="e">
        <f>SUM(#REF!)</f>
        <v>#REF!</v>
      </c>
      <c r="I155" s="86" t="e">
        <f>SUM(#REF!)</f>
        <v>#REF!</v>
      </c>
      <c r="J155" s="86" t="e">
        <f>SUM(#REF!+#REF!+#REF!+#REF!)</f>
        <v>#REF!</v>
      </c>
      <c r="K155" s="86" t="e">
        <f>SUM(#REF!)</f>
        <v>#REF!</v>
      </c>
      <c r="L155" s="86" t="e">
        <f>SUM(#REF!)</f>
        <v>#REF!</v>
      </c>
      <c r="M155" s="90"/>
      <c r="N155" s="86" t="e">
        <f t="shared" si="8"/>
        <v>#REF!</v>
      </c>
      <c r="P155" s="173"/>
      <c r="Q155" s="173"/>
      <c r="R155" s="173"/>
      <c r="S155" s="172" t="e">
        <f t="shared" si="7"/>
        <v>#REF!</v>
      </c>
      <c r="U155" s="209" t="e">
        <f t="shared" si="6"/>
        <v>#REF!</v>
      </c>
    </row>
    <row r="156" spans="1:21">
      <c r="A156">
        <f t="shared" si="9"/>
        <v>140</v>
      </c>
      <c r="B156" s="68">
        <v>9504</v>
      </c>
      <c r="C156" s="67" t="s">
        <v>73</v>
      </c>
      <c r="D156" s="85"/>
      <c r="E156" s="86" t="e">
        <f>SUM(#REF!)</f>
        <v>#REF!</v>
      </c>
      <c r="F156" s="85"/>
      <c r="G156" s="86" t="e">
        <f>SUM(#REF!)</f>
        <v>#REF!</v>
      </c>
      <c r="H156" s="86" t="e">
        <f>SUM(#REF!)</f>
        <v>#REF!</v>
      </c>
      <c r="I156" s="86" t="e">
        <f>SUM(#REF!)</f>
        <v>#REF!</v>
      </c>
      <c r="J156" s="86" t="e">
        <f>SUM(#REF!+#REF!+#REF!+#REF!)</f>
        <v>#REF!</v>
      </c>
      <c r="K156" s="86" t="e">
        <f>SUM(#REF!)</f>
        <v>#REF!</v>
      </c>
      <c r="L156" s="86" t="e">
        <f>SUM(#REF!)</f>
        <v>#REF!</v>
      </c>
      <c r="M156" s="90"/>
      <c r="N156" s="86" t="e">
        <f t="shared" si="8"/>
        <v>#REF!</v>
      </c>
      <c r="P156" s="171">
        <v>9504</v>
      </c>
      <c r="Q156" s="171" t="s">
        <v>73</v>
      </c>
      <c r="R156" s="174">
        <f>21991.67+241908.37</f>
        <v>263900.03999999998</v>
      </c>
      <c r="S156" s="172" t="e">
        <f t="shared" si="7"/>
        <v>#REF!</v>
      </c>
      <c r="T156" s="194">
        <f>22000*12</f>
        <v>264000</v>
      </c>
      <c r="U156" s="209" t="e">
        <f t="shared" si="6"/>
        <v>#REF!</v>
      </c>
    </row>
    <row r="157" spans="1:21" ht="30.75">
      <c r="A157">
        <f t="shared" si="9"/>
        <v>141</v>
      </c>
      <c r="B157" s="68">
        <v>9506</v>
      </c>
      <c r="C157" s="67" t="s">
        <v>72</v>
      </c>
      <c r="D157" s="85"/>
      <c r="E157" s="86" t="e">
        <f>SUM(#REF!)</f>
        <v>#REF!</v>
      </c>
      <c r="F157" s="85"/>
      <c r="G157" s="86" t="e">
        <f>SUM(#REF!)</f>
        <v>#REF!</v>
      </c>
      <c r="H157" s="86" t="e">
        <f>SUM(#REF!)</f>
        <v>#REF!</v>
      </c>
      <c r="I157" s="86" t="e">
        <f>SUM(#REF!)</f>
        <v>#REF!</v>
      </c>
      <c r="J157" s="86" t="e">
        <f>SUM(#REF!+#REF!+#REF!+#REF!)</f>
        <v>#REF!</v>
      </c>
      <c r="K157" s="86" t="e">
        <f>SUM(#REF!)</f>
        <v>#REF!</v>
      </c>
      <c r="L157" s="86" t="e">
        <f>SUM(#REF!)</f>
        <v>#REF!</v>
      </c>
      <c r="M157" s="90"/>
      <c r="N157" s="86" t="e">
        <f t="shared" si="8"/>
        <v>#REF!</v>
      </c>
      <c r="P157" s="173"/>
      <c r="Q157" s="173"/>
      <c r="R157" s="176">
        <f>SUM(R50:R156)</f>
        <v>3939361.3100000005</v>
      </c>
      <c r="S157" s="173"/>
      <c r="T157" s="175">
        <f>SUM(T50:T156)</f>
        <v>4608805</v>
      </c>
    </row>
    <row r="158" spans="1:21" ht="30.75">
      <c r="A158">
        <f t="shared" si="9"/>
        <v>142</v>
      </c>
      <c r="B158" s="68">
        <v>9600</v>
      </c>
      <c r="C158" s="67" t="s">
        <v>71</v>
      </c>
      <c r="D158" s="85"/>
      <c r="E158" s="86" t="e">
        <f>SUM(#REF!)</f>
        <v>#REF!</v>
      </c>
      <c r="F158" s="85"/>
      <c r="G158" s="86" t="e">
        <f>SUM(#REF!)</f>
        <v>#REF!</v>
      </c>
      <c r="H158" s="86" t="e">
        <f>SUM(#REF!)</f>
        <v>#REF!</v>
      </c>
      <c r="I158" s="86" t="e">
        <f>SUM(#REF!)</f>
        <v>#REF!</v>
      </c>
      <c r="J158" s="86" t="e">
        <f>SUM(#REF!+#REF!+#REF!+#REF!)</f>
        <v>#REF!</v>
      </c>
      <c r="K158" s="86" t="e">
        <f>SUM(#REF!)</f>
        <v>#REF!</v>
      </c>
      <c r="L158" s="86" t="e">
        <f>SUM(#REF!)</f>
        <v>#REF!</v>
      </c>
      <c r="M158" s="90"/>
      <c r="N158" s="86" t="e">
        <f t="shared" si="8"/>
        <v>#REF!</v>
      </c>
      <c r="P158" s="173"/>
      <c r="Q158" s="173"/>
      <c r="R158" s="173"/>
      <c r="S158" s="173"/>
    </row>
    <row r="159" spans="1:21" ht="30.75">
      <c r="A159">
        <f t="shared" si="9"/>
        <v>143</v>
      </c>
      <c r="B159" s="68">
        <v>9650</v>
      </c>
      <c r="C159" s="67" t="s">
        <v>70</v>
      </c>
      <c r="D159" s="85"/>
      <c r="E159" s="86" t="e">
        <f>SUM(#REF!)</f>
        <v>#REF!</v>
      </c>
      <c r="F159" s="85"/>
      <c r="G159" s="86" t="e">
        <f>SUM(#REF!)</f>
        <v>#REF!</v>
      </c>
      <c r="H159" s="86" t="e">
        <f>SUM(#REF!)</f>
        <v>#REF!</v>
      </c>
      <c r="I159" s="86" t="e">
        <f>SUM(#REF!)</f>
        <v>#REF!</v>
      </c>
      <c r="J159" s="86" t="e">
        <f>SUM(#REF!+#REF!+#REF!+#REF!)</f>
        <v>#REF!</v>
      </c>
      <c r="K159" s="86" t="e">
        <f>SUM(#REF!)</f>
        <v>#REF!</v>
      </c>
      <c r="L159" s="86" t="e">
        <f>SUM(#REF!)</f>
        <v>#REF!</v>
      </c>
      <c r="M159" s="90"/>
      <c r="N159" s="86" t="e">
        <f t="shared" si="8"/>
        <v>#REF!</v>
      </c>
      <c r="P159" s="1"/>
      <c r="Q159" s="1"/>
      <c r="R159" s="1"/>
      <c r="S159" s="1"/>
    </row>
    <row r="160" spans="1:21" ht="45.75">
      <c r="A160">
        <f t="shared" si="9"/>
        <v>144</v>
      </c>
      <c r="B160" s="68">
        <v>9660</v>
      </c>
      <c r="C160" s="67" t="s">
        <v>69</v>
      </c>
      <c r="D160" s="85"/>
      <c r="E160" s="86" t="e">
        <f>SUM(#REF!)</f>
        <v>#REF!</v>
      </c>
      <c r="F160" s="85"/>
      <c r="G160" s="86" t="e">
        <f>SUM(#REF!)</f>
        <v>#REF!</v>
      </c>
      <c r="H160" s="86" t="e">
        <f>SUM(#REF!)</f>
        <v>#REF!</v>
      </c>
      <c r="I160" s="86" t="e">
        <f>SUM(#REF!)</f>
        <v>#REF!</v>
      </c>
      <c r="J160" s="86" t="e">
        <f>SUM(#REF!+#REF!+#REF!+#REF!)</f>
        <v>#REF!</v>
      </c>
      <c r="K160" s="86" t="e">
        <f>SUM(#REF!)</f>
        <v>#REF!</v>
      </c>
      <c r="L160" s="86" t="e">
        <f>SUM(#REF!)</f>
        <v>#REF!</v>
      </c>
      <c r="M160" s="90"/>
      <c r="N160" s="86" t="e">
        <f t="shared" si="8"/>
        <v>#REF!</v>
      </c>
      <c r="P160" s="1"/>
      <c r="Q160" s="1"/>
      <c r="R160" s="1"/>
      <c r="S160" s="1"/>
      <c r="T160" s="175" t="e">
        <f>T48-T157</f>
        <v>#REF!</v>
      </c>
    </row>
    <row r="161" spans="1:19" ht="30.75">
      <c r="A161">
        <f t="shared" si="9"/>
        <v>145</v>
      </c>
      <c r="B161" s="68">
        <v>9665</v>
      </c>
      <c r="C161" s="67" t="s">
        <v>68</v>
      </c>
      <c r="D161" s="85"/>
      <c r="E161" s="86" t="e">
        <f>SUM(#REF!)</f>
        <v>#REF!</v>
      </c>
      <c r="F161" s="85"/>
      <c r="G161" s="86" t="e">
        <f>SUM(#REF!)</f>
        <v>#REF!</v>
      </c>
      <c r="H161" s="86" t="e">
        <f>SUM(#REF!)</f>
        <v>#REF!</v>
      </c>
      <c r="I161" s="86" t="e">
        <f>SUM(#REF!)</f>
        <v>#REF!</v>
      </c>
      <c r="J161" s="86" t="e">
        <f>SUM(#REF!+#REF!+#REF!+#REF!)</f>
        <v>#REF!</v>
      </c>
      <c r="K161" s="86" t="e">
        <f>SUM(#REF!)</f>
        <v>#REF!</v>
      </c>
      <c r="L161" s="86" t="e">
        <f>SUM(#REF!)</f>
        <v>#REF!</v>
      </c>
      <c r="M161" s="90"/>
      <c r="N161" s="86" t="e">
        <f t="shared" si="8"/>
        <v>#REF!</v>
      </c>
      <c r="P161" s="1"/>
      <c r="Q161" s="1"/>
      <c r="R161" s="1"/>
      <c r="S161" s="1"/>
    </row>
    <row r="162" spans="1:19">
      <c r="A162">
        <f t="shared" si="9"/>
        <v>146</v>
      </c>
      <c r="B162" s="83"/>
      <c r="C162" s="84"/>
      <c r="D162" s="85"/>
      <c r="E162" s="86" t="e">
        <f>SUM(#REF!)</f>
        <v>#REF!</v>
      </c>
      <c r="F162" s="85"/>
      <c r="G162" s="86" t="e">
        <f>SUM(#REF!)</f>
        <v>#REF!</v>
      </c>
      <c r="H162" s="86" t="e">
        <f>SUM(#REF!)</f>
        <v>#REF!</v>
      </c>
      <c r="I162" s="86" t="e">
        <f>SUM(#REF!)</f>
        <v>#REF!</v>
      </c>
      <c r="J162" s="86" t="e">
        <f>SUM(#REF!+#REF!+#REF!+#REF!)</f>
        <v>#REF!</v>
      </c>
      <c r="K162" s="86" t="e">
        <f>SUM(#REF!)</f>
        <v>#REF!</v>
      </c>
      <c r="L162" s="86" t="e">
        <f>SUM(#REF!)</f>
        <v>#REF!</v>
      </c>
      <c r="M162" s="90"/>
      <c r="N162" s="86" t="e">
        <f t="shared" si="8"/>
        <v>#REF!</v>
      </c>
      <c r="P162" s="1"/>
      <c r="Q162" s="1"/>
      <c r="R162" s="1"/>
      <c r="S162" s="1"/>
    </row>
    <row r="163" spans="1:19">
      <c r="A163">
        <f t="shared" si="9"/>
        <v>147</v>
      </c>
      <c r="B163" s="83"/>
      <c r="C163" s="84" t="s">
        <v>67</v>
      </c>
      <c r="D163" s="85"/>
      <c r="E163" s="86" t="e">
        <f t="shared" ref="E163:L163" si="10">SUM(E50:E162)</f>
        <v>#REF!</v>
      </c>
      <c r="F163" s="86">
        <f t="shared" si="10"/>
        <v>0</v>
      </c>
      <c r="G163" s="86" t="e">
        <f t="shared" si="10"/>
        <v>#REF!</v>
      </c>
      <c r="H163" s="86" t="e">
        <f t="shared" si="10"/>
        <v>#REF!</v>
      </c>
      <c r="I163" s="86" t="e">
        <f t="shared" si="10"/>
        <v>#REF!</v>
      </c>
      <c r="J163" s="86" t="e">
        <f t="shared" si="10"/>
        <v>#REF!</v>
      </c>
      <c r="K163" s="86" t="e">
        <f t="shared" si="10"/>
        <v>#REF!</v>
      </c>
      <c r="L163" s="86" t="e">
        <f t="shared" si="10"/>
        <v>#REF!</v>
      </c>
      <c r="M163" s="90"/>
      <c r="N163" s="86" t="e">
        <f>SUM(E163:M163)</f>
        <v>#REF!</v>
      </c>
      <c r="P163" s="1"/>
      <c r="Q163" s="1"/>
      <c r="R163" s="1"/>
      <c r="S163" s="1"/>
    </row>
    <row r="164" spans="1:19">
      <c r="A164">
        <f t="shared" si="9"/>
        <v>148</v>
      </c>
      <c r="B164" s="83"/>
      <c r="C164" s="84"/>
      <c r="D164" s="85"/>
      <c r="E164" s="86" t="e">
        <f>SUM(#REF!)</f>
        <v>#REF!</v>
      </c>
      <c r="F164" s="85"/>
      <c r="G164" s="86" t="e">
        <f>SUM(#REF!)</f>
        <v>#REF!</v>
      </c>
      <c r="H164" s="86" t="e">
        <f>SUM(#REF!)</f>
        <v>#REF!</v>
      </c>
      <c r="I164" s="86" t="e">
        <f>SUM(#REF!)</f>
        <v>#REF!</v>
      </c>
      <c r="J164" s="86" t="e">
        <f>SUM(#REF!+#REF!+#REF!+#REF!)</f>
        <v>#REF!</v>
      </c>
      <c r="K164" s="86" t="e">
        <f>SUM(#REF!)</f>
        <v>#REF!</v>
      </c>
      <c r="L164" s="86" t="e">
        <f>SUM(#REF!)</f>
        <v>#REF!</v>
      </c>
      <c r="M164" s="90"/>
      <c r="N164" s="86" t="e">
        <f t="shared" si="8"/>
        <v>#REF!</v>
      </c>
      <c r="P164" s="1"/>
      <c r="Q164" s="1"/>
      <c r="R164" s="1"/>
      <c r="S164" s="1"/>
    </row>
    <row r="165" spans="1:19">
      <c r="A165">
        <f t="shared" si="9"/>
        <v>149</v>
      </c>
      <c r="B165" s="83"/>
      <c r="C165" s="84"/>
      <c r="D165" s="85"/>
      <c r="E165" s="86" t="e">
        <f>SUM(#REF!)</f>
        <v>#REF!</v>
      </c>
      <c r="F165" s="85"/>
      <c r="G165" s="86" t="e">
        <f>SUM(#REF!)</f>
        <v>#REF!</v>
      </c>
      <c r="H165" s="86" t="e">
        <f>SUM(#REF!)</f>
        <v>#REF!</v>
      </c>
      <c r="I165" s="86" t="e">
        <f>SUM(#REF!)</f>
        <v>#REF!</v>
      </c>
      <c r="J165" s="86" t="e">
        <f>SUM(#REF!+#REF!+#REF!+#REF!)</f>
        <v>#REF!</v>
      </c>
      <c r="K165" s="86" t="e">
        <f>SUM(#REF!)</f>
        <v>#REF!</v>
      </c>
      <c r="L165" s="86" t="e">
        <f>SUM(#REF!)</f>
        <v>#REF!</v>
      </c>
      <c r="M165" s="90"/>
      <c r="N165" s="86" t="e">
        <f t="shared" si="8"/>
        <v>#REF!</v>
      </c>
      <c r="P165" s="1"/>
      <c r="Q165" s="1"/>
      <c r="R165" s="1"/>
      <c r="S165" s="1"/>
    </row>
    <row r="166" spans="1:19">
      <c r="A166">
        <f t="shared" si="9"/>
        <v>150</v>
      </c>
      <c r="B166" s="83"/>
      <c r="C166" s="84" t="s">
        <v>66</v>
      </c>
      <c r="D166" s="85"/>
      <c r="E166" s="86" t="e">
        <f>SUM(#REF!)</f>
        <v>#REF!</v>
      </c>
      <c r="F166" s="85"/>
      <c r="G166" s="86" t="e">
        <f>SUM(#REF!)</f>
        <v>#REF!</v>
      </c>
      <c r="H166" s="86" t="e">
        <f>SUM(#REF!)</f>
        <v>#REF!</v>
      </c>
      <c r="I166" s="86" t="e">
        <f>SUM(#REF!)</f>
        <v>#REF!</v>
      </c>
      <c r="J166" s="86" t="e">
        <f>SUM(#REF!+#REF!+#REF!+#REF!)</f>
        <v>#REF!</v>
      </c>
      <c r="K166" s="86" t="e">
        <f>SUM(#REF!)</f>
        <v>#REF!</v>
      </c>
      <c r="L166" s="86" t="e">
        <f>SUM(#REF!)</f>
        <v>#REF!</v>
      </c>
      <c r="M166" s="90"/>
      <c r="N166" s="86" t="e">
        <f t="shared" si="8"/>
        <v>#REF!</v>
      </c>
      <c r="P166" s="1"/>
      <c r="Q166" s="1"/>
      <c r="R166" s="1"/>
      <c r="S166" s="1"/>
    </row>
    <row r="167" spans="1:19">
      <c r="A167">
        <f t="shared" si="9"/>
        <v>151</v>
      </c>
      <c r="B167" s="83"/>
      <c r="C167" s="84" t="s">
        <v>65</v>
      </c>
      <c r="D167" s="85"/>
      <c r="E167" s="86" t="e">
        <f t="shared" ref="E167:L167" si="11">E48-E163</f>
        <v>#REF!</v>
      </c>
      <c r="F167" s="86">
        <f t="shared" si="11"/>
        <v>135900</v>
      </c>
      <c r="G167" s="86" t="e">
        <f t="shared" si="11"/>
        <v>#REF!</v>
      </c>
      <c r="H167" s="86" t="e">
        <f t="shared" si="11"/>
        <v>#REF!</v>
      </c>
      <c r="I167" s="86" t="e">
        <f t="shared" si="11"/>
        <v>#REF!</v>
      </c>
      <c r="J167" s="86" t="e">
        <f t="shared" si="11"/>
        <v>#REF!</v>
      </c>
      <c r="K167" s="86" t="e">
        <f t="shared" si="11"/>
        <v>#REF!</v>
      </c>
      <c r="L167" s="86" t="e">
        <f t="shared" si="11"/>
        <v>#REF!</v>
      </c>
      <c r="M167" s="90"/>
      <c r="N167" s="86" t="e">
        <f>SUM(E167:M167)</f>
        <v>#REF!</v>
      </c>
      <c r="P167" s="1"/>
      <c r="Q167" s="1"/>
      <c r="R167" s="1"/>
      <c r="S167" s="1"/>
    </row>
    <row r="168" spans="1:19">
      <c r="B168" s="83"/>
      <c r="C168" s="84"/>
      <c r="D168" s="85"/>
      <c r="E168" s="85"/>
      <c r="F168" s="85"/>
      <c r="G168" s="85"/>
      <c r="H168" s="85"/>
      <c r="I168" s="85"/>
      <c r="J168" s="85"/>
      <c r="K168" s="85"/>
      <c r="L168" s="85"/>
      <c r="M168" s="90"/>
      <c r="N168" s="85"/>
      <c r="P168" s="1"/>
      <c r="Q168" s="1"/>
      <c r="R168" s="1"/>
      <c r="S168" s="1"/>
    </row>
    <row r="169" spans="1:19">
      <c r="B169" s="83"/>
      <c r="C169" s="84"/>
      <c r="D169" s="85"/>
      <c r="E169" s="85"/>
      <c r="F169" s="85"/>
      <c r="G169" s="85"/>
      <c r="H169" s="85"/>
      <c r="I169" s="85"/>
      <c r="J169" s="85"/>
      <c r="K169" s="85"/>
      <c r="L169" s="85"/>
      <c r="M169" s="90"/>
      <c r="N169" s="85"/>
      <c r="P169" s="1"/>
      <c r="Q169" s="1"/>
      <c r="R169" s="1"/>
      <c r="S169" s="1"/>
    </row>
    <row r="170" spans="1:19">
      <c r="B170" s="83"/>
      <c r="C170" s="84"/>
      <c r="D170" s="85"/>
      <c r="E170" s="86"/>
      <c r="F170" s="86"/>
      <c r="G170" s="86"/>
      <c r="H170" s="86"/>
      <c r="I170" s="86"/>
      <c r="J170" s="86"/>
      <c r="K170" s="86"/>
      <c r="L170" s="86"/>
      <c r="M170" s="90"/>
      <c r="N170" s="85"/>
      <c r="P170" s="1"/>
      <c r="Q170" s="1"/>
      <c r="R170" s="1"/>
      <c r="S170" s="1"/>
    </row>
    <row r="171" spans="1:19">
      <c r="B171" s="83"/>
      <c r="C171" s="84"/>
      <c r="D171" s="85"/>
      <c r="E171" s="85"/>
      <c r="F171" s="85"/>
      <c r="G171" s="85"/>
      <c r="H171" s="85"/>
      <c r="I171" s="85"/>
      <c r="J171" s="85"/>
      <c r="K171" s="85"/>
      <c r="L171" s="85"/>
      <c r="M171" s="90"/>
      <c r="N171" s="85"/>
      <c r="P171" s="1"/>
      <c r="Q171" s="1"/>
      <c r="R171" s="1"/>
      <c r="S171" s="1"/>
    </row>
    <row r="172" spans="1:19">
      <c r="B172" s="83"/>
      <c r="C172" s="84"/>
      <c r="D172" s="85"/>
      <c r="E172" s="85"/>
      <c r="F172" s="85"/>
      <c r="G172" s="85"/>
      <c r="H172" s="85"/>
      <c r="I172" s="85"/>
      <c r="J172" s="85"/>
      <c r="K172" s="85"/>
      <c r="L172" s="85"/>
      <c r="M172" s="90"/>
      <c r="N172" s="85"/>
      <c r="P172" s="1"/>
      <c r="Q172" s="1"/>
      <c r="R172" s="1"/>
      <c r="S172" s="1"/>
    </row>
    <row r="173" spans="1:19">
      <c r="B173" s="83"/>
      <c r="C173" s="84"/>
      <c r="D173" s="85"/>
      <c r="E173" s="85"/>
      <c r="F173" s="85"/>
      <c r="G173" s="85"/>
      <c r="H173" s="85"/>
      <c r="I173" s="85"/>
      <c r="J173" s="85"/>
      <c r="K173" s="85"/>
      <c r="L173" s="85"/>
      <c r="M173" s="90"/>
      <c r="N173" s="85"/>
    </row>
    <row r="174" spans="1:19">
      <c r="B174" s="83"/>
      <c r="C174" s="84"/>
      <c r="D174" s="85"/>
      <c r="E174" s="85"/>
      <c r="F174" s="85"/>
      <c r="G174" s="85"/>
      <c r="H174" s="85"/>
      <c r="I174" s="85"/>
      <c r="J174" s="85"/>
      <c r="K174" s="85"/>
      <c r="L174" s="85"/>
      <c r="M174" s="90"/>
      <c r="N174" s="85"/>
    </row>
  </sheetData>
  <pageMargins left="0.7" right="0.7" top="0.75" bottom="0.75" header="0.3" footer="0.3"/>
  <pageSetup orientation="portrait" verticalDpi="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2013 Budget</vt:lpstr>
      <vt:lpstr>Summary by major Area</vt:lpstr>
      <vt:lpstr>Detail Summary</vt:lpstr>
      <vt:lpstr>'2013 Budget'!Print_Area</vt:lpstr>
      <vt:lpstr>'Summary by major Area'!Print_Area</vt:lpstr>
      <vt:lpstr>'Summary by major Area'!Print_Titles</vt:lpstr>
    </vt:vector>
  </TitlesOfParts>
  <Company>Girl Scout of Citrus Council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Girl Scouts Of Citrus Council</dc:creator>
  <cp:lastModifiedBy>Administrator</cp:lastModifiedBy>
  <cp:lastPrinted>2012-09-27T12:54:51Z</cp:lastPrinted>
  <dcterms:created xsi:type="dcterms:W3CDTF">2004-07-18T15:50:30Z</dcterms:created>
  <dcterms:modified xsi:type="dcterms:W3CDTF">2012-10-10T23:15:27Z</dcterms:modified>
</cp:coreProperties>
</file>