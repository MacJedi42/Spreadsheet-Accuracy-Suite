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0" yWindow="-15" windowWidth="10770" windowHeight="8115" tabRatio="794"/>
  </bookViews>
  <sheets>
    <sheet name="ANEXO 4," sheetId="2" r:id="rId1"/>
  </sheets>
  <definedNames>
    <definedName name="_xlnm._FilterDatabase" localSheetId="0" hidden="1">'ANEXO 4,'!$F$6:$F$146</definedName>
    <definedName name="ANEXO_4" localSheetId="0">#REF!</definedName>
    <definedName name="ANEXO_4">#REF!</definedName>
    <definedName name="anscount" hidden="1">1</definedName>
    <definedName name="Cantidad" localSheetId="0">#REF!</definedName>
    <definedName name="Cantidad">#REF!</definedName>
    <definedName name="Item" localSheetId="0">#REF!</definedName>
    <definedName name="Item">#REF!</definedName>
    <definedName name="ITEMPROPUESTA" localSheetId="0">#REF!</definedName>
    <definedName name="ITEMPROPUESTA">#REF!</definedName>
    <definedName name="Materiales" localSheetId="0">#REF!</definedName>
    <definedName name="Materiales">#REF!</definedName>
    <definedName name="redesmt" localSheetId="0">#REF!</definedName>
    <definedName name="redesmt">#REF!</definedName>
    <definedName name="Subtotal" localSheetId="0">#REF!</definedName>
    <definedName name="Subtotal">#REF!</definedName>
    <definedName name="UN" localSheetId="0">#REF!</definedName>
    <definedName name="UN">#REF!</definedName>
    <definedName name="Vr._Unit." localSheetId="0">#REF!</definedName>
    <definedName name="Vr._Unit.">#REF!</definedName>
  </definedNames>
  <calcPr calcId="124519"/>
</workbook>
</file>

<file path=xl/calcChain.xml><?xml version="1.0" encoding="utf-8"?>
<calcChain xmlns="http://schemas.openxmlformats.org/spreadsheetml/2006/main">
  <c r="F155" i="2"/>
  <c r="F154"/>
  <c r="F153"/>
  <c r="F152"/>
  <c r="F151"/>
  <c r="F150"/>
  <c r="F149"/>
  <c r="F148"/>
  <c r="F146"/>
  <c r="F145"/>
  <c r="F144"/>
  <c r="F143"/>
  <c r="F142"/>
  <c r="F141"/>
  <c r="F140"/>
  <c r="F139"/>
  <c r="F138"/>
  <c r="F137"/>
  <c r="F136"/>
  <c r="F135"/>
  <c r="F134"/>
  <c r="F133"/>
  <c r="F132"/>
  <c r="F131"/>
  <c r="F130"/>
  <c r="F129"/>
  <c r="F128"/>
  <c r="F127"/>
  <c r="F126"/>
  <c r="F125"/>
  <c r="F124"/>
  <c r="F123"/>
  <c r="F122"/>
  <c r="F121"/>
  <c r="F120"/>
  <c r="F119"/>
  <c r="F118"/>
  <c r="F117"/>
  <c r="F116"/>
  <c r="F115"/>
  <c r="F114"/>
  <c r="F113"/>
  <c r="F111"/>
  <c r="F110"/>
  <c r="F109"/>
  <c r="F108"/>
  <c r="F107"/>
  <c r="F106"/>
  <c r="F105"/>
  <c r="F104"/>
  <c r="F103"/>
  <c r="F102"/>
  <c r="F101"/>
  <c r="F100"/>
  <c r="F99"/>
  <c r="F98"/>
  <c r="F97"/>
  <c r="F96"/>
  <c r="F95"/>
  <c r="F94"/>
  <c r="F93"/>
  <c r="F92"/>
  <c r="F91"/>
  <c r="F90"/>
  <c r="F89"/>
  <c r="F88"/>
  <c r="F87"/>
  <c r="F86"/>
  <c r="F85"/>
  <c r="F84"/>
  <c r="F83"/>
  <c r="F82"/>
  <c r="F81"/>
  <c r="F80"/>
  <c r="F79"/>
  <c r="F78"/>
  <c r="F77"/>
  <c r="F76"/>
  <c r="F75"/>
  <c r="F74"/>
  <c r="F73"/>
  <c r="F72"/>
  <c r="F71"/>
  <c r="F70"/>
  <c r="F69"/>
  <c r="F68"/>
  <c r="F67"/>
  <c r="F66"/>
  <c r="F64"/>
  <c r="F62"/>
  <c r="F61"/>
  <c r="F60"/>
  <c r="D59"/>
  <c r="F59" s="1"/>
  <c r="F57"/>
  <c r="F56"/>
  <c r="F55"/>
  <c r="F54"/>
  <c r="F52"/>
  <c r="F51"/>
  <c r="F50"/>
  <c r="F48"/>
  <c r="F47"/>
  <c r="F45"/>
  <c r="F44"/>
  <c r="F42"/>
  <c r="F41"/>
  <c r="F40"/>
  <c r="F39"/>
  <c r="F38"/>
  <c r="F36"/>
  <c r="F35"/>
  <c r="F34"/>
  <c r="F33"/>
  <c r="F32"/>
  <c r="F31"/>
  <c r="F30"/>
  <c r="F29"/>
  <c r="F28"/>
  <c r="F27"/>
  <c r="F26"/>
  <c r="F25"/>
  <c r="F23"/>
  <c r="F22"/>
  <c r="F21"/>
  <c r="F20"/>
  <c r="F18"/>
  <c r="F16"/>
  <c r="F15"/>
  <c r="F14"/>
  <c r="F12"/>
  <c r="F10"/>
  <c r="F8"/>
</calcChain>
</file>

<file path=xl/sharedStrings.xml><?xml version="1.0" encoding="utf-8"?>
<sst xmlns="http://schemas.openxmlformats.org/spreadsheetml/2006/main" count="304" uniqueCount="181">
  <si>
    <t>Fachada en vidrio templado laminado 6+4 (o según calculo de proveedor) de color según muestras, modulación según bitacora de obra + zócalo inferior y superior en aluminio de 10cm + pintura electrostática en polvo color RAL 9003 (blanco señal) de pintuco o similar + fijaciones y especificaciones según proveedor</t>
  </si>
  <si>
    <t>INSTALACIONES PROVISIONALES</t>
  </si>
  <si>
    <t>Ejecución de cerramientos provisionales y perimetrales para facilitar el control del arèa y las labores de obra. Podrá utilizarse tela polisombra donde no se afecte la seguridad de la obra y ni los eventos.</t>
  </si>
  <si>
    <t>SEÑALIZACIÒN</t>
  </si>
  <si>
    <t>Colocación de elementos de señalización informativos y preventivos, tales como: cinta delimitadora amarilla de 75 mm (Cinta de precaución) y señalizador tubular o delineador tubular, para cercar y aislar el perímetro en el sitio de la obra, e impedir se disponga residuos  o cualquier material a las zonas adyacentes a las de trabajo, para garantizar la seguridad de las personas y visitantes</t>
  </si>
  <si>
    <t>IMPERMEABILIZACIÒN</t>
  </si>
  <si>
    <t>PISOS</t>
  </si>
  <si>
    <t>Piso en concreto F`C 21 MPA E:0,08m endurecido, pulido y brillado con Sikafloor 3 Quarz Top de sika o equivalente color neutro.</t>
  </si>
  <si>
    <t>MUROS</t>
  </si>
  <si>
    <t>BATERIAS SANITARIAS</t>
  </si>
  <si>
    <t>Griferia para lavamanos antivandalica de push grival o equivalente. Incluye abasto e instalaciòn.</t>
  </si>
  <si>
    <t>ITEM</t>
  </si>
  <si>
    <t>DESCRIPCIÒN</t>
  </si>
  <si>
    <t>CANT</t>
  </si>
  <si>
    <t>VR UNITARIO</t>
  </si>
  <si>
    <t>Suministro e instlaciòn de tapete modular</t>
  </si>
  <si>
    <t>Orinal  marca corona color blanco, incluye grapas para colgar y dasague y sifon e instlaciòn.</t>
  </si>
  <si>
    <t>Suministro e instalaciòn de cerradura antivandalica, incluye todo lo necesario para su normal funcionamiento.</t>
  </si>
  <si>
    <t>Suministro e instalaciòn de puerta con sensor automatico en vidrio laminado de 10mm, a dos alas de 1,20m de ancho cada una y 2,20m de alto. Incluye todo los sistemas necesario para su optimo funcionamiento y fijaciòn.</t>
  </si>
  <si>
    <t>Suministro e instalaciòn de puerta vidriera en vidrio de 8mm con pelicula de suguridad color blanco mate, de 1,20m de ancho por 2,20m de alto.Incluye todo los sistemas necesario para su optimo funcionamiento, fijaciòn y cerradura de seguridad.</t>
  </si>
  <si>
    <t>Suministro e instalaciòn de incrustaciones plasticas color cromado (porta papel, toallera, jabonera)</t>
  </si>
  <si>
    <t>ENCHAPES</t>
  </si>
  <si>
    <t>PUERTAS</t>
  </si>
  <si>
    <t>Suministro e instalaciòn de puerta en madera lisa entamborada color cedro con marco en madera. De dimension 1mx2m. Incluye bisagras, molduras (tapa luz) endamado y cerradura sencilla tipo alcoba.</t>
  </si>
  <si>
    <t>Suministro e instalaciòn de puerta en madera lisa entamborada color cedro con marco en madera. De dimension 0,8m x2m. Incluye bisagras, molduras (tapa luz) endamado y cerradura sencilla tipo baño.</t>
  </si>
  <si>
    <t>Suministro de sanitario San Giorgio bone dual marca corona color blanco, mas asiento sanitario institucional abierto, incluye desagues y brida e instalaciòn</t>
  </si>
  <si>
    <t>Lavamanos Milano marca corona color blanco, inluye abastos, sifon y desague. E instlaciòn</t>
  </si>
  <si>
    <t>Suministro e instalaciòn de enchape en baldosa para Piso de dimensiones 30x30 o similar color blanco antideslizante.</t>
  </si>
  <si>
    <t>7,1O</t>
  </si>
  <si>
    <t>Suministro e instalaciòn de griferia lavapatos, incluye abasto y valvula reguladora.</t>
  </si>
  <si>
    <t>Suministro e instalaciòn de desague lavaplatos de 2 ", incluye rejilla, sifòn de tapon.</t>
  </si>
  <si>
    <t>Suministro e instalaciòn de enchape en ceramica para Pared de dimensiones 30x20 o similar color blanco.</t>
  </si>
  <si>
    <t>DEMOLICION</t>
  </si>
  <si>
    <t>Demolisiòn de muro en bloque de concreto Nº12. Incluye transportes y disposiciòn final de escombros.</t>
  </si>
  <si>
    <t>Demolisiòn de dovelas en grauting. Incluye transportes y disposiciòn final de materiales.</t>
  </si>
  <si>
    <t>SALIDAS HIDRAÙLICAS</t>
  </si>
  <si>
    <t>Acometida en tuberia PVC  1"</t>
  </si>
  <si>
    <t>Acometida en tuberia PVC  2"</t>
  </si>
  <si>
    <t>Acometida en tuberia PVC  1/2"</t>
  </si>
  <si>
    <t>INSTALACIONES SANITARIAS</t>
  </si>
  <si>
    <t>Boca Sanitarias en tuberia PVC-S  2"</t>
  </si>
  <si>
    <t>Boca Sanitarias en tuberia PVC-S  4"</t>
  </si>
  <si>
    <t>Red Sanitarias en tuberia PVC-S  2"</t>
  </si>
  <si>
    <t>Red Sanitarias en tuberia PVC-S  4"</t>
  </si>
  <si>
    <t>ACABADOS - PINTURA</t>
  </si>
  <si>
    <t>Suministro y aplicaciòn de pintura Koraza marca Pintuco de acuerdo al color indicado por la interventoria.</t>
  </si>
  <si>
    <t>Construcciòn de muro en ladrillo de 40*20*10, incluye suministro de materiales, juntas de dilataciòn cada 2m, sellalon.</t>
  </si>
  <si>
    <t>PAÑETES</t>
  </si>
  <si>
    <t>Revoque en mortero 1:4 sobre muro, inluye filetes fajas y ranuras.</t>
  </si>
  <si>
    <t>Lavado e hidrofugado con siliconite de Pintuco o similar en fachadas de concreto.</t>
  </si>
  <si>
    <t>FACHADA  PERIMETRAL</t>
  </si>
  <si>
    <t>M2</t>
  </si>
  <si>
    <t>GL</t>
  </si>
  <si>
    <t>Suministro e instlaciòn de muros a dos caras en Drywall de 8mm en yeso estándar, con estructura de soporte, perfilaría calibre 26, cinta de papel y masilla para Drywall, durante el proceso se aplicara masilla para el sellado de las juntas ,
lijado de juntas  y tres ( 3) manos de pintura tipo 1.</t>
  </si>
  <si>
    <t>Suministro e instlaciòn de muros a una cara en Drywall de 8mm en yeso estándar, con estructura de soporte, perfilaría calibre 26, cinta de papel y masilla para Drywall, durante el proceso se aplicara masilla para el sellado de las juntas ,
lijado de juntas  y tres ( 3) manos de pintura tipo 1.</t>
  </si>
  <si>
    <t>Suministro e instlaciòn de muros a dos caras en Superboard de 10mm, con estructura de soporte, perfilaría calibre 26, cinta de papel y masilla para Drywall, durante el proceso se aplicara masilla para el sellado de las juntas ,
lijado de juntas  y tres ( 3) manos de pintura tipo 1.</t>
  </si>
  <si>
    <t>ML</t>
  </si>
  <si>
    <t>UND</t>
  </si>
  <si>
    <t>M3</t>
  </si>
  <si>
    <t>Suministro e instalaciòn de Mueble para baño en madera color cedro. Independientes por cada lavamanos.</t>
  </si>
  <si>
    <r>
      <t xml:space="preserve">Suministro e instalaciòn de mezon en acero inoxidable calibre </t>
    </r>
    <r>
      <rPr>
        <sz val="10"/>
        <color rgb="FFFF0000"/>
        <rFont val="Calibri"/>
        <family val="2"/>
        <scheme val="minor"/>
      </rPr>
      <t xml:space="preserve">5mm, </t>
    </r>
    <r>
      <rPr>
        <sz val="10"/>
        <rFont val="Calibri"/>
        <family val="2"/>
        <scheme val="minor"/>
      </rPr>
      <t>incluye soportes y pie amigos para su correcta instalaciòn. En L de 1,20*2,00 por 0,6 de ancho</t>
    </r>
  </si>
  <si>
    <t>Suministro y aplicaciòn de pintura tipo 1 base de Agua, marca Pintuco de acuerdo al color indicado por la interventoria a tres manos.</t>
  </si>
  <si>
    <t>Suministro y aplicaciòn de pintura a base de aceite para redesy tuberias expuestas a tres manos.</t>
  </si>
  <si>
    <t>Suministro e instalaciòn de rejilla metalica antiolores de piso de diametro de 2"</t>
  </si>
  <si>
    <t>Suministro e instalaciòn de lavaescobas en concreto F`C 21 MPA de 60*60cm, enchapado en ceramica color blanco o similar.</t>
  </si>
  <si>
    <t>Suministro e instalaciòn de canilla metalica de 1/2. boca de manguera</t>
  </si>
  <si>
    <t>Termostato de ambiente de dos etapas con caja acrilica</t>
  </si>
  <si>
    <t>Carga con refrigerante R410A</t>
  </si>
  <si>
    <t>LB</t>
  </si>
  <si>
    <t>Barrido y presurizado del sistema</t>
  </si>
  <si>
    <t>Kg</t>
  </si>
  <si>
    <t>Aislamiento en Duct WRAP</t>
  </si>
  <si>
    <t>Visor de liquido 1/2" Soldar.</t>
  </si>
  <si>
    <t>und</t>
  </si>
  <si>
    <t>VENTILADOR EN LINEA VENTS TT200, 520 CFM</t>
  </si>
  <si>
    <t>Visor de liquido 3/8" Soldar.</t>
  </si>
  <si>
    <t>UN</t>
  </si>
  <si>
    <t>Suministro e instalación de canaleta de 100 x 45 plástica</t>
  </si>
  <si>
    <t>gj</t>
  </si>
  <si>
    <t xml:space="preserve">Suministro y puesta en sitio de equipo CENTRAL CARRIER 15 TR, R-410A, 220V, PH3-60, 2 CIRCUITO. 2 Condensadoras (7.5TR) 38AUZA08A0A5-0A0A0, Evaporadora: 40RUAA16A2A6-0A0A0. Incluye protector de voltaje </t>
  </si>
  <si>
    <t xml:space="preserve">Bases en neopreno para UMA y unidades condensadoras </t>
  </si>
  <si>
    <t>Lineas de refrigeración en succión en TUBERÍA DE COBRE TIPO L DE 1 1/8". Incluye: accesorios de conexión soldar, elementos de conexión y unión</t>
  </si>
  <si>
    <t>Lineas de refrigeración en descarga en TUBERIA DE COBRE TIPO L DE 1/2". Incluye: accesorios de conexión soldar y elementos fijación</t>
  </si>
  <si>
    <t>Soporte de suspensión para lineas de refigeración. Incluye: soporte mensula sencillo de 20 cm y 60 cm, abrazaderas tipo horquilla, elementos de ancleje y fijación</t>
  </si>
  <si>
    <t>Linea de control entre UMA, unidades condensadoras y termostato ambiental en encauchetado 4x14</t>
  </si>
  <si>
    <t xml:space="preserve">Conductos de suministro y retorno en lamina galvanizada calibre 22. Incluye: elementos de unión y sellante </t>
  </si>
  <si>
    <t xml:space="preserve">Lona antivibratoria </t>
  </si>
  <si>
    <t xml:space="preserve">Conductos de suministro y retorno en fibra de vidrio. Incluye: cinta y pegante. </t>
  </si>
  <si>
    <t xml:space="preserve">Soporte en U para ducteria en fibra de vidrio. Incluye culegas de 2" x 1/2" y elementos de fijación </t>
  </si>
  <si>
    <t>Soporte en U para ducteria en lamina calibre 22. Incluye: perfil ranurado medio, esparragos de 3/8" y elementos de fijación</t>
  </si>
  <si>
    <t>Drenaje de UMA. Incluye: Tubería PVC RDE21 DE 3/4", accesorios de conexión, fijación y unión</t>
  </si>
  <si>
    <t xml:space="preserve">Filtro Secador 1/2" Soldar. </t>
  </si>
  <si>
    <t xml:space="preserve">Válvula de bola de cobre 1/2" Soldar  </t>
  </si>
  <si>
    <t>Difusores de suministro, de cuatro vías con dámper de 12” x 12”. L-AV S 4 OB-G STYLE 01 12X12 W</t>
  </si>
  <si>
    <t>Rejilla de retorno, ALETA FIJA  14" x 14" CD</t>
  </si>
  <si>
    <t>Suministro y puesta en sitio de equipo CENTRAL CARRIER 20 TR, R-410A, 220V, PH3-60, 2 CIRCUITOS. 2 Condensadoras (10TR) 38AUZA-12A0G5, Evaporadora. 40-RUAA-25A1A5. Incluye protector de voltaje</t>
  </si>
  <si>
    <t>Lineas de refrigeración en succión en TUBERÍA DE COBRE TIPO L DE 1 3/8". Incluye: accesorios de conexión soldar y elementos fijación</t>
  </si>
  <si>
    <t>Lineas de refrigeración en descarga en TUBERIA DE COBRE TIPO L DE 1/2". Incluye: accesorios de conexión soldar, elementos de conexión y unión</t>
  </si>
  <si>
    <t>Difusores de suministro, de cuatro vías con dámper de 15” x 15”. L-AV S 4 OB-G STYLE 01 15X15 W</t>
  </si>
  <si>
    <t>Suministro e instalación de equipo tipo cassette de 4.5 TR. CIAC R410A EVAPORADORA, 220V MONO REF: CK41A-048-3J1C - CONDENSADORA DESCARGA VERTICAL 13 SEER R410A CARRIER, 220V MONO REF: 24ABB348A003. Incluye protector de voltaje</t>
  </si>
  <si>
    <t xml:space="preserve">Suministro e instalación de soporteria para unidades evaporadoras tipo cassette. Incluye:  ángulo de 2" y elementos de sujeción </t>
  </si>
  <si>
    <t xml:space="preserve">Bases anti vibratorias para unidades </t>
  </si>
  <si>
    <t xml:space="preserve">Señal de control entre evaporadora y condensadora en cable encauchetado 3x14 </t>
  </si>
  <si>
    <t xml:space="preserve">Filtro Secador 3/8" Soldar. </t>
  </si>
  <si>
    <t xml:space="preserve">Válvula de bola de cobre 3/8" Soldar  </t>
  </si>
  <si>
    <t>Suministro e instalación de bomba de condensado Mini Orange a 220V. Incluye: filtro y accesorios de conexión</t>
  </si>
  <si>
    <t xml:space="preserve">Codo para canaleta plastica 100 x 45 </t>
  </si>
  <si>
    <t>Suministro e instalación drenaje para mantenimiento de unidades condensadoras</t>
  </si>
  <si>
    <t>Suministro y puesta en sitio de equipo CENTRAL CARRIER 10 TR, R-410A, 220V, PH3-60, 2 CIRCUITOS. 2 Condensadora (5TR) 24ABB-360A-005, Evaporadora. 40RUAA-12A1A6. Para interiores. Incluye protector de voltaje</t>
  </si>
  <si>
    <t>Lineas de refrigeración en succión en TUBERÍA DE COBRE TIPO L DE 3/4". Incluye: accesorios de conexión soldar y elementos fijación</t>
  </si>
  <si>
    <t>Lineas de refrigeración en descarga en TUBERIA DE COBRE FLEXIBLE DE 3/8". Incluye: Incluye: accesorios de conexión soldar y elementos fijación</t>
  </si>
  <si>
    <t>Suministro y puesta en sitio de equipo CENTRAL CARRIER 10 TR, R-410A, 220V, PH3-60, 2 CIRCUITOS. 2 Condensadora (5TR) 24ABB-360A-005, Evaporadora. 40RUAA-12A1A6. Incluye protector de voltaje</t>
  </si>
  <si>
    <t>Lineas de refrigeración en descarga en TUBERIA DE COBRE FLEXIBLE DE 3/8". Incluye: accesorios de conexión soldar y elementos fijación</t>
  </si>
  <si>
    <t>Suministro e instalación de equipo tipo cassette 3 TR. CIAC R410A EVAPORADORA, 220V MONO REF: CK41B-036-3L1C - CONDENSADORAS DESCARGA VERTICAL 13 SEER R410A CARRIER, 220V MONO REF: 24ABC636A003/24. Incluye protector de voltaje</t>
  </si>
  <si>
    <t>Suministro e instalación líneas de refrigeración de 3/4" y 3/8" aisladas con Rubatex. Incluye: accesorios soldaduras, gas y elementos de conexión y fijación</t>
  </si>
  <si>
    <t xml:space="preserve">Ingeniería, seguridad, herramienta y dirección. </t>
  </si>
  <si>
    <t xml:space="preserve">Diseño sistema </t>
  </si>
  <si>
    <t>AIRE ACONDICIONADO</t>
  </si>
  <si>
    <t>16,10</t>
  </si>
  <si>
    <t>16,11</t>
  </si>
  <si>
    <t>16,12</t>
  </si>
  <si>
    <t>16,18</t>
  </si>
  <si>
    <t>SISTEMA ELECTRICO Y VOZ Y DATOS</t>
  </si>
  <si>
    <t xml:space="preserve">Salida para toma doble con polo a tierra en canal de escritorio modular", en 3N°12.  toma corriente 120V, adaptadores, conectores, cintas, </t>
  </si>
  <si>
    <t xml:space="preserve">Salida para toma doble regulado con polo a tierra en canal de escritorio modular", en 3N°12.  toma corriente 120V, adaptadores,  conectores, cintas, </t>
  </si>
  <si>
    <t>Salida de datos  RJ 45 cat categoría 6A  TIA-568-C.2, requerimientos para clase EA  ISO/IEC 11801, CENELEC EN 50173-1:2011 y  IEEE P802.3an estándar ratificado para requerimientos de canal que soporten aplicaciones 10GBASE-T. cumpla estándares industriales y estén en el listado UL y además sean calidad LEVITON ó superior.  face plates, módulos, elementos asociados,  marcación con placa en acrílico ó térmica y demás elementos necesarios para su correcta instalaciónNO INCLUYE EL CABLEADO CAT 6A, LAS CANTIDADES DE ESTA SE LIQUIDAN CON BASE AL DICTAMEN DEL EQUIPO CERTIFICADOR</t>
  </si>
  <si>
    <t>Salida de voz  RJ 45 cat 5e cables de 100 Ohmios cuyas características de transmisión están especificadas hasta 16 Mhz aplicable a normas TIA 568A/TIA 568B, cumpla estándares industriales y estén en el listado UL y además sean calidad LEVITON ó superior.  face plates, módulos, elementos asociados,  marcación con placa en acrílico ó térmica y demás elementos necesarios para su correcta instalación. NO INCLUYE EL CABLEADO CAT 6, LAS CANTIDADES DE ESTA SE LIQUIDAN CON BASE AL DICTAMEN DEL EQUIPO CERTIFICADOR</t>
  </si>
  <si>
    <t>suministro, transporte e instalacion de cable utp Categoría 6A cables de 100 Ohmios cuyas características de transmisión están especificadas hasta 500 Mhz y 10 Gbps (categoría 6A es definida en el estándar ANSI/TIA 568C – 2009).  para datos con correas de amarre y velcro</t>
  </si>
  <si>
    <t>suministro, transporte e instalacion de cable utp Categoría 5e: cables de 100 Ohmios cuyas características de transmisión están especificadas hasta 100 Mhz.leviton  para Voz con correas de amarre y velcro</t>
  </si>
  <si>
    <t>Suministro e instalacion de salida para toma doble con polo a tierra 120 vac en tuberia emt de 1/2 salidas expuestas incluye toma leviton, caja 12x12 tuberia y cableado en 3x12 salida hasta de 3mts</t>
  </si>
  <si>
    <t>Suministro e instalacion de salida iluminacion en  toma doble con polo a tierra 120 vac en tuberia emt de 1/2 salidas expuestas incluye toma leviton, caja 12x12 tuberia y cableado en 3x12 salida hasta de 3mts</t>
  </si>
  <si>
    <t>Suministro e instalacion de salida iluminacion en  interruptor sencillo  en tuberia emt de 1/2 salidas expuestas incluye aparato leviton, caja 12x12 tuberia y cableado en 3x12 salida hasta de 3mts</t>
  </si>
  <si>
    <t>8</t>
  </si>
  <si>
    <t>Suministro e instalacion de salida iluminacion en  interruptor doble en tuberia emt de 1/2 salidas expuestas incluye aparato leviton, caja 12x12 tuberia y cableado en 3x12 salida hasta de 3mts</t>
  </si>
  <si>
    <t>suministro e instalacion de luminaria 4x17 watios tipo rejilla</t>
  </si>
  <si>
    <t>20</t>
  </si>
  <si>
    <t>certificacion de canal completo cat 6a par datos y  5e voz</t>
  </si>
  <si>
    <t>canaleta plastica blanca 100x45 con divicion para puestos en pared madera  con curvas, uniones y codos</t>
  </si>
  <si>
    <t>suministro, transporte e instalacion de  patch panel de 24 puertos cat 5eleviton</t>
  </si>
  <si>
    <t>suministro, transporte e instalacion de  patch panel de 24 puertos cat 6A leviton</t>
  </si>
  <si>
    <t>suministro transporte e instalacion de ordenadores de cable horizontal para rack leviton de 5 anillos 19"x3,5"2UR</t>
  </si>
  <si>
    <t>patch cord cat 6a 3ft para instalacion en rack</t>
  </si>
  <si>
    <t>patch cord cat 6a 5ft para instalacion en rack</t>
  </si>
  <si>
    <t>patch cord cat 5e 3ft para instalacion en rack</t>
  </si>
  <si>
    <t>conexión en fibra optica fo tight buffer 6h/125.OM-3 int/ext sin armadura</t>
  </si>
  <si>
    <t>Bandeja 1ur para 72 hlc 36hsc 24hst o 24hfc</t>
  </si>
  <si>
    <t>placa 3ppv para 12 hilos  fibra multimodo</t>
  </si>
  <si>
    <t>placa ciega OPPVV</t>
  </si>
  <si>
    <t>conector simplexmultimodo</t>
  </si>
  <si>
    <t>SWITCH GEL-2870 L2 24x10/100/1000+4x(10/100/1000 o SFP)</t>
  </si>
  <si>
    <t>SWITCH GES-1652 WEB ST 16x10/100/1000+2x(10/100/1000 o SFP)</t>
  </si>
  <si>
    <t>CONVERTIDOR FVT-4001 RJ-45 A FIBRA OPTICA MULTIMODO SC 2KM</t>
  </si>
  <si>
    <t>TRANSCEPTOR SFP-3001 MULTIMODO 1.25G LC DX 550M (50/125μM)</t>
  </si>
  <si>
    <t>PATCH CORD DUPLEX PCVLCLCOM3-2 MULTIMODO-OM3 LC-LC 2M</t>
  </si>
  <si>
    <t>PATCH CORD DUPLEX PCVLCSCOM3-2 MULTIMODO-OM3 LC-SC 2M</t>
  </si>
  <si>
    <t>SUPRESOR 5500-192 RACK 19", 20AMP, 120VAC, 5-20R</t>
  </si>
  <si>
    <t>CHASIS FVT-4000 10 CONVERTIDORES FVT-4XXX,-6XXX Y GVT-4XXX</t>
  </si>
  <si>
    <t>M</t>
  </si>
  <si>
    <t>VALOR</t>
  </si>
  <si>
    <t>COSTOS DIRECTOS</t>
  </si>
  <si>
    <t>VALOR TOTAL</t>
  </si>
  <si>
    <t>COSTO TOTAL</t>
  </si>
  <si>
    <t>Impermeabilizacion de toda el area de la losa en manto y geotextil</t>
  </si>
  <si>
    <t>Ranura de dilataciòn en piso de concreto de F`C 21MPA E:0,08m, esta se realizara postconstrucciòn con maquina cartadora, a 1,5 cm de profundidad, 5mm de espesor con acabado en sikaflex.</t>
  </si>
  <si>
    <t>Multipar 25 pares hilos</t>
  </si>
  <si>
    <t>Canastilla liviana de 20 cm con separador</t>
  </si>
  <si>
    <t>MOBILIARIO</t>
  </si>
  <si>
    <t>Interlocutoras isoceles, sin brazos, base de 4 patas tubo oval en coldrolled de 1" calibre 16, pintura electroestatica negra, espaldar y asientos tapizado en espuma inyectada.</t>
  </si>
  <si>
    <t>Silla ergonomica , con brazos, contacto permanente avanzado, aiento tipo operativo en madera, espaldar medio polipropileno, tapizado espuma inyectada, rodachines nylon 0,50 mm, base nylon 320</t>
  </si>
  <si>
    <t>Mesas juntas ovalada 2,40 x 1,80 (12 superficies 2,40 x 1,80 en tablex calibre 25 - enchapado formica - borde canto rigido 2mm + 12 bases metalicas calibre 18 - pintura electroestatica)</t>
  </si>
  <si>
    <t>Puestos trabajo en l 1,80 x 1,55 semipeninsular (2 superficies 1,20x60 en tablex calibre 25 - enchapado formica - borde canto rigido 2mm + 2 superficies 1,55x60 en tablex calibre 25 - enchapado formica - borde canto rigido 2mm ) + 2 pedestales metalicos h calibre 18" +  2 pedestales metalicos torre calibre 18" +  2 archivadores 2x1 metalico calibre 20" .</t>
  </si>
  <si>
    <t>Puestos trabajo en l 1,80 x 1,80 semipeninsular (2 superficies 1,80x60 en tablex calibre 25 - enchapado formica - borde canto rigido 2mm + 2 superficies 1,20x60 en tablex calibre 25 - enchapado formica - borde canto rigido 2mm ) + 2 pedestales metalicos h calibre 18" +  2 pedestales metalicos torre calibre 18" + 2 archivadores 2x1 metalico calibre 20" .</t>
  </si>
  <si>
    <t>Mesas trabajo 2,00 x 70  (48 superficies 2,00 x 70 en tablex calibre 25 - formica - canto rigido 2mm + 96 pedestales madera 70 x 70 - tablex calibre 25 - formica - canto rigido 2mm ) + 48 tapafaldas madera 1,95 x 60 - tablex calibre 15 - formica - canto rigido 0,5 mm )</t>
  </si>
  <si>
    <t>Puestos trabajo en l 1,50 x 1,80 semipeninsular (4 superficies 1,50x60 en tablex calibre 25 - enchapado formica - borde canto rigido 2mm + 4 superficies 1,20x60 en tablex calibre 25 - enchapado formica - borde canto rigido 2mm ) + 4 pedestales metalicos h calibre 18" +  4 pedestales metalicos torre calibre 18" + 4 archivadores 2x1 metalico calibre 20" .</t>
  </si>
  <si>
    <t>Puestos trabajo en l 1,80 x 1,35 semipeninsular (6 superficies 1,20x60 en tablex calibre 25 - enchapado formica - borde canto rigido 2mm + 6 superficies 1,35x60 en tablex calibre 25 - enchapado formica - borde canto rigido 2mm ) + 6 pedestales metalicos h calibre 18" +  6 pedestales metalicos torre calibre 18" +  6 archivadores 2x1 metalico calibre 20" .</t>
  </si>
  <si>
    <t>“OBRAS CIVILES Y COMPLEMENTARIAS PARA LA ADECUACIÒN DE LOS LOCALES COMERCIALES DEL PABELLON VERDE DE PLAZA MAYOR MEDELLIN”</t>
  </si>
  <si>
    <t>ANEXO 4</t>
  </si>
  <si>
    <t>%</t>
  </si>
  <si>
    <t>AU %</t>
  </si>
  <si>
    <t>Iva 16% sobre la Utilidad (%)</t>
  </si>
  <si>
    <t>FIRMA DEL REPRESENTANTE LEGAL__________________________________________________</t>
  </si>
</sst>
</file>

<file path=xl/styles.xml><?xml version="1.0" encoding="utf-8"?>
<styleSheet xmlns="http://schemas.openxmlformats.org/spreadsheetml/2006/main">
  <numFmts count="2">
    <numFmt numFmtId="164" formatCode="0.0"/>
    <numFmt numFmtId="165" formatCode="[$$-240A]\ #,##0"/>
  </numFmts>
  <fonts count="13">
    <font>
      <sz val="11"/>
      <color theme="1"/>
      <name val="Calibri"/>
      <family val="2"/>
      <scheme val="minor"/>
    </font>
    <font>
      <sz val="10"/>
      <color theme="1"/>
      <name val="Calibri"/>
      <family val="2"/>
      <scheme val="minor"/>
    </font>
    <font>
      <b/>
      <sz val="10"/>
      <color theme="1"/>
      <name val="Calibri"/>
      <family val="2"/>
      <scheme val="minor"/>
    </font>
    <font>
      <b/>
      <sz val="14"/>
      <color rgb="FF666666"/>
      <name val="Inherit"/>
    </font>
    <font>
      <sz val="10"/>
      <color rgb="FFFF0000"/>
      <name val="Calibri"/>
      <family val="2"/>
      <scheme val="minor"/>
    </font>
    <font>
      <sz val="10"/>
      <name val="Calibri"/>
      <family val="2"/>
      <scheme val="minor"/>
    </font>
    <font>
      <sz val="10"/>
      <name val="Tahoma"/>
      <family val="2"/>
    </font>
    <font>
      <sz val="10"/>
      <name val="Arial"/>
      <family val="2"/>
    </font>
    <font>
      <sz val="10"/>
      <color indexed="24"/>
      <name val="Arial"/>
      <family val="2"/>
    </font>
    <font>
      <sz val="10"/>
      <name val="Arial MT"/>
    </font>
    <font>
      <sz val="12"/>
      <color rgb="FF000000"/>
      <name val="Calibri"/>
      <family val="2"/>
    </font>
    <font>
      <b/>
      <sz val="11"/>
      <color theme="1"/>
      <name val="Calibri"/>
      <family val="2"/>
    </font>
    <font>
      <b/>
      <sz val="12"/>
      <color theme="1"/>
      <name val="Calibri"/>
      <family val="2"/>
      <scheme val="minor"/>
    </font>
  </fonts>
  <fills count="2">
    <fill>
      <patternFill patternType="none"/>
    </fill>
    <fill>
      <patternFill patternType="gray125"/>
    </fill>
  </fills>
  <borders count="7">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s>
  <cellStyleXfs count="8">
    <xf numFmtId="0" fontId="0"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0" fontId="6" fillId="0" borderId="0"/>
    <xf numFmtId="3" fontId="8" fillId="0" borderId="0" applyFont="0" applyFill="0" applyBorder="0" applyAlignment="0" applyProtection="0"/>
    <xf numFmtId="0" fontId="9" fillId="0" borderId="0"/>
    <xf numFmtId="9" fontId="7" fillId="0" borderId="0" applyFont="0" applyFill="0" applyBorder="0" applyAlignment="0" applyProtection="0"/>
  </cellStyleXfs>
  <cellXfs count="46">
    <xf numFmtId="0" fontId="0" fillId="0" borderId="0" xfId="0"/>
    <xf numFmtId="0" fontId="1" fillId="0" borderId="0" xfId="0" applyFont="1" applyAlignment="1">
      <alignment horizontal="center" vertical="center"/>
    </xf>
    <xf numFmtId="0" fontId="2" fillId="0" borderId="0" xfId="0" applyFont="1"/>
    <xf numFmtId="0" fontId="1" fillId="0" borderId="0" xfId="0" applyFont="1"/>
    <xf numFmtId="0" fontId="1" fillId="0" borderId="0" xfId="0" applyNumberFormat="1" applyFont="1" applyAlignment="1">
      <alignment horizontal="left" vertical="center" wrapText="1"/>
    </xf>
    <xf numFmtId="0" fontId="1" fillId="0" borderId="1" xfId="0" applyFont="1" applyBorder="1" applyAlignment="1">
      <alignment horizontal="center" vertical="center"/>
    </xf>
    <xf numFmtId="0" fontId="2" fillId="0" borderId="1" xfId="0" applyFont="1" applyBorder="1"/>
    <xf numFmtId="0" fontId="1" fillId="0" borderId="1" xfId="0" applyFont="1" applyBorder="1"/>
    <xf numFmtId="0" fontId="3" fillId="0" borderId="0" xfId="0" applyFont="1"/>
    <xf numFmtId="0" fontId="1" fillId="0" borderId="1" xfId="0" applyFont="1" applyBorder="1" applyAlignment="1">
      <alignment vertical="center" wrapText="1"/>
    </xf>
    <xf numFmtId="0" fontId="2" fillId="0" borderId="1" xfId="0" applyFont="1" applyBorder="1" applyAlignment="1">
      <alignment vertical="center"/>
    </xf>
    <xf numFmtId="0" fontId="2" fillId="0" borderId="1" xfId="0" applyFont="1" applyBorder="1" applyAlignment="1">
      <alignment vertical="center" wrapText="1"/>
    </xf>
    <xf numFmtId="0" fontId="1" fillId="0" borderId="1" xfId="0" applyFont="1" applyBorder="1" applyAlignment="1">
      <alignment vertical="center"/>
    </xf>
    <xf numFmtId="0" fontId="1" fillId="0" borderId="0" xfId="0" applyFont="1" applyAlignment="1">
      <alignment vertical="center"/>
    </xf>
    <xf numFmtId="2" fontId="1" fillId="0" borderId="1" xfId="0" applyNumberFormat="1" applyFont="1" applyBorder="1" applyAlignment="1">
      <alignment horizontal="center" vertical="center"/>
    </xf>
    <xf numFmtId="0" fontId="1" fillId="0" borderId="1" xfId="0" applyFont="1" applyFill="1" applyBorder="1" applyAlignment="1">
      <alignment vertical="center" wrapText="1"/>
    </xf>
    <xf numFmtId="0" fontId="1" fillId="0" borderId="1" xfId="0" applyFont="1" applyFill="1" applyBorder="1" applyAlignment="1">
      <alignment horizontal="center" vertical="center"/>
    </xf>
    <xf numFmtId="2" fontId="1" fillId="0" borderId="1" xfId="0" applyNumberFormat="1" applyFont="1" applyFill="1" applyBorder="1" applyAlignment="1">
      <alignment horizontal="center" vertical="center"/>
    </xf>
    <xf numFmtId="165" fontId="1" fillId="0" borderId="1" xfId="0" applyNumberFormat="1" applyFont="1" applyFill="1" applyBorder="1" applyAlignment="1">
      <alignment horizontal="center" vertical="center"/>
    </xf>
    <xf numFmtId="2" fontId="2" fillId="0" borderId="1" xfId="0" applyNumberFormat="1" applyFont="1" applyBorder="1" applyAlignment="1">
      <alignment horizontal="center" vertical="center"/>
    </xf>
    <xf numFmtId="9" fontId="2" fillId="0" borderId="1" xfId="0" applyNumberFormat="1" applyFont="1" applyBorder="1" applyAlignment="1">
      <alignment horizontal="center" vertical="center"/>
    </xf>
    <xf numFmtId="165" fontId="1" fillId="0" borderId="3" xfId="0" applyNumberFormat="1" applyFont="1" applyFill="1" applyBorder="1" applyAlignment="1">
      <alignment horizontal="center" vertical="center"/>
    </xf>
    <xf numFmtId="0" fontId="1" fillId="0" borderId="2" xfId="0" applyFont="1" applyBorder="1" applyAlignment="1">
      <alignment horizontal="center" vertical="center"/>
    </xf>
    <xf numFmtId="0" fontId="1" fillId="0" borderId="3" xfId="0" applyFont="1" applyBorder="1"/>
    <xf numFmtId="0" fontId="2" fillId="0" borderId="2" xfId="0" applyFont="1" applyBorder="1" applyAlignment="1">
      <alignment horizontal="center" vertical="center"/>
    </xf>
    <xf numFmtId="0" fontId="1" fillId="0" borderId="2" xfId="0" applyNumberFormat="1" applyFont="1" applyBorder="1" applyAlignment="1">
      <alignment horizontal="center" vertical="center" wrapText="1"/>
    </xf>
    <xf numFmtId="2" fontId="1" fillId="0" borderId="2" xfId="0" applyNumberFormat="1" applyFont="1" applyBorder="1" applyAlignment="1">
      <alignment horizontal="center" vertical="center"/>
    </xf>
    <xf numFmtId="164" fontId="1" fillId="0" borderId="2" xfId="0" applyNumberFormat="1" applyFont="1" applyBorder="1" applyAlignment="1">
      <alignment horizontal="center" vertical="center"/>
    </xf>
    <xf numFmtId="2" fontId="1" fillId="0" borderId="0" xfId="0" applyNumberFormat="1" applyFont="1" applyBorder="1" applyAlignment="1">
      <alignment horizontal="center" vertical="center"/>
    </xf>
    <xf numFmtId="0" fontId="1" fillId="0" borderId="0" xfId="0" applyFont="1" applyFill="1" applyBorder="1" applyAlignment="1">
      <alignment vertical="center" wrapText="1"/>
    </xf>
    <xf numFmtId="0" fontId="1" fillId="0" borderId="0" xfId="0" applyFont="1" applyFill="1" applyBorder="1" applyAlignment="1">
      <alignment horizontal="center" vertical="center"/>
    </xf>
    <xf numFmtId="2" fontId="1" fillId="0" borderId="0" xfId="0" applyNumberFormat="1" applyFont="1" applyFill="1" applyBorder="1" applyAlignment="1">
      <alignment horizontal="center" vertical="center"/>
    </xf>
    <xf numFmtId="165" fontId="1" fillId="0" borderId="0" xfId="0" applyNumberFormat="1" applyFont="1" applyFill="1" applyBorder="1" applyAlignment="1">
      <alignment horizontal="center" vertical="center"/>
    </xf>
    <xf numFmtId="165" fontId="1" fillId="0" borderId="0" xfId="0" applyNumberFormat="1" applyFont="1"/>
    <xf numFmtId="0" fontId="2" fillId="0" borderId="1" xfId="0" applyFont="1" applyBorder="1" applyAlignment="1">
      <alignment horizontal="center" vertical="center"/>
    </xf>
    <xf numFmtId="0" fontId="10" fillId="0" borderId="0" xfId="0" applyFont="1" applyAlignment="1">
      <alignment horizontal="justify"/>
    </xf>
    <xf numFmtId="3" fontId="10" fillId="0" borderId="0" xfId="0" applyNumberFormat="1" applyFont="1" applyAlignment="1">
      <alignment horizontal="justify"/>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2" fillId="0" borderId="1" xfId="0" applyFont="1" applyFill="1" applyBorder="1" applyAlignment="1">
      <alignment vertical="center"/>
    </xf>
    <xf numFmtId="0" fontId="1" fillId="0" borderId="1" xfId="0" applyNumberFormat="1" applyFont="1" applyFill="1" applyBorder="1" applyAlignment="1">
      <alignment vertical="center" wrapText="1"/>
    </xf>
    <xf numFmtId="0" fontId="11" fillId="0" borderId="1" xfId="0" applyFont="1" applyBorder="1" applyAlignment="1">
      <alignment horizontal="center" vertical="center" wrapText="1"/>
    </xf>
    <xf numFmtId="0" fontId="12" fillId="0" borderId="1" xfId="0" applyFont="1" applyBorder="1" applyAlignment="1">
      <alignment horizontal="center" vertical="center"/>
    </xf>
    <xf numFmtId="0" fontId="1" fillId="0" borderId="1" xfId="0" applyFont="1" applyBorder="1" applyAlignment="1">
      <alignment horizontal="center" vertical="center"/>
    </xf>
    <xf numFmtId="0" fontId="2" fillId="0" borderId="1" xfId="0" applyFont="1" applyBorder="1" applyAlignment="1">
      <alignment horizontal="center" vertical="center"/>
    </xf>
  </cellXfs>
  <cellStyles count="8">
    <cellStyle name="Comma0" xfId="5"/>
    <cellStyle name="Normal" xfId="0" builtinId="0"/>
    <cellStyle name="Normal 2" xfId="1"/>
    <cellStyle name="Normal 2 3" xfId="6"/>
    <cellStyle name="Normal 8" xfId="4"/>
    <cellStyle name="Porcentaje 2" xfId="2"/>
    <cellStyle name="Porcentaje 3" xfId="3"/>
    <cellStyle name="Porcentual 5" xfId="7"/>
  </cellStyles>
  <dxfs count="1">
    <dxf>
      <font>
        <condense val="0"/>
        <extend val="0"/>
        <color indexed="9"/>
      </font>
    </dxf>
  </dxfs>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L177"/>
  <sheetViews>
    <sheetView tabSelected="1" topLeftCell="A46" zoomScale="80" zoomScaleNormal="80" workbookViewId="0">
      <selection activeCell="I161" sqref="I161"/>
    </sheetView>
  </sheetViews>
  <sheetFormatPr baseColWidth="10" defaultRowHeight="12.75"/>
  <cols>
    <col min="1" max="1" width="5.85546875" style="1" customWidth="1"/>
    <col min="2" max="2" width="44.28515625" style="13" customWidth="1"/>
    <col min="3" max="3" width="11.42578125" style="1"/>
    <col min="4" max="4" width="13.5703125" style="1" bestFit="1" customWidth="1"/>
    <col min="5" max="5" width="13.7109375" style="3" customWidth="1"/>
    <col min="6" max="6" width="17.140625" style="3" customWidth="1"/>
    <col min="7" max="7" width="14.140625" style="3" customWidth="1"/>
    <col min="8" max="8" width="11.42578125" style="3"/>
    <col min="9" max="9" width="15.28515625" style="3" bestFit="1" customWidth="1"/>
    <col min="10" max="10" width="16.28515625" style="3" customWidth="1"/>
    <col min="11" max="11" width="12" style="3" bestFit="1" customWidth="1"/>
    <col min="12" max="16384" width="11.42578125" style="3"/>
  </cols>
  <sheetData>
    <row r="1" spans="1:12" ht="15.75">
      <c r="A1" s="43" t="s">
        <v>176</v>
      </c>
      <c r="B1" s="43"/>
      <c r="C1" s="43"/>
      <c r="D1" s="43"/>
      <c r="E1" s="43"/>
      <c r="F1" s="43"/>
    </row>
    <row r="2" spans="1:12" ht="15" customHeight="1">
      <c r="A2" s="42" t="s">
        <v>175</v>
      </c>
      <c r="B2" s="42"/>
      <c r="C2" s="42"/>
      <c r="D2" s="42"/>
      <c r="E2" s="42"/>
      <c r="F2" s="42"/>
    </row>
    <row r="3" spans="1:12" ht="12.75" customHeight="1">
      <c r="A3" s="42"/>
      <c r="B3" s="42"/>
      <c r="C3" s="42"/>
      <c r="D3" s="42"/>
      <c r="E3" s="42"/>
      <c r="F3" s="42"/>
    </row>
    <row r="4" spans="1:12" ht="12.75" customHeight="1">
      <c r="A4" s="42"/>
      <c r="B4" s="42"/>
      <c r="C4" s="42"/>
      <c r="D4" s="42"/>
      <c r="E4" s="42"/>
      <c r="F4" s="42"/>
    </row>
    <row r="5" spans="1:12">
      <c r="A5" s="44"/>
      <c r="B5" s="44"/>
      <c r="C5" s="44"/>
      <c r="D5" s="44"/>
      <c r="E5" s="44"/>
      <c r="F5" s="44"/>
    </row>
    <row r="6" spans="1:12">
      <c r="A6" s="37" t="s">
        <v>11</v>
      </c>
      <c r="B6" s="38" t="s">
        <v>12</v>
      </c>
      <c r="C6" s="38" t="s">
        <v>57</v>
      </c>
      <c r="D6" s="38" t="s">
        <v>13</v>
      </c>
      <c r="E6" s="38" t="s">
        <v>14</v>
      </c>
      <c r="F6" s="39" t="s">
        <v>158</v>
      </c>
    </row>
    <row r="7" spans="1:12">
      <c r="A7" s="22">
        <v>1</v>
      </c>
      <c r="B7" s="10" t="s">
        <v>1</v>
      </c>
      <c r="C7" s="5"/>
      <c r="D7" s="5"/>
      <c r="E7" s="7"/>
      <c r="F7" s="23"/>
    </row>
    <row r="8" spans="1:12" ht="68.25" customHeight="1">
      <c r="A8" s="22">
        <v>1.1000000000000001</v>
      </c>
      <c r="B8" s="9" t="s">
        <v>2</v>
      </c>
      <c r="C8" s="5" t="s">
        <v>51</v>
      </c>
      <c r="D8" s="14">
        <v>250</v>
      </c>
      <c r="E8" s="18"/>
      <c r="F8" s="21">
        <f>+D8*E8</f>
        <v>0</v>
      </c>
    </row>
    <row r="9" spans="1:12">
      <c r="A9" s="22">
        <v>2</v>
      </c>
      <c r="B9" s="11" t="s">
        <v>3</v>
      </c>
      <c r="C9" s="5"/>
      <c r="D9" s="14"/>
      <c r="E9" s="18"/>
      <c r="F9" s="21"/>
    </row>
    <row r="10" spans="1:12" ht="120.75" customHeight="1">
      <c r="A10" s="22">
        <v>2.1</v>
      </c>
      <c r="B10" s="9" t="s">
        <v>4</v>
      </c>
      <c r="C10" s="5" t="s">
        <v>52</v>
      </c>
      <c r="D10" s="14">
        <v>1</v>
      </c>
      <c r="E10" s="18"/>
      <c r="F10" s="21">
        <f t="shared" ref="F10:F73" si="0">+D10*E10</f>
        <v>0</v>
      </c>
    </row>
    <row r="11" spans="1:12">
      <c r="A11" s="24">
        <v>3</v>
      </c>
      <c r="B11" s="11" t="s">
        <v>5</v>
      </c>
      <c r="C11" s="5"/>
      <c r="D11" s="14"/>
      <c r="E11" s="18"/>
      <c r="F11" s="21"/>
    </row>
    <row r="12" spans="1:12" ht="40.5" customHeight="1">
      <c r="A12" s="22"/>
      <c r="B12" s="9" t="s">
        <v>162</v>
      </c>
      <c r="C12" s="5" t="s">
        <v>51</v>
      </c>
      <c r="D12" s="14">
        <v>900</v>
      </c>
      <c r="E12" s="18"/>
      <c r="F12" s="21">
        <f>+D12*E12</f>
        <v>0</v>
      </c>
    </row>
    <row r="13" spans="1:12">
      <c r="A13" s="24">
        <v>4</v>
      </c>
      <c r="B13" s="10" t="s">
        <v>6</v>
      </c>
      <c r="C13" s="5"/>
      <c r="D13" s="14"/>
      <c r="E13" s="18"/>
      <c r="F13" s="21"/>
    </row>
    <row r="14" spans="1:12" ht="38.25">
      <c r="A14" s="22">
        <v>4.0999999999999996</v>
      </c>
      <c r="B14" s="9" t="s">
        <v>7</v>
      </c>
      <c r="C14" s="5" t="s">
        <v>51</v>
      </c>
      <c r="D14" s="14">
        <v>900</v>
      </c>
      <c r="E14" s="18"/>
      <c r="F14" s="21">
        <f t="shared" si="0"/>
        <v>0</v>
      </c>
      <c r="J14" s="33"/>
    </row>
    <row r="15" spans="1:12" ht="58.5" customHeight="1">
      <c r="A15" s="22">
        <v>4.2</v>
      </c>
      <c r="B15" s="9" t="s">
        <v>163</v>
      </c>
      <c r="C15" s="5" t="s">
        <v>56</v>
      </c>
      <c r="D15" s="14">
        <v>2700</v>
      </c>
      <c r="E15" s="18"/>
      <c r="F15" s="21">
        <f>+D15*E15</f>
        <v>0</v>
      </c>
    </row>
    <row r="16" spans="1:12" ht="39.75" customHeight="1">
      <c r="A16" s="22">
        <v>4.3</v>
      </c>
      <c r="B16" s="15" t="s">
        <v>15</v>
      </c>
      <c r="C16" s="16" t="s">
        <v>51</v>
      </c>
      <c r="D16" s="17">
        <v>900</v>
      </c>
      <c r="E16" s="18"/>
      <c r="F16" s="21">
        <f>+D16*E16</f>
        <v>0</v>
      </c>
      <c r="L16" s="2"/>
    </row>
    <row r="17" spans="1:12" ht="18.75" customHeight="1">
      <c r="A17" s="24">
        <v>5</v>
      </c>
      <c r="B17" s="40" t="s">
        <v>50</v>
      </c>
      <c r="C17" s="16"/>
      <c r="D17" s="17"/>
      <c r="E17" s="18"/>
      <c r="F17" s="21"/>
      <c r="L17" s="4"/>
    </row>
    <row r="18" spans="1:12" ht="98.25" customHeight="1">
      <c r="A18" s="25">
        <v>5.0999999999999996</v>
      </c>
      <c r="B18" s="41" t="s">
        <v>0</v>
      </c>
      <c r="C18" s="16" t="s">
        <v>51</v>
      </c>
      <c r="D18" s="17">
        <v>510</v>
      </c>
      <c r="E18" s="18"/>
      <c r="F18" s="21">
        <f t="shared" si="0"/>
        <v>0</v>
      </c>
    </row>
    <row r="19" spans="1:12">
      <c r="A19" s="24">
        <v>6</v>
      </c>
      <c r="B19" s="10" t="s">
        <v>8</v>
      </c>
      <c r="C19" s="5"/>
      <c r="D19" s="14"/>
      <c r="E19" s="18"/>
      <c r="F19" s="21"/>
    </row>
    <row r="20" spans="1:12" ht="80.25" customHeight="1">
      <c r="A20" s="22">
        <v>6.1</v>
      </c>
      <c r="B20" s="9" t="s">
        <v>53</v>
      </c>
      <c r="C20" s="5" t="s">
        <v>51</v>
      </c>
      <c r="D20" s="14">
        <v>30</v>
      </c>
      <c r="E20" s="18"/>
      <c r="F20" s="21">
        <f t="shared" si="0"/>
        <v>0</v>
      </c>
    </row>
    <row r="21" spans="1:12" ht="78.75" customHeight="1">
      <c r="A21" s="22">
        <v>6.2</v>
      </c>
      <c r="B21" s="9" t="s">
        <v>54</v>
      </c>
      <c r="C21" s="5" t="s">
        <v>51</v>
      </c>
      <c r="D21" s="14">
        <v>80</v>
      </c>
      <c r="E21" s="18"/>
      <c r="F21" s="21">
        <f t="shared" si="0"/>
        <v>0</v>
      </c>
    </row>
    <row r="22" spans="1:12" ht="80.25" customHeight="1">
      <c r="A22" s="22">
        <v>6.3</v>
      </c>
      <c r="B22" s="9" t="s">
        <v>55</v>
      </c>
      <c r="C22" s="5" t="s">
        <v>51</v>
      </c>
      <c r="D22" s="14">
        <v>70</v>
      </c>
      <c r="E22" s="18"/>
      <c r="F22" s="21">
        <f t="shared" si="0"/>
        <v>0</v>
      </c>
    </row>
    <row r="23" spans="1:12" ht="41.25" customHeight="1">
      <c r="A23" s="22">
        <v>6.4</v>
      </c>
      <c r="B23" s="9" t="s">
        <v>46</v>
      </c>
      <c r="C23" s="5" t="s">
        <v>51</v>
      </c>
      <c r="D23" s="14">
        <v>10</v>
      </c>
      <c r="E23" s="18"/>
      <c r="F23" s="21">
        <f t="shared" si="0"/>
        <v>0</v>
      </c>
    </row>
    <row r="24" spans="1:12">
      <c r="A24" s="24">
        <v>7</v>
      </c>
      <c r="B24" s="10" t="s">
        <v>9</v>
      </c>
      <c r="C24" s="5"/>
      <c r="D24" s="14"/>
      <c r="E24" s="18"/>
      <c r="F24" s="21"/>
    </row>
    <row r="25" spans="1:12" ht="55.5" customHeight="1">
      <c r="A25" s="22">
        <v>7.1</v>
      </c>
      <c r="B25" s="9" t="s">
        <v>25</v>
      </c>
      <c r="C25" s="5" t="s">
        <v>57</v>
      </c>
      <c r="D25" s="14">
        <v>9</v>
      </c>
      <c r="E25" s="18"/>
      <c r="F25" s="21">
        <f t="shared" si="0"/>
        <v>0</v>
      </c>
    </row>
    <row r="26" spans="1:12" ht="27.75" customHeight="1">
      <c r="A26" s="22">
        <v>7.2</v>
      </c>
      <c r="B26" s="9" t="s">
        <v>16</v>
      </c>
      <c r="C26" s="5" t="s">
        <v>57</v>
      </c>
      <c r="D26" s="14">
        <v>3</v>
      </c>
      <c r="E26" s="18"/>
      <c r="F26" s="21">
        <f t="shared" si="0"/>
        <v>0</v>
      </c>
    </row>
    <row r="27" spans="1:12" ht="25.5">
      <c r="A27" s="22">
        <v>7.3</v>
      </c>
      <c r="B27" s="9" t="s">
        <v>26</v>
      </c>
      <c r="C27" s="5" t="s">
        <v>57</v>
      </c>
      <c r="D27" s="14">
        <v>12</v>
      </c>
      <c r="E27" s="18"/>
      <c r="F27" s="21">
        <f t="shared" si="0"/>
        <v>0</v>
      </c>
      <c r="G27" s="8"/>
    </row>
    <row r="28" spans="1:12" ht="38.25">
      <c r="A28" s="22">
        <v>7.4</v>
      </c>
      <c r="B28" s="9" t="s">
        <v>64</v>
      </c>
      <c r="C28" s="5" t="s">
        <v>57</v>
      </c>
      <c r="D28" s="14">
        <v>3</v>
      </c>
      <c r="E28" s="18"/>
      <c r="F28" s="21">
        <f t="shared" si="0"/>
        <v>0</v>
      </c>
    </row>
    <row r="29" spans="1:12" ht="28.5" customHeight="1">
      <c r="A29" s="22">
        <v>7.5</v>
      </c>
      <c r="B29" s="9" t="s">
        <v>10</v>
      </c>
      <c r="C29" s="5" t="s">
        <v>57</v>
      </c>
      <c r="D29" s="14">
        <v>12</v>
      </c>
      <c r="E29" s="18"/>
      <c r="F29" s="21">
        <f t="shared" si="0"/>
        <v>0</v>
      </c>
    </row>
    <row r="30" spans="1:12" ht="30" customHeight="1">
      <c r="A30" s="22">
        <v>7.6</v>
      </c>
      <c r="B30" s="9" t="s">
        <v>65</v>
      </c>
      <c r="C30" s="5" t="s">
        <v>57</v>
      </c>
      <c r="D30" s="14">
        <v>3</v>
      </c>
      <c r="E30" s="18"/>
      <c r="F30" s="21">
        <f t="shared" si="0"/>
        <v>0</v>
      </c>
    </row>
    <row r="31" spans="1:12" ht="42" customHeight="1">
      <c r="A31" s="22">
        <v>7.7</v>
      </c>
      <c r="B31" s="9" t="s">
        <v>20</v>
      </c>
      <c r="C31" s="5" t="s">
        <v>57</v>
      </c>
      <c r="D31" s="14">
        <v>9</v>
      </c>
      <c r="E31" s="18"/>
      <c r="F31" s="21">
        <f t="shared" si="0"/>
        <v>0</v>
      </c>
    </row>
    <row r="32" spans="1:12" ht="38.25">
      <c r="A32" s="22">
        <v>7.8</v>
      </c>
      <c r="B32" s="9" t="s">
        <v>59</v>
      </c>
      <c r="C32" s="5" t="s">
        <v>57</v>
      </c>
      <c r="D32" s="14">
        <v>12</v>
      </c>
      <c r="E32" s="18"/>
      <c r="F32" s="21">
        <f t="shared" si="0"/>
        <v>0</v>
      </c>
    </row>
    <row r="33" spans="1:6" ht="55.5" customHeight="1">
      <c r="A33" s="22">
        <v>7.9</v>
      </c>
      <c r="B33" s="9" t="s">
        <v>60</v>
      </c>
      <c r="C33" s="5" t="s">
        <v>57</v>
      </c>
      <c r="D33" s="14">
        <v>3</v>
      </c>
      <c r="E33" s="18"/>
      <c r="F33" s="21">
        <f t="shared" si="0"/>
        <v>0</v>
      </c>
    </row>
    <row r="34" spans="1:6" ht="25.5">
      <c r="A34" s="22" t="s">
        <v>28</v>
      </c>
      <c r="B34" s="9" t="s">
        <v>29</v>
      </c>
      <c r="C34" s="5" t="s">
        <v>57</v>
      </c>
      <c r="D34" s="14">
        <v>3</v>
      </c>
      <c r="E34" s="18"/>
      <c r="F34" s="21">
        <f t="shared" si="0"/>
        <v>0</v>
      </c>
    </row>
    <row r="35" spans="1:6" ht="25.5">
      <c r="A35" s="22">
        <v>7.11</v>
      </c>
      <c r="B35" s="9" t="s">
        <v>30</v>
      </c>
      <c r="C35" s="5" t="s">
        <v>57</v>
      </c>
      <c r="D35" s="14">
        <v>3</v>
      </c>
      <c r="E35" s="18"/>
      <c r="F35" s="21">
        <f t="shared" si="0"/>
        <v>0</v>
      </c>
    </row>
    <row r="36" spans="1:6" ht="25.5">
      <c r="A36" s="22">
        <v>7.12</v>
      </c>
      <c r="B36" s="9" t="s">
        <v>63</v>
      </c>
      <c r="C36" s="5" t="s">
        <v>57</v>
      </c>
      <c r="D36" s="14">
        <v>9</v>
      </c>
      <c r="E36" s="18"/>
      <c r="F36" s="21">
        <f t="shared" si="0"/>
        <v>0</v>
      </c>
    </row>
    <row r="37" spans="1:6">
      <c r="A37" s="24">
        <v>8</v>
      </c>
      <c r="B37" s="10" t="s">
        <v>22</v>
      </c>
      <c r="C37" s="5"/>
      <c r="D37" s="14"/>
      <c r="E37" s="18"/>
      <c r="F37" s="21"/>
    </row>
    <row r="38" spans="1:6" ht="67.5" customHeight="1">
      <c r="A38" s="22">
        <v>8.1</v>
      </c>
      <c r="B38" s="9" t="s">
        <v>18</v>
      </c>
      <c r="C38" s="5" t="s">
        <v>57</v>
      </c>
      <c r="D38" s="14">
        <v>2</v>
      </c>
      <c r="E38" s="18"/>
      <c r="F38" s="21">
        <f>+D38*E38</f>
        <v>0</v>
      </c>
    </row>
    <row r="39" spans="1:6" ht="40.5" customHeight="1">
      <c r="A39" s="22">
        <v>8.1999999999999993</v>
      </c>
      <c r="B39" s="9" t="s">
        <v>17</v>
      </c>
      <c r="C39" s="5" t="s">
        <v>57</v>
      </c>
      <c r="D39" s="14">
        <v>28</v>
      </c>
      <c r="E39" s="18"/>
      <c r="F39" s="21">
        <f>+D39*E39</f>
        <v>0</v>
      </c>
    </row>
    <row r="40" spans="1:6" ht="81.75" customHeight="1">
      <c r="A40" s="22">
        <v>8.3000000000000007</v>
      </c>
      <c r="B40" s="9" t="s">
        <v>19</v>
      </c>
      <c r="C40" s="5" t="s">
        <v>57</v>
      </c>
      <c r="D40" s="14">
        <v>10</v>
      </c>
      <c r="E40" s="18"/>
      <c r="F40" s="21">
        <f>+D40*E40</f>
        <v>0</v>
      </c>
    </row>
    <row r="41" spans="1:6" ht="69.75" customHeight="1">
      <c r="A41" s="22">
        <v>8.4</v>
      </c>
      <c r="B41" s="9" t="s">
        <v>23</v>
      </c>
      <c r="C41" s="5" t="s">
        <v>57</v>
      </c>
      <c r="D41" s="14">
        <v>9</v>
      </c>
      <c r="E41" s="18"/>
      <c r="F41" s="21">
        <f>+D41*E41</f>
        <v>0</v>
      </c>
    </row>
    <row r="42" spans="1:6" ht="54.75" customHeight="1">
      <c r="A42" s="22">
        <v>8.5</v>
      </c>
      <c r="B42" s="9" t="s">
        <v>24</v>
      </c>
      <c r="C42" s="5" t="s">
        <v>57</v>
      </c>
      <c r="D42" s="14">
        <v>9</v>
      </c>
      <c r="E42" s="18"/>
      <c r="F42" s="21">
        <f>+D42*E42</f>
        <v>0</v>
      </c>
    </row>
    <row r="43" spans="1:6">
      <c r="A43" s="24">
        <v>9</v>
      </c>
      <c r="B43" s="10" t="s">
        <v>21</v>
      </c>
      <c r="C43" s="5"/>
      <c r="D43" s="14"/>
      <c r="E43" s="18"/>
      <c r="F43" s="21"/>
    </row>
    <row r="44" spans="1:6" ht="38.25">
      <c r="A44" s="22">
        <v>9.1</v>
      </c>
      <c r="B44" s="9" t="s">
        <v>27</v>
      </c>
      <c r="C44" s="5" t="s">
        <v>51</v>
      </c>
      <c r="D44" s="14">
        <v>40</v>
      </c>
      <c r="E44" s="18"/>
      <c r="F44" s="21">
        <f>+D44*E44</f>
        <v>0</v>
      </c>
    </row>
    <row r="45" spans="1:6" ht="38.25">
      <c r="A45" s="22">
        <v>9.1999999999999993</v>
      </c>
      <c r="B45" s="9" t="s">
        <v>31</v>
      </c>
      <c r="C45" s="5" t="s">
        <v>51</v>
      </c>
      <c r="D45" s="14">
        <v>120</v>
      </c>
      <c r="E45" s="18"/>
      <c r="F45" s="21">
        <f>+D45*E45</f>
        <v>0</v>
      </c>
    </row>
    <row r="46" spans="1:6">
      <c r="A46" s="24">
        <v>10</v>
      </c>
      <c r="B46" s="10" t="s">
        <v>32</v>
      </c>
      <c r="C46" s="34"/>
      <c r="D46" s="19"/>
      <c r="E46" s="18"/>
      <c r="F46" s="21"/>
    </row>
    <row r="47" spans="1:6" ht="39.75" customHeight="1">
      <c r="A47" s="22">
        <v>10.1</v>
      </c>
      <c r="B47" s="9" t="s">
        <v>33</v>
      </c>
      <c r="C47" s="5" t="s">
        <v>58</v>
      </c>
      <c r="D47" s="14">
        <v>180</v>
      </c>
      <c r="E47" s="18"/>
      <c r="F47" s="21">
        <f>+D47*E47</f>
        <v>0</v>
      </c>
    </row>
    <row r="48" spans="1:6" ht="26.25" customHeight="1">
      <c r="A48" s="22">
        <v>10.199999999999999</v>
      </c>
      <c r="B48" s="9" t="s">
        <v>34</v>
      </c>
      <c r="C48" s="5" t="s">
        <v>58</v>
      </c>
      <c r="D48" s="14">
        <v>10</v>
      </c>
      <c r="E48" s="18"/>
      <c r="F48" s="21">
        <f>+D48*E48</f>
        <v>0</v>
      </c>
    </row>
    <row r="49" spans="1:6">
      <c r="A49" s="24">
        <v>11</v>
      </c>
      <c r="B49" s="10" t="s">
        <v>35</v>
      </c>
      <c r="C49" s="34"/>
      <c r="D49" s="19"/>
      <c r="E49" s="18"/>
      <c r="F49" s="21"/>
    </row>
    <row r="50" spans="1:6">
      <c r="A50" s="22">
        <v>11.1</v>
      </c>
      <c r="B50" s="12" t="s">
        <v>37</v>
      </c>
      <c r="C50" s="5" t="s">
        <v>56</v>
      </c>
      <c r="D50" s="14">
        <v>10</v>
      </c>
      <c r="E50" s="18"/>
      <c r="F50" s="21">
        <f>+D50*E50</f>
        <v>0</v>
      </c>
    </row>
    <row r="51" spans="1:6">
      <c r="A51" s="22">
        <v>11.2</v>
      </c>
      <c r="B51" s="12" t="s">
        <v>36</v>
      </c>
      <c r="C51" s="5" t="s">
        <v>56</v>
      </c>
      <c r="D51" s="14">
        <v>15</v>
      </c>
      <c r="E51" s="18"/>
      <c r="F51" s="21">
        <f t="shared" ref="F51:F52" si="1">+D51*E51</f>
        <v>0</v>
      </c>
    </row>
    <row r="52" spans="1:6">
      <c r="A52" s="22">
        <v>11.3</v>
      </c>
      <c r="B52" s="12" t="s">
        <v>38</v>
      </c>
      <c r="C52" s="5" t="s">
        <v>56</v>
      </c>
      <c r="D52" s="14">
        <v>40</v>
      </c>
      <c r="E52" s="18"/>
      <c r="F52" s="21">
        <f t="shared" si="1"/>
        <v>0</v>
      </c>
    </row>
    <row r="53" spans="1:6">
      <c r="A53" s="24">
        <v>12</v>
      </c>
      <c r="B53" s="10" t="s">
        <v>39</v>
      </c>
      <c r="C53" s="34"/>
      <c r="D53" s="19"/>
      <c r="E53" s="18"/>
      <c r="F53" s="21"/>
    </row>
    <row r="54" spans="1:6">
      <c r="A54" s="22">
        <v>12.1</v>
      </c>
      <c r="B54" s="12" t="s">
        <v>40</v>
      </c>
      <c r="C54" s="5" t="s">
        <v>57</v>
      </c>
      <c r="D54" s="14">
        <v>25</v>
      </c>
      <c r="E54" s="18"/>
      <c r="F54" s="21">
        <f>+D54*E54</f>
        <v>0</v>
      </c>
    </row>
    <row r="55" spans="1:6">
      <c r="A55" s="22">
        <v>12.2</v>
      </c>
      <c r="B55" s="12" t="s">
        <v>41</v>
      </c>
      <c r="C55" s="5" t="s">
        <v>57</v>
      </c>
      <c r="D55" s="14">
        <v>9</v>
      </c>
      <c r="E55" s="18"/>
      <c r="F55" s="21">
        <f t="shared" ref="F55:F57" si="2">+D55*E55</f>
        <v>0</v>
      </c>
    </row>
    <row r="56" spans="1:6">
      <c r="A56" s="22">
        <v>12.3</v>
      </c>
      <c r="B56" s="12" t="s">
        <v>42</v>
      </c>
      <c r="C56" s="5" t="s">
        <v>56</v>
      </c>
      <c r="D56" s="14">
        <v>20</v>
      </c>
      <c r="E56" s="18"/>
      <c r="F56" s="21">
        <f t="shared" si="2"/>
        <v>0</v>
      </c>
    </row>
    <row r="57" spans="1:6">
      <c r="A57" s="22">
        <v>12.4</v>
      </c>
      <c r="B57" s="12" t="s">
        <v>43</v>
      </c>
      <c r="C57" s="5" t="s">
        <v>56</v>
      </c>
      <c r="D57" s="14">
        <v>40</v>
      </c>
      <c r="E57" s="18"/>
      <c r="F57" s="21">
        <f t="shared" si="2"/>
        <v>0</v>
      </c>
    </row>
    <row r="58" spans="1:6">
      <c r="A58" s="24">
        <v>13</v>
      </c>
      <c r="B58" s="10" t="s">
        <v>44</v>
      </c>
      <c r="C58" s="34"/>
      <c r="D58" s="19"/>
      <c r="E58" s="18"/>
      <c r="F58" s="21"/>
    </row>
    <row r="59" spans="1:6" ht="38.25">
      <c r="A59" s="22">
        <v>13.1</v>
      </c>
      <c r="B59" s="9" t="s">
        <v>61</v>
      </c>
      <c r="C59" s="5" t="s">
        <v>51</v>
      </c>
      <c r="D59" s="14">
        <f>36*6*2</f>
        <v>432</v>
      </c>
      <c r="E59" s="18"/>
      <c r="F59" s="21">
        <f>+D59*E59</f>
        <v>0</v>
      </c>
    </row>
    <row r="60" spans="1:6" ht="38.25">
      <c r="A60" s="22">
        <v>13.2</v>
      </c>
      <c r="B60" s="9" t="s">
        <v>45</v>
      </c>
      <c r="C60" s="5" t="s">
        <v>51</v>
      </c>
      <c r="D60" s="14">
        <v>140</v>
      </c>
      <c r="E60" s="18"/>
      <c r="F60" s="21">
        <f t="shared" ref="F60:F64" si="3">+D60*E60</f>
        <v>0</v>
      </c>
    </row>
    <row r="61" spans="1:6" ht="29.25" customHeight="1">
      <c r="A61" s="22">
        <v>13.3</v>
      </c>
      <c r="B61" s="9" t="s">
        <v>62</v>
      </c>
      <c r="C61" s="5" t="s">
        <v>56</v>
      </c>
      <c r="D61" s="14">
        <v>100</v>
      </c>
      <c r="E61" s="18"/>
      <c r="F61" s="21">
        <f t="shared" si="3"/>
        <v>0</v>
      </c>
    </row>
    <row r="62" spans="1:6" ht="29.25" customHeight="1">
      <c r="A62" s="22">
        <v>13.4</v>
      </c>
      <c r="B62" s="9" t="s">
        <v>49</v>
      </c>
      <c r="C62" s="5" t="s">
        <v>51</v>
      </c>
      <c r="D62" s="14">
        <v>152</v>
      </c>
      <c r="E62" s="18"/>
      <c r="F62" s="21">
        <f t="shared" si="3"/>
        <v>0</v>
      </c>
    </row>
    <row r="63" spans="1:6">
      <c r="A63" s="24">
        <v>14</v>
      </c>
      <c r="B63" s="10" t="s">
        <v>47</v>
      </c>
      <c r="C63" s="34"/>
      <c r="D63" s="19"/>
      <c r="E63" s="18"/>
      <c r="F63" s="21"/>
    </row>
    <row r="64" spans="1:6" ht="27.75" customHeight="1">
      <c r="A64" s="22">
        <v>14.1</v>
      </c>
      <c r="B64" s="9" t="s">
        <v>48</v>
      </c>
      <c r="C64" s="5" t="s">
        <v>51</v>
      </c>
      <c r="D64" s="14">
        <v>92.5</v>
      </c>
      <c r="E64" s="18"/>
      <c r="F64" s="21">
        <f t="shared" si="3"/>
        <v>0</v>
      </c>
    </row>
    <row r="65" spans="1:6">
      <c r="A65" s="24">
        <v>15</v>
      </c>
      <c r="B65" s="10" t="s">
        <v>117</v>
      </c>
      <c r="C65" s="34"/>
      <c r="D65" s="19"/>
      <c r="E65" s="6"/>
      <c r="F65" s="21"/>
    </row>
    <row r="66" spans="1:6">
      <c r="A66" s="22">
        <v>15.1</v>
      </c>
      <c r="B66" s="15" t="s">
        <v>71</v>
      </c>
      <c r="C66" s="16" t="s">
        <v>51</v>
      </c>
      <c r="D66" s="17">
        <v>219.78</v>
      </c>
      <c r="E66" s="18"/>
      <c r="F66" s="21">
        <f t="shared" si="0"/>
        <v>0</v>
      </c>
    </row>
    <row r="67" spans="1:6">
      <c r="A67" s="22">
        <v>15.2</v>
      </c>
      <c r="B67" s="15" t="s">
        <v>69</v>
      </c>
      <c r="C67" s="16" t="s">
        <v>52</v>
      </c>
      <c r="D67" s="17">
        <v>10</v>
      </c>
      <c r="E67" s="18"/>
      <c r="F67" s="21">
        <f t="shared" si="0"/>
        <v>0</v>
      </c>
    </row>
    <row r="68" spans="1:6">
      <c r="A68" s="22">
        <v>15.3</v>
      </c>
      <c r="B68" s="15" t="s">
        <v>101</v>
      </c>
      <c r="C68" s="16" t="s">
        <v>57</v>
      </c>
      <c r="D68" s="17">
        <v>16</v>
      </c>
      <c r="E68" s="18"/>
      <c r="F68" s="21">
        <f t="shared" si="0"/>
        <v>0</v>
      </c>
    </row>
    <row r="69" spans="1:6" ht="25.5">
      <c r="A69" s="22">
        <v>15.4</v>
      </c>
      <c r="B69" s="15" t="s">
        <v>80</v>
      </c>
      <c r="C69" s="16" t="s">
        <v>57</v>
      </c>
      <c r="D69" s="17">
        <v>160</v>
      </c>
      <c r="E69" s="18"/>
      <c r="F69" s="21">
        <f t="shared" si="0"/>
        <v>0</v>
      </c>
    </row>
    <row r="70" spans="1:6">
      <c r="A70" s="22">
        <v>15.5</v>
      </c>
      <c r="B70" s="15" t="s">
        <v>67</v>
      </c>
      <c r="C70" s="16" t="s">
        <v>68</v>
      </c>
      <c r="D70" s="17">
        <v>182</v>
      </c>
      <c r="E70" s="18"/>
      <c r="F70" s="21">
        <f t="shared" si="0"/>
        <v>0</v>
      </c>
    </row>
    <row r="71" spans="1:6">
      <c r="A71" s="22">
        <v>15.6</v>
      </c>
      <c r="B71" s="15" t="s">
        <v>106</v>
      </c>
      <c r="C71" s="16" t="s">
        <v>57</v>
      </c>
      <c r="D71" s="17">
        <v>10</v>
      </c>
      <c r="E71" s="18"/>
      <c r="F71" s="21">
        <f t="shared" si="0"/>
        <v>0</v>
      </c>
    </row>
    <row r="72" spans="1:6" ht="25.5">
      <c r="A72" s="22">
        <v>15.7</v>
      </c>
      <c r="B72" s="15" t="s">
        <v>87</v>
      </c>
      <c r="C72" s="16" t="s">
        <v>51</v>
      </c>
      <c r="D72" s="17">
        <v>347.4</v>
      </c>
      <c r="E72" s="18"/>
      <c r="F72" s="21">
        <f t="shared" si="0"/>
        <v>0</v>
      </c>
    </row>
    <row r="73" spans="1:6" ht="38.25">
      <c r="A73" s="22">
        <v>15.8</v>
      </c>
      <c r="B73" s="15" t="s">
        <v>85</v>
      </c>
      <c r="C73" s="16" t="s">
        <v>70</v>
      </c>
      <c r="D73" s="17">
        <v>1268</v>
      </c>
      <c r="E73" s="18"/>
      <c r="F73" s="21">
        <f t="shared" si="0"/>
        <v>0</v>
      </c>
    </row>
    <row r="74" spans="1:6" ht="25.5">
      <c r="A74" s="22">
        <v>15.9</v>
      </c>
      <c r="B74" s="15" t="s">
        <v>93</v>
      </c>
      <c r="C74" s="16" t="s">
        <v>73</v>
      </c>
      <c r="D74" s="17">
        <v>64</v>
      </c>
      <c r="E74" s="18"/>
      <c r="F74" s="21">
        <f t="shared" ref="F74:F137" si="4">+D74*E74</f>
        <v>0</v>
      </c>
    </row>
    <row r="75" spans="1:6" ht="25.5">
      <c r="A75" s="26">
        <v>15.1</v>
      </c>
      <c r="B75" s="15" t="s">
        <v>98</v>
      </c>
      <c r="C75" s="16" t="s">
        <v>73</v>
      </c>
      <c r="D75" s="17">
        <v>38</v>
      </c>
      <c r="E75" s="18"/>
      <c r="F75" s="21">
        <f t="shared" si="4"/>
        <v>0</v>
      </c>
    </row>
    <row r="76" spans="1:6">
      <c r="A76" s="26">
        <v>15.11</v>
      </c>
      <c r="B76" s="15" t="s">
        <v>116</v>
      </c>
      <c r="C76" s="16" t="s">
        <v>78</v>
      </c>
      <c r="D76" s="17">
        <v>1</v>
      </c>
      <c r="E76" s="18"/>
      <c r="F76" s="21">
        <f t="shared" si="4"/>
        <v>0</v>
      </c>
    </row>
    <row r="77" spans="1:6" ht="25.5">
      <c r="A77" s="26">
        <v>15.12</v>
      </c>
      <c r="B77" s="15" t="s">
        <v>90</v>
      </c>
      <c r="C77" s="16" t="s">
        <v>56</v>
      </c>
      <c r="D77" s="17">
        <v>30</v>
      </c>
      <c r="E77" s="18"/>
      <c r="F77" s="21">
        <f t="shared" si="4"/>
        <v>0</v>
      </c>
    </row>
    <row r="78" spans="1:6">
      <c r="A78" s="26">
        <v>15.13</v>
      </c>
      <c r="B78" s="15" t="s">
        <v>91</v>
      </c>
      <c r="C78" s="16" t="s">
        <v>57</v>
      </c>
      <c r="D78" s="17">
        <v>6</v>
      </c>
      <c r="E78" s="18"/>
      <c r="F78" s="21">
        <f t="shared" si="4"/>
        <v>0</v>
      </c>
    </row>
    <row r="79" spans="1:6">
      <c r="A79" s="26">
        <v>15.14</v>
      </c>
      <c r="B79" s="15" t="s">
        <v>103</v>
      </c>
      <c r="C79" s="16" t="s">
        <v>57</v>
      </c>
      <c r="D79" s="17">
        <v>10</v>
      </c>
      <c r="E79" s="18"/>
      <c r="F79" s="21">
        <f t="shared" si="4"/>
        <v>0</v>
      </c>
    </row>
    <row r="80" spans="1:6">
      <c r="A80" s="26">
        <v>15.15</v>
      </c>
      <c r="B80" s="15" t="s">
        <v>115</v>
      </c>
      <c r="C80" s="16" t="s">
        <v>52</v>
      </c>
      <c r="D80" s="17">
        <v>1</v>
      </c>
      <c r="E80" s="18"/>
      <c r="F80" s="21">
        <f t="shared" si="4"/>
        <v>0</v>
      </c>
    </row>
    <row r="81" spans="1:6" ht="25.5">
      <c r="A81" s="26">
        <v>15.16</v>
      </c>
      <c r="B81" s="15" t="s">
        <v>84</v>
      </c>
      <c r="C81" s="16" t="s">
        <v>56</v>
      </c>
      <c r="D81" s="17">
        <v>240</v>
      </c>
      <c r="E81" s="18"/>
      <c r="F81" s="21">
        <f t="shared" si="4"/>
        <v>0</v>
      </c>
    </row>
    <row r="82" spans="1:6" ht="42.75" customHeight="1">
      <c r="A82" s="26">
        <v>15.17</v>
      </c>
      <c r="B82" s="15" t="s">
        <v>112</v>
      </c>
      <c r="C82" s="16" t="s">
        <v>56</v>
      </c>
      <c r="D82" s="17">
        <v>20</v>
      </c>
      <c r="E82" s="18"/>
      <c r="F82" s="21">
        <f t="shared" si="4"/>
        <v>0</v>
      </c>
    </row>
    <row r="83" spans="1:6" ht="44.25" customHeight="1">
      <c r="A83" s="26">
        <v>15.18</v>
      </c>
      <c r="B83" s="15" t="s">
        <v>110</v>
      </c>
      <c r="C83" s="16" t="s">
        <v>56</v>
      </c>
      <c r="D83" s="17">
        <v>10</v>
      </c>
      <c r="E83" s="18"/>
      <c r="F83" s="21">
        <f t="shared" si="4"/>
        <v>0</v>
      </c>
    </row>
    <row r="84" spans="1:6" ht="44.25" customHeight="1">
      <c r="A84" s="26">
        <v>15.19</v>
      </c>
      <c r="B84" s="15" t="s">
        <v>82</v>
      </c>
      <c r="C84" s="16" t="s">
        <v>56</v>
      </c>
      <c r="D84" s="17">
        <v>20</v>
      </c>
      <c r="E84" s="18"/>
      <c r="F84" s="21">
        <f t="shared" si="4"/>
        <v>0</v>
      </c>
    </row>
    <row r="85" spans="1:6" ht="45" customHeight="1">
      <c r="A85" s="26">
        <v>15.2</v>
      </c>
      <c r="B85" s="15" t="s">
        <v>97</v>
      </c>
      <c r="C85" s="16" t="s">
        <v>56</v>
      </c>
      <c r="D85" s="17">
        <v>10</v>
      </c>
      <c r="E85" s="18"/>
      <c r="F85" s="21">
        <f t="shared" si="4"/>
        <v>0</v>
      </c>
    </row>
    <row r="86" spans="1:6" ht="38.25">
      <c r="A86" s="26">
        <v>15.21</v>
      </c>
      <c r="B86" s="15" t="s">
        <v>81</v>
      </c>
      <c r="C86" s="16" t="s">
        <v>56</v>
      </c>
      <c r="D86" s="17">
        <v>20</v>
      </c>
      <c r="E86" s="18"/>
      <c r="F86" s="21">
        <f t="shared" si="4"/>
        <v>0</v>
      </c>
    </row>
    <row r="87" spans="1:6" ht="38.25">
      <c r="A87" s="26">
        <v>15.22</v>
      </c>
      <c r="B87" s="15" t="s">
        <v>96</v>
      </c>
      <c r="C87" s="16" t="s">
        <v>56</v>
      </c>
      <c r="D87" s="17">
        <v>10</v>
      </c>
      <c r="E87" s="18"/>
      <c r="F87" s="21">
        <f t="shared" si="4"/>
        <v>0</v>
      </c>
    </row>
    <row r="88" spans="1:6" ht="38.25">
      <c r="A88" s="26">
        <v>15.23</v>
      </c>
      <c r="B88" s="15" t="s">
        <v>109</v>
      </c>
      <c r="C88" s="16" t="s">
        <v>56</v>
      </c>
      <c r="D88" s="17">
        <v>50</v>
      </c>
      <c r="E88" s="18"/>
      <c r="F88" s="21">
        <f t="shared" si="4"/>
        <v>0</v>
      </c>
    </row>
    <row r="89" spans="1:6">
      <c r="A89" s="26">
        <v>15.24</v>
      </c>
      <c r="B89" s="15" t="s">
        <v>86</v>
      </c>
      <c r="C89" s="16" t="s">
        <v>51</v>
      </c>
      <c r="D89" s="17">
        <v>22</v>
      </c>
      <c r="E89" s="18"/>
      <c r="F89" s="21">
        <f t="shared" si="4"/>
        <v>0</v>
      </c>
    </row>
    <row r="90" spans="1:6">
      <c r="A90" s="26">
        <v>15.25</v>
      </c>
      <c r="B90" s="15" t="s">
        <v>94</v>
      </c>
      <c r="C90" s="16" t="s">
        <v>73</v>
      </c>
      <c r="D90" s="17">
        <v>49</v>
      </c>
      <c r="E90" s="18"/>
      <c r="F90" s="21">
        <f t="shared" si="4"/>
        <v>0</v>
      </c>
    </row>
    <row r="91" spans="1:6" ht="25.5">
      <c r="A91" s="26">
        <v>15.26</v>
      </c>
      <c r="B91" s="15" t="s">
        <v>102</v>
      </c>
      <c r="C91" s="16" t="s">
        <v>56</v>
      </c>
      <c r="D91" s="17">
        <v>50</v>
      </c>
      <c r="E91" s="18"/>
      <c r="F91" s="21">
        <f t="shared" si="4"/>
        <v>0</v>
      </c>
    </row>
    <row r="92" spans="1:6" ht="55.5" customHeight="1">
      <c r="A92" s="26">
        <v>15.27</v>
      </c>
      <c r="B92" s="15" t="s">
        <v>83</v>
      </c>
      <c r="C92" s="16" t="s">
        <v>57</v>
      </c>
      <c r="D92" s="17">
        <v>106.66</v>
      </c>
      <c r="E92" s="18"/>
      <c r="F92" s="21">
        <f t="shared" si="4"/>
        <v>0</v>
      </c>
    </row>
    <row r="93" spans="1:6" ht="30.75" customHeight="1">
      <c r="A93" s="26">
        <v>15.28</v>
      </c>
      <c r="B93" s="15" t="s">
        <v>88</v>
      </c>
      <c r="C93" s="16" t="s">
        <v>57</v>
      </c>
      <c r="D93" s="17">
        <v>180</v>
      </c>
      <c r="E93" s="18"/>
      <c r="F93" s="21">
        <f t="shared" si="4"/>
        <v>0</v>
      </c>
    </row>
    <row r="94" spans="1:6" ht="38.25">
      <c r="A94" s="26">
        <v>15.29</v>
      </c>
      <c r="B94" s="15" t="s">
        <v>89</v>
      </c>
      <c r="C94" s="16" t="s">
        <v>57</v>
      </c>
      <c r="D94" s="17">
        <v>116</v>
      </c>
      <c r="E94" s="18"/>
      <c r="F94" s="21">
        <f t="shared" si="4"/>
        <v>0</v>
      </c>
    </row>
    <row r="95" spans="1:6" ht="38.25">
      <c r="A95" s="26">
        <v>15.3</v>
      </c>
      <c r="B95" s="15" t="s">
        <v>105</v>
      </c>
      <c r="C95" s="16" t="s">
        <v>57</v>
      </c>
      <c r="D95" s="17">
        <v>4</v>
      </c>
      <c r="E95" s="18"/>
      <c r="F95" s="21">
        <f t="shared" si="4"/>
        <v>0</v>
      </c>
    </row>
    <row r="96" spans="1:6" ht="25.5">
      <c r="A96" s="26">
        <v>15.31</v>
      </c>
      <c r="B96" s="15" t="s">
        <v>77</v>
      </c>
      <c r="C96" s="16" t="s">
        <v>56</v>
      </c>
      <c r="D96" s="17">
        <v>60</v>
      </c>
      <c r="E96" s="18"/>
      <c r="F96" s="21">
        <f t="shared" si="4"/>
        <v>0</v>
      </c>
    </row>
    <row r="97" spans="1:6" ht="68.25" customHeight="1">
      <c r="A97" s="26">
        <v>15.32</v>
      </c>
      <c r="B97" s="15" t="s">
        <v>113</v>
      </c>
      <c r="C97" s="16" t="s">
        <v>57</v>
      </c>
      <c r="D97" s="17">
        <v>2</v>
      </c>
      <c r="E97" s="18"/>
      <c r="F97" s="21">
        <f t="shared" si="4"/>
        <v>0</v>
      </c>
    </row>
    <row r="98" spans="1:6" ht="72" customHeight="1">
      <c r="A98" s="26">
        <v>15.33</v>
      </c>
      <c r="B98" s="15" t="s">
        <v>99</v>
      </c>
      <c r="C98" s="16" t="s">
        <v>57</v>
      </c>
      <c r="D98" s="17">
        <v>2</v>
      </c>
      <c r="E98" s="18"/>
      <c r="F98" s="21">
        <f t="shared" si="4"/>
        <v>0</v>
      </c>
    </row>
    <row r="99" spans="1:6" ht="42" customHeight="1">
      <c r="A99" s="26">
        <v>15.34</v>
      </c>
      <c r="B99" s="15" t="s">
        <v>100</v>
      </c>
      <c r="C99" s="16" t="s">
        <v>57</v>
      </c>
      <c r="D99" s="17">
        <v>4</v>
      </c>
      <c r="E99" s="18"/>
      <c r="F99" s="21">
        <f t="shared" si="4"/>
        <v>0</v>
      </c>
    </row>
    <row r="100" spans="1:6" ht="25.5">
      <c r="A100" s="26">
        <v>15.36</v>
      </c>
      <c r="B100" s="15" t="s">
        <v>107</v>
      </c>
      <c r="C100" s="16" t="s">
        <v>56</v>
      </c>
      <c r="D100" s="17">
        <v>60</v>
      </c>
      <c r="E100" s="18"/>
      <c r="F100" s="21">
        <f t="shared" si="4"/>
        <v>0</v>
      </c>
    </row>
    <row r="101" spans="1:6" ht="54" customHeight="1">
      <c r="A101" s="26">
        <v>15.37</v>
      </c>
      <c r="B101" s="15" t="s">
        <v>114</v>
      </c>
      <c r="C101" s="16" t="s">
        <v>56</v>
      </c>
      <c r="D101" s="17">
        <v>50</v>
      </c>
      <c r="E101" s="18"/>
      <c r="F101" s="21">
        <f t="shared" si="4"/>
        <v>0</v>
      </c>
    </row>
    <row r="102" spans="1:6" ht="55.5" customHeight="1">
      <c r="A102" s="26">
        <v>15.38</v>
      </c>
      <c r="B102" s="15" t="s">
        <v>111</v>
      </c>
      <c r="C102" s="16" t="s">
        <v>57</v>
      </c>
      <c r="D102" s="17">
        <v>2</v>
      </c>
      <c r="E102" s="18"/>
      <c r="F102" s="21">
        <f t="shared" si="4"/>
        <v>0</v>
      </c>
    </row>
    <row r="103" spans="1:6" ht="68.25" customHeight="1">
      <c r="A103" s="26">
        <v>15.39</v>
      </c>
      <c r="B103" s="15" t="s">
        <v>108</v>
      </c>
      <c r="C103" s="16" t="s">
        <v>57</v>
      </c>
      <c r="D103" s="17">
        <v>1</v>
      </c>
      <c r="E103" s="18"/>
      <c r="F103" s="21">
        <f t="shared" si="4"/>
        <v>0</v>
      </c>
    </row>
    <row r="104" spans="1:6" ht="69.75" customHeight="1">
      <c r="A104" s="26">
        <v>15.4</v>
      </c>
      <c r="B104" s="15" t="s">
        <v>79</v>
      </c>
      <c r="C104" s="16" t="s">
        <v>57</v>
      </c>
      <c r="D104" s="17">
        <v>2</v>
      </c>
      <c r="E104" s="18"/>
      <c r="F104" s="21">
        <f t="shared" si="4"/>
        <v>0</v>
      </c>
    </row>
    <row r="105" spans="1:6" ht="57" customHeight="1">
      <c r="A105" s="26">
        <v>15.41</v>
      </c>
      <c r="B105" s="15" t="s">
        <v>95</v>
      </c>
      <c r="C105" s="16" t="s">
        <v>57</v>
      </c>
      <c r="D105" s="17">
        <v>1</v>
      </c>
      <c r="E105" s="18"/>
      <c r="F105" s="21">
        <f t="shared" si="4"/>
        <v>0</v>
      </c>
    </row>
    <row r="106" spans="1:6" ht="25.5">
      <c r="A106" s="26">
        <v>15.42</v>
      </c>
      <c r="B106" s="15" t="s">
        <v>66</v>
      </c>
      <c r="C106" s="16" t="s">
        <v>57</v>
      </c>
      <c r="D106" s="17">
        <v>6</v>
      </c>
      <c r="E106" s="18"/>
      <c r="F106" s="21">
        <f t="shared" si="4"/>
        <v>0</v>
      </c>
    </row>
    <row r="107" spans="1:6">
      <c r="A107" s="26">
        <v>15.43</v>
      </c>
      <c r="B107" s="15" t="s">
        <v>92</v>
      </c>
      <c r="C107" s="16" t="s">
        <v>57</v>
      </c>
      <c r="D107" s="17">
        <v>6</v>
      </c>
      <c r="E107" s="18"/>
      <c r="F107" s="21">
        <f t="shared" si="4"/>
        <v>0</v>
      </c>
    </row>
    <row r="108" spans="1:6">
      <c r="A108" s="26">
        <v>15.44</v>
      </c>
      <c r="B108" s="15" t="s">
        <v>104</v>
      </c>
      <c r="C108" s="16" t="s">
        <v>57</v>
      </c>
      <c r="D108" s="17">
        <v>10</v>
      </c>
      <c r="E108" s="18"/>
      <c r="F108" s="21">
        <f t="shared" si="4"/>
        <v>0</v>
      </c>
    </row>
    <row r="109" spans="1:6">
      <c r="A109" s="26">
        <v>15.45</v>
      </c>
      <c r="B109" s="15" t="s">
        <v>74</v>
      </c>
      <c r="C109" s="16" t="s">
        <v>57</v>
      </c>
      <c r="D109" s="17">
        <v>7</v>
      </c>
      <c r="E109" s="18"/>
      <c r="F109" s="21">
        <f t="shared" si="4"/>
        <v>0</v>
      </c>
    </row>
    <row r="110" spans="1:6">
      <c r="A110" s="26">
        <v>15.46</v>
      </c>
      <c r="B110" s="15" t="s">
        <v>72</v>
      </c>
      <c r="C110" s="16" t="s">
        <v>57</v>
      </c>
      <c r="D110" s="17">
        <v>6</v>
      </c>
      <c r="E110" s="18"/>
      <c r="F110" s="21">
        <f t="shared" si="4"/>
        <v>0</v>
      </c>
    </row>
    <row r="111" spans="1:6">
      <c r="A111" s="26">
        <v>15.47</v>
      </c>
      <c r="B111" s="15" t="s">
        <v>75</v>
      </c>
      <c r="C111" s="16" t="s">
        <v>57</v>
      </c>
      <c r="D111" s="17">
        <v>10</v>
      </c>
      <c r="E111" s="18"/>
      <c r="F111" s="21">
        <f t="shared" si="4"/>
        <v>0</v>
      </c>
    </row>
    <row r="112" spans="1:6" ht="20.25" customHeight="1">
      <c r="A112" s="24">
        <v>16</v>
      </c>
      <c r="B112" s="10" t="s">
        <v>122</v>
      </c>
      <c r="C112" s="34"/>
      <c r="D112" s="19"/>
      <c r="E112" s="6"/>
      <c r="F112" s="21"/>
    </row>
    <row r="113" spans="1:6" ht="38.25">
      <c r="A113" s="27">
        <v>16.100000000000001</v>
      </c>
      <c r="B113" s="15" t="s">
        <v>123</v>
      </c>
      <c r="C113" s="16" t="s">
        <v>76</v>
      </c>
      <c r="D113" s="17">
        <v>125</v>
      </c>
      <c r="E113" s="18"/>
      <c r="F113" s="21">
        <f t="shared" si="4"/>
        <v>0</v>
      </c>
    </row>
    <row r="114" spans="1:6" ht="38.25">
      <c r="A114" s="27">
        <v>16.2</v>
      </c>
      <c r="B114" s="15" t="s">
        <v>124</v>
      </c>
      <c r="C114" s="16" t="s">
        <v>76</v>
      </c>
      <c r="D114" s="17">
        <v>125</v>
      </c>
      <c r="E114" s="18"/>
      <c r="F114" s="21">
        <f t="shared" si="4"/>
        <v>0</v>
      </c>
    </row>
    <row r="115" spans="1:6" ht="174" customHeight="1">
      <c r="A115" s="27">
        <v>16.3</v>
      </c>
      <c r="B115" s="15" t="s">
        <v>125</v>
      </c>
      <c r="C115" s="16" t="s">
        <v>76</v>
      </c>
      <c r="D115" s="17">
        <v>125</v>
      </c>
      <c r="E115" s="18"/>
      <c r="F115" s="21">
        <f t="shared" si="4"/>
        <v>0</v>
      </c>
    </row>
    <row r="116" spans="1:6" ht="140.25">
      <c r="A116" s="27">
        <v>16.399999999999999</v>
      </c>
      <c r="B116" s="15" t="s">
        <v>126</v>
      </c>
      <c r="C116" s="16" t="s">
        <v>76</v>
      </c>
      <c r="D116" s="17">
        <v>125</v>
      </c>
      <c r="E116" s="18"/>
      <c r="F116" s="21">
        <f t="shared" si="4"/>
        <v>0</v>
      </c>
    </row>
    <row r="117" spans="1:6" ht="76.5">
      <c r="A117" s="27">
        <v>16.5</v>
      </c>
      <c r="B117" s="15" t="s">
        <v>127</v>
      </c>
      <c r="C117" s="16" t="s">
        <v>56</v>
      </c>
      <c r="D117" s="17">
        <v>5185</v>
      </c>
      <c r="E117" s="18"/>
      <c r="F117" s="21">
        <f t="shared" si="4"/>
        <v>0</v>
      </c>
    </row>
    <row r="118" spans="1:6" ht="63.75">
      <c r="A118" s="27">
        <v>16.600000000000001</v>
      </c>
      <c r="B118" s="15" t="s">
        <v>128</v>
      </c>
      <c r="C118" s="16" t="s">
        <v>56</v>
      </c>
      <c r="D118" s="17">
        <v>5185</v>
      </c>
      <c r="E118" s="18"/>
      <c r="F118" s="21">
        <f t="shared" si="4"/>
        <v>0</v>
      </c>
    </row>
    <row r="119" spans="1:6" ht="51">
      <c r="A119" s="27">
        <v>16.7</v>
      </c>
      <c r="B119" s="15" t="s">
        <v>129</v>
      </c>
      <c r="C119" s="16" t="s">
        <v>76</v>
      </c>
      <c r="D119" s="17">
        <v>25</v>
      </c>
      <c r="E119" s="18"/>
      <c r="F119" s="21">
        <f t="shared" si="4"/>
        <v>0</v>
      </c>
    </row>
    <row r="120" spans="1:6" ht="70.5" customHeight="1">
      <c r="A120" s="27">
        <v>16.8</v>
      </c>
      <c r="B120" s="15" t="s">
        <v>130</v>
      </c>
      <c r="C120" s="16" t="s">
        <v>56</v>
      </c>
      <c r="D120" s="17">
        <v>84</v>
      </c>
      <c r="E120" s="18"/>
      <c r="F120" s="21">
        <f t="shared" si="4"/>
        <v>0</v>
      </c>
    </row>
    <row r="121" spans="1:6" ht="57.75" customHeight="1">
      <c r="A121" s="27">
        <v>16.899999999999999</v>
      </c>
      <c r="B121" s="15" t="s">
        <v>131</v>
      </c>
      <c r="C121" s="16" t="s">
        <v>76</v>
      </c>
      <c r="D121" s="17" t="s">
        <v>132</v>
      </c>
      <c r="E121" s="18"/>
      <c r="F121" s="21">
        <f t="shared" si="4"/>
        <v>0</v>
      </c>
    </row>
    <row r="122" spans="1:6" ht="51">
      <c r="A122" s="26" t="s">
        <v>118</v>
      </c>
      <c r="B122" s="15" t="s">
        <v>133</v>
      </c>
      <c r="C122" s="16" t="s">
        <v>76</v>
      </c>
      <c r="D122" s="17">
        <v>24</v>
      </c>
      <c r="E122" s="18"/>
      <c r="F122" s="21">
        <f t="shared" si="4"/>
        <v>0</v>
      </c>
    </row>
    <row r="123" spans="1:6" ht="25.5">
      <c r="A123" s="26" t="s">
        <v>119</v>
      </c>
      <c r="B123" s="15" t="s">
        <v>134</v>
      </c>
      <c r="C123" s="16" t="s">
        <v>76</v>
      </c>
      <c r="D123" s="17" t="s">
        <v>135</v>
      </c>
      <c r="E123" s="18"/>
      <c r="F123" s="21">
        <f t="shared" si="4"/>
        <v>0</v>
      </c>
    </row>
    <row r="124" spans="1:6" ht="25.5">
      <c r="A124" s="26" t="s">
        <v>120</v>
      </c>
      <c r="B124" s="15" t="s">
        <v>136</v>
      </c>
      <c r="C124" s="16" t="s">
        <v>76</v>
      </c>
      <c r="D124" s="17">
        <v>250</v>
      </c>
      <c r="E124" s="18"/>
      <c r="F124" s="21">
        <f t="shared" si="4"/>
        <v>0</v>
      </c>
    </row>
    <row r="125" spans="1:6" ht="38.25">
      <c r="A125" s="26">
        <v>16.13</v>
      </c>
      <c r="B125" s="15" t="s">
        <v>137</v>
      </c>
      <c r="C125" s="16" t="s">
        <v>56</v>
      </c>
      <c r="D125" s="17">
        <v>40</v>
      </c>
      <c r="E125" s="18"/>
      <c r="F125" s="21">
        <f t="shared" si="4"/>
        <v>0</v>
      </c>
    </row>
    <row r="126" spans="1:6" ht="25.5">
      <c r="A126" s="26">
        <v>16.14</v>
      </c>
      <c r="B126" s="15" t="s">
        <v>138</v>
      </c>
      <c r="C126" s="16" t="s">
        <v>76</v>
      </c>
      <c r="D126" s="17">
        <v>9</v>
      </c>
      <c r="E126" s="18"/>
      <c r="F126" s="21">
        <f t="shared" si="4"/>
        <v>0</v>
      </c>
    </row>
    <row r="127" spans="1:6" ht="25.5">
      <c r="A127" s="26">
        <v>16.149999999999999</v>
      </c>
      <c r="B127" s="15" t="s">
        <v>139</v>
      </c>
      <c r="C127" s="16" t="s">
        <v>76</v>
      </c>
      <c r="D127" s="17">
        <v>9</v>
      </c>
      <c r="E127" s="18"/>
      <c r="F127" s="21">
        <f t="shared" si="4"/>
        <v>0</v>
      </c>
    </row>
    <row r="128" spans="1:6" ht="38.25">
      <c r="A128" s="26">
        <v>16.16</v>
      </c>
      <c r="B128" s="15" t="s">
        <v>140</v>
      </c>
      <c r="C128" s="16" t="s">
        <v>76</v>
      </c>
      <c r="D128" s="17">
        <v>18</v>
      </c>
      <c r="E128" s="18"/>
      <c r="F128" s="21">
        <f t="shared" si="4"/>
        <v>0</v>
      </c>
    </row>
    <row r="129" spans="1:6">
      <c r="A129" s="26">
        <v>16.170000000000002</v>
      </c>
      <c r="B129" s="15" t="s">
        <v>141</v>
      </c>
      <c r="C129" s="16" t="s">
        <v>76</v>
      </c>
      <c r="D129" s="17">
        <v>125</v>
      </c>
      <c r="E129" s="18"/>
      <c r="F129" s="21">
        <f t="shared" si="4"/>
        <v>0</v>
      </c>
    </row>
    <row r="130" spans="1:6">
      <c r="A130" s="26" t="s">
        <v>121</v>
      </c>
      <c r="B130" s="15" t="s">
        <v>142</v>
      </c>
      <c r="C130" s="16" t="s">
        <v>76</v>
      </c>
      <c r="D130" s="17">
        <v>131</v>
      </c>
      <c r="E130" s="18"/>
      <c r="F130" s="21">
        <f t="shared" si="4"/>
        <v>0</v>
      </c>
    </row>
    <row r="131" spans="1:6">
      <c r="A131" s="26">
        <v>16.190000000000001</v>
      </c>
      <c r="B131" s="15" t="s">
        <v>143</v>
      </c>
      <c r="C131" s="16" t="s">
        <v>76</v>
      </c>
      <c r="D131" s="17">
        <v>125</v>
      </c>
      <c r="E131" s="18"/>
      <c r="F131" s="21">
        <f t="shared" si="4"/>
        <v>0</v>
      </c>
    </row>
    <row r="132" spans="1:6" ht="25.5">
      <c r="A132" s="26">
        <v>16.2</v>
      </c>
      <c r="B132" s="15" t="s">
        <v>144</v>
      </c>
      <c r="C132" s="16" t="s">
        <v>56</v>
      </c>
      <c r="D132" s="17">
        <v>160</v>
      </c>
      <c r="E132" s="18"/>
      <c r="F132" s="21">
        <f t="shared" si="4"/>
        <v>0</v>
      </c>
    </row>
    <row r="133" spans="1:6">
      <c r="A133" s="26">
        <v>16.21</v>
      </c>
      <c r="B133" s="15" t="s">
        <v>145</v>
      </c>
      <c r="C133" s="16" t="s">
        <v>76</v>
      </c>
      <c r="D133" s="17">
        <v>7</v>
      </c>
      <c r="E133" s="18"/>
      <c r="F133" s="21">
        <f t="shared" si="4"/>
        <v>0</v>
      </c>
    </row>
    <row r="134" spans="1:6">
      <c r="A134" s="26">
        <v>16.22</v>
      </c>
      <c r="B134" s="15" t="s">
        <v>146</v>
      </c>
      <c r="C134" s="16" t="s">
        <v>76</v>
      </c>
      <c r="D134" s="17">
        <v>9</v>
      </c>
      <c r="E134" s="18"/>
      <c r="F134" s="21">
        <f t="shared" si="4"/>
        <v>0</v>
      </c>
    </row>
    <row r="135" spans="1:6">
      <c r="A135" s="26">
        <v>16.23</v>
      </c>
      <c r="B135" s="15" t="s">
        <v>147</v>
      </c>
      <c r="C135" s="16" t="s">
        <v>76</v>
      </c>
      <c r="D135" s="17">
        <v>12</v>
      </c>
      <c r="E135" s="18"/>
      <c r="F135" s="21">
        <f t="shared" si="4"/>
        <v>0</v>
      </c>
    </row>
    <row r="136" spans="1:6">
      <c r="A136" s="26">
        <v>16.239999999999998</v>
      </c>
      <c r="B136" s="15" t="s">
        <v>148</v>
      </c>
      <c r="C136" s="16" t="s">
        <v>76</v>
      </c>
      <c r="D136" s="17">
        <v>60</v>
      </c>
      <c r="E136" s="18"/>
      <c r="F136" s="21">
        <f t="shared" si="4"/>
        <v>0</v>
      </c>
    </row>
    <row r="137" spans="1:6" ht="25.5">
      <c r="A137" s="26">
        <v>16.25</v>
      </c>
      <c r="B137" s="15" t="s">
        <v>149</v>
      </c>
      <c r="C137" s="16" t="s">
        <v>76</v>
      </c>
      <c r="D137" s="17">
        <v>6</v>
      </c>
      <c r="E137" s="18"/>
      <c r="F137" s="21">
        <f t="shared" si="4"/>
        <v>0</v>
      </c>
    </row>
    <row r="138" spans="1:6" ht="25.5">
      <c r="A138" s="26">
        <v>16.260000000000002</v>
      </c>
      <c r="B138" s="15" t="s">
        <v>150</v>
      </c>
      <c r="C138" s="16" t="s">
        <v>76</v>
      </c>
      <c r="D138" s="17">
        <v>1</v>
      </c>
      <c r="E138" s="18"/>
      <c r="F138" s="21">
        <f t="shared" ref="F138:F155" si="5">+D138*E138</f>
        <v>0</v>
      </c>
    </row>
    <row r="139" spans="1:6" ht="25.5">
      <c r="A139" s="26">
        <v>16.27</v>
      </c>
      <c r="B139" s="15" t="s">
        <v>151</v>
      </c>
      <c r="C139" s="16" t="s">
        <v>76</v>
      </c>
      <c r="D139" s="17">
        <v>7</v>
      </c>
      <c r="E139" s="18"/>
      <c r="F139" s="21">
        <f t="shared" si="5"/>
        <v>0</v>
      </c>
    </row>
    <row r="140" spans="1:6" ht="25.5">
      <c r="A140" s="26">
        <v>16.28</v>
      </c>
      <c r="B140" s="15" t="s">
        <v>152</v>
      </c>
      <c r="C140" s="16" t="s">
        <v>76</v>
      </c>
      <c r="D140" s="17">
        <v>6</v>
      </c>
      <c r="E140" s="18"/>
      <c r="F140" s="21">
        <f t="shared" si="5"/>
        <v>0</v>
      </c>
    </row>
    <row r="141" spans="1:6" ht="25.5">
      <c r="A141" s="26">
        <v>16.29</v>
      </c>
      <c r="B141" s="15" t="s">
        <v>153</v>
      </c>
      <c r="C141" s="16" t="s">
        <v>76</v>
      </c>
      <c r="D141" s="17">
        <v>6</v>
      </c>
      <c r="E141" s="18"/>
      <c r="F141" s="21">
        <f t="shared" si="5"/>
        <v>0</v>
      </c>
    </row>
    <row r="142" spans="1:6" ht="25.5">
      <c r="A142" s="26">
        <v>16.3</v>
      </c>
      <c r="B142" s="15" t="s">
        <v>154</v>
      </c>
      <c r="C142" s="16" t="s">
        <v>76</v>
      </c>
      <c r="D142" s="17">
        <v>6</v>
      </c>
      <c r="E142" s="18"/>
      <c r="F142" s="21">
        <f t="shared" si="5"/>
        <v>0</v>
      </c>
    </row>
    <row r="143" spans="1:6">
      <c r="A143" s="26">
        <v>16.309999999999999</v>
      </c>
      <c r="B143" s="15" t="s">
        <v>155</v>
      </c>
      <c r="C143" s="16" t="s">
        <v>76</v>
      </c>
      <c r="D143" s="17">
        <v>6</v>
      </c>
      <c r="E143" s="18"/>
      <c r="F143" s="21">
        <f t="shared" si="5"/>
        <v>0</v>
      </c>
    </row>
    <row r="144" spans="1:6" ht="25.5">
      <c r="A144" s="26">
        <v>16.32</v>
      </c>
      <c r="B144" s="15" t="s">
        <v>156</v>
      </c>
      <c r="C144" s="16" t="s">
        <v>76</v>
      </c>
      <c r="D144" s="17">
        <v>6</v>
      </c>
      <c r="E144" s="18"/>
      <c r="F144" s="21">
        <f t="shared" si="5"/>
        <v>0</v>
      </c>
    </row>
    <row r="145" spans="1:6">
      <c r="A145" s="26">
        <v>16.329999999999998</v>
      </c>
      <c r="B145" s="15" t="s">
        <v>165</v>
      </c>
      <c r="C145" s="16" t="s">
        <v>157</v>
      </c>
      <c r="D145" s="17">
        <v>60</v>
      </c>
      <c r="E145" s="18"/>
      <c r="F145" s="21">
        <f t="shared" si="5"/>
        <v>0</v>
      </c>
    </row>
    <row r="146" spans="1:6">
      <c r="A146" s="26">
        <v>16.34</v>
      </c>
      <c r="B146" s="15" t="s">
        <v>164</v>
      </c>
      <c r="C146" s="16" t="s">
        <v>157</v>
      </c>
      <c r="D146" s="17">
        <v>190</v>
      </c>
      <c r="E146" s="18"/>
      <c r="F146" s="21">
        <f t="shared" si="5"/>
        <v>0</v>
      </c>
    </row>
    <row r="147" spans="1:6">
      <c r="A147" s="26">
        <v>17</v>
      </c>
      <c r="B147" s="15" t="s">
        <v>166</v>
      </c>
      <c r="C147" s="16"/>
      <c r="D147" s="17"/>
      <c r="E147" s="18"/>
      <c r="F147" s="21"/>
    </row>
    <row r="148" spans="1:6" ht="108" customHeight="1">
      <c r="A148" s="27">
        <v>17.100000000000001</v>
      </c>
      <c r="B148" s="15" t="s">
        <v>173</v>
      </c>
      <c r="C148" s="16" t="s">
        <v>76</v>
      </c>
      <c r="D148" s="17">
        <v>4</v>
      </c>
      <c r="E148" s="18"/>
      <c r="F148" s="21">
        <f t="shared" si="5"/>
        <v>0</v>
      </c>
    </row>
    <row r="149" spans="1:6" ht="107.25" customHeight="1">
      <c r="A149" s="27">
        <v>17.2</v>
      </c>
      <c r="B149" s="15" t="s">
        <v>174</v>
      </c>
      <c r="C149" s="16" t="s">
        <v>76</v>
      </c>
      <c r="D149" s="17">
        <v>6</v>
      </c>
      <c r="E149" s="18"/>
      <c r="F149" s="21">
        <f t="shared" si="5"/>
        <v>0</v>
      </c>
    </row>
    <row r="150" spans="1:6" ht="108.75" customHeight="1">
      <c r="A150" s="27">
        <v>17.3</v>
      </c>
      <c r="B150" s="15" t="s">
        <v>170</v>
      </c>
      <c r="C150" s="16" t="s">
        <v>76</v>
      </c>
      <c r="D150" s="17">
        <v>2</v>
      </c>
      <c r="E150" s="18"/>
      <c r="F150" s="21">
        <f t="shared" si="5"/>
        <v>0</v>
      </c>
    </row>
    <row r="151" spans="1:6" ht="106.5" customHeight="1">
      <c r="A151" s="27">
        <v>17.399999999999999</v>
      </c>
      <c r="B151" s="15" t="s">
        <v>171</v>
      </c>
      <c r="C151" s="16" t="s">
        <v>76</v>
      </c>
      <c r="D151" s="17">
        <v>2</v>
      </c>
      <c r="E151" s="18"/>
      <c r="F151" s="21">
        <f t="shared" si="5"/>
        <v>0</v>
      </c>
    </row>
    <row r="152" spans="1:6" ht="79.5" customHeight="1">
      <c r="A152" s="27">
        <v>17.5</v>
      </c>
      <c r="B152" s="15" t="s">
        <v>172</v>
      </c>
      <c r="C152" s="16" t="s">
        <v>76</v>
      </c>
      <c r="D152" s="17">
        <v>48</v>
      </c>
      <c r="E152" s="18"/>
      <c r="F152" s="21">
        <f t="shared" si="5"/>
        <v>0</v>
      </c>
    </row>
    <row r="153" spans="1:6" ht="64.5" customHeight="1">
      <c r="A153" s="27">
        <v>17.600000000000001</v>
      </c>
      <c r="B153" s="15" t="s">
        <v>169</v>
      </c>
      <c r="C153" s="16" t="s">
        <v>76</v>
      </c>
      <c r="D153" s="17">
        <v>12</v>
      </c>
      <c r="E153" s="18"/>
      <c r="F153" s="21">
        <f t="shared" si="5"/>
        <v>0</v>
      </c>
    </row>
    <row r="154" spans="1:6" ht="69.75" customHeight="1">
      <c r="A154" s="27">
        <v>17.7</v>
      </c>
      <c r="B154" s="15" t="s">
        <v>168</v>
      </c>
      <c r="C154" s="16" t="s">
        <v>76</v>
      </c>
      <c r="D154" s="17">
        <v>14</v>
      </c>
      <c r="E154" s="18"/>
      <c r="F154" s="21">
        <f t="shared" si="5"/>
        <v>0</v>
      </c>
    </row>
    <row r="155" spans="1:6" ht="57" customHeight="1">
      <c r="A155" s="27">
        <v>17.8</v>
      </c>
      <c r="B155" s="15" t="s">
        <v>167</v>
      </c>
      <c r="C155" s="16" t="s">
        <v>76</v>
      </c>
      <c r="D155" s="17">
        <v>446</v>
      </c>
      <c r="E155" s="18"/>
      <c r="F155" s="21">
        <f t="shared" si="5"/>
        <v>0</v>
      </c>
    </row>
    <row r="156" spans="1:6">
      <c r="A156" s="28"/>
      <c r="B156" s="29"/>
      <c r="C156" s="30"/>
      <c r="D156" s="31"/>
      <c r="E156" s="32"/>
      <c r="F156" s="32"/>
    </row>
    <row r="157" spans="1:6">
      <c r="A157" s="28"/>
      <c r="B157" s="29"/>
      <c r="C157" s="30"/>
      <c r="D157" s="31"/>
      <c r="E157" s="32"/>
      <c r="F157" s="32"/>
    </row>
    <row r="159" spans="1:6" ht="12.75" customHeight="1">
      <c r="A159" s="45" t="s">
        <v>159</v>
      </c>
      <c r="B159" s="45"/>
      <c r="C159" s="34"/>
      <c r="D159" s="34"/>
      <c r="E159" s="34"/>
      <c r="F159" s="18"/>
    </row>
    <row r="160" spans="1:6" ht="12.75" customHeight="1">
      <c r="A160" s="45" t="s">
        <v>178</v>
      </c>
      <c r="B160" s="45"/>
      <c r="C160" s="34"/>
      <c r="D160" s="20" t="s">
        <v>177</v>
      </c>
      <c r="E160" s="7"/>
      <c r="F160" s="18"/>
    </row>
    <row r="161" spans="1:9" ht="12.75" customHeight="1">
      <c r="A161" s="45" t="s">
        <v>160</v>
      </c>
      <c r="B161" s="45"/>
      <c r="C161" s="34"/>
      <c r="D161" s="34"/>
      <c r="E161" s="34"/>
      <c r="F161" s="18"/>
    </row>
    <row r="162" spans="1:9" ht="12.75" customHeight="1">
      <c r="A162" s="45" t="s">
        <v>179</v>
      </c>
      <c r="B162" s="45"/>
      <c r="C162" s="34"/>
      <c r="D162" s="20" t="s">
        <v>177</v>
      </c>
      <c r="E162" s="7"/>
      <c r="F162" s="18"/>
    </row>
    <row r="163" spans="1:9" ht="12.75" customHeight="1">
      <c r="A163" s="45" t="s">
        <v>161</v>
      </c>
      <c r="B163" s="45"/>
      <c r="C163" s="34"/>
      <c r="D163" s="34"/>
      <c r="E163" s="34"/>
      <c r="F163" s="18"/>
    </row>
    <row r="165" spans="1:9">
      <c r="F165" s="33"/>
    </row>
    <row r="169" spans="1:9">
      <c r="B169" s="13" t="s">
        <v>180</v>
      </c>
    </row>
    <row r="171" spans="1:9">
      <c r="F171" s="33"/>
    </row>
    <row r="175" spans="1:9" ht="15.75">
      <c r="I175" s="35"/>
    </row>
    <row r="176" spans="1:9" ht="15.75">
      <c r="I176" s="35"/>
    </row>
    <row r="177" spans="9:11" ht="15.75">
      <c r="I177" s="36"/>
      <c r="K177" s="33"/>
    </row>
  </sheetData>
  <sheetProtection password="CE28" sheet="1" objects="1" scenarios="1"/>
  <protectedRanges>
    <protectedRange sqref="C159:F163" name="Rango2"/>
    <protectedRange sqref="E8:E155" name="Rango1"/>
  </protectedRanges>
  <mergeCells count="8">
    <mergeCell ref="A161:B161"/>
    <mergeCell ref="A162:B162"/>
    <mergeCell ref="A163:B163"/>
    <mergeCell ref="A2:F4"/>
    <mergeCell ref="A1:F1"/>
    <mergeCell ref="A5:F5"/>
    <mergeCell ref="A159:B159"/>
    <mergeCell ref="A160:B160"/>
  </mergeCells>
  <conditionalFormatting sqref="D113:D157">
    <cfRule type="cellIs" dxfId="0" priority="1" stopIfTrue="1" operator="equal">
      <formula>0</formula>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ANEXO 4,</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juan.yepes</dc:creator>
  <cp:lastModifiedBy>viviana.rios</cp:lastModifiedBy>
  <dcterms:created xsi:type="dcterms:W3CDTF">2013-08-24T16:59:52Z</dcterms:created>
  <dcterms:modified xsi:type="dcterms:W3CDTF">2013-12-13T22:15:19Z</dcterms:modified>
</cp:coreProperties>
</file>