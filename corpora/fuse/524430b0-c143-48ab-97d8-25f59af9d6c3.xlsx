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9600" yWindow="15" windowWidth="9570" windowHeight="9045" tabRatio="898" activeTab="1"/>
  </bookViews>
  <sheets>
    <sheet name="Cover" sheetId="10" r:id="rId1"/>
    <sheet name="FinReview" sheetId="23" r:id="rId2"/>
    <sheet name="TEAData" sheetId="26" r:id="rId3"/>
    <sheet name="Average" sheetId="27" r:id="rId4"/>
  </sheets>
  <definedNames>
    <definedName name="_xlnm._FilterDatabase" localSheetId="0" hidden="1">Cover!#REF!</definedName>
    <definedName name="_xlnm.Print_Area" localSheetId="0">Cover!#REF!</definedName>
    <definedName name="_xlnm.Print_Area" localSheetId="1">FinReview!$A$2:$J$62</definedName>
  </definedNames>
  <calcPr calcId="125725" iterate="1" iterateCount="10"/>
</workbook>
</file>

<file path=xl/calcChain.xml><?xml version="1.0" encoding="utf-8"?>
<calcChain xmlns="http://schemas.openxmlformats.org/spreadsheetml/2006/main">
  <c r="E36" i="23"/>
  <c r="D36"/>
  <c r="I54"/>
  <c r="H2"/>
  <c r="I59"/>
  <c r="I38" l="1"/>
  <c r="E6" l="1"/>
  <c r="H49"/>
  <c r="I46"/>
  <c r="H46"/>
  <c r="F46"/>
  <c r="I36"/>
  <c r="H36"/>
  <c r="F36"/>
  <c r="E9"/>
  <c r="E8"/>
  <c r="E7"/>
  <c r="I39" l="1"/>
  <c r="F11"/>
  <c r="F12"/>
  <c r="I43"/>
  <c r="I42"/>
  <c r="I40"/>
  <c r="I53"/>
  <c r="I52"/>
  <c r="J49" s="1"/>
  <c r="D12"/>
  <c r="D11"/>
  <c r="E12"/>
  <c r="G46"/>
  <c r="G24"/>
  <c r="G36"/>
  <c r="G30"/>
  <c r="J43" l="1"/>
  <c r="J40"/>
  <c r="I12"/>
  <c r="E11"/>
  <c r="I11" s="1"/>
  <c r="J12" l="1"/>
  <c r="I58"/>
  <c r="I56" l="1"/>
  <c r="I57"/>
  <c r="J57"/>
</calcChain>
</file>

<file path=xl/sharedStrings.xml><?xml version="1.0" encoding="utf-8"?>
<sst xmlns="http://schemas.openxmlformats.org/spreadsheetml/2006/main" count="2145" uniqueCount="2129">
  <si>
    <t>District Name:</t>
  </si>
  <si>
    <t>Suggested Difference</t>
  </si>
  <si>
    <t>CDN:</t>
  </si>
  <si>
    <t>Teacher FTE</t>
  </si>
  <si>
    <t>Payroll</t>
  </si>
  <si>
    <t>Contract Costs</t>
  </si>
  <si>
    <t>Supplies and Materials</t>
  </si>
  <si>
    <t>Other Operating</t>
  </si>
  <si>
    <t>Debt Service</t>
  </si>
  <si>
    <t>Capital Outlay</t>
  </si>
  <si>
    <t>All Staff FTE</t>
  </si>
  <si>
    <t>Total Expenditures</t>
  </si>
  <si>
    <t>Total Revenues</t>
  </si>
  <si>
    <t>Object code series 6200</t>
  </si>
  <si>
    <t>Object code series 6300</t>
  </si>
  <si>
    <t>Object code series 6400</t>
  </si>
  <si>
    <t xml:space="preserve"> </t>
  </si>
  <si>
    <t>Object code series 6600</t>
  </si>
  <si>
    <t>2010-2011 Actual Amount</t>
  </si>
  <si>
    <t>Indicators</t>
  </si>
  <si>
    <t>WADA</t>
  </si>
  <si>
    <t>2011-2012 Estimate</t>
  </si>
  <si>
    <t xml:space="preserve">2010-2011 Actual </t>
  </si>
  <si>
    <t>CDN</t>
  </si>
  <si>
    <t>District Name</t>
  </si>
  <si>
    <t>019901</t>
  </si>
  <si>
    <t>Group</t>
  </si>
  <si>
    <t>2010-2011 Budget Amount</t>
  </si>
  <si>
    <t>Comments</t>
  </si>
  <si>
    <t>2009-2010 Budget Amount</t>
  </si>
  <si>
    <t>2011-2012 Amount</t>
  </si>
  <si>
    <t>2009-2010 Actual Amount</t>
  </si>
  <si>
    <t>Additional Questions</t>
  </si>
  <si>
    <t>Fund balance less than 1% of general fund expenditures:</t>
  </si>
  <si>
    <t xml:space="preserve"> 2010-2011 WADA</t>
  </si>
  <si>
    <t xml:space="preserve"> 2010-2011 Staff FTE</t>
  </si>
  <si>
    <t xml:space="preserve"> 2010-2011 Teacher FTE</t>
  </si>
  <si>
    <t xml:space="preserve"> 2009-2010 Budgeted Expenditures</t>
  </si>
  <si>
    <t xml:space="preserve"> 2010-2011 Budgeted Expenditures</t>
  </si>
  <si>
    <t xml:space="preserve"> 2009-2010 Actual Expenditures</t>
  </si>
  <si>
    <t xml:space="preserve"> 2009-2010 Budget Revenues</t>
  </si>
  <si>
    <t xml:space="preserve"> 2010-2011 Budget Revenues</t>
  </si>
  <si>
    <t xml:space="preserve"> 2009-2010 Actual Revenues</t>
  </si>
  <si>
    <t xml:space="preserve"> 2009-2010 General Fund Balance</t>
  </si>
  <si>
    <t>109901</t>
  </si>
  <si>
    <t>ABBOTT ISD</t>
  </si>
  <si>
    <t>095901</t>
  </si>
  <si>
    <t>ABERNATHY ISD</t>
  </si>
  <si>
    <t>221901</t>
  </si>
  <si>
    <t>ABILENE ISD</t>
  </si>
  <si>
    <t>014901</t>
  </si>
  <si>
    <t>ACADEMY ISD</t>
  </si>
  <si>
    <t>180903</t>
  </si>
  <si>
    <t>ADRIAN ISD</t>
  </si>
  <si>
    <t>178901</t>
  </si>
  <si>
    <t>AGUA DULCE ISD</t>
  </si>
  <si>
    <t>015901</t>
  </si>
  <si>
    <t>ALAMO HEIGHTS ISD</t>
  </si>
  <si>
    <t>250906</t>
  </si>
  <si>
    <t>ALBA-GOLDEN ISD</t>
  </si>
  <si>
    <t>209901</t>
  </si>
  <si>
    <t>ALBANY ISD</t>
  </si>
  <si>
    <t>101902</t>
  </si>
  <si>
    <t>ALDINE ISD</t>
  </si>
  <si>
    <t>184907</t>
  </si>
  <si>
    <t>ALEDO ISD</t>
  </si>
  <si>
    <t>125901</t>
  </si>
  <si>
    <t>ALICE ISD</t>
  </si>
  <si>
    <t>101903</t>
  </si>
  <si>
    <t>ALIEF ISD</t>
  </si>
  <si>
    <t>043901</t>
  </si>
  <si>
    <t>ALLEN ISD</t>
  </si>
  <si>
    <t>022901</t>
  </si>
  <si>
    <t>ALPINE ISD</t>
  </si>
  <si>
    <t>037901</t>
  </si>
  <si>
    <t>ALTO ISD</t>
  </si>
  <si>
    <t>126901</t>
  </si>
  <si>
    <t>ALVARADO ISD</t>
  </si>
  <si>
    <t>020901</t>
  </si>
  <si>
    <t>ALVIN ISD</t>
  </si>
  <si>
    <t>249901</t>
  </si>
  <si>
    <t>ALVORD ISD</t>
  </si>
  <si>
    <t>188901</t>
  </si>
  <si>
    <t>AMARILLO ISD</t>
  </si>
  <si>
    <t>140901</t>
  </si>
  <si>
    <t>AMHERST ISD</t>
  </si>
  <si>
    <t>036901</t>
  </si>
  <si>
    <t>ANAHUAC ISD</t>
  </si>
  <si>
    <t>093901</t>
  </si>
  <si>
    <t>ANDERSON-SHIRO CISD</t>
  </si>
  <si>
    <t>002901</t>
  </si>
  <si>
    <t>ANDREWS ISD</t>
  </si>
  <si>
    <t>020902</t>
  </si>
  <si>
    <t>ANGLETON ISD</t>
  </si>
  <si>
    <t>043902</t>
  </si>
  <si>
    <t>ANNA ISD</t>
  </si>
  <si>
    <t>127901</t>
  </si>
  <si>
    <t>ANSON ISD</t>
  </si>
  <si>
    <t>071906</t>
  </si>
  <si>
    <t>ANTHONY ISD</t>
  </si>
  <si>
    <t>110901</t>
  </si>
  <si>
    <t>ANTON ISD</t>
  </si>
  <si>
    <t>228905</t>
  </si>
  <si>
    <t>APPLE SPRINGS ISD</t>
  </si>
  <si>
    <t>109912</t>
  </si>
  <si>
    <t>AQUILLA ISD</t>
  </si>
  <si>
    <t>004901</t>
  </si>
  <si>
    <t>ARANSAS COUNTY ISD</t>
  </si>
  <si>
    <t>205901</t>
  </si>
  <si>
    <t>ARANSAS PASS ISD</t>
  </si>
  <si>
    <t>005901</t>
  </si>
  <si>
    <t>ARCHER CITY ISD</t>
  </si>
  <si>
    <t>061910</t>
  </si>
  <si>
    <t>ARGYLE ISD</t>
  </si>
  <si>
    <t>220901</t>
  </si>
  <si>
    <t>ARLINGTON ISD</t>
  </si>
  <si>
    <t>212901</t>
  </si>
  <si>
    <t>ARP ISD</t>
  </si>
  <si>
    <t>217901</t>
  </si>
  <si>
    <t>ASPERMONT ISD</t>
  </si>
  <si>
    <t>107901</t>
  </si>
  <si>
    <t>ATHENS ISD</t>
  </si>
  <si>
    <t>034901</t>
  </si>
  <si>
    <t>ATLANTA ISD</t>
  </si>
  <si>
    <t>061907</t>
  </si>
  <si>
    <t>AUBREY ISD</t>
  </si>
  <si>
    <t>227901</t>
  </si>
  <si>
    <t>AUSTIN ISD</t>
  </si>
  <si>
    <t>196901</t>
  </si>
  <si>
    <t>AUSTWELL-TIVOLI ISD</t>
  </si>
  <si>
    <t>070901</t>
  </si>
  <si>
    <t>AVALON ISD</t>
  </si>
  <si>
    <t>194902</t>
  </si>
  <si>
    <t>AVERY ISD</t>
  </si>
  <si>
    <t>034902</t>
  </si>
  <si>
    <t>AVINGER ISD</t>
  </si>
  <si>
    <t>161918</t>
  </si>
  <si>
    <t>AXTELL ISD</t>
  </si>
  <si>
    <t>220915</t>
  </si>
  <si>
    <t>AZLE ISD</t>
  </si>
  <si>
    <t>030903</t>
  </si>
  <si>
    <t>BAIRD ISD</t>
  </si>
  <si>
    <t>200901</t>
  </si>
  <si>
    <t>BALLINGER ISD</t>
  </si>
  <si>
    <t>195902</t>
  </si>
  <si>
    <t>BALMORHEA ISD</t>
  </si>
  <si>
    <t>010902</t>
  </si>
  <si>
    <t>BANDERA ISD</t>
  </si>
  <si>
    <t>025901</t>
  </si>
  <si>
    <t>BANGS ISD</t>
  </si>
  <si>
    <t>178913</t>
  </si>
  <si>
    <t>BANQUETE ISD</t>
  </si>
  <si>
    <t>036902</t>
  </si>
  <si>
    <t>BARBERS HILL ISD</t>
  </si>
  <si>
    <t>014902</t>
  </si>
  <si>
    <t>BARTLETT ISD</t>
  </si>
  <si>
    <t>011901</t>
  </si>
  <si>
    <t>BASTROP ISD</t>
  </si>
  <si>
    <t>158901</t>
  </si>
  <si>
    <t>BAY CITY ISD</t>
  </si>
  <si>
    <t>123910</t>
  </si>
  <si>
    <t>BEAUMONT ISD</t>
  </si>
  <si>
    <t>183901</t>
  </si>
  <si>
    <t>BECKVILLE ISD</t>
  </si>
  <si>
    <t>013901</t>
  </si>
  <si>
    <t>BEEVILLE ISD</t>
  </si>
  <si>
    <t>039904</t>
  </si>
  <si>
    <t>BELLEVUE ISD</t>
  </si>
  <si>
    <t>091901</t>
  </si>
  <si>
    <t>BELLS ISD</t>
  </si>
  <si>
    <t>008901</t>
  </si>
  <si>
    <t>BELLVILLE ISD</t>
  </si>
  <si>
    <t>014903</t>
  </si>
  <si>
    <t>BELTON ISD</t>
  </si>
  <si>
    <t>125902</t>
  </si>
  <si>
    <t>BEN BOLT-PALITO BLANCO ISD</t>
  </si>
  <si>
    <t>066901</t>
  </si>
  <si>
    <t>BENAVIDES ISD</t>
  </si>
  <si>
    <t>138904</t>
  </si>
  <si>
    <t>BENJAMIN ISD</t>
  </si>
  <si>
    <t>187901</t>
  </si>
  <si>
    <t>BIG SANDY ISD</t>
  </si>
  <si>
    <t>230901</t>
  </si>
  <si>
    <t>114901</t>
  </si>
  <si>
    <t>BIG SPRING ISD</t>
  </si>
  <si>
    <t>220902</t>
  </si>
  <si>
    <t>BIRDVILLE ISD</t>
  </si>
  <si>
    <t>178902</t>
  </si>
  <si>
    <t>BISHOP CISD</t>
  </si>
  <si>
    <t>177903</t>
  </si>
  <si>
    <t>BLACKWELL CISD</t>
  </si>
  <si>
    <t>016902</t>
  </si>
  <si>
    <t>BLANCO ISD</t>
  </si>
  <si>
    <t>116915</t>
  </si>
  <si>
    <t>BLAND ISD</t>
  </si>
  <si>
    <t>025904</t>
  </si>
  <si>
    <t>BLANKET ISD</t>
  </si>
  <si>
    <t>034909</t>
  </si>
  <si>
    <t>BLOOMBURG ISD</t>
  </si>
  <si>
    <t>175902</t>
  </si>
  <si>
    <t>BLOOMING GROVE ISD</t>
  </si>
  <si>
    <t>235901</t>
  </si>
  <si>
    <t>BLOOMINGTON ISD</t>
  </si>
  <si>
    <t>043917</t>
  </si>
  <si>
    <t>BLUE RIDGE ISD</t>
  </si>
  <si>
    <t>072904</t>
  </si>
  <si>
    <t>BLUFF DALE ISD</t>
  </si>
  <si>
    <t>109913</t>
  </si>
  <si>
    <t>BLUM ISD</t>
  </si>
  <si>
    <t>130901</t>
  </si>
  <si>
    <t>BOERNE ISD</t>
  </si>
  <si>
    <t>116916</t>
  </si>
  <si>
    <t>BOLES ISD</t>
  </si>
  <si>
    <t>241901</t>
  </si>
  <si>
    <t>BOLING ISD</t>
  </si>
  <si>
    <t>074903</t>
  </si>
  <si>
    <t>BONHAM ISD</t>
  </si>
  <si>
    <t>148901</t>
  </si>
  <si>
    <t>BOOKER ISD</t>
  </si>
  <si>
    <t>017901</t>
  </si>
  <si>
    <t>BORDEN COUNTY ISD</t>
  </si>
  <si>
    <t>117901</t>
  </si>
  <si>
    <t>BORGER ISD</t>
  </si>
  <si>
    <t>161923</t>
  </si>
  <si>
    <t>BOSQUEVILLE ISD</t>
  </si>
  <si>
    <t>185901</t>
  </si>
  <si>
    <t>BOVINA ISD</t>
  </si>
  <si>
    <t>169901</t>
  </si>
  <si>
    <t>BOWIE ISD</t>
  </si>
  <si>
    <t>249902</t>
  </si>
  <si>
    <t>BOYD ISD</t>
  </si>
  <si>
    <t>180901</t>
  </si>
  <si>
    <t>BOYS RANCH ISD</t>
  </si>
  <si>
    <t>136901</t>
  </si>
  <si>
    <t>BRACKETT ISD</t>
  </si>
  <si>
    <t>160901</t>
  </si>
  <si>
    <t>BRADY ISD</t>
  </si>
  <si>
    <t>008903</t>
  </si>
  <si>
    <t>BRAZOS ISD</t>
  </si>
  <si>
    <t>020905</t>
  </si>
  <si>
    <t>BRAZOSPORT ISD</t>
  </si>
  <si>
    <t>215901</t>
  </si>
  <si>
    <t>BRECKENRIDGE ISD</t>
  </si>
  <si>
    <t>198901</t>
  </si>
  <si>
    <t>BREMOND ISD</t>
  </si>
  <si>
    <t>239901</t>
  </si>
  <si>
    <t>BRENHAM ISD</t>
  </si>
  <si>
    <t>181901</t>
  </si>
  <si>
    <t>BRIDGE CITY ISD</t>
  </si>
  <si>
    <t>249903</t>
  </si>
  <si>
    <t>BRIDGEPORT ISD</t>
  </si>
  <si>
    <t>203902</t>
  </si>
  <si>
    <t>BROADDUS ISD</t>
  </si>
  <si>
    <t>184909</t>
  </si>
  <si>
    <t>BROCK ISD</t>
  </si>
  <si>
    <t>041901</t>
  </si>
  <si>
    <t>BRONTE ISD</t>
  </si>
  <si>
    <t>121902</t>
  </si>
  <si>
    <t>BROOKELAND ISD</t>
  </si>
  <si>
    <t>025908</t>
  </si>
  <si>
    <t>BROOKESMITH ISD</t>
  </si>
  <si>
    <t>024901</t>
  </si>
  <si>
    <t>BROOKS COUNTY ISD</t>
  </si>
  <si>
    <t>223901</t>
  </si>
  <si>
    <t>BROWNFIELD ISD</t>
  </si>
  <si>
    <t>107902</t>
  </si>
  <si>
    <t>BROWNSBORO ISD</t>
  </si>
  <si>
    <t>031901</t>
  </si>
  <si>
    <t>BROWNSVILLE ISD</t>
  </si>
  <si>
    <t>025902</t>
  </si>
  <si>
    <t>BROWNWOOD ISD</t>
  </si>
  <si>
    <t>161919</t>
  </si>
  <si>
    <t>BRUCEVILLE-EDDY ISD</t>
  </si>
  <si>
    <t>021902</t>
  </si>
  <si>
    <t>BRYAN ISD</t>
  </si>
  <si>
    <t>119901</t>
  </si>
  <si>
    <t>BRYSON ISD</t>
  </si>
  <si>
    <t>166907</t>
  </si>
  <si>
    <t>BUCKHOLTS ISD</t>
  </si>
  <si>
    <t>186901</t>
  </si>
  <si>
    <t>BUENA VISTA ISD</t>
  </si>
  <si>
    <t>145901</t>
  </si>
  <si>
    <t>BUFFALO ISD</t>
  </si>
  <si>
    <t>212902</t>
  </si>
  <si>
    <t>BULLARD ISD</t>
  </si>
  <si>
    <t>121903</t>
  </si>
  <si>
    <t>BUNA ISD</t>
  </si>
  <si>
    <t>243901</t>
  </si>
  <si>
    <t>BURKBURNETT ISD</t>
  </si>
  <si>
    <t>176901</t>
  </si>
  <si>
    <t>BURKEVILLE ISD</t>
  </si>
  <si>
    <t>126902</t>
  </si>
  <si>
    <t>BURLESON ISD</t>
  </si>
  <si>
    <t>027903</t>
  </si>
  <si>
    <t>BURNET CISD</t>
  </si>
  <si>
    <t>239903</t>
  </si>
  <si>
    <t>BURTON ISD</t>
  </si>
  <si>
    <t>188904</t>
  </si>
  <si>
    <t>BUSHLAND ISD</t>
  </si>
  <si>
    <t>039901</t>
  </si>
  <si>
    <t>BYERS ISD</t>
  </si>
  <si>
    <t>109902</t>
  </si>
  <si>
    <t>BYNUM ISD</t>
  </si>
  <si>
    <t>116901</t>
  </si>
  <si>
    <t>CADDO MILLS ISD</t>
  </si>
  <si>
    <t>178903</t>
  </si>
  <si>
    <t>CALALLEN ISD</t>
  </si>
  <si>
    <t>026901</t>
  </si>
  <si>
    <t>CALDWELL ISD</t>
  </si>
  <si>
    <t>029901</t>
  </si>
  <si>
    <t>CALHOUN COUNTY ISD</t>
  </si>
  <si>
    <t>049905</t>
  </si>
  <si>
    <t>CALLISBURG ISD</t>
  </si>
  <si>
    <t>198902</t>
  </si>
  <si>
    <t>CALVERT ISD</t>
  </si>
  <si>
    <t>166901</t>
  </si>
  <si>
    <t>CAMERON ISD</t>
  </si>
  <si>
    <t>116910</t>
  </si>
  <si>
    <t>CAMPBELL ISD</t>
  </si>
  <si>
    <t>106901</t>
  </si>
  <si>
    <t>CANADIAN ISD</t>
  </si>
  <si>
    <t>234902</t>
  </si>
  <si>
    <t>CANTON ISD</t>
  </si>
  <si>
    <t>071907</t>
  </si>
  <si>
    <t>CANUTILLO ISD</t>
  </si>
  <si>
    <t>191901</t>
  </si>
  <si>
    <t>CANYON ISD</t>
  </si>
  <si>
    <t>201913</t>
  </si>
  <si>
    <t>CARLISLE ISD</t>
  </si>
  <si>
    <t>064903</t>
  </si>
  <si>
    <t>CARRIZO SPRINGS CISD</t>
  </si>
  <si>
    <t>220919</t>
  </si>
  <si>
    <t>CARROLL ISD</t>
  </si>
  <si>
    <t>057903</t>
  </si>
  <si>
    <t>CARROLLTON-FARMERS BRANCH ISD</t>
  </si>
  <si>
    <t>183902</t>
  </si>
  <si>
    <t>CARTHAGE ISD</t>
  </si>
  <si>
    <t>220917</t>
  </si>
  <si>
    <t>CASTLEBERRY ISD</t>
  </si>
  <si>
    <t>001902</t>
  </si>
  <si>
    <t>CAYUGA ISD</t>
  </si>
  <si>
    <t>057904</t>
  </si>
  <si>
    <t>CEDAR HILL ISD</t>
  </si>
  <si>
    <t>116902</t>
  </si>
  <si>
    <t>CELESTE ISD</t>
  </si>
  <si>
    <t>043903</t>
  </si>
  <si>
    <t>CELINA ISD</t>
  </si>
  <si>
    <t>210901</t>
  </si>
  <si>
    <t>CENTER ISD</t>
  </si>
  <si>
    <t>133901</t>
  </si>
  <si>
    <t>CENTER POINT ISD</t>
  </si>
  <si>
    <t>145902</t>
  </si>
  <si>
    <t>CENTERVILLE ISD</t>
  </si>
  <si>
    <t>228904</t>
  </si>
  <si>
    <t>174908</t>
  </si>
  <si>
    <t>CENTRAL HEIGHTS ISD</t>
  </si>
  <si>
    <t>003907</t>
  </si>
  <si>
    <t>CENTRAL ISD</t>
  </si>
  <si>
    <t>101905</t>
  </si>
  <si>
    <t>CHANNELVIEW ISD</t>
  </si>
  <si>
    <t>103901</t>
  </si>
  <si>
    <t>CHANNING ISD</t>
  </si>
  <si>
    <t>212909</t>
  </si>
  <si>
    <t>CHAPEL HILL ISD</t>
  </si>
  <si>
    <t>225906</t>
  </si>
  <si>
    <t>007901</t>
  </si>
  <si>
    <t>CHARLOTTE ISD</t>
  </si>
  <si>
    <t>206903</t>
  </si>
  <si>
    <t>CHEROKEE ISD</t>
  </si>
  <si>
    <t>229906</t>
  </si>
  <si>
    <t>CHESTER ISD</t>
  </si>
  <si>
    <t>249904</t>
  </si>
  <si>
    <t>CHICO ISD</t>
  </si>
  <si>
    <t>038901</t>
  </si>
  <si>
    <t>CHILDRESS ISD</t>
  </si>
  <si>
    <t>099902</t>
  </si>
  <si>
    <t>CHILLICOTHE ISD</t>
  </si>
  <si>
    <t>073901</t>
  </si>
  <si>
    <t>CHILTON ISD</t>
  </si>
  <si>
    <t>161920</t>
  </si>
  <si>
    <t>CHINA SPRING ISD</t>
  </si>
  <si>
    <t>174901</t>
  </si>
  <si>
    <t>CHIRENO ISD</t>
  </si>
  <si>
    <t>139905</t>
  </si>
  <si>
    <t>CHISUM ISD</t>
  </si>
  <si>
    <t>226901</t>
  </si>
  <si>
    <t>CHRISTOVAL ISD</t>
  </si>
  <si>
    <t>067902</t>
  </si>
  <si>
    <t>CISCO ISD</t>
  </si>
  <si>
    <t>243906</t>
  </si>
  <si>
    <t>CITY VIEW ISD</t>
  </si>
  <si>
    <t>065901</t>
  </si>
  <si>
    <t>CLARENDON ISD</t>
  </si>
  <si>
    <t>194904</t>
  </si>
  <si>
    <t>CLARKSVILLE ISD</t>
  </si>
  <si>
    <t>006902</t>
  </si>
  <si>
    <t>CLAUDE ISD</t>
  </si>
  <si>
    <t>084910</t>
  </si>
  <si>
    <t>CLEAR CREEK ISD</t>
  </si>
  <si>
    <t>126903</t>
  </si>
  <si>
    <t>CLEBURNE ISD</t>
  </si>
  <si>
    <t>146901</t>
  </si>
  <si>
    <t>CLEVELAND ISD</t>
  </si>
  <si>
    <t>018901</t>
  </si>
  <si>
    <t>CLIFTON ISD</t>
  </si>
  <si>
    <t>071901</t>
  </si>
  <si>
    <t>CLINT ISD</t>
  </si>
  <si>
    <t>030902</t>
  </si>
  <si>
    <t>CLYDE CISD</t>
  </si>
  <si>
    <t>114902</t>
  </si>
  <si>
    <t>COAHOMA ISD</t>
  </si>
  <si>
    <t>204901</t>
  </si>
  <si>
    <t>COLDSPRING-OAKHURST CISD</t>
  </si>
  <si>
    <t>042901</t>
  </si>
  <si>
    <t>COLEMAN ISD</t>
  </si>
  <si>
    <t>021901</t>
  </si>
  <si>
    <t>COLLEGE STATION ISD</t>
  </si>
  <si>
    <t>091902</t>
  </si>
  <si>
    <t>COLLINSVILLE ISD</t>
  </si>
  <si>
    <t>229901</t>
  </si>
  <si>
    <t>COLMESNEIL ISD</t>
  </si>
  <si>
    <t>168901</t>
  </si>
  <si>
    <t>COLORADO ISD</t>
  </si>
  <si>
    <t>020907</t>
  </si>
  <si>
    <t>COLUMBIA-BRAZORIA ISD</t>
  </si>
  <si>
    <t>045902</t>
  </si>
  <si>
    <t>COLUMBUS ISD</t>
  </si>
  <si>
    <t>046902</t>
  </si>
  <si>
    <t>COMAL ISD</t>
  </si>
  <si>
    <t>047901</t>
  </si>
  <si>
    <t>COMANCHE ISD</t>
  </si>
  <si>
    <t>130902</t>
  </si>
  <si>
    <t>COMFORT ISD</t>
  </si>
  <si>
    <t>116903</t>
  </si>
  <si>
    <t>COMMERCE ISD</t>
  </si>
  <si>
    <t>043918</t>
  </si>
  <si>
    <t>COMMUNITY ISD</t>
  </si>
  <si>
    <t>112908</t>
  </si>
  <si>
    <t>COMO-PICKTON CISD</t>
  </si>
  <si>
    <t>233903</t>
  </si>
  <si>
    <t>COMSTOCK ISD</t>
  </si>
  <si>
    <t>161921</t>
  </si>
  <si>
    <t>CONNALLY ISD</t>
  </si>
  <si>
    <t>170902</t>
  </si>
  <si>
    <t>CONROE ISD</t>
  </si>
  <si>
    <t>147901</t>
  </si>
  <si>
    <t>COOLIDGE ISD</t>
  </si>
  <si>
    <t>060902</t>
  </si>
  <si>
    <t>COOPER ISD</t>
  </si>
  <si>
    <t>057922</t>
  </si>
  <si>
    <t>COPPELL ISD</t>
  </si>
  <si>
    <t>050910</t>
  </si>
  <si>
    <t>COPPERAS COVE ISD</t>
  </si>
  <si>
    <t>178904</t>
  </si>
  <si>
    <t>CORPUS CHRISTI ISD</t>
  </si>
  <si>
    <t>187904</t>
  </si>
  <si>
    <t>CORRIGAN-CAMDEN ISD</t>
  </si>
  <si>
    <t>175903</t>
  </si>
  <si>
    <t>CORSICANA ISD</t>
  </si>
  <si>
    <t>095902</t>
  </si>
  <si>
    <t>COTTON CENTER ISD</t>
  </si>
  <si>
    <t>142901</t>
  </si>
  <si>
    <t>COTULLA ISD</t>
  </si>
  <si>
    <t>246914</t>
  </si>
  <si>
    <t>COUPLAND ISD</t>
  </si>
  <si>
    <t>109903</t>
  </si>
  <si>
    <t>COVINGTON ISD</t>
  </si>
  <si>
    <t>129901</t>
  </si>
  <si>
    <t>CRANDALL ISD</t>
  </si>
  <si>
    <t>052901</t>
  </si>
  <si>
    <t>CRANE ISD</t>
  </si>
  <si>
    <t>018908</t>
  </si>
  <si>
    <t>CRANFILLS GAP ISD</t>
  </si>
  <si>
    <t>161901</t>
  </si>
  <si>
    <t>CRAWFORD ISD</t>
  </si>
  <si>
    <t>053001</t>
  </si>
  <si>
    <t>CROCKETT COUNTY CONSOLIDATED CSD</t>
  </si>
  <si>
    <t>113901</t>
  </si>
  <si>
    <t>CROCKETT ISD</t>
  </si>
  <si>
    <t>101906</t>
  </si>
  <si>
    <t>CROSBY ISD</t>
  </si>
  <si>
    <t>054901</t>
  </si>
  <si>
    <t>CROSBYTON CISD</t>
  </si>
  <si>
    <t>030901</t>
  </si>
  <si>
    <t>CROSS PLAINS ISD</t>
  </si>
  <si>
    <t>107904</t>
  </si>
  <si>
    <t>CROSS ROADS ISD</t>
  </si>
  <si>
    <t>078901</t>
  </si>
  <si>
    <t>CROWELL ISD</t>
  </si>
  <si>
    <t>220912</t>
  </si>
  <si>
    <t>CROWLEY ISD</t>
  </si>
  <si>
    <t>254901</t>
  </si>
  <si>
    <t>CRYSTAL CITY ISD</t>
  </si>
  <si>
    <t>062901</t>
  </si>
  <si>
    <t>CUERO ISD</t>
  </si>
  <si>
    <t>055901</t>
  </si>
  <si>
    <t>CULBERSON COUNTY-ALLAMOORE ISD</t>
  </si>
  <si>
    <t>112905</t>
  </si>
  <si>
    <t>CUMBY ISD</t>
  </si>
  <si>
    <t>174902</t>
  </si>
  <si>
    <t>CUSHING ISD</t>
  </si>
  <si>
    <t>101907</t>
  </si>
  <si>
    <t>CYPRESS-FAIRBANKS ISD</t>
  </si>
  <si>
    <t>163902</t>
  </si>
  <si>
    <t>D'HANIS ISD</t>
  </si>
  <si>
    <t>172902</t>
  </si>
  <si>
    <t>DAINGERFIELD-LONE STAR ISD</t>
  </si>
  <si>
    <t>056901</t>
  </si>
  <si>
    <t>DALHART ISD</t>
  </si>
  <si>
    <t>057905</t>
  </si>
  <si>
    <t>DALLAS ISD</t>
  </si>
  <si>
    <t>020910</t>
  </si>
  <si>
    <t>DAMON ISD</t>
  </si>
  <si>
    <t>020904</t>
  </si>
  <si>
    <t>DANBURY ISD</t>
  </si>
  <si>
    <t>148905</t>
  </si>
  <si>
    <t>DARROUZETT ISD</t>
  </si>
  <si>
    <t>058902</t>
  </si>
  <si>
    <t>DAWSON ISD</t>
  </si>
  <si>
    <t>175904</t>
  </si>
  <si>
    <t>146902</t>
  </si>
  <si>
    <t>DAYTON ISD</t>
  </si>
  <si>
    <t>047902</t>
  </si>
  <si>
    <t>DE LEON ISD</t>
  </si>
  <si>
    <t>249905</t>
  </si>
  <si>
    <t>DECATUR ISD</t>
  </si>
  <si>
    <t>101908</t>
  </si>
  <si>
    <t>DEER PARK ISD</t>
  </si>
  <si>
    <t>DEKALB ISD</t>
  </si>
  <si>
    <t>227910</t>
  </si>
  <si>
    <t>DEL VALLE ISD</t>
  </si>
  <si>
    <t>115903</t>
  </si>
  <si>
    <t>DELL CITY ISD</t>
  </si>
  <si>
    <t>091903</t>
  </si>
  <si>
    <t>DENISON ISD</t>
  </si>
  <si>
    <t>061901</t>
  </si>
  <si>
    <t>DENTON ISD</t>
  </si>
  <si>
    <t>251901</t>
  </si>
  <si>
    <t>DENVER CITY ISD</t>
  </si>
  <si>
    <t>057906</t>
  </si>
  <si>
    <t>DESOTO ISD</t>
  </si>
  <si>
    <t>194905</t>
  </si>
  <si>
    <t>DETROIT ISD</t>
  </si>
  <si>
    <t>146903</t>
  </si>
  <si>
    <t>DEVERS ISD</t>
  </si>
  <si>
    <t>163901</t>
  </si>
  <si>
    <t>DEVINE ISD</t>
  </si>
  <si>
    <t>081906</t>
  </si>
  <si>
    <t>DEW ISD</t>
  </si>
  <si>
    <t>176903</t>
  </si>
  <si>
    <t>DEWEYVILLE ISD</t>
  </si>
  <si>
    <t>003905</t>
  </si>
  <si>
    <t>DIBOLL ISD</t>
  </si>
  <si>
    <t>084901</t>
  </si>
  <si>
    <t>DICKINSON ISD</t>
  </si>
  <si>
    <t>082902</t>
  </si>
  <si>
    <t>DILLEY ISD</t>
  </si>
  <si>
    <t>144903</t>
  </si>
  <si>
    <t>DIME BOX ISD</t>
  </si>
  <si>
    <t>035901</t>
  </si>
  <si>
    <t>DIMMITT ISD</t>
  </si>
  <si>
    <t>133905</t>
  </si>
  <si>
    <t>DIVIDE ISD</t>
  </si>
  <si>
    <t>074904</t>
  </si>
  <si>
    <t>DODD CITY ISD</t>
  </si>
  <si>
    <t>108902</t>
  </si>
  <si>
    <t>DONNA ISD</t>
  </si>
  <si>
    <t>086024</t>
  </si>
  <si>
    <t>DOSS CONSOLIDATED CSD</t>
  </si>
  <si>
    <t>174911</t>
  </si>
  <si>
    <t>DOUGLASS ISD</t>
  </si>
  <si>
    <t>105904</t>
  </si>
  <si>
    <t>DRIPPING SPRINGS ISD</t>
  </si>
  <si>
    <t>178905</t>
  </si>
  <si>
    <t>DRISCOLL ISD</t>
  </si>
  <si>
    <t>072902</t>
  </si>
  <si>
    <t>DUBLIN ISD</t>
  </si>
  <si>
    <t>171901</t>
  </si>
  <si>
    <t>DUMAS ISD</t>
  </si>
  <si>
    <t>057907</t>
  </si>
  <si>
    <t>DUNCANVILLE ISD</t>
  </si>
  <si>
    <t>220918</t>
  </si>
  <si>
    <t>EAGLE MT-SAGINAW ISD</t>
  </si>
  <si>
    <t>159901</t>
  </si>
  <si>
    <t>EAGLE PASS ISD</t>
  </si>
  <si>
    <t>227909</t>
  </si>
  <si>
    <t>EANES ISD</t>
  </si>
  <si>
    <t>025909</t>
  </si>
  <si>
    <t>EARLY ISD</t>
  </si>
  <si>
    <t>241902</t>
  </si>
  <si>
    <t>EAST BERNARD ISD</t>
  </si>
  <si>
    <t>015911</t>
  </si>
  <si>
    <t>EAST CENTRAL ISD</t>
  </si>
  <si>
    <t>036903</t>
  </si>
  <si>
    <t>EAST CHAMBERS ISD</t>
  </si>
  <si>
    <t>067903</t>
  </si>
  <si>
    <t>EASTLAND ISD</t>
  </si>
  <si>
    <t>068901</t>
  </si>
  <si>
    <t>ECTOR COUNTY ISD</t>
  </si>
  <si>
    <t>074905</t>
  </si>
  <si>
    <t>ECTOR ISD</t>
  </si>
  <si>
    <t>108903</t>
  </si>
  <si>
    <t>EDCOUCH-ELSA ISD</t>
  </si>
  <si>
    <t>048901</t>
  </si>
  <si>
    <t>EDEN CISD</t>
  </si>
  <si>
    <t>015905</t>
  </si>
  <si>
    <t>EDGEWOOD ISD</t>
  </si>
  <si>
    <t>234903</t>
  </si>
  <si>
    <t>108904</t>
  </si>
  <si>
    <t>EDINBURG CISD</t>
  </si>
  <si>
    <t>120901</t>
  </si>
  <si>
    <t>EDNA ISD</t>
  </si>
  <si>
    <t>241903</t>
  </si>
  <si>
    <t>EL CAMPO ISD</t>
  </si>
  <si>
    <t>071902</t>
  </si>
  <si>
    <t>EL PASO ISD</t>
  </si>
  <si>
    <t>243902</t>
  </si>
  <si>
    <t>ELECTRA ISD</t>
  </si>
  <si>
    <t>011902</t>
  </si>
  <si>
    <t>ELGIN ISD</t>
  </si>
  <si>
    <t>001903</t>
  </si>
  <si>
    <t>ELKHART ISD</t>
  </si>
  <si>
    <t>102906</t>
  </si>
  <si>
    <t>ELYSIAN FIELDS ISD</t>
  </si>
  <si>
    <t>070903</t>
  </si>
  <si>
    <t>ENNIS ISD</t>
  </si>
  <si>
    <t>049906</t>
  </si>
  <si>
    <t>ERA ISD</t>
  </si>
  <si>
    <t>174910</t>
  </si>
  <si>
    <t>ETOILE ISD</t>
  </si>
  <si>
    <t>030906</t>
  </si>
  <si>
    <t>EULA ISD</t>
  </si>
  <si>
    <t>107905</t>
  </si>
  <si>
    <t>EUSTACE ISD</t>
  </si>
  <si>
    <t>121906</t>
  </si>
  <si>
    <t>EVADALE ISD</t>
  </si>
  <si>
    <t>050901</t>
  </si>
  <si>
    <t>EVANT ISD</t>
  </si>
  <si>
    <t>220904</t>
  </si>
  <si>
    <t>EVERMAN ISD</t>
  </si>
  <si>
    <t>210906</t>
  </si>
  <si>
    <t>EXCELSIOR ISD</t>
  </si>
  <si>
    <t>143906</t>
  </si>
  <si>
    <t>EZZELL ISD</t>
  </si>
  <si>
    <t>071903</t>
  </si>
  <si>
    <t>FABENS ISD</t>
  </si>
  <si>
    <t>081902</t>
  </si>
  <si>
    <t>FAIRFIELD ISD</t>
  </si>
  <si>
    <t>128904</t>
  </si>
  <si>
    <t>FALLS CITY ISD</t>
  </si>
  <si>
    <t>060914</t>
  </si>
  <si>
    <t>FANNINDEL ISD</t>
  </si>
  <si>
    <t>043904</t>
  </si>
  <si>
    <t>FARMERSVILLE ISD</t>
  </si>
  <si>
    <t>185902</t>
  </si>
  <si>
    <t>FARWELL ISD</t>
  </si>
  <si>
    <t>075906</t>
  </si>
  <si>
    <t>FAYETTEVILLE ISD</t>
  </si>
  <si>
    <t>070905</t>
  </si>
  <si>
    <t>FERRIS ISD</t>
  </si>
  <si>
    <t>075901</t>
  </si>
  <si>
    <t>FLATONIA ISD</t>
  </si>
  <si>
    <t>246902</t>
  </si>
  <si>
    <t>FLORENCE ISD</t>
  </si>
  <si>
    <t>247901</t>
  </si>
  <si>
    <t>FLORESVILLE ISD</t>
  </si>
  <si>
    <t>178914</t>
  </si>
  <si>
    <t>FLOUR BLUFF ISD</t>
  </si>
  <si>
    <t>077901</t>
  </si>
  <si>
    <t>FLOYDADA ISD</t>
  </si>
  <si>
    <t>148902</t>
  </si>
  <si>
    <t>FOLLETT ISD</t>
  </si>
  <si>
    <t>169910</t>
  </si>
  <si>
    <t>FORESTBURG ISD</t>
  </si>
  <si>
    <t>129902</t>
  </si>
  <si>
    <t>FORNEY ISD</t>
  </si>
  <si>
    <t>114904</t>
  </si>
  <si>
    <t>FORSAN ISD</t>
  </si>
  <si>
    <t>079907</t>
  </si>
  <si>
    <t>FORT BEND ISD</t>
  </si>
  <si>
    <t>242906</t>
  </si>
  <si>
    <t>FORT ELLIOTT CISD</t>
  </si>
  <si>
    <t>186902</t>
  </si>
  <si>
    <t>FORT STOCKTON ISD</t>
  </si>
  <si>
    <t>220905</t>
  </si>
  <si>
    <t>FORT WORTH ISD</t>
  </si>
  <si>
    <t>198903</t>
  </si>
  <si>
    <t>FRANKLIN ISD</t>
  </si>
  <si>
    <t>001904</t>
  </si>
  <si>
    <t>FRANKSTON ISD</t>
  </si>
  <si>
    <t>086901</t>
  </si>
  <si>
    <t>FREDERICKSBURG ISD</t>
  </si>
  <si>
    <t>066903</t>
  </si>
  <si>
    <t>FREER ISD</t>
  </si>
  <si>
    <t>152907</t>
  </si>
  <si>
    <t>FRENSHIP ISD</t>
  </si>
  <si>
    <t>084911</t>
  </si>
  <si>
    <t>FRIENDSWOOD ISD</t>
  </si>
  <si>
    <t>185903</t>
  </si>
  <si>
    <t>FRIONA ISD</t>
  </si>
  <si>
    <t>043905</t>
  </si>
  <si>
    <t>FRISCO ISD</t>
  </si>
  <si>
    <t>175905</t>
  </si>
  <si>
    <t>FROST ISD</t>
  </si>
  <si>
    <t>234909</t>
  </si>
  <si>
    <t>FRUITVALE ISD</t>
  </si>
  <si>
    <t>122901</t>
  </si>
  <si>
    <t>FT DAVIS ISD</t>
  </si>
  <si>
    <t>115901</t>
  </si>
  <si>
    <t>FT HANCOCK ISD</t>
  </si>
  <si>
    <t>015914</t>
  </si>
  <si>
    <t>FT SAM HOUSTON ISD</t>
  </si>
  <si>
    <t>049901</t>
  </si>
  <si>
    <t>GAINESVILLE ISD</t>
  </si>
  <si>
    <t>101910</t>
  </si>
  <si>
    <t>GALENA PARK ISD</t>
  </si>
  <si>
    <t>084902</t>
  </si>
  <si>
    <t>GALVESTON ISD</t>
  </si>
  <si>
    <t>120902</t>
  </si>
  <si>
    <t>GANADO ISD</t>
  </si>
  <si>
    <t>057909</t>
  </si>
  <si>
    <t>GARLAND ISD</t>
  </si>
  <si>
    <t>184911</t>
  </si>
  <si>
    <t>GARNER ISD</t>
  </si>
  <si>
    <t>174903</t>
  </si>
  <si>
    <t>GARRISON ISD</t>
  </si>
  <si>
    <t>183904</t>
  </si>
  <si>
    <t>GARY ISD</t>
  </si>
  <si>
    <t>050902</t>
  </si>
  <si>
    <t>GATESVILLE ISD</t>
  </si>
  <si>
    <t>166902</t>
  </si>
  <si>
    <t>GAUSE ISD</t>
  </si>
  <si>
    <t>149901</t>
  </si>
  <si>
    <t>GEORGE WEST ISD</t>
  </si>
  <si>
    <t>246904</t>
  </si>
  <si>
    <t>GEORGETOWN ISD</t>
  </si>
  <si>
    <t>161925</t>
  </si>
  <si>
    <t>GHOLSON ISD</t>
  </si>
  <si>
    <t>144901</t>
  </si>
  <si>
    <t>GIDDINGS ISD</t>
  </si>
  <si>
    <t>230902</t>
  </si>
  <si>
    <t>GILMER ISD</t>
  </si>
  <si>
    <t>092901</t>
  </si>
  <si>
    <t>GLADEWATER ISD</t>
  </si>
  <si>
    <t>087901</t>
  </si>
  <si>
    <t>GLASSCOCK COUNTY ISD</t>
  </si>
  <si>
    <t>213901</t>
  </si>
  <si>
    <t>GLEN ROSE ISD</t>
  </si>
  <si>
    <t>126911</t>
  </si>
  <si>
    <t>GODLEY ISD</t>
  </si>
  <si>
    <t>169906</t>
  </si>
  <si>
    <t>GOLD BURG ISD</t>
  </si>
  <si>
    <t>167901</t>
  </si>
  <si>
    <t>GOLDTHWAITE ISD</t>
  </si>
  <si>
    <t>088902</t>
  </si>
  <si>
    <t>GOLIAD ISD</t>
  </si>
  <si>
    <t>089901</t>
  </si>
  <si>
    <t>GONZALES ISD</t>
  </si>
  <si>
    <t>187903</t>
  </si>
  <si>
    <t>GOODRICH ISD</t>
  </si>
  <si>
    <t>101911</t>
  </si>
  <si>
    <t>GOOSE CREEK CISD</t>
  </si>
  <si>
    <t>182901</t>
  </si>
  <si>
    <t>GORDON ISD</t>
  </si>
  <si>
    <t>067904</t>
  </si>
  <si>
    <t>GORMAN ISD</t>
  </si>
  <si>
    <t>156905</t>
  </si>
  <si>
    <t>GRADY ISD</t>
  </si>
  <si>
    <t>182902</t>
  </si>
  <si>
    <t>GRAFORD ISD</t>
  </si>
  <si>
    <t>252901</t>
  </si>
  <si>
    <t>GRAHAM ISD</t>
  </si>
  <si>
    <t>111901</t>
  </si>
  <si>
    <t>GRANBURY ISD</t>
  </si>
  <si>
    <t>057910</t>
  </si>
  <si>
    <t>GRAND PRAIRIE ISD</t>
  </si>
  <si>
    <t>234904</t>
  </si>
  <si>
    <t>GRAND SALINE ISD</t>
  </si>
  <si>
    <t>238904</t>
  </si>
  <si>
    <t>GRANDFALLS-ROYALTY ISD</t>
  </si>
  <si>
    <t>126904</t>
  </si>
  <si>
    <t>GRANDVIEW ISD</t>
  </si>
  <si>
    <t>090905</t>
  </si>
  <si>
    <t>GRANDVIEW-HOPKINS ISD</t>
  </si>
  <si>
    <t>246905</t>
  </si>
  <si>
    <t>GRANGER ISD</t>
  </si>
  <si>
    <t>226907</t>
  </si>
  <si>
    <t>GRAPE CREEK ISD</t>
  </si>
  <si>
    <t>113902</t>
  </si>
  <si>
    <t>GRAPELAND ISD</t>
  </si>
  <si>
    <t>220906</t>
  </si>
  <si>
    <t>GRAPEVINE-COLLEYVILLE ISD</t>
  </si>
  <si>
    <t>116905</t>
  </si>
  <si>
    <t>GREENVILLE ISD</t>
  </si>
  <si>
    <t>165902</t>
  </si>
  <si>
    <t>GREENWOOD ISD</t>
  </si>
  <si>
    <t>205902</t>
  </si>
  <si>
    <t>GREGORY-PORTLAND ISD</t>
  </si>
  <si>
    <t>147902</t>
  </si>
  <si>
    <t>GROESBECK ISD</t>
  </si>
  <si>
    <t>033901</t>
  </si>
  <si>
    <t>GROOM ISD</t>
  </si>
  <si>
    <t>228901</t>
  </si>
  <si>
    <t>GROVETON ISD</t>
  </si>
  <si>
    <t>098901</t>
  </si>
  <si>
    <t>GRUVER ISD</t>
  </si>
  <si>
    <t>091917</t>
  </si>
  <si>
    <t>GUNTER ISD</t>
  </si>
  <si>
    <t>047903</t>
  </si>
  <si>
    <t>GUSTINE ISD</t>
  </si>
  <si>
    <t>135001</t>
  </si>
  <si>
    <t>GUTHRIE CSD</t>
  </si>
  <si>
    <t>095903</t>
  </si>
  <si>
    <t>HALE CENTER ISD</t>
  </si>
  <si>
    <t>143901</t>
  </si>
  <si>
    <t>HALLETTSVILLE ISD</t>
  </si>
  <si>
    <t>161924</t>
  </si>
  <si>
    <t>HALLSBURG ISD</t>
  </si>
  <si>
    <t>102904</t>
  </si>
  <si>
    <t>HALLSVILLE ISD</t>
  </si>
  <si>
    <t>097902</t>
  </si>
  <si>
    <t>HAMILTON ISD</t>
  </si>
  <si>
    <t>127903</t>
  </si>
  <si>
    <t>HAMLIN ISD</t>
  </si>
  <si>
    <t>123914</t>
  </si>
  <si>
    <t>HAMSHIRE-FANNETT ISD</t>
  </si>
  <si>
    <t>219901</t>
  </si>
  <si>
    <t>HAPPY ISD</t>
  </si>
  <si>
    <t>146904</t>
  </si>
  <si>
    <t>HARDIN ISD</t>
  </si>
  <si>
    <t>100905</t>
  </si>
  <si>
    <t>HARDIN-JEFFERSON ISD</t>
  </si>
  <si>
    <t>015904</t>
  </si>
  <si>
    <t>HARLANDALE ISD</t>
  </si>
  <si>
    <t>102905</t>
  </si>
  <si>
    <t>HARLETON ISD</t>
  </si>
  <si>
    <t>031903</t>
  </si>
  <si>
    <t>HARLINGEN CISD</t>
  </si>
  <si>
    <t>230905</t>
  </si>
  <si>
    <t>HARMONY ISD</t>
  </si>
  <si>
    <t>086902</t>
  </si>
  <si>
    <t>HARPER ISD</t>
  </si>
  <si>
    <t>244901</t>
  </si>
  <si>
    <t>HARROLD ISD</t>
  </si>
  <si>
    <t>035902</t>
  </si>
  <si>
    <t>HART ISD</t>
  </si>
  <si>
    <t>103902</t>
  </si>
  <si>
    <t>HARTLEY ISD</t>
  </si>
  <si>
    <t>225907</t>
  </si>
  <si>
    <t>HARTS BLUFF ISD</t>
  </si>
  <si>
    <t>104901</t>
  </si>
  <si>
    <t>HASKELL CISD</t>
  </si>
  <si>
    <t>250902</t>
  </si>
  <si>
    <t>HAWKINS ISD</t>
  </si>
  <si>
    <t>127904</t>
  </si>
  <si>
    <t>HAWLEY ISD</t>
  </si>
  <si>
    <t>105906</t>
  </si>
  <si>
    <t>HAYS CISD</t>
  </si>
  <si>
    <t>198905</t>
  </si>
  <si>
    <t>HEARNE ISD</t>
  </si>
  <si>
    <t>065902</t>
  </si>
  <si>
    <t>HEDLEY ISD</t>
  </si>
  <si>
    <t>202903</t>
  </si>
  <si>
    <t>HEMPHILL ISD</t>
  </si>
  <si>
    <t>237902</t>
  </si>
  <si>
    <t>HEMPSTEAD ISD</t>
  </si>
  <si>
    <t>201902</t>
  </si>
  <si>
    <t>HENDERSON ISD</t>
  </si>
  <si>
    <t>039902</t>
  </si>
  <si>
    <t>HENRIETTA ISD</t>
  </si>
  <si>
    <t>059901</t>
  </si>
  <si>
    <t>HEREFORD ISD</t>
  </si>
  <si>
    <t>208901</t>
  </si>
  <si>
    <t>HERMLEIGH ISD</t>
  </si>
  <si>
    <t>097903</t>
  </si>
  <si>
    <t>HICO ISD</t>
  </si>
  <si>
    <t>108905</t>
  </si>
  <si>
    <t>HIDALGO ISD</t>
  </si>
  <si>
    <t>148903</t>
  </si>
  <si>
    <t>HIGGINS ISD</t>
  </si>
  <si>
    <t>084903</t>
  </si>
  <si>
    <t>HIGH ISLAND ISD</t>
  </si>
  <si>
    <t>177905</t>
  </si>
  <si>
    <t>HIGHLAND ISD</t>
  </si>
  <si>
    <t>057911</t>
  </si>
  <si>
    <t>HIGHLAND PARK ISD</t>
  </si>
  <si>
    <t>188903</t>
  </si>
  <si>
    <t>109904</t>
  </si>
  <si>
    <t>HILLSBORO ISD</t>
  </si>
  <si>
    <t>084908</t>
  </si>
  <si>
    <t>HITCHCOCK ISD</t>
  </si>
  <si>
    <t>014905</t>
  </si>
  <si>
    <t>HOLLAND ISD</t>
  </si>
  <si>
    <t>005902</t>
  </si>
  <si>
    <t>HOLLIDAY ISD</t>
  </si>
  <si>
    <t>163904</t>
  </si>
  <si>
    <t>HONDO ISD</t>
  </si>
  <si>
    <t>074907</t>
  </si>
  <si>
    <t>HONEY GROVE ISD</t>
  </si>
  <si>
    <t>019902</t>
  </si>
  <si>
    <t>HOOKS ISD</t>
  </si>
  <si>
    <t>101912</t>
  </si>
  <si>
    <t>HOUSTON ISD</t>
  </si>
  <si>
    <t>091905</t>
  </si>
  <si>
    <t>HOWE ISD</t>
  </si>
  <si>
    <t>019913</t>
  </si>
  <si>
    <t>HUBBARD ISD</t>
  </si>
  <si>
    <t>109905</t>
  </si>
  <si>
    <t>072908</t>
  </si>
  <si>
    <t>HUCKABAY ISD</t>
  </si>
  <si>
    <t>003902</t>
  </si>
  <si>
    <t>HUDSON ISD</t>
  </si>
  <si>
    <t>101925</t>
  </si>
  <si>
    <t>HUFFMAN ISD</t>
  </si>
  <si>
    <t>034903</t>
  </si>
  <si>
    <t>HUGHES SPRINGS ISD</t>
  </si>
  <si>
    <t>146905</t>
  </si>
  <si>
    <t>HULL-DAISETTA ISD</t>
  </si>
  <si>
    <t>101913</t>
  </si>
  <si>
    <t>HUMBLE ISD</t>
  </si>
  <si>
    <t>133902</t>
  </si>
  <si>
    <t>HUNT ISD</t>
  </si>
  <si>
    <t>003904</t>
  </si>
  <si>
    <t>HUNTINGTON ISD</t>
  </si>
  <si>
    <t>236902</t>
  </si>
  <si>
    <t>HUNTSVILLE ISD</t>
  </si>
  <si>
    <t>220916</t>
  </si>
  <si>
    <t>HURST-EULESS-BEDFORD ISD</t>
  </si>
  <si>
    <t>246906</t>
  </si>
  <si>
    <t>HUTTO ISD</t>
  </si>
  <si>
    <t>152910</t>
  </si>
  <si>
    <t>IDALOU ISD</t>
  </si>
  <si>
    <t>120905</t>
  </si>
  <si>
    <t>INDUSTRIAL ISD</t>
  </si>
  <si>
    <t>205903</t>
  </si>
  <si>
    <t>INGLESIDE ISD</t>
  </si>
  <si>
    <t>133904</t>
  </si>
  <si>
    <t>INGRAM ISD</t>
  </si>
  <si>
    <t>093903</t>
  </si>
  <si>
    <t>IOLA ISD</t>
  </si>
  <si>
    <t>243903</t>
  </si>
  <si>
    <t>IOWA PARK CISD</t>
  </si>
  <si>
    <t>208903</t>
  </si>
  <si>
    <t>IRA ISD</t>
  </si>
  <si>
    <t>186903</t>
  </si>
  <si>
    <t>IRAAN-SHEFFIELD ISD</t>
  </si>
  <si>
    <t>018906</t>
  </si>
  <si>
    <t>IREDELL ISD</t>
  </si>
  <si>
    <t>118902</t>
  </si>
  <si>
    <t>IRION COUNTY ISD</t>
  </si>
  <si>
    <t>057912</t>
  </si>
  <si>
    <t>IRVING ISD</t>
  </si>
  <si>
    <t>070907</t>
  </si>
  <si>
    <t>ITALY ISD</t>
  </si>
  <si>
    <t>109907</t>
  </si>
  <si>
    <t>ITASCA ISD</t>
  </si>
  <si>
    <t>119902</t>
  </si>
  <si>
    <t>JACKSBORO ISD</t>
  </si>
  <si>
    <t>037904</t>
  </si>
  <si>
    <t>JACKSONVILLE ISD</t>
  </si>
  <si>
    <t>246907</t>
  </si>
  <si>
    <t>JARRELL ISD</t>
  </si>
  <si>
    <t>121904</t>
  </si>
  <si>
    <t>JASPER ISD</t>
  </si>
  <si>
    <t>132902</t>
  </si>
  <si>
    <t>JAYTON-GIRARD ISD</t>
  </si>
  <si>
    <t>155901</t>
  </si>
  <si>
    <t>JEFFERSON ISD</t>
  </si>
  <si>
    <t>124901</t>
  </si>
  <si>
    <t>JIM HOGG COUNTY ISD</t>
  </si>
  <si>
    <t>221911</t>
  </si>
  <si>
    <t>JIM NED CISD</t>
  </si>
  <si>
    <t>210902</t>
  </si>
  <si>
    <t>JOAQUIN ISD</t>
  </si>
  <si>
    <t>016901</t>
  </si>
  <si>
    <t>JOHNSON CITY ISD</t>
  </si>
  <si>
    <t>050909</t>
  </si>
  <si>
    <t>JONESBORO ISD</t>
  </si>
  <si>
    <t>126905</t>
  </si>
  <si>
    <t>JOSHUA ISD</t>
  </si>
  <si>
    <t>007902</t>
  </si>
  <si>
    <t>JOURDANTON ISD</t>
  </si>
  <si>
    <t>015916</t>
  </si>
  <si>
    <t>JUDSON ISD</t>
  </si>
  <si>
    <t>134901</t>
  </si>
  <si>
    <t>JUNCTION ISD</t>
  </si>
  <si>
    <t>102901</t>
  </si>
  <si>
    <t>KARNACK ISD</t>
  </si>
  <si>
    <t>128901</t>
  </si>
  <si>
    <t>KARNES CITY ISD</t>
  </si>
  <si>
    <t>101914</t>
  </si>
  <si>
    <t>KATY ISD</t>
  </si>
  <si>
    <t>129903</t>
  </si>
  <si>
    <t>KAUFMAN ISD</t>
  </si>
  <si>
    <t>126906</t>
  </si>
  <si>
    <t>KEENE ISD</t>
  </si>
  <si>
    <t>220907</t>
  </si>
  <si>
    <t>KELLER ISD</t>
  </si>
  <si>
    <t>242905</t>
  </si>
  <si>
    <t>KELTON ISD</t>
  </si>
  <si>
    <t>129904</t>
  </si>
  <si>
    <t>KEMP ISD</t>
  </si>
  <si>
    <t>131001</t>
  </si>
  <si>
    <t>KENEDY COUNTY WIDE CSD</t>
  </si>
  <si>
    <t>128902</t>
  </si>
  <si>
    <t>KENEDY ISD</t>
  </si>
  <si>
    <t>113906</t>
  </si>
  <si>
    <t>KENNARD ISD</t>
  </si>
  <si>
    <t>220914</t>
  </si>
  <si>
    <t>KENNEDALE ISD</t>
  </si>
  <si>
    <t>175907</t>
  </si>
  <si>
    <t>KERENS ISD</t>
  </si>
  <si>
    <t>248901</t>
  </si>
  <si>
    <t>KERMIT ISD</t>
  </si>
  <si>
    <t>133903</t>
  </si>
  <si>
    <t>KERRVILLE ISD</t>
  </si>
  <si>
    <t>092902</t>
  </si>
  <si>
    <t>KILGORE ISD</t>
  </si>
  <si>
    <t>014906</t>
  </si>
  <si>
    <t>KILLEEN ISD</t>
  </si>
  <si>
    <t>137901</t>
  </si>
  <si>
    <t>KINGSVILLE ISD</t>
  </si>
  <si>
    <t>121905</t>
  </si>
  <si>
    <t>KIRBYVILLE CISD</t>
  </si>
  <si>
    <t>101915</t>
  </si>
  <si>
    <t>KLEIN ISD</t>
  </si>
  <si>
    <t>058905</t>
  </si>
  <si>
    <t>KLONDIKE ISD</t>
  </si>
  <si>
    <t>232901</t>
  </si>
  <si>
    <t>KNIPPA ISD</t>
  </si>
  <si>
    <t>138902</t>
  </si>
  <si>
    <t>KNOX CITY-O'BRIEN CISD</t>
  </si>
  <si>
    <t>018907</t>
  </si>
  <si>
    <t>KOPPERL ISD</t>
  </si>
  <si>
    <t>100903</t>
  </si>
  <si>
    <t>KOUNTZE ISD</t>
  </si>
  <si>
    <t>219905</t>
  </si>
  <si>
    <t>KRESS ISD</t>
  </si>
  <si>
    <t>061905</t>
  </si>
  <si>
    <t>KRUM ISD</t>
  </si>
  <si>
    <t>031905</t>
  </si>
  <si>
    <t>LA FERIA ISD</t>
  </si>
  <si>
    <t>125906</t>
  </si>
  <si>
    <t>LA GLORIA ISD</t>
  </si>
  <si>
    <t>075902</t>
  </si>
  <si>
    <t>LA GRANGE ISD</t>
  </si>
  <si>
    <t>108912</t>
  </si>
  <si>
    <t>LA JOYA ISD</t>
  </si>
  <si>
    <t>084904</t>
  </si>
  <si>
    <t>LA MARQUE ISD</t>
  </si>
  <si>
    <t>101916</t>
  </si>
  <si>
    <t>LA PORTE ISD</t>
  </si>
  <si>
    <t>254902</t>
  </si>
  <si>
    <t>LA PRYOR ISD</t>
  </si>
  <si>
    <t>161906</t>
  </si>
  <si>
    <t>LA VEGA ISD</t>
  </si>
  <si>
    <t>247903</t>
  </si>
  <si>
    <t>LA VERNIA ISD</t>
  </si>
  <si>
    <t>108914</t>
  </si>
  <si>
    <t>LA VILLA ISD</t>
  </si>
  <si>
    <t>015913</t>
  </si>
  <si>
    <t>LACKLAND ISD</t>
  </si>
  <si>
    <t>227912</t>
  </si>
  <si>
    <t>LAGO VISTA ISD</t>
  </si>
  <si>
    <t>061912</t>
  </si>
  <si>
    <t>LAKE DALLAS ISD</t>
  </si>
  <si>
    <t>227913</t>
  </si>
  <si>
    <t>LAKE TRAVIS ISD</t>
  </si>
  <si>
    <t>220910</t>
  </si>
  <si>
    <t>LAKE WORTH ISD</t>
  </si>
  <si>
    <t>079901</t>
  </si>
  <si>
    <t>LAMAR CISD</t>
  </si>
  <si>
    <t>058906</t>
  </si>
  <si>
    <t>LAMESA ISD</t>
  </si>
  <si>
    <t>141901</t>
  </si>
  <si>
    <t>LAMPASAS ISD</t>
  </si>
  <si>
    <t>057913</t>
  </si>
  <si>
    <t>LANCASTER ISD</t>
  </si>
  <si>
    <t>201903</t>
  </si>
  <si>
    <t>LANEVILLE ISD</t>
  </si>
  <si>
    <t>107910</t>
  </si>
  <si>
    <t>LAPOYNOR ISD</t>
  </si>
  <si>
    <t>240901</t>
  </si>
  <si>
    <t>LAREDO ISD</t>
  </si>
  <si>
    <t>245901</t>
  </si>
  <si>
    <t>LASARA ISD</t>
  </si>
  <si>
    <t>113905</t>
  </si>
  <si>
    <t>LATEXO ISD</t>
  </si>
  <si>
    <t>185904</t>
  </si>
  <si>
    <t>LAZBUDDIE ISD</t>
  </si>
  <si>
    <t>193902</t>
  </si>
  <si>
    <t>LEAKEY ISD</t>
  </si>
  <si>
    <t>246913</t>
  </si>
  <si>
    <t>LEANDER ISD</t>
  </si>
  <si>
    <t>019914</t>
  </si>
  <si>
    <t>LEARY ISD</t>
  </si>
  <si>
    <t>090902</t>
  </si>
  <si>
    <t>LEFORS ISD</t>
  </si>
  <si>
    <t>187906</t>
  </si>
  <si>
    <t>LEGGETT ISD</t>
  </si>
  <si>
    <t>145911</t>
  </si>
  <si>
    <t>LEON ISD</t>
  </si>
  <si>
    <t>074909</t>
  </si>
  <si>
    <t>LEONARD ISD</t>
  </si>
  <si>
    <t>110902</t>
  </si>
  <si>
    <t>LEVELLAND ISD</t>
  </si>
  <si>
    <t>201904</t>
  </si>
  <si>
    <t>LEVERETTS CHAPEL ISD</t>
  </si>
  <si>
    <t>061902</t>
  </si>
  <si>
    <t>LEWISVILLE ISD</t>
  </si>
  <si>
    <t>144902</t>
  </si>
  <si>
    <t>LEXINGTON ISD</t>
  </si>
  <si>
    <t>246908</t>
  </si>
  <si>
    <t>LIBERTY HILL ISD</t>
  </si>
  <si>
    <t>146906</t>
  </si>
  <si>
    <t>LIBERTY ISD</t>
  </si>
  <si>
    <t>019908</t>
  </si>
  <si>
    <t>LIBERTY-EYLAU ISD</t>
  </si>
  <si>
    <t>212903</t>
  </si>
  <si>
    <t>LINDALE ISD</t>
  </si>
  <si>
    <t>034905</t>
  </si>
  <si>
    <t>LINDEN-KILDARE CISD</t>
  </si>
  <si>
    <t>049907</t>
  </si>
  <si>
    <t>LINDSAY ISD</t>
  </si>
  <si>
    <t>072909</t>
  </si>
  <si>
    <t>LINGLEVILLE ISD</t>
  </si>
  <si>
    <t>111902</t>
  </si>
  <si>
    <t>LIPAN ISD</t>
  </si>
  <si>
    <t>181908</t>
  </si>
  <si>
    <t>LITTLE CYPRESS-MAURICEVILLE CISD</t>
  </si>
  <si>
    <t>061914</t>
  </si>
  <si>
    <t>LITTLE ELM ISD</t>
  </si>
  <si>
    <t>140904</t>
  </si>
  <si>
    <t>LITTLEFIELD ISD</t>
  </si>
  <si>
    <t>187907</t>
  </si>
  <si>
    <t>LIVINGSTON ISD</t>
  </si>
  <si>
    <t>150901</t>
  </si>
  <si>
    <t>LLANO ISD</t>
  </si>
  <si>
    <t>028902</t>
  </si>
  <si>
    <t>LOCKHART ISD</t>
  </si>
  <si>
    <t>077902</t>
  </si>
  <si>
    <t>LOCKNEY ISD</t>
  </si>
  <si>
    <t>160905</t>
  </si>
  <si>
    <t>LOHN ISD</t>
  </si>
  <si>
    <t>141902</t>
  </si>
  <si>
    <t>LOMETA ISD</t>
  </si>
  <si>
    <t>178906</t>
  </si>
  <si>
    <t>LONDON ISD</t>
  </si>
  <si>
    <t>116906</t>
  </si>
  <si>
    <t>LONE OAK ISD</t>
  </si>
  <si>
    <t>092903</t>
  </si>
  <si>
    <t>LONGVIEW ISD</t>
  </si>
  <si>
    <t>083902</t>
  </si>
  <si>
    <t>LOOP ISD</t>
  </si>
  <si>
    <t>168902</t>
  </si>
  <si>
    <t>LORAINE ISD</t>
  </si>
  <si>
    <t>161907</t>
  </si>
  <si>
    <t>LORENA ISD</t>
  </si>
  <si>
    <t>054902</t>
  </si>
  <si>
    <t>LORENZO ISD</t>
  </si>
  <si>
    <t>031906</t>
  </si>
  <si>
    <t>LOS FRESNOS CISD</t>
  </si>
  <si>
    <t>241906</t>
  </si>
  <si>
    <t>LOUISE ISD</t>
  </si>
  <si>
    <t>043919</t>
  </si>
  <si>
    <t>LOVEJOY ISD</t>
  </si>
  <si>
    <t>113903</t>
  </si>
  <si>
    <t>LOVELADY ISD</t>
  </si>
  <si>
    <t>152901</t>
  </si>
  <si>
    <t>LUBBOCK ISD</t>
  </si>
  <si>
    <t>152906</t>
  </si>
  <si>
    <t>LUBBOCK-COOPER ISD</t>
  </si>
  <si>
    <t>127905</t>
  </si>
  <si>
    <t>LUEDERS-AVOCA ISD</t>
  </si>
  <si>
    <t>003903</t>
  </si>
  <si>
    <t>LUFKIN ISD</t>
  </si>
  <si>
    <t>028903</t>
  </si>
  <si>
    <t>LULING ISD</t>
  </si>
  <si>
    <t>100907</t>
  </si>
  <si>
    <t>LUMBERTON ISD</t>
  </si>
  <si>
    <t>245902</t>
  </si>
  <si>
    <t>LYFORD CISD</t>
  </si>
  <si>
    <t>007904</t>
  </si>
  <si>
    <t>LYTLE ISD</t>
  </si>
  <si>
    <t>129905</t>
  </si>
  <si>
    <t>MABANK ISD</t>
  </si>
  <si>
    <t>154901</t>
  </si>
  <si>
    <t>MADISONVILLE CISD</t>
  </si>
  <si>
    <t>170906</t>
  </si>
  <si>
    <t>MAGNOLIA ISD</t>
  </si>
  <si>
    <t>107906</t>
  </si>
  <si>
    <t>MALAKOFF ISD</t>
  </si>
  <si>
    <t>109908</t>
  </si>
  <si>
    <t>MALONE ISD</t>
  </si>
  <si>
    <t>019910</t>
  </si>
  <si>
    <t>MALTA ISD</t>
  </si>
  <si>
    <t>227907</t>
  </si>
  <si>
    <t>MANOR ISD</t>
  </si>
  <si>
    <t>220908</t>
  </si>
  <si>
    <t>MANSFIELD ISD</t>
  </si>
  <si>
    <t>022902</t>
  </si>
  <si>
    <t>MARATHON ISD</t>
  </si>
  <si>
    <t>027904</t>
  </si>
  <si>
    <t>MARBLE FALLS ISD</t>
  </si>
  <si>
    <t>189901</t>
  </si>
  <si>
    <t>MARFA ISD</t>
  </si>
  <si>
    <t>094904</t>
  </si>
  <si>
    <t>MARION ISD</t>
  </si>
  <si>
    <t>073903</t>
  </si>
  <si>
    <t>MARLIN ISD</t>
  </si>
  <si>
    <t>102902</t>
  </si>
  <si>
    <t>MARSHALL ISD</t>
  </si>
  <si>
    <t>161908</t>
  </si>
  <si>
    <t>MART ISD</t>
  </si>
  <si>
    <t>234905</t>
  </si>
  <si>
    <t>MARTINS MILL ISD</t>
  </si>
  <si>
    <t>174909</t>
  </si>
  <si>
    <t>MARTINSVILLE ISD</t>
  </si>
  <si>
    <t>157901</t>
  </si>
  <si>
    <t>MASON ISD</t>
  </si>
  <si>
    <t>158904</t>
  </si>
  <si>
    <t>MATAGORDA ISD</t>
  </si>
  <si>
    <t>205904</t>
  </si>
  <si>
    <t>MATHIS ISD</t>
  </si>
  <si>
    <t>019903</t>
  </si>
  <si>
    <t>MAUD ISD</t>
  </si>
  <si>
    <t>025905</t>
  </si>
  <si>
    <t>MAY ISD</t>
  </si>
  <si>
    <t>070915</t>
  </si>
  <si>
    <t>MAYPEARL ISD</t>
  </si>
  <si>
    <t>108906</t>
  </si>
  <si>
    <t>MCALLEN ISD</t>
  </si>
  <si>
    <t>231901</t>
  </si>
  <si>
    <t>MCCAMEY ISD</t>
  </si>
  <si>
    <t>011905</t>
  </si>
  <si>
    <t>MCDADE ISD</t>
  </si>
  <si>
    <t>161909</t>
  </si>
  <si>
    <t>MCGREGOR ISD</t>
  </si>
  <si>
    <t>043907</t>
  </si>
  <si>
    <t>MCKINNEY ISD</t>
  </si>
  <si>
    <t>090903</t>
  </si>
  <si>
    <t>MCLEAN ISD</t>
  </si>
  <si>
    <t>034906</t>
  </si>
  <si>
    <t>MCLEOD ISD</t>
  </si>
  <si>
    <t>162904</t>
  </si>
  <si>
    <t>MCMULLEN COUNTY ISD</t>
  </si>
  <si>
    <t>223902</t>
  </si>
  <si>
    <t>MEADOW ISD</t>
  </si>
  <si>
    <t>010901</t>
  </si>
  <si>
    <t>MEDINA ISD</t>
  </si>
  <si>
    <t>163908</t>
  </si>
  <si>
    <t>MEDINA VALLEY ISD</t>
  </si>
  <si>
    <t>043908</t>
  </si>
  <si>
    <t>MELISSA ISD</t>
  </si>
  <si>
    <t>096904</t>
  </si>
  <si>
    <t>MEMPHIS ISD</t>
  </si>
  <si>
    <t>164901</t>
  </si>
  <si>
    <t>MENARD ISD</t>
  </si>
  <si>
    <t>108907</t>
  </si>
  <si>
    <t>MERCEDES ISD</t>
  </si>
  <si>
    <t>018902</t>
  </si>
  <si>
    <t>MERIDIAN ISD</t>
  </si>
  <si>
    <t>221904</t>
  </si>
  <si>
    <t>MERKEL ISD</t>
  </si>
  <si>
    <t>057914</t>
  </si>
  <si>
    <t>MESQUITE ISD</t>
  </si>
  <si>
    <t>147903</t>
  </si>
  <si>
    <t>MEXIA ISD</t>
  </si>
  <si>
    <t>062906</t>
  </si>
  <si>
    <t>MEYERSVILLE ISD</t>
  </si>
  <si>
    <t>197902</t>
  </si>
  <si>
    <t>MIAMI ISD</t>
  </si>
  <si>
    <t>165901</t>
  </si>
  <si>
    <t>MIDLAND ISD</t>
  </si>
  <si>
    <t>070908</t>
  </si>
  <si>
    <t>MIDLOTHIAN ISD</t>
  </si>
  <si>
    <t>039905</t>
  </si>
  <si>
    <t>MIDWAY ISD</t>
  </si>
  <si>
    <t>161903</t>
  </si>
  <si>
    <t>166903</t>
  </si>
  <si>
    <t>MILANO ISD</t>
  </si>
  <si>
    <t>175910</t>
  </si>
  <si>
    <t>MILDRED ISD</t>
  </si>
  <si>
    <t>200902</t>
  </si>
  <si>
    <t>MILES ISD</t>
  </si>
  <si>
    <t>070909</t>
  </si>
  <si>
    <t>MILFORD ISD</t>
  </si>
  <si>
    <t>112907</t>
  </si>
  <si>
    <t>MILLER GROVE ISD</t>
  </si>
  <si>
    <t>184904</t>
  </si>
  <si>
    <t>MILLSAP ISD</t>
  </si>
  <si>
    <t>250903</t>
  </si>
  <si>
    <t>MINEOLA ISD</t>
  </si>
  <si>
    <t>182903</t>
  </si>
  <si>
    <t>MINERAL WELLS ISD</t>
  </si>
  <si>
    <t>108908</t>
  </si>
  <si>
    <t>MISSION CISD</t>
  </si>
  <si>
    <t>238902</t>
  </si>
  <si>
    <t>MONAHANS-WICKETT-PYOTE ISD</t>
  </si>
  <si>
    <t>169908</t>
  </si>
  <si>
    <t>MONTAGUE ISD</t>
  </si>
  <si>
    <t>108915</t>
  </si>
  <si>
    <t>MONTE ALTO ISD</t>
  </si>
  <si>
    <t>170903</t>
  </si>
  <si>
    <t>MONTGOMERY ISD</t>
  </si>
  <si>
    <t>161910</t>
  </si>
  <si>
    <t>MOODY ISD</t>
  </si>
  <si>
    <t>209902</t>
  </si>
  <si>
    <t>MORAN ISD</t>
  </si>
  <si>
    <t>018903</t>
  </si>
  <si>
    <t>MORGAN ISD</t>
  </si>
  <si>
    <t>072910</t>
  </si>
  <si>
    <t>MORGAN MILL ISD</t>
  </si>
  <si>
    <t>040901</t>
  </si>
  <si>
    <t>MORTON ISD</t>
  </si>
  <si>
    <t>173901</t>
  </si>
  <si>
    <t>MOTLEY COUNTY ISD</t>
  </si>
  <si>
    <t>143902</t>
  </si>
  <si>
    <t>MOULTON ISD</t>
  </si>
  <si>
    <t>109910</t>
  </si>
  <si>
    <t>MOUNT CALM ISD</t>
  </si>
  <si>
    <t>201907</t>
  </si>
  <si>
    <t>MOUNT ENTERPRISE ISD</t>
  </si>
  <si>
    <t>225902</t>
  </si>
  <si>
    <t>MOUNT PLEASANT ISD</t>
  </si>
  <si>
    <t>080901</t>
  </si>
  <si>
    <t>MOUNT VERNON ISD</t>
  </si>
  <si>
    <t>049902</t>
  </si>
  <si>
    <t>MUENSTER ISD</t>
  </si>
  <si>
    <t>009901</t>
  </si>
  <si>
    <t>MULESHOE ISD</t>
  </si>
  <si>
    <t>167902</t>
  </si>
  <si>
    <t>MULLIN ISD</t>
  </si>
  <si>
    <t>198906</t>
  </si>
  <si>
    <t>MUMFORD ISD</t>
  </si>
  <si>
    <t>138903</t>
  </si>
  <si>
    <t>MUNDAY CISD</t>
  </si>
  <si>
    <t>107908</t>
  </si>
  <si>
    <t>MURCHISON ISD</t>
  </si>
  <si>
    <t>174904</t>
  </si>
  <si>
    <t>NACOGDOCHES ISD</t>
  </si>
  <si>
    <t>163903</t>
  </si>
  <si>
    <t>NATALIA ISD</t>
  </si>
  <si>
    <t>094903</t>
  </si>
  <si>
    <t>NAVARRO ISD</t>
  </si>
  <si>
    <t>093904</t>
  </si>
  <si>
    <t>NAVASOTA ISD</t>
  </si>
  <si>
    <t>035903</t>
  </si>
  <si>
    <t>NAZARETH ISD</t>
  </si>
  <si>
    <t>001906</t>
  </si>
  <si>
    <t>NECHES ISD</t>
  </si>
  <si>
    <t>123905</t>
  </si>
  <si>
    <t>NEDERLAND ISD</t>
  </si>
  <si>
    <t>079906</t>
  </si>
  <si>
    <t>NEEDVILLE ISD</t>
  </si>
  <si>
    <t>019905</t>
  </si>
  <si>
    <t>NEW BOSTON ISD</t>
  </si>
  <si>
    <t>046901</t>
  </si>
  <si>
    <t>NEW BRAUNFELS ISD</t>
  </si>
  <si>
    <t>170908</t>
  </si>
  <si>
    <t>NEW CANEY ISD</t>
  </si>
  <si>
    <t>152902</t>
  </si>
  <si>
    <t>NEW DEAL ISD</t>
  </si>
  <si>
    <t>230906</t>
  </si>
  <si>
    <t>NEW DIANA ISD</t>
  </si>
  <si>
    <t>153905</t>
  </si>
  <si>
    <t>NEW HOME ISD</t>
  </si>
  <si>
    <t>037908</t>
  </si>
  <si>
    <t>NEW SUMMERFIELD ISD</t>
  </si>
  <si>
    <t>236901</t>
  </si>
  <si>
    <t>NEW WAVERLY ISD</t>
  </si>
  <si>
    <t>252902</t>
  </si>
  <si>
    <t>NEWCASTLE ISD</t>
  </si>
  <si>
    <t>176902</t>
  </si>
  <si>
    <t>NEWTON ISD</t>
  </si>
  <si>
    <t>089903</t>
  </si>
  <si>
    <t>NIXON-SMILEY CISD</t>
  </si>
  <si>
    <t>169902</t>
  </si>
  <si>
    <t>NOCONA ISD</t>
  </si>
  <si>
    <t>062902</t>
  </si>
  <si>
    <t>NORDHEIM ISD</t>
  </si>
  <si>
    <t>145906</t>
  </si>
  <si>
    <t>NORMANGEE ISD</t>
  </si>
  <si>
    <t>015910</t>
  </si>
  <si>
    <t>NORTH EAST ISD</t>
  </si>
  <si>
    <t>101909</t>
  </si>
  <si>
    <t>NORTH FOREST ISD</t>
  </si>
  <si>
    <t>112906</t>
  </si>
  <si>
    <t>NORTH HOPKINS ISD</t>
  </si>
  <si>
    <t>139911</t>
  </si>
  <si>
    <t>NORTH LAMAR ISD</t>
  </si>
  <si>
    <t>154903</t>
  </si>
  <si>
    <t>NORTH ZULCH ISD</t>
  </si>
  <si>
    <t>015915</t>
  </si>
  <si>
    <t>NORTHSIDE ISD</t>
  </si>
  <si>
    <t>244905</t>
  </si>
  <si>
    <t>061911</t>
  </si>
  <si>
    <t>NORTHWEST ISD</t>
  </si>
  <si>
    <t>042906</t>
  </si>
  <si>
    <t>NOVICE ISD</t>
  </si>
  <si>
    <t>069902</t>
  </si>
  <si>
    <t>NUECES CANYON CISD</t>
  </si>
  <si>
    <t>235904</t>
  </si>
  <si>
    <t>NURSERY ISD</t>
  </si>
  <si>
    <t>153903</t>
  </si>
  <si>
    <t>O'DONNELL ISD</t>
  </si>
  <si>
    <t>145907</t>
  </si>
  <si>
    <t>OAKWOOD ISD</t>
  </si>
  <si>
    <t>205905</t>
  </si>
  <si>
    <t>ODEM-EDROY ISD</t>
  </si>
  <si>
    <t>050904</t>
  </si>
  <si>
    <t>OGLESBY ISD</t>
  </si>
  <si>
    <t>200906</t>
  </si>
  <si>
    <t>OLFEN ISD</t>
  </si>
  <si>
    <t>252903</t>
  </si>
  <si>
    <t>OLNEY ISD</t>
  </si>
  <si>
    <t>140905</t>
  </si>
  <si>
    <t>OLTON ISD</t>
  </si>
  <si>
    <t>187910</t>
  </si>
  <si>
    <t>ONALASKA ISD</t>
  </si>
  <si>
    <t>125903</t>
  </si>
  <si>
    <t>ORANGE GROVE ISD</t>
  </si>
  <si>
    <t>181905</t>
  </si>
  <si>
    <t>ORANGEFIELD ISD</t>
  </si>
  <si>
    <t>230903</t>
  </si>
  <si>
    <t>ORE CITY ISD</t>
  </si>
  <si>
    <t>201908</t>
  </si>
  <si>
    <t>OVERTON ISD</t>
  </si>
  <si>
    <t>051901</t>
  </si>
  <si>
    <t>PADUCAH ISD</t>
  </si>
  <si>
    <t>104907</t>
  </si>
  <si>
    <t>PAINT CREEK ISD</t>
  </si>
  <si>
    <t>048903</t>
  </si>
  <si>
    <t>PAINT ROCK ISD</t>
  </si>
  <si>
    <t>158905</t>
  </si>
  <si>
    <t>PALACIOS ISD</t>
  </si>
  <si>
    <t>001907</t>
  </si>
  <si>
    <t>PALESTINE ISD</t>
  </si>
  <si>
    <t>070910</t>
  </si>
  <si>
    <t>PALMER ISD</t>
  </si>
  <si>
    <t>182906</t>
  </si>
  <si>
    <t>PALO PINTO ISD</t>
  </si>
  <si>
    <t>090904</t>
  </si>
  <si>
    <t>PAMPA ISD</t>
  </si>
  <si>
    <t>033902</t>
  </si>
  <si>
    <t>PANHANDLE ISD</t>
  </si>
  <si>
    <t>042905</t>
  </si>
  <si>
    <t>PANTHER CREEK CISD</t>
  </si>
  <si>
    <t>249906</t>
  </si>
  <si>
    <t>PARADISE ISD</t>
  </si>
  <si>
    <t>139909</t>
  </si>
  <si>
    <t>PARIS ISD</t>
  </si>
  <si>
    <t>101917</t>
  </si>
  <si>
    <t>PASADENA ISD</t>
  </si>
  <si>
    <t>063906</t>
  </si>
  <si>
    <t>PATTON SPRINGS ISD</t>
  </si>
  <si>
    <t>013902</t>
  </si>
  <si>
    <t>PAWNEE ISD</t>
  </si>
  <si>
    <t>020908</t>
  </si>
  <si>
    <t>PEARLAND ISD</t>
  </si>
  <si>
    <t>082903</t>
  </si>
  <si>
    <t>PEARSALL ISD</t>
  </si>
  <si>
    <t>184908</t>
  </si>
  <si>
    <t>PEASTER ISD</t>
  </si>
  <si>
    <t>195901</t>
  </si>
  <si>
    <t>PECOS-BARSTOW-TOYAH ISD</t>
  </si>
  <si>
    <t>109914</t>
  </si>
  <si>
    <t>PENELOPE ISD</t>
  </si>
  <si>
    <t>119903</t>
  </si>
  <si>
    <t>PERRIN-WHITT CISD</t>
  </si>
  <si>
    <t>179901</t>
  </si>
  <si>
    <t>PERRYTON ISD</t>
  </si>
  <si>
    <t>095904</t>
  </si>
  <si>
    <t>PETERSBURG ISD</t>
  </si>
  <si>
    <t>039903</t>
  </si>
  <si>
    <t>PETROLIA ISD</t>
  </si>
  <si>
    <t>013903</t>
  </si>
  <si>
    <t>PETTUS ISD</t>
  </si>
  <si>
    <t>172905</t>
  </si>
  <si>
    <t>PEWITT CISD</t>
  </si>
  <si>
    <t>227904</t>
  </si>
  <si>
    <t>PFLUGERVILLE ISD</t>
  </si>
  <si>
    <t>108909</t>
  </si>
  <si>
    <t>PHARR-SAN JUAN-ALAMO ISD</t>
  </si>
  <si>
    <t>061903</t>
  </si>
  <si>
    <t>PILOT POINT ISD</t>
  </si>
  <si>
    <t>092904</t>
  </si>
  <si>
    <t>PINE TREE ISD</t>
  </si>
  <si>
    <t>032902</t>
  </si>
  <si>
    <t>PITTSBURG ISD</t>
  </si>
  <si>
    <t>251902</t>
  </si>
  <si>
    <t>PLAINS ISD</t>
  </si>
  <si>
    <t>095905</t>
  </si>
  <si>
    <t>PLAINVIEW ISD</t>
  </si>
  <si>
    <t>043910</t>
  </si>
  <si>
    <t>PLANO ISD</t>
  </si>
  <si>
    <t>019912</t>
  </si>
  <si>
    <t>PLEASANT GROVE ISD</t>
  </si>
  <si>
    <t>007905</t>
  </si>
  <si>
    <t>PLEASANTON ISD</t>
  </si>
  <si>
    <t>117904</t>
  </si>
  <si>
    <t>PLEMONS-STINNETT-PHILLIPS CISD</t>
  </si>
  <si>
    <t>031909</t>
  </si>
  <si>
    <t>POINT ISABEL ISD</t>
  </si>
  <si>
    <t>061906</t>
  </si>
  <si>
    <t>PONDER ISD</t>
  </si>
  <si>
    <t>184901</t>
  </si>
  <si>
    <t>POOLVILLE ISD</t>
  </si>
  <si>
    <t>178908</t>
  </si>
  <si>
    <t>PORT ARANSAS ISD</t>
  </si>
  <si>
    <t>123907</t>
  </si>
  <si>
    <t>PORT ARTHUR ISD</t>
  </si>
  <si>
    <t>123908</t>
  </si>
  <si>
    <t>PORT NECHES-GROVES ISD</t>
  </si>
  <si>
    <t>085902</t>
  </si>
  <si>
    <t>POST ISD</t>
  </si>
  <si>
    <t>007906</t>
  </si>
  <si>
    <t>POTEET ISD</t>
  </si>
  <si>
    <t>247904</t>
  </si>
  <si>
    <t>POTH ISD</t>
  </si>
  <si>
    <t>091913</t>
  </si>
  <si>
    <t>POTTSBORO ISD</t>
  </si>
  <si>
    <t>028906</t>
  </si>
  <si>
    <t>PRAIRIE LEA ISD</t>
  </si>
  <si>
    <t>169909</t>
  </si>
  <si>
    <t>PRAIRIE VALLEY ISD</t>
  </si>
  <si>
    <t>139912</t>
  </si>
  <si>
    <t>PRAIRILAND ISD</t>
  </si>
  <si>
    <t>125905</t>
  </si>
  <si>
    <t>PREMONT ISD</t>
  </si>
  <si>
    <t>189902</t>
  </si>
  <si>
    <t>PRESIDIO ISD</t>
  </si>
  <si>
    <t>167904</t>
  </si>
  <si>
    <t>PRIDDY ISD</t>
  </si>
  <si>
    <t>043911</t>
  </si>
  <si>
    <t>PRINCETON ISD</t>
  </si>
  <si>
    <t>098903</t>
  </si>
  <si>
    <t>PRINGLE-MORSE CISD</t>
  </si>
  <si>
    <t>108910</t>
  </si>
  <si>
    <t>PROGRESO ISD</t>
  </si>
  <si>
    <t>043912</t>
  </si>
  <si>
    <t>PROSPER ISD</t>
  </si>
  <si>
    <t>099903</t>
  </si>
  <si>
    <t>QUANAH ISD</t>
  </si>
  <si>
    <t>034907</t>
  </si>
  <si>
    <t>QUEEN CITY ISD</t>
  </si>
  <si>
    <t>116908</t>
  </si>
  <si>
    <t>QUINLAN ISD</t>
  </si>
  <si>
    <t>250904</t>
  </si>
  <si>
    <t>QUITMAN ISD</t>
  </si>
  <si>
    <t>190903</t>
  </si>
  <si>
    <t>RAINS ISD</t>
  </si>
  <si>
    <t>054903</t>
  </si>
  <si>
    <t>RALLS ISD</t>
  </si>
  <si>
    <t>066005</t>
  </si>
  <si>
    <t>RAMIREZ CSD</t>
  </si>
  <si>
    <t>015906</t>
  </si>
  <si>
    <t>RANDOLPH FIELD ISD</t>
  </si>
  <si>
    <t>067907</t>
  </si>
  <si>
    <t>RANGER ISD</t>
  </si>
  <si>
    <t>231902</t>
  </si>
  <si>
    <t>RANKIN ISD</t>
  </si>
  <si>
    <t>245903</t>
  </si>
  <si>
    <t>RAYMONDVILLE ISD</t>
  </si>
  <si>
    <t>192901</t>
  </si>
  <si>
    <t>REAGAN COUNTY ISD</t>
  </si>
  <si>
    <t>019911</t>
  </si>
  <si>
    <t>RED LICK ISD</t>
  </si>
  <si>
    <t>070911</t>
  </si>
  <si>
    <t>RED OAK ISD</t>
  </si>
  <si>
    <t>019906</t>
  </si>
  <si>
    <t>REDWATER ISD</t>
  </si>
  <si>
    <t>196903</t>
  </si>
  <si>
    <t>REFUGIO ISD</t>
  </si>
  <si>
    <t>137902</t>
  </si>
  <si>
    <t>RICARDO ISD</t>
  </si>
  <si>
    <t>045903</t>
  </si>
  <si>
    <t>RICE CISD</t>
  </si>
  <si>
    <t>175911</t>
  </si>
  <si>
    <t>RICE ISD</t>
  </si>
  <si>
    <t>093905</t>
  </si>
  <si>
    <t>RICHARDS ISD</t>
  </si>
  <si>
    <t>057916</t>
  </si>
  <si>
    <t>RICHARDSON ISD</t>
  </si>
  <si>
    <t>206902</t>
  </si>
  <si>
    <t>RICHLAND SPRINGS ISD</t>
  </si>
  <si>
    <t>161912</t>
  </si>
  <si>
    <t>RIESEL ISD</t>
  </si>
  <si>
    <t>214901</t>
  </si>
  <si>
    <t>RIO GRANDE CITY CISD</t>
  </si>
  <si>
    <t>031911</t>
  </si>
  <si>
    <t>RIO HONDO ISD</t>
  </si>
  <si>
    <t>126907</t>
  </si>
  <si>
    <t>RIO VISTA ISD</t>
  </si>
  <si>
    <t>067908</t>
  </si>
  <si>
    <t>RISING STAR ISD</t>
  </si>
  <si>
    <t>188902</t>
  </si>
  <si>
    <t>RIVER ROAD ISD</t>
  </si>
  <si>
    <t>194903</t>
  </si>
  <si>
    <t>RIVERCREST ISD</t>
  </si>
  <si>
    <t>137903</t>
  </si>
  <si>
    <t>RIVIERA ISD</t>
  </si>
  <si>
    <t>041902</t>
  </si>
  <si>
    <t>ROBERT LEE ISD</t>
  </si>
  <si>
    <t>161922</t>
  </si>
  <si>
    <t>ROBINSON ISD</t>
  </si>
  <si>
    <t>178909</t>
  </si>
  <si>
    <t>ROBSTOWN ISD</t>
  </si>
  <si>
    <t>076903</t>
  </si>
  <si>
    <t>ROBY CISD</t>
  </si>
  <si>
    <t>160904</t>
  </si>
  <si>
    <t>ROCHELLE ISD</t>
  </si>
  <si>
    <t>166904</t>
  </si>
  <si>
    <t>ROCKDALE ISD</t>
  </si>
  <si>
    <t>069901</t>
  </si>
  <si>
    <t>ROCKSPRINGS ISD</t>
  </si>
  <si>
    <t>199901</t>
  </si>
  <si>
    <t>ROCKWALL ISD</t>
  </si>
  <si>
    <t>014907</t>
  </si>
  <si>
    <t>ROGERS ISD</t>
  </si>
  <si>
    <t>214903</t>
  </si>
  <si>
    <t>ROMA ISD</t>
  </si>
  <si>
    <t>152908</t>
  </si>
  <si>
    <t>ROOSEVELT ISD</t>
  </si>
  <si>
    <t>110905</t>
  </si>
  <si>
    <t>ROPES ISD</t>
  </si>
  <si>
    <t>177901</t>
  </si>
  <si>
    <t>ROSCOE ISD</t>
  </si>
  <si>
    <t>073905</t>
  </si>
  <si>
    <t>ROSEBUD-LOTT ISD</t>
  </si>
  <si>
    <t>076904</t>
  </si>
  <si>
    <t>ROTAN ISD</t>
  </si>
  <si>
    <t>246909</t>
  </si>
  <si>
    <t>ROUND ROCK ISD</t>
  </si>
  <si>
    <t>075908</t>
  </si>
  <si>
    <t>ROUND TOP-CARMINE ISD</t>
  </si>
  <si>
    <t>139908</t>
  </si>
  <si>
    <t>ROXTON ISD</t>
  </si>
  <si>
    <t>237905</t>
  </si>
  <si>
    <t>ROYAL ISD</t>
  </si>
  <si>
    <t>199902</t>
  </si>
  <si>
    <t>ROYSE CITY ISD</t>
  </si>
  <si>
    <t>104903</t>
  </si>
  <si>
    <t>RULE ISD</t>
  </si>
  <si>
    <t>128903</t>
  </si>
  <si>
    <t>RUNGE ISD</t>
  </si>
  <si>
    <t>037907</t>
  </si>
  <si>
    <t>RUSK ISD</t>
  </si>
  <si>
    <t>091914</t>
  </si>
  <si>
    <t>S AND S CISD</t>
  </si>
  <si>
    <t>232902</t>
  </si>
  <si>
    <t>SABINAL ISD</t>
  </si>
  <si>
    <t>092906</t>
  </si>
  <si>
    <t>SABINE ISD</t>
  </si>
  <si>
    <t>123913</t>
  </si>
  <si>
    <t>SABINE PASS ISD</t>
  </si>
  <si>
    <t>169911</t>
  </si>
  <si>
    <t>SAINT JO ISD</t>
  </si>
  <si>
    <t>014908</t>
  </si>
  <si>
    <t>SALADO ISD</t>
  </si>
  <si>
    <t>112909</t>
  </si>
  <si>
    <t>SALTILLO ISD</t>
  </si>
  <si>
    <t>074917</t>
  </si>
  <si>
    <t>SAM RAYBURN ISD</t>
  </si>
  <si>
    <t>044904</t>
  </si>
  <si>
    <t>SAMNORWOOD ISD</t>
  </si>
  <si>
    <t>226903</t>
  </si>
  <si>
    <t>SAN ANGELO ISD</t>
  </si>
  <si>
    <t>015907</t>
  </si>
  <si>
    <t>SAN ANTONIO ISD</t>
  </si>
  <si>
    <t>203901</t>
  </si>
  <si>
    <t>SAN AUGUSTINE ISD</t>
  </si>
  <si>
    <t>031912</t>
  </si>
  <si>
    <t>SAN BENITO CISD</t>
  </si>
  <si>
    <t>066902</t>
  </si>
  <si>
    <t>SAN DIEGO ISD</t>
  </si>
  <si>
    <t>071904</t>
  </si>
  <si>
    <t>SAN ELIZARIO ISD</t>
  </si>
  <si>
    <t>233901</t>
  </si>
  <si>
    <t>SAN FELIPE-DEL RIO CISD</t>
  </si>
  <si>
    <t>214902</t>
  </si>
  <si>
    <t>SAN ISIDRO ISD</t>
  </si>
  <si>
    <t>105902</t>
  </si>
  <si>
    <t>SAN MARCOS CISD</t>
  </si>
  <si>
    <t>245904</t>
  </si>
  <si>
    <t>SAN PERLITA ISD</t>
  </si>
  <si>
    <t>206901</t>
  </si>
  <si>
    <t>SAN SABA ISD</t>
  </si>
  <si>
    <t>022903</t>
  </si>
  <si>
    <t>SAN VICENTE ISD</t>
  </si>
  <si>
    <t>058909</t>
  </si>
  <si>
    <t>SANDS CISD</t>
  </si>
  <si>
    <t>117903</t>
  </si>
  <si>
    <t>SANFORD-FRITCH ISD</t>
  </si>
  <si>
    <t>061908</t>
  </si>
  <si>
    <t>SANGER ISD</t>
  </si>
  <si>
    <t>042903</t>
  </si>
  <si>
    <t>SANTA ANNA ISD</t>
  </si>
  <si>
    <t>084909</t>
  </si>
  <si>
    <t>SANTA FE ISD</t>
  </si>
  <si>
    <t>137904</t>
  </si>
  <si>
    <t>SANTA GERTRUDIS ISD</t>
  </si>
  <si>
    <t>031913</t>
  </si>
  <si>
    <t>SANTA MARIA ISD</t>
  </si>
  <si>
    <t>031914</t>
  </si>
  <si>
    <t>SANTA ROSA ISD</t>
  </si>
  <si>
    <t>182904</t>
  </si>
  <si>
    <t>SANTO ISD</t>
  </si>
  <si>
    <t>074911</t>
  </si>
  <si>
    <t>SAVOY ISD</t>
  </si>
  <si>
    <t>094902</t>
  </si>
  <si>
    <t>SCHERTZ-CIBOLO-U CITY ISD</t>
  </si>
  <si>
    <t>207901</t>
  </si>
  <si>
    <t>SCHLEICHER ISD</t>
  </si>
  <si>
    <t>075903</t>
  </si>
  <si>
    <t>SCHULENBURG ISD</t>
  </si>
  <si>
    <t>129910</t>
  </si>
  <si>
    <t>SCURRY-ROSSER ISD</t>
  </si>
  <si>
    <t>083901</t>
  </si>
  <si>
    <t>SEAGRAVES ISD</t>
  </si>
  <si>
    <t>008902</t>
  </si>
  <si>
    <t>SEALY ISD</t>
  </si>
  <si>
    <t>094901</t>
  </si>
  <si>
    <t>SEGUIN ISD</t>
  </si>
  <si>
    <t>083903</t>
  </si>
  <si>
    <t>SEMINOLE ISD</t>
  </si>
  <si>
    <t>012901</t>
  </si>
  <si>
    <t>SEYMOUR ISD</t>
  </si>
  <si>
    <t>152909</t>
  </si>
  <si>
    <t>SHALLOWATER ISD</t>
  </si>
  <si>
    <t>242902</t>
  </si>
  <si>
    <t>SHAMROCK ISD</t>
  </si>
  <si>
    <t>108911</t>
  </si>
  <si>
    <t>SHARYLAND ISD</t>
  </si>
  <si>
    <t>210903</t>
  </si>
  <si>
    <t>SHELBYVILLE ISD</t>
  </si>
  <si>
    <t>101924</t>
  </si>
  <si>
    <t>SHELDON ISD</t>
  </si>
  <si>
    <t>204904</t>
  </si>
  <si>
    <t>SHEPHERD ISD</t>
  </si>
  <si>
    <t>091906</t>
  </si>
  <si>
    <t>SHERMAN ISD</t>
  </si>
  <si>
    <t>143903</t>
  </si>
  <si>
    <t>SHINER ISD</t>
  </si>
  <si>
    <t>047905</t>
  </si>
  <si>
    <t>SIDNEY ISD</t>
  </si>
  <si>
    <t>115902</t>
  </si>
  <si>
    <t>SIERRA BLANCA ISD</t>
  </si>
  <si>
    <t>100904</t>
  </si>
  <si>
    <t>SILSBEE ISD</t>
  </si>
  <si>
    <t>023902</t>
  </si>
  <si>
    <t>SILVERTON ISD</t>
  </si>
  <si>
    <t>019909</t>
  </si>
  <si>
    <t>SIMMS ISD</t>
  </si>
  <si>
    <t>205906</t>
  </si>
  <si>
    <t>SINTON ISD</t>
  </si>
  <si>
    <t>049909</t>
  </si>
  <si>
    <t>SIVELLS BEND ISD</t>
  </si>
  <si>
    <t>013905</t>
  </si>
  <si>
    <t>SKIDMORE-TYNAN ISD</t>
  </si>
  <si>
    <t>152903</t>
  </si>
  <si>
    <t>SLATON ISD</t>
  </si>
  <si>
    <t>249908</t>
  </si>
  <si>
    <t>SLIDELL ISD</t>
  </si>
  <si>
    <t>001909</t>
  </si>
  <si>
    <t>SLOCUM ISD</t>
  </si>
  <si>
    <t>011904</t>
  </si>
  <si>
    <t>SMITHVILLE ISD</t>
  </si>
  <si>
    <t>110906</t>
  </si>
  <si>
    <t>SMYER ISD</t>
  </si>
  <si>
    <t>026903</t>
  </si>
  <si>
    <t>SNOOK ISD</t>
  </si>
  <si>
    <t>208902</t>
  </si>
  <si>
    <t>SNYDER ISD</t>
  </si>
  <si>
    <t>071909</t>
  </si>
  <si>
    <t>SOCORRO ISD</t>
  </si>
  <si>
    <t>015909</t>
  </si>
  <si>
    <t>SOMERSET ISD</t>
  </si>
  <si>
    <t>026902</t>
  </si>
  <si>
    <t>SOMERVILLE ISD</t>
  </si>
  <si>
    <t>218901</t>
  </si>
  <si>
    <t>SONORA ISD</t>
  </si>
  <si>
    <t>015908</t>
  </si>
  <si>
    <t>SOUTH SAN ANTONIO ISD</t>
  </si>
  <si>
    <t>031916</t>
  </si>
  <si>
    <t>SOUTH TEXAS ISD</t>
  </si>
  <si>
    <t>085903</t>
  </si>
  <si>
    <t>SOUTHLAND ISD</t>
  </si>
  <si>
    <t>015917</t>
  </si>
  <si>
    <t>SOUTHSIDE ISD</t>
  </si>
  <si>
    <t>015912</t>
  </si>
  <si>
    <t>SOUTHWEST ISD</t>
  </si>
  <si>
    <t>098904</t>
  </si>
  <si>
    <t>SPEARMAN ISD</t>
  </si>
  <si>
    <t>170907</t>
  </si>
  <si>
    <t>SPLENDORA ISD</t>
  </si>
  <si>
    <t>101920</t>
  </si>
  <si>
    <t>SPRING BRANCH ISD</t>
  </si>
  <si>
    <t>117907</t>
  </si>
  <si>
    <t>SPRING CREEK ISD</t>
  </si>
  <si>
    <t>092907</t>
  </si>
  <si>
    <t>SPRING HILL ISD</t>
  </si>
  <si>
    <t>101919</t>
  </si>
  <si>
    <t>SPRING ISD</t>
  </si>
  <si>
    <t>140907</t>
  </si>
  <si>
    <t>SPRINGLAKE-EARTH ISD</t>
  </si>
  <si>
    <t>184902</t>
  </si>
  <si>
    <t>SPRINGTOWN ISD</t>
  </si>
  <si>
    <t>063903</t>
  </si>
  <si>
    <t>SPUR ISD</t>
  </si>
  <si>
    <t>229905</t>
  </si>
  <si>
    <t>SPURGER ISD</t>
  </si>
  <si>
    <t>079910</t>
  </si>
  <si>
    <t>STAFFORD MSD</t>
  </si>
  <si>
    <t>127906</t>
  </si>
  <si>
    <t>STAMFORD ISD</t>
  </si>
  <si>
    <t>156902</t>
  </si>
  <si>
    <t>STANTON ISD</t>
  </si>
  <si>
    <t>167903</t>
  </si>
  <si>
    <t>STAR ISD</t>
  </si>
  <si>
    <t>072903</t>
  </si>
  <si>
    <t>STEPHENVILLE</t>
  </si>
  <si>
    <t>216901</t>
  </si>
  <si>
    <t>STERLING CITY ISD</t>
  </si>
  <si>
    <t>247906</t>
  </si>
  <si>
    <t>STOCKDALE ISD</t>
  </si>
  <si>
    <t>211902</t>
  </si>
  <si>
    <t>STRATFORD ISD</t>
  </si>
  <si>
    <t>182905</t>
  </si>
  <si>
    <t>STRAWN ISD</t>
  </si>
  <si>
    <t>140908</t>
  </si>
  <si>
    <t>SUDAN ISD</t>
  </si>
  <si>
    <t>112910</t>
  </si>
  <si>
    <t>SULPHUR BLUFF ISD</t>
  </si>
  <si>
    <t>112901</t>
  </si>
  <si>
    <t>SULPHUR SPRINGS ISD</t>
  </si>
  <si>
    <t>110907</t>
  </si>
  <si>
    <t>SUNDOWN ISD</t>
  </si>
  <si>
    <t>057919</t>
  </si>
  <si>
    <t>SUNNYVALE ISD</t>
  </si>
  <si>
    <t>171902</t>
  </si>
  <si>
    <t>SUNRAY ISD</t>
  </si>
  <si>
    <t>020906</t>
  </si>
  <si>
    <t>SWEENY ISD</t>
  </si>
  <si>
    <t>143905</t>
  </si>
  <si>
    <t>SWEET HOME ISD</t>
  </si>
  <si>
    <t>177902</t>
  </si>
  <si>
    <t>SWEETWATER ISD</t>
  </si>
  <si>
    <t>205907</t>
  </si>
  <si>
    <t>TAFT ISD</t>
  </si>
  <si>
    <t>153904</t>
  </si>
  <si>
    <t>TAHOKA ISD</t>
  </si>
  <si>
    <t>146907</t>
  </si>
  <si>
    <t>TARKINGTON ISD</t>
  </si>
  <si>
    <t>201910</t>
  </si>
  <si>
    <t>TATUM ISD</t>
  </si>
  <si>
    <t>246911</t>
  </si>
  <si>
    <t>TAYLOR ISD</t>
  </si>
  <si>
    <t>081904</t>
  </si>
  <si>
    <t>TEAGUE ISD</t>
  </si>
  <si>
    <t>014909</t>
  </si>
  <si>
    <t>TEMPLE ISD</t>
  </si>
  <si>
    <t>210904</t>
  </si>
  <si>
    <t>TENAHA ISD</t>
  </si>
  <si>
    <t>022004</t>
  </si>
  <si>
    <t>TERLINGUA CSD</t>
  </si>
  <si>
    <t>222901</t>
  </si>
  <si>
    <t>TERRELL COUNTY ISD</t>
  </si>
  <si>
    <t>129906</t>
  </si>
  <si>
    <t>TERRELL ISD</t>
  </si>
  <si>
    <t>019907</t>
  </si>
  <si>
    <t>TEXARKANA ISD</t>
  </si>
  <si>
    <t>084906</t>
  </si>
  <si>
    <t>TEXAS CITY ISD</t>
  </si>
  <si>
    <t>211901</t>
  </si>
  <si>
    <t>TEXHOMA ISD</t>
  </si>
  <si>
    <t>056902</t>
  </si>
  <si>
    <t>TEXLINE ISD</t>
  </si>
  <si>
    <t>166905</t>
  </si>
  <si>
    <t>THORNDALE ISD</t>
  </si>
  <si>
    <t>246912</t>
  </si>
  <si>
    <t>THRALL ISD</t>
  </si>
  <si>
    <t>149902</t>
  </si>
  <si>
    <t>THREE RIVERS ISD</t>
  </si>
  <si>
    <t>072901</t>
  </si>
  <si>
    <t>THREE WAY ISD</t>
  </si>
  <si>
    <t>224901</t>
  </si>
  <si>
    <t>THROCKMORTON ISD</t>
  </si>
  <si>
    <t>158902</t>
  </si>
  <si>
    <t>TIDEHAVEN ISD</t>
  </si>
  <si>
    <t>210905</t>
  </si>
  <si>
    <t>TIMPSON ISD</t>
  </si>
  <si>
    <t>091907</t>
  </si>
  <si>
    <t>TIOGA ISD</t>
  </si>
  <si>
    <t>111903</t>
  </si>
  <si>
    <t>TOLAR ISD</t>
  </si>
  <si>
    <t>091918</t>
  </si>
  <si>
    <t>TOM BEAN ISD</t>
  </si>
  <si>
    <t>101921</t>
  </si>
  <si>
    <t>TOMBALL ISD</t>
  </si>
  <si>
    <t>071908</t>
  </si>
  <si>
    <t>TORNILLO ISD</t>
  </si>
  <si>
    <t>221905</t>
  </si>
  <si>
    <t>TRENT ISD</t>
  </si>
  <si>
    <t>074912</t>
  </si>
  <si>
    <t>TRENTON ISD</t>
  </si>
  <si>
    <t>107907</t>
  </si>
  <si>
    <t>TRINIDAD ISD</t>
  </si>
  <si>
    <t>228903</t>
  </si>
  <si>
    <t>TRINITY ISD</t>
  </si>
  <si>
    <t>212904</t>
  </si>
  <si>
    <t>TROUP ISD</t>
  </si>
  <si>
    <t>014910</t>
  </si>
  <si>
    <t>TROY ISD</t>
  </si>
  <si>
    <t>219903</t>
  </si>
  <si>
    <t>TULIA ISD</t>
  </si>
  <si>
    <t>178912</t>
  </si>
  <si>
    <t>TULOSO-MIDWAY ISD</t>
  </si>
  <si>
    <t>096905</t>
  </si>
  <si>
    <t>TURKEY-QUITAQUE ISD</t>
  </si>
  <si>
    <t>212905</t>
  </si>
  <si>
    <t>TYLER ISD</t>
  </si>
  <si>
    <t>230908</t>
  </si>
  <si>
    <t>UNION GROVE ISD</t>
  </si>
  <si>
    <t>230904</t>
  </si>
  <si>
    <t>UNION HILL ISD</t>
  </si>
  <si>
    <t>240903</t>
  </si>
  <si>
    <t>UNITED ISD</t>
  </si>
  <si>
    <t>232904</t>
  </si>
  <si>
    <t>UTOPIA ISD</t>
  </si>
  <si>
    <t>232903</t>
  </si>
  <si>
    <t>UVALDE CISD</t>
  </si>
  <si>
    <t>122902</t>
  </si>
  <si>
    <t>VALENTINE ISD</t>
  </si>
  <si>
    <t>018904</t>
  </si>
  <si>
    <t>VALLEY MILLS ISD</t>
  </si>
  <si>
    <t>049903</t>
  </si>
  <si>
    <t>VALLEY VIEW ISD</t>
  </si>
  <si>
    <t>108916</t>
  </si>
  <si>
    <t>091908</t>
  </si>
  <si>
    <t>VAN ALSTYNE ISD</t>
  </si>
  <si>
    <t>234906</t>
  </si>
  <si>
    <t>VAN ISD</t>
  </si>
  <si>
    <t>158906</t>
  </si>
  <si>
    <t>VAN VLECK ISD</t>
  </si>
  <si>
    <t>180902</t>
  </si>
  <si>
    <t>VEGA ISD</t>
  </si>
  <si>
    <t>126908</t>
  </si>
  <si>
    <t>VENUS ISD</t>
  </si>
  <si>
    <t>226908</t>
  </si>
  <si>
    <t>VERIBEST ISD</t>
  </si>
  <si>
    <t>244903</t>
  </si>
  <si>
    <t>VERNON ISD</t>
  </si>
  <si>
    <t>235902</t>
  </si>
  <si>
    <t>VICTORIA ISD</t>
  </si>
  <si>
    <t>181907</t>
  </si>
  <si>
    <t>VIDOR ISD</t>
  </si>
  <si>
    <t>143904</t>
  </si>
  <si>
    <t>VYSEHRAD ISD</t>
  </si>
  <si>
    <t>161914</t>
  </si>
  <si>
    <t>WACO ISD</t>
  </si>
  <si>
    <t>089905</t>
  </si>
  <si>
    <t>WAELDER ISD</t>
  </si>
  <si>
    <t>059902</t>
  </si>
  <si>
    <t>WALCOTT ISD</t>
  </si>
  <si>
    <t>226906</t>
  </si>
  <si>
    <t>WALL ISD</t>
  </si>
  <si>
    <t>237904</t>
  </si>
  <si>
    <t>WALLER ISD</t>
  </si>
  <si>
    <t>049908</t>
  </si>
  <si>
    <t>WALNUT BEND ISD</t>
  </si>
  <si>
    <t>018905</t>
  </si>
  <si>
    <t>WALNUT SPRINGS ISD</t>
  </si>
  <si>
    <t>229904</t>
  </si>
  <si>
    <t>WARREN ISD</t>
  </si>
  <si>
    <t>102903</t>
  </si>
  <si>
    <t>WASKOM ISD</t>
  </si>
  <si>
    <t>226905</t>
  </si>
  <si>
    <t>WATER VALLEY ISD</t>
  </si>
  <si>
    <t>070912</t>
  </si>
  <si>
    <t>WAXAHACHIE ISD</t>
  </si>
  <si>
    <t>184903</t>
  </si>
  <si>
    <t>WEATHERFORD ISD</t>
  </si>
  <si>
    <t>240904</t>
  </si>
  <si>
    <t>WEBB CISD</t>
  </si>
  <si>
    <t>045905</t>
  </si>
  <si>
    <t>WEIMAR ISD</t>
  </si>
  <si>
    <t>044902</t>
  </si>
  <si>
    <t>WELLINGTON ISD</t>
  </si>
  <si>
    <t>223904</t>
  </si>
  <si>
    <t>WELLMAN-UNION CISD</t>
  </si>
  <si>
    <t>037909</t>
  </si>
  <si>
    <t>WELLS ISD</t>
  </si>
  <si>
    <t>108913</t>
  </si>
  <si>
    <t>WESLACO ISD</t>
  </si>
  <si>
    <t>100908</t>
  </si>
  <si>
    <t>WEST HARDIN COUNTY CISD</t>
  </si>
  <si>
    <t>161916</t>
  </si>
  <si>
    <t>WEST ISD</t>
  </si>
  <si>
    <t>181906</t>
  </si>
  <si>
    <t>WEST ORANGE-COVE CISD</t>
  </si>
  <si>
    <t>178915</t>
  </si>
  <si>
    <t>WEST OSO ISD</t>
  </si>
  <si>
    <t>201914</t>
  </si>
  <si>
    <t>WEST RUSK ISD</t>
  </si>
  <si>
    <t>202905</t>
  </si>
  <si>
    <t>WEST SABINE ISD</t>
  </si>
  <si>
    <t>168903</t>
  </si>
  <si>
    <t>WESTBROOK ISD</t>
  </si>
  <si>
    <t>062905</t>
  </si>
  <si>
    <t>WESTHOFF ISD</t>
  </si>
  <si>
    <t>073904</t>
  </si>
  <si>
    <t>WESTPHALIA ISD</t>
  </si>
  <si>
    <t>001908</t>
  </si>
  <si>
    <t>WESTWOOD ISD</t>
  </si>
  <si>
    <t>241904</t>
  </si>
  <si>
    <t>WHARTON ISD</t>
  </si>
  <si>
    <t>242903</t>
  </si>
  <si>
    <t>WHEELER ISD</t>
  </si>
  <si>
    <t>033904</t>
  </si>
  <si>
    <t>WHITE DEER ISD</t>
  </si>
  <si>
    <t>092908</t>
  </si>
  <si>
    <t>WHITE OAK ISD</t>
  </si>
  <si>
    <t>220920</t>
  </si>
  <si>
    <t>WHITE SETTLEMENT ISD</t>
  </si>
  <si>
    <t>040902</t>
  </si>
  <si>
    <t>WHITEFACE CISD</t>
  </si>
  <si>
    <t>212906</t>
  </si>
  <si>
    <t>WHITEHOUSE ISD</t>
  </si>
  <si>
    <t>091909</t>
  </si>
  <si>
    <t>WHITESBORO ISD</t>
  </si>
  <si>
    <t>091910</t>
  </si>
  <si>
    <t>WHITEWRIGHT ISD</t>
  </si>
  <si>
    <t>110908</t>
  </si>
  <si>
    <t>WHITHARRAL ISD</t>
  </si>
  <si>
    <t>109911</t>
  </si>
  <si>
    <t>WHITNEY ISD</t>
  </si>
  <si>
    <t>243905</t>
  </si>
  <si>
    <t>WICHITA FALLS ISD</t>
  </si>
  <si>
    <t>180904</t>
  </si>
  <si>
    <t>WILDORADO ISD</t>
  </si>
  <si>
    <t>170904</t>
  </si>
  <si>
    <t>WILLIS ISD</t>
  </si>
  <si>
    <t>234907</t>
  </si>
  <si>
    <t>WILLS POINT ISD</t>
  </si>
  <si>
    <t>153907</t>
  </si>
  <si>
    <t>WILSON ISD</t>
  </si>
  <si>
    <t>105905</t>
  </si>
  <si>
    <t>WIMBERLEY ISD</t>
  </si>
  <si>
    <t>005904</t>
  </si>
  <si>
    <t>WINDTHORST ISD</t>
  </si>
  <si>
    <t>225905</t>
  </si>
  <si>
    <t>WINFIELD ISD</t>
  </si>
  <si>
    <t>248902</t>
  </si>
  <si>
    <t>WINK-LOVING ISD</t>
  </si>
  <si>
    <t>250907</t>
  </si>
  <si>
    <t>WINNSBORO ISD</t>
  </si>
  <si>
    <t>212910</t>
  </si>
  <si>
    <t>WINONA ISD</t>
  </si>
  <si>
    <t>200904</t>
  </si>
  <si>
    <t>WINTERS ISD</t>
  </si>
  <si>
    <t>174906</t>
  </si>
  <si>
    <t>WODEN ISD</t>
  </si>
  <si>
    <t>116909</t>
  </si>
  <si>
    <t>WOLFE CITY ISD</t>
  </si>
  <si>
    <t>196902</t>
  </si>
  <si>
    <t>WOODSBORO ISD</t>
  </si>
  <si>
    <t>224902</t>
  </si>
  <si>
    <t>WOODSON ISD</t>
  </si>
  <si>
    <t>229903</t>
  </si>
  <si>
    <t>WOODVILLE ISD</t>
  </si>
  <si>
    <t>081905</t>
  </si>
  <si>
    <t>WORTHAM ISD</t>
  </si>
  <si>
    <t>043914</t>
  </si>
  <si>
    <t>WYLIE ISD</t>
  </si>
  <si>
    <t>221912</t>
  </si>
  <si>
    <t>250905</t>
  </si>
  <si>
    <t>YANTIS ISD</t>
  </si>
  <si>
    <t>062903</t>
  </si>
  <si>
    <t>YOAKUM ISD</t>
  </si>
  <si>
    <t>062904</t>
  </si>
  <si>
    <t>YORKTOWN ISD</t>
  </si>
  <si>
    <t>071905</t>
  </si>
  <si>
    <t>YSLETA ISD</t>
  </si>
  <si>
    <t>253901</t>
  </si>
  <si>
    <t>ZAPATA COUNTY ISD</t>
  </si>
  <si>
    <t>003906</t>
  </si>
  <si>
    <t>ZAVALLA ISD</t>
  </si>
  <si>
    <t>025906</t>
  </si>
  <si>
    <t>ZEPHYR ISD</t>
  </si>
  <si>
    <t>Object codes 6110-6149</t>
  </si>
  <si>
    <t>Total General Fund Unreserved/Undesignated Fund Balance</t>
  </si>
  <si>
    <t>Category 1. Student-to-Staff Ratio Outside Norm or Declining</t>
  </si>
  <si>
    <t>a. WADA-to-All-Staff-FTE Ratio</t>
  </si>
  <si>
    <t>b. Enrollment-to-Teacher-FTE Ratio</t>
  </si>
  <si>
    <t>Category 2. General Fund Expenditures Exceeding Revenues</t>
  </si>
  <si>
    <t>Indicator Description</t>
  </si>
  <si>
    <t>Average per Group</t>
  </si>
  <si>
    <t>Category 3. Actual Expenditures Consistently Exceed Budgeted Expenditures</t>
  </si>
  <si>
    <t>Eligible to be considered for additional review?</t>
  </si>
  <si>
    <t>Did your district have a general fund balance of less than 2% of total expenditures for general fund function codes 11-61 in the prior fiscal year?</t>
  </si>
  <si>
    <t>Has your district declared financial exigency within the past two years?</t>
  </si>
  <si>
    <t>How many superintendents has your district had in the last five years?</t>
  </si>
  <si>
    <t>How many business managers has your district had in the last five years?</t>
  </si>
  <si>
    <t>Enrollment</t>
  </si>
  <si>
    <t>Object code series 6500</t>
  </si>
  <si>
    <t>c. Expenditures exceed revenues by any amount, and the district has a prior year end-of-year fund balance that has declined from the year before and that is less than 4% of the district's general fund expenditures.</t>
  </si>
  <si>
    <t>a. Expenditures exceed revenues by more than 6%.</t>
  </si>
  <si>
    <t>b. Expenditures exceed revenues by more than 4% and exceeded revenues by more than 3% in the prior year.</t>
  </si>
  <si>
    <t>a. Actual expenditures exceeded budgeted expenditures by more than 10% in the prior year.</t>
  </si>
  <si>
    <t>b. Actual expenditures exceeded budgeted expenditures by more than 6% in the prior year, and actual expenditures exceeded budgeted expenditures by more than 4% two years prior.</t>
  </si>
  <si>
    <t>a. Prior year end-of-year fund balance declined from the year before, and fund balance is less than 6.25% of the district's general fund expenditures.</t>
  </si>
  <si>
    <t xml:space="preserve"> 2010-2011 Enrollment</t>
  </si>
  <si>
    <t>Statewide Average WADA-to-All-Staff Ratio</t>
  </si>
  <si>
    <t>Within this Excel workbook is a worksheet for data entry. Click on the FinReview tab, and enter the CDN for your school district. Then enter the student and staff estimates, the financial categories/object code amounts, and the total revenues and total general fund amounts. The worksheet will automatically calculate the status.</t>
  </si>
  <si>
    <t>Statewide Average Enrollment-to-Teacher-FTE Ratio</t>
  </si>
  <si>
    <t xml:space="preserve"> 2010-2011 WADA-to-All-Staff-FTE Avg</t>
  </si>
  <si>
    <t xml:space="preserve"> 2010-2011 Enrollment-to-Teacher-FTE Avg</t>
  </si>
  <si>
    <t>&lt; 85% of group avg or decline of over 7% from prior year</t>
  </si>
  <si>
    <t>Any "Yes" for Category 1</t>
  </si>
  <si>
    <t>Any "Yes" for Category 2</t>
  </si>
  <si>
    <t>Any "Yes" for Category 3</t>
  </si>
  <si>
    <t>Any "Yes" for Category 4</t>
  </si>
  <si>
    <t>Category 4. Declining or Low General Fund Assigned and Unassigned Balance</t>
  </si>
  <si>
    <t>c. Prior year end-of-year fund balance is less than 1% of the district's general fund expenditures.</t>
  </si>
  <si>
    <t>b. Prior year end-of-year fund balance declined from the year before by more than 25%, and the fund balance is less than 12.5% (1.5 months) of the district's general fund expenditures.</t>
  </si>
  <si>
    <t>Three or more categories with "Yes" indicators:</t>
  </si>
  <si>
    <t>Two or more categories with "Yes" indicators and fund balance less than 12.5% (1.5 months) of the district's general fund balance:</t>
  </si>
  <si>
    <t>At least one fund balance "Yes" indicator and one other category with a "Yes" indicator:</t>
  </si>
</sst>
</file>

<file path=xl/styles.xml><?xml version="1.0" encoding="utf-8"?>
<styleSheet xmlns="http://schemas.openxmlformats.org/spreadsheetml/2006/main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0.00%;[Red]\(0.00%\)"/>
    <numFmt numFmtId="167" formatCode="0.0%;[Red]\(0.0%\)"/>
    <numFmt numFmtId="168" formatCode="&quot;$&quot;#,##0"/>
    <numFmt numFmtId="169" formatCode="0.000"/>
    <numFmt numFmtId="170" formatCode="#,##0.000"/>
    <numFmt numFmtId="171" formatCode="#,##0.0000"/>
    <numFmt numFmtId="172" formatCode="_(* #,##0.000_);_(* \(#,##0.000\);_(* &quot;-&quot;??_);_(@_)"/>
    <numFmt numFmtId="173" formatCode="_(* #,##0_);_(* \(#,##0\);_(* &quot;-&quot;??_);_(@_)"/>
  </numFmts>
  <fonts count="2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12"/>
      <color indexed="44"/>
      <name val="Arial"/>
      <family val="2"/>
    </font>
    <font>
      <b/>
      <u/>
      <sz val="18"/>
      <name val="Arial"/>
      <family val="2"/>
    </font>
    <font>
      <b/>
      <sz val="15"/>
      <name val="Arial"/>
      <family val="2"/>
    </font>
    <font>
      <b/>
      <u/>
      <sz val="20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sz val="20"/>
      <name val="Arial"/>
      <family val="2"/>
    </font>
    <font>
      <sz val="16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8"/>
      <name val="Arial"/>
      <family val="2"/>
    </font>
    <font>
      <u/>
      <sz val="18"/>
      <name val="Arial"/>
      <family val="2"/>
    </font>
    <font>
      <b/>
      <sz val="2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5">
    <xf numFmtId="0" fontId="0" fillId="0" borderId="0" xfId="0"/>
    <xf numFmtId="0" fontId="3" fillId="2" borderId="0" xfId="0" applyFont="1" applyFill="1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165" fontId="3" fillId="2" borderId="0" xfId="1" applyNumberFormat="1" applyFont="1" applyFill="1" applyBorder="1" applyProtection="1">
      <protection locked="0"/>
    </xf>
    <xf numFmtId="0" fontId="3" fillId="2" borderId="0" xfId="0" applyFont="1" applyFill="1" applyBorder="1" applyProtection="1">
      <protection locked="0"/>
    </xf>
    <xf numFmtId="165" fontId="3" fillId="2" borderId="0" xfId="1" applyNumberFormat="1" applyFont="1" applyFill="1" applyProtection="1">
      <protection locked="0"/>
    </xf>
    <xf numFmtId="0" fontId="14" fillId="2" borderId="0" xfId="0" applyFont="1" applyFill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Border="1" applyProtection="1">
      <protection locked="0"/>
    </xf>
    <xf numFmtId="0" fontId="2" fillId="2" borderId="0" xfId="0" applyFont="1" applyFill="1" applyBorder="1" applyAlignment="1" applyProtection="1">
      <alignment horizontal="right"/>
      <protection locked="0"/>
    </xf>
    <xf numFmtId="165" fontId="2" fillId="2" borderId="0" xfId="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165" fontId="3" fillId="0" borderId="0" xfId="1" applyNumberFormat="1" applyFont="1" applyBorder="1" applyProtection="1">
      <protection locked="0"/>
    </xf>
    <xf numFmtId="0" fontId="3" fillId="0" borderId="0" xfId="0" applyFont="1" applyBorder="1" applyProtection="1">
      <protection locked="0"/>
    </xf>
    <xf numFmtId="165" fontId="3" fillId="0" borderId="0" xfId="1" applyNumberFormat="1" applyFont="1" applyProtection="1">
      <protection locked="0"/>
    </xf>
    <xf numFmtId="0" fontId="14" fillId="0" borderId="0" xfId="0" applyFont="1" applyBorder="1" applyAlignment="1" applyProtection="1">
      <alignment horizontal="center"/>
      <protection locked="0"/>
    </xf>
    <xf numFmtId="164" fontId="3" fillId="2" borderId="0" xfId="2" applyNumberFormat="1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0" fontId="3" fillId="2" borderId="0" xfId="0" applyFont="1" applyFill="1" applyAlignment="1" applyProtection="1">
      <alignment vertical="top"/>
    </xf>
    <xf numFmtId="0" fontId="5" fillId="2" borderId="10" xfId="0" applyFont="1" applyFill="1" applyBorder="1" applyAlignment="1" applyProtection="1">
      <alignment horizontal="center" vertical="top" wrapText="1"/>
    </xf>
    <xf numFmtId="165" fontId="15" fillId="3" borderId="7" xfId="1" applyNumberFormat="1" applyFont="1" applyFill="1" applyBorder="1" applyAlignment="1" applyProtection="1">
      <alignment horizontal="center" vertical="center" wrapText="1"/>
    </xf>
    <xf numFmtId="165" fontId="6" fillId="3" borderId="2" xfId="1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vertical="top"/>
    </xf>
    <xf numFmtId="0" fontId="3" fillId="0" borderId="0" xfId="0" applyFont="1" applyAlignment="1" applyProtection="1">
      <alignment vertical="top"/>
    </xf>
    <xf numFmtId="0" fontId="4" fillId="2" borderId="1" xfId="0" applyFont="1" applyFill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center" vertical="top" wrapText="1"/>
    </xf>
    <xf numFmtId="165" fontId="8" fillId="2" borderId="0" xfId="1" applyNumberFormat="1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 applyProtection="1">
      <alignment horizontal="center" vertical="center" wrapText="1"/>
    </xf>
    <xf numFmtId="165" fontId="6" fillId="2" borderId="0" xfId="1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left" vertical="center"/>
    </xf>
    <xf numFmtId="8" fontId="5" fillId="2" borderId="0" xfId="1" applyNumberFormat="1" applyFont="1" applyFill="1" applyBorder="1" applyAlignment="1" applyProtection="1">
      <alignment horizontal="center" vertical="top" wrapText="1"/>
    </xf>
    <xf numFmtId="165" fontId="11" fillId="2" borderId="0" xfId="1" applyNumberFormat="1" applyFont="1" applyFill="1" applyBorder="1" applyAlignment="1" applyProtection="1">
      <alignment horizontal="center" vertical="top" wrapText="1"/>
    </xf>
    <xf numFmtId="0" fontId="3" fillId="2" borderId="0" xfId="0" applyFont="1" applyFill="1" applyProtection="1"/>
    <xf numFmtId="0" fontId="12" fillId="2" borderId="1" xfId="0" applyFont="1" applyFill="1" applyBorder="1" applyAlignment="1" applyProtection="1">
      <alignment horizontal="left" vertical="center" wrapText="1" indent="1"/>
    </xf>
    <xf numFmtId="0" fontId="3" fillId="2" borderId="0" xfId="0" applyFont="1" applyFill="1" applyBorder="1" applyProtection="1"/>
    <xf numFmtId="0" fontId="3" fillId="0" borderId="0" xfId="0" applyFont="1" applyProtection="1"/>
    <xf numFmtId="0" fontId="3" fillId="2" borderId="0" xfId="0" applyFont="1" applyFill="1" applyBorder="1" applyAlignment="1" applyProtection="1">
      <alignment horizontal="center"/>
    </xf>
    <xf numFmtId="0" fontId="0" fillId="2" borderId="0" xfId="0" applyFill="1" applyProtection="1"/>
    <xf numFmtId="167" fontId="10" fillId="2" borderId="0" xfId="2" applyNumberFormat="1" applyFont="1" applyFill="1" applyBorder="1" applyAlignment="1" applyProtection="1">
      <alignment horizontal="center" vertical="top" wrapText="1"/>
    </xf>
    <xf numFmtId="6" fontId="10" fillId="2" borderId="0" xfId="1" applyNumberFormat="1" applyFont="1" applyFill="1" applyBorder="1" applyAlignment="1" applyProtection="1">
      <alignment horizontal="center" vertical="top" wrapText="1"/>
    </xf>
    <xf numFmtId="165" fontId="3" fillId="2" borderId="0" xfId="1" applyNumberFormat="1" applyFont="1" applyFill="1" applyBorder="1" applyProtection="1"/>
    <xf numFmtId="0" fontId="3" fillId="2" borderId="0" xfId="0" quotePrefix="1" applyFont="1" applyFill="1" applyBorder="1" applyProtection="1"/>
    <xf numFmtId="0" fontId="9" fillId="0" borderId="1" xfId="0" applyFont="1" applyFill="1" applyBorder="1" applyAlignment="1" applyProtection="1">
      <alignment vertical="center" wrapText="1"/>
    </xf>
    <xf numFmtId="167" fontId="10" fillId="2" borderId="0" xfId="2" applyNumberFormat="1" applyFont="1" applyFill="1" applyBorder="1" applyAlignment="1" applyProtection="1">
      <alignment horizontal="center" vertical="center"/>
    </xf>
    <xf numFmtId="38" fontId="10" fillId="2" borderId="0" xfId="1" applyNumberFormat="1" applyFont="1" applyFill="1" applyBorder="1" applyAlignment="1" applyProtection="1">
      <alignment horizontal="center" vertical="center"/>
    </xf>
    <xf numFmtId="165" fontId="3" fillId="2" borderId="5" xfId="1" applyNumberFormat="1" applyFont="1" applyFill="1" applyBorder="1" applyAlignment="1" applyProtection="1">
      <alignment horizontal="center" vertical="top" wrapText="1"/>
    </xf>
    <xf numFmtId="0" fontId="13" fillId="2" borderId="0" xfId="0" applyFont="1" applyFill="1" applyBorder="1" applyAlignment="1" applyProtection="1">
      <alignment horizontal="center" vertical="center"/>
    </xf>
    <xf numFmtId="165" fontId="3" fillId="0" borderId="13" xfId="1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165" fontId="3" fillId="0" borderId="0" xfId="1" applyNumberFormat="1" applyFont="1" applyBorder="1" applyProtection="1"/>
    <xf numFmtId="166" fontId="10" fillId="2" borderId="0" xfId="2" applyNumberFormat="1" applyFont="1" applyFill="1" applyBorder="1" applyAlignment="1" applyProtection="1">
      <alignment horizontal="center" vertical="top" wrapText="1"/>
    </xf>
    <xf numFmtId="9" fontId="13" fillId="2" borderId="0" xfId="0" applyNumberFormat="1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vertical="center" wrapText="1"/>
    </xf>
    <xf numFmtId="38" fontId="10" fillId="2" borderId="12" xfId="1" applyNumberFormat="1" applyFont="1" applyFill="1" applyBorder="1" applyAlignment="1" applyProtection="1">
      <alignment horizontal="center" vertical="center"/>
    </xf>
    <xf numFmtId="9" fontId="5" fillId="2" borderId="0" xfId="0" applyNumberFormat="1" applyFont="1" applyFill="1" applyBorder="1" applyAlignment="1" applyProtection="1">
      <alignment horizontal="center" vertical="center"/>
    </xf>
    <xf numFmtId="38" fontId="10" fillId="0" borderId="0" xfId="1" applyNumberFormat="1" applyFont="1" applyFill="1" applyBorder="1" applyAlignment="1" applyProtection="1">
      <alignment horizontal="center" vertical="center"/>
    </xf>
    <xf numFmtId="165" fontId="3" fillId="0" borderId="5" xfId="1" applyNumberFormat="1" applyFont="1" applyFill="1" applyBorder="1" applyAlignment="1" applyProtection="1">
      <alignment horizontal="center" vertical="center"/>
    </xf>
    <xf numFmtId="9" fontId="5" fillId="2" borderId="6" xfId="0" applyNumberFormat="1" applyFont="1" applyFill="1" applyBorder="1" applyAlignment="1" applyProtection="1">
      <alignment horizontal="center" vertical="center"/>
    </xf>
    <xf numFmtId="165" fontId="3" fillId="0" borderId="0" xfId="1" applyNumberFormat="1" applyFont="1" applyFill="1" applyBorder="1" applyAlignment="1" applyProtection="1">
      <alignment horizontal="center" vertical="center"/>
    </xf>
    <xf numFmtId="0" fontId="14" fillId="2" borderId="0" xfId="0" quotePrefix="1" applyFont="1" applyFill="1" applyBorder="1" applyAlignment="1" applyProtection="1">
      <alignment horizontal="left" vertical="center" wrapText="1" indent="1"/>
    </xf>
    <xf numFmtId="0" fontId="12" fillId="2" borderId="0" xfId="0" applyFont="1" applyFill="1" applyBorder="1" applyAlignment="1" applyProtection="1">
      <alignment vertical="center" wrapText="1"/>
    </xf>
    <xf numFmtId="9" fontId="14" fillId="2" borderId="0" xfId="0" quotePrefix="1" applyNumberFormat="1" applyFont="1" applyFill="1" applyBorder="1" applyAlignment="1" applyProtection="1">
      <alignment horizontal="left" vertical="center" wrapText="1" indent="1"/>
    </xf>
    <xf numFmtId="0" fontId="14" fillId="2" borderId="0" xfId="0" applyFont="1" applyFill="1" applyBorder="1" applyAlignment="1" applyProtection="1">
      <alignment horizontal="left" vertical="center" wrapText="1" indent="1"/>
    </xf>
    <xf numFmtId="0" fontId="13" fillId="0" borderId="0" xfId="0" applyFont="1" applyAlignment="1" applyProtection="1">
      <alignment vertical="top" wrapText="1"/>
    </xf>
    <xf numFmtId="0" fontId="14" fillId="2" borderId="0" xfId="0" applyFont="1" applyFill="1" applyBorder="1" applyAlignment="1" applyProtection="1">
      <alignment horizontal="center"/>
    </xf>
    <xf numFmtId="0" fontId="3" fillId="2" borderId="0" xfId="0" applyFont="1" applyFill="1" applyAlignment="1" applyProtection="1">
      <alignment wrapText="1"/>
    </xf>
    <xf numFmtId="165" fontId="3" fillId="2" borderId="0" xfId="1" applyNumberFormat="1" applyFont="1" applyFill="1" applyProtection="1"/>
    <xf numFmtId="0" fontId="16" fillId="2" borderId="0" xfId="0" applyFont="1" applyFill="1" applyProtection="1"/>
    <xf numFmtId="0" fontId="3" fillId="0" borderId="0" xfId="0" applyFont="1" applyAlignment="1" applyProtection="1">
      <alignment wrapText="1"/>
    </xf>
    <xf numFmtId="0" fontId="3" fillId="0" borderId="0" xfId="0" applyFont="1" applyBorder="1" applyProtection="1"/>
    <xf numFmtId="165" fontId="3" fillId="0" borderId="0" xfId="1" applyNumberFormat="1" applyFont="1" applyProtection="1"/>
    <xf numFmtId="0" fontId="14" fillId="0" borderId="0" xfId="0" applyFont="1" applyBorder="1" applyAlignment="1" applyProtection="1">
      <alignment horizontal="center"/>
    </xf>
    <xf numFmtId="0" fontId="2" fillId="2" borderId="0" xfId="0" applyFont="1" applyFill="1" applyProtection="1"/>
    <xf numFmtId="0" fontId="2" fillId="2" borderId="0" xfId="0" applyFont="1" applyFill="1" applyBorder="1" applyProtection="1"/>
    <xf numFmtId="0" fontId="2" fillId="2" borderId="0" xfId="0" applyFont="1" applyFill="1" applyBorder="1" applyAlignment="1" applyProtection="1">
      <alignment wrapText="1"/>
    </xf>
    <xf numFmtId="0" fontId="2" fillId="2" borderId="0" xfId="0" applyFont="1" applyFill="1" applyBorder="1" applyAlignment="1" applyProtection="1">
      <alignment horizontal="center"/>
    </xf>
    <xf numFmtId="165" fontId="2" fillId="2" borderId="0" xfId="1" applyNumberFormat="1" applyFont="1" applyFill="1" applyProtection="1"/>
    <xf numFmtId="165" fontId="2" fillId="2" borderId="0" xfId="1" applyNumberFormat="1" applyFont="1" applyFill="1" applyBorder="1" applyProtection="1"/>
    <xf numFmtId="0" fontId="2" fillId="2" borderId="0" xfId="0" applyFont="1" applyFill="1" applyBorder="1" applyAlignment="1" applyProtection="1">
      <alignment horizontal="left"/>
    </xf>
    <xf numFmtId="0" fontId="2" fillId="0" borderId="0" xfId="0" applyFont="1" applyProtection="1"/>
    <xf numFmtId="167" fontId="10" fillId="2" borderId="12" xfId="2" applyNumberFormat="1" applyFont="1" applyFill="1" applyBorder="1" applyAlignment="1" applyProtection="1">
      <alignment horizontal="center" vertical="center"/>
    </xf>
    <xf numFmtId="165" fontId="8" fillId="2" borderId="12" xfId="1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wrapText="1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0" borderId="0" xfId="0" applyFont="1" applyBorder="1" applyProtection="1">
      <protection locked="0"/>
    </xf>
    <xf numFmtId="165" fontId="15" fillId="3" borderId="20" xfId="1" applyNumberFormat="1" applyFont="1" applyFill="1" applyBorder="1" applyAlignment="1" applyProtection="1">
      <alignment horizontal="center" vertical="center" wrapText="1"/>
    </xf>
    <xf numFmtId="165" fontId="3" fillId="0" borderId="17" xfId="1" applyNumberFormat="1" applyFont="1" applyFill="1" applyBorder="1" applyAlignment="1" applyProtection="1">
      <alignment horizontal="center" vertical="center"/>
    </xf>
    <xf numFmtId="165" fontId="3" fillId="2" borderId="0" xfId="1" applyNumberFormat="1" applyFont="1" applyFill="1" applyBorder="1" applyAlignment="1" applyProtection="1">
      <alignment horizontal="center" vertical="top" wrapText="1"/>
    </xf>
    <xf numFmtId="165" fontId="3" fillId="0" borderId="15" xfId="1" applyNumberFormat="1" applyFont="1" applyFill="1" applyBorder="1" applyAlignment="1" applyProtection="1">
      <alignment horizontal="center" vertical="center"/>
    </xf>
    <xf numFmtId="165" fontId="15" fillId="3" borderId="4" xfId="1" applyNumberFormat="1" applyFont="1" applyFill="1" applyBorder="1" applyAlignment="1" applyProtection="1">
      <alignment horizontal="center" vertical="center" wrapText="1"/>
    </xf>
    <xf numFmtId="165" fontId="15" fillId="3" borderId="14" xfId="1" applyNumberFormat="1" applyFont="1" applyFill="1" applyBorder="1" applyAlignment="1" applyProtection="1">
      <alignment horizontal="center" vertical="center" wrapText="1"/>
    </xf>
    <xf numFmtId="165" fontId="15" fillId="3" borderId="12" xfId="1" applyNumberFormat="1" applyFont="1" applyFill="1" applyBorder="1" applyAlignment="1" applyProtection="1">
      <alignment horizontal="center" vertical="center" wrapText="1"/>
    </xf>
    <xf numFmtId="165" fontId="15" fillId="3" borderId="22" xfId="1" applyNumberFormat="1" applyFont="1" applyFill="1" applyBorder="1" applyAlignment="1" applyProtection="1">
      <alignment horizontal="center" vertical="center" wrapText="1"/>
    </xf>
    <xf numFmtId="169" fontId="12" fillId="2" borderId="4" xfId="1" applyNumberFormat="1" applyFont="1" applyFill="1" applyBorder="1" applyAlignment="1" applyProtection="1">
      <alignment horizontal="center" vertical="center" wrapText="1"/>
    </xf>
    <xf numFmtId="1" fontId="12" fillId="2" borderId="4" xfId="1" applyNumberFormat="1" applyFont="1" applyFill="1" applyBorder="1" applyAlignment="1" applyProtection="1">
      <alignment horizontal="center" vertical="center" wrapText="1"/>
    </xf>
    <xf numFmtId="169" fontId="12" fillId="2" borderId="15" xfId="1" applyNumberFormat="1" applyFont="1" applyFill="1" applyBorder="1" applyAlignment="1" applyProtection="1">
      <alignment horizontal="center" vertical="center" wrapText="1"/>
    </xf>
    <xf numFmtId="2" fontId="0" fillId="0" borderId="0" xfId="0" applyNumberFormat="1"/>
    <xf numFmtId="165" fontId="10" fillId="0" borderId="4" xfId="1" applyNumberFormat="1" applyFont="1" applyFill="1" applyBorder="1" applyAlignment="1" applyProtection="1">
      <alignment horizontal="center" vertical="center"/>
    </xf>
    <xf numFmtId="165" fontId="10" fillId="0" borderId="19" xfId="1" applyNumberFormat="1" applyFont="1" applyFill="1" applyBorder="1" applyAlignment="1" applyProtection="1">
      <alignment horizontal="center" vertical="center"/>
    </xf>
    <xf numFmtId="165" fontId="10" fillId="0" borderId="22" xfId="1" applyNumberFormat="1" applyFont="1" applyFill="1" applyBorder="1" applyAlignment="1" applyProtection="1">
      <alignment horizontal="center" vertical="center"/>
    </xf>
    <xf numFmtId="165" fontId="3" fillId="0" borderId="18" xfId="1" applyNumberFormat="1" applyFont="1" applyFill="1" applyBorder="1" applyAlignment="1" applyProtection="1">
      <alignment horizontal="center" vertical="center"/>
    </xf>
    <xf numFmtId="0" fontId="7" fillId="0" borderId="10" xfId="0" applyFont="1" applyFill="1" applyBorder="1" applyAlignment="1" applyProtection="1">
      <alignment horizontal="center" vertical="center"/>
    </xf>
    <xf numFmtId="6" fontId="12" fillId="2" borderId="0" xfId="1" applyNumberFormat="1" applyFont="1" applyFill="1" applyBorder="1" applyAlignment="1" applyProtection="1">
      <alignment horizontal="center" vertical="top" wrapText="1"/>
    </xf>
    <xf numFmtId="165" fontId="15" fillId="3" borderId="6" xfId="1" applyNumberFormat="1" applyFont="1" applyFill="1" applyBorder="1" applyAlignment="1" applyProtection="1">
      <alignment horizontal="center" vertical="center" wrapText="1"/>
    </xf>
    <xf numFmtId="165" fontId="15" fillId="3" borderId="17" xfId="1" applyNumberFormat="1" applyFont="1" applyFill="1" applyBorder="1" applyAlignment="1" applyProtection="1">
      <alignment horizontal="center" vertical="center" wrapText="1"/>
    </xf>
    <xf numFmtId="2" fontId="10" fillId="5" borderId="15" xfId="1" applyNumberFormat="1" applyFont="1" applyFill="1" applyBorder="1" applyAlignment="1" applyProtection="1">
      <alignment horizontal="center" vertical="center" wrapText="1"/>
    </xf>
    <xf numFmtId="2" fontId="10" fillId="5" borderId="17" xfId="1" applyNumberFormat="1" applyFont="1" applyFill="1" applyBorder="1" applyAlignment="1" applyProtection="1">
      <alignment horizontal="center" vertical="center" wrapText="1"/>
    </xf>
    <xf numFmtId="165" fontId="10" fillId="5" borderId="19" xfId="1" applyNumberFormat="1" applyFont="1" applyFill="1" applyBorder="1" applyAlignment="1" applyProtection="1">
      <alignment horizontal="center" vertical="center"/>
    </xf>
    <xf numFmtId="165" fontId="3" fillId="5" borderId="18" xfId="1" applyNumberFormat="1" applyFont="1" applyFill="1" applyBorder="1" applyAlignment="1" applyProtection="1">
      <alignment horizontal="center" vertical="center"/>
    </xf>
    <xf numFmtId="165" fontId="10" fillId="5" borderId="4" xfId="1" applyNumberFormat="1" applyFont="1" applyFill="1" applyBorder="1" applyAlignment="1" applyProtection="1">
      <alignment horizontal="center" vertical="center"/>
    </xf>
    <xf numFmtId="165" fontId="3" fillId="5" borderId="13" xfId="1" applyNumberFormat="1" applyFont="1" applyFill="1" applyBorder="1" applyAlignment="1" applyProtection="1">
      <alignment horizontal="center" vertical="center"/>
    </xf>
    <xf numFmtId="49" fontId="2" fillId="2" borderId="12" xfId="0" applyNumberFormat="1" applyFont="1" applyFill="1" applyBorder="1" applyAlignment="1" applyProtection="1">
      <alignment horizontal="center"/>
      <protection locked="0"/>
    </xf>
    <xf numFmtId="0" fontId="7" fillId="0" borderId="25" xfId="0" applyFont="1" applyFill="1" applyBorder="1" applyAlignment="1" applyProtection="1">
      <alignment horizontal="center" vertical="center"/>
    </xf>
    <xf numFmtId="0" fontId="18" fillId="4" borderId="0" xfId="0" applyFont="1" applyFill="1" applyBorder="1" applyAlignment="1">
      <alignment horizontal="center" wrapText="1"/>
    </xf>
    <xf numFmtId="3" fontId="18" fillId="4" borderId="0" xfId="0" applyNumberFormat="1" applyFont="1" applyFill="1" applyBorder="1" applyAlignment="1">
      <alignment horizontal="center" wrapText="1"/>
    </xf>
    <xf numFmtId="170" fontId="18" fillId="4" borderId="0" xfId="0" applyNumberFormat="1" applyFont="1" applyFill="1" applyBorder="1" applyAlignment="1">
      <alignment horizontal="center" wrapText="1"/>
    </xf>
    <xf numFmtId="171" fontId="18" fillId="4" borderId="0" xfId="0" applyNumberFormat="1" applyFont="1" applyFill="1" applyBorder="1" applyAlignment="1">
      <alignment horizontal="center" wrapText="1"/>
    </xf>
    <xf numFmtId="4" fontId="18" fillId="4" borderId="0" xfId="0" applyNumberFormat="1" applyFont="1" applyFill="1" applyBorder="1" applyAlignment="1">
      <alignment horizontal="center" wrapText="1"/>
    </xf>
    <xf numFmtId="168" fontId="18" fillId="4" borderId="0" xfId="0" applyNumberFormat="1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20" fillId="0" borderId="0" xfId="0" applyFont="1" applyFill="1" applyBorder="1" applyAlignment="1"/>
    <xf numFmtId="3" fontId="20" fillId="0" borderId="0" xfId="0" applyNumberFormat="1" applyFont="1" applyFill="1" applyBorder="1" applyAlignment="1"/>
    <xf numFmtId="170" fontId="20" fillId="0" borderId="0" xfId="0" applyNumberFormat="1" applyFont="1" applyFill="1" applyBorder="1" applyAlignment="1"/>
    <xf numFmtId="171" fontId="20" fillId="0" borderId="0" xfId="0" applyNumberFormat="1" applyFont="1" applyFill="1" applyBorder="1" applyAlignment="1"/>
    <xf numFmtId="4" fontId="20" fillId="0" borderId="0" xfId="0" applyNumberFormat="1" applyFont="1" applyFill="1" applyBorder="1" applyAlignment="1"/>
    <xf numFmtId="168" fontId="20" fillId="0" borderId="0" xfId="0" applyNumberFormat="1" applyFont="1" applyFill="1" applyBorder="1" applyAlignment="1"/>
    <xf numFmtId="169" fontId="12" fillId="5" borderId="15" xfId="1" applyNumberFormat="1" applyFont="1" applyFill="1" applyBorder="1" applyAlignment="1" applyProtection="1">
      <alignment horizontal="center" vertical="center" wrapText="1"/>
    </xf>
    <xf numFmtId="169" fontId="12" fillId="5" borderId="17" xfId="1" applyNumberFormat="1" applyFont="1" applyFill="1" applyBorder="1" applyAlignment="1" applyProtection="1">
      <alignment horizontal="center" vertical="center" wrapText="1"/>
    </xf>
    <xf numFmtId="49" fontId="18" fillId="4" borderId="0" xfId="0" applyNumberFormat="1" applyFont="1" applyFill="1" applyBorder="1" applyAlignment="1">
      <alignment horizontal="center" wrapText="1"/>
    </xf>
    <xf numFmtId="49" fontId="20" fillId="0" borderId="0" xfId="0" applyNumberFormat="1" applyFont="1" applyFill="1" applyBorder="1" applyAlignment="1"/>
    <xf numFmtId="173" fontId="0" fillId="0" borderId="0" xfId="3" applyNumberFormat="1" applyFont="1"/>
    <xf numFmtId="165" fontId="10" fillId="5" borderId="29" xfId="1" applyNumberFormat="1" applyFont="1" applyFill="1" applyBorder="1" applyAlignment="1" applyProtection="1">
      <alignment horizontal="center" vertical="center"/>
    </xf>
    <xf numFmtId="165" fontId="10" fillId="5" borderId="30" xfId="1" applyNumberFormat="1" applyFont="1" applyFill="1" applyBorder="1" applyAlignment="1" applyProtection="1">
      <alignment horizontal="center" vertical="center"/>
    </xf>
    <xf numFmtId="165" fontId="10" fillId="5" borderId="28" xfId="1" applyNumberFormat="1" applyFont="1" applyFill="1" applyBorder="1" applyAlignment="1" applyProtection="1">
      <alignment horizontal="center" vertical="center"/>
    </xf>
    <xf numFmtId="173" fontId="10" fillId="5" borderId="22" xfId="3" applyNumberFormat="1" applyFont="1" applyFill="1" applyBorder="1" applyAlignment="1" applyProtection="1">
      <alignment vertical="center" wrapText="1"/>
    </xf>
    <xf numFmtId="172" fontId="10" fillId="5" borderId="22" xfId="3" applyNumberFormat="1" applyFont="1" applyFill="1" applyBorder="1" applyAlignment="1" applyProtection="1">
      <alignment vertical="center" wrapText="1"/>
    </xf>
    <xf numFmtId="172" fontId="10" fillId="5" borderId="31" xfId="3" applyNumberFormat="1" applyFont="1" applyFill="1" applyBorder="1" applyAlignment="1" applyProtection="1">
      <alignment vertical="center" wrapText="1"/>
    </xf>
    <xf numFmtId="165" fontId="6" fillId="3" borderId="0" xfId="1" applyNumberFormat="1" applyFont="1" applyFill="1" applyBorder="1" applyAlignment="1" applyProtection="1">
      <alignment horizontal="center" vertical="center" wrapText="1"/>
    </xf>
    <xf numFmtId="165" fontId="15" fillId="3" borderId="0" xfId="1" applyNumberFormat="1" applyFont="1" applyFill="1" applyBorder="1" applyAlignment="1" applyProtection="1">
      <alignment horizontal="center" vertical="center" wrapText="1"/>
    </xf>
    <xf numFmtId="165" fontId="15" fillId="3" borderId="19" xfId="1" applyNumberFormat="1" applyFont="1" applyFill="1" applyBorder="1" applyAlignment="1" applyProtection="1">
      <alignment horizontal="center" vertical="center" wrapText="1"/>
    </xf>
    <xf numFmtId="165" fontId="3" fillId="0" borderId="20" xfId="1" applyNumberFormat="1" applyFont="1" applyFill="1" applyBorder="1" applyAlignment="1" applyProtection="1">
      <alignment horizontal="center" vertical="center"/>
    </xf>
    <xf numFmtId="6" fontId="10" fillId="2" borderId="34" xfId="1" applyNumberFormat="1" applyFont="1" applyFill="1" applyBorder="1" applyAlignment="1" applyProtection="1">
      <alignment horizontal="center" vertical="top" wrapText="1"/>
    </xf>
    <xf numFmtId="165" fontId="3" fillId="0" borderId="34" xfId="1" applyNumberFormat="1" applyFont="1" applyFill="1" applyBorder="1" applyAlignment="1" applyProtection="1">
      <alignment horizontal="center" vertical="center"/>
    </xf>
    <xf numFmtId="165" fontId="3" fillId="0" borderId="12" xfId="1" applyNumberFormat="1" applyFont="1" applyFill="1" applyBorder="1" applyAlignment="1" applyProtection="1">
      <alignment horizontal="center" vertical="center"/>
    </xf>
    <xf numFmtId="6" fontId="10" fillId="2" borderId="31" xfId="1" applyNumberFormat="1" applyFont="1" applyFill="1" applyBorder="1" applyAlignment="1" applyProtection="1">
      <alignment horizontal="center" vertical="top" wrapText="1"/>
    </xf>
    <xf numFmtId="6" fontId="10" fillId="2" borderId="14" xfId="1" applyNumberFormat="1" applyFont="1" applyFill="1" applyBorder="1" applyAlignment="1" applyProtection="1">
      <alignment horizontal="center" vertical="top" wrapText="1"/>
    </xf>
    <xf numFmtId="6" fontId="10" fillId="2" borderId="16" xfId="1" applyNumberFormat="1" applyFont="1" applyFill="1" applyBorder="1" applyAlignment="1" applyProtection="1">
      <alignment horizontal="center" vertical="top" wrapText="1"/>
    </xf>
    <xf numFmtId="165" fontId="10" fillId="5" borderId="22" xfId="1" applyNumberFormat="1" applyFont="1" applyFill="1" applyBorder="1" applyAlignment="1" applyProtection="1">
      <alignment horizontal="center" vertical="center"/>
    </xf>
    <xf numFmtId="165" fontId="12" fillId="5" borderId="22" xfId="1" applyNumberFormat="1" applyFont="1" applyFill="1" applyBorder="1" applyAlignment="1" applyProtection="1">
      <alignment horizontal="center" vertical="center"/>
    </xf>
    <xf numFmtId="0" fontId="12" fillId="5" borderId="22" xfId="0" applyFont="1" applyFill="1" applyBorder="1" applyAlignment="1" applyProtection="1">
      <alignment horizontal="center" vertical="center"/>
    </xf>
    <xf numFmtId="165" fontId="12" fillId="5" borderId="22" xfId="1" applyNumberFormat="1" applyFont="1" applyFill="1" applyBorder="1" applyAlignment="1" applyProtection="1">
      <alignment horizontal="center" vertical="top" wrapText="1"/>
    </xf>
    <xf numFmtId="165" fontId="10" fillId="0" borderId="39" xfId="1" applyNumberFormat="1" applyFont="1" applyFill="1" applyBorder="1" applyAlignment="1" applyProtection="1">
      <alignment horizontal="center" vertical="center"/>
    </xf>
    <xf numFmtId="0" fontId="15" fillId="5" borderId="35" xfId="0" applyFont="1" applyFill="1" applyBorder="1" applyAlignment="1" applyProtection="1">
      <alignment horizontal="center" vertical="center"/>
    </xf>
    <xf numFmtId="0" fontId="14" fillId="2" borderId="37" xfId="0" applyFont="1" applyFill="1" applyBorder="1" applyAlignment="1" applyProtection="1">
      <alignment horizontal="left"/>
    </xf>
    <xf numFmtId="0" fontId="14" fillId="2" borderId="36" xfId="0" applyFont="1" applyFill="1" applyBorder="1" applyAlignment="1" applyProtection="1">
      <alignment horizontal="left" vertical="top"/>
    </xf>
    <xf numFmtId="0" fontId="14" fillId="2" borderId="37" xfId="0" applyFont="1" applyFill="1" applyBorder="1" applyAlignment="1" applyProtection="1">
      <alignment horizontal="left" vertical="top"/>
    </xf>
    <xf numFmtId="0" fontId="7" fillId="2" borderId="36" xfId="0" applyFont="1" applyFill="1" applyBorder="1" applyAlignment="1" applyProtection="1">
      <alignment horizontal="left" vertical="top"/>
    </xf>
    <xf numFmtId="0" fontId="14" fillId="2" borderId="37" xfId="0" applyFont="1" applyFill="1" applyBorder="1" applyAlignment="1" applyProtection="1">
      <alignment horizontal="left" vertical="center"/>
    </xf>
    <xf numFmtId="2" fontId="12" fillId="5" borderId="15" xfId="1" applyNumberFormat="1" applyFont="1" applyFill="1" applyBorder="1" applyAlignment="1" applyProtection="1">
      <alignment horizontal="center" vertical="center" wrapText="1"/>
    </xf>
    <xf numFmtId="2" fontId="12" fillId="5" borderId="17" xfId="1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Alignment="1">
      <alignment wrapText="1"/>
    </xf>
    <xf numFmtId="0" fontId="15" fillId="2" borderId="0" xfId="1" applyNumberFormat="1" applyFont="1" applyFill="1" applyBorder="1" applyAlignment="1" applyProtection="1">
      <alignment horizontal="right" vertical="top" wrapText="1"/>
    </xf>
    <xf numFmtId="0" fontId="13" fillId="2" borderId="0" xfId="0" applyFont="1" applyFill="1" applyBorder="1" applyAlignment="1" applyProtection="1">
      <alignment vertical="top" wrapText="1"/>
    </xf>
    <xf numFmtId="0" fontId="2" fillId="3" borderId="23" xfId="0" applyFont="1" applyFill="1" applyBorder="1" applyAlignment="1" applyProtection="1">
      <alignment horizontal="center" vertical="center"/>
    </xf>
    <xf numFmtId="0" fontId="2" fillId="3" borderId="18" xfId="0" applyFont="1" applyFill="1" applyBorder="1" applyAlignment="1" applyProtection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</xf>
    <xf numFmtId="0" fontId="2" fillId="3" borderId="9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right" vertical="top" wrapText="1"/>
    </xf>
    <xf numFmtId="0" fontId="12" fillId="5" borderId="33" xfId="0" applyFont="1" applyFill="1" applyBorder="1" applyAlignment="1" applyProtection="1">
      <alignment vertical="center" wrapText="1"/>
    </xf>
    <xf numFmtId="0" fontId="12" fillId="5" borderId="3" xfId="0" applyFont="1" applyFill="1" applyBorder="1" applyAlignment="1" applyProtection="1">
      <alignment vertical="center" wrapText="1"/>
    </xf>
    <xf numFmtId="0" fontId="12" fillId="5" borderId="4" xfId="0" applyFont="1" applyFill="1" applyBorder="1" applyAlignment="1" applyProtection="1">
      <alignment vertical="center" wrapText="1"/>
    </xf>
    <xf numFmtId="0" fontId="12" fillId="5" borderId="22" xfId="0" applyFont="1" applyFill="1" applyBorder="1" applyAlignment="1" applyProtection="1">
      <alignment vertical="center" wrapText="1"/>
    </xf>
    <xf numFmtId="0" fontId="12" fillId="5" borderId="27" xfId="0" applyFont="1" applyFill="1" applyBorder="1" applyAlignment="1" applyProtection="1">
      <alignment vertical="center" wrapText="1"/>
    </xf>
    <xf numFmtId="0" fontId="12" fillId="5" borderId="17" xfId="0" applyFont="1" applyFill="1" applyBorder="1" applyAlignment="1" applyProtection="1">
      <alignment vertical="center" wrapText="1"/>
    </xf>
    <xf numFmtId="0" fontId="12" fillId="5" borderId="24" xfId="0" applyFont="1" applyFill="1" applyBorder="1" applyAlignment="1" applyProtection="1">
      <alignment vertical="center" wrapText="1"/>
    </xf>
    <xf numFmtId="0" fontId="12" fillId="2" borderId="4" xfId="0" applyFont="1" applyFill="1" applyBorder="1" applyAlignment="1" applyProtection="1">
      <alignment horizontal="left" vertical="center" wrapText="1"/>
    </xf>
    <xf numFmtId="0" fontId="12" fillId="2" borderId="21" xfId="0" applyFont="1" applyFill="1" applyBorder="1" applyAlignment="1" applyProtection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</xf>
    <xf numFmtId="0" fontId="12" fillId="2" borderId="31" xfId="0" applyFont="1" applyFill="1" applyBorder="1" applyAlignment="1" applyProtection="1">
      <alignment horizontal="left" vertical="center" wrapText="1"/>
    </xf>
    <xf numFmtId="0" fontId="10" fillId="2" borderId="1" xfId="0" applyFont="1" applyFill="1" applyBorder="1" applyAlignment="1" applyProtection="1">
      <alignment horizontal="left" vertical="center" wrapText="1" indent="1"/>
    </xf>
    <xf numFmtId="0" fontId="10" fillId="2" borderId="8" xfId="0" applyFont="1" applyFill="1" applyBorder="1" applyAlignment="1" applyProtection="1">
      <alignment horizontal="left" vertical="center" wrapText="1" indent="1"/>
    </xf>
    <xf numFmtId="165" fontId="10" fillId="5" borderId="15" xfId="1" applyNumberFormat="1" applyFont="1" applyFill="1" applyBorder="1" applyAlignment="1" applyProtection="1">
      <alignment horizontal="center" vertical="center" wrapText="1"/>
    </xf>
    <xf numFmtId="165" fontId="10" fillId="5" borderId="17" xfId="1" applyNumberFormat="1" applyFont="1" applyFill="1" applyBorder="1" applyAlignment="1" applyProtection="1">
      <alignment horizontal="center" vertical="center" wrapText="1"/>
    </xf>
    <xf numFmtId="165" fontId="12" fillId="5" borderId="24" xfId="1" applyNumberFormat="1" applyFont="1" applyFill="1" applyBorder="1" applyAlignment="1" applyProtection="1">
      <alignment horizontal="center" vertical="center"/>
    </xf>
    <xf numFmtId="0" fontId="10" fillId="2" borderId="26" xfId="0" applyFont="1" applyFill="1" applyBorder="1" applyAlignment="1" applyProtection="1">
      <alignment horizontal="left" vertical="center" wrapText="1"/>
    </xf>
    <xf numFmtId="0" fontId="10" fillId="2" borderId="21" xfId="0" applyFont="1" applyFill="1" applyBorder="1" applyAlignment="1" applyProtection="1">
      <alignment horizontal="left" vertical="center" wrapText="1"/>
    </xf>
    <xf numFmtId="165" fontId="15" fillId="3" borderId="45" xfId="1" applyNumberFormat="1" applyFont="1" applyFill="1" applyBorder="1" applyAlignment="1" applyProtection="1">
      <alignment horizontal="center" vertical="center" wrapText="1"/>
    </xf>
    <xf numFmtId="0" fontId="10" fillId="5" borderId="40" xfId="0" applyFont="1" applyFill="1" applyBorder="1" applyAlignment="1" applyProtection="1">
      <alignment vertical="center" wrapText="1"/>
    </xf>
    <xf numFmtId="0" fontId="10" fillId="5" borderId="41" xfId="0" applyFont="1" applyFill="1" applyBorder="1" applyAlignment="1" applyProtection="1">
      <alignment vertical="center" wrapText="1"/>
    </xf>
    <xf numFmtId="0" fontId="10" fillId="5" borderId="28" xfId="0" applyFont="1" applyFill="1" applyBorder="1" applyAlignment="1" applyProtection="1">
      <alignment vertical="center" wrapText="1"/>
    </xf>
    <xf numFmtId="0" fontId="21" fillId="5" borderId="37" xfId="0" applyFont="1" applyFill="1" applyBorder="1" applyAlignment="1" applyProtection="1">
      <alignment horizontal="center" vertical="center"/>
    </xf>
    <xf numFmtId="0" fontId="21" fillId="5" borderId="35" xfId="0" applyFont="1" applyFill="1" applyBorder="1" applyAlignment="1" applyProtection="1">
      <alignment horizontal="center" vertical="center"/>
    </xf>
    <xf numFmtId="0" fontId="21" fillId="5" borderId="38" xfId="0" applyFont="1" applyFill="1" applyBorder="1" applyAlignment="1" applyProtection="1">
      <alignment horizontal="center" vertical="center"/>
    </xf>
    <xf numFmtId="0" fontId="7" fillId="5" borderId="36" xfId="0" applyFont="1" applyFill="1" applyBorder="1" applyAlignment="1" applyProtection="1">
      <alignment horizontal="left" vertical="top"/>
    </xf>
    <xf numFmtId="0" fontId="22" fillId="5" borderId="37" xfId="0" applyFont="1" applyFill="1" applyBorder="1" applyAlignment="1" applyProtection="1">
      <alignment horizontal="center" vertical="center"/>
    </xf>
    <xf numFmtId="0" fontId="4" fillId="5" borderId="42" xfId="0" applyFont="1" applyFill="1" applyBorder="1" applyAlignment="1" applyProtection="1">
      <alignment horizontal="left" vertical="center" wrapText="1"/>
    </xf>
    <xf numFmtId="0" fontId="4" fillId="5" borderId="43" xfId="0" applyFont="1" applyFill="1" applyBorder="1" applyAlignment="1" applyProtection="1">
      <alignment horizontal="left" vertical="center" wrapText="1"/>
    </xf>
    <xf numFmtId="0" fontId="4" fillId="5" borderId="44" xfId="0" applyFont="1" applyFill="1" applyBorder="1" applyAlignment="1" applyProtection="1">
      <alignment horizontal="left" vertical="center" wrapText="1"/>
    </xf>
    <xf numFmtId="0" fontId="4" fillId="5" borderId="11" xfId="0" applyFont="1" applyFill="1" applyBorder="1" applyAlignment="1" applyProtection="1">
      <alignment horizontal="left" vertical="center" wrapText="1"/>
    </xf>
    <xf numFmtId="0" fontId="5" fillId="5" borderId="10" xfId="0" applyFont="1" applyFill="1" applyBorder="1" applyAlignment="1" applyProtection="1">
      <alignment horizontal="center" vertical="top" wrapText="1"/>
    </xf>
    <xf numFmtId="0" fontId="12" fillId="0" borderId="1" xfId="0" applyFont="1" applyFill="1" applyBorder="1" applyAlignment="1" applyProtection="1">
      <alignment horizontal="left" vertical="center" wrapText="1" indent="1"/>
    </xf>
    <xf numFmtId="165" fontId="15" fillId="0" borderId="0" xfId="1" applyNumberFormat="1" applyFont="1" applyFill="1" applyBorder="1" applyAlignment="1" applyProtection="1">
      <alignment horizontal="center" vertical="center"/>
    </xf>
    <xf numFmtId="165" fontId="10" fillId="5" borderId="45" xfId="1" applyNumberFormat="1" applyFont="1" applyFill="1" applyBorder="1" applyAlignment="1" applyProtection="1">
      <alignment horizontal="center" vertical="center"/>
    </xf>
    <xf numFmtId="165" fontId="15" fillId="3" borderId="36" xfId="1" applyNumberFormat="1" applyFont="1" applyFill="1" applyBorder="1" applyAlignment="1" applyProtection="1">
      <alignment horizontal="center" vertical="center" wrapText="1"/>
    </xf>
    <xf numFmtId="165" fontId="15" fillId="3" borderId="37" xfId="1" applyNumberFormat="1" applyFont="1" applyFill="1" applyBorder="1" applyAlignment="1" applyProtection="1">
      <alignment horizontal="center" vertical="center" wrapText="1"/>
    </xf>
    <xf numFmtId="165" fontId="15" fillId="3" borderId="38" xfId="1" applyNumberFormat="1" applyFont="1" applyFill="1" applyBorder="1" applyAlignment="1" applyProtection="1">
      <alignment horizontal="center" vertical="center" wrapText="1"/>
    </xf>
    <xf numFmtId="165" fontId="23" fillId="3" borderId="37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0" fillId="5" borderId="32" xfId="0" applyFont="1" applyFill="1" applyBorder="1" applyAlignment="1" applyProtection="1">
      <alignment vertical="center" wrapText="1"/>
    </xf>
    <xf numFmtId="0" fontId="10" fillId="5" borderId="26" xfId="0" applyFont="1" applyFill="1" applyBorder="1" applyAlignment="1" applyProtection="1">
      <alignment vertical="center" wrapText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"/>
  <sheetViews>
    <sheetView workbookViewId="0">
      <pane ySplit="1" topLeftCell="A2" activePane="bottomLeft" state="frozen"/>
      <selection pane="bottomLeft" sqref="A1:XFD1"/>
    </sheetView>
  </sheetViews>
  <sheetFormatPr defaultRowHeight="12.75"/>
  <cols>
    <col min="1" max="1" width="89.5703125" customWidth="1"/>
    <col min="2" max="2" width="70" bestFit="1" customWidth="1"/>
  </cols>
  <sheetData>
    <row r="2" spans="1:1" ht="178.5">
      <c r="A2" s="163" t="s">
        <v>2114</v>
      </c>
    </row>
  </sheetData>
  <sheetProtection sheet="1" objects="1" scenarios="1"/>
  <phoneticPr fontId="17" type="noConversion"/>
  <printOptions horizontalCentered="1"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53" enableFormatConditionsCalculation="0">
    <tabColor indexed="47"/>
    <pageSetUpPr fitToPage="1"/>
  </sheetPr>
  <dimension ref="A1:AG135"/>
  <sheetViews>
    <sheetView tabSelected="1" zoomScale="40" zoomScaleNormal="40" zoomScaleSheetLayoutView="25" workbookViewId="0">
      <selection activeCell="D2" sqref="D2"/>
    </sheetView>
  </sheetViews>
  <sheetFormatPr defaultRowHeight="23.25"/>
  <cols>
    <col min="1" max="1" width="13.85546875" style="8" customWidth="1"/>
    <col min="2" max="2" width="63.5703125" style="2" customWidth="1"/>
    <col min="3" max="3" width="2.7109375" style="3" customWidth="1"/>
    <col min="4" max="4" width="40.28515625" style="14" customWidth="1"/>
    <col min="5" max="5" width="35.42578125" style="15" customWidth="1"/>
    <col min="6" max="6" width="36.7109375" style="16" customWidth="1"/>
    <col min="7" max="7" width="20.7109375" style="14" hidden="1" customWidth="1"/>
    <col min="8" max="8" width="54.28515625" style="14" customWidth="1"/>
    <col min="9" max="9" width="36.5703125" style="14" customWidth="1"/>
    <col min="10" max="10" width="98.5703125" style="17" customWidth="1"/>
    <col min="11" max="11" width="14.140625" style="15" bestFit="1" customWidth="1"/>
    <col min="12" max="12" width="9.140625" style="15"/>
    <col min="13" max="13" width="15.42578125" style="8" bestFit="1" customWidth="1"/>
    <col min="14" max="16384" width="9.140625" style="8"/>
  </cols>
  <sheetData>
    <row r="1" spans="1:32">
      <c r="A1" s="1"/>
      <c r="D1" s="4"/>
      <c r="E1" s="5"/>
      <c r="F1" s="6"/>
      <c r="G1" s="4"/>
      <c r="H1" s="4"/>
      <c r="I1" s="4"/>
      <c r="J1" s="7"/>
      <c r="K1" s="5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13" customFormat="1" ht="30">
      <c r="A2" s="9"/>
      <c r="B2" s="11" t="s">
        <v>2</v>
      </c>
      <c r="C2" s="85"/>
      <c r="D2" s="114"/>
      <c r="E2" s="10"/>
      <c r="F2" s="11" t="s">
        <v>0</v>
      </c>
      <c r="G2" s="12"/>
      <c r="H2" s="80" t="e">
        <f>LOOKUP(FinReview!D2,TEAData!A2:A1050,TEAData!B2:B1050)</f>
        <v>#N/A</v>
      </c>
      <c r="I2" s="12"/>
      <c r="J2" s="87"/>
      <c r="K2" s="10"/>
      <c r="L2" s="85"/>
      <c r="M2" s="86"/>
      <c r="N2" s="10"/>
      <c r="O2" s="10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s="13" customFormat="1" ht="30.75" thickBot="1">
      <c r="A3" s="9"/>
      <c r="B3" s="10"/>
      <c r="C3" s="85"/>
      <c r="D3" s="86"/>
      <c r="E3" s="10"/>
      <c r="F3" s="11"/>
      <c r="G3" s="12"/>
      <c r="H3" s="12"/>
      <c r="I3" s="12"/>
      <c r="J3" s="67"/>
      <c r="K3" s="10"/>
      <c r="L3" s="10"/>
      <c r="M3" s="10"/>
      <c r="N3" s="10"/>
      <c r="O3" s="10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s="20" customFormat="1" ht="30" customHeight="1">
      <c r="A4" s="18"/>
      <c r="B4" s="166"/>
      <c r="C4" s="167"/>
      <c r="D4" s="167"/>
      <c r="E4" s="167"/>
      <c r="F4" s="168"/>
      <c r="G4" s="168"/>
      <c r="H4" s="168"/>
      <c r="I4" s="168"/>
      <c r="J4" s="16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s="26" customFormat="1" ht="102" thickBot="1">
      <c r="A5" s="21"/>
      <c r="B5" s="201" t="s">
        <v>2092</v>
      </c>
      <c r="C5" s="202"/>
      <c r="D5" s="88" t="s">
        <v>21</v>
      </c>
      <c r="E5" s="93" t="s">
        <v>22</v>
      </c>
      <c r="F5" s="93"/>
      <c r="G5" s="140"/>
      <c r="H5" s="141"/>
      <c r="I5" s="94"/>
      <c r="J5" s="115" t="s">
        <v>28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spans="1:32" s="38" customFormat="1" ht="54.95" customHeight="1">
      <c r="A6" s="35"/>
      <c r="B6" s="182" t="s">
        <v>2104</v>
      </c>
      <c r="C6" s="57"/>
      <c r="D6" s="97"/>
      <c r="E6" s="137" t="e">
        <f>LOOKUP(FinReview!D2,TEAData!A2:A1050,TEAData!C2:C1050)</f>
        <v>#N/A</v>
      </c>
      <c r="F6" s="147"/>
      <c r="G6" s="145"/>
      <c r="H6" s="144"/>
      <c r="I6" s="61"/>
      <c r="J6" s="157"/>
      <c r="K6" s="37"/>
      <c r="L6" s="37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s="38" customFormat="1" ht="54.95" customHeight="1">
      <c r="A7" s="35"/>
      <c r="B7" s="36" t="s">
        <v>20</v>
      </c>
      <c r="C7" s="57"/>
      <c r="D7" s="96"/>
      <c r="E7" s="138" t="e">
        <f>LOOKUP(FinReview!D2,TEAData!A2:A1050,TEAData!D2:D1050)</f>
        <v>#N/A</v>
      </c>
      <c r="F7" s="148"/>
      <c r="G7" s="61"/>
      <c r="H7" s="42"/>
      <c r="I7" s="43"/>
      <c r="J7" s="158"/>
      <c r="K7" s="37"/>
      <c r="L7" s="37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s="38" customFormat="1" ht="54.95" customHeight="1">
      <c r="A8" s="35"/>
      <c r="B8" s="36" t="s">
        <v>10</v>
      </c>
      <c r="C8" s="57"/>
      <c r="D8" s="96"/>
      <c r="E8" s="138" t="e">
        <f>LOOKUP(FinReview!D2,TEAData!A2:A1050,TEAData!E2:E1050)</f>
        <v>#N/A</v>
      </c>
      <c r="F8" s="148"/>
      <c r="G8" s="61"/>
      <c r="H8" s="42"/>
      <c r="I8" s="43"/>
      <c r="J8" s="158"/>
      <c r="K8" s="37"/>
      <c r="L8" s="37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s="38" customFormat="1" ht="54.95" customHeight="1">
      <c r="A9" s="35"/>
      <c r="B9" s="36" t="s">
        <v>3</v>
      </c>
      <c r="C9" s="57"/>
      <c r="D9" s="98"/>
      <c r="E9" s="139" t="e">
        <f>LOOKUP(FinReview!D2,TEAData!A2:A1050,TEAData!F2:F1050)</f>
        <v>#N/A</v>
      </c>
      <c r="F9" s="149"/>
      <c r="G9" s="146"/>
      <c r="H9" s="146"/>
      <c r="I9" s="90"/>
      <c r="J9" s="158"/>
      <c r="K9" s="37"/>
      <c r="L9" s="37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s="38" customFormat="1" ht="54.95" customHeight="1" thickBot="1">
      <c r="A10" s="35"/>
      <c r="B10" s="36"/>
      <c r="C10" s="57"/>
      <c r="D10" s="92" t="s">
        <v>21</v>
      </c>
      <c r="E10" s="95" t="s">
        <v>22</v>
      </c>
      <c r="F10" s="142" t="s">
        <v>2097</v>
      </c>
      <c r="G10" s="143"/>
      <c r="H10" s="142" t="s">
        <v>2096</v>
      </c>
      <c r="I10" s="189" t="s">
        <v>19</v>
      </c>
      <c r="J10" s="158"/>
      <c r="K10" s="37"/>
      <c r="L10" s="37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s="38" customFormat="1" ht="54.95" customHeight="1" thickBot="1">
      <c r="A11" s="35"/>
      <c r="B11" s="182" t="s">
        <v>2093</v>
      </c>
      <c r="C11" s="57"/>
      <c r="D11" s="161" t="e">
        <f>D7/D8</f>
        <v>#DIV/0!</v>
      </c>
      <c r="E11" s="129" t="e">
        <f>E7/E8</f>
        <v>#N/A</v>
      </c>
      <c r="F11" s="108" t="e">
        <f>IF(FinReview!E6&gt;=Average!B12,Average!C12,IF(FinReview!E6&gt;=Average!B11,Average!C11,IF(FinReview!E6&gt;=Average!B10,Average!C10,IF(FinReview!E6&gt;=Average!B9,Average!C9,IF(FinReview!E6&gt;=Average!B8,Average!C8,IF(FinReview!E6&gt;=Average!B7,Average!C7, IF(FinReview!E6&gt;=Average!B6,Average!C6,IF(FinReview!E6&gt;=Average!B5,Average!C5,IF(FinReview!E6&gt;=Average!B4,Average!C4,IF(FinReview!E6&gt;=Average!B3,Average!C3,IF(FinReview!E6&gt;=Average!B2,Average!C2,0)))))))))))</f>
        <v>#N/A</v>
      </c>
      <c r="G11" s="91"/>
      <c r="H11" s="184" t="s">
        <v>2118</v>
      </c>
      <c r="I11" s="151" t="e">
        <f>IF(OR(D11&lt;F11*0.85,D11&lt;E11-(E11*0.07)),"Yes","No")</f>
        <v>#DIV/0!</v>
      </c>
      <c r="J11" s="194" t="s">
        <v>2119</v>
      </c>
      <c r="K11" s="37"/>
      <c r="L11" s="37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s="38" customFormat="1" ht="54.95" customHeight="1" thickBot="1">
      <c r="A12" s="35"/>
      <c r="B12" s="183" t="s">
        <v>2094</v>
      </c>
      <c r="C12" s="60"/>
      <c r="D12" s="162" t="e">
        <f>D6/D9</f>
        <v>#DIV/0!</v>
      </c>
      <c r="E12" s="130" t="e">
        <f>E6/E9</f>
        <v>#N/A</v>
      </c>
      <c r="F12" s="109" t="e">
        <f>IF(FinReview!E6&gt;=Average!B12,Average!D12,IF(FinReview!E6&gt;=Average!B11,Average!D11,IF(FinReview!E6&gt;=Average!B10,Average!D10,IF(FinReview!E6&gt;=Average!B9,Average!D9,IF(FinReview!E6&gt;=Average!B8,Average!D8,IF(FinReview!E6&gt;=Average!B7,Average!D7,IF(FinReview!E6&gt;=Average!B6,Average!D6,IF(FinReview!E6&gt;=Average!B5,Average!D5,IF(FinReview!E6&gt;=Average!B4,Average!D4,IF(FinReview!E6&gt;=Average!B3,Average!D3,IF(FinReview!E6&gt;=Average!B2,Average!D2,0)))))))))))</f>
        <v>#N/A</v>
      </c>
      <c r="G12" s="89"/>
      <c r="H12" s="185" t="s">
        <v>2118</v>
      </c>
      <c r="I12" s="186" t="e">
        <f>IF(OR(D12&lt;F12*0.85,D12&lt;E12-(E12*0.07)),"Yes","No")</f>
        <v>#DIV/0!</v>
      </c>
      <c r="J12" s="194" t="str">
        <f>IF(COUNTIF(I11:I12,"Yes")&gt;1,"Yes","No")</f>
        <v>No</v>
      </c>
      <c r="K12" s="37"/>
      <c r="L12" s="37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s="82" customFormat="1" ht="30.75" thickBot="1">
      <c r="A13" s="75"/>
      <c r="B13" s="76"/>
      <c r="C13" s="77"/>
      <c r="D13" s="78"/>
      <c r="E13" s="76"/>
      <c r="F13" s="79"/>
      <c r="G13" s="80"/>
      <c r="H13" s="80"/>
      <c r="I13" s="90"/>
      <c r="J13" s="81"/>
      <c r="K13" s="76"/>
      <c r="L13" s="76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</row>
    <row r="14" spans="1:32" s="20" customFormat="1" ht="30" customHeight="1">
      <c r="A14" s="18"/>
      <c r="B14" s="166"/>
      <c r="C14" s="167"/>
      <c r="D14" s="167"/>
      <c r="E14" s="167"/>
      <c r="F14" s="167"/>
      <c r="G14" s="167"/>
      <c r="H14" s="167"/>
      <c r="I14" s="167"/>
      <c r="J14" s="16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s="26" customFormat="1" ht="102" thickBot="1">
      <c r="A15" s="21"/>
      <c r="B15" s="201" t="s">
        <v>2095</v>
      </c>
      <c r="C15" s="22"/>
      <c r="D15" s="23" t="s">
        <v>30</v>
      </c>
      <c r="E15" s="23" t="s">
        <v>18</v>
      </c>
      <c r="F15" s="23" t="s">
        <v>27</v>
      </c>
      <c r="G15" s="24" t="s">
        <v>1</v>
      </c>
      <c r="H15" s="106" t="s">
        <v>31</v>
      </c>
      <c r="I15" s="107" t="s">
        <v>29</v>
      </c>
      <c r="J15" s="104" t="s">
        <v>28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s="26" customFormat="1" ht="15" customHeight="1">
      <c r="A16" s="21"/>
      <c r="B16" s="27"/>
      <c r="C16" s="28"/>
      <c r="D16" s="29"/>
      <c r="E16" s="30"/>
      <c r="F16" s="29"/>
      <c r="G16" s="31"/>
      <c r="H16" s="31"/>
      <c r="I16" s="31"/>
      <c r="J16" s="159"/>
      <c r="K16" s="25"/>
      <c r="L16" s="21"/>
      <c r="M16" s="21"/>
      <c r="N16" s="25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spans="1:32" s="26" customFormat="1" ht="54.95" customHeight="1">
      <c r="A17" s="21"/>
      <c r="B17" s="32" t="s">
        <v>4</v>
      </c>
      <c r="C17" s="28"/>
      <c r="D17" s="29"/>
      <c r="E17" s="28"/>
      <c r="F17" s="33"/>
      <c r="G17" s="34"/>
      <c r="H17" s="34"/>
      <c r="I17" s="34"/>
      <c r="J17" s="156"/>
      <c r="K17" s="25"/>
      <c r="L17" s="21"/>
      <c r="M17" s="21"/>
      <c r="N17" s="25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spans="1:32" s="38" customFormat="1" ht="54.95" customHeight="1" thickBot="1">
      <c r="A18" s="35"/>
      <c r="B18" s="36" t="s">
        <v>2090</v>
      </c>
      <c r="C18" s="57"/>
      <c r="D18" s="100"/>
      <c r="E18" s="100"/>
      <c r="F18" s="42"/>
      <c r="G18" s="43"/>
      <c r="H18" s="43"/>
      <c r="I18" s="43"/>
      <c r="J18" s="156"/>
      <c r="K18" s="37"/>
      <c r="L18" s="37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s="26" customFormat="1" ht="15" customHeight="1" thickBot="1">
      <c r="A19" s="21"/>
      <c r="B19" s="27"/>
      <c r="C19" s="28"/>
      <c r="D19" s="29"/>
      <c r="E19" s="30"/>
      <c r="F19" s="29"/>
      <c r="G19" s="31"/>
      <c r="H19" s="31"/>
      <c r="I19" s="31"/>
      <c r="J19" s="159"/>
      <c r="K19" s="25"/>
      <c r="L19" s="21"/>
      <c r="M19" s="21"/>
      <c r="N19" s="25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spans="1:32" s="38" customFormat="1" ht="54.95" customHeight="1" thickBot="1">
      <c r="A20" s="35"/>
      <c r="B20" s="45" t="s">
        <v>5</v>
      </c>
      <c r="C20" s="28"/>
      <c r="D20" s="29"/>
      <c r="E20" s="46"/>
      <c r="F20" s="47"/>
      <c r="G20" s="48"/>
      <c r="H20" s="90"/>
      <c r="I20" s="90"/>
      <c r="J20" s="156"/>
      <c r="K20" s="44"/>
      <c r="L20" s="37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s="38" customFormat="1" ht="54.95" customHeight="1" thickBot="1">
      <c r="A21" s="35"/>
      <c r="B21" s="36" t="s">
        <v>13</v>
      </c>
      <c r="C21" s="49"/>
      <c r="D21" s="100"/>
      <c r="E21" s="100"/>
      <c r="F21" s="47"/>
      <c r="G21" s="48"/>
      <c r="H21" s="90"/>
      <c r="I21" s="90"/>
      <c r="J21" s="160"/>
      <c r="K21" s="37"/>
      <c r="L21" s="37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s="26" customFormat="1" ht="15" customHeight="1" thickBot="1">
      <c r="A22" s="21"/>
      <c r="B22" s="27"/>
      <c r="C22" s="28"/>
      <c r="D22" s="29"/>
      <c r="E22" s="30"/>
      <c r="F22" s="29"/>
      <c r="G22" s="31"/>
      <c r="H22" s="31"/>
      <c r="I22" s="31"/>
      <c r="J22" s="159"/>
      <c r="K22" s="25"/>
      <c r="L22" s="21"/>
      <c r="M22" s="21"/>
      <c r="N22" s="25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spans="1:32" s="38" customFormat="1" ht="54.95" customHeight="1" thickBot="1">
      <c r="A23" s="35"/>
      <c r="B23" s="45" t="s">
        <v>6</v>
      </c>
      <c r="C23" s="49"/>
      <c r="D23" s="29"/>
      <c r="E23" s="41"/>
      <c r="F23" s="42"/>
      <c r="G23" s="50"/>
      <c r="H23" s="90"/>
      <c r="I23" s="90"/>
      <c r="J23" s="156"/>
      <c r="K23" s="37"/>
      <c r="L23" s="37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s="38" customFormat="1" ht="54.95" customHeight="1" thickBot="1">
      <c r="A24" s="35"/>
      <c r="B24" s="36" t="s">
        <v>14</v>
      </c>
      <c r="C24" s="51"/>
      <c r="D24" s="100"/>
      <c r="E24" s="100"/>
      <c r="F24" s="58"/>
      <c r="G24" s="103" t="e">
        <f>#REF!*#REF!</f>
        <v>#REF!</v>
      </c>
      <c r="H24" s="90"/>
      <c r="I24" s="90"/>
      <c r="J24" s="160"/>
      <c r="K24" s="37"/>
      <c r="L24" s="37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s="26" customFormat="1" ht="15" customHeight="1" thickBot="1">
      <c r="A25" s="21"/>
      <c r="B25" s="27"/>
      <c r="C25" s="28"/>
      <c r="D25" s="29"/>
      <c r="E25" s="30"/>
      <c r="F25" s="29"/>
      <c r="G25" s="31"/>
      <c r="H25" s="31"/>
      <c r="I25" s="31"/>
      <c r="J25" s="159"/>
      <c r="K25" s="25"/>
      <c r="L25" s="21"/>
      <c r="M25" s="21"/>
      <c r="N25" s="25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s="38" customFormat="1" ht="54.95" customHeight="1" thickBot="1">
      <c r="A26" s="35"/>
      <c r="B26" s="45" t="s">
        <v>7</v>
      </c>
      <c r="C26" s="28"/>
      <c r="D26" s="29"/>
      <c r="E26" s="53"/>
      <c r="F26" s="42"/>
      <c r="G26" s="48"/>
      <c r="H26" s="90"/>
      <c r="I26" s="90"/>
      <c r="J26" s="156"/>
      <c r="K26" s="44"/>
      <c r="L26" s="37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s="38" customFormat="1" ht="54.95" customHeight="1" thickBot="1">
      <c r="A27" s="35"/>
      <c r="B27" s="36" t="s">
        <v>15</v>
      </c>
      <c r="C27" s="54"/>
      <c r="D27" s="100"/>
      <c r="E27" s="100"/>
      <c r="F27" s="42"/>
      <c r="G27" s="48"/>
      <c r="H27" s="90"/>
      <c r="I27" s="90"/>
      <c r="J27" s="160"/>
      <c r="K27" s="37"/>
      <c r="L27" s="37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s="26" customFormat="1" ht="15" customHeight="1" thickBot="1">
      <c r="A28" s="21"/>
      <c r="B28" s="27"/>
      <c r="C28" s="28"/>
      <c r="D28" s="29"/>
      <c r="E28" s="30"/>
      <c r="F28" s="29"/>
      <c r="G28" s="31"/>
      <c r="H28" s="31"/>
      <c r="I28" s="31"/>
      <c r="J28" s="159"/>
      <c r="K28" s="25"/>
      <c r="L28" s="21"/>
      <c r="M28" s="21"/>
      <c r="N28" s="25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s="38" customFormat="1" ht="54.95" customHeight="1" thickBot="1">
      <c r="A29" s="35"/>
      <c r="B29" s="45" t="s">
        <v>8</v>
      </c>
      <c r="C29" s="54" t="s">
        <v>16</v>
      </c>
      <c r="D29" s="29"/>
      <c r="E29" s="46"/>
      <c r="F29" s="47"/>
      <c r="G29" s="50"/>
      <c r="H29" s="90"/>
      <c r="I29" s="90"/>
      <c r="J29" s="156"/>
      <c r="K29" s="37"/>
      <c r="L29" s="37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s="38" customFormat="1" ht="54.95" customHeight="1" thickBot="1">
      <c r="A30" s="35"/>
      <c r="B30" s="182" t="s">
        <v>2105</v>
      </c>
      <c r="C30" s="49"/>
      <c r="D30" s="102"/>
      <c r="E30" s="100"/>
      <c r="F30" s="58"/>
      <c r="G30" s="103" t="e">
        <f>#REF!*#REF!</f>
        <v>#REF!</v>
      </c>
      <c r="H30" s="90"/>
      <c r="I30" s="90"/>
      <c r="J30" s="160"/>
      <c r="K30" s="37"/>
      <c r="L30" s="37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s="26" customFormat="1" ht="15" customHeight="1" thickBot="1">
      <c r="A31" s="21"/>
      <c r="B31" s="27"/>
      <c r="C31" s="28"/>
      <c r="D31" s="29"/>
      <c r="E31" s="30"/>
      <c r="F31" s="29"/>
      <c r="G31" s="31"/>
      <c r="H31" s="31"/>
      <c r="I31" s="31"/>
      <c r="J31" s="159"/>
      <c r="K31" s="25"/>
      <c r="L31" s="21"/>
      <c r="M31" s="21"/>
      <c r="N31" s="25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38" customFormat="1" ht="54.95" customHeight="1" thickBot="1">
      <c r="A32" s="35"/>
      <c r="B32" s="45" t="s">
        <v>9</v>
      </c>
      <c r="C32" s="49"/>
      <c r="D32" s="29"/>
      <c r="E32" s="53"/>
      <c r="F32" s="42"/>
      <c r="G32" s="50"/>
      <c r="H32" s="90"/>
      <c r="I32" s="90"/>
      <c r="J32" s="156"/>
      <c r="K32" s="37"/>
      <c r="L32" s="37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s="38" customFormat="1" ht="54.95" customHeight="1" thickBot="1">
      <c r="A33" s="35"/>
      <c r="B33" s="36" t="s">
        <v>17</v>
      </c>
      <c r="C33" s="51"/>
      <c r="D33" s="100"/>
      <c r="E33" s="100"/>
      <c r="F33" s="42"/>
      <c r="G33" s="50"/>
      <c r="H33" s="90"/>
      <c r="I33" s="90"/>
      <c r="J33" s="156"/>
      <c r="K33" s="37"/>
      <c r="L33" s="37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s="26" customFormat="1" ht="15" customHeight="1" thickBot="1">
      <c r="A34" s="21"/>
      <c r="B34" s="27"/>
      <c r="C34" s="28"/>
      <c r="D34" s="29"/>
      <c r="E34" s="30"/>
      <c r="F34" s="29"/>
      <c r="G34" s="31"/>
      <c r="H34" s="31"/>
      <c r="I34" s="31"/>
      <c r="J34" s="159"/>
      <c r="K34" s="25"/>
      <c r="L34" s="21"/>
      <c r="M34" s="21"/>
      <c r="N34" s="25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spans="1:32" s="38" customFormat="1" ht="54.95" customHeight="1" thickBot="1">
      <c r="A35" s="35"/>
      <c r="B35" s="55" t="s">
        <v>11</v>
      </c>
      <c r="C35" s="28"/>
      <c r="D35" s="84"/>
      <c r="E35" s="83"/>
      <c r="F35" s="56"/>
      <c r="G35" s="48"/>
      <c r="H35" s="90"/>
      <c r="I35" s="90"/>
      <c r="J35" s="156"/>
      <c r="K35" s="44"/>
      <c r="L35" s="37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s="38" customFormat="1" ht="54.95" customHeight="1" thickBot="1">
      <c r="A36" s="35"/>
      <c r="B36" s="36"/>
      <c r="C36" s="57"/>
      <c r="D36" s="101">
        <f>SUM(D18+D21+D24+D27+D30+D33)</f>
        <v>0</v>
      </c>
      <c r="E36" s="101">
        <f>SUM(E18+E21+E24+E27+E30+E33)</f>
        <v>0</v>
      </c>
      <c r="F36" s="110" t="e">
        <f>LOOKUP(FinReview!D2,TEAData!A2:A1050,TEAData!J2:J1050)</f>
        <v>#N/A</v>
      </c>
      <c r="G36" s="111" t="e">
        <f>#REF!*#REF!</f>
        <v>#REF!</v>
      </c>
      <c r="H36" s="112" t="e">
        <f>LOOKUP(FinReview!D2,TEAData!A2:A1050,TEAData!K2:K1050)</f>
        <v>#N/A</v>
      </c>
      <c r="I36" s="150" t="e">
        <f>LOOKUP(FinReview!D2,TEAData!A2:A1050,TEAData!I2:I1050)</f>
        <v>#N/A</v>
      </c>
      <c r="J36" s="156"/>
      <c r="K36" s="37"/>
      <c r="L36" s="37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s="26" customFormat="1" ht="15" customHeight="1">
      <c r="A37" s="21"/>
      <c r="B37" s="27"/>
      <c r="C37" s="28"/>
      <c r="D37" s="29"/>
      <c r="E37" s="30"/>
      <c r="F37" s="29"/>
      <c r="G37" s="31"/>
      <c r="H37" s="31"/>
      <c r="I37" s="31"/>
      <c r="J37" s="159"/>
      <c r="K37" s="25"/>
      <c r="L37" s="21"/>
      <c r="M37" s="21"/>
      <c r="N37" s="25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pans="1:32" s="38" customFormat="1" ht="54.95" customHeight="1" thickBot="1">
      <c r="A38" s="35"/>
      <c r="B38" s="187" t="s">
        <v>2107</v>
      </c>
      <c r="C38" s="178"/>
      <c r="D38" s="178"/>
      <c r="E38" s="178"/>
      <c r="F38" s="178"/>
      <c r="G38" s="178"/>
      <c r="H38" s="178"/>
      <c r="I38" s="151" t="str">
        <f>IF(E36&gt;E46*1.06,"Yes","No")</f>
        <v>No</v>
      </c>
      <c r="J38" s="156"/>
      <c r="K38" s="37"/>
      <c r="L38" s="37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s="38" customFormat="1" ht="54.95" customHeight="1" thickBot="1">
      <c r="A39" s="35"/>
      <c r="B39" s="187" t="s">
        <v>2108</v>
      </c>
      <c r="C39" s="178"/>
      <c r="D39" s="178"/>
      <c r="E39" s="178"/>
      <c r="F39" s="178"/>
      <c r="G39" s="178"/>
      <c r="H39" s="178"/>
      <c r="I39" s="152" t="e">
        <f>IF(AND(E36&gt;E46*1.04,H36&gt;H46*1.03),"Yes","No")</f>
        <v>#N/A</v>
      </c>
      <c r="J39" s="194" t="s">
        <v>2120</v>
      </c>
      <c r="K39" s="37"/>
      <c r="L39" s="37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s="38" customFormat="1" ht="54.95" customHeight="1" thickBot="1">
      <c r="A40" s="35"/>
      <c r="B40" s="187" t="s">
        <v>2106</v>
      </c>
      <c r="C40" s="178"/>
      <c r="D40" s="178"/>
      <c r="E40" s="178"/>
      <c r="F40" s="178"/>
      <c r="G40" s="178"/>
      <c r="H40" s="178"/>
      <c r="I40" s="152" t="e">
        <f>IF(AND(E36&gt;E46,E49&lt;H49,E49&lt;E36*0.04),"Yes","No")</f>
        <v>#N/A</v>
      </c>
      <c r="J40" s="195" t="str">
        <f>IF(COUNTIF(I38:I40,"Yes")&gt;1,"Yes","No")</f>
        <v>No</v>
      </c>
      <c r="K40" s="37"/>
      <c r="L40" s="37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s="26" customFormat="1" ht="51" customHeight="1" thickBot="1">
      <c r="A41" s="21"/>
      <c r="B41" s="198" t="s">
        <v>2098</v>
      </c>
      <c r="C41" s="199"/>
      <c r="D41" s="199"/>
      <c r="E41" s="199"/>
      <c r="F41" s="199"/>
      <c r="G41" s="199"/>
      <c r="H41" s="200"/>
      <c r="I41" s="31"/>
      <c r="J41" s="159"/>
      <c r="K41" s="25"/>
      <c r="L41" s="21"/>
      <c r="M41" s="21"/>
      <c r="N41" s="25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spans="1:32" s="38" customFormat="1" ht="54.95" customHeight="1" thickBot="1">
      <c r="A42" s="35"/>
      <c r="B42" s="187" t="s">
        <v>2109</v>
      </c>
      <c r="C42" s="178"/>
      <c r="D42" s="178"/>
      <c r="E42" s="178"/>
      <c r="F42" s="178"/>
      <c r="G42" s="178"/>
      <c r="H42" s="178"/>
      <c r="I42" s="150" t="e">
        <f>IF(E36&gt;F36*1.1,"Yes","No")</f>
        <v>#N/A</v>
      </c>
      <c r="J42" s="194" t="s">
        <v>2121</v>
      </c>
      <c r="K42" s="37"/>
      <c r="L42" s="37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38" customFormat="1" ht="54.95" customHeight="1" thickBot="1">
      <c r="A43" s="35"/>
      <c r="B43" s="188" t="s">
        <v>2110</v>
      </c>
      <c r="C43" s="180"/>
      <c r="D43" s="180"/>
      <c r="E43" s="180"/>
      <c r="F43" s="180"/>
      <c r="G43" s="180"/>
      <c r="H43" s="180"/>
      <c r="I43" s="152" t="e">
        <f>IF(AND(E36&gt;F36*1.06,H36&gt;I36*1.04),"Yes","No")</f>
        <v>#N/A</v>
      </c>
      <c r="J43" s="193" t="str">
        <f>IF(COUNTIF(I42:I43,"Yes")&gt;1,"Yes","No")</f>
        <v>No</v>
      </c>
      <c r="K43" s="37"/>
      <c r="L43" s="37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26" customFormat="1" ht="51" customHeight="1" thickBot="1">
      <c r="A44" s="21"/>
      <c r="B44" s="198" t="s">
        <v>2123</v>
      </c>
      <c r="C44" s="199"/>
      <c r="D44" s="199"/>
      <c r="E44" s="199"/>
      <c r="F44" s="199"/>
      <c r="G44" s="199"/>
      <c r="H44" s="200"/>
      <c r="I44" s="31"/>
      <c r="J44" s="159"/>
      <c r="K44" s="25"/>
      <c r="L44" s="21"/>
      <c r="M44" s="21"/>
      <c r="N44" s="25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spans="1:32" s="38" customFormat="1" ht="54.95" customHeight="1" thickBot="1">
      <c r="A45" s="35"/>
      <c r="B45" s="45" t="s">
        <v>12</v>
      </c>
      <c r="C45" s="28"/>
      <c r="D45" s="29"/>
      <c r="E45" s="53"/>
      <c r="F45" s="42"/>
      <c r="G45" s="90"/>
      <c r="H45" s="90"/>
      <c r="I45" s="90"/>
      <c r="J45" s="156"/>
      <c r="K45" s="44"/>
      <c r="L45" s="37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38" customFormat="1" ht="54.95" customHeight="1" thickBot="1">
      <c r="A46" s="35"/>
      <c r="B46" s="36"/>
      <c r="C46" s="57"/>
      <c r="D46" s="100"/>
      <c r="E46" s="100"/>
      <c r="F46" s="112" t="e">
        <f>LOOKUP(FinReview!D2,TEAData!A2:A1050,TEAData!M2:M1050)</f>
        <v>#N/A</v>
      </c>
      <c r="G46" s="113" t="e">
        <f>#REF!*#REF!</f>
        <v>#REF!</v>
      </c>
      <c r="H46" s="112" t="e">
        <f>LOOKUP(FinReview!D2,TEAData!A2:A1050,TEAData!N2:N1050)</f>
        <v>#N/A</v>
      </c>
      <c r="I46" s="150" t="e">
        <f>LOOKUP(FinReview!D2,TEAData!A2:A1050,TEAData!M2:M1050)</f>
        <v>#N/A</v>
      </c>
      <c r="J46" s="156"/>
      <c r="K46" s="37"/>
      <c r="L46" s="37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26" customFormat="1" ht="15" customHeight="1" thickBot="1">
      <c r="A47" s="21"/>
      <c r="B47" s="27"/>
      <c r="C47" s="28"/>
      <c r="D47" s="29"/>
      <c r="E47" s="30"/>
      <c r="F47" s="29"/>
      <c r="G47" s="31"/>
      <c r="H47" s="31"/>
      <c r="I47" s="31"/>
      <c r="J47" s="196"/>
      <c r="K47" s="25"/>
      <c r="L47" s="21"/>
      <c r="M47" s="21"/>
      <c r="N47" s="25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 spans="1:32" s="38" customFormat="1" ht="54.95" customHeight="1" thickBot="1">
      <c r="A48" s="35"/>
      <c r="B48" s="45" t="s">
        <v>2091</v>
      </c>
      <c r="C48" s="28"/>
      <c r="D48" s="29"/>
      <c r="E48" s="41"/>
      <c r="F48" s="105"/>
      <c r="G48" s="59"/>
      <c r="H48" s="90"/>
      <c r="I48" s="90"/>
      <c r="J48" s="195" t="s">
        <v>2122</v>
      </c>
      <c r="K48" s="37"/>
      <c r="L48" s="37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3" s="38" customFormat="1" ht="54.95" customHeight="1">
      <c r="A49" s="35"/>
      <c r="B49" s="36"/>
      <c r="C49" s="57"/>
      <c r="D49" s="100"/>
      <c r="E49" s="100"/>
      <c r="F49" s="58"/>
      <c r="G49" s="59"/>
      <c r="H49" s="112" t="e">
        <f>LOOKUP(FinReview!D2,TEAData!A2:A1050,TEAData!O2:O1050)</f>
        <v>#N/A</v>
      </c>
      <c r="I49" s="90"/>
      <c r="J49" s="193" t="str">
        <f>IF(COUNTIF(I52:I54,"Yes")&gt;1,"Yes","No")</f>
        <v>No</v>
      </c>
      <c r="K49" s="37"/>
      <c r="L49" s="37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3" s="26" customFormat="1" ht="15" customHeight="1" thickBot="1">
      <c r="A50" s="21"/>
      <c r="B50" s="27"/>
      <c r="C50" s="28"/>
      <c r="D50" s="29"/>
      <c r="E50" s="30"/>
      <c r="F50" s="29"/>
      <c r="G50" s="31"/>
      <c r="H50" s="31"/>
      <c r="I50" s="31"/>
      <c r="J50" s="197"/>
      <c r="K50" s="25"/>
      <c r="L50" s="21"/>
      <c r="M50" s="21"/>
      <c r="N50" s="25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spans="1:33" s="38" customFormat="1" ht="54.95" customHeight="1" thickBot="1">
      <c r="A51" s="35"/>
      <c r="B51" s="203"/>
      <c r="C51" s="28"/>
      <c r="D51" s="204"/>
      <c r="E51" s="204"/>
      <c r="F51" s="204"/>
      <c r="G51" s="204"/>
      <c r="H51" s="204"/>
      <c r="I51" s="204"/>
      <c r="J51" s="155" t="s">
        <v>32</v>
      </c>
      <c r="K51" s="37"/>
      <c r="L51" s="37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3" s="38" customFormat="1" ht="85.5" customHeight="1">
      <c r="A52" s="35"/>
      <c r="B52" s="187" t="s">
        <v>2111</v>
      </c>
      <c r="C52" s="178"/>
      <c r="D52" s="178"/>
      <c r="E52" s="178"/>
      <c r="F52" s="178"/>
      <c r="G52" s="178"/>
      <c r="H52" s="178"/>
      <c r="I52" s="205" t="e">
        <f>IF(AND(E49&lt;H49,E49&lt;E36*0.0625),"Yes","No")</f>
        <v>#N/A</v>
      </c>
      <c r="J52" s="190" t="s">
        <v>2100</v>
      </c>
      <c r="K52" s="37"/>
      <c r="L52" s="37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3" s="38" customFormat="1" ht="54.95" customHeight="1">
      <c r="A53" s="35"/>
      <c r="B53" s="187" t="s">
        <v>2125</v>
      </c>
      <c r="C53" s="178"/>
      <c r="D53" s="178"/>
      <c r="E53" s="178"/>
      <c r="F53" s="178"/>
      <c r="G53" s="178"/>
      <c r="H53" s="178"/>
      <c r="I53" s="153" t="e">
        <f>IF(AND(E49&lt;H49-(H49*0.25),E49&lt;E36-(E36*0.125)),"Yes","No")</f>
        <v>#N/A</v>
      </c>
      <c r="J53" s="191" t="s">
        <v>2101</v>
      </c>
      <c r="K53" s="37"/>
      <c r="L53" s="37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3" s="38" customFormat="1" ht="54.95" customHeight="1">
      <c r="A54" s="35"/>
      <c r="B54" s="187" t="s">
        <v>2124</v>
      </c>
      <c r="C54" s="178"/>
      <c r="D54" s="178"/>
      <c r="E54" s="178"/>
      <c r="F54" s="178"/>
      <c r="G54" s="178"/>
      <c r="H54" s="178"/>
      <c r="I54" s="153" t="str">
        <f>IF(E49&lt;E36*0.01,"Yes","No")</f>
        <v>No</v>
      </c>
      <c r="J54" s="191" t="s">
        <v>2102</v>
      </c>
      <c r="K54" s="37"/>
      <c r="L54" s="37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3" s="38" customFormat="1" ht="54.95" customHeight="1" thickBot="1">
      <c r="A55" s="35"/>
      <c r="B55" s="179"/>
      <c r="C55" s="180"/>
      <c r="D55" s="180"/>
      <c r="E55" s="180"/>
      <c r="F55" s="180"/>
      <c r="G55" s="180"/>
      <c r="H55" s="181"/>
      <c r="I55" s="154"/>
      <c r="J55" s="192" t="s">
        <v>2103</v>
      </c>
      <c r="K55" s="37"/>
      <c r="L55" s="37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3" s="38" customFormat="1" ht="54.95" customHeight="1">
      <c r="A56" s="35"/>
      <c r="B56" s="213" t="s">
        <v>2126</v>
      </c>
      <c r="C56" s="171"/>
      <c r="D56" s="171"/>
      <c r="E56" s="171"/>
      <c r="F56" s="171"/>
      <c r="G56" s="171"/>
      <c r="H56" s="172"/>
      <c r="I56" s="134" t="str">
        <f>IF(COUNTIF(J12:J50,"Yes")&gt;2,"Yes","No")</f>
        <v>No</v>
      </c>
      <c r="J56" s="206" t="s">
        <v>2099</v>
      </c>
      <c r="K56" s="37"/>
      <c r="L56" s="37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3" s="38" customFormat="1" ht="54.95" customHeight="1">
      <c r="A57" s="35"/>
      <c r="B57" s="214" t="s">
        <v>2127</v>
      </c>
      <c r="C57" s="173"/>
      <c r="D57" s="173"/>
      <c r="E57" s="173"/>
      <c r="F57" s="173"/>
      <c r="G57" s="173"/>
      <c r="H57" s="174"/>
      <c r="I57" s="135" t="str">
        <f>IF(AND(COUNTIF(J12:J50,"Yes")&gt;1,E49&lt;E36*0.125),"Yes","No")</f>
        <v>No</v>
      </c>
      <c r="J57" s="209" t="str">
        <f ca="1">IF(COUNTIF(I56:IF59,"Yes")&gt;1,"Yes","No")</f>
        <v>No</v>
      </c>
      <c r="K57" s="37"/>
      <c r="L57" s="37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3" s="38" customFormat="1" ht="54.95" customHeight="1">
      <c r="A58" s="35"/>
      <c r="B58" s="214" t="s">
        <v>2128</v>
      </c>
      <c r="C58" s="173"/>
      <c r="D58" s="173"/>
      <c r="E58" s="173"/>
      <c r="F58" s="173"/>
      <c r="G58" s="173"/>
      <c r="H58" s="174"/>
      <c r="I58" s="135" t="str">
        <f>IF(AND(COUNTIF(I11:I43,"Yes")&gt;0,COUNTIF(I52:I54,"Yes")&gt;0),"Yes","No")</f>
        <v>No</v>
      </c>
      <c r="J58" s="207"/>
      <c r="K58" s="37"/>
      <c r="L58" s="37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3" s="38" customFormat="1" ht="54.95" customHeight="1" thickBot="1">
      <c r="A59" s="35"/>
      <c r="B59" s="175" t="s">
        <v>33</v>
      </c>
      <c r="C59" s="176"/>
      <c r="D59" s="176"/>
      <c r="E59" s="176"/>
      <c r="F59" s="176"/>
      <c r="G59" s="176"/>
      <c r="H59" s="177"/>
      <c r="I59" s="136" t="str">
        <f>IF(E49&lt;E36*0.01,"Yes","No")</f>
        <v>No</v>
      </c>
      <c r="J59" s="208"/>
      <c r="K59" s="37"/>
      <c r="L59" s="37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3" s="38" customFormat="1" ht="30" customHeight="1">
      <c r="A60" s="35"/>
      <c r="B60" s="65"/>
      <c r="C60" s="39"/>
      <c r="D60" s="170"/>
      <c r="E60" s="170"/>
      <c r="F60" s="170"/>
      <c r="G60" s="66"/>
      <c r="H60" s="90"/>
      <c r="I60" s="90"/>
      <c r="J60" s="67"/>
      <c r="K60" s="37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3" s="38" customFormat="1" ht="23.25" customHeight="1">
      <c r="A61" s="35"/>
      <c r="B61" s="165"/>
      <c r="C61" s="165"/>
      <c r="D61" s="170"/>
      <c r="E61" s="170"/>
      <c r="F61" s="170"/>
      <c r="G61" s="66"/>
      <c r="H61" s="90"/>
      <c r="I61" s="90"/>
      <c r="J61" s="67"/>
      <c r="K61" s="37"/>
      <c r="L61" s="37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3" s="38" customFormat="1" ht="40.5" customHeight="1">
      <c r="A62" s="35"/>
      <c r="B62" s="165"/>
      <c r="C62" s="165"/>
      <c r="D62" s="170"/>
      <c r="E62" s="170"/>
      <c r="F62" s="170"/>
      <c r="G62" s="66"/>
      <c r="H62" s="90"/>
      <c r="I62" s="90"/>
      <c r="J62" s="67"/>
      <c r="K62" s="37"/>
      <c r="L62" s="37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3" s="38" customFormat="1">
      <c r="A63" s="35"/>
      <c r="B63" s="68"/>
      <c r="C63" s="39"/>
      <c r="D63" s="43"/>
      <c r="E63" s="37"/>
      <c r="F63" s="69"/>
      <c r="G63" s="43"/>
      <c r="H63" s="43"/>
      <c r="I63" s="43"/>
      <c r="J63" s="67"/>
      <c r="K63" s="37"/>
      <c r="L63" s="37"/>
      <c r="M63" s="35"/>
      <c r="N63" s="70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spans="1:33" s="38" customFormat="1">
      <c r="A64" s="35"/>
      <c r="B64" s="68"/>
      <c r="C64" s="39"/>
      <c r="D64" s="43"/>
      <c r="E64" s="37"/>
      <c r="F64" s="69"/>
      <c r="G64" s="43"/>
      <c r="H64" s="43"/>
      <c r="I64" s="43"/>
      <c r="J64" s="67"/>
      <c r="K64" s="37"/>
      <c r="L64" s="37"/>
      <c r="M64" s="35"/>
      <c r="N64" s="70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 spans="1:33" s="38" customFormat="1">
      <c r="A65" s="35"/>
      <c r="B65" s="68"/>
      <c r="C65" s="39"/>
      <c r="D65" s="43"/>
      <c r="E65" s="37"/>
      <c r="F65" s="69"/>
      <c r="G65" s="43"/>
      <c r="H65" s="43"/>
      <c r="I65" s="43"/>
      <c r="J65" s="67"/>
      <c r="K65" s="37"/>
      <c r="L65" s="37"/>
      <c r="M65" s="35"/>
      <c r="N65" s="70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 spans="1:33" s="38" customFormat="1">
      <c r="A66" s="35"/>
      <c r="B66" s="68"/>
      <c r="C66" s="39"/>
      <c r="D66" s="43"/>
      <c r="E66" s="37"/>
      <c r="F66" s="69"/>
      <c r="G66" s="43"/>
      <c r="H66" s="43"/>
      <c r="I66" s="43"/>
      <c r="J66" s="67"/>
      <c r="K66" s="37"/>
      <c r="L66" s="37"/>
      <c r="M66" s="35"/>
      <c r="N66" s="70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 spans="1:33" s="38" customFormat="1" ht="25.5">
      <c r="A67" s="35"/>
      <c r="B67" s="62"/>
      <c r="C67" s="39"/>
      <c r="D67" s="170"/>
      <c r="E67" s="170"/>
      <c r="F67" s="170"/>
      <c r="G67" s="63"/>
      <c r="H67" s="63"/>
      <c r="I67" s="63"/>
      <c r="J67" s="164"/>
      <c r="K67" s="40"/>
      <c r="L67" s="40"/>
      <c r="M67" s="35"/>
      <c r="N67" s="70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 spans="1:33" s="38" customFormat="1" ht="25.5">
      <c r="A68" s="35"/>
      <c r="B68" s="64"/>
      <c r="C68" s="39"/>
      <c r="D68" s="170"/>
      <c r="E68" s="170"/>
      <c r="F68" s="170"/>
      <c r="G68" s="63"/>
      <c r="H68" s="90"/>
      <c r="I68" s="90"/>
      <c r="J68" s="164"/>
      <c r="K68" s="40"/>
      <c r="L68" s="40"/>
      <c r="M68" s="35"/>
      <c r="N68" s="70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 spans="1:33" s="38" customFormat="1" hidden="1">
      <c r="A69" s="35"/>
      <c r="B69" s="65"/>
      <c r="C69" s="39"/>
      <c r="D69" s="170"/>
      <c r="E69" s="170"/>
      <c r="F69" s="170"/>
      <c r="G69" s="66"/>
      <c r="H69" s="90"/>
      <c r="I69" s="90"/>
      <c r="J69" s="67"/>
      <c r="K69" s="37"/>
      <c r="L69" s="35"/>
      <c r="M69" s="35"/>
      <c r="N69" s="70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 spans="1:33" s="38" customFormat="1" hidden="1">
      <c r="A70" s="35"/>
      <c r="B70" s="165"/>
      <c r="C70" s="165"/>
      <c r="D70" s="170"/>
      <c r="E70" s="170"/>
      <c r="F70" s="170"/>
      <c r="G70" s="66"/>
      <c r="H70" s="90"/>
      <c r="I70" s="90"/>
      <c r="J70" s="67"/>
      <c r="K70" s="37"/>
      <c r="L70" s="37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3" s="38" customFormat="1" hidden="1">
      <c r="A71" s="35"/>
      <c r="B71" s="165"/>
      <c r="C71" s="165"/>
      <c r="D71" s="170"/>
      <c r="E71" s="170"/>
      <c r="F71" s="170"/>
      <c r="G71" s="66"/>
      <c r="H71" s="90"/>
      <c r="I71" s="90"/>
      <c r="J71" s="67"/>
      <c r="K71" s="37"/>
      <c r="L71" s="37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3" s="38" customFormat="1" hidden="1">
      <c r="A72" s="35"/>
      <c r="B72" s="68"/>
      <c r="C72" s="39"/>
      <c r="D72" s="43"/>
      <c r="E72" s="37"/>
      <c r="F72" s="69"/>
      <c r="G72" s="43"/>
      <c r="H72" s="43"/>
      <c r="I72" s="43"/>
      <c r="J72" s="67"/>
      <c r="K72" s="37"/>
      <c r="L72" s="37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3" s="38" customFormat="1" hidden="1">
      <c r="B73" s="71"/>
      <c r="C73" s="39"/>
      <c r="D73" s="52"/>
      <c r="E73" s="72"/>
      <c r="F73" s="73"/>
      <c r="G73" s="52"/>
      <c r="H73" s="52"/>
      <c r="I73" s="52"/>
      <c r="J73" s="74"/>
      <c r="K73" s="37"/>
      <c r="L73" s="37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3" s="38" customFormat="1" hidden="1">
      <c r="B74" s="71"/>
      <c r="C74" s="39"/>
      <c r="D74" s="52"/>
      <c r="E74" s="72"/>
      <c r="F74" s="73"/>
      <c r="G74" s="52"/>
      <c r="H74" s="52"/>
      <c r="I74" s="52"/>
      <c r="J74" s="74"/>
      <c r="K74" s="37"/>
      <c r="L74" s="37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3" s="38" customFormat="1" hidden="1">
      <c r="B75" s="71"/>
      <c r="C75" s="39"/>
      <c r="D75" s="52"/>
      <c r="E75" s="72"/>
      <c r="F75" s="73"/>
      <c r="G75" s="52"/>
      <c r="H75" s="52"/>
      <c r="I75" s="52"/>
      <c r="J75" s="74"/>
      <c r="K75" s="37"/>
      <c r="L75" s="37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3" s="38" customFormat="1" hidden="1">
      <c r="B76" s="71"/>
      <c r="C76" s="39"/>
      <c r="D76" s="52"/>
      <c r="E76" s="72"/>
      <c r="F76" s="73"/>
      <c r="G76" s="52"/>
      <c r="H76" s="52"/>
      <c r="I76" s="52"/>
      <c r="J76" s="74"/>
      <c r="K76" s="37"/>
      <c r="L76" s="37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3" s="38" customFormat="1" hidden="1">
      <c r="B77" s="71"/>
      <c r="C77" s="39"/>
      <c r="D77" s="52"/>
      <c r="E77" s="72"/>
      <c r="F77" s="73"/>
      <c r="G77" s="52"/>
      <c r="H77" s="52"/>
      <c r="I77" s="52"/>
      <c r="J77" s="74"/>
      <c r="K77" s="37"/>
      <c r="L77" s="37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3" s="38" customFormat="1" hidden="1">
      <c r="B78" s="71"/>
      <c r="C78" s="39"/>
      <c r="D78" s="52"/>
      <c r="E78" s="72"/>
      <c r="F78" s="73"/>
      <c r="G78" s="52"/>
      <c r="H78" s="52"/>
      <c r="I78" s="52"/>
      <c r="J78" s="74"/>
      <c r="K78" s="37"/>
      <c r="L78" s="37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3" s="38" customFormat="1" hidden="1">
      <c r="B79" s="71"/>
      <c r="C79" s="39"/>
      <c r="D79" s="52"/>
      <c r="E79" s="72"/>
      <c r="F79" s="73"/>
      <c r="G79" s="52"/>
      <c r="H79" s="52"/>
      <c r="I79" s="52"/>
      <c r="J79" s="74"/>
      <c r="K79" s="37"/>
      <c r="L79" s="37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3" s="38" customFormat="1" hidden="1">
      <c r="B80" s="71"/>
      <c r="C80" s="39"/>
      <c r="D80" s="52"/>
      <c r="E80" s="72"/>
      <c r="F80" s="73"/>
      <c r="G80" s="52"/>
      <c r="H80" s="52"/>
      <c r="I80" s="52"/>
      <c r="J80" s="74"/>
      <c r="K80" s="37"/>
      <c r="L80" s="37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3" s="38" customFormat="1" hidden="1">
      <c r="B81" s="71"/>
      <c r="C81" s="39"/>
      <c r="D81" s="52"/>
      <c r="E81" s="72"/>
      <c r="F81" s="73"/>
      <c r="G81" s="52"/>
      <c r="H81" s="52"/>
      <c r="I81" s="52"/>
      <c r="J81" s="74"/>
      <c r="K81" s="37"/>
      <c r="L81" s="37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3" s="38" customFormat="1" hidden="1">
      <c r="B82" s="71"/>
      <c r="C82" s="39"/>
      <c r="D82" s="52"/>
      <c r="E82" s="72"/>
      <c r="F82" s="73"/>
      <c r="G82" s="52"/>
      <c r="H82" s="52"/>
      <c r="I82" s="52"/>
      <c r="J82" s="74"/>
      <c r="K82" s="37"/>
      <c r="L82" s="37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3" s="38" customFormat="1" hidden="1">
      <c r="B83" s="71"/>
      <c r="C83" s="39"/>
      <c r="D83" s="52"/>
      <c r="E83" s="72"/>
      <c r="F83" s="73"/>
      <c r="G83" s="52"/>
      <c r="H83" s="52"/>
      <c r="I83" s="52"/>
      <c r="J83" s="74"/>
      <c r="K83" s="37"/>
      <c r="L83" s="37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3" s="38" customFormat="1" hidden="1">
      <c r="B84" s="71"/>
      <c r="C84" s="39"/>
      <c r="D84" s="52"/>
      <c r="E84" s="72"/>
      <c r="F84" s="73"/>
      <c r="G84" s="52"/>
      <c r="H84" s="52"/>
      <c r="I84" s="52"/>
      <c r="J84" s="74"/>
      <c r="K84" s="37"/>
      <c r="L84" s="37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3" s="38" customFormat="1" hidden="1">
      <c r="B85" s="71"/>
      <c r="C85" s="39"/>
      <c r="D85" s="52"/>
      <c r="E85" s="72"/>
      <c r="F85" s="73"/>
      <c r="G85" s="52"/>
      <c r="H85" s="52"/>
      <c r="I85" s="52"/>
      <c r="J85" s="74"/>
      <c r="K85" s="37"/>
      <c r="L85" s="37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3" s="38" customFormat="1" hidden="1">
      <c r="B86" s="71"/>
      <c r="C86" s="39"/>
      <c r="D86" s="52"/>
      <c r="E86" s="72"/>
      <c r="F86" s="73"/>
      <c r="G86" s="52"/>
      <c r="H86" s="52"/>
      <c r="I86" s="52"/>
      <c r="J86" s="74"/>
      <c r="K86" s="37"/>
      <c r="L86" s="37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3" s="38" customFormat="1" hidden="1">
      <c r="B87" s="71"/>
      <c r="C87" s="39"/>
      <c r="D87" s="52"/>
      <c r="E87" s="72"/>
      <c r="F87" s="73"/>
      <c r="G87" s="52"/>
      <c r="H87" s="52"/>
      <c r="I87" s="52"/>
      <c r="J87" s="74"/>
      <c r="K87" s="37"/>
      <c r="L87" s="37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3" s="38" customFormat="1" hidden="1">
      <c r="B88" s="71"/>
      <c r="C88" s="39"/>
      <c r="D88" s="52"/>
      <c r="E88" s="72"/>
      <c r="F88" s="73"/>
      <c r="G88" s="52"/>
      <c r="H88" s="52"/>
      <c r="I88" s="52"/>
      <c r="J88" s="74"/>
      <c r="K88" s="37"/>
      <c r="L88" s="37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3" s="38" customFormat="1" hidden="1">
      <c r="B89" s="71"/>
      <c r="C89" s="39"/>
      <c r="D89" s="52"/>
      <c r="E89" s="72"/>
      <c r="F89" s="73"/>
      <c r="G89" s="52"/>
      <c r="H89" s="52"/>
      <c r="I89" s="52"/>
      <c r="J89" s="74"/>
      <c r="K89" s="37"/>
      <c r="L89" s="37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 spans="1:33" s="38" customFormat="1">
      <c r="A90" s="35"/>
      <c r="B90" s="68"/>
      <c r="C90" s="39"/>
      <c r="D90" s="43"/>
      <c r="E90" s="37"/>
      <c r="F90" s="69"/>
      <c r="G90" s="43"/>
      <c r="H90" s="43"/>
      <c r="I90" s="43"/>
      <c r="J90" s="67"/>
      <c r="K90" s="37"/>
      <c r="L90" s="37"/>
      <c r="M90" s="35"/>
      <c r="N90" s="70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 spans="1:33" s="38" customFormat="1">
      <c r="A91" s="35"/>
      <c r="B91" s="68"/>
      <c r="C91" s="39"/>
      <c r="D91" s="43"/>
      <c r="E91" s="37"/>
      <c r="F91" s="69"/>
      <c r="G91" s="43"/>
      <c r="H91" s="43"/>
      <c r="I91" s="43"/>
      <c r="J91" s="67"/>
      <c r="K91" s="37"/>
      <c r="L91" s="37"/>
      <c r="M91" s="35"/>
      <c r="N91" s="70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 spans="1:33" s="38" customFormat="1">
      <c r="A92" s="35"/>
      <c r="B92" s="68"/>
      <c r="C92" s="39"/>
      <c r="D92" s="43"/>
      <c r="E92" s="37"/>
      <c r="F92" s="69"/>
      <c r="G92" s="43"/>
      <c r="H92" s="43"/>
      <c r="I92" s="43"/>
      <c r="J92" s="67"/>
      <c r="K92" s="37"/>
      <c r="L92" s="37"/>
      <c r="M92" s="35"/>
      <c r="N92" s="70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 spans="1:33" s="38" customFormat="1">
      <c r="A93" s="35"/>
      <c r="B93" s="68"/>
      <c r="C93" s="39"/>
      <c r="D93" s="43"/>
      <c r="E93" s="37"/>
      <c r="F93" s="69"/>
      <c r="G93" s="43"/>
      <c r="H93" s="43"/>
      <c r="I93" s="43"/>
      <c r="J93" s="67"/>
      <c r="K93" s="37"/>
      <c r="L93" s="37"/>
      <c r="M93" s="35"/>
      <c r="N93" s="70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 spans="1:33" s="38" customFormat="1">
      <c r="A94" s="35"/>
      <c r="B94" s="68"/>
      <c r="C94" s="39"/>
      <c r="D94" s="43"/>
      <c r="E94" s="37"/>
      <c r="F94" s="69"/>
      <c r="G94" s="43"/>
      <c r="H94" s="43"/>
      <c r="I94" s="43"/>
      <c r="J94" s="67"/>
      <c r="K94" s="37"/>
      <c r="L94" s="37"/>
      <c r="M94" s="35"/>
      <c r="N94" s="70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 spans="1:33" s="38" customFormat="1">
      <c r="A95" s="35"/>
      <c r="B95" s="68"/>
      <c r="C95" s="39"/>
      <c r="D95" s="43"/>
      <c r="E95" s="37"/>
      <c r="F95" s="69"/>
      <c r="G95" s="43"/>
      <c r="H95" s="43"/>
      <c r="I95" s="43"/>
      <c r="J95" s="67"/>
      <c r="K95" s="37"/>
      <c r="L95" s="37"/>
      <c r="M95" s="35"/>
      <c r="N95" s="70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 spans="1:33" s="38" customFormat="1">
      <c r="B96" s="71"/>
      <c r="C96" s="39"/>
      <c r="D96" s="52"/>
      <c r="E96" s="72"/>
      <c r="F96" s="73"/>
      <c r="G96" s="52"/>
      <c r="H96" s="52"/>
      <c r="I96" s="52"/>
      <c r="J96" s="74"/>
      <c r="K96" s="72"/>
      <c r="L96" s="72"/>
    </row>
    <row r="97" spans="2:12" s="38" customFormat="1">
      <c r="B97" s="71"/>
      <c r="C97" s="39"/>
      <c r="D97" s="52"/>
      <c r="E97" s="72"/>
      <c r="F97" s="73"/>
      <c r="G97" s="52"/>
      <c r="H97" s="52"/>
      <c r="I97" s="52"/>
      <c r="J97" s="74"/>
      <c r="K97" s="72"/>
      <c r="L97" s="72"/>
    </row>
    <row r="98" spans="2:12" s="38" customFormat="1">
      <c r="B98" s="71"/>
      <c r="C98" s="39"/>
      <c r="D98" s="52"/>
      <c r="E98" s="72"/>
      <c r="F98" s="73"/>
      <c r="G98" s="52"/>
      <c r="H98" s="52"/>
      <c r="I98" s="52"/>
      <c r="J98" s="74"/>
      <c r="K98" s="72"/>
      <c r="L98" s="72"/>
    </row>
    <row r="99" spans="2:12" s="38" customFormat="1">
      <c r="B99" s="71"/>
      <c r="C99" s="39"/>
      <c r="D99" s="52"/>
      <c r="E99" s="72"/>
      <c r="F99" s="73"/>
      <c r="G99" s="52"/>
      <c r="H99" s="52"/>
      <c r="I99" s="52"/>
      <c r="J99" s="74"/>
      <c r="K99" s="72"/>
      <c r="L99" s="72"/>
    </row>
    <row r="100" spans="2:12" s="38" customFormat="1">
      <c r="B100" s="71"/>
      <c r="C100" s="39"/>
      <c r="D100" s="52"/>
      <c r="E100" s="72"/>
      <c r="F100" s="73"/>
      <c r="G100" s="52"/>
      <c r="H100" s="52"/>
      <c r="I100" s="52"/>
      <c r="J100" s="74"/>
      <c r="K100" s="72"/>
      <c r="L100" s="72"/>
    </row>
    <row r="101" spans="2:12" s="38" customFormat="1">
      <c r="B101" s="71"/>
      <c r="C101" s="39"/>
      <c r="D101" s="52"/>
      <c r="E101" s="72"/>
      <c r="F101" s="73"/>
      <c r="G101" s="52"/>
      <c r="H101" s="52"/>
      <c r="I101" s="52"/>
      <c r="J101" s="74"/>
      <c r="K101" s="72"/>
      <c r="L101" s="72"/>
    </row>
    <row r="102" spans="2:12" s="38" customFormat="1">
      <c r="B102" s="71"/>
      <c r="C102" s="39"/>
      <c r="D102" s="52"/>
      <c r="E102" s="72"/>
      <c r="F102" s="73"/>
      <c r="G102" s="52"/>
      <c r="H102" s="52"/>
      <c r="I102" s="52"/>
      <c r="J102" s="74"/>
      <c r="K102" s="72"/>
      <c r="L102" s="72"/>
    </row>
    <row r="103" spans="2:12" s="38" customFormat="1">
      <c r="B103" s="71"/>
      <c r="C103" s="39"/>
      <c r="D103" s="52"/>
      <c r="E103" s="72"/>
      <c r="F103" s="73"/>
      <c r="G103" s="52"/>
      <c r="H103" s="52"/>
      <c r="I103" s="52"/>
      <c r="J103" s="74"/>
      <c r="K103" s="72"/>
      <c r="L103" s="72"/>
    </row>
    <row r="104" spans="2:12" s="38" customFormat="1">
      <c r="B104" s="71"/>
      <c r="C104" s="39"/>
      <c r="D104" s="52"/>
      <c r="E104" s="72"/>
      <c r="F104" s="73"/>
      <c r="G104" s="52"/>
      <c r="H104" s="52"/>
      <c r="I104" s="52"/>
      <c r="J104" s="74"/>
      <c r="K104" s="72"/>
      <c r="L104" s="72"/>
    </row>
    <row r="105" spans="2:12" s="38" customFormat="1">
      <c r="B105" s="71"/>
      <c r="C105" s="39"/>
      <c r="D105" s="52"/>
      <c r="E105" s="72"/>
      <c r="F105" s="73"/>
      <c r="G105" s="52"/>
      <c r="H105" s="52"/>
      <c r="I105" s="52"/>
      <c r="J105" s="74"/>
      <c r="K105" s="72"/>
      <c r="L105" s="72"/>
    </row>
    <row r="106" spans="2:12" s="38" customFormat="1">
      <c r="B106" s="71"/>
      <c r="C106" s="39"/>
      <c r="D106" s="52"/>
      <c r="E106" s="72"/>
      <c r="F106" s="73"/>
      <c r="G106" s="52"/>
      <c r="H106" s="52"/>
      <c r="I106" s="52"/>
      <c r="J106" s="74"/>
      <c r="K106" s="72"/>
      <c r="L106" s="72"/>
    </row>
    <row r="107" spans="2:12" s="38" customFormat="1">
      <c r="B107" s="71"/>
      <c r="C107" s="39"/>
      <c r="D107" s="52"/>
      <c r="E107" s="72"/>
      <c r="F107" s="73"/>
      <c r="G107" s="52"/>
      <c r="H107" s="52"/>
      <c r="I107" s="52"/>
      <c r="J107" s="74"/>
      <c r="K107" s="72"/>
      <c r="L107" s="72"/>
    </row>
    <row r="108" spans="2:12" s="38" customFormat="1">
      <c r="B108" s="71"/>
      <c r="C108" s="39"/>
      <c r="D108" s="52"/>
      <c r="E108" s="72"/>
      <c r="F108" s="73"/>
      <c r="G108" s="52"/>
      <c r="H108" s="52"/>
      <c r="I108" s="52"/>
      <c r="J108" s="74"/>
      <c r="K108" s="72"/>
      <c r="L108" s="72"/>
    </row>
    <row r="109" spans="2:12" s="38" customFormat="1">
      <c r="B109" s="71"/>
      <c r="C109" s="39"/>
      <c r="D109" s="52"/>
      <c r="E109" s="72"/>
      <c r="F109" s="73"/>
      <c r="G109" s="52"/>
      <c r="H109" s="52"/>
      <c r="I109" s="52"/>
      <c r="J109" s="74"/>
      <c r="K109" s="72"/>
      <c r="L109" s="72"/>
    </row>
    <row r="110" spans="2:12" s="38" customFormat="1">
      <c r="B110" s="71"/>
      <c r="C110" s="39"/>
      <c r="D110" s="52"/>
      <c r="E110" s="72"/>
      <c r="F110" s="73"/>
      <c r="G110" s="52"/>
      <c r="H110" s="52"/>
      <c r="I110" s="52"/>
      <c r="J110" s="74"/>
      <c r="K110" s="72"/>
      <c r="L110" s="72"/>
    </row>
    <row r="111" spans="2:12" s="38" customFormat="1">
      <c r="B111" s="71"/>
      <c r="C111" s="39"/>
      <c r="D111" s="52"/>
      <c r="E111" s="72"/>
      <c r="F111" s="73"/>
      <c r="G111" s="52"/>
      <c r="H111" s="52"/>
      <c r="I111" s="52"/>
      <c r="J111" s="74"/>
      <c r="K111" s="72"/>
      <c r="L111" s="72"/>
    </row>
    <row r="112" spans="2:12" s="38" customFormat="1">
      <c r="B112" s="71"/>
      <c r="C112" s="39"/>
      <c r="D112" s="52"/>
      <c r="E112" s="72"/>
      <c r="F112" s="73"/>
      <c r="G112" s="52"/>
      <c r="H112" s="52"/>
      <c r="I112" s="52"/>
      <c r="J112" s="74"/>
      <c r="K112" s="72"/>
      <c r="L112" s="72"/>
    </row>
    <row r="113" spans="2:12" s="38" customFormat="1">
      <c r="B113" s="71"/>
      <c r="C113" s="39"/>
      <c r="D113" s="52"/>
      <c r="E113" s="72"/>
      <c r="F113" s="73"/>
      <c r="G113" s="52"/>
      <c r="H113" s="52"/>
      <c r="I113" s="52"/>
      <c r="J113" s="74"/>
      <c r="K113" s="72"/>
      <c r="L113" s="72"/>
    </row>
    <row r="114" spans="2:12" s="38" customFormat="1">
      <c r="B114" s="71"/>
      <c r="C114" s="39"/>
      <c r="D114" s="52"/>
      <c r="E114" s="72"/>
      <c r="F114" s="73"/>
      <c r="G114" s="52"/>
      <c r="H114" s="52"/>
      <c r="I114" s="52"/>
      <c r="J114" s="74"/>
      <c r="K114" s="72"/>
      <c r="L114" s="72"/>
    </row>
    <row r="115" spans="2:12" s="38" customFormat="1">
      <c r="B115" s="71"/>
      <c r="C115" s="39"/>
      <c r="D115" s="52"/>
      <c r="E115" s="72"/>
      <c r="F115" s="73"/>
      <c r="G115" s="52"/>
      <c r="H115" s="52"/>
      <c r="I115" s="52"/>
      <c r="J115" s="74"/>
      <c r="K115" s="72"/>
      <c r="L115" s="72"/>
    </row>
    <row r="116" spans="2:12" s="38" customFormat="1">
      <c r="B116" s="71"/>
      <c r="C116" s="39"/>
      <c r="D116" s="52"/>
      <c r="E116" s="72"/>
      <c r="F116" s="73"/>
      <c r="G116" s="52"/>
      <c r="H116" s="52"/>
      <c r="I116" s="52"/>
      <c r="J116" s="74"/>
      <c r="K116" s="72"/>
      <c r="L116" s="72"/>
    </row>
    <row r="117" spans="2:12" s="38" customFormat="1">
      <c r="B117" s="71"/>
      <c r="C117" s="39"/>
      <c r="D117" s="52"/>
      <c r="E117" s="72"/>
      <c r="F117" s="73"/>
      <c r="G117" s="52"/>
      <c r="H117" s="52"/>
      <c r="I117" s="52"/>
      <c r="J117" s="74"/>
      <c r="K117" s="72"/>
      <c r="L117" s="72"/>
    </row>
    <row r="118" spans="2:12" s="38" customFormat="1">
      <c r="B118" s="71"/>
      <c r="C118" s="39"/>
      <c r="D118" s="52"/>
      <c r="E118" s="72"/>
      <c r="F118" s="73"/>
      <c r="G118" s="52"/>
      <c r="H118" s="52"/>
      <c r="I118" s="52"/>
      <c r="J118" s="74"/>
      <c r="K118" s="72"/>
      <c r="L118" s="72"/>
    </row>
    <row r="119" spans="2:12" s="38" customFormat="1">
      <c r="B119" s="71"/>
      <c r="C119" s="39"/>
      <c r="D119" s="52"/>
      <c r="E119" s="72"/>
      <c r="F119" s="73"/>
      <c r="G119" s="52"/>
      <c r="H119" s="52"/>
      <c r="I119" s="52"/>
      <c r="J119" s="74"/>
      <c r="K119" s="72"/>
      <c r="L119" s="72"/>
    </row>
    <row r="120" spans="2:12" s="38" customFormat="1">
      <c r="B120" s="71"/>
      <c r="C120" s="39"/>
      <c r="D120" s="52"/>
      <c r="E120" s="72"/>
      <c r="F120" s="73"/>
      <c r="G120" s="52"/>
      <c r="H120" s="52"/>
      <c r="I120" s="52"/>
      <c r="J120" s="74"/>
      <c r="K120" s="72"/>
      <c r="L120" s="72"/>
    </row>
    <row r="121" spans="2:12" s="38" customFormat="1">
      <c r="B121" s="71"/>
      <c r="C121" s="39"/>
      <c r="D121" s="52"/>
      <c r="E121" s="72"/>
      <c r="F121" s="73"/>
      <c r="G121" s="52"/>
      <c r="H121" s="52"/>
      <c r="I121" s="52"/>
      <c r="J121" s="74"/>
      <c r="K121" s="72"/>
      <c r="L121" s="72"/>
    </row>
    <row r="122" spans="2:12" s="38" customFormat="1">
      <c r="B122" s="71"/>
      <c r="C122" s="39"/>
      <c r="D122" s="52"/>
      <c r="E122" s="72"/>
      <c r="F122" s="73"/>
      <c r="G122" s="52"/>
      <c r="H122" s="52"/>
      <c r="I122" s="52"/>
      <c r="J122" s="74"/>
      <c r="K122" s="72"/>
      <c r="L122" s="72"/>
    </row>
    <row r="123" spans="2:12" s="38" customFormat="1">
      <c r="B123" s="71"/>
      <c r="C123" s="39"/>
      <c r="D123" s="52"/>
      <c r="E123" s="72"/>
      <c r="F123" s="73"/>
      <c r="G123" s="52"/>
      <c r="H123" s="52"/>
      <c r="I123" s="52"/>
      <c r="J123" s="74"/>
      <c r="K123" s="72"/>
      <c r="L123" s="72"/>
    </row>
    <row r="124" spans="2:12" s="38" customFormat="1">
      <c r="B124" s="71"/>
      <c r="C124" s="39"/>
      <c r="D124" s="52"/>
      <c r="E124" s="72"/>
      <c r="F124" s="73"/>
      <c r="G124" s="52"/>
      <c r="H124" s="52"/>
      <c r="I124" s="52"/>
      <c r="J124" s="74"/>
      <c r="K124" s="72"/>
      <c r="L124" s="72"/>
    </row>
    <row r="125" spans="2:12" s="38" customFormat="1">
      <c r="B125" s="71"/>
      <c r="C125" s="39"/>
      <c r="D125" s="52"/>
      <c r="E125" s="72"/>
      <c r="F125" s="73"/>
      <c r="G125" s="52"/>
      <c r="H125" s="52"/>
      <c r="I125" s="52"/>
      <c r="J125" s="74"/>
      <c r="K125" s="72"/>
      <c r="L125" s="72"/>
    </row>
    <row r="126" spans="2:12" s="38" customFormat="1">
      <c r="B126" s="71"/>
      <c r="C126" s="39"/>
      <c r="D126" s="52"/>
      <c r="E126" s="72"/>
      <c r="F126" s="73"/>
      <c r="G126" s="52"/>
      <c r="H126" s="52"/>
      <c r="I126" s="52"/>
      <c r="J126" s="74"/>
      <c r="K126" s="72"/>
      <c r="L126" s="72"/>
    </row>
    <row r="127" spans="2:12" s="38" customFormat="1">
      <c r="B127" s="71"/>
      <c r="C127" s="39"/>
      <c r="D127" s="52"/>
      <c r="E127" s="72"/>
      <c r="F127" s="73"/>
      <c r="G127" s="52"/>
      <c r="H127" s="52"/>
      <c r="I127" s="52"/>
      <c r="J127" s="74"/>
      <c r="K127" s="72"/>
      <c r="L127" s="72"/>
    </row>
    <row r="128" spans="2:12" s="38" customFormat="1">
      <c r="B128" s="71"/>
      <c r="C128" s="39"/>
      <c r="D128" s="52"/>
      <c r="E128" s="72"/>
      <c r="F128" s="73"/>
      <c r="G128" s="52"/>
      <c r="H128" s="52"/>
      <c r="I128" s="52"/>
      <c r="J128" s="74"/>
      <c r="K128" s="72"/>
      <c r="L128" s="72"/>
    </row>
    <row r="129" spans="2:12" s="38" customFormat="1">
      <c r="B129" s="71"/>
      <c r="C129" s="39"/>
      <c r="D129" s="52"/>
      <c r="E129" s="72"/>
      <c r="F129" s="73"/>
      <c r="G129" s="52"/>
      <c r="H129" s="52"/>
      <c r="I129" s="52"/>
      <c r="J129" s="74"/>
      <c r="K129" s="72"/>
      <c r="L129" s="72"/>
    </row>
    <row r="130" spans="2:12" s="38" customFormat="1">
      <c r="B130" s="71"/>
      <c r="C130" s="39"/>
      <c r="D130" s="52"/>
      <c r="E130" s="72"/>
      <c r="F130" s="73"/>
      <c r="G130" s="52"/>
      <c r="H130" s="52"/>
      <c r="I130" s="52"/>
      <c r="J130" s="74"/>
      <c r="K130" s="72"/>
      <c r="L130" s="72"/>
    </row>
    <row r="131" spans="2:12" s="38" customFormat="1">
      <c r="B131" s="71"/>
      <c r="C131" s="39"/>
      <c r="D131" s="52"/>
      <c r="E131" s="72"/>
      <c r="F131" s="73"/>
      <c r="G131" s="52"/>
      <c r="H131" s="52"/>
      <c r="I131" s="52"/>
      <c r="J131" s="74"/>
      <c r="K131" s="72"/>
      <c r="L131" s="72"/>
    </row>
    <row r="132" spans="2:12" s="38" customFormat="1">
      <c r="B132" s="71"/>
      <c r="C132" s="39"/>
      <c r="D132" s="52"/>
      <c r="E132" s="72"/>
      <c r="F132" s="73"/>
      <c r="G132" s="52"/>
      <c r="H132" s="52"/>
      <c r="I132" s="52"/>
      <c r="J132" s="74"/>
      <c r="K132" s="72"/>
      <c r="L132" s="72"/>
    </row>
    <row r="133" spans="2:12" s="38" customFormat="1">
      <c r="B133" s="71"/>
      <c r="C133" s="39"/>
      <c r="D133" s="52"/>
      <c r="E133" s="72"/>
      <c r="F133" s="73"/>
      <c r="G133" s="52"/>
      <c r="H133" s="52"/>
      <c r="I133" s="52"/>
      <c r="J133" s="74"/>
      <c r="K133" s="72"/>
      <c r="L133" s="72"/>
    </row>
    <row r="134" spans="2:12" s="38" customFormat="1">
      <c r="B134" s="71"/>
      <c r="C134" s="39"/>
      <c r="D134" s="52"/>
      <c r="E134" s="72"/>
      <c r="F134" s="73"/>
      <c r="G134" s="52"/>
      <c r="H134" s="52"/>
      <c r="I134" s="52"/>
      <c r="J134" s="74"/>
      <c r="K134" s="72"/>
      <c r="L134" s="72"/>
    </row>
    <row r="135" spans="2:12" s="38" customFormat="1">
      <c r="B135" s="71"/>
      <c r="C135" s="39"/>
      <c r="D135" s="52"/>
      <c r="E135" s="72"/>
      <c r="F135" s="73"/>
      <c r="G135" s="52"/>
      <c r="H135" s="52"/>
      <c r="I135" s="52"/>
      <c r="J135" s="74"/>
      <c r="K135" s="72"/>
      <c r="L135" s="72"/>
    </row>
  </sheetData>
  <sheetProtection sheet="1" objects="1" scenarios="1"/>
  <protectedRanges>
    <protectedRange sqref="D2 D6:D9 D18:E18 D21:E21 D24:E24 D27:E27 D30:E30 D33:E33 D46:E46 D49:E49 J6:J12 J17:J49" name="Range1"/>
  </protectedRanges>
  <mergeCells count="23">
    <mergeCell ref="D51:I51"/>
    <mergeCell ref="B55:H55"/>
    <mergeCell ref="B38:H38"/>
    <mergeCell ref="B39:H39"/>
    <mergeCell ref="B40:H40"/>
    <mergeCell ref="B42:H42"/>
    <mergeCell ref="B43:H43"/>
    <mergeCell ref="B44:H44"/>
    <mergeCell ref="B41:H41"/>
    <mergeCell ref="J67:J68"/>
    <mergeCell ref="B70:C71"/>
    <mergeCell ref="B4:J4"/>
    <mergeCell ref="B14:J14"/>
    <mergeCell ref="B61:C62"/>
    <mergeCell ref="D60:F62"/>
    <mergeCell ref="B56:H56"/>
    <mergeCell ref="B57:H57"/>
    <mergeCell ref="B58:H58"/>
    <mergeCell ref="B59:H59"/>
    <mergeCell ref="D67:F71"/>
    <mergeCell ref="B52:H52"/>
    <mergeCell ref="B53:H53"/>
    <mergeCell ref="B54:H54"/>
  </mergeCells>
  <phoneticPr fontId="0" type="noConversion"/>
  <pageMargins left="0" right="0" top="0.5" bottom="0.5" header="0.25" footer="0.5"/>
  <pageSetup scale="25" orientation="portrait" r:id="rId1"/>
  <headerFooter alignWithMargins="0">
    <oddHeader>&amp;C&amp;"Arial,Bold"&amp;28Financial Solvency Worksheet</oddHeader>
    <oddFooter>&amp;L&amp;D&amp;RTexas Education Agency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30"/>
  <sheetViews>
    <sheetView workbookViewId="0">
      <pane ySplit="1" topLeftCell="A411" activePane="bottomLeft" state="frozen"/>
      <selection pane="bottomLeft" sqref="A1:XFD1048576"/>
    </sheetView>
  </sheetViews>
  <sheetFormatPr defaultRowHeight="12.75"/>
  <cols>
    <col min="1" max="1" width="7" style="132" bestFit="1" customWidth="1"/>
    <col min="2" max="2" width="32" style="123" bestFit="1" customWidth="1"/>
    <col min="3" max="3" width="12.28515625" style="124" bestFit="1" customWidth="1"/>
    <col min="4" max="4" width="10.85546875" style="125" bestFit="1" customWidth="1"/>
    <col min="5" max="5" width="10.85546875" style="126" bestFit="1" customWidth="1"/>
    <col min="6" max="6" width="11.42578125" style="126" bestFit="1" customWidth="1"/>
    <col min="7" max="7" width="11.85546875" style="127" customWidth="1"/>
    <col min="8" max="8" width="15" style="127" bestFit="1" customWidth="1"/>
    <col min="9" max="14" width="13.42578125" style="128" bestFit="1" customWidth="1"/>
    <col min="15" max="15" width="12.85546875" style="128" bestFit="1" customWidth="1"/>
    <col min="16" max="256" width="9.140625" style="123"/>
    <col min="257" max="257" width="7" style="123" bestFit="1" customWidth="1"/>
    <col min="258" max="258" width="32" style="123" bestFit="1" customWidth="1"/>
    <col min="259" max="259" width="12.28515625" style="123" bestFit="1" customWidth="1"/>
    <col min="260" max="261" width="10.85546875" style="123" bestFit="1" customWidth="1"/>
    <col min="262" max="262" width="11.42578125" style="123" bestFit="1" customWidth="1"/>
    <col min="263" max="263" width="11.85546875" style="123" customWidth="1"/>
    <col min="264" max="264" width="15" style="123" bestFit="1" customWidth="1"/>
    <col min="265" max="270" width="13.42578125" style="123" bestFit="1" customWidth="1"/>
    <col min="271" max="271" width="12.85546875" style="123" bestFit="1" customWidth="1"/>
    <col min="272" max="512" width="9.140625" style="123"/>
    <col min="513" max="513" width="7" style="123" bestFit="1" customWidth="1"/>
    <col min="514" max="514" width="32" style="123" bestFit="1" customWidth="1"/>
    <col min="515" max="515" width="12.28515625" style="123" bestFit="1" customWidth="1"/>
    <col min="516" max="517" width="10.85546875" style="123" bestFit="1" customWidth="1"/>
    <col min="518" max="518" width="11.42578125" style="123" bestFit="1" customWidth="1"/>
    <col min="519" max="519" width="11.85546875" style="123" customWidth="1"/>
    <col min="520" max="520" width="15" style="123" bestFit="1" customWidth="1"/>
    <col min="521" max="526" width="13.42578125" style="123" bestFit="1" customWidth="1"/>
    <col min="527" max="527" width="12.85546875" style="123" bestFit="1" customWidth="1"/>
    <col min="528" max="768" width="9.140625" style="123"/>
    <col min="769" max="769" width="7" style="123" bestFit="1" customWidth="1"/>
    <col min="770" max="770" width="32" style="123" bestFit="1" customWidth="1"/>
    <col min="771" max="771" width="12.28515625" style="123" bestFit="1" customWidth="1"/>
    <col min="772" max="773" width="10.85546875" style="123" bestFit="1" customWidth="1"/>
    <col min="774" max="774" width="11.42578125" style="123" bestFit="1" customWidth="1"/>
    <col min="775" max="775" width="11.85546875" style="123" customWidth="1"/>
    <col min="776" max="776" width="15" style="123" bestFit="1" customWidth="1"/>
    <col min="777" max="782" width="13.42578125" style="123" bestFit="1" customWidth="1"/>
    <col min="783" max="783" width="12.85546875" style="123" bestFit="1" customWidth="1"/>
    <col min="784" max="1024" width="9.140625" style="123"/>
    <col min="1025" max="1025" width="7" style="123" bestFit="1" customWidth="1"/>
    <col min="1026" max="1026" width="32" style="123" bestFit="1" customWidth="1"/>
    <col min="1027" max="1027" width="12.28515625" style="123" bestFit="1" customWidth="1"/>
    <col min="1028" max="1029" width="10.85546875" style="123" bestFit="1" customWidth="1"/>
    <col min="1030" max="1030" width="11.42578125" style="123" bestFit="1" customWidth="1"/>
    <col min="1031" max="1031" width="11.85546875" style="123" customWidth="1"/>
    <col min="1032" max="1032" width="15" style="123" bestFit="1" customWidth="1"/>
    <col min="1033" max="1038" width="13.42578125" style="123" bestFit="1" customWidth="1"/>
    <col min="1039" max="1039" width="12.85546875" style="123" bestFit="1" customWidth="1"/>
    <col min="1040" max="1280" width="9.140625" style="123"/>
    <col min="1281" max="1281" width="7" style="123" bestFit="1" customWidth="1"/>
    <col min="1282" max="1282" width="32" style="123" bestFit="1" customWidth="1"/>
    <col min="1283" max="1283" width="12.28515625" style="123" bestFit="1" customWidth="1"/>
    <col min="1284" max="1285" width="10.85546875" style="123" bestFit="1" customWidth="1"/>
    <col min="1286" max="1286" width="11.42578125" style="123" bestFit="1" customWidth="1"/>
    <col min="1287" max="1287" width="11.85546875" style="123" customWidth="1"/>
    <col min="1288" max="1288" width="15" style="123" bestFit="1" customWidth="1"/>
    <col min="1289" max="1294" width="13.42578125" style="123" bestFit="1" customWidth="1"/>
    <col min="1295" max="1295" width="12.85546875" style="123" bestFit="1" customWidth="1"/>
    <col min="1296" max="1536" width="9.140625" style="123"/>
    <col min="1537" max="1537" width="7" style="123" bestFit="1" customWidth="1"/>
    <col min="1538" max="1538" width="32" style="123" bestFit="1" customWidth="1"/>
    <col min="1539" max="1539" width="12.28515625" style="123" bestFit="1" customWidth="1"/>
    <col min="1540" max="1541" width="10.85546875" style="123" bestFit="1" customWidth="1"/>
    <col min="1542" max="1542" width="11.42578125" style="123" bestFit="1" customWidth="1"/>
    <col min="1543" max="1543" width="11.85546875" style="123" customWidth="1"/>
    <col min="1544" max="1544" width="15" style="123" bestFit="1" customWidth="1"/>
    <col min="1545" max="1550" width="13.42578125" style="123" bestFit="1" customWidth="1"/>
    <col min="1551" max="1551" width="12.85546875" style="123" bestFit="1" customWidth="1"/>
    <col min="1552" max="1792" width="9.140625" style="123"/>
    <col min="1793" max="1793" width="7" style="123" bestFit="1" customWidth="1"/>
    <col min="1794" max="1794" width="32" style="123" bestFit="1" customWidth="1"/>
    <col min="1795" max="1795" width="12.28515625" style="123" bestFit="1" customWidth="1"/>
    <col min="1796" max="1797" width="10.85546875" style="123" bestFit="1" customWidth="1"/>
    <col min="1798" max="1798" width="11.42578125" style="123" bestFit="1" customWidth="1"/>
    <col min="1799" max="1799" width="11.85546875" style="123" customWidth="1"/>
    <col min="1800" max="1800" width="15" style="123" bestFit="1" customWidth="1"/>
    <col min="1801" max="1806" width="13.42578125" style="123" bestFit="1" customWidth="1"/>
    <col min="1807" max="1807" width="12.85546875" style="123" bestFit="1" customWidth="1"/>
    <col min="1808" max="2048" width="9.140625" style="123"/>
    <col min="2049" max="2049" width="7" style="123" bestFit="1" customWidth="1"/>
    <col min="2050" max="2050" width="32" style="123" bestFit="1" customWidth="1"/>
    <col min="2051" max="2051" width="12.28515625" style="123" bestFit="1" customWidth="1"/>
    <col min="2052" max="2053" width="10.85546875" style="123" bestFit="1" customWidth="1"/>
    <col min="2054" max="2054" width="11.42578125" style="123" bestFit="1" customWidth="1"/>
    <col min="2055" max="2055" width="11.85546875" style="123" customWidth="1"/>
    <col min="2056" max="2056" width="15" style="123" bestFit="1" customWidth="1"/>
    <col min="2057" max="2062" width="13.42578125" style="123" bestFit="1" customWidth="1"/>
    <col min="2063" max="2063" width="12.85546875" style="123" bestFit="1" customWidth="1"/>
    <col min="2064" max="2304" width="9.140625" style="123"/>
    <col min="2305" max="2305" width="7" style="123" bestFit="1" customWidth="1"/>
    <col min="2306" max="2306" width="32" style="123" bestFit="1" customWidth="1"/>
    <col min="2307" max="2307" width="12.28515625" style="123" bestFit="1" customWidth="1"/>
    <col min="2308" max="2309" width="10.85546875" style="123" bestFit="1" customWidth="1"/>
    <col min="2310" max="2310" width="11.42578125" style="123" bestFit="1" customWidth="1"/>
    <col min="2311" max="2311" width="11.85546875" style="123" customWidth="1"/>
    <col min="2312" max="2312" width="15" style="123" bestFit="1" customWidth="1"/>
    <col min="2313" max="2318" width="13.42578125" style="123" bestFit="1" customWidth="1"/>
    <col min="2319" max="2319" width="12.85546875" style="123" bestFit="1" customWidth="1"/>
    <col min="2320" max="2560" width="9.140625" style="123"/>
    <col min="2561" max="2561" width="7" style="123" bestFit="1" customWidth="1"/>
    <col min="2562" max="2562" width="32" style="123" bestFit="1" customWidth="1"/>
    <col min="2563" max="2563" width="12.28515625" style="123" bestFit="1" customWidth="1"/>
    <col min="2564" max="2565" width="10.85546875" style="123" bestFit="1" customWidth="1"/>
    <col min="2566" max="2566" width="11.42578125" style="123" bestFit="1" customWidth="1"/>
    <col min="2567" max="2567" width="11.85546875" style="123" customWidth="1"/>
    <col min="2568" max="2568" width="15" style="123" bestFit="1" customWidth="1"/>
    <col min="2569" max="2574" width="13.42578125" style="123" bestFit="1" customWidth="1"/>
    <col min="2575" max="2575" width="12.85546875" style="123" bestFit="1" customWidth="1"/>
    <col min="2576" max="2816" width="9.140625" style="123"/>
    <col min="2817" max="2817" width="7" style="123" bestFit="1" customWidth="1"/>
    <col min="2818" max="2818" width="32" style="123" bestFit="1" customWidth="1"/>
    <col min="2819" max="2819" width="12.28515625" style="123" bestFit="1" customWidth="1"/>
    <col min="2820" max="2821" width="10.85546875" style="123" bestFit="1" customWidth="1"/>
    <col min="2822" max="2822" width="11.42578125" style="123" bestFit="1" customWidth="1"/>
    <col min="2823" max="2823" width="11.85546875" style="123" customWidth="1"/>
    <col min="2824" max="2824" width="15" style="123" bestFit="1" customWidth="1"/>
    <col min="2825" max="2830" width="13.42578125" style="123" bestFit="1" customWidth="1"/>
    <col min="2831" max="2831" width="12.85546875" style="123" bestFit="1" customWidth="1"/>
    <col min="2832" max="3072" width="9.140625" style="123"/>
    <col min="3073" max="3073" width="7" style="123" bestFit="1" customWidth="1"/>
    <col min="3074" max="3074" width="32" style="123" bestFit="1" customWidth="1"/>
    <col min="3075" max="3075" width="12.28515625" style="123" bestFit="1" customWidth="1"/>
    <col min="3076" max="3077" width="10.85546875" style="123" bestFit="1" customWidth="1"/>
    <col min="3078" max="3078" width="11.42578125" style="123" bestFit="1" customWidth="1"/>
    <col min="3079" max="3079" width="11.85546875" style="123" customWidth="1"/>
    <col min="3080" max="3080" width="15" style="123" bestFit="1" customWidth="1"/>
    <col min="3081" max="3086" width="13.42578125" style="123" bestFit="1" customWidth="1"/>
    <col min="3087" max="3087" width="12.85546875" style="123" bestFit="1" customWidth="1"/>
    <col min="3088" max="3328" width="9.140625" style="123"/>
    <col min="3329" max="3329" width="7" style="123" bestFit="1" customWidth="1"/>
    <col min="3330" max="3330" width="32" style="123" bestFit="1" customWidth="1"/>
    <col min="3331" max="3331" width="12.28515625" style="123" bestFit="1" customWidth="1"/>
    <col min="3332" max="3333" width="10.85546875" style="123" bestFit="1" customWidth="1"/>
    <col min="3334" max="3334" width="11.42578125" style="123" bestFit="1" customWidth="1"/>
    <col min="3335" max="3335" width="11.85546875" style="123" customWidth="1"/>
    <col min="3336" max="3336" width="15" style="123" bestFit="1" customWidth="1"/>
    <col min="3337" max="3342" width="13.42578125" style="123" bestFit="1" customWidth="1"/>
    <col min="3343" max="3343" width="12.85546875" style="123" bestFit="1" customWidth="1"/>
    <col min="3344" max="3584" width="9.140625" style="123"/>
    <col min="3585" max="3585" width="7" style="123" bestFit="1" customWidth="1"/>
    <col min="3586" max="3586" width="32" style="123" bestFit="1" customWidth="1"/>
    <col min="3587" max="3587" width="12.28515625" style="123" bestFit="1" customWidth="1"/>
    <col min="3588" max="3589" width="10.85546875" style="123" bestFit="1" customWidth="1"/>
    <col min="3590" max="3590" width="11.42578125" style="123" bestFit="1" customWidth="1"/>
    <col min="3591" max="3591" width="11.85546875" style="123" customWidth="1"/>
    <col min="3592" max="3592" width="15" style="123" bestFit="1" customWidth="1"/>
    <col min="3593" max="3598" width="13.42578125" style="123" bestFit="1" customWidth="1"/>
    <col min="3599" max="3599" width="12.85546875" style="123" bestFit="1" customWidth="1"/>
    <col min="3600" max="3840" width="9.140625" style="123"/>
    <col min="3841" max="3841" width="7" style="123" bestFit="1" customWidth="1"/>
    <col min="3842" max="3842" width="32" style="123" bestFit="1" customWidth="1"/>
    <col min="3843" max="3843" width="12.28515625" style="123" bestFit="1" customWidth="1"/>
    <col min="3844" max="3845" width="10.85546875" style="123" bestFit="1" customWidth="1"/>
    <col min="3846" max="3846" width="11.42578125" style="123" bestFit="1" customWidth="1"/>
    <col min="3847" max="3847" width="11.85546875" style="123" customWidth="1"/>
    <col min="3848" max="3848" width="15" style="123" bestFit="1" customWidth="1"/>
    <col min="3849" max="3854" width="13.42578125" style="123" bestFit="1" customWidth="1"/>
    <col min="3855" max="3855" width="12.85546875" style="123" bestFit="1" customWidth="1"/>
    <col min="3856" max="4096" width="9.140625" style="123"/>
    <col min="4097" max="4097" width="7" style="123" bestFit="1" customWidth="1"/>
    <col min="4098" max="4098" width="32" style="123" bestFit="1" customWidth="1"/>
    <col min="4099" max="4099" width="12.28515625" style="123" bestFit="1" customWidth="1"/>
    <col min="4100" max="4101" width="10.85546875" style="123" bestFit="1" customWidth="1"/>
    <col min="4102" max="4102" width="11.42578125" style="123" bestFit="1" customWidth="1"/>
    <col min="4103" max="4103" width="11.85546875" style="123" customWidth="1"/>
    <col min="4104" max="4104" width="15" style="123" bestFit="1" customWidth="1"/>
    <col min="4105" max="4110" width="13.42578125" style="123" bestFit="1" customWidth="1"/>
    <col min="4111" max="4111" width="12.85546875" style="123" bestFit="1" customWidth="1"/>
    <col min="4112" max="4352" width="9.140625" style="123"/>
    <col min="4353" max="4353" width="7" style="123" bestFit="1" customWidth="1"/>
    <col min="4354" max="4354" width="32" style="123" bestFit="1" customWidth="1"/>
    <col min="4355" max="4355" width="12.28515625" style="123" bestFit="1" customWidth="1"/>
    <col min="4356" max="4357" width="10.85546875" style="123" bestFit="1" customWidth="1"/>
    <col min="4358" max="4358" width="11.42578125" style="123" bestFit="1" customWidth="1"/>
    <col min="4359" max="4359" width="11.85546875" style="123" customWidth="1"/>
    <col min="4360" max="4360" width="15" style="123" bestFit="1" customWidth="1"/>
    <col min="4361" max="4366" width="13.42578125" style="123" bestFit="1" customWidth="1"/>
    <col min="4367" max="4367" width="12.85546875" style="123" bestFit="1" customWidth="1"/>
    <col min="4368" max="4608" width="9.140625" style="123"/>
    <col min="4609" max="4609" width="7" style="123" bestFit="1" customWidth="1"/>
    <col min="4610" max="4610" width="32" style="123" bestFit="1" customWidth="1"/>
    <col min="4611" max="4611" width="12.28515625" style="123" bestFit="1" customWidth="1"/>
    <col min="4612" max="4613" width="10.85546875" style="123" bestFit="1" customWidth="1"/>
    <col min="4614" max="4614" width="11.42578125" style="123" bestFit="1" customWidth="1"/>
    <col min="4615" max="4615" width="11.85546875" style="123" customWidth="1"/>
    <col min="4616" max="4616" width="15" style="123" bestFit="1" customWidth="1"/>
    <col min="4617" max="4622" width="13.42578125" style="123" bestFit="1" customWidth="1"/>
    <col min="4623" max="4623" width="12.85546875" style="123" bestFit="1" customWidth="1"/>
    <col min="4624" max="4864" width="9.140625" style="123"/>
    <col min="4865" max="4865" width="7" style="123" bestFit="1" customWidth="1"/>
    <col min="4866" max="4866" width="32" style="123" bestFit="1" customWidth="1"/>
    <col min="4867" max="4867" width="12.28515625" style="123" bestFit="1" customWidth="1"/>
    <col min="4868" max="4869" width="10.85546875" style="123" bestFit="1" customWidth="1"/>
    <col min="4870" max="4870" width="11.42578125" style="123" bestFit="1" customWidth="1"/>
    <col min="4871" max="4871" width="11.85546875" style="123" customWidth="1"/>
    <col min="4872" max="4872" width="15" style="123" bestFit="1" customWidth="1"/>
    <col min="4873" max="4878" width="13.42578125" style="123" bestFit="1" customWidth="1"/>
    <col min="4879" max="4879" width="12.85546875" style="123" bestFit="1" customWidth="1"/>
    <col min="4880" max="5120" width="9.140625" style="123"/>
    <col min="5121" max="5121" width="7" style="123" bestFit="1" customWidth="1"/>
    <col min="5122" max="5122" width="32" style="123" bestFit="1" customWidth="1"/>
    <col min="5123" max="5123" width="12.28515625" style="123" bestFit="1" customWidth="1"/>
    <col min="5124" max="5125" width="10.85546875" style="123" bestFit="1" customWidth="1"/>
    <col min="5126" max="5126" width="11.42578125" style="123" bestFit="1" customWidth="1"/>
    <col min="5127" max="5127" width="11.85546875" style="123" customWidth="1"/>
    <col min="5128" max="5128" width="15" style="123" bestFit="1" customWidth="1"/>
    <col min="5129" max="5134" width="13.42578125" style="123" bestFit="1" customWidth="1"/>
    <col min="5135" max="5135" width="12.85546875" style="123" bestFit="1" customWidth="1"/>
    <col min="5136" max="5376" width="9.140625" style="123"/>
    <col min="5377" max="5377" width="7" style="123" bestFit="1" customWidth="1"/>
    <col min="5378" max="5378" width="32" style="123" bestFit="1" customWidth="1"/>
    <col min="5379" max="5379" width="12.28515625" style="123" bestFit="1" customWidth="1"/>
    <col min="5380" max="5381" width="10.85546875" style="123" bestFit="1" customWidth="1"/>
    <col min="5382" max="5382" width="11.42578125" style="123" bestFit="1" customWidth="1"/>
    <col min="5383" max="5383" width="11.85546875" style="123" customWidth="1"/>
    <col min="5384" max="5384" width="15" style="123" bestFit="1" customWidth="1"/>
    <col min="5385" max="5390" width="13.42578125" style="123" bestFit="1" customWidth="1"/>
    <col min="5391" max="5391" width="12.85546875" style="123" bestFit="1" customWidth="1"/>
    <col min="5392" max="5632" width="9.140625" style="123"/>
    <col min="5633" max="5633" width="7" style="123" bestFit="1" customWidth="1"/>
    <col min="5634" max="5634" width="32" style="123" bestFit="1" customWidth="1"/>
    <col min="5635" max="5635" width="12.28515625" style="123" bestFit="1" customWidth="1"/>
    <col min="5636" max="5637" width="10.85546875" style="123" bestFit="1" customWidth="1"/>
    <col min="5638" max="5638" width="11.42578125" style="123" bestFit="1" customWidth="1"/>
    <col min="5639" max="5639" width="11.85546875" style="123" customWidth="1"/>
    <col min="5640" max="5640" width="15" style="123" bestFit="1" customWidth="1"/>
    <col min="5641" max="5646" width="13.42578125" style="123" bestFit="1" customWidth="1"/>
    <col min="5647" max="5647" width="12.85546875" style="123" bestFit="1" customWidth="1"/>
    <col min="5648" max="5888" width="9.140625" style="123"/>
    <col min="5889" max="5889" width="7" style="123" bestFit="1" customWidth="1"/>
    <col min="5890" max="5890" width="32" style="123" bestFit="1" customWidth="1"/>
    <col min="5891" max="5891" width="12.28515625" style="123" bestFit="1" customWidth="1"/>
    <col min="5892" max="5893" width="10.85546875" style="123" bestFit="1" customWidth="1"/>
    <col min="5894" max="5894" width="11.42578125" style="123" bestFit="1" customWidth="1"/>
    <col min="5895" max="5895" width="11.85546875" style="123" customWidth="1"/>
    <col min="5896" max="5896" width="15" style="123" bestFit="1" customWidth="1"/>
    <col min="5897" max="5902" width="13.42578125" style="123" bestFit="1" customWidth="1"/>
    <col min="5903" max="5903" width="12.85546875" style="123" bestFit="1" customWidth="1"/>
    <col min="5904" max="6144" width="9.140625" style="123"/>
    <col min="6145" max="6145" width="7" style="123" bestFit="1" customWidth="1"/>
    <col min="6146" max="6146" width="32" style="123" bestFit="1" customWidth="1"/>
    <col min="6147" max="6147" width="12.28515625" style="123" bestFit="1" customWidth="1"/>
    <col min="6148" max="6149" width="10.85546875" style="123" bestFit="1" customWidth="1"/>
    <col min="6150" max="6150" width="11.42578125" style="123" bestFit="1" customWidth="1"/>
    <col min="6151" max="6151" width="11.85546875" style="123" customWidth="1"/>
    <col min="6152" max="6152" width="15" style="123" bestFit="1" customWidth="1"/>
    <col min="6153" max="6158" width="13.42578125" style="123" bestFit="1" customWidth="1"/>
    <col min="6159" max="6159" width="12.85546875" style="123" bestFit="1" customWidth="1"/>
    <col min="6160" max="6400" width="9.140625" style="123"/>
    <col min="6401" max="6401" width="7" style="123" bestFit="1" customWidth="1"/>
    <col min="6402" max="6402" width="32" style="123" bestFit="1" customWidth="1"/>
    <col min="6403" max="6403" width="12.28515625" style="123" bestFit="1" customWidth="1"/>
    <col min="6404" max="6405" width="10.85546875" style="123" bestFit="1" customWidth="1"/>
    <col min="6406" max="6406" width="11.42578125" style="123" bestFit="1" customWidth="1"/>
    <col min="6407" max="6407" width="11.85546875" style="123" customWidth="1"/>
    <col min="6408" max="6408" width="15" style="123" bestFit="1" customWidth="1"/>
    <col min="6409" max="6414" width="13.42578125" style="123" bestFit="1" customWidth="1"/>
    <col min="6415" max="6415" width="12.85546875" style="123" bestFit="1" customWidth="1"/>
    <col min="6416" max="6656" width="9.140625" style="123"/>
    <col min="6657" max="6657" width="7" style="123" bestFit="1" customWidth="1"/>
    <col min="6658" max="6658" width="32" style="123" bestFit="1" customWidth="1"/>
    <col min="6659" max="6659" width="12.28515625" style="123" bestFit="1" customWidth="1"/>
    <col min="6660" max="6661" width="10.85546875" style="123" bestFit="1" customWidth="1"/>
    <col min="6662" max="6662" width="11.42578125" style="123" bestFit="1" customWidth="1"/>
    <col min="6663" max="6663" width="11.85546875" style="123" customWidth="1"/>
    <col min="6664" max="6664" width="15" style="123" bestFit="1" customWidth="1"/>
    <col min="6665" max="6670" width="13.42578125" style="123" bestFit="1" customWidth="1"/>
    <col min="6671" max="6671" width="12.85546875" style="123" bestFit="1" customWidth="1"/>
    <col min="6672" max="6912" width="9.140625" style="123"/>
    <col min="6913" max="6913" width="7" style="123" bestFit="1" customWidth="1"/>
    <col min="6914" max="6914" width="32" style="123" bestFit="1" customWidth="1"/>
    <col min="6915" max="6915" width="12.28515625" style="123" bestFit="1" customWidth="1"/>
    <col min="6916" max="6917" width="10.85546875" style="123" bestFit="1" customWidth="1"/>
    <col min="6918" max="6918" width="11.42578125" style="123" bestFit="1" customWidth="1"/>
    <col min="6919" max="6919" width="11.85546875" style="123" customWidth="1"/>
    <col min="6920" max="6920" width="15" style="123" bestFit="1" customWidth="1"/>
    <col min="6921" max="6926" width="13.42578125" style="123" bestFit="1" customWidth="1"/>
    <col min="6927" max="6927" width="12.85546875" style="123" bestFit="1" customWidth="1"/>
    <col min="6928" max="7168" width="9.140625" style="123"/>
    <col min="7169" max="7169" width="7" style="123" bestFit="1" customWidth="1"/>
    <col min="7170" max="7170" width="32" style="123" bestFit="1" customWidth="1"/>
    <col min="7171" max="7171" width="12.28515625" style="123" bestFit="1" customWidth="1"/>
    <col min="7172" max="7173" width="10.85546875" style="123" bestFit="1" customWidth="1"/>
    <col min="7174" max="7174" width="11.42578125" style="123" bestFit="1" customWidth="1"/>
    <col min="7175" max="7175" width="11.85546875" style="123" customWidth="1"/>
    <col min="7176" max="7176" width="15" style="123" bestFit="1" customWidth="1"/>
    <col min="7177" max="7182" width="13.42578125" style="123" bestFit="1" customWidth="1"/>
    <col min="7183" max="7183" width="12.85546875" style="123" bestFit="1" customWidth="1"/>
    <col min="7184" max="7424" width="9.140625" style="123"/>
    <col min="7425" max="7425" width="7" style="123" bestFit="1" customWidth="1"/>
    <col min="7426" max="7426" width="32" style="123" bestFit="1" customWidth="1"/>
    <col min="7427" max="7427" width="12.28515625" style="123" bestFit="1" customWidth="1"/>
    <col min="7428" max="7429" width="10.85546875" style="123" bestFit="1" customWidth="1"/>
    <col min="7430" max="7430" width="11.42578125" style="123" bestFit="1" customWidth="1"/>
    <col min="7431" max="7431" width="11.85546875" style="123" customWidth="1"/>
    <col min="7432" max="7432" width="15" style="123" bestFit="1" customWidth="1"/>
    <col min="7433" max="7438" width="13.42578125" style="123" bestFit="1" customWidth="1"/>
    <col min="7439" max="7439" width="12.85546875" style="123" bestFit="1" customWidth="1"/>
    <col min="7440" max="7680" width="9.140625" style="123"/>
    <col min="7681" max="7681" width="7" style="123" bestFit="1" customWidth="1"/>
    <col min="7682" max="7682" width="32" style="123" bestFit="1" customWidth="1"/>
    <col min="7683" max="7683" width="12.28515625" style="123" bestFit="1" customWidth="1"/>
    <col min="7684" max="7685" width="10.85546875" style="123" bestFit="1" customWidth="1"/>
    <col min="7686" max="7686" width="11.42578125" style="123" bestFit="1" customWidth="1"/>
    <col min="7687" max="7687" width="11.85546875" style="123" customWidth="1"/>
    <col min="7688" max="7688" width="15" style="123" bestFit="1" customWidth="1"/>
    <col min="7689" max="7694" width="13.42578125" style="123" bestFit="1" customWidth="1"/>
    <col min="7695" max="7695" width="12.85546875" style="123" bestFit="1" customWidth="1"/>
    <col min="7696" max="7936" width="9.140625" style="123"/>
    <col min="7937" max="7937" width="7" style="123" bestFit="1" customWidth="1"/>
    <col min="7938" max="7938" width="32" style="123" bestFit="1" customWidth="1"/>
    <col min="7939" max="7939" width="12.28515625" style="123" bestFit="1" customWidth="1"/>
    <col min="7940" max="7941" width="10.85546875" style="123" bestFit="1" customWidth="1"/>
    <col min="7942" max="7942" width="11.42578125" style="123" bestFit="1" customWidth="1"/>
    <col min="7943" max="7943" width="11.85546875" style="123" customWidth="1"/>
    <col min="7944" max="7944" width="15" style="123" bestFit="1" customWidth="1"/>
    <col min="7945" max="7950" width="13.42578125" style="123" bestFit="1" customWidth="1"/>
    <col min="7951" max="7951" width="12.85546875" style="123" bestFit="1" customWidth="1"/>
    <col min="7952" max="8192" width="9.140625" style="123"/>
    <col min="8193" max="8193" width="7" style="123" bestFit="1" customWidth="1"/>
    <col min="8194" max="8194" width="32" style="123" bestFit="1" customWidth="1"/>
    <col min="8195" max="8195" width="12.28515625" style="123" bestFit="1" customWidth="1"/>
    <col min="8196" max="8197" width="10.85546875" style="123" bestFit="1" customWidth="1"/>
    <col min="8198" max="8198" width="11.42578125" style="123" bestFit="1" customWidth="1"/>
    <col min="8199" max="8199" width="11.85546875" style="123" customWidth="1"/>
    <col min="8200" max="8200" width="15" style="123" bestFit="1" customWidth="1"/>
    <col min="8201" max="8206" width="13.42578125" style="123" bestFit="1" customWidth="1"/>
    <col min="8207" max="8207" width="12.85546875" style="123" bestFit="1" customWidth="1"/>
    <col min="8208" max="8448" width="9.140625" style="123"/>
    <col min="8449" max="8449" width="7" style="123" bestFit="1" customWidth="1"/>
    <col min="8450" max="8450" width="32" style="123" bestFit="1" customWidth="1"/>
    <col min="8451" max="8451" width="12.28515625" style="123" bestFit="1" customWidth="1"/>
    <col min="8452" max="8453" width="10.85546875" style="123" bestFit="1" customWidth="1"/>
    <col min="8454" max="8454" width="11.42578125" style="123" bestFit="1" customWidth="1"/>
    <col min="8455" max="8455" width="11.85546875" style="123" customWidth="1"/>
    <col min="8456" max="8456" width="15" style="123" bestFit="1" customWidth="1"/>
    <col min="8457" max="8462" width="13.42578125" style="123" bestFit="1" customWidth="1"/>
    <col min="8463" max="8463" width="12.85546875" style="123" bestFit="1" customWidth="1"/>
    <col min="8464" max="8704" width="9.140625" style="123"/>
    <col min="8705" max="8705" width="7" style="123" bestFit="1" customWidth="1"/>
    <col min="8706" max="8706" width="32" style="123" bestFit="1" customWidth="1"/>
    <col min="8707" max="8707" width="12.28515625" style="123" bestFit="1" customWidth="1"/>
    <col min="8708" max="8709" width="10.85546875" style="123" bestFit="1" customWidth="1"/>
    <col min="8710" max="8710" width="11.42578125" style="123" bestFit="1" customWidth="1"/>
    <col min="8711" max="8711" width="11.85546875" style="123" customWidth="1"/>
    <col min="8712" max="8712" width="15" style="123" bestFit="1" customWidth="1"/>
    <col min="8713" max="8718" width="13.42578125" style="123" bestFit="1" customWidth="1"/>
    <col min="8719" max="8719" width="12.85546875" style="123" bestFit="1" customWidth="1"/>
    <col min="8720" max="8960" width="9.140625" style="123"/>
    <col min="8961" max="8961" width="7" style="123" bestFit="1" customWidth="1"/>
    <col min="8962" max="8962" width="32" style="123" bestFit="1" customWidth="1"/>
    <col min="8963" max="8963" width="12.28515625" style="123" bestFit="1" customWidth="1"/>
    <col min="8964" max="8965" width="10.85546875" style="123" bestFit="1" customWidth="1"/>
    <col min="8966" max="8966" width="11.42578125" style="123" bestFit="1" customWidth="1"/>
    <col min="8967" max="8967" width="11.85546875" style="123" customWidth="1"/>
    <col min="8968" max="8968" width="15" style="123" bestFit="1" customWidth="1"/>
    <col min="8969" max="8974" width="13.42578125" style="123" bestFit="1" customWidth="1"/>
    <col min="8975" max="8975" width="12.85546875" style="123" bestFit="1" customWidth="1"/>
    <col min="8976" max="9216" width="9.140625" style="123"/>
    <col min="9217" max="9217" width="7" style="123" bestFit="1" customWidth="1"/>
    <col min="9218" max="9218" width="32" style="123" bestFit="1" customWidth="1"/>
    <col min="9219" max="9219" width="12.28515625" style="123" bestFit="1" customWidth="1"/>
    <col min="9220" max="9221" width="10.85546875" style="123" bestFit="1" customWidth="1"/>
    <col min="9222" max="9222" width="11.42578125" style="123" bestFit="1" customWidth="1"/>
    <col min="9223" max="9223" width="11.85546875" style="123" customWidth="1"/>
    <col min="9224" max="9224" width="15" style="123" bestFit="1" customWidth="1"/>
    <col min="9225" max="9230" width="13.42578125" style="123" bestFit="1" customWidth="1"/>
    <col min="9231" max="9231" width="12.85546875" style="123" bestFit="1" customWidth="1"/>
    <col min="9232" max="9472" width="9.140625" style="123"/>
    <col min="9473" max="9473" width="7" style="123" bestFit="1" customWidth="1"/>
    <col min="9474" max="9474" width="32" style="123" bestFit="1" customWidth="1"/>
    <col min="9475" max="9475" width="12.28515625" style="123" bestFit="1" customWidth="1"/>
    <col min="9476" max="9477" width="10.85546875" style="123" bestFit="1" customWidth="1"/>
    <col min="9478" max="9478" width="11.42578125" style="123" bestFit="1" customWidth="1"/>
    <col min="9479" max="9479" width="11.85546875" style="123" customWidth="1"/>
    <col min="9480" max="9480" width="15" style="123" bestFit="1" customWidth="1"/>
    <col min="9481" max="9486" width="13.42578125" style="123" bestFit="1" customWidth="1"/>
    <col min="9487" max="9487" width="12.85546875" style="123" bestFit="1" customWidth="1"/>
    <col min="9488" max="9728" width="9.140625" style="123"/>
    <col min="9729" max="9729" width="7" style="123" bestFit="1" customWidth="1"/>
    <col min="9730" max="9730" width="32" style="123" bestFit="1" customWidth="1"/>
    <col min="9731" max="9731" width="12.28515625" style="123" bestFit="1" customWidth="1"/>
    <col min="9732" max="9733" width="10.85546875" style="123" bestFit="1" customWidth="1"/>
    <col min="9734" max="9734" width="11.42578125" style="123" bestFit="1" customWidth="1"/>
    <col min="9735" max="9735" width="11.85546875" style="123" customWidth="1"/>
    <col min="9736" max="9736" width="15" style="123" bestFit="1" customWidth="1"/>
    <col min="9737" max="9742" width="13.42578125" style="123" bestFit="1" customWidth="1"/>
    <col min="9743" max="9743" width="12.85546875" style="123" bestFit="1" customWidth="1"/>
    <col min="9744" max="9984" width="9.140625" style="123"/>
    <col min="9985" max="9985" width="7" style="123" bestFit="1" customWidth="1"/>
    <col min="9986" max="9986" width="32" style="123" bestFit="1" customWidth="1"/>
    <col min="9987" max="9987" width="12.28515625" style="123" bestFit="1" customWidth="1"/>
    <col min="9988" max="9989" width="10.85546875" style="123" bestFit="1" customWidth="1"/>
    <col min="9990" max="9990" width="11.42578125" style="123" bestFit="1" customWidth="1"/>
    <col min="9991" max="9991" width="11.85546875" style="123" customWidth="1"/>
    <col min="9992" max="9992" width="15" style="123" bestFit="1" customWidth="1"/>
    <col min="9993" max="9998" width="13.42578125" style="123" bestFit="1" customWidth="1"/>
    <col min="9999" max="9999" width="12.85546875" style="123" bestFit="1" customWidth="1"/>
    <col min="10000" max="10240" width="9.140625" style="123"/>
    <col min="10241" max="10241" width="7" style="123" bestFit="1" customWidth="1"/>
    <col min="10242" max="10242" width="32" style="123" bestFit="1" customWidth="1"/>
    <col min="10243" max="10243" width="12.28515625" style="123" bestFit="1" customWidth="1"/>
    <col min="10244" max="10245" width="10.85546875" style="123" bestFit="1" customWidth="1"/>
    <col min="10246" max="10246" width="11.42578125" style="123" bestFit="1" customWidth="1"/>
    <col min="10247" max="10247" width="11.85546875" style="123" customWidth="1"/>
    <col min="10248" max="10248" width="15" style="123" bestFit="1" customWidth="1"/>
    <col min="10249" max="10254" width="13.42578125" style="123" bestFit="1" customWidth="1"/>
    <col min="10255" max="10255" width="12.85546875" style="123" bestFit="1" customWidth="1"/>
    <col min="10256" max="10496" width="9.140625" style="123"/>
    <col min="10497" max="10497" width="7" style="123" bestFit="1" customWidth="1"/>
    <col min="10498" max="10498" width="32" style="123" bestFit="1" customWidth="1"/>
    <col min="10499" max="10499" width="12.28515625" style="123" bestFit="1" customWidth="1"/>
    <col min="10500" max="10501" width="10.85546875" style="123" bestFit="1" customWidth="1"/>
    <col min="10502" max="10502" width="11.42578125" style="123" bestFit="1" customWidth="1"/>
    <col min="10503" max="10503" width="11.85546875" style="123" customWidth="1"/>
    <col min="10504" max="10504" width="15" style="123" bestFit="1" customWidth="1"/>
    <col min="10505" max="10510" width="13.42578125" style="123" bestFit="1" customWidth="1"/>
    <col min="10511" max="10511" width="12.85546875" style="123" bestFit="1" customWidth="1"/>
    <col min="10512" max="10752" width="9.140625" style="123"/>
    <col min="10753" max="10753" width="7" style="123" bestFit="1" customWidth="1"/>
    <col min="10754" max="10754" width="32" style="123" bestFit="1" customWidth="1"/>
    <col min="10755" max="10755" width="12.28515625" style="123" bestFit="1" customWidth="1"/>
    <col min="10756" max="10757" width="10.85546875" style="123" bestFit="1" customWidth="1"/>
    <col min="10758" max="10758" width="11.42578125" style="123" bestFit="1" customWidth="1"/>
    <col min="10759" max="10759" width="11.85546875" style="123" customWidth="1"/>
    <col min="10760" max="10760" width="15" style="123" bestFit="1" customWidth="1"/>
    <col min="10761" max="10766" width="13.42578125" style="123" bestFit="1" customWidth="1"/>
    <col min="10767" max="10767" width="12.85546875" style="123" bestFit="1" customWidth="1"/>
    <col min="10768" max="11008" width="9.140625" style="123"/>
    <col min="11009" max="11009" width="7" style="123" bestFit="1" customWidth="1"/>
    <col min="11010" max="11010" width="32" style="123" bestFit="1" customWidth="1"/>
    <col min="11011" max="11011" width="12.28515625" style="123" bestFit="1" customWidth="1"/>
    <col min="11012" max="11013" width="10.85546875" style="123" bestFit="1" customWidth="1"/>
    <col min="11014" max="11014" width="11.42578125" style="123" bestFit="1" customWidth="1"/>
    <col min="11015" max="11015" width="11.85546875" style="123" customWidth="1"/>
    <col min="11016" max="11016" width="15" style="123" bestFit="1" customWidth="1"/>
    <col min="11017" max="11022" width="13.42578125" style="123" bestFit="1" customWidth="1"/>
    <col min="11023" max="11023" width="12.85546875" style="123" bestFit="1" customWidth="1"/>
    <col min="11024" max="11264" width="9.140625" style="123"/>
    <col min="11265" max="11265" width="7" style="123" bestFit="1" customWidth="1"/>
    <col min="11266" max="11266" width="32" style="123" bestFit="1" customWidth="1"/>
    <col min="11267" max="11267" width="12.28515625" style="123" bestFit="1" customWidth="1"/>
    <col min="11268" max="11269" width="10.85546875" style="123" bestFit="1" customWidth="1"/>
    <col min="11270" max="11270" width="11.42578125" style="123" bestFit="1" customWidth="1"/>
    <col min="11271" max="11271" width="11.85546875" style="123" customWidth="1"/>
    <col min="11272" max="11272" width="15" style="123" bestFit="1" customWidth="1"/>
    <col min="11273" max="11278" width="13.42578125" style="123" bestFit="1" customWidth="1"/>
    <col min="11279" max="11279" width="12.85546875" style="123" bestFit="1" customWidth="1"/>
    <col min="11280" max="11520" width="9.140625" style="123"/>
    <col min="11521" max="11521" width="7" style="123" bestFit="1" customWidth="1"/>
    <col min="11522" max="11522" width="32" style="123" bestFit="1" customWidth="1"/>
    <col min="11523" max="11523" width="12.28515625" style="123" bestFit="1" customWidth="1"/>
    <col min="11524" max="11525" width="10.85546875" style="123" bestFit="1" customWidth="1"/>
    <col min="11526" max="11526" width="11.42578125" style="123" bestFit="1" customWidth="1"/>
    <col min="11527" max="11527" width="11.85546875" style="123" customWidth="1"/>
    <col min="11528" max="11528" width="15" style="123" bestFit="1" customWidth="1"/>
    <col min="11529" max="11534" width="13.42578125" style="123" bestFit="1" customWidth="1"/>
    <col min="11535" max="11535" width="12.85546875" style="123" bestFit="1" customWidth="1"/>
    <col min="11536" max="11776" width="9.140625" style="123"/>
    <col min="11777" max="11777" width="7" style="123" bestFit="1" customWidth="1"/>
    <col min="11778" max="11778" width="32" style="123" bestFit="1" customWidth="1"/>
    <col min="11779" max="11779" width="12.28515625" style="123" bestFit="1" customWidth="1"/>
    <col min="11780" max="11781" width="10.85546875" style="123" bestFit="1" customWidth="1"/>
    <col min="11782" max="11782" width="11.42578125" style="123" bestFit="1" customWidth="1"/>
    <col min="11783" max="11783" width="11.85546875" style="123" customWidth="1"/>
    <col min="11784" max="11784" width="15" style="123" bestFit="1" customWidth="1"/>
    <col min="11785" max="11790" width="13.42578125" style="123" bestFit="1" customWidth="1"/>
    <col min="11791" max="11791" width="12.85546875" style="123" bestFit="1" customWidth="1"/>
    <col min="11792" max="12032" width="9.140625" style="123"/>
    <col min="12033" max="12033" width="7" style="123" bestFit="1" customWidth="1"/>
    <col min="12034" max="12034" width="32" style="123" bestFit="1" customWidth="1"/>
    <col min="12035" max="12035" width="12.28515625" style="123" bestFit="1" customWidth="1"/>
    <col min="12036" max="12037" width="10.85546875" style="123" bestFit="1" customWidth="1"/>
    <col min="12038" max="12038" width="11.42578125" style="123" bestFit="1" customWidth="1"/>
    <col min="12039" max="12039" width="11.85546875" style="123" customWidth="1"/>
    <col min="12040" max="12040" width="15" style="123" bestFit="1" customWidth="1"/>
    <col min="12041" max="12046" width="13.42578125" style="123" bestFit="1" customWidth="1"/>
    <col min="12047" max="12047" width="12.85546875" style="123" bestFit="1" customWidth="1"/>
    <col min="12048" max="12288" width="9.140625" style="123"/>
    <col min="12289" max="12289" width="7" style="123" bestFit="1" customWidth="1"/>
    <col min="12290" max="12290" width="32" style="123" bestFit="1" customWidth="1"/>
    <col min="12291" max="12291" width="12.28515625" style="123" bestFit="1" customWidth="1"/>
    <col min="12292" max="12293" width="10.85546875" style="123" bestFit="1" customWidth="1"/>
    <col min="12294" max="12294" width="11.42578125" style="123" bestFit="1" customWidth="1"/>
    <col min="12295" max="12295" width="11.85546875" style="123" customWidth="1"/>
    <col min="12296" max="12296" width="15" style="123" bestFit="1" customWidth="1"/>
    <col min="12297" max="12302" width="13.42578125" style="123" bestFit="1" customWidth="1"/>
    <col min="12303" max="12303" width="12.85546875" style="123" bestFit="1" customWidth="1"/>
    <col min="12304" max="12544" width="9.140625" style="123"/>
    <col min="12545" max="12545" width="7" style="123" bestFit="1" customWidth="1"/>
    <col min="12546" max="12546" width="32" style="123" bestFit="1" customWidth="1"/>
    <col min="12547" max="12547" width="12.28515625" style="123" bestFit="1" customWidth="1"/>
    <col min="12548" max="12549" width="10.85546875" style="123" bestFit="1" customWidth="1"/>
    <col min="12550" max="12550" width="11.42578125" style="123" bestFit="1" customWidth="1"/>
    <col min="12551" max="12551" width="11.85546875" style="123" customWidth="1"/>
    <col min="12552" max="12552" width="15" style="123" bestFit="1" customWidth="1"/>
    <col min="12553" max="12558" width="13.42578125" style="123" bestFit="1" customWidth="1"/>
    <col min="12559" max="12559" width="12.85546875" style="123" bestFit="1" customWidth="1"/>
    <col min="12560" max="12800" width="9.140625" style="123"/>
    <col min="12801" max="12801" width="7" style="123" bestFit="1" customWidth="1"/>
    <col min="12802" max="12802" width="32" style="123" bestFit="1" customWidth="1"/>
    <col min="12803" max="12803" width="12.28515625" style="123" bestFit="1" customWidth="1"/>
    <col min="12804" max="12805" width="10.85546875" style="123" bestFit="1" customWidth="1"/>
    <col min="12806" max="12806" width="11.42578125" style="123" bestFit="1" customWidth="1"/>
    <col min="12807" max="12807" width="11.85546875" style="123" customWidth="1"/>
    <col min="12808" max="12808" width="15" style="123" bestFit="1" customWidth="1"/>
    <col min="12809" max="12814" width="13.42578125" style="123" bestFit="1" customWidth="1"/>
    <col min="12815" max="12815" width="12.85546875" style="123" bestFit="1" customWidth="1"/>
    <col min="12816" max="13056" width="9.140625" style="123"/>
    <col min="13057" max="13057" width="7" style="123" bestFit="1" customWidth="1"/>
    <col min="13058" max="13058" width="32" style="123" bestFit="1" customWidth="1"/>
    <col min="13059" max="13059" width="12.28515625" style="123" bestFit="1" customWidth="1"/>
    <col min="13060" max="13061" width="10.85546875" style="123" bestFit="1" customWidth="1"/>
    <col min="13062" max="13062" width="11.42578125" style="123" bestFit="1" customWidth="1"/>
    <col min="13063" max="13063" width="11.85546875" style="123" customWidth="1"/>
    <col min="13064" max="13064" width="15" style="123" bestFit="1" customWidth="1"/>
    <col min="13065" max="13070" width="13.42578125" style="123" bestFit="1" customWidth="1"/>
    <col min="13071" max="13071" width="12.85546875" style="123" bestFit="1" customWidth="1"/>
    <col min="13072" max="13312" width="9.140625" style="123"/>
    <col min="13313" max="13313" width="7" style="123" bestFit="1" customWidth="1"/>
    <col min="13314" max="13314" width="32" style="123" bestFit="1" customWidth="1"/>
    <col min="13315" max="13315" width="12.28515625" style="123" bestFit="1" customWidth="1"/>
    <col min="13316" max="13317" width="10.85546875" style="123" bestFit="1" customWidth="1"/>
    <col min="13318" max="13318" width="11.42578125" style="123" bestFit="1" customWidth="1"/>
    <col min="13319" max="13319" width="11.85546875" style="123" customWidth="1"/>
    <col min="13320" max="13320" width="15" style="123" bestFit="1" customWidth="1"/>
    <col min="13321" max="13326" width="13.42578125" style="123" bestFit="1" customWidth="1"/>
    <col min="13327" max="13327" width="12.85546875" style="123" bestFit="1" customWidth="1"/>
    <col min="13328" max="13568" width="9.140625" style="123"/>
    <col min="13569" max="13569" width="7" style="123" bestFit="1" customWidth="1"/>
    <col min="13570" max="13570" width="32" style="123" bestFit="1" customWidth="1"/>
    <col min="13571" max="13571" width="12.28515625" style="123" bestFit="1" customWidth="1"/>
    <col min="13572" max="13573" width="10.85546875" style="123" bestFit="1" customWidth="1"/>
    <col min="13574" max="13574" width="11.42578125" style="123" bestFit="1" customWidth="1"/>
    <col min="13575" max="13575" width="11.85546875" style="123" customWidth="1"/>
    <col min="13576" max="13576" width="15" style="123" bestFit="1" customWidth="1"/>
    <col min="13577" max="13582" width="13.42578125" style="123" bestFit="1" customWidth="1"/>
    <col min="13583" max="13583" width="12.85546875" style="123" bestFit="1" customWidth="1"/>
    <col min="13584" max="13824" width="9.140625" style="123"/>
    <col min="13825" max="13825" width="7" style="123" bestFit="1" customWidth="1"/>
    <col min="13826" max="13826" width="32" style="123" bestFit="1" customWidth="1"/>
    <col min="13827" max="13827" width="12.28515625" style="123" bestFit="1" customWidth="1"/>
    <col min="13828" max="13829" width="10.85546875" style="123" bestFit="1" customWidth="1"/>
    <col min="13830" max="13830" width="11.42578125" style="123" bestFit="1" customWidth="1"/>
    <col min="13831" max="13831" width="11.85546875" style="123" customWidth="1"/>
    <col min="13832" max="13832" width="15" style="123" bestFit="1" customWidth="1"/>
    <col min="13833" max="13838" width="13.42578125" style="123" bestFit="1" customWidth="1"/>
    <col min="13839" max="13839" width="12.85546875" style="123" bestFit="1" customWidth="1"/>
    <col min="13840" max="14080" width="9.140625" style="123"/>
    <col min="14081" max="14081" width="7" style="123" bestFit="1" customWidth="1"/>
    <col min="14082" max="14082" width="32" style="123" bestFit="1" customWidth="1"/>
    <col min="14083" max="14083" width="12.28515625" style="123" bestFit="1" customWidth="1"/>
    <col min="14084" max="14085" width="10.85546875" style="123" bestFit="1" customWidth="1"/>
    <col min="14086" max="14086" width="11.42578125" style="123" bestFit="1" customWidth="1"/>
    <col min="14087" max="14087" width="11.85546875" style="123" customWidth="1"/>
    <col min="14088" max="14088" width="15" style="123" bestFit="1" customWidth="1"/>
    <col min="14089" max="14094" width="13.42578125" style="123" bestFit="1" customWidth="1"/>
    <col min="14095" max="14095" width="12.85546875" style="123" bestFit="1" customWidth="1"/>
    <col min="14096" max="14336" width="9.140625" style="123"/>
    <col min="14337" max="14337" width="7" style="123" bestFit="1" customWidth="1"/>
    <col min="14338" max="14338" width="32" style="123" bestFit="1" customWidth="1"/>
    <col min="14339" max="14339" width="12.28515625" style="123" bestFit="1" customWidth="1"/>
    <col min="14340" max="14341" width="10.85546875" style="123" bestFit="1" customWidth="1"/>
    <col min="14342" max="14342" width="11.42578125" style="123" bestFit="1" customWidth="1"/>
    <col min="14343" max="14343" width="11.85546875" style="123" customWidth="1"/>
    <col min="14344" max="14344" width="15" style="123" bestFit="1" customWidth="1"/>
    <col min="14345" max="14350" width="13.42578125" style="123" bestFit="1" customWidth="1"/>
    <col min="14351" max="14351" width="12.85546875" style="123" bestFit="1" customWidth="1"/>
    <col min="14352" max="14592" width="9.140625" style="123"/>
    <col min="14593" max="14593" width="7" style="123" bestFit="1" customWidth="1"/>
    <col min="14594" max="14594" width="32" style="123" bestFit="1" customWidth="1"/>
    <col min="14595" max="14595" width="12.28515625" style="123" bestFit="1" customWidth="1"/>
    <col min="14596" max="14597" width="10.85546875" style="123" bestFit="1" customWidth="1"/>
    <col min="14598" max="14598" width="11.42578125" style="123" bestFit="1" customWidth="1"/>
    <col min="14599" max="14599" width="11.85546875" style="123" customWidth="1"/>
    <col min="14600" max="14600" width="15" style="123" bestFit="1" customWidth="1"/>
    <col min="14601" max="14606" width="13.42578125" style="123" bestFit="1" customWidth="1"/>
    <col min="14607" max="14607" width="12.85546875" style="123" bestFit="1" customWidth="1"/>
    <col min="14608" max="14848" width="9.140625" style="123"/>
    <col min="14849" max="14849" width="7" style="123" bestFit="1" customWidth="1"/>
    <col min="14850" max="14850" width="32" style="123" bestFit="1" customWidth="1"/>
    <col min="14851" max="14851" width="12.28515625" style="123" bestFit="1" customWidth="1"/>
    <col min="14852" max="14853" width="10.85546875" style="123" bestFit="1" customWidth="1"/>
    <col min="14854" max="14854" width="11.42578125" style="123" bestFit="1" customWidth="1"/>
    <col min="14855" max="14855" width="11.85546875" style="123" customWidth="1"/>
    <col min="14856" max="14856" width="15" style="123" bestFit="1" customWidth="1"/>
    <col min="14857" max="14862" width="13.42578125" style="123" bestFit="1" customWidth="1"/>
    <col min="14863" max="14863" width="12.85546875" style="123" bestFit="1" customWidth="1"/>
    <col min="14864" max="15104" width="9.140625" style="123"/>
    <col min="15105" max="15105" width="7" style="123" bestFit="1" customWidth="1"/>
    <col min="15106" max="15106" width="32" style="123" bestFit="1" customWidth="1"/>
    <col min="15107" max="15107" width="12.28515625" style="123" bestFit="1" customWidth="1"/>
    <col min="15108" max="15109" width="10.85546875" style="123" bestFit="1" customWidth="1"/>
    <col min="15110" max="15110" width="11.42578125" style="123" bestFit="1" customWidth="1"/>
    <col min="15111" max="15111" width="11.85546875" style="123" customWidth="1"/>
    <col min="15112" max="15112" width="15" style="123" bestFit="1" customWidth="1"/>
    <col min="15113" max="15118" width="13.42578125" style="123" bestFit="1" customWidth="1"/>
    <col min="15119" max="15119" width="12.85546875" style="123" bestFit="1" customWidth="1"/>
    <col min="15120" max="15360" width="9.140625" style="123"/>
    <col min="15361" max="15361" width="7" style="123" bestFit="1" customWidth="1"/>
    <col min="15362" max="15362" width="32" style="123" bestFit="1" customWidth="1"/>
    <col min="15363" max="15363" width="12.28515625" style="123" bestFit="1" customWidth="1"/>
    <col min="15364" max="15365" width="10.85546875" style="123" bestFit="1" customWidth="1"/>
    <col min="15366" max="15366" width="11.42578125" style="123" bestFit="1" customWidth="1"/>
    <col min="15367" max="15367" width="11.85546875" style="123" customWidth="1"/>
    <col min="15368" max="15368" width="15" style="123" bestFit="1" customWidth="1"/>
    <col min="15369" max="15374" width="13.42578125" style="123" bestFit="1" customWidth="1"/>
    <col min="15375" max="15375" width="12.85546875" style="123" bestFit="1" customWidth="1"/>
    <col min="15376" max="15616" width="9.140625" style="123"/>
    <col min="15617" max="15617" width="7" style="123" bestFit="1" customWidth="1"/>
    <col min="15618" max="15618" width="32" style="123" bestFit="1" customWidth="1"/>
    <col min="15619" max="15619" width="12.28515625" style="123" bestFit="1" customWidth="1"/>
    <col min="15620" max="15621" width="10.85546875" style="123" bestFit="1" customWidth="1"/>
    <col min="15622" max="15622" width="11.42578125" style="123" bestFit="1" customWidth="1"/>
    <col min="15623" max="15623" width="11.85546875" style="123" customWidth="1"/>
    <col min="15624" max="15624" width="15" style="123" bestFit="1" customWidth="1"/>
    <col min="15625" max="15630" width="13.42578125" style="123" bestFit="1" customWidth="1"/>
    <col min="15631" max="15631" width="12.85546875" style="123" bestFit="1" customWidth="1"/>
    <col min="15632" max="15872" width="9.140625" style="123"/>
    <col min="15873" max="15873" width="7" style="123" bestFit="1" customWidth="1"/>
    <col min="15874" max="15874" width="32" style="123" bestFit="1" customWidth="1"/>
    <col min="15875" max="15875" width="12.28515625" style="123" bestFit="1" customWidth="1"/>
    <col min="15876" max="15877" width="10.85546875" style="123" bestFit="1" customWidth="1"/>
    <col min="15878" max="15878" width="11.42578125" style="123" bestFit="1" customWidth="1"/>
    <col min="15879" max="15879" width="11.85546875" style="123" customWidth="1"/>
    <col min="15880" max="15880" width="15" style="123" bestFit="1" customWidth="1"/>
    <col min="15881" max="15886" width="13.42578125" style="123" bestFit="1" customWidth="1"/>
    <col min="15887" max="15887" width="12.85546875" style="123" bestFit="1" customWidth="1"/>
    <col min="15888" max="16128" width="9.140625" style="123"/>
    <col min="16129" max="16129" width="7" style="123" bestFit="1" customWidth="1"/>
    <col min="16130" max="16130" width="32" style="123" bestFit="1" customWidth="1"/>
    <col min="16131" max="16131" width="12.28515625" style="123" bestFit="1" customWidth="1"/>
    <col min="16132" max="16133" width="10.85546875" style="123" bestFit="1" customWidth="1"/>
    <col min="16134" max="16134" width="11.42578125" style="123" bestFit="1" customWidth="1"/>
    <col min="16135" max="16135" width="11.85546875" style="123" customWidth="1"/>
    <col min="16136" max="16136" width="15" style="123" bestFit="1" customWidth="1"/>
    <col min="16137" max="16142" width="13.42578125" style="123" bestFit="1" customWidth="1"/>
    <col min="16143" max="16143" width="12.85546875" style="123" bestFit="1" customWidth="1"/>
    <col min="16144" max="16384" width="9.140625" style="123"/>
  </cols>
  <sheetData>
    <row r="1" spans="1:15" s="122" customFormat="1" ht="60">
      <c r="A1" s="131" t="s">
        <v>23</v>
      </c>
      <c r="B1" s="116" t="s">
        <v>24</v>
      </c>
      <c r="C1" s="117" t="s">
        <v>2112</v>
      </c>
      <c r="D1" s="118" t="s">
        <v>34</v>
      </c>
      <c r="E1" s="119" t="s">
        <v>35</v>
      </c>
      <c r="F1" s="119" t="s">
        <v>36</v>
      </c>
      <c r="G1" s="120" t="s">
        <v>2116</v>
      </c>
      <c r="H1" s="120" t="s">
        <v>2117</v>
      </c>
      <c r="I1" s="121" t="s">
        <v>37</v>
      </c>
      <c r="J1" s="121" t="s">
        <v>38</v>
      </c>
      <c r="K1" s="121" t="s">
        <v>39</v>
      </c>
      <c r="L1" s="121" t="s">
        <v>40</v>
      </c>
      <c r="M1" s="121" t="s">
        <v>41</v>
      </c>
      <c r="N1" s="121" t="s">
        <v>42</v>
      </c>
      <c r="O1" s="121" t="s">
        <v>43</v>
      </c>
    </row>
    <row r="2" spans="1:15">
      <c r="A2" s="132" t="s">
        <v>339</v>
      </c>
      <c r="B2" s="123" t="s">
        <v>340</v>
      </c>
      <c r="C2" s="124">
        <v>606</v>
      </c>
      <c r="D2" s="125">
        <v>908.27800000000002</v>
      </c>
      <c r="E2" s="126">
        <v>156.5504</v>
      </c>
      <c r="F2" s="126">
        <v>55.852400000000003</v>
      </c>
      <c r="G2" s="127">
        <v>5.8018248436286335</v>
      </c>
      <c r="H2" s="127">
        <v>10.850026140327005</v>
      </c>
      <c r="I2" s="128">
        <v>6910280</v>
      </c>
      <c r="J2" s="128">
        <v>5622144</v>
      </c>
      <c r="K2" s="128">
        <v>6667910</v>
      </c>
      <c r="L2" s="128">
        <v>5695458</v>
      </c>
      <c r="M2" s="128">
        <v>5795538</v>
      </c>
      <c r="N2" s="128">
        <v>6135674</v>
      </c>
      <c r="O2" s="128">
        <v>1771622</v>
      </c>
    </row>
    <row r="3" spans="1:15">
      <c r="A3" s="132" t="s">
        <v>620</v>
      </c>
      <c r="B3" s="123" t="s">
        <v>621</v>
      </c>
      <c r="C3" s="124">
        <v>1325</v>
      </c>
      <c r="D3" s="125">
        <v>1688.7360000000001</v>
      </c>
      <c r="E3" s="126">
        <v>182.97550000000001</v>
      </c>
      <c r="F3" s="126">
        <v>103.71939999999999</v>
      </c>
      <c r="G3" s="127">
        <v>9.229301190596555</v>
      </c>
      <c r="H3" s="127">
        <v>12.774852149163996</v>
      </c>
      <c r="I3" s="128">
        <v>9344097</v>
      </c>
      <c r="J3" s="128">
        <v>9400500</v>
      </c>
      <c r="K3" s="128">
        <v>9680287</v>
      </c>
      <c r="L3" s="128">
        <v>9632124</v>
      </c>
      <c r="M3" s="128">
        <v>10089820</v>
      </c>
      <c r="N3" s="128">
        <v>10561290</v>
      </c>
      <c r="O3" s="128">
        <v>1063981</v>
      </c>
    </row>
    <row r="4" spans="1:15">
      <c r="A4" s="132" t="s">
        <v>688</v>
      </c>
      <c r="B4" s="123" t="s">
        <v>689</v>
      </c>
      <c r="C4" s="124">
        <v>798</v>
      </c>
      <c r="D4" s="125">
        <v>1159.894</v>
      </c>
      <c r="E4" s="126">
        <v>131.74779999999998</v>
      </c>
      <c r="F4" s="126">
        <v>69.600200000000001</v>
      </c>
      <c r="G4" s="127">
        <v>8.8038965356537275</v>
      </c>
      <c r="H4" s="127">
        <v>11.465484294585361</v>
      </c>
      <c r="I4" s="128">
        <v>6312480</v>
      </c>
      <c r="J4" s="128">
        <v>6488296</v>
      </c>
      <c r="K4" s="128">
        <v>6443795</v>
      </c>
      <c r="L4" s="128">
        <v>6409357</v>
      </c>
      <c r="M4" s="128">
        <v>6778618</v>
      </c>
      <c r="N4" s="128">
        <v>6660275</v>
      </c>
      <c r="O4" s="128">
        <v>728191</v>
      </c>
    </row>
    <row r="5" spans="1:15">
      <c r="A5" s="132" t="s">
        <v>1349</v>
      </c>
      <c r="B5" s="123" t="s">
        <v>1350</v>
      </c>
      <c r="C5" s="124">
        <v>370</v>
      </c>
      <c r="D5" s="125">
        <v>581.53399999999999</v>
      </c>
      <c r="E5" s="126">
        <v>51.871600000000001</v>
      </c>
      <c r="F5" s="126">
        <v>31.373799999999999</v>
      </c>
      <c r="G5" s="127">
        <v>11.211028771042344</v>
      </c>
      <c r="H5" s="127">
        <v>11.793279742970249</v>
      </c>
      <c r="I5" s="128">
        <v>3054431</v>
      </c>
      <c r="J5" s="128">
        <v>2935380</v>
      </c>
      <c r="K5" s="128">
        <v>3213495</v>
      </c>
      <c r="L5" s="128">
        <v>3182756</v>
      </c>
      <c r="M5" s="128">
        <v>3155266</v>
      </c>
      <c r="N5" s="128">
        <v>3238229</v>
      </c>
      <c r="O5" s="128">
        <v>529562</v>
      </c>
    </row>
    <row r="6" spans="1:15">
      <c r="A6" s="132" t="s">
        <v>1436</v>
      </c>
      <c r="B6" s="123" t="s">
        <v>1437</v>
      </c>
      <c r="C6" s="124">
        <v>3241</v>
      </c>
      <c r="D6" s="125">
        <v>4029.5390000000002</v>
      </c>
      <c r="E6" s="126">
        <v>463.10219999999998</v>
      </c>
      <c r="F6" s="126">
        <v>244.27459999999999</v>
      </c>
      <c r="G6" s="127">
        <v>8.7011873405049691</v>
      </c>
      <c r="H6" s="127">
        <v>13.267855110600939</v>
      </c>
      <c r="I6" s="128">
        <v>25492359</v>
      </c>
      <c r="J6" s="128">
        <v>25587940</v>
      </c>
      <c r="K6" s="128">
        <v>24257452</v>
      </c>
      <c r="L6" s="128">
        <v>25688607</v>
      </c>
      <c r="M6" s="128">
        <v>24753649</v>
      </c>
      <c r="N6" s="128">
        <v>25397890</v>
      </c>
      <c r="O6" s="128">
        <v>4197116</v>
      </c>
    </row>
    <row r="7" spans="1:15">
      <c r="A7" s="132" t="s">
        <v>2013</v>
      </c>
      <c r="B7" s="123" t="s">
        <v>2014</v>
      </c>
      <c r="C7" s="124">
        <v>1720</v>
      </c>
      <c r="D7" s="125">
        <v>2211.1930000000002</v>
      </c>
      <c r="E7" s="126">
        <v>237.2878</v>
      </c>
      <c r="F7" s="126">
        <v>130.7373</v>
      </c>
      <c r="G7" s="127">
        <v>9.318612250608755</v>
      </c>
      <c r="H7" s="127">
        <v>13.15615359962306</v>
      </c>
      <c r="I7" s="128">
        <v>14466811</v>
      </c>
      <c r="J7" s="128">
        <v>13459352</v>
      </c>
      <c r="K7" s="128">
        <v>12403332</v>
      </c>
      <c r="L7" s="128">
        <v>11760976</v>
      </c>
      <c r="M7" s="128">
        <v>12758950</v>
      </c>
      <c r="N7" s="128">
        <v>13069965</v>
      </c>
      <c r="O7" s="128">
        <v>2192419</v>
      </c>
    </row>
    <row r="8" spans="1:15">
      <c r="A8" s="132" t="s">
        <v>1764</v>
      </c>
      <c r="B8" s="123" t="s">
        <v>1765</v>
      </c>
      <c r="C8" s="124">
        <v>404</v>
      </c>
      <c r="D8" s="125">
        <v>629.14100000000008</v>
      </c>
      <c r="E8" s="126">
        <v>60.660699999999999</v>
      </c>
      <c r="F8" s="126">
        <v>38.4786</v>
      </c>
      <c r="G8" s="127">
        <v>10.3714760957259</v>
      </c>
      <c r="H8" s="127">
        <v>10.499342491670696</v>
      </c>
      <c r="I8" s="128">
        <v>3063668</v>
      </c>
      <c r="J8" s="128">
        <v>3155494</v>
      </c>
      <c r="K8" s="128">
        <v>2947201</v>
      </c>
      <c r="L8" s="128">
        <v>3182297</v>
      </c>
      <c r="M8" s="128">
        <v>3177800</v>
      </c>
      <c r="N8" s="128">
        <v>3592380</v>
      </c>
      <c r="O8" s="128">
        <v>2088832</v>
      </c>
    </row>
    <row r="9" spans="1:15">
      <c r="A9" s="132" t="s">
        <v>90</v>
      </c>
      <c r="B9" s="123" t="s">
        <v>91</v>
      </c>
      <c r="C9" s="124">
        <v>3242</v>
      </c>
      <c r="D9" s="125">
        <v>3979.5810000000001</v>
      </c>
      <c r="E9" s="126">
        <v>460.98090000000002</v>
      </c>
      <c r="F9" s="126">
        <v>235.62469999999999</v>
      </c>
      <c r="G9" s="127">
        <v>8.6328544197818182</v>
      </c>
      <c r="H9" s="127">
        <v>13.759168711938944</v>
      </c>
      <c r="I9" s="128">
        <v>28953998</v>
      </c>
      <c r="J9" s="128">
        <v>29429058</v>
      </c>
      <c r="K9" s="128">
        <v>28010985</v>
      </c>
      <c r="L9" s="128">
        <v>29586609</v>
      </c>
      <c r="M9" s="128">
        <v>29583213</v>
      </c>
      <c r="N9" s="128">
        <v>29009472</v>
      </c>
      <c r="O9" s="128">
        <v>8907687</v>
      </c>
    </row>
    <row r="10" spans="1:15">
      <c r="A10" s="132" t="s">
        <v>910</v>
      </c>
      <c r="B10" s="123" t="s">
        <v>911</v>
      </c>
      <c r="C10" s="124">
        <v>2654</v>
      </c>
      <c r="D10" s="125">
        <v>3293.3470000000002</v>
      </c>
      <c r="E10" s="126">
        <v>348.47559999999999</v>
      </c>
      <c r="F10" s="126">
        <v>180.69710000000001</v>
      </c>
      <c r="G10" s="127">
        <v>9.4507248140185443</v>
      </c>
      <c r="H10" s="127">
        <v>14.687562777709216</v>
      </c>
      <c r="I10" s="128">
        <v>17681509</v>
      </c>
      <c r="J10" s="128">
        <v>19579900</v>
      </c>
      <c r="K10" s="128">
        <v>21231414</v>
      </c>
      <c r="L10" s="128">
        <v>17756495</v>
      </c>
      <c r="M10" s="128">
        <v>20330805</v>
      </c>
      <c r="N10" s="128">
        <v>19008793</v>
      </c>
      <c r="O10" s="128">
        <v>2517940</v>
      </c>
    </row>
    <row r="11" spans="1:15">
      <c r="A11" s="132" t="s">
        <v>1174</v>
      </c>
      <c r="B11" s="123" t="s">
        <v>1175</v>
      </c>
      <c r="C11" s="124">
        <v>8588</v>
      </c>
      <c r="D11" s="125">
        <v>10644.460999999999</v>
      </c>
      <c r="E11" s="126">
        <v>1036.5399</v>
      </c>
      <c r="F11" s="126">
        <v>613.60670000000005</v>
      </c>
      <c r="G11" s="127">
        <v>10.269224561447176</v>
      </c>
      <c r="H11" s="127">
        <v>13.995935833164793</v>
      </c>
      <c r="I11" s="128">
        <v>59011799</v>
      </c>
      <c r="J11" s="128">
        <v>59595797</v>
      </c>
      <c r="K11" s="128">
        <v>60523600</v>
      </c>
      <c r="L11" s="128">
        <v>59900574</v>
      </c>
      <c r="M11" s="128">
        <v>59247910</v>
      </c>
      <c r="N11" s="128">
        <v>60767533</v>
      </c>
      <c r="O11" s="128">
        <v>18209029</v>
      </c>
    </row>
    <row r="12" spans="1:15">
      <c r="A12" s="132" t="s">
        <v>922</v>
      </c>
      <c r="B12" s="123" t="s">
        <v>923</v>
      </c>
      <c r="C12" s="124">
        <v>1738</v>
      </c>
      <c r="D12" s="125">
        <v>2195.7159999999999</v>
      </c>
      <c r="E12" s="126">
        <v>260.75060000000002</v>
      </c>
      <c r="F12" s="126">
        <v>124.7294</v>
      </c>
      <c r="G12" s="127">
        <v>8.4207514766984222</v>
      </c>
      <c r="H12" s="127">
        <v>13.934164679698611</v>
      </c>
      <c r="I12" s="128">
        <v>11088271</v>
      </c>
      <c r="J12" s="128">
        <v>12826302</v>
      </c>
      <c r="K12" s="128">
        <v>12150844</v>
      </c>
      <c r="L12" s="128">
        <v>11162763</v>
      </c>
      <c r="M12" s="128">
        <v>11921650</v>
      </c>
      <c r="N12" s="128">
        <v>12179796</v>
      </c>
      <c r="O12" s="128">
        <v>1289029</v>
      </c>
    </row>
    <row r="13" spans="1:15">
      <c r="A13" s="132" t="s">
        <v>551</v>
      </c>
      <c r="B13" s="123" t="s">
        <v>552</v>
      </c>
      <c r="C13" s="124">
        <v>1989</v>
      </c>
      <c r="D13" s="125">
        <v>2592.9349999999999</v>
      </c>
      <c r="E13" s="126">
        <v>288.51409999999998</v>
      </c>
      <c r="F13" s="126">
        <v>141.4957</v>
      </c>
      <c r="G13" s="127">
        <v>8.9872037449816151</v>
      </c>
      <c r="H13" s="127">
        <v>14.05696427523946</v>
      </c>
      <c r="I13" s="128">
        <v>13323082</v>
      </c>
      <c r="J13" s="128">
        <v>13482023</v>
      </c>
      <c r="K13" s="128">
        <v>13334689</v>
      </c>
      <c r="L13" s="128">
        <v>13391086</v>
      </c>
      <c r="M13" s="128">
        <v>13589033</v>
      </c>
      <c r="N13" s="128">
        <v>14284037</v>
      </c>
      <c r="O13" s="128">
        <v>3274920</v>
      </c>
    </row>
    <row r="14" spans="1:15">
      <c r="A14" s="132" t="s">
        <v>2086</v>
      </c>
      <c r="B14" s="123" t="s">
        <v>2087</v>
      </c>
      <c r="C14" s="124">
        <v>471</v>
      </c>
      <c r="D14" s="125">
        <v>729.351</v>
      </c>
      <c r="E14" s="126">
        <v>74.159700000000001</v>
      </c>
      <c r="F14" s="126">
        <v>38.826799999999999</v>
      </c>
      <c r="G14" s="127">
        <v>9.8348698821597171</v>
      </c>
      <c r="H14" s="127">
        <v>12.130796254133744</v>
      </c>
      <c r="I14" s="128">
        <v>3892428</v>
      </c>
      <c r="J14" s="128">
        <v>3863341</v>
      </c>
      <c r="K14" s="128">
        <v>3222430</v>
      </c>
      <c r="L14" s="128">
        <v>4201036</v>
      </c>
      <c r="M14" s="128">
        <v>4265548</v>
      </c>
      <c r="N14" s="128">
        <v>3947879</v>
      </c>
      <c r="O14" s="128">
        <v>1116320</v>
      </c>
    </row>
    <row r="15" spans="1:15">
      <c r="A15" s="132" t="s">
        <v>356</v>
      </c>
      <c r="B15" s="123" t="s">
        <v>357</v>
      </c>
      <c r="C15" s="124">
        <v>1509</v>
      </c>
      <c r="D15" s="125">
        <v>2019.72</v>
      </c>
      <c r="E15" s="126">
        <v>216.99689999999998</v>
      </c>
      <c r="F15" s="126">
        <v>114.105</v>
      </c>
      <c r="G15" s="127">
        <v>9.3075984034794974</v>
      </c>
      <c r="H15" s="127">
        <v>13.224661495990535</v>
      </c>
      <c r="I15" s="128">
        <v>12026552</v>
      </c>
      <c r="J15" s="128">
        <v>11807030</v>
      </c>
      <c r="K15" s="128">
        <v>11361034</v>
      </c>
      <c r="L15" s="128">
        <v>12400375</v>
      </c>
      <c r="M15" s="128">
        <v>12205258</v>
      </c>
      <c r="N15" s="128">
        <v>12979087</v>
      </c>
      <c r="O15" s="128">
        <v>5148833</v>
      </c>
    </row>
    <row r="16" spans="1:15">
      <c r="A16" s="132" t="s">
        <v>106</v>
      </c>
      <c r="B16" s="123" t="s">
        <v>107</v>
      </c>
      <c r="C16" s="124">
        <v>3087</v>
      </c>
      <c r="D16" s="125">
        <v>3990.6040000000003</v>
      </c>
      <c r="E16" s="126">
        <v>500.41470000000004</v>
      </c>
      <c r="F16" s="126">
        <v>245.8716</v>
      </c>
      <c r="G16" s="127">
        <v>7.9745938718426936</v>
      </c>
      <c r="H16" s="127">
        <v>12.555333759572068</v>
      </c>
      <c r="I16" s="128">
        <v>28136900</v>
      </c>
      <c r="J16" s="128">
        <v>29999080</v>
      </c>
      <c r="K16" s="128">
        <v>27385615</v>
      </c>
      <c r="L16" s="128">
        <v>29120226</v>
      </c>
      <c r="M16" s="128">
        <v>30076417</v>
      </c>
      <c r="N16" s="128">
        <v>30365469</v>
      </c>
      <c r="O16" s="128">
        <v>10187558</v>
      </c>
    </row>
    <row r="17" spans="1:15">
      <c r="A17" s="132" t="s">
        <v>110</v>
      </c>
      <c r="B17" s="123" t="s">
        <v>111</v>
      </c>
      <c r="C17" s="124">
        <v>504</v>
      </c>
      <c r="D17" s="125">
        <v>851.75400000000002</v>
      </c>
      <c r="E17" s="126">
        <v>88.294600000000003</v>
      </c>
      <c r="F17" s="126">
        <v>48.540700000000001</v>
      </c>
      <c r="G17" s="127">
        <v>9.6467281124779998</v>
      </c>
      <c r="H17" s="127">
        <v>10.383039387565486</v>
      </c>
      <c r="I17" s="128">
        <v>4978562</v>
      </c>
      <c r="J17" s="128">
        <v>5144381</v>
      </c>
      <c r="K17" s="128">
        <v>4958171</v>
      </c>
      <c r="L17" s="128">
        <v>5006598</v>
      </c>
      <c r="M17" s="128">
        <v>5264517</v>
      </c>
      <c r="N17" s="128">
        <v>5177214</v>
      </c>
      <c r="O17" s="128">
        <v>927158</v>
      </c>
    </row>
    <row r="18" spans="1:15">
      <c r="A18" s="132" t="s">
        <v>893</v>
      </c>
      <c r="B18" s="123" t="s">
        <v>894</v>
      </c>
      <c r="C18" s="124">
        <v>896</v>
      </c>
      <c r="D18" s="125">
        <v>1224.7640000000001</v>
      </c>
      <c r="E18" s="126">
        <v>122.30180000000001</v>
      </c>
      <c r="F18" s="126">
        <v>69.002399999999994</v>
      </c>
      <c r="G18" s="127">
        <v>10.014276159467808</v>
      </c>
      <c r="H18" s="127">
        <v>12.985055592269255</v>
      </c>
      <c r="I18" s="128">
        <v>6225904</v>
      </c>
      <c r="J18" s="128">
        <v>6666514</v>
      </c>
      <c r="K18" s="128">
        <v>6601830</v>
      </c>
      <c r="L18" s="128">
        <v>6605069</v>
      </c>
      <c r="M18" s="128">
        <v>7003753</v>
      </c>
      <c r="N18" s="128">
        <v>6957206</v>
      </c>
      <c r="O18" s="128">
        <v>1051495</v>
      </c>
    </row>
    <row r="19" spans="1:15">
      <c r="A19" s="132" t="s">
        <v>2049</v>
      </c>
      <c r="B19" s="123" t="s">
        <v>2050</v>
      </c>
      <c r="C19" s="124">
        <v>468</v>
      </c>
      <c r="D19" s="125">
        <v>735.26700000000005</v>
      </c>
      <c r="E19" s="126">
        <v>66.624200000000002</v>
      </c>
      <c r="F19" s="126">
        <v>38.648499999999999</v>
      </c>
      <c r="G19" s="127">
        <v>11.036034954265867</v>
      </c>
      <c r="H19" s="127">
        <v>12.109137482696612</v>
      </c>
      <c r="I19" s="128">
        <v>4286145</v>
      </c>
      <c r="J19" s="128">
        <v>4579159</v>
      </c>
      <c r="K19" s="128">
        <v>5718075</v>
      </c>
      <c r="L19" s="128">
        <v>4566034</v>
      </c>
      <c r="M19" s="128">
        <v>4485245</v>
      </c>
      <c r="N19" s="128">
        <v>4726932</v>
      </c>
      <c r="O19" s="128">
        <v>96576</v>
      </c>
    </row>
    <row r="20" spans="1:15">
      <c r="A20" s="132" t="s">
        <v>395</v>
      </c>
      <c r="B20" s="123" t="s">
        <v>396</v>
      </c>
      <c r="C20" s="124">
        <v>349</v>
      </c>
      <c r="D20" s="125">
        <v>641.28200000000004</v>
      </c>
      <c r="E20" s="126">
        <v>66.648399999999995</v>
      </c>
      <c r="F20" s="126">
        <v>37.116999999999997</v>
      </c>
      <c r="G20" s="127">
        <v>9.6218663913912419</v>
      </c>
      <c r="H20" s="127">
        <v>9.4026995716248631</v>
      </c>
      <c r="I20" s="128">
        <v>3876702</v>
      </c>
      <c r="J20" s="128">
        <v>3700568</v>
      </c>
      <c r="K20" s="128">
        <v>3656204</v>
      </c>
      <c r="L20" s="128">
        <v>3696429</v>
      </c>
      <c r="M20" s="128">
        <v>3589744</v>
      </c>
      <c r="N20" s="128">
        <v>3576684</v>
      </c>
      <c r="O20" s="128">
        <v>1222463</v>
      </c>
    </row>
    <row r="21" spans="1:15">
      <c r="A21" s="132" t="s">
        <v>365</v>
      </c>
      <c r="B21" s="123" t="s">
        <v>366</v>
      </c>
      <c r="C21" s="124">
        <v>525</v>
      </c>
      <c r="D21" s="125">
        <v>814.46199999999999</v>
      </c>
      <c r="E21" s="126">
        <v>86.259199999999993</v>
      </c>
      <c r="F21" s="126">
        <v>43.440300000000001</v>
      </c>
      <c r="G21" s="127">
        <v>9.4420305312360888</v>
      </c>
      <c r="H21" s="127">
        <v>12.085551895359838</v>
      </c>
      <c r="I21" s="128">
        <v>4657665</v>
      </c>
      <c r="J21" s="128">
        <v>4691132</v>
      </c>
      <c r="K21" s="128">
        <v>4620671</v>
      </c>
      <c r="L21" s="128">
        <v>4762087</v>
      </c>
      <c r="M21" s="128">
        <v>4788235</v>
      </c>
      <c r="N21" s="128">
        <v>5003858</v>
      </c>
      <c r="O21" s="128">
        <v>986696</v>
      </c>
    </row>
    <row r="22" spans="1:15">
      <c r="A22" s="132" t="s">
        <v>980</v>
      </c>
      <c r="B22" s="123" t="s">
        <v>981</v>
      </c>
      <c r="C22" s="124">
        <v>1318</v>
      </c>
      <c r="D22" s="125">
        <v>1792.2650000000001</v>
      </c>
      <c r="E22" s="126">
        <v>195.58299999999997</v>
      </c>
      <c r="F22" s="126">
        <v>101.9785</v>
      </c>
      <c r="G22" s="127">
        <v>9.1637054345214075</v>
      </c>
      <c r="H22" s="127">
        <v>12.924292865653054</v>
      </c>
      <c r="I22" s="128">
        <v>10417666</v>
      </c>
      <c r="J22" s="128">
        <v>10447859</v>
      </c>
      <c r="K22" s="128">
        <v>10380047</v>
      </c>
      <c r="L22" s="128">
        <v>11006963</v>
      </c>
      <c r="M22" s="128">
        <v>11031460</v>
      </c>
      <c r="N22" s="128">
        <v>10998204</v>
      </c>
      <c r="O22" s="128">
        <v>1869835</v>
      </c>
    </row>
    <row r="23" spans="1:15">
      <c r="A23" s="132" t="s">
        <v>1182</v>
      </c>
      <c r="B23" s="123" t="s">
        <v>1183</v>
      </c>
      <c r="C23" s="124">
        <v>1737</v>
      </c>
      <c r="D23" s="125">
        <v>2242.87</v>
      </c>
      <c r="E23" s="126">
        <v>266.5292</v>
      </c>
      <c r="F23" s="126">
        <v>123.1634</v>
      </c>
      <c r="G23" s="127">
        <v>8.4151004842996553</v>
      </c>
      <c r="H23" s="127">
        <v>14.103215728049079</v>
      </c>
      <c r="I23" s="128">
        <v>12767664</v>
      </c>
      <c r="J23" s="128">
        <v>13989860</v>
      </c>
      <c r="K23" s="128">
        <v>11926811</v>
      </c>
      <c r="L23" s="128">
        <v>12740040</v>
      </c>
      <c r="M23" s="128">
        <v>13866380</v>
      </c>
      <c r="N23" s="128">
        <v>12329110</v>
      </c>
      <c r="O23" s="128">
        <v>1291458</v>
      </c>
    </row>
    <row r="24" spans="1:15">
      <c r="A24" s="132" t="s">
        <v>1498</v>
      </c>
      <c r="B24" s="123" t="s">
        <v>1499</v>
      </c>
      <c r="C24" s="124">
        <v>3429</v>
      </c>
      <c r="D24" s="125">
        <v>4362.9160000000002</v>
      </c>
      <c r="E24" s="126">
        <v>567.58960000000002</v>
      </c>
      <c r="F24" s="126">
        <v>251.12540000000001</v>
      </c>
      <c r="G24" s="127">
        <v>7.6867440841058396</v>
      </c>
      <c r="H24" s="127">
        <v>13.654532755348523</v>
      </c>
      <c r="I24" s="128">
        <v>24546311</v>
      </c>
      <c r="J24" s="128">
        <v>24902189</v>
      </c>
      <c r="K24" s="128">
        <v>25192543</v>
      </c>
      <c r="L24" s="128">
        <v>25175917</v>
      </c>
      <c r="M24" s="128">
        <v>25382346</v>
      </c>
      <c r="N24" s="128">
        <v>25087050</v>
      </c>
      <c r="O24" s="128">
        <v>3790120</v>
      </c>
    </row>
    <row r="25" spans="1:15">
      <c r="A25" s="132" t="s">
        <v>1516</v>
      </c>
      <c r="B25" s="123" t="s">
        <v>1517</v>
      </c>
      <c r="C25" s="124">
        <v>1763</v>
      </c>
      <c r="D25" s="125">
        <v>2311.2600000000002</v>
      </c>
      <c r="E25" s="126">
        <v>254.11780000000002</v>
      </c>
      <c r="F25" s="126">
        <v>119.0437</v>
      </c>
      <c r="G25" s="127">
        <v>9.0952306371297098</v>
      </c>
      <c r="H25" s="127">
        <v>14.80968753491365</v>
      </c>
      <c r="I25" s="128">
        <v>12376045</v>
      </c>
      <c r="J25" s="128">
        <v>12774600</v>
      </c>
      <c r="K25" s="128">
        <v>12870938</v>
      </c>
      <c r="L25" s="128">
        <v>12630926</v>
      </c>
      <c r="M25" s="128">
        <v>12880609</v>
      </c>
      <c r="N25" s="128">
        <v>13205278</v>
      </c>
      <c r="O25" s="128">
        <v>3145317</v>
      </c>
    </row>
    <row r="26" spans="1:15">
      <c r="A26" s="132" t="s">
        <v>170</v>
      </c>
      <c r="B26" s="123" t="s">
        <v>171</v>
      </c>
      <c r="C26" s="124">
        <v>2145</v>
      </c>
      <c r="D26" s="125">
        <v>2784.1040000000003</v>
      </c>
      <c r="E26" s="126">
        <v>347.69309999999996</v>
      </c>
      <c r="F26" s="126">
        <v>168.94309999999999</v>
      </c>
      <c r="G26" s="127">
        <v>8.0073605142006006</v>
      </c>
      <c r="H26" s="127">
        <v>12.696582458827855</v>
      </c>
      <c r="I26" s="128">
        <v>17557963</v>
      </c>
      <c r="J26" s="128">
        <v>17833319</v>
      </c>
      <c r="K26" s="128">
        <v>17573629</v>
      </c>
      <c r="L26" s="128">
        <v>17544923</v>
      </c>
      <c r="M26" s="128">
        <v>17732335</v>
      </c>
      <c r="N26" s="128">
        <v>18574371</v>
      </c>
      <c r="O26" s="128">
        <v>4590685</v>
      </c>
    </row>
    <row r="27" spans="1:15">
      <c r="A27" s="132" t="s">
        <v>1720</v>
      </c>
      <c r="B27" s="123" t="s">
        <v>1721</v>
      </c>
      <c r="C27" s="124">
        <v>2620</v>
      </c>
      <c r="D27" s="125">
        <v>3409.9929999999999</v>
      </c>
      <c r="E27" s="126">
        <v>362.70819999999998</v>
      </c>
      <c r="F27" s="126">
        <v>195.83160000000001</v>
      </c>
      <c r="G27" s="127">
        <v>9.4014775513760096</v>
      </c>
      <c r="H27" s="127">
        <v>13.378841821238247</v>
      </c>
      <c r="I27" s="128">
        <v>21080434</v>
      </c>
      <c r="J27" s="128">
        <v>21256412</v>
      </c>
      <c r="K27" s="128">
        <v>22425198</v>
      </c>
      <c r="L27" s="128">
        <v>20966314</v>
      </c>
      <c r="M27" s="128">
        <v>21318458</v>
      </c>
      <c r="N27" s="128">
        <v>21678108</v>
      </c>
      <c r="O27" s="128">
        <v>3636782</v>
      </c>
    </row>
    <row r="28" spans="1:15">
      <c r="A28" s="132" t="s">
        <v>237</v>
      </c>
      <c r="B28" s="123" t="s">
        <v>238</v>
      </c>
      <c r="C28" s="124">
        <v>821</v>
      </c>
      <c r="D28" s="125">
        <v>1202.17</v>
      </c>
      <c r="E28" s="126">
        <v>124.2706</v>
      </c>
      <c r="F28" s="126">
        <v>65.932900000000004</v>
      </c>
      <c r="G28" s="127">
        <v>9.6738086079893399</v>
      </c>
      <c r="H28" s="127">
        <v>12.452053527146537</v>
      </c>
      <c r="I28" s="128">
        <v>7259032</v>
      </c>
      <c r="J28" s="128">
        <v>7395135</v>
      </c>
      <c r="K28" s="128">
        <v>6930738</v>
      </c>
      <c r="L28" s="128">
        <v>7513815</v>
      </c>
      <c r="M28" s="128">
        <v>7340207</v>
      </c>
      <c r="N28" s="128">
        <v>7253905</v>
      </c>
      <c r="O28" s="128">
        <v>1050448</v>
      </c>
    </row>
    <row r="29" spans="1:15">
      <c r="A29" s="132" t="s">
        <v>1329</v>
      </c>
      <c r="B29" s="123" t="s">
        <v>1330</v>
      </c>
      <c r="C29" s="124">
        <v>1499</v>
      </c>
      <c r="D29" s="125">
        <v>2089.4410000000003</v>
      </c>
      <c r="E29" s="126">
        <v>228.95</v>
      </c>
      <c r="F29" s="126">
        <v>121.417</v>
      </c>
      <c r="G29" s="127">
        <v>9.1261891242629414</v>
      </c>
      <c r="H29" s="127">
        <v>12.345882372320185</v>
      </c>
      <c r="I29" s="128">
        <v>11792082</v>
      </c>
      <c r="J29" s="128">
        <v>17382934</v>
      </c>
      <c r="K29" s="128">
        <v>11744274</v>
      </c>
      <c r="L29" s="128">
        <v>12063100</v>
      </c>
      <c r="M29" s="128">
        <v>11995378</v>
      </c>
      <c r="N29" s="128">
        <v>12140170</v>
      </c>
      <c r="O29" s="128">
        <v>1864109</v>
      </c>
    </row>
    <row r="30" spans="1:15">
      <c r="A30" s="132" t="s">
        <v>1248</v>
      </c>
      <c r="B30" s="123" t="s">
        <v>1249</v>
      </c>
      <c r="C30" s="124">
        <v>302</v>
      </c>
      <c r="D30" s="125">
        <v>596.84199999999998</v>
      </c>
      <c r="E30" s="126">
        <v>74.290000000000006</v>
      </c>
      <c r="F30" s="126">
        <v>39.001100000000001</v>
      </c>
      <c r="G30" s="127">
        <v>8.0339480414591478</v>
      </c>
      <c r="H30" s="127">
        <v>7.743371340808336</v>
      </c>
      <c r="I30" s="128">
        <v>4108696</v>
      </c>
      <c r="J30" s="128">
        <v>4237989</v>
      </c>
      <c r="K30" s="128">
        <v>4013874</v>
      </c>
      <c r="L30" s="128">
        <v>4137546</v>
      </c>
      <c r="M30" s="128">
        <v>4250220</v>
      </c>
      <c r="N30" s="128">
        <v>3725510</v>
      </c>
      <c r="O30" s="128">
        <v>439420</v>
      </c>
    </row>
    <row r="31" spans="1:15">
      <c r="A31" s="132" t="s">
        <v>146</v>
      </c>
      <c r="B31" s="123" t="s">
        <v>147</v>
      </c>
      <c r="C31" s="124">
        <v>2462</v>
      </c>
      <c r="D31" s="125">
        <v>3151.3110000000001</v>
      </c>
      <c r="E31" s="126">
        <v>366.10890000000001</v>
      </c>
      <c r="F31" s="126">
        <v>187.94540000000001</v>
      </c>
      <c r="G31" s="127">
        <v>8.607578236967198</v>
      </c>
      <c r="H31" s="127">
        <v>13.099549124373354</v>
      </c>
      <c r="I31" s="128">
        <v>20589034</v>
      </c>
      <c r="J31" s="128">
        <v>20156335</v>
      </c>
      <c r="K31" s="128">
        <v>20339799</v>
      </c>
      <c r="L31" s="128">
        <v>20708932</v>
      </c>
      <c r="M31" s="128">
        <v>20276221</v>
      </c>
      <c r="N31" s="128">
        <v>20471271</v>
      </c>
      <c r="O31" s="128">
        <v>4695134</v>
      </c>
    </row>
    <row r="32" spans="1:15">
      <c r="A32" s="132" t="s">
        <v>156</v>
      </c>
      <c r="B32" s="123" t="s">
        <v>157</v>
      </c>
      <c r="C32" s="124">
        <v>9043</v>
      </c>
      <c r="D32" s="125">
        <v>11151.56</v>
      </c>
      <c r="E32" s="126">
        <v>1219.0154</v>
      </c>
      <c r="F32" s="126">
        <v>616.09569999999997</v>
      </c>
      <c r="G32" s="127">
        <v>9.1480058414356371</v>
      </c>
      <c r="H32" s="127">
        <v>14.677914486337107</v>
      </c>
      <c r="I32" s="128">
        <v>60867975</v>
      </c>
      <c r="J32" s="128">
        <v>62152408</v>
      </c>
      <c r="K32" s="128">
        <v>62998917</v>
      </c>
      <c r="L32" s="128">
        <v>61417830</v>
      </c>
      <c r="M32" s="128">
        <v>62618762</v>
      </c>
      <c r="N32" s="128">
        <v>63376276</v>
      </c>
      <c r="O32" s="128">
        <v>7904793</v>
      </c>
    </row>
    <row r="33" spans="1:15">
      <c r="A33" s="132" t="s">
        <v>618</v>
      </c>
      <c r="B33" s="123" t="s">
        <v>619</v>
      </c>
      <c r="C33" s="124">
        <v>3943</v>
      </c>
      <c r="D33" s="125">
        <v>5014.8519999999999</v>
      </c>
      <c r="E33" s="126">
        <v>522.54560000000004</v>
      </c>
      <c r="F33" s="126">
        <v>253.6499</v>
      </c>
      <c r="G33" s="127">
        <v>9.5969653174765988</v>
      </c>
      <c r="H33" s="127">
        <v>15.545048509776665</v>
      </c>
      <c r="I33" s="128">
        <v>31464748</v>
      </c>
      <c r="J33" s="128">
        <v>29668278</v>
      </c>
      <c r="K33" s="128">
        <v>28179677</v>
      </c>
      <c r="L33" s="128">
        <v>29143811</v>
      </c>
      <c r="M33" s="128">
        <v>27969555</v>
      </c>
      <c r="N33" s="128">
        <v>28775704</v>
      </c>
      <c r="O33" s="128">
        <v>7580300</v>
      </c>
    </row>
    <row r="34" spans="1:15">
      <c r="A34" s="132" t="s">
        <v>1766</v>
      </c>
      <c r="B34" s="123" t="s">
        <v>1767</v>
      </c>
      <c r="C34" s="124">
        <v>1735</v>
      </c>
      <c r="D34" s="125">
        <v>2277.779</v>
      </c>
      <c r="E34" s="126">
        <v>248.55189999999999</v>
      </c>
      <c r="F34" s="126">
        <v>130.5745</v>
      </c>
      <c r="G34" s="127">
        <v>9.1641987045763891</v>
      </c>
      <c r="H34" s="127">
        <v>13.287433610697342</v>
      </c>
      <c r="I34" s="128">
        <v>13109647</v>
      </c>
      <c r="J34" s="128">
        <v>13376612</v>
      </c>
      <c r="K34" s="128">
        <v>12979434</v>
      </c>
      <c r="L34" s="128">
        <v>13020108</v>
      </c>
      <c r="M34" s="128">
        <v>13200874</v>
      </c>
      <c r="N34" s="128">
        <v>12809517</v>
      </c>
      <c r="O34" s="128">
        <v>1608286</v>
      </c>
    </row>
    <row r="35" spans="1:15">
      <c r="A35" s="132" t="s">
        <v>1234</v>
      </c>
      <c r="B35" s="123" t="s">
        <v>1235</v>
      </c>
      <c r="C35" s="124">
        <v>186</v>
      </c>
      <c r="D35" s="125">
        <v>291.34100000000001</v>
      </c>
      <c r="E35" s="126">
        <v>34.284199999999998</v>
      </c>
      <c r="F35" s="126">
        <v>15.619400000000001</v>
      </c>
      <c r="G35" s="127">
        <v>8.4978211537676245</v>
      </c>
      <c r="H35" s="127">
        <v>11.908267923223683</v>
      </c>
      <c r="I35" s="128">
        <v>1869025</v>
      </c>
      <c r="J35" s="128">
        <v>1824245</v>
      </c>
      <c r="K35" s="128">
        <v>1972015</v>
      </c>
      <c r="L35" s="128">
        <v>1889722</v>
      </c>
      <c r="M35" s="128">
        <v>1805247</v>
      </c>
      <c r="N35" s="128">
        <v>1880646</v>
      </c>
      <c r="O35" s="128">
        <v>508542</v>
      </c>
    </row>
    <row r="36" spans="1:15">
      <c r="A36" s="132" t="s">
        <v>1726</v>
      </c>
      <c r="B36" s="123" t="s">
        <v>1727</v>
      </c>
      <c r="C36" s="124">
        <v>575</v>
      </c>
      <c r="D36" s="125">
        <v>1012.883</v>
      </c>
      <c r="E36" s="126">
        <v>92.303299999999993</v>
      </c>
      <c r="F36" s="126">
        <v>53.112099999999998</v>
      </c>
      <c r="G36" s="127">
        <v>10.973421318631079</v>
      </c>
      <c r="H36" s="127">
        <v>10.826158257722817</v>
      </c>
      <c r="I36" s="128">
        <v>5394678</v>
      </c>
      <c r="J36" s="128">
        <v>5530555</v>
      </c>
      <c r="K36" s="128">
        <v>5997279</v>
      </c>
      <c r="L36" s="128">
        <v>5374863</v>
      </c>
      <c r="M36" s="128">
        <v>5455110</v>
      </c>
      <c r="N36" s="128">
        <v>5807001</v>
      </c>
      <c r="O36" s="128">
        <v>3057894</v>
      </c>
    </row>
    <row r="37" spans="1:15">
      <c r="A37" s="132" t="s">
        <v>164</v>
      </c>
      <c r="B37" s="123" t="s">
        <v>165</v>
      </c>
      <c r="C37" s="124">
        <v>3525</v>
      </c>
      <c r="D37" s="125">
        <v>4485.9059999999999</v>
      </c>
      <c r="E37" s="126">
        <v>502.58019999999999</v>
      </c>
      <c r="F37" s="126">
        <v>229.03639999999999</v>
      </c>
      <c r="G37" s="127">
        <v>8.9257515516926453</v>
      </c>
      <c r="H37" s="127">
        <v>15.39056673960995</v>
      </c>
      <c r="I37" s="128">
        <v>25771071</v>
      </c>
      <c r="J37" s="128">
        <v>24794120</v>
      </c>
      <c r="K37" s="128">
        <v>23969458</v>
      </c>
      <c r="L37" s="128">
        <v>23536779</v>
      </c>
      <c r="M37" s="128">
        <v>24876765</v>
      </c>
      <c r="N37" s="128">
        <v>25802672</v>
      </c>
      <c r="O37" s="128">
        <v>9378290</v>
      </c>
    </row>
    <row r="38" spans="1:15">
      <c r="A38" s="132" t="s">
        <v>1456</v>
      </c>
      <c r="B38" s="123" t="s">
        <v>1457</v>
      </c>
      <c r="C38" s="124">
        <v>162</v>
      </c>
      <c r="D38" s="125">
        <v>253.40400000000002</v>
      </c>
      <c r="E38" s="126">
        <v>24.0001</v>
      </c>
      <c r="F38" s="126">
        <v>12.9999</v>
      </c>
      <c r="G38" s="127">
        <v>10.558456006433307</v>
      </c>
      <c r="H38" s="127">
        <v>12.461634320264002</v>
      </c>
      <c r="I38" s="128">
        <v>1411445</v>
      </c>
      <c r="J38" s="128">
        <v>1477941</v>
      </c>
      <c r="K38" s="128">
        <v>1409009</v>
      </c>
      <c r="L38" s="128">
        <v>1565295</v>
      </c>
      <c r="M38" s="128">
        <v>1617941</v>
      </c>
      <c r="N38" s="128">
        <v>1737656</v>
      </c>
      <c r="O38" s="128">
        <v>920612</v>
      </c>
    </row>
    <row r="39" spans="1:15">
      <c r="A39" s="132" t="s">
        <v>1476</v>
      </c>
      <c r="B39" s="123" t="s">
        <v>1477</v>
      </c>
      <c r="C39" s="124">
        <v>411</v>
      </c>
      <c r="D39" s="125">
        <v>685.89100000000008</v>
      </c>
      <c r="E39" s="126">
        <v>76.691599999999994</v>
      </c>
      <c r="F39" s="126">
        <v>36.716099999999997</v>
      </c>
      <c r="G39" s="127">
        <v>8.9434957674634532</v>
      </c>
      <c r="H39" s="127">
        <v>11.19399936267741</v>
      </c>
      <c r="I39" s="128">
        <v>3391668</v>
      </c>
      <c r="J39" s="128">
        <v>3916349</v>
      </c>
      <c r="K39" s="128">
        <v>3887037</v>
      </c>
      <c r="L39" s="128">
        <v>3474127</v>
      </c>
      <c r="M39" s="128">
        <v>4093351</v>
      </c>
      <c r="N39" s="128">
        <v>4076567</v>
      </c>
      <c r="O39" s="128">
        <v>581317</v>
      </c>
    </row>
    <row r="40" spans="1:15">
      <c r="A40" s="132" t="s">
        <v>1758</v>
      </c>
      <c r="B40" s="123" t="s">
        <v>1759</v>
      </c>
      <c r="C40" s="124">
        <v>814</v>
      </c>
      <c r="D40" s="125">
        <v>1225.883</v>
      </c>
      <c r="E40" s="126">
        <v>113.56710000000001</v>
      </c>
      <c r="F40" s="126">
        <v>64.897800000000004</v>
      </c>
      <c r="G40" s="127">
        <v>10.794349772073073</v>
      </c>
      <c r="H40" s="127">
        <v>12.542798060951219</v>
      </c>
      <c r="I40" s="128">
        <v>7787654</v>
      </c>
      <c r="J40" s="128">
        <v>7027103</v>
      </c>
      <c r="K40" s="128">
        <v>8048057</v>
      </c>
      <c r="L40" s="128">
        <v>6727664</v>
      </c>
      <c r="M40" s="128">
        <v>7125106</v>
      </c>
      <c r="N40" s="128">
        <v>7095746</v>
      </c>
      <c r="O40" s="128">
        <v>1316403</v>
      </c>
    </row>
    <row r="41" spans="1:15">
      <c r="A41" s="132" t="s">
        <v>50</v>
      </c>
      <c r="B41" s="123" t="s">
        <v>51</v>
      </c>
      <c r="C41" s="124">
        <v>1103</v>
      </c>
      <c r="D41" s="125">
        <v>1472.269</v>
      </c>
      <c r="E41" s="126">
        <v>161.69909999999999</v>
      </c>
      <c r="F41" s="126">
        <v>83.490399999999994</v>
      </c>
      <c r="G41" s="127">
        <v>9.1049919263619898</v>
      </c>
      <c r="H41" s="127">
        <v>13.211099719249161</v>
      </c>
      <c r="I41" s="128">
        <v>7897114</v>
      </c>
      <c r="J41" s="128">
        <v>7843467</v>
      </c>
      <c r="K41" s="128">
        <v>8433010</v>
      </c>
      <c r="L41" s="128">
        <v>8038005</v>
      </c>
      <c r="M41" s="128">
        <v>7844211</v>
      </c>
      <c r="N41" s="128">
        <v>8631073</v>
      </c>
      <c r="O41" s="128">
        <v>1577036</v>
      </c>
    </row>
    <row r="42" spans="1:15">
      <c r="A42" s="132" t="s">
        <v>154</v>
      </c>
      <c r="B42" s="123" t="s">
        <v>155</v>
      </c>
      <c r="C42" s="124">
        <v>379</v>
      </c>
      <c r="D42" s="125">
        <v>607.01700000000005</v>
      </c>
      <c r="E42" s="126">
        <v>64.356499999999997</v>
      </c>
      <c r="F42" s="126">
        <v>35.500700000000002</v>
      </c>
      <c r="G42" s="127">
        <v>9.4321008755914342</v>
      </c>
      <c r="H42" s="127">
        <v>10.675845828392116</v>
      </c>
      <c r="I42" s="128">
        <v>3247233</v>
      </c>
      <c r="J42" s="128">
        <v>3218558</v>
      </c>
      <c r="K42" s="128">
        <v>3256341</v>
      </c>
      <c r="L42" s="128">
        <v>3334732</v>
      </c>
      <c r="M42" s="128">
        <v>3235305</v>
      </c>
      <c r="N42" s="128">
        <v>3396225</v>
      </c>
      <c r="O42" s="128">
        <v>907078</v>
      </c>
    </row>
    <row r="43" spans="1:15">
      <c r="A43" s="132" t="s">
        <v>172</v>
      </c>
      <c r="B43" s="123" t="s">
        <v>173</v>
      </c>
      <c r="C43" s="124">
        <v>9232</v>
      </c>
      <c r="D43" s="125">
        <v>10950.174999999999</v>
      </c>
      <c r="E43" s="126">
        <v>1342.2164</v>
      </c>
      <c r="F43" s="126">
        <v>615.02480000000003</v>
      </c>
      <c r="G43" s="127">
        <v>8.1582783521345732</v>
      </c>
      <c r="H43" s="127">
        <v>15.010776801195659</v>
      </c>
      <c r="I43" s="128">
        <v>65110740</v>
      </c>
      <c r="J43" s="128">
        <v>67805778</v>
      </c>
      <c r="K43" s="128">
        <v>64850600</v>
      </c>
      <c r="L43" s="128">
        <v>65112240</v>
      </c>
      <c r="M43" s="128">
        <v>67807267</v>
      </c>
      <c r="N43" s="128">
        <v>66462526</v>
      </c>
      <c r="O43" s="128">
        <v>15441952</v>
      </c>
    </row>
    <row r="44" spans="1:15">
      <c r="A44" s="132" t="s">
        <v>891</v>
      </c>
      <c r="B44" s="123" t="s">
        <v>892</v>
      </c>
      <c r="C44" s="124">
        <v>568</v>
      </c>
      <c r="D44" s="125">
        <v>840.65200000000004</v>
      </c>
      <c r="E44" s="126">
        <v>102.1544</v>
      </c>
      <c r="F44" s="126">
        <v>49.995199999999997</v>
      </c>
      <c r="G44" s="127">
        <v>8.2292294800811323</v>
      </c>
      <c r="H44" s="127">
        <v>11.361090664703813</v>
      </c>
      <c r="I44" s="128">
        <v>4500425</v>
      </c>
      <c r="J44" s="128">
        <v>4683278</v>
      </c>
      <c r="K44" s="128">
        <v>4417941</v>
      </c>
      <c r="L44" s="128">
        <v>4650118</v>
      </c>
      <c r="M44" s="128">
        <v>4843485</v>
      </c>
      <c r="N44" s="128">
        <v>4456619</v>
      </c>
      <c r="O44" s="128">
        <v>1276496</v>
      </c>
    </row>
    <row r="45" spans="1:15">
      <c r="A45" s="132" t="s">
        <v>1018</v>
      </c>
      <c r="B45" s="123" t="s">
        <v>1019</v>
      </c>
      <c r="C45" s="124">
        <v>40165</v>
      </c>
      <c r="D45" s="125">
        <v>46840.834000000003</v>
      </c>
      <c r="E45" s="126">
        <v>5910.5484999999999</v>
      </c>
      <c r="F45" s="126">
        <v>2814.3269</v>
      </c>
      <c r="G45" s="127">
        <v>7.9249555265471558</v>
      </c>
      <c r="H45" s="127">
        <v>14.271618552912244</v>
      </c>
      <c r="I45" s="128">
        <v>307468188</v>
      </c>
      <c r="J45" s="128">
        <v>320777131</v>
      </c>
      <c r="K45" s="128">
        <v>299828020</v>
      </c>
      <c r="L45" s="128">
        <v>321908528</v>
      </c>
      <c r="M45" s="128">
        <v>338351155</v>
      </c>
      <c r="N45" s="128">
        <v>325142363</v>
      </c>
      <c r="O45" s="128">
        <v>72121597</v>
      </c>
    </row>
    <row r="46" spans="1:15">
      <c r="A46" s="132" t="s">
        <v>1618</v>
      </c>
      <c r="B46" s="123" t="s">
        <v>1619</v>
      </c>
      <c r="C46" s="124">
        <v>894</v>
      </c>
      <c r="D46" s="125">
        <v>1243.499</v>
      </c>
      <c r="E46" s="126">
        <v>129.50880000000001</v>
      </c>
      <c r="F46" s="126">
        <v>67.304599999999994</v>
      </c>
      <c r="G46" s="127">
        <v>9.601656412537217</v>
      </c>
      <c r="H46" s="127">
        <v>13.282895968477639</v>
      </c>
      <c r="I46" s="128">
        <v>6503946</v>
      </c>
      <c r="J46" s="128">
        <v>6397233</v>
      </c>
      <c r="K46" s="128">
        <v>7216306</v>
      </c>
      <c r="L46" s="128">
        <v>6687035</v>
      </c>
      <c r="M46" s="128">
        <v>6333748</v>
      </c>
      <c r="N46" s="128">
        <v>6774512</v>
      </c>
      <c r="O46" s="128">
        <v>1264616</v>
      </c>
    </row>
    <row r="47" spans="1:15">
      <c r="A47" s="132" t="s">
        <v>1658</v>
      </c>
      <c r="B47" s="123" t="s">
        <v>1659</v>
      </c>
      <c r="C47" s="124">
        <v>1354</v>
      </c>
      <c r="D47" s="125">
        <v>1665.28</v>
      </c>
      <c r="E47" s="126">
        <v>181.25319999999999</v>
      </c>
      <c r="F47" s="126">
        <v>102.3394</v>
      </c>
      <c r="G47" s="127">
        <v>9.1875895156609655</v>
      </c>
      <c r="H47" s="127">
        <v>13.230486010275612</v>
      </c>
      <c r="I47" s="128">
        <v>10058146</v>
      </c>
      <c r="J47" s="128">
        <v>10153995</v>
      </c>
      <c r="K47" s="128">
        <v>10120138</v>
      </c>
      <c r="L47" s="128">
        <v>10818759</v>
      </c>
      <c r="M47" s="128">
        <v>10989506</v>
      </c>
      <c r="N47" s="128">
        <v>10681903</v>
      </c>
      <c r="O47" s="128">
        <v>4213701</v>
      </c>
    </row>
    <row r="48" spans="1:15">
      <c r="A48" s="132" t="s">
        <v>1860</v>
      </c>
      <c r="B48" s="123" t="s">
        <v>1861</v>
      </c>
      <c r="C48" s="124">
        <v>8840</v>
      </c>
      <c r="D48" s="125">
        <v>10243.735000000001</v>
      </c>
      <c r="E48" s="126">
        <v>1248.7765999999999</v>
      </c>
      <c r="F48" s="126">
        <v>611.29070000000002</v>
      </c>
      <c r="G48" s="127">
        <v>8.2030164562660772</v>
      </c>
      <c r="H48" s="127">
        <v>14.461204791762741</v>
      </c>
      <c r="I48" s="128">
        <v>57858084</v>
      </c>
      <c r="J48" s="128">
        <v>57512360</v>
      </c>
      <c r="K48" s="128">
        <v>59071847</v>
      </c>
      <c r="L48" s="128">
        <v>60213082</v>
      </c>
      <c r="M48" s="128">
        <v>59742362</v>
      </c>
      <c r="N48" s="128">
        <v>61402330</v>
      </c>
      <c r="O48" s="128">
        <v>14825233</v>
      </c>
    </row>
    <row r="49" spans="1:15">
      <c r="A49" s="132" t="s">
        <v>1912</v>
      </c>
      <c r="B49" s="123" t="s">
        <v>1913</v>
      </c>
      <c r="C49" s="124">
        <v>1284</v>
      </c>
      <c r="D49" s="125">
        <v>1707.999</v>
      </c>
      <c r="E49" s="126">
        <v>180.69260000000003</v>
      </c>
      <c r="F49" s="126">
        <v>94.107500000000002</v>
      </c>
      <c r="G49" s="127">
        <v>9.4525121670726957</v>
      </c>
      <c r="H49" s="127">
        <v>13.643970990622426</v>
      </c>
      <c r="I49" s="128">
        <v>9438866</v>
      </c>
      <c r="J49" s="128">
        <v>9619392</v>
      </c>
      <c r="K49" s="128">
        <v>9517592</v>
      </c>
      <c r="L49" s="128">
        <v>9293480</v>
      </c>
      <c r="M49" s="128">
        <v>9378549</v>
      </c>
      <c r="N49" s="128">
        <v>9440436</v>
      </c>
      <c r="O49" s="128">
        <v>1250158</v>
      </c>
    </row>
    <row r="50" spans="1:15">
      <c r="A50" s="132" t="s">
        <v>56</v>
      </c>
      <c r="B50" s="123" t="s">
        <v>57</v>
      </c>
      <c r="C50" s="124">
        <v>4744</v>
      </c>
      <c r="D50" s="125">
        <v>5234.1010000000006</v>
      </c>
      <c r="E50" s="126">
        <v>604.23810000000003</v>
      </c>
      <c r="F50" s="126">
        <v>335.31229999999999</v>
      </c>
      <c r="G50" s="127">
        <v>8.6623154018258699</v>
      </c>
      <c r="H50" s="127">
        <v>14.148004710832261</v>
      </c>
      <c r="I50" s="128">
        <v>35808438</v>
      </c>
      <c r="J50" s="128">
        <v>36769800</v>
      </c>
      <c r="K50" s="128">
        <v>38632616</v>
      </c>
      <c r="L50" s="128">
        <v>35066963</v>
      </c>
      <c r="M50" s="128">
        <v>36165400</v>
      </c>
      <c r="N50" s="128">
        <v>38863707</v>
      </c>
      <c r="O50" s="128">
        <v>7595117</v>
      </c>
    </row>
    <row r="51" spans="1:15">
      <c r="A51" s="132" t="s">
        <v>832</v>
      </c>
      <c r="B51" s="123" t="s">
        <v>833</v>
      </c>
      <c r="C51" s="124">
        <v>14846</v>
      </c>
      <c r="D51" s="125">
        <v>18468.236000000001</v>
      </c>
      <c r="E51" s="126">
        <v>2085.5834</v>
      </c>
      <c r="F51" s="126">
        <v>969.59079999999994</v>
      </c>
      <c r="G51" s="127">
        <v>8.8551893920904821</v>
      </c>
      <c r="H51" s="127">
        <v>15.311613930330198</v>
      </c>
      <c r="I51" s="128">
        <v>120141903</v>
      </c>
      <c r="J51" s="128">
        <v>118801504</v>
      </c>
      <c r="K51" s="128">
        <v>112793851</v>
      </c>
      <c r="L51" s="128">
        <v>121995643</v>
      </c>
      <c r="M51" s="128">
        <v>119780290</v>
      </c>
      <c r="N51" s="128">
        <v>123926953</v>
      </c>
      <c r="O51" s="128">
        <v>23803557</v>
      </c>
    </row>
    <row r="52" spans="1:15">
      <c r="A52" s="132" t="s">
        <v>605</v>
      </c>
      <c r="B52" s="123" t="s">
        <v>606</v>
      </c>
      <c r="C52" s="124">
        <v>11904</v>
      </c>
      <c r="D52" s="125">
        <v>14955.203</v>
      </c>
      <c r="E52" s="126">
        <v>1740.9151000000002</v>
      </c>
      <c r="F52" s="126">
        <v>788.24379999999996</v>
      </c>
      <c r="G52" s="127">
        <v>8.5904263797815279</v>
      </c>
      <c r="H52" s="127">
        <v>15.101926586672803</v>
      </c>
      <c r="I52" s="128">
        <v>102853162</v>
      </c>
      <c r="J52" s="128">
        <v>96906736</v>
      </c>
      <c r="K52" s="128">
        <v>100411849</v>
      </c>
      <c r="L52" s="128">
        <v>97918738</v>
      </c>
      <c r="M52" s="128">
        <v>94724260</v>
      </c>
      <c r="N52" s="128">
        <v>101933425</v>
      </c>
      <c r="O52" s="128">
        <v>21916336</v>
      </c>
    </row>
    <row r="53" spans="1:15">
      <c r="A53" s="132" t="s">
        <v>1556</v>
      </c>
      <c r="B53" s="123" t="s">
        <v>1557</v>
      </c>
      <c r="C53" s="124">
        <v>1167</v>
      </c>
      <c r="D53" s="125">
        <v>1412.136</v>
      </c>
      <c r="E53" s="126">
        <v>167.5462</v>
      </c>
      <c r="F53" s="126">
        <v>85.516300000000001</v>
      </c>
      <c r="G53" s="127">
        <v>8.4283379748391791</v>
      </c>
      <c r="H53" s="127">
        <v>13.64652118952761</v>
      </c>
      <c r="I53" s="128">
        <v>12178338</v>
      </c>
      <c r="J53" s="128">
        <v>12947529</v>
      </c>
      <c r="K53" s="128">
        <v>12918948</v>
      </c>
      <c r="L53" s="128">
        <v>12794761</v>
      </c>
      <c r="M53" s="128">
        <v>13211986</v>
      </c>
      <c r="N53" s="128">
        <v>12529304</v>
      </c>
      <c r="O53" s="128">
        <v>1374306</v>
      </c>
    </row>
    <row r="54" spans="1:15">
      <c r="A54" s="132" t="s">
        <v>1668</v>
      </c>
      <c r="B54" s="123" t="s">
        <v>1669</v>
      </c>
      <c r="C54" s="124">
        <v>54894</v>
      </c>
      <c r="D54" s="125">
        <v>68817.031000000003</v>
      </c>
      <c r="E54" s="126">
        <v>7630.9490999999998</v>
      </c>
      <c r="F54" s="126">
        <v>3436.7656999999999</v>
      </c>
      <c r="G54" s="127">
        <v>9.0181483454004443</v>
      </c>
      <c r="H54" s="127">
        <v>15.972575610842485</v>
      </c>
      <c r="I54" s="128">
        <v>394486055</v>
      </c>
      <c r="J54" s="128">
        <v>399011583</v>
      </c>
      <c r="K54" s="128">
        <v>394423947</v>
      </c>
      <c r="L54" s="128">
        <v>399124687</v>
      </c>
      <c r="M54" s="128">
        <v>401262825</v>
      </c>
      <c r="N54" s="128">
        <v>403879445</v>
      </c>
      <c r="O54" s="128">
        <v>38125756</v>
      </c>
    </row>
    <row r="55" spans="1:15">
      <c r="A55" s="132" t="s">
        <v>1782</v>
      </c>
      <c r="B55" s="123" t="s">
        <v>1783</v>
      </c>
      <c r="C55" s="124">
        <v>9860</v>
      </c>
      <c r="D55" s="125">
        <v>12312.9</v>
      </c>
      <c r="E55" s="126">
        <v>1469.0240000000001</v>
      </c>
      <c r="F55" s="126">
        <v>687.58579999999995</v>
      </c>
      <c r="G55" s="127">
        <v>8.3816874332890396</v>
      </c>
      <c r="H55" s="127">
        <v>14.34002854625561</v>
      </c>
      <c r="I55" s="128">
        <v>84644559</v>
      </c>
      <c r="J55" s="128">
        <v>85790887</v>
      </c>
      <c r="K55" s="128">
        <v>82379193</v>
      </c>
      <c r="L55" s="128">
        <v>78798785</v>
      </c>
      <c r="M55" s="128">
        <v>78623030</v>
      </c>
      <c r="N55" s="128">
        <v>80364579</v>
      </c>
      <c r="O55" s="128">
        <v>21498761</v>
      </c>
    </row>
    <row r="56" spans="1:15">
      <c r="A56" s="132" t="s">
        <v>1776</v>
      </c>
      <c r="B56" s="123" t="s">
        <v>1777</v>
      </c>
      <c r="C56" s="124">
        <v>3779</v>
      </c>
      <c r="D56" s="125">
        <v>4768.9540000000006</v>
      </c>
      <c r="E56" s="126">
        <v>602.53930000000003</v>
      </c>
      <c r="F56" s="126">
        <v>258.07369999999997</v>
      </c>
      <c r="G56" s="127">
        <v>7.9147600828692841</v>
      </c>
      <c r="H56" s="127">
        <v>14.643103888540368</v>
      </c>
      <c r="I56" s="128">
        <v>29527482</v>
      </c>
      <c r="J56" s="128">
        <v>27958898</v>
      </c>
      <c r="K56" s="128">
        <v>27954106</v>
      </c>
      <c r="L56" s="128">
        <v>27984887</v>
      </c>
      <c r="M56" s="128">
        <v>26875558</v>
      </c>
      <c r="N56" s="128">
        <v>27383644</v>
      </c>
      <c r="O56" s="128">
        <v>10444469</v>
      </c>
    </row>
    <row r="57" spans="1:15">
      <c r="A57" s="132" t="s">
        <v>1383</v>
      </c>
      <c r="B57" s="123" t="s">
        <v>1384</v>
      </c>
      <c r="C57" s="124">
        <v>66364</v>
      </c>
      <c r="D57" s="125">
        <v>78653.070999999996</v>
      </c>
      <c r="E57" s="126">
        <v>8557.4989999999998</v>
      </c>
      <c r="F57" s="126">
        <v>4376.6923999999999</v>
      </c>
      <c r="G57" s="127">
        <v>9.191128272407628</v>
      </c>
      <c r="H57" s="127">
        <v>15.163048698601711</v>
      </c>
      <c r="I57" s="128">
        <v>489284092</v>
      </c>
      <c r="J57" s="128">
        <v>493296689</v>
      </c>
      <c r="K57" s="128">
        <v>482473650</v>
      </c>
      <c r="L57" s="128">
        <v>492652786</v>
      </c>
      <c r="M57" s="128">
        <v>505549720</v>
      </c>
      <c r="N57" s="128">
        <v>494615080</v>
      </c>
      <c r="O57" s="128">
        <v>68356422</v>
      </c>
    </row>
    <row r="58" spans="1:15">
      <c r="A58" s="132" t="s">
        <v>591</v>
      </c>
      <c r="B58" s="123" t="s">
        <v>592</v>
      </c>
      <c r="C58" s="124">
        <v>9571</v>
      </c>
      <c r="D58" s="125">
        <v>11527.623</v>
      </c>
      <c r="E58" s="126">
        <v>1205.8971999999999</v>
      </c>
      <c r="F58" s="126">
        <v>572.92349999999999</v>
      </c>
      <c r="G58" s="127">
        <v>9.5593745470177733</v>
      </c>
      <c r="H58" s="127">
        <v>16.705546202939836</v>
      </c>
      <c r="I58" s="128">
        <v>65678241</v>
      </c>
      <c r="J58" s="128">
        <v>66798991</v>
      </c>
      <c r="K58" s="128">
        <v>63485840</v>
      </c>
      <c r="L58" s="128">
        <v>65610693</v>
      </c>
      <c r="M58" s="128">
        <v>67135464</v>
      </c>
      <c r="N58" s="128">
        <v>66906494</v>
      </c>
      <c r="O58" s="128">
        <v>9317163</v>
      </c>
    </row>
    <row r="59" spans="1:15">
      <c r="A59" s="132" t="s">
        <v>1790</v>
      </c>
      <c r="B59" s="123" t="s">
        <v>1791</v>
      </c>
      <c r="C59" s="124">
        <v>11779</v>
      </c>
      <c r="D59" s="125">
        <v>15028.474</v>
      </c>
      <c r="E59" s="126">
        <v>1501.6401000000001</v>
      </c>
      <c r="F59" s="126">
        <v>734.88350000000003</v>
      </c>
      <c r="G59" s="127">
        <v>10.008039875866395</v>
      </c>
      <c r="H59" s="127">
        <v>16.028390894611185</v>
      </c>
      <c r="I59" s="128">
        <v>93391080</v>
      </c>
      <c r="J59" s="128">
        <v>97349528</v>
      </c>
      <c r="K59" s="128">
        <v>84827795</v>
      </c>
      <c r="L59" s="128">
        <v>86334198</v>
      </c>
      <c r="M59" s="128">
        <v>88637815</v>
      </c>
      <c r="N59" s="128">
        <v>93861790</v>
      </c>
      <c r="O59" s="128">
        <v>12060575</v>
      </c>
    </row>
    <row r="60" spans="1:15">
      <c r="A60" s="132" t="s">
        <v>1060</v>
      </c>
      <c r="B60" s="123" t="s">
        <v>1061</v>
      </c>
      <c r="C60" s="124">
        <v>985</v>
      </c>
      <c r="D60" s="125">
        <v>1271.5330000000001</v>
      </c>
      <c r="E60" s="126">
        <v>167.5395</v>
      </c>
      <c r="F60" s="126">
        <v>80.256900000000002</v>
      </c>
      <c r="G60" s="127">
        <v>7.5894520396682577</v>
      </c>
      <c r="H60" s="127">
        <v>12.273088046012242</v>
      </c>
      <c r="I60" s="128">
        <v>12003910</v>
      </c>
      <c r="J60" s="128">
        <v>11725961</v>
      </c>
      <c r="K60" s="128">
        <v>11076556</v>
      </c>
      <c r="L60" s="128">
        <v>11925721</v>
      </c>
      <c r="M60" s="128">
        <v>11541583</v>
      </c>
      <c r="N60" s="128">
        <v>12203731</v>
      </c>
      <c r="O60" s="128">
        <v>6324805</v>
      </c>
    </row>
    <row r="61" spans="1:15">
      <c r="A61" s="132" t="s">
        <v>710</v>
      </c>
      <c r="B61" s="123" t="s">
        <v>711</v>
      </c>
      <c r="C61" s="124">
        <v>1427</v>
      </c>
      <c r="D61" s="125">
        <v>1757.4960000000001</v>
      </c>
      <c r="E61" s="126">
        <v>235.40989999999999</v>
      </c>
      <c r="F61" s="126">
        <v>117.7251</v>
      </c>
      <c r="G61" s="127">
        <v>7.4656843233865704</v>
      </c>
      <c r="H61" s="127">
        <v>12.121459230019767</v>
      </c>
      <c r="I61" s="128">
        <v>16451980</v>
      </c>
      <c r="J61" s="128">
        <v>15964315</v>
      </c>
      <c r="K61" s="128">
        <v>15814381</v>
      </c>
      <c r="L61" s="128">
        <v>16699147</v>
      </c>
      <c r="M61" s="128">
        <v>16990117</v>
      </c>
      <c r="N61" s="128">
        <v>17965761</v>
      </c>
      <c r="O61" s="128">
        <v>5082113</v>
      </c>
    </row>
    <row r="62" spans="1:15">
      <c r="A62" s="132" t="s">
        <v>1393</v>
      </c>
      <c r="B62" s="123" t="s">
        <v>1394</v>
      </c>
      <c r="C62" s="124">
        <v>94632</v>
      </c>
      <c r="D62" s="125">
        <v>113837.558</v>
      </c>
      <c r="E62" s="126">
        <v>12793.569</v>
      </c>
      <c r="F62" s="126">
        <v>6116.9152000000004</v>
      </c>
      <c r="G62" s="127">
        <v>8.8980297835576607</v>
      </c>
      <c r="H62" s="127">
        <v>15.470543060659072</v>
      </c>
      <c r="I62" s="128">
        <v>695920642</v>
      </c>
      <c r="J62" s="128">
        <v>723084057</v>
      </c>
      <c r="K62" s="128">
        <v>657442644</v>
      </c>
      <c r="L62" s="128">
        <v>667221839</v>
      </c>
      <c r="M62" s="128">
        <v>689933923</v>
      </c>
      <c r="N62" s="128">
        <v>664879873</v>
      </c>
      <c r="O62" s="128">
        <v>52693155</v>
      </c>
    </row>
    <row r="63" spans="1:15">
      <c r="A63" s="132" t="s">
        <v>982</v>
      </c>
      <c r="B63" s="123" t="s">
        <v>983</v>
      </c>
      <c r="C63" s="124">
        <v>22016</v>
      </c>
      <c r="D63" s="125">
        <v>26802.609</v>
      </c>
      <c r="E63" s="126">
        <v>2979.0452</v>
      </c>
      <c r="F63" s="126">
        <v>1437.0716</v>
      </c>
      <c r="G63" s="127">
        <v>8.997046771898594</v>
      </c>
      <c r="H63" s="127">
        <v>15.320043900387427</v>
      </c>
      <c r="I63" s="128">
        <v>155370020</v>
      </c>
      <c r="J63" s="128">
        <v>157641233</v>
      </c>
      <c r="K63" s="128">
        <v>155617964</v>
      </c>
      <c r="L63" s="128">
        <v>153537686</v>
      </c>
      <c r="M63" s="128">
        <v>156746279</v>
      </c>
      <c r="N63" s="128">
        <v>157442513</v>
      </c>
      <c r="O63" s="128">
        <v>35744095</v>
      </c>
    </row>
    <row r="64" spans="1:15">
      <c r="A64" s="132" t="s">
        <v>1788</v>
      </c>
      <c r="B64" s="123" t="s">
        <v>1789</v>
      </c>
      <c r="C64" s="124">
        <v>5310</v>
      </c>
      <c r="D64" s="125">
        <v>6630.1370000000006</v>
      </c>
      <c r="E64" s="126">
        <v>748.82100000000003</v>
      </c>
      <c r="F64" s="126">
        <v>374.72570000000002</v>
      </c>
      <c r="G64" s="127">
        <v>8.8541013139321691</v>
      </c>
      <c r="H64" s="127">
        <v>14.170365149761546</v>
      </c>
      <c r="I64" s="128">
        <v>40196765</v>
      </c>
      <c r="J64" s="128">
        <v>44162496</v>
      </c>
      <c r="K64" s="128">
        <v>41016830</v>
      </c>
      <c r="L64" s="128">
        <v>34189922</v>
      </c>
      <c r="M64" s="128">
        <v>40110894</v>
      </c>
      <c r="N64" s="128">
        <v>40180221</v>
      </c>
      <c r="O64" s="128">
        <v>12892854</v>
      </c>
    </row>
    <row r="65" spans="1:15">
      <c r="A65" s="132" t="s">
        <v>974</v>
      </c>
      <c r="B65" s="123" t="s">
        <v>975</v>
      </c>
      <c r="C65" s="124">
        <v>707</v>
      </c>
      <c r="D65" s="125">
        <v>1190.0040000000001</v>
      </c>
      <c r="E65" s="126">
        <v>114.90639999999999</v>
      </c>
      <c r="F65" s="126">
        <v>60.249000000000002</v>
      </c>
      <c r="G65" s="127">
        <v>10.356289989069367</v>
      </c>
      <c r="H65" s="127">
        <v>11.734634599744394</v>
      </c>
      <c r="I65" s="128">
        <v>7460663</v>
      </c>
      <c r="J65" s="128">
        <v>7486695</v>
      </c>
      <c r="K65" s="128">
        <v>6804487</v>
      </c>
      <c r="L65" s="128">
        <v>7170227</v>
      </c>
      <c r="M65" s="128">
        <v>7581695</v>
      </c>
      <c r="N65" s="128">
        <v>8044295</v>
      </c>
      <c r="O65" s="128">
        <v>4255486</v>
      </c>
    </row>
    <row r="66" spans="1:15">
      <c r="A66" s="132" t="s">
        <v>191</v>
      </c>
      <c r="B66" s="123" t="s">
        <v>192</v>
      </c>
      <c r="C66" s="124">
        <v>966</v>
      </c>
      <c r="D66" s="125">
        <v>1490.0550000000001</v>
      </c>
      <c r="E66" s="126">
        <v>166.56389999999999</v>
      </c>
      <c r="F66" s="126">
        <v>91.327600000000004</v>
      </c>
      <c r="G66" s="127">
        <v>8.9458460086489335</v>
      </c>
      <c r="H66" s="127">
        <v>10.577306312659042</v>
      </c>
      <c r="I66" s="128">
        <v>10915183</v>
      </c>
      <c r="J66" s="128">
        <v>11025269</v>
      </c>
      <c r="K66" s="128">
        <v>10372783</v>
      </c>
      <c r="L66" s="128">
        <v>11072185</v>
      </c>
      <c r="M66" s="128">
        <v>10707264</v>
      </c>
      <c r="N66" s="128">
        <v>9948562</v>
      </c>
      <c r="O66" s="128">
        <v>2652129</v>
      </c>
    </row>
    <row r="67" spans="1:15">
      <c r="A67" s="132" t="s">
        <v>219</v>
      </c>
      <c r="B67" s="123" t="s">
        <v>220</v>
      </c>
      <c r="C67" s="124">
        <v>227</v>
      </c>
      <c r="D67" s="125">
        <v>395.27800000000002</v>
      </c>
      <c r="E67" s="126">
        <v>50.394199999999998</v>
      </c>
      <c r="F67" s="126">
        <v>19.057300000000001</v>
      </c>
      <c r="G67" s="127">
        <v>7.8437201106476548</v>
      </c>
      <c r="H67" s="127">
        <v>11.911446007566653</v>
      </c>
      <c r="I67" s="128">
        <v>5320868</v>
      </c>
      <c r="J67" s="128">
        <v>6077341</v>
      </c>
      <c r="K67" s="128">
        <v>4302493</v>
      </c>
      <c r="L67" s="128">
        <v>5451653</v>
      </c>
      <c r="M67" s="128">
        <v>5769078</v>
      </c>
      <c r="N67" s="128">
        <v>6123248</v>
      </c>
      <c r="O67" s="128">
        <v>2789813</v>
      </c>
    </row>
    <row r="68" spans="1:15">
      <c r="A68" s="132" t="s">
        <v>403</v>
      </c>
      <c r="B68" s="123" t="s">
        <v>404</v>
      </c>
      <c r="C68" s="124">
        <v>1137</v>
      </c>
      <c r="D68" s="125">
        <v>1552.4849999999999</v>
      </c>
      <c r="E68" s="126">
        <v>181.55769999999998</v>
      </c>
      <c r="F68" s="126">
        <v>97.817899999999995</v>
      </c>
      <c r="G68" s="127">
        <v>8.5509179726334956</v>
      </c>
      <c r="H68" s="127">
        <v>11.623639436135923</v>
      </c>
      <c r="I68" s="128">
        <v>8862280</v>
      </c>
      <c r="J68" s="128">
        <v>8519458</v>
      </c>
      <c r="K68" s="128">
        <v>8571235</v>
      </c>
      <c r="L68" s="128">
        <v>9357999</v>
      </c>
      <c r="M68" s="128">
        <v>9142552</v>
      </c>
      <c r="N68" s="128">
        <v>9301515</v>
      </c>
      <c r="O68" s="128">
        <v>2095425</v>
      </c>
    </row>
    <row r="69" spans="1:15">
      <c r="A69" s="132" t="s">
        <v>1260</v>
      </c>
      <c r="B69" s="123" t="s">
        <v>1261</v>
      </c>
      <c r="C69" s="124">
        <v>507</v>
      </c>
      <c r="D69" s="125">
        <v>821.755</v>
      </c>
      <c r="E69" s="126">
        <v>109.1875</v>
      </c>
      <c r="F69" s="126">
        <v>53.241799999999998</v>
      </c>
      <c r="G69" s="127">
        <v>7.5260904407555813</v>
      </c>
      <c r="H69" s="127">
        <v>9.5225931504945365</v>
      </c>
      <c r="I69" s="128">
        <v>4826135</v>
      </c>
      <c r="J69" s="128">
        <v>5059475</v>
      </c>
      <c r="K69" s="128">
        <v>4832697</v>
      </c>
      <c r="L69" s="128">
        <v>5098156</v>
      </c>
      <c r="M69" s="128">
        <v>5154676</v>
      </c>
      <c r="N69" s="128">
        <v>5469872</v>
      </c>
      <c r="O69" s="128">
        <v>1946059</v>
      </c>
    </row>
    <row r="70" spans="1:15">
      <c r="A70" s="132" t="s">
        <v>1309</v>
      </c>
      <c r="B70" s="123" t="s">
        <v>1310</v>
      </c>
      <c r="C70" s="124">
        <v>125</v>
      </c>
      <c r="D70" s="125">
        <v>258.303</v>
      </c>
      <c r="E70" s="126">
        <v>25.962899999999998</v>
      </c>
      <c r="F70" s="126">
        <v>14.7384</v>
      </c>
      <c r="G70" s="127">
        <v>9.9489271229331084</v>
      </c>
      <c r="H70" s="127">
        <v>8.4812462682516419</v>
      </c>
      <c r="I70" s="128">
        <v>1395928</v>
      </c>
      <c r="J70" s="128">
        <v>1434026</v>
      </c>
      <c r="K70" s="128">
        <v>1418038</v>
      </c>
      <c r="L70" s="128">
        <v>1555865</v>
      </c>
      <c r="M70" s="128">
        <v>1526760</v>
      </c>
      <c r="N70" s="128">
        <v>1594154</v>
      </c>
      <c r="O70" s="128">
        <v>238704</v>
      </c>
    </row>
    <row r="71" spans="1:15">
      <c r="A71" s="132" t="s">
        <v>1934</v>
      </c>
      <c r="B71" s="123" t="s">
        <v>1935</v>
      </c>
      <c r="C71" s="124">
        <v>636</v>
      </c>
      <c r="D71" s="125">
        <v>962.40899999999999</v>
      </c>
      <c r="E71" s="126">
        <v>89.65379999999999</v>
      </c>
      <c r="F71" s="126">
        <v>49.501600000000003</v>
      </c>
      <c r="G71" s="127">
        <v>10.734726246963319</v>
      </c>
      <c r="H71" s="127">
        <v>12.848069557347641</v>
      </c>
      <c r="I71" s="128">
        <v>4716351</v>
      </c>
      <c r="J71" s="128">
        <v>5181295</v>
      </c>
      <c r="K71" s="128">
        <v>5206764</v>
      </c>
      <c r="L71" s="128">
        <v>4905283</v>
      </c>
      <c r="M71" s="128">
        <v>5326182</v>
      </c>
      <c r="N71" s="128">
        <v>5361231</v>
      </c>
      <c r="O71" s="128">
        <v>1265164</v>
      </c>
    </row>
    <row r="72" spans="1:15">
      <c r="A72" s="132" t="s">
        <v>1971</v>
      </c>
      <c r="B72" s="123" t="s">
        <v>1972</v>
      </c>
      <c r="C72" s="124">
        <v>197</v>
      </c>
      <c r="D72" s="125">
        <v>340.79300000000001</v>
      </c>
      <c r="E72" s="126">
        <v>36.899100000000004</v>
      </c>
      <c r="F72" s="126">
        <v>20.000699999999998</v>
      </c>
      <c r="G72" s="127">
        <v>9.2358079194343485</v>
      </c>
      <c r="H72" s="127">
        <v>9.8496552620658289</v>
      </c>
      <c r="I72" s="128">
        <v>1775842</v>
      </c>
      <c r="J72" s="128">
        <v>1955850</v>
      </c>
      <c r="K72" s="128">
        <v>1777889</v>
      </c>
      <c r="L72" s="128">
        <v>1924956</v>
      </c>
      <c r="M72" s="128">
        <v>2060110</v>
      </c>
      <c r="N72" s="128">
        <v>2180579</v>
      </c>
      <c r="O72" s="128">
        <v>1210040</v>
      </c>
    </row>
    <row r="73" spans="1:15">
      <c r="A73" s="132" t="s">
        <v>946</v>
      </c>
      <c r="B73" s="123" t="s">
        <v>947</v>
      </c>
      <c r="C73" s="124">
        <v>139</v>
      </c>
      <c r="D73" s="125">
        <v>245.149</v>
      </c>
      <c r="E73" s="126">
        <v>26.732100000000003</v>
      </c>
      <c r="F73" s="126">
        <v>16.5503</v>
      </c>
      <c r="G73" s="127">
        <v>9.1705851766228612</v>
      </c>
      <c r="H73" s="127">
        <v>8.3986392995897354</v>
      </c>
      <c r="I73" s="128">
        <v>1346734</v>
      </c>
      <c r="J73" s="128">
        <v>1438359</v>
      </c>
      <c r="K73" s="128">
        <v>1597720</v>
      </c>
      <c r="L73" s="128">
        <v>1462544</v>
      </c>
      <c r="M73" s="128">
        <v>1356137</v>
      </c>
      <c r="N73" s="128">
        <v>1461517</v>
      </c>
      <c r="O73" s="128">
        <v>161705</v>
      </c>
    </row>
    <row r="74" spans="1:15">
      <c r="A74" s="132" t="s">
        <v>1032</v>
      </c>
      <c r="B74" s="123" t="s">
        <v>1033</v>
      </c>
      <c r="C74" s="124">
        <v>252</v>
      </c>
      <c r="D74" s="125">
        <v>408.65899999999999</v>
      </c>
      <c r="E74" s="126">
        <v>44.725299999999997</v>
      </c>
      <c r="F74" s="126">
        <v>21.631</v>
      </c>
      <c r="G74" s="127">
        <v>9.1370879569281822</v>
      </c>
      <c r="H74" s="127">
        <v>11.649946835560076</v>
      </c>
      <c r="I74" s="128">
        <v>2108435</v>
      </c>
      <c r="J74" s="128">
        <v>2348856</v>
      </c>
      <c r="K74" s="128">
        <v>2434780</v>
      </c>
      <c r="L74" s="128">
        <v>2112408</v>
      </c>
      <c r="M74" s="128">
        <v>2206308</v>
      </c>
      <c r="N74" s="128">
        <v>2548149</v>
      </c>
      <c r="O74" s="128">
        <v>815621</v>
      </c>
    </row>
    <row r="75" spans="1:15">
      <c r="A75" s="132" t="s">
        <v>471</v>
      </c>
      <c r="B75" s="123" t="s">
        <v>472</v>
      </c>
      <c r="C75" s="124">
        <v>112</v>
      </c>
      <c r="D75" s="125">
        <v>234.065</v>
      </c>
      <c r="E75" s="126">
        <v>26.3443</v>
      </c>
      <c r="F75" s="126">
        <v>13.500400000000001</v>
      </c>
      <c r="G75" s="127">
        <v>8.8848441598372325</v>
      </c>
      <c r="H75" s="127">
        <v>8.2960504873929661</v>
      </c>
      <c r="I75" s="128">
        <v>1018338</v>
      </c>
      <c r="J75" s="128">
        <v>1190050</v>
      </c>
      <c r="K75" s="128">
        <v>1127856</v>
      </c>
      <c r="L75" s="128">
        <v>1214680</v>
      </c>
      <c r="M75" s="128">
        <v>1259644</v>
      </c>
      <c r="N75" s="128">
        <v>1207146</v>
      </c>
      <c r="O75" s="128">
        <v>840896</v>
      </c>
    </row>
    <row r="76" spans="1:15">
      <c r="A76" s="132" t="s">
        <v>25</v>
      </c>
      <c r="B76" s="123" t="s">
        <v>528</v>
      </c>
      <c r="C76" s="124">
        <v>821</v>
      </c>
      <c r="D76" s="125">
        <v>1207.2160000000001</v>
      </c>
      <c r="E76" s="126">
        <v>122.5052</v>
      </c>
      <c r="F76" s="126">
        <v>76.612300000000005</v>
      </c>
      <c r="G76" s="127">
        <v>9.8544061803090823</v>
      </c>
      <c r="H76" s="127">
        <v>10.716294903037761</v>
      </c>
      <c r="I76" s="128">
        <v>6550768</v>
      </c>
      <c r="J76" s="128">
        <v>6113205</v>
      </c>
      <c r="K76" s="128">
        <v>6637004</v>
      </c>
      <c r="L76" s="128">
        <v>7461318</v>
      </c>
      <c r="M76" s="128">
        <v>6955355</v>
      </c>
      <c r="N76" s="128">
        <v>7654832</v>
      </c>
      <c r="O76" s="128">
        <v>1796679</v>
      </c>
    </row>
    <row r="77" spans="1:15">
      <c r="A77" s="132" t="s">
        <v>899</v>
      </c>
      <c r="B77" s="123" t="s">
        <v>900</v>
      </c>
      <c r="C77" s="124">
        <v>971</v>
      </c>
      <c r="D77" s="125">
        <v>1390.8220000000001</v>
      </c>
      <c r="E77" s="126">
        <v>168.2937</v>
      </c>
      <c r="F77" s="126">
        <v>94.0501</v>
      </c>
      <c r="G77" s="127">
        <v>8.2642546928375822</v>
      </c>
      <c r="H77" s="127">
        <v>10.324284610011047</v>
      </c>
      <c r="I77" s="128">
        <v>9850716</v>
      </c>
      <c r="J77" s="128">
        <v>9279372</v>
      </c>
      <c r="K77" s="128">
        <v>9732064</v>
      </c>
      <c r="L77" s="128">
        <v>9886819</v>
      </c>
      <c r="M77" s="128">
        <v>9299412</v>
      </c>
      <c r="N77" s="128">
        <v>9579887</v>
      </c>
      <c r="O77" s="128">
        <v>1513581</v>
      </c>
    </row>
    <row r="78" spans="1:15">
      <c r="A78" s="132" t="s">
        <v>1224</v>
      </c>
      <c r="B78" s="123" t="s">
        <v>1225</v>
      </c>
      <c r="C78" s="124">
        <v>518</v>
      </c>
      <c r="D78" s="125">
        <v>792.09900000000005</v>
      </c>
      <c r="E78" s="126">
        <v>78.001900000000006</v>
      </c>
      <c r="F78" s="126">
        <v>42.001899999999999</v>
      </c>
      <c r="G78" s="127">
        <v>10.154868022445607</v>
      </c>
      <c r="H78" s="127">
        <v>12.332775422064239</v>
      </c>
      <c r="I78" s="128">
        <v>4363781</v>
      </c>
      <c r="J78" s="128">
        <v>4522312</v>
      </c>
      <c r="K78" s="128">
        <v>4769045</v>
      </c>
      <c r="L78" s="128">
        <v>4725791</v>
      </c>
      <c r="M78" s="128">
        <v>4738105</v>
      </c>
      <c r="N78" s="128">
        <v>5042916</v>
      </c>
      <c r="O78" s="128">
        <v>1503701</v>
      </c>
    </row>
    <row r="79" spans="1:15">
      <c r="A79" s="132" t="s">
        <v>1355</v>
      </c>
      <c r="B79" s="123" t="s">
        <v>1356</v>
      </c>
      <c r="C79" s="124">
        <v>1393</v>
      </c>
      <c r="D79" s="125">
        <v>1862.7180000000001</v>
      </c>
      <c r="E79" s="126">
        <v>241.91650000000001</v>
      </c>
      <c r="F79" s="126">
        <v>128.30879999999999</v>
      </c>
      <c r="G79" s="127">
        <v>7.6998385806672962</v>
      </c>
      <c r="H79" s="127">
        <v>10.856620902073749</v>
      </c>
      <c r="I79" s="128">
        <v>11387435</v>
      </c>
      <c r="J79" s="128">
        <v>11051230</v>
      </c>
      <c r="K79" s="128">
        <v>10920552</v>
      </c>
      <c r="L79" s="128">
        <v>12342542</v>
      </c>
      <c r="M79" s="128">
        <v>11977615</v>
      </c>
      <c r="N79" s="128">
        <v>12293612</v>
      </c>
      <c r="O79" s="128">
        <v>2492407</v>
      </c>
    </row>
    <row r="80" spans="1:15">
      <c r="A80" s="132" t="s">
        <v>1570</v>
      </c>
      <c r="B80" s="123" t="s">
        <v>1571</v>
      </c>
      <c r="C80" s="124">
        <v>1133</v>
      </c>
      <c r="D80" s="125">
        <v>1510.6849999999999</v>
      </c>
      <c r="E80" s="126">
        <v>160.87349999999998</v>
      </c>
      <c r="F80" s="126">
        <v>99.828000000000003</v>
      </c>
      <c r="G80" s="127">
        <v>9.3905149076759091</v>
      </c>
      <c r="H80" s="127">
        <v>11.349521176423448</v>
      </c>
      <c r="I80" s="128">
        <v>9226590</v>
      </c>
      <c r="J80" s="128">
        <v>9156464</v>
      </c>
      <c r="K80" s="128">
        <v>9191989</v>
      </c>
      <c r="L80" s="128">
        <v>9381402</v>
      </c>
      <c r="M80" s="128">
        <v>9457169</v>
      </c>
      <c r="N80" s="128">
        <v>9801175</v>
      </c>
      <c r="O80" s="128">
        <v>2539679</v>
      </c>
    </row>
    <row r="81" spans="1:15">
      <c r="A81" s="132" t="s">
        <v>1870</v>
      </c>
      <c r="B81" s="123" t="s">
        <v>1871</v>
      </c>
      <c r="C81" s="124">
        <v>6927</v>
      </c>
      <c r="D81" s="125">
        <v>8343.8090000000011</v>
      </c>
      <c r="E81" s="126">
        <v>958.01340000000005</v>
      </c>
      <c r="F81" s="126">
        <v>494.5455</v>
      </c>
      <c r="G81" s="127">
        <v>8.7094909110874656</v>
      </c>
      <c r="H81" s="127">
        <v>14.006800183198512</v>
      </c>
      <c r="I81" s="128">
        <v>47936579</v>
      </c>
      <c r="J81" s="128">
        <v>47310642</v>
      </c>
      <c r="K81" s="128">
        <v>49223990</v>
      </c>
      <c r="L81" s="128">
        <v>48959133</v>
      </c>
      <c r="M81" s="128">
        <v>49690836</v>
      </c>
      <c r="N81" s="128">
        <v>52622258</v>
      </c>
      <c r="O81" s="128">
        <v>4974033</v>
      </c>
    </row>
    <row r="82" spans="1:15">
      <c r="A82" s="132" t="s">
        <v>1116</v>
      </c>
      <c r="B82" s="123" t="s">
        <v>1117</v>
      </c>
      <c r="C82" s="124">
        <v>2829</v>
      </c>
      <c r="D82" s="125">
        <v>3663.9850000000001</v>
      </c>
      <c r="E82" s="126">
        <v>445.3596</v>
      </c>
      <c r="F82" s="126">
        <v>232.2766</v>
      </c>
      <c r="G82" s="127">
        <v>8.2270259808029298</v>
      </c>
      <c r="H82" s="127">
        <v>12.179444679317676</v>
      </c>
      <c r="I82" s="128">
        <v>22189409</v>
      </c>
      <c r="J82" s="128">
        <v>22284495</v>
      </c>
      <c r="K82" s="128">
        <v>22133769</v>
      </c>
      <c r="L82" s="128">
        <v>22105450</v>
      </c>
      <c r="M82" s="128">
        <v>22272746</v>
      </c>
      <c r="N82" s="128">
        <v>22475355</v>
      </c>
      <c r="O82" s="128">
        <v>1817369</v>
      </c>
    </row>
    <row r="83" spans="1:15">
      <c r="A83" s="132" t="s">
        <v>1752</v>
      </c>
      <c r="B83" s="123" t="s">
        <v>1753</v>
      </c>
      <c r="C83" s="124">
        <v>545</v>
      </c>
      <c r="D83" s="125">
        <v>870.08500000000004</v>
      </c>
      <c r="E83" s="126">
        <v>95.304399999999987</v>
      </c>
      <c r="F83" s="126">
        <v>51.002000000000002</v>
      </c>
      <c r="G83" s="127">
        <v>9.1295365166770903</v>
      </c>
      <c r="H83" s="127">
        <v>10.685855456648758</v>
      </c>
      <c r="I83" s="128">
        <v>7482285</v>
      </c>
      <c r="J83" s="128">
        <v>4988553</v>
      </c>
      <c r="K83" s="128">
        <v>7177059</v>
      </c>
      <c r="L83" s="128">
        <v>5848335</v>
      </c>
      <c r="M83" s="128">
        <v>5363258</v>
      </c>
      <c r="N83" s="128">
        <v>5961883</v>
      </c>
      <c r="O83" s="128">
        <v>1306262</v>
      </c>
    </row>
    <row r="84" spans="1:15">
      <c r="A84" s="132" t="s">
        <v>1194</v>
      </c>
      <c r="B84" s="123" t="s">
        <v>1195</v>
      </c>
      <c r="C84" s="124">
        <v>143</v>
      </c>
      <c r="D84" s="125">
        <v>192.89400000000001</v>
      </c>
      <c r="E84" s="126">
        <v>19.562799999999999</v>
      </c>
      <c r="F84" s="126">
        <v>12.001300000000001</v>
      </c>
      <c r="G84" s="127">
        <v>9.8602449547099607</v>
      </c>
      <c r="H84" s="127">
        <v>11.915375834284619</v>
      </c>
      <c r="I84" s="128">
        <v>996385</v>
      </c>
      <c r="J84" s="128">
        <v>1007015</v>
      </c>
      <c r="K84" s="128">
        <v>981107</v>
      </c>
      <c r="L84" s="128">
        <v>919827</v>
      </c>
      <c r="M84" s="128">
        <v>928142</v>
      </c>
      <c r="N84" s="128">
        <v>960702</v>
      </c>
      <c r="O84" s="128">
        <v>477137</v>
      </c>
    </row>
    <row r="85" spans="1:15">
      <c r="A85" s="132" t="s">
        <v>1566</v>
      </c>
      <c r="B85" s="123" t="s">
        <v>1567</v>
      </c>
      <c r="C85" s="124">
        <v>465</v>
      </c>
      <c r="D85" s="125">
        <v>647.74800000000005</v>
      </c>
      <c r="E85" s="126">
        <v>40.0015</v>
      </c>
      <c r="F85" s="126">
        <v>30.0015</v>
      </c>
      <c r="G85" s="127">
        <v>16.193092759021539</v>
      </c>
      <c r="H85" s="127">
        <v>15.499225038748063</v>
      </c>
      <c r="I85" s="128">
        <v>2617679</v>
      </c>
      <c r="J85" s="128">
        <v>2822241</v>
      </c>
      <c r="K85" s="128">
        <v>2830624</v>
      </c>
      <c r="L85" s="128">
        <v>3298559</v>
      </c>
      <c r="M85" s="128">
        <v>3280138</v>
      </c>
      <c r="N85" s="128">
        <v>3333959</v>
      </c>
      <c r="O85" s="128">
        <v>1808431</v>
      </c>
    </row>
    <row r="86" spans="1:15">
      <c r="A86" s="132" t="s">
        <v>1496</v>
      </c>
      <c r="B86" s="123" t="s">
        <v>1497</v>
      </c>
      <c r="C86" s="124">
        <v>1920</v>
      </c>
      <c r="D86" s="125">
        <v>2337.9360000000001</v>
      </c>
      <c r="E86" s="126">
        <v>267.3553</v>
      </c>
      <c r="F86" s="126">
        <v>152.78739999999999</v>
      </c>
      <c r="G86" s="127">
        <v>8.744677962247243</v>
      </c>
      <c r="H86" s="127">
        <v>12.566481267434357</v>
      </c>
      <c r="I86" s="128">
        <v>14329815</v>
      </c>
      <c r="J86" s="128">
        <v>14934954</v>
      </c>
      <c r="K86" s="128">
        <v>15018512</v>
      </c>
      <c r="L86" s="128">
        <v>14684517</v>
      </c>
      <c r="M86" s="128">
        <v>14950746</v>
      </c>
      <c r="N86" s="128">
        <v>14978538</v>
      </c>
      <c r="O86" s="128">
        <v>2245464</v>
      </c>
    </row>
    <row r="87" spans="1:15">
      <c r="A87" s="132" t="s">
        <v>905</v>
      </c>
      <c r="B87" s="123" t="s">
        <v>906</v>
      </c>
      <c r="C87" s="124">
        <v>102</v>
      </c>
      <c r="D87" s="125">
        <v>155.56900000000002</v>
      </c>
      <c r="E87" s="126">
        <v>17.999600000000001</v>
      </c>
      <c r="F87" s="126">
        <v>11.1066</v>
      </c>
      <c r="G87" s="127">
        <v>8.6429142869841549</v>
      </c>
      <c r="H87" s="127">
        <v>9.1837285938090858</v>
      </c>
      <c r="I87" s="128">
        <v>778936</v>
      </c>
      <c r="J87" s="128">
        <v>806144</v>
      </c>
      <c r="K87" s="128">
        <v>766485</v>
      </c>
      <c r="L87" s="128">
        <v>886675</v>
      </c>
      <c r="M87" s="128">
        <v>963289</v>
      </c>
      <c r="N87" s="128">
        <v>997691</v>
      </c>
      <c r="O87" s="128">
        <v>600155</v>
      </c>
    </row>
    <row r="88" spans="1:15">
      <c r="A88" s="132" t="s">
        <v>1094</v>
      </c>
      <c r="B88" s="123" t="s">
        <v>1095</v>
      </c>
      <c r="C88" s="124">
        <v>112</v>
      </c>
      <c r="D88" s="125">
        <v>182.83100000000002</v>
      </c>
      <c r="E88" s="126">
        <v>20</v>
      </c>
      <c r="F88" s="126">
        <v>12</v>
      </c>
      <c r="G88" s="127">
        <v>9.1415500000000005</v>
      </c>
      <c r="H88" s="127">
        <v>9.3333333333333339</v>
      </c>
      <c r="I88" s="128">
        <v>1046783</v>
      </c>
      <c r="J88" s="128">
        <v>1020170</v>
      </c>
      <c r="K88" s="128">
        <v>1029418</v>
      </c>
      <c r="L88" s="128">
        <v>1102616</v>
      </c>
      <c r="M88" s="128">
        <v>1125861</v>
      </c>
      <c r="N88" s="128">
        <v>1073557</v>
      </c>
      <c r="O88" s="128">
        <v>412425</v>
      </c>
    </row>
    <row r="89" spans="1:15">
      <c r="A89" s="132" t="s">
        <v>78</v>
      </c>
      <c r="B89" s="123" t="s">
        <v>79</v>
      </c>
      <c r="C89" s="124">
        <v>17175</v>
      </c>
      <c r="D89" s="125">
        <v>20846.156999999999</v>
      </c>
      <c r="E89" s="126">
        <v>2304.8051999999998</v>
      </c>
      <c r="F89" s="126">
        <v>1097.5329999999999</v>
      </c>
      <c r="G89" s="127">
        <v>9.0446502810736469</v>
      </c>
      <c r="H89" s="127">
        <v>15.648732202129686</v>
      </c>
      <c r="I89" s="128">
        <v>122520198</v>
      </c>
      <c r="J89" s="128">
        <v>122744342</v>
      </c>
      <c r="K89" s="128">
        <v>123933042</v>
      </c>
      <c r="L89" s="128">
        <v>130163630</v>
      </c>
      <c r="M89" s="128">
        <v>130433615</v>
      </c>
      <c r="N89" s="128">
        <v>154530687</v>
      </c>
      <c r="O89" s="128">
        <v>33964915</v>
      </c>
    </row>
    <row r="90" spans="1:15">
      <c r="A90" s="132" t="s">
        <v>92</v>
      </c>
      <c r="B90" s="123" t="s">
        <v>93</v>
      </c>
      <c r="C90" s="124">
        <v>6399</v>
      </c>
      <c r="D90" s="125">
        <v>7776.875</v>
      </c>
      <c r="E90" s="126">
        <v>853.90989999999999</v>
      </c>
      <c r="F90" s="126">
        <v>411.72120000000001</v>
      </c>
      <c r="G90" s="127">
        <v>9.1073718667508139</v>
      </c>
      <c r="H90" s="127">
        <v>15.542070702213051</v>
      </c>
      <c r="I90" s="128">
        <v>45852477</v>
      </c>
      <c r="J90" s="128">
        <v>46954455</v>
      </c>
      <c r="K90" s="128">
        <v>46810791</v>
      </c>
      <c r="L90" s="128">
        <v>45592136</v>
      </c>
      <c r="M90" s="128">
        <v>45548576</v>
      </c>
      <c r="N90" s="128">
        <v>47267730</v>
      </c>
      <c r="O90" s="128">
        <v>8424626</v>
      </c>
    </row>
    <row r="91" spans="1:15">
      <c r="A91" s="132" t="s">
        <v>513</v>
      </c>
      <c r="B91" s="123" t="s">
        <v>514</v>
      </c>
      <c r="C91" s="124">
        <v>771</v>
      </c>
      <c r="D91" s="125">
        <v>1098.1320000000001</v>
      </c>
      <c r="E91" s="126">
        <v>106.93199999999999</v>
      </c>
      <c r="F91" s="126">
        <v>55.680500000000002</v>
      </c>
      <c r="G91" s="127">
        <v>10.269442262372351</v>
      </c>
      <c r="H91" s="127">
        <v>13.846858415423712</v>
      </c>
      <c r="I91" s="128">
        <v>6436026</v>
      </c>
      <c r="J91" s="128">
        <v>6443205</v>
      </c>
      <c r="K91" s="128">
        <v>6563018</v>
      </c>
      <c r="L91" s="128">
        <v>6287140</v>
      </c>
      <c r="M91" s="128">
        <v>6454800</v>
      </c>
      <c r="N91" s="128">
        <v>6594541</v>
      </c>
      <c r="O91" s="128">
        <v>1734729</v>
      </c>
    </row>
    <row r="92" spans="1:15">
      <c r="A92" s="132" t="s">
        <v>239</v>
      </c>
      <c r="B92" s="123" t="s">
        <v>240</v>
      </c>
      <c r="C92" s="124">
        <v>12671</v>
      </c>
      <c r="D92" s="125">
        <v>15377.496999999999</v>
      </c>
      <c r="E92" s="126">
        <v>1721.5547999999999</v>
      </c>
      <c r="F92" s="126">
        <v>834.07910000000004</v>
      </c>
      <c r="G92" s="127">
        <v>8.9323308209532453</v>
      </c>
      <c r="H92" s="127">
        <v>15.191604729095836</v>
      </c>
      <c r="I92" s="128">
        <v>89116606</v>
      </c>
      <c r="J92" s="128">
        <v>89982012</v>
      </c>
      <c r="K92" s="128">
        <v>86692865</v>
      </c>
      <c r="L92" s="128">
        <v>94182472</v>
      </c>
      <c r="M92" s="128">
        <v>94023557</v>
      </c>
      <c r="N92" s="128">
        <v>94824632</v>
      </c>
      <c r="O92" s="128">
        <v>12152333</v>
      </c>
    </row>
    <row r="93" spans="1:15">
      <c r="A93" s="132" t="s">
        <v>1842</v>
      </c>
      <c r="B93" s="123" t="s">
        <v>1843</v>
      </c>
      <c r="C93" s="124">
        <v>1968</v>
      </c>
      <c r="D93" s="125">
        <v>2551.0309999999999</v>
      </c>
      <c r="E93" s="126">
        <v>286.6456</v>
      </c>
      <c r="F93" s="126">
        <v>128.8734</v>
      </c>
      <c r="G93" s="127">
        <v>8.899599365906889</v>
      </c>
      <c r="H93" s="127">
        <v>15.270800646215587</v>
      </c>
      <c r="I93" s="128">
        <v>16068272</v>
      </c>
      <c r="J93" s="128">
        <v>16232408</v>
      </c>
      <c r="K93" s="128">
        <v>15299535</v>
      </c>
      <c r="L93" s="128">
        <v>16670080</v>
      </c>
      <c r="M93" s="128">
        <v>15556345</v>
      </c>
      <c r="N93" s="128">
        <v>16005822</v>
      </c>
      <c r="O93" s="128">
        <v>2398505</v>
      </c>
    </row>
    <row r="94" spans="1:15">
      <c r="A94" s="132" t="s">
        <v>423</v>
      </c>
      <c r="B94" s="123" t="s">
        <v>424</v>
      </c>
      <c r="C94" s="124">
        <v>3065</v>
      </c>
      <c r="D94" s="125">
        <v>3932.4590000000003</v>
      </c>
      <c r="E94" s="126">
        <v>430.64589999999998</v>
      </c>
      <c r="F94" s="126">
        <v>202.37799999999999</v>
      </c>
      <c r="G94" s="127">
        <v>9.1315370702472745</v>
      </c>
      <c r="H94" s="127">
        <v>15.144926820108907</v>
      </c>
      <c r="I94" s="128">
        <v>21068952</v>
      </c>
      <c r="J94" s="128">
        <v>20160562</v>
      </c>
      <c r="K94" s="128">
        <v>20758935</v>
      </c>
      <c r="L94" s="128">
        <v>21688213</v>
      </c>
      <c r="M94" s="128">
        <v>20745869</v>
      </c>
      <c r="N94" s="128">
        <v>21086609</v>
      </c>
      <c r="O94" s="128">
        <v>4433857</v>
      </c>
    </row>
    <row r="95" spans="1:15">
      <c r="A95" s="132" t="s">
        <v>1458</v>
      </c>
      <c r="B95" s="123" t="s">
        <v>1459</v>
      </c>
      <c r="C95" s="124">
        <v>18682</v>
      </c>
      <c r="D95" s="125">
        <v>21944.991000000002</v>
      </c>
      <c r="E95" s="126">
        <v>2210.4692</v>
      </c>
      <c r="F95" s="126">
        <v>1109.4630999999999</v>
      </c>
      <c r="G95" s="127">
        <v>9.9277524427845467</v>
      </c>
      <c r="H95" s="127">
        <v>16.838775440120543</v>
      </c>
      <c r="I95" s="128">
        <v>121205164</v>
      </c>
      <c r="J95" s="128">
        <v>123608097</v>
      </c>
      <c r="K95" s="128">
        <v>118009090</v>
      </c>
      <c r="L95" s="128">
        <v>120366528</v>
      </c>
      <c r="M95" s="128">
        <v>125471931</v>
      </c>
      <c r="N95" s="128">
        <v>127163285</v>
      </c>
      <c r="O95" s="128">
        <v>13235716</v>
      </c>
    </row>
    <row r="96" spans="1:15">
      <c r="A96" s="132" t="s">
        <v>511</v>
      </c>
      <c r="B96" s="123" t="s">
        <v>512</v>
      </c>
      <c r="C96" s="124">
        <v>181</v>
      </c>
      <c r="D96" s="125">
        <v>299.78700000000003</v>
      </c>
      <c r="E96" s="126">
        <v>29.105499999999999</v>
      </c>
      <c r="F96" s="126">
        <v>13.178900000000001</v>
      </c>
      <c r="G96" s="127">
        <v>10.300012025218603</v>
      </c>
      <c r="H96" s="127">
        <v>13.734074922793253</v>
      </c>
      <c r="I96" s="128">
        <v>1695072</v>
      </c>
      <c r="J96" s="128">
        <v>1516887</v>
      </c>
      <c r="K96" s="128">
        <v>1602931</v>
      </c>
      <c r="L96" s="128">
        <v>1839535</v>
      </c>
      <c r="M96" s="128">
        <v>1737533</v>
      </c>
      <c r="N96" s="128">
        <v>1912664</v>
      </c>
      <c r="O96" s="128">
        <v>353777</v>
      </c>
    </row>
    <row r="97" spans="1:15">
      <c r="A97" s="132" t="s">
        <v>415</v>
      </c>
      <c r="B97" s="123" t="s">
        <v>416</v>
      </c>
      <c r="C97" s="124">
        <v>10360</v>
      </c>
      <c r="D97" s="125">
        <v>11859.029</v>
      </c>
      <c r="E97" s="126">
        <v>1461.6215000000002</v>
      </c>
      <c r="F97" s="126">
        <v>730.69870000000003</v>
      </c>
      <c r="G97" s="127">
        <v>8.1136114924417839</v>
      </c>
      <c r="H97" s="127">
        <v>14.178210526445442</v>
      </c>
      <c r="I97" s="128">
        <v>74541776</v>
      </c>
      <c r="J97" s="128">
        <v>72389033</v>
      </c>
      <c r="K97" s="128">
        <v>73849451</v>
      </c>
      <c r="L97" s="128">
        <v>73155469</v>
      </c>
      <c r="M97" s="128">
        <v>73218969</v>
      </c>
      <c r="N97" s="128">
        <v>71854622</v>
      </c>
      <c r="O97" s="128">
        <v>12737774</v>
      </c>
    </row>
    <row r="98" spans="1:15">
      <c r="A98" s="132" t="s">
        <v>273</v>
      </c>
      <c r="B98" s="123" t="s">
        <v>274</v>
      </c>
      <c r="C98" s="124">
        <v>15750</v>
      </c>
      <c r="D98" s="125">
        <v>18847.612000000001</v>
      </c>
      <c r="E98" s="126">
        <v>2259.3298</v>
      </c>
      <c r="F98" s="126">
        <v>1076.8018</v>
      </c>
      <c r="G98" s="127">
        <v>8.3421251735802358</v>
      </c>
      <c r="H98" s="127">
        <v>14.62664716942338</v>
      </c>
      <c r="I98" s="128">
        <v>105110585</v>
      </c>
      <c r="J98" s="128">
        <v>108545761</v>
      </c>
      <c r="K98" s="128">
        <v>105563931</v>
      </c>
      <c r="L98" s="128">
        <v>104249490</v>
      </c>
      <c r="M98" s="128">
        <v>107682254</v>
      </c>
      <c r="N98" s="128">
        <v>110514805</v>
      </c>
      <c r="O98" s="128">
        <v>24634257</v>
      </c>
    </row>
    <row r="99" spans="1:15">
      <c r="A99" s="132" t="s">
        <v>1864</v>
      </c>
      <c r="B99" s="123" t="s">
        <v>1865</v>
      </c>
      <c r="C99" s="124">
        <v>106</v>
      </c>
      <c r="D99" s="125">
        <v>265.57800000000003</v>
      </c>
      <c r="E99" s="126">
        <v>27.751000000000001</v>
      </c>
      <c r="F99" s="126">
        <v>14.774800000000001</v>
      </c>
      <c r="G99" s="127">
        <v>9.570033512305864</v>
      </c>
      <c r="H99" s="127">
        <v>7.1743779949643987</v>
      </c>
      <c r="I99" s="128">
        <v>1841756</v>
      </c>
      <c r="J99" s="128">
        <v>1832081</v>
      </c>
      <c r="K99" s="128">
        <v>1780554</v>
      </c>
      <c r="L99" s="128">
        <v>1873756</v>
      </c>
      <c r="M99" s="128">
        <v>1862081</v>
      </c>
      <c r="N99" s="128">
        <v>1699342</v>
      </c>
      <c r="O99" s="128">
        <v>54064</v>
      </c>
    </row>
    <row r="100" spans="1:15">
      <c r="A100" s="132" t="s">
        <v>72</v>
      </c>
      <c r="B100" s="123" t="s">
        <v>73</v>
      </c>
      <c r="C100" s="124">
        <v>1100</v>
      </c>
      <c r="D100" s="125">
        <v>1653.6880000000001</v>
      </c>
      <c r="E100" s="126">
        <v>183.7201</v>
      </c>
      <c r="F100" s="126">
        <v>91.297399999999996</v>
      </c>
      <c r="G100" s="127">
        <v>9.0011272582586237</v>
      </c>
      <c r="H100" s="127">
        <v>12.048535883825826</v>
      </c>
      <c r="I100" s="128">
        <v>9652614</v>
      </c>
      <c r="J100" s="128">
        <v>9718064</v>
      </c>
      <c r="K100" s="128">
        <v>10530707</v>
      </c>
      <c r="L100" s="128">
        <v>10044736</v>
      </c>
      <c r="M100" s="128">
        <v>9778634</v>
      </c>
      <c r="N100" s="128">
        <v>10486604</v>
      </c>
      <c r="O100" s="128">
        <v>3886857</v>
      </c>
    </row>
    <row r="101" spans="1:15">
      <c r="A101" s="132" t="s">
        <v>1200</v>
      </c>
      <c r="B101" s="123" t="s">
        <v>1201</v>
      </c>
      <c r="C101" s="124">
        <v>51</v>
      </c>
      <c r="D101" s="125">
        <v>238.60900000000001</v>
      </c>
      <c r="E101" s="126">
        <v>14.5006</v>
      </c>
      <c r="F101" s="126">
        <v>10.5006</v>
      </c>
      <c r="G101" s="127">
        <v>16.455112202253702</v>
      </c>
      <c r="H101" s="127">
        <v>4.8568653219816005</v>
      </c>
      <c r="I101" s="128">
        <v>1239622</v>
      </c>
      <c r="J101" s="128">
        <v>1096431</v>
      </c>
      <c r="K101" s="128">
        <v>1224438</v>
      </c>
      <c r="L101" s="128">
        <v>1247712</v>
      </c>
      <c r="M101" s="128">
        <v>1292965</v>
      </c>
      <c r="N101" s="128">
        <v>1497464</v>
      </c>
      <c r="O101" s="128">
        <v>317317</v>
      </c>
    </row>
    <row r="102" spans="1:15">
      <c r="A102" s="132" t="s">
        <v>1688</v>
      </c>
      <c r="B102" s="123" t="s">
        <v>1689</v>
      </c>
      <c r="C102" s="124">
        <v>20</v>
      </c>
      <c r="D102" s="125">
        <v>125.858</v>
      </c>
      <c r="E102" s="126">
        <v>9.3952000000000009</v>
      </c>
      <c r="F102" s="126">
        <v>4.9995000000000003</v>
      </c>
      <c r="G102" s="127">
        <v>13.395989441416893</v>
      </c>
      <c r="H102" s="127">
        <v>4.0004000400040001</v>
      </c>
      <c r="I102" s="128">
        <v>893579</v>
      </c>
      <c r="J102" s="128">
        <v>917768</v>
      </c>
      <c r="K102" s="128">
        <v>768210</v>
      </c>
      <c r="L102" s="128">
        <v>932778</v>
      </c>
      <c r="M102" s="128">
        <v>956966</v>
      </c>
      <c r="N102" s="128">
        <v>1012270</v>
      </c>
      <c r="O102" s="128">
        <v>434361</v>
      </c>
    </row>
    <row r="103" spans="1:15">
      <c r="A103" s="132" t="s">
        <v>1750</v>
      </c>
      <c r="B103" s="123" t="s">
        <v>1751</v>
      </c>
      <c r="C103" s="124">
        <v>185</v>
      </c>
      <c r="D103" s="125">
        <v>338.20300000000003</v>
      </c>
      <c r="E103" s="126">
        <v>34.764000000000003</v>
      </c>
      <c r="F103" s="126">
        <v>20.501999999999999</v>
      </c>
      <c r="G103" s="127">
        <v>9.7285410194454034</v>
      </c>
      <c r="H103" s="127">
        <v>9.0235099014730267</v>
      </c>
      <c r="I103" s="128">
        <v>1868532</v>
      </c>
      <c r="J103" s="128">
        <v>1847671</v>
      </c>
      <c r="K103" s="128">
        <v>1950964</v>
      </c>
      <c r="L103" s="128">
        <v>1784783</v>
      </c>
      <c r="M103" s="128">
        <v>1846673</v>
      </c>
      <c r="N103" s="128">
        <v>1967358</v>
      </c>
      <c r="O103" s="128">
        <v>197264</v>
      </c>
    </row>
    <row r="104" spans="1:15">
      <c r="A104" s="132" t="s">
        <v>261</v>
      </c>
      <c r="B104" s="123" t="s">
        <v>262</v>
      </c>
      <c r="C104" s="124">
        <v>1488</v>
      </c>
      <c r="D104" s="125">
        <v>2105.0880000000002</v>
      </c>
      <c r="E104" s="126">
        <v>238.46659999999997</v>
      </c>
      <c r="F104" s="126">
        <v>113.2847</v>
      </c>
      <c r="G104" s="127">
        <v>8.827601014146218</v>
      </c>
      <c r="H104" s="127">
        <v>13.135048245703082</v>
      </c>
      <c r="I104" s="128">
        <v>16074031</v>
      </c>
      <c r="J104" s="128">
        <v>15965528</v>
      </c>
      <c r="K104" s="128">
        <v>15249708</v>
      </c>
      <c r="L104" s="128">
        <v>15974467</v>
      </c>
      <c r="M104" s="128">
        <v>16076765</v>
      </c>
      <c r="N104" s="128">
        <v>16555913</v>
      </c>
      <c r="O104" s="128">
        <v>4595028</v>
      </c>
    </row>
    <row r="105" spans="1:15">
      <c r="A105" s="132" t="s">
        <v>148</v>
      </c>
      <c r="B105" s="123" t="s">
        <v>149</v>
      </c>
      <c r="C105" s="124">
        <v>1073</v>
      </c>
      <c r="D105" s="125">
        <v>1519.7750000000001</v>
      </c>
      <c r="E105" s="126">
        <v>156.8295</v>
      </c>
      <c r="F105" s="126">
        <v>82.714600000000004</v>
      </c>
      <c r="G105" s="127">
        <v>9.6906194306555857</v>
      </c>
      <c r="H105" s="127">
        <v>12.972316858208828</v>
      </c>
      <c r="I105" s="128">
        <v>8136327</v>
      </c>
      <c r="J105" s="128">
        <v>8366715</v>
      </c>
      <c r="K105" s="128">
        <v>8149267</v>
      </c>
      <c r="L105" s="128">
        <v>8615474</v>
      </c>
      <c r="M105" s="128">
        <v>8666757</v>
      </c>
      <c r="N105" s="128">
        <v>9068804</v>
      </c>
      <c r="O105" s="128">
        <v>2075973</v>
      </c>
    </row>
    <row r="106" spans="1:15">
      <c r="A106" s="132" t="s">
        <v>269</v>
      </c>
      <c r="B106" s="123" t="s">
        <v>270</v>
      </c>
      <c r="C106" s="124">
        <v>3587</v>
      </c>
      <c r="D106" s="125">
        <v>4518.2560000000003</v>
      </c>
      <c r="E106" s="126">
        <v>495.13600000000002</v>
      </c>
      <c r="F106" s="126">
        <v>247.4059</v>
      </c>
      <c r="G106" s="127">
        <v>9.1252827505978154</v>
      </c>
      <c r="H106" s="127">
        <v>14.498441629726695</v>
      </c>
      <c r="I106" s="128">
        <v>24510501</v>
      </c>
      <c r="J106" s="128">
        <v>25409934</v>
      </c>
      <c r="K106" s="128">
        <v>26250474</v>
      </c>
      <c r="L106" s="128">
        <v>24908721</v>
      </c>
      <c r="M106" s="128">
        <v>25804852</v>
      </c>
      <c r="N106" s="128">
        <v>26376394</v>
      </c>
      <c r="O106" s="128">
        <v>4149984</v>
      </c>
    </row>
    <row r="107" spans="1:15">
      <c r="A107" s="132" t="s">
        <v>195</v>
      </c>
      <c r="B107" s="123" t="s">
        <v>196</v>
      </c>
      <c r="C107" s="124">
        <v>210</v>
      </c>
      <c r="D107" s="125">
        <v>380.78800000000001</v>
      </c>
      <c r="E107" s="126">
        <v>39.393299999999996</v>
      </c>
      <c r="F107" s="126">
        <v>22.617899999999999</v>
      </c>
      <c r="G107" s="127">
        <v>9.6663138147857648</v>
      </c>
      <c r="H107" s="127">
        <v>9.2846816017402158</v>
      </c>
      <c r="I107" s="128">
        <v>2342534</v>
      </c>
      <c r="J107" s="128">
        <v>2324507</v>
      </c>
      <c r="K107" s="128">
        <v>2313984</v>
      </c>
      <c r="L107" s="128">
        <v>2528290</v>
      </c>
      <c r="M107" s="128">
        <v>2462045</v>
      </c>
      <c r="N107" s="128">
        <v>2741825</v>
      </c>
      <c r="O107" s="128">
        <v>297601</v>
      </c>
    </row>
    <row r="108" spans="1:15">
      <c r="A108" s="132" t="s">
        <v>1226</v>
      </c>
      <c r="B108" s="123" t="s">
        <v>1227</v>
      </c>
      <c r="C108" s="124">
        <v>272</v>
      </c>
      <c r="D108" s="125">
        <v>433.61400000000003</v>
      </c>
      <c r="E108" s="126">
        <v>48.060499999999998</v>
      </c>
      <c r="F108" s="126">
        <v>27.2181</v>
      </c>
      <c r="G108" s="127">
        <v>9.0222532016936992</v>
      </c>
      <c r="H108" s="127">
        <v>9.9933500134101934</v>
      </c>
      <c r="I108" s="128">
        <v>2495654</v>
      </c>
      <c r="J108" s="128">
        <v>2521076</v>
      </c>
      <c r="K108" s="128">
        <v>3379147</v>
      </c>
      <c r="L108" s="128">
        <v>2634450</v>
      </c>
      <c r="M108" s="128">
        <v>2629542</v>
      </c>
      <c r="N108" s="128">
        <v>3250967</v>
      </c>
      <c r="O108" s="128">
        <v>288767</v>
      </c>
    </row>
    <row r="109" spans="1:15">
      <c r="A109" s="132" t="s">
        <v>2088</v>
      </c>
      <c r="B109" s="123" t="s">
        <v>2089</v>
      </c>
      <c r="C109" s="124">
        <v>200</v>
      </c>
      <c r="D109" s="125">
        <v>328.53300000000002</v>
      </c>
      <c r="E109" s="126">
        <v>31.044800000000002</v>
      </c>
      <c r="F109" s="126">
        <v>19.637499999999999</v>
      </c>
      <c r="G109" s="127">
        <v>10.582545224965211</v>
      </c>
      <c r="H109" s="127">
        <v>10.184595798854234</v>
      </c>
      <c r="I109" s="128">
        <v>1767983</v>
      </c>
      <c r="J109" s="128">
        <v>1822153</v>
      </c>
      <c r="K109" s="128">
        <v>1708049</v>
      </c>
      <c r="L109" s="128">
        <v>1910493</v>
      </c>
      <c r="M109" s="128">
        <v>1962818</v>
      </c>
      <c r="N109" s="128">
        <v>1913824</v>
      </c>
      <c r="O109" s="128">
        <v>439061</v>
      </c>
    </row>
    <row r="110" spans="1:15">
      <c r="A110" s="132" t="s">
        <v>259</v>
      </c>
      <c r="B110" s="123" t="s">
        <v>260</v>
      </c>
      <c r="C110" s="124">
        <v>169</v>
      </c>
      <c r="D110" s="125">
        <v>271.98099999999999</v>
      </c>
      <c r="E110" s="126">
        <v>28.832799999999999</v>
      </c>
      <c r="F110" s="126">
        <v>17.697199999999999</v>
      </c>
      <c r="G110" s="127">
        <v>9.4330415360284121</v>
      </c>
      <c r="H110" s="127">
        <v>9.5495332594986788</v>
      </c>
      <c r="I110" s="128">
        <v>1748096</v>
      </c>
      <c r="J110" s="128">
        <v>1495110</v>
      </c>
      <c r="K110" s="128">
        <v>1710593</v>
      </c>
      <c r="L110" s="128">
        <v>1768919</v>
      </c>
      <c r="M110" s="128">
        <v>1579455</v>
      </c>
      <c r="N110" s="128">
        <v>1612248</v>
      </c>
      <c r="O110" s="128">
        <v>-101367</v>
      </c>
    </row>
    <row r="111" spans="1:15">
      <c r="A111" s="132" t="s">
        <v>587</v>
      </c>
      <c r="B111" s="123" t="s">
        <v>588</v>
      </c>
      <c r="C111" s="124">
        <v>1259</v>
      </c>
      <c r="D111" s="125">
        <v>1714.13</v>
      </c>
      <c r="E111" s="126">
        <v>222.42829999999998</v>
      </c>
      <c r="F111" s="126">
        <v>112.38679999999999</v>
      </c>
      <c r="G111" s="127">
        <v>7.7064384343179366</v>
      </c>
      <c r="H111" s="127">
        <v>11.202383198026816</v>
      </c>
      <c r="I111" s="128">
        <v>9834060</v>
      </c>
      <c r="J111" s="128">
        <v>9478271</v>
      </c>
      <c r="K111" s="128">
        <v>10876377</v>
      </c>
      <c r="L111" s="128">
        <v>10282267</v>
      </c>
      <c r="M111" s="128">
        <v>9989174</v>
      </c>
      <c r="N111" s="128">
        <v>10620703</v>
      </c>
      <c r="O111" s="128">
        <v>1333032</v>
      </c>
    </row>
    <row r="112" spans="1:15">
      <c r="A112" s="132" t="s">
        <v>307</v>
      </c>
      <c r="B112" s="123" t="s">
        <v>308</v>
      </c>
      <c r="C112" s="124">
        <v>1876</v>
      </c>
      <c r="D112" s="125">
        <v>2457.4390000000003</v>
      </c>
      <c r="E112" s="126">
        <v>303.11860000000001</v>
      </c>
      <c r="F112" s="126">
        <v>145.4452</v>
      </c>
      <c r="G112" s="127">
        <v>8.1071864280186041</v>
      </c>
      <c r="H112" s="127">
        <v>12.898328717620107</v>
      </c>
      <c r="I112" s="128">
        <v>14577115</v>
      </c>
      <c r="J112" s="128">
        <v>14849970</v>
      </c>
      <c r="K112" s="128">
        <v>15216427</v>
      </c>
      <c r="L112" s="128">
        <v>14261539</v>
      </c>
      <c r="M112" s="128">
        <v>14539769</v>
      </c>
      <c r="N112" s="128">
        <v>15428201</v>
      </c>
      <c r="O112" s="128">
        <v>5565828</v>
      </c>
    </row>
    <row r="113" spans="1:15">
      <c r="A113" s="132" t="s">
        <v>1778</v>
      </c>
      <c r="B113" s="123" t="s">
        <v>1779</v>
      </c>
      <c r="C113" s="124">
        <v>477</v>
      </c>
      <c r="D113" s="125">
        <v>754.86500000000001</v>
      </c>
      <c r="E113" s="126">
        <v>91.726400000000012</v>
      </c>
      <c r="F113" s="126">
        <v>44.421799999999998</v>
      </c>
      <c r="G113" s="127">
        <v>8.2295282492281387</v>
      </c>
      <c r="H113" s="127">
        <v>10.737970996222575</v>
      </c>
      <c r="I113" s="128">
        <v>4410293</v>
      </c>
      <c r="J113" s="128">
        <v>4349929</v>
      </c>
      <c r="K113" s="128">
        <v>4320109</v>
      </c>
      <c r="L113" s="128">
        <v>4370226</v>
      </c>
      <c r="M113" s="128">
        <v>4312726</v>
      </c>
      <c r="N113" s="128">
        <v>4487900</v>
      </c>
      <c r="O113" s="128">
        <v>757545</v>
      </c>
    </row>
    <row r="114" spans="1:15">
      <c r="A114" s="132" t="s">
        <v>1770</v>
      </c>
      <c r="B114" s="123" t="s">
        <v>1771</v>
      </c>
      <c r="C114" s="124">
        <v>526</v>
      </c>
      <c r="D114" s="125">
        <v>794.49600000000009</v>
      </c>
      <c r="E114" s="126">
        <v>96.274699999999996</v>
      </c>
      <c r="F114" s="126">
        <v>48.857500000000002</v>
      </c>
      <c r="G114" s="127">
        <v>8.2523861409072179</v>
      </c>
      <c r="H114" s="127">
        <v>10.766003172491429</v>
      </c>
      <c r="I114" s="128">
        <v>4527161</v>
      </c>
      <c r="J114" s="128">
        <v>4617576</v>
      </c>
      <c r="K114" s="128">
        <v>4639583</v>
      </c>
      <c r="L114" s="128">
        <v>4691158</v>
      </c>
      <c r="M114" s="128">
        <v>4783464</v>
      </c>
      <c r="N114" s="128">
        <v>4725050</v>
      </c>
      <c r="O114" s="128">
        <v>498496</v>
      </c>
    </row>
    <row r="115" spans="1:15">
      <c r="A115" s="132" t="s">
        <v>293</v>
      </c>
      <c r="B115" s="123" t="s">
        <v>294</v>
      </c>
      <c r="C115" s="124">
        <v>3343</v>
      </c>
      <c r="D115" s="125">
        <v>4299.4859999999999</v>
      </c>
      <c r="E115" s="126">
        <v>488.53120000000001</v>
      </c>
      <c r="F115" s="126">
        <v>219.66309999999999</v>
      </c>
      <c r="G115" s="127">
        <v>8.8008421980008649</v>
      </c>
      <c r="H115" s="127">
        <v>15.218760001110793</v>
      </c>
      <c r="I115" s="128">
        <v>26838059</v>
      </c>
      <c r="J115" s="128">
        <v>26189987</v>
      </c>
      <c r="K115" s="128">
        <v>26187400</v>
      </c>
      <c r="L115" s="128">
        <v>27243821</v>
      </c>
      <c r="M115" s="128">
        <v>26516451</v>
      </c>
      <c r="N115" s="128">
        <v>27009944</v>
      </c>
      <c r="O115" s="128">
        <v>5207872</v>
      </c>
    </row>
    <row r="116" spans="1:15">
      <c r="A116" s="132" t="s">
        <v>1202</v>
      </c>
      <c r="B116" s="123" t="s">
        <v>1203</v>
      </c>
      <c r="C116" s="124">
        <v>4058</v>
      </c>
      <c r="D116" s="125">
        <v>5065.0290000000005</v>
      </c>
      <c r="E116" s="126">
        <v>621.00600000000009</v>
      </c>
      <c r="F116" s="126">
        <v>301.12220000000002</v>
      </c>
      <c r="G116" s="127">
        <v>8.1561675732601611</v>
      </c>
      <c r="H116" s="127">
        <v>13.476256483248328</v>
      </c>
      <c r="I116" s="128">
        <v>35545964</v>
      </c>
      <c r="J116" s="128">
        <v>33136500</v>
      </c>
      <c r="K116" s="128">
        <v>35571152</v>
      </c>
      <c r="L116" s="128">
        <v>34809512</v>
      </c>
      <c r="M116" s="128">
        <v>33442207</v>
      </c>
      <c r="N116" s="128">
        <v>34362272</v>
      </c>
      <c r="O116" s="128">
        <v>7391161</v>
      </c>
    </row>
    <row r="117" spans="1:15">
      <c r="A117" s="132" t="s">
        <v>1138</v>
      </c>
      <c r="B117" s="123" t="s">
        <v>1139</v>
      </c>
      <c r="C117" s="124">
        <v>4684</v>
      </c>
      <c r="D117" s="125">
        <v>5970.32</v>
      </c>
      <c r="E117" s="126">
        <v>646.26420000000007</v>
      </c>
      <c r="F117" s="126">
        <v>328.06389999999999</v>
      </c>
      <c r="G117" s="127">
        <v>9.2382031992488507</v>
      </c>
      <c r="H117" s="127">
        <v>14.277706263932119</v>
      </c>
      <c r="I117" s="128">
        <v>32814973</v>
      </c>
      <c r="J117" s="128">
        <v>33777328</v>
      </c>
      <c r="K117" s="128">
        <v>32546262</v>
      </c>
      <c r="L117" s="128">
        <v>33109267</v>
      </c>
      <c r="M117" s="128">
        <v>34063145</v>
      </c>
      <c r="N117" s="128">
        <v>33791033</v>
      </c>
      <c r="O117" s="128">
        <v>12591013</v>
      </c>
    </row>
    <row r="118" spans="1:15">
      <c r="A118" s="132" t="s">
        <v>1176</v>
      </c>
      <c r="B118" s="123" t="s">
        <v>1177</v>
      </c>
      <c r="C118" s="124">
        <v>1458</v>
      </c>
      <c r="D118" s="125">
        <v>1891.7349999999999</v>
      </c>
      <c r="E118" s="126">
        <v>195.63639999999998</v>
      </c>
      <c r="F118" s="126">
        <v>102.1096</v>
      </c>
      <c r="G118" s="127">
        <v>9.6696473662365499</v>
      </c>
      <c r="H118" s="127">
        <v>14.27877496337269</v>
      </c>
      <c r="I118" s="128">
        <v>10827885</v>
      </c>
      <c r="J118" s="128">
        <v>10443959</v>
      </c>
      <c r="K118" s="128">
        <v>10782854</v>
      </c>
      <c r="L118" s="128">
        <v>11187784</v>
      </c>
      <c r="M118" s="128">
        <v>10485020</v>
      </c>
      <c r="N118" s="128">
        <v>11525493</v>
      </c>
      <c r="O118" s="128">
        <v>1673536</v>
      </c>
    </row>
    <row r="119" spans="1:15">
      <c r="A119" s="132" t="s">
        <v>1522</v>
      </c>
      <c r="B119" s="123" t="s">
        <v>1523</v>
      </c>
      <c r="C119" s="124">
        <v>232</v>
      </c>
      <c r="D119" s="125">
        <v>373.536</v>
      </c>
      <c r="E119" s="126">
        <v>35.405200000000001</v>
      </c>
      <c r="F119" s="126">
        <v>21.344100000000001</v>
      </c>
      <c r="G119" s="127">
        <v>10.550314643046784</v>
      </c>
      <c r="H119" s="127">
        <v>10.869514292005753</v>
      </c>
      <c r="I119" s="128">
        <v>2229823</v>
      </c>
      <c r="J119" s="128">
        <v>2256268</v>
      </c>
      <c r="K119" s="128">
        <v>2257988</v>
      </c>
      <c r="L119" s="128">
        <v>2263108</v>
      </c>
      <c r="M119" s="128">
        <v>2665623</v>
      </c>
      <c r="N119" s="128">
        <v>2124247</v>
      </c>
      <c r="O119" s="128">
        <v>400183</v>
      </c>
    </row>
    <row r="120" spans="1:15">
      <c r="A120" s="132" t="s">
        <v>309</v>
      </c>
      <c r="B120" s="123" t="s">
        <v>310</v>
      </c>
      <c r="C120" s="124">
        <v>4224</v>
      </c>
      <c r="D120" s="125">
        <v>5366.5219999999999</v>
      </c>
      <c r="E120" s="126">
        <v>606.75319999999999</v>
      </c>
      <c r="F120" s="126">
        <v>293.61360000000002</v>
      </c>
      <c r="G120" s="127">
        <v>8.8446538065229809</v>
      </c>
      <c r="H120" s="127">
        <v>14.386254587662151</v>
      </c>
      <c r="I120" s="128">
        <v>33753162</v>
      </c>
      <c r="J120" s="128">
        <v>35806811</v>
      </c>
      <c r="K120" s="128">
        <v>34186001</v>
      </c>
      <c r="L120" s="128">
        <v>33760513</v>
      </c>
      <c r="M120" s="128">
        <v>34261636</v>
      </c>
      <c r="N120" s="128">
        <v>34017805</v>
      </c>
      <c r="O120" s="128">
        <v>12586580</v>
      </c>
    </row>
    <row r="121" spans="1:15">
      <c r="A121" s="132" t="s">
        <v>483</v>
      </c>
      <c r="B121" s="123" t="s">
        <v>484</v>
      </c>
      <c r="C121" s="124">
        <v>368</v>
      </c>
      <c r="D121" s="125">
        <v>652.899</v>
      </c>
      <c r="E121" s="126">
        <v>69.365499999999997</v>
      </c>
      <c r="F121" s="126">
        <v>39.537399999999998</v>
      </c>
      <c r="G121" s="127">
        <v>9.4124456682356499</v>
      </c>
      <c r="H121" s="127">
        <v>9.3076428900231178</v>
      </c>
      <c r="I121" s="128">
        <v>3662224</v>
      </c>
      <c r="J121" s="128">
        <v>3644726</v>
      </c>
      <c r="K121" s="128">
        <v>3685782</v>
      </c>
      <c r="L121" s="128">
        <v>3756408</v>
      </c>
      <c r="M121" s="128">
        <v>3739544</v>
      </c>
      <c r="N121" s="128">
        <v>3719609</v>
      </c>
      <c r="O121" s="128">
        <v>435796</v>
      </c>
    </row>
    <row r="122" spans="1:15">
      <c r="A122" s="132" t="s">
        <v>407</v>
      </c>
      <c r="B122" s="123" t="s">
        <v>408</v>
      </c>
      <c r="C122" s="124">
        <v>1481</v>
      </c>
      <c r="D122" s="125">
        <v>1960.9440000000002</v>
      </c>
      <c r="E122" s="126">
        <v>234.63390000000001</v>
      </c>
      <c r="F122" s="126">
        <v>120.6434</v>
      </c>
      <c r="G122" s="127">
        <v>8.3574624127204125</v>
      </c>
      <c r="H122" s="127">
        <v>12.275847663444498</v>
      </c>
      <c r="I122" s="128">
        <v>11497831</v>
      </c>
      <c r="J122" s="128">
        <v>11942645</v>
      </c>
      <c r="K122" s="128">
        <v>11925782</v>
      </c>
      <c r="L122" s="128">
        <v>11783326</v>
      </c>
      <c r="M122" s="128">
        <v>12243345</v>
      </c>
      <c r="N122" s="128">
        <v>12566154</v>
      </c>
      <c r="O122" s="128">
        <v>1653873</v>
      </c>
    </row>
    <row r="123" spans="1:15">
      <c r="A123" s="132" t="s">
        <v>140</v>
      </c>
      <c r="B123" s="123" t="s">
        <v>141</v>
      </c>
      <c r="C123" s="124">
        <v>295</v>
      </c>
      <c r="D123" s="125">
        <v>572.03300000000002</v>
      </c>
      <c r="E123" s="126">
        <v>57.372900000000001</v>
      </c>
      <c r="F123" s="126">
        <v>32.736499999999999</v>
      </c>
      <c r="G123" s="127">
        <v>9.9704390051749172</v>
      </c>
      <c r="H123" s="127">
        <v>9.0113481893299525</v>
      </c>
      <c r="I123" s="128">
        <v>3359433</v>
      </c>
      <c r="J123" s="128">
        <v>3267038</v>
      </c>
      <c r="K123" s="128">
        <v>3212975</v>
      </c>
      <c r="L123" s="128">
        <v>3620473</v>
      </c>
      <c r="M123" s="128">
        <v>3504320</v>
      </c>
      <c r="N123" s="128">
        <v>3736104</v>
      </c>
      <c r="O123" s="128">
        <v>1740092</v>
      </c>
    </row>
    <row r="124" spans="1:15">
      <c r="A124" s="132" t="s">
        <v>630</v>
      </c>
      <c r="B124" s="123" t="s">
        <v>631</v>
      </c>
      <c r="C124" s="124">
        <v>378</v>
      </c>
      <c r="D124" s="125">
        <v>605.19600000000003</v>
      </c>
      <c r="E124" s="126">
        <v>63.658500000000004</v>
      </c>
      <c r="F124" s="126">
        <v>38.541800000000002</v>
      </c>
      <c r="G124" s="127">
        <v>9.5069158085723036</v>
      </c>
      <c r="H124" s="127">
        <v>9.8075336388025462</v>
      </c>
      <c r="I124" s="128">
        <v>3697605</v>
      </c>
      <c r="J124" s="128">
        <v>3643212</v>
      </c>
      <c r="K124" s="128">
        <v>3658677</v>
      </c>
      <c r="L124" s="128">
        <v>3698823</v>
      </c>
      <c r="M124" s="128">
        <v>3648830</v>
      </c>
      <c r="N124" s="128">
        <v>3739189</v>
      </c>
      <c r="O124" s="128">
        <v>651159</v>
      </c>
    </row>
    <row r="125" spans="1:15">
      <c r="A125" s="132" t="s">
        <v>267</v>
      </c>
      <c r="B125" s="123" t="s">
        <v>268</v>
      </c>
      <c r="C125" s="124">
        <v>49800</v>
      </c>
      <c r="D125" s="125">
        <v>65711.509999999995</v>
      </c>
      <c r="E125" s="126">
        <v>7713.1583000000001</v>
      </c>
      <c r="F125" s="126">
        <v>3425.3721</v>
      </c>
      <c r="G125" s="127">
        <v>8.5194037830132423</v>
      </c>
      <c r="H125" s="127">
        <v>14.538566481580204</v>
      </c>
      <c r="I125" s="128">
        <v>370433000</v>
      </c>
      <c r="J125" s="128">
        <v>340053456</v>
      </c>
      <c r="K125" s="128">
        <v>431607150</v>
      </c>
      <c r="L125" s="128">
        <v>318571411</v>
      </c>
      <c r="M125" s="128">
        <v>316353635</v>
      </c>
      <c r="N125" s="128">
        <v>390842725</v>
      </c>
      <c r="O125" s="128">
        <v>76111051</v>
      </c>
    </row>
    <row r="126" spans="1:15">
      <c r="A126" s="132" t="s">
        <v>836</v>
      </c>
      <c r="B126" s="123" t="s">
        <v>837</v>
      </c>
      <c r="C126" s="124">
        <v>18339</v>
      </c>
      <c r="D126" s="125">
        <v>23226.652999999998</v>
      </c>
      <c r="E126" s="126">
        <v>2624.6428000000001</v>
      </c>
      <c r="F126" s="126">
        <v>1220.7909</v>
      </c>
      <c r="G126" s="127">
        <v>8.8494529617515951</v>
      </c>
      <c r="H126" s="127">
        <v>15.022228622444679</v>
      </c>
      <c r="I126" s="128">
        <v>133432987</v>
      </c>
      <c r="J126" s="128">
        <v>132031466</v>
      </c>
      <c r="K126" s="128">
        <v>131405972</v>
      </c>
      <c r="L126" s="128">
        <v>132256349</v>
      </c>
      <c r="M126" s="128">
        <v>128956943</v>
      </c>
      <c r="N126" s="128">
        <v>131872141</v>
      </c>
      <c r="O126" s="128">
        <v>19540475</v>
      </c>
    </row>
    <row r="127" spans="1:15">
      <c r="A127" s="132" t="s">
        <v>1040</v>
      </c>
      <c r="B127" s="123" t="s">
        <v>1041</v>
      </c>
      <c r="C127" s="124">
        <v>3576</v>
      </c>
      <c r="D127" s="125">
        <v>4669.1190000000006</v>
      </c>
      <c r="E127" s="126">
        <v>562.10940000000005</v>
      </c>
      <c r="F127" s="126">
        <v>238.44290000000001</v>
      </c>
      <c r="G127" s="127">
        <v>8.3064239808122764</v>
      </c>
      <c r="H127" s="127">
        <v>14.997301240674391</v>
      </c>
      <c r="I127" s="128">
        <v>28614156</v>
      </c>
      <c r="J127" s="128">
        <v>28710035</v>
      </c>
      <c r="K127" s="128">
        <v>28604572</v>
      </c>
      <c r="L127" s="128">
        <v>29004165</v>
      </c>
      <c r="M127" s="128">
        <v>29165038</v>
      </c>
      <c r="N127" s="128">
        <v>29772743</v>
      </c>
      <c r="O127" s="128">
        <v>2720126</v>
      </c>
    </row>
    <row r="128" spans="1:15">
      <c r="A128" s="132" t="s">
        <v>1160</v>
      </c>
      <c r="B128" s="123" t="s">
        <v>1161</v>
      </c>
      <c r="C128" s="124">
        <v>9970</v>
      </c>
      <c r="D128" s="125">
        <v>12549.791999999999</v>
      </c>
      <c r="E128" s="126">
        <v>1470.6669999999999</v>
      </c>
      <c r="F128" s="126">
        <v>627.1377</v>
      </c>
      <c r="G128" s="127">
        <v>8.5334015110150698</v>
      </c>
      <c r="H128" s="127">
        <v>15.897625035139811</v>
      </c>
      <c r="I128" s="128">
        <v>76955786</v>
      </c>
      <c r="J128" s="128">
        <v>78916553</v>
      </c>
      <c r="K128" s="128">
        <v>75935250</v>
      </c>
      <c r="L128" s="128">
        <v>73387430</v>
      </c>
      <c r="M128" s="128">
        <v>75482026</v>
      </c>
      <c r="N128" s="128">
        <v>79033195</v>
      </c>
      <c r="O128" s="128">
        <v>18861420</v>
      </c>
    </row>
    <row r="129" spans="1:15">
      <c r="A129" s="132" t="s">
        <v>1502</v>
      </c>
      <c r="B129" s="123" t="s">
        <v>1503</v>
      </c>
      <c r="C129" s="124">
        <v>2532</v>
      </c>
      <c r="D129" s="125">
        <v>3454.0240000000003</v>
      </c>
      <c r="E129" s="126">
        <v>382.60019999999997</v>
      </c>
      <c r="F129" s="126">
        <v>172.89869999999999</v>
      </c>
      <c r="G129" s="127">
        <v>9.0277631846507145</v>
      </c>
      <c r="H129" s="127">
        <v>14.644413173725425</v>
      </c>
      <c r="I129" s="128">
        <v>25014495</v>
      </c>
      <c r="J129" s="128">
        <v>24346270</v>
      </c>
      <c r="K129" s="128">
        <v>22602629</v>
      </c>
      <c r="L129" s="128">
        <v>24408317</v>
      </c>
      <c r="M129" s="128">
        <v>24498468</v>
      </c>
      <c r="N129" s="128">
        <v>23269143</v>
      </c>
      <c r="O129" s="128">
        <v>6470715</v>
      </c>
    </row>
    <row r="130" spans="1:15">
      <c r="A130" s="132" t="s">
        <v>1590</v>
      </c>
      <c r="B130" s="123" t="s">
        <v>1591</v>
      </c>
      <c r="C130" s="124">
        <v>2299</v>
      </c>
      <c r="D130" s="125">
        <v>3063.0280000000002</v>
      </c>
      <c r="E130" s="126">
        <v>383.38420000000002</v>
      </c>
      <c r="F130" s="126">
        <v>148.0367</v>
      </c>
      <c r="G130" s="127">
        <v>7.9894476611190548</v>
      </c>
      <c r="H130" s="127">
        <v>15.529932780182213</v>
      </c>
      <c r="I130" s="128">
        <v>19043697</v>
      </c>
      <c r="J130" s="128">
        <v>17637986</v>
      </c>
      <c r="K130" s="128">
        <v>19479410</v>
      </c>
      <c r="L130" s="128">
        <v>19043699</v>
      </c>
      <c r="M130" s="128">
        <v>17637988</v>
      </c>
      <c r="N130" s="128">
        <v>19804100</v>
      </c>
      <c r="O130" s="128">
        <v>2569714</v>
      </c>
    </row>
    <row r="131" spans="1:15">
      <c r="A131" s="132" t="s">
        <v>1672</v>
      </c>
      <c r="B131" s="123" t="s">
        <v>1673</v>
      </c>
      <c r="C131" s="124">
        <v>11351</v>
      </c>
      <c r="D131" s="125">
        <v>14312.486000000001</v>
      </c>
      <c r="E131" s="126">
        <v>1633.6534999999999</v>
      </c>
      <c r="F131" s="126">
        <v>711.48800000000006</v>
      </c>
      <c r="G131" s="127">
        <v>8.7610291900944741</v>
      </c>
      <c r="H131" s="127">
        <v>15.953888189259692</v>
      </c>
      <c r="I131" s="128">
        <v>87362714</v>
      </c>
      <c r="J131" s="128">
        <v>93721532</v>
      </c>
      <c r="K131" s="128">
        <v>88124297</v>
      </c>
      <c r="L131" s="128">
        <v>87749821</v>
      </c>
      <c r="M131" s="128">
        <v>97407445</v>
      </c>
      <c r="N131" s="128">
        <v>93489608</v>
      </c>
      <c r="O131" s="128">
        <v>13261545</v>
      </c>
    </row>
    <row r="132" spans="1:15">
      <c r="A132" s="132" t="s">
        <v>1702</v>
      </c>
      <c r="B132" s="123" t="s">
        <v>1703</v>
      </c>
      <c r="C132" s="124">
        <v>712</v>
      </c>
      <c r="D132" s="125">
        <v>1090.722</v>
      </c>
      <c r="E132" s="126">
        <v>105.247</v>
      </c>
      <c r="F132" s="126">
        <v>46.747100000000003</v>
      </c>
      <c r="G132" s="127">
        <v>10.363449789542695</v>
      </c>
      <c r="H132" s="127">
        <v>15.230891328018208</v>
      </c>
      <c r="I132" s="128">
        <v>5278777</v>
      </c>
      <c r="J132" s="128">
        <v>5250938</v>
      </c>
      <c r="K132" s="128">
        <v>5645230</v>
      </c>
      <c r="L132" s="128">
        <v>5616015</v>
      </c>
      <c r="M132" s="128">
        <v>5732228</v>
      </c>
      <c r="N132" s="128">
        <v>6599640</v>
      </c>
      <c r="O132" s="128">
        <v>1002831</v>
      </c>
    </row>
    <row r="133" spans="1:15">
      <c r="A133" s="132" t="s">
        <v>1704</v>
      </c>
      <c r="B133" s="123" t="s">
        <v>1705</v>
      </c>
      <c r="C133" s="124">
        <v>1170</v>
      </c>
      <c r="D133" s="125">
        <v>1755.9110000000001</v>
      </c>
      <c r="E133" s="126">
        <v>202.00069999999999</v>
      </c>
      <c r="F133" s="126">
        <v>86.1935</v>
      </c>
      <c r="G133" s="127">
        <v>8.6925985900048861</v>
      </c>
      <c r="H133" s="127">
        <v>13.57410941660334</v>
      </c>
      <c r="I133" s="128">
        <v>10092355</v>
      </c>
      <c r="J133" s="128">
        <v>10201529</v>
      </c>
      <c r="K133" s="128">
        <v>11886383</v>
      </c>
      <c r="L133" s="128">
        <v>10619251</v>
      </c>
      <c r="M133" s="128">
        <v>10000477</v>
      </c>
      <c r="N133" s="128">
        <v>11148463</v>
      </c>
      <c r="O133" s="128">
        <v>2688804</v>
      </c>
    </row>
    <row r="134" spans="1:15">
      <c r="A134" s="132" t="s">
        <v>1784</v>
      </c>
      <c r="B134" s="123" t="s">
        <v>1785</v>
      </c>
      <c r="C134" s="124">
        <v>3173</v>
      </c>
      <c r="D134" s="125">
        <v>4117.8690000000006</v>
      </c>
      <c r="E134" s="126">
        <v>477.05119999999999</v>
      </c>
      <c r="F134" s="126">
        <v>224.41800000000001</v>
      </c>
      <c r="G134" s="127">
        <v>8.6319225273932876</v>
      </c>
      <c r="H134" s="127">
        <v>14.138794570845475</v>
      </c>
      <c r="I134" s="128">
        <v>40090348</v>
      </c>
      <c r="J134" s="128">
        <v>39255234</v>
      </c>
      <c r="K134" s="128">
        <v>35958825</v>
      </c>
      <c r="L134" s="128">
        <v>42570000</v>
      </c>
      <c r="M134" s="128">
        <v>42963000</v>
      </c>
      <c r="N134" s="128">
        <v>44967862</v>
      </c>
      <c r="O134" s="128">
        <v>7945558</v>
      </c>
    </row>
    <row r="135" spans="1:15">
      <c r="A135" s="132" t="s">
        <v>1488</v>
      </c>
      <c r="B135" s="123" t="s">
        <v>1489</v>
      </c>
      <c r="C135" s="124">
        <v>2490</v>
      </c>
      <c r="D135" s="125">
        <v>3368.4260000000004</v>
      </c>
      <c r="E135" s="126">
        <v>436.17779999999999</v>
      </c>
      <c r="F135" s="126">
        <v>212.6343</v>
      </c>
      <c r="G135" s="127">
        <v>7.7225984449460761</v>
      </c>
      <c r="H135" s="127">
        <v>11.710246183235725</v>
      </c>
      <c r="I135" s="128">
        <v>19358057</v>
      </c>
      <c r="J135" s="128">
        <v>21084355</v>
      </c>
      <c r="K135" s="128">
        <v>19426709</v>
      </c>
      <c r="L135" s="128">
        <v>18658221</v>
      </c>
      <c r="M135" s="128">
        <v>19249485</v>
      </c>
      <c r="N135" s="128">
        <v>19149662</v>
      </c>
      <c r="O135" s="128">
        <v>3568384</v>
      </c>
    </row>
    <row r="136" spans="1:15">
      <c r="A136" s="132" t="s">
        <v>800</v>
      </c>
      <c r="B136" s="123" t="s">
        <v>801</v>
      </c>
      <c r="C136" s="124">
        <v>127</v>
      </c>
      <c r="D136" s="125">
        <v>223.01</v>
      </c>
      <c r="E136" s="126">
        <v>30.393300000000004</v>
      </c>
      <c r="F136" s="126">
        <v>16.5807</v>
      </c>
      <c r="G136" s="127">
        <v>7.3374724034573395</v>
      </c>
      <c r="H136" s="127">
        <v>7.6595077409277046</v>
      </c>
      <c r="I136" s="128">
        <v>1437256</v>
      </c>
      <c r="J136" s="128">
        <v>1431569</v>
      </c>
      <c r="K136" s="128">
        <v>1510628</v>
      </c>
      <c r="L136" s="128">
        <v>1407529</v>
      </c>
      <c r="M136" s="128">
        <v>1504196</v>
      </c>
      <c r="N136" s="128">
        <v>1447614</v>
      </c>
      <c r="O136" s="128">
        <v>273200</v>
      </c>
    </row>
    <row r="137" spans="1:15">
      <c r="A137" s="132" t="s">
        <v>1444</v>
      </c>
      <c r="B137" s="123" t="s">
        <v>1445</v>
      </c>
      <c r="C137" s="124">
        <v>674</v>
      </c>
      <c r="D137" s="125">
        <v>1075.075</v>
      </c>
      <c r="E137" s="126">
        <v>123.2321</v>
      </c>
      <c r="F137" s="126">
        <v>67.915199999999999</v>
      </c>
      <c r="G137" s="127">
        <v>8.7239850655795035</v>
      </c>
      <c r="H137" s="127">
        <v>9.9241406930996305</v>
      </c>
      <c r="I137" s="128">
        <v>6748290</v>
      </c>
      <c r="J137" s="128">
        <v>6774436</v>
      </c>
      <c r="K137" s="128">
        <v>6793533</v>
      </c>
      <c r="L137" s="128">
        <v>7006992</v>
      </c>
      <c r="M137" s="128">
        <v>6931500</v>
      </c>
      <c r="N137" s="128">
        <v>7091797</v>
      </c>
      <c r="O137" s="128">
        <v>577206</v>
      </c>
    </row>
    <row r="138" spans="1:15">
      <c r="A138" s="132" t="s">
        <v>2019</v>
      </c>
      <c r="B138" s="123" t="s">
        <v>2020</v>
      </c>
      <c r="C138" s="124">
        <v>385</v>
      </c>
      <c r="D138" s="125">
        <v>587.83800000000008</v>
      </c>
      <c r="E138" s="126">
        <v>66.449100000000001</v>
      </c>
      <c r="F138" s="126">
        <v>32.924100000000003</v>
      </c>
      <c r="G138" s="127">
        <v>8.8464403581086888</v>
      </c>
      <c r="H138" s="127">
        <v>11.693561858942234</v>
      </c>
      <c r="I138" s="128">
        <v>3645359</v>
      </c>
      <c r="J138" s="128">
        <v>3707931</v>
      </c>
      <c r="K138" s="128">
        <v>3589008</v>
      </c>
      <c r="L138" s="128">
        <v>3853006</v>
      </c>
      <c r="M138" s="128">
        <v>3925269</v>
      </c>
      <c r="N138" s="128">
        <v>4080201</v>
      </c>
      <c r="O138" s="128">
        <v>945983</v>
      </c>
    </row>
    <row r="139" spans="1:15">
      <c r="A139" s="132" t="s">
        <v>122</v>
      </c>
      <c r="B139" s="123" t="s">
        <v>123</v>
      </c>
      <c r="C139" s="124">
        <v>1798</v>
      </c>
      <c r="D139" s="125">
        <v>2345.5570000000002</v>
      </c>
      <c r="E139" s="126">
        <v>305.06569999999999</v>
      </c>
      <c r="F139" s="126">
        <v>136.99250000000001</v>
      </c>
      <c r="G139" s="127">
        <v>7.6886945992289544</v>
      </c>
      <c r="H139" s="127">
        <v>13.124806102523861</v>
      </c>
      <c r="I139" s="128">
        <v>14458699</v>
      </c>
      <c r="J139" s="128">
        <v>13879445</v>
      </c>
      <c r="K139" s="128">
        <v>15051334</v>
      </c>
      <c r="L139" s="128">
        <v>14494163</v>
      </c>
      <c r="M139" s="128">
        <v>14147814</v>
      </c>
      <c r="N139" s="128">
        <v>13591865</v>
      </c>
      <c r="O139" s="128">
        <v>3926329</v>
      </c>
    </row>
    <row r="140" spans="1:15">
      <c r="A140" s="132" t="s">
        <v>134</v>
      </c>
      <c r="B140" s="123" t="s">
        <v>135</v>
      </c>
      <c r="C140" s="124">
        <v>137</v>
      </c>
      <c r="D140" s="125">
        <v>264.5</v>
      </c>
      <c r="E140" s="126">
        <v>28.871300000000002</v>
      </c>
      <c r="F140" s="126">
        <v>17.1084</v>
      </c>
      <c r="G140" s="127">
        <v>9.1613470817039762</v>
      </c>
      <c r="H140" s="127">
        <v>8.0077622688270083</v>
      </c>
      <c r="I140" s="128">
        <v>1385957</v>
      </c>
      <c r="J140" s="128">
        <v>1452249</v>
      </c>
      <c r="K140" s="128">
        <v>1370569</v>
      </c>
      <c r="L140" s="128">
        <v>1408982</v>
      </c>
      <c r="M140" s="128">
        <v>1501842</v>
      </c>
      <c r="N140" s="128">
        <v>1588966</v>
      </c>
      <c r="O140" s="128">
        <v>405728</v>
      </c>
    </row>
    <row r="141" spans="1:15">
      <c r="A141" s="132" t="s">
        <v>914</v>
      </c>
      <c r="B141" s="123" t="s">
        <v>915</v>
      </c>
      <c r="C141" s="124">
        <v>1124</v>
      </c>
      <c r="D141" s="125">
        <v>1507.587</v>
      </c>
      <c r="E141" s="126">
        <v>177.9332</v>
      </c>
      <c r="F141" s="126">
        <v>88.755799999999994</v>
      </c>
      <c r="G141" s="127">
        <v>8.4727695562154786</v>
      </c>
      <c r="H141" s="127">
        <v>12.663961115780603</v>
      </c>
      <c r="I141" s="128">
        <v>9080586</v>
      </c>
      <c r="J141" s="128">
        <v>9066662</v>
      </c>
      <c r="K141" s="128">
        <v>9367288</v>
      </c>
      <c r="L141" s="128">
        <v>9909179</v>
      </c>
      <c r="M141" s="128">
        <v>9334804</v>
      </c>
      <c r="N141" s="128">
        <v>11154753</v>
      </c>
      <c r="O141" s="128">
        <v>2660675</v>
      </c>
    </row>
    <row r="142" spans="1:15">
      <c r="A142" s="132" t="s">
        <v>1120</v>
      </c>
      <c r="B142" s="123" t="s">
        <v>1121</v>
      </c>
      <c r="C142" s="124">
        <v>777</v>
      </c>
      <c r="D142" s="125">
        <v>1207.7190000000001</v>
      </c>
      <c r="E142" s="126">
        <v>143.9598</v>
      </c>
      <c r="F142" s="126">
        <v>80.419499999999999</v>
      </c>
      <c r="G142" s="127">
        <v>8.3892795071957593</v>
      </c>
      <c r="H142" s="127">
        <v>9.6618357487922708</v>
      </c>
      <c r="I142" s="128">
        <v>7001499</v>
      </c>
      <c r="J142" s="128">
        <v>7141264</v>
      </c>
      <c r="K142" s="128">
        <v>6914326</v>
      </c>
      <c r="L142" s="128">
        <v>7216161</v>
      </c>
      <c r="M142" s="128">
        <v>7459658</v>
      </c>
      <c r="N142" s="128">
        <v>7527485</v>
      </c>
      <c r="O142" s="128">
        <v>1179585</v>
      </c>
    </row>
    <row r="143" spans="1:15">
      <c r="A143" s="132" t="s">
        <v>1242</v>
      </c>
      <c r="B143" s="123" t="s">
        <v>1243</v>
      </c>
      <c r="C143" s="124">
        <v>443</v>
      </c>
      <c r="D143" s="125">
        <v>678.51700000000005</v>
      </c>
      <c r="E143" s="126">
        <v>74.818700000000007</v>
      </c>
      <c r="F143" s="126">
        <v>35.566499999999998</v>
      </c>
      <c r="G143" s="127">
        <v>9.0688156837795901</v>
      </c>
      <c r="H143" s="127">
        <v>12.45554102877708</v>
      </c>
      <c r="I143" s="128">
        <v>3899737</v>
      </c>
      <c r="J143" s="128">
        <v>3941777</v>
      </c>
      <c r="K143" s="128">
        <v>4135131</v>
      </c>
      <c r="L143" s="128">
        <v>3901140</v>
      </c>
      <c r="M143" s="128">
        <v>4025625</v>
      </c>
      <c r="N143" s="128">
        <v>4197615</v>
      </c>
      <c r="O143" s="128">
        <v>1598682</v>
      </c>
    </row>
    <row r="144" spans="1:15">
      <c r="A144" s="132" t="s">
        <v>1544</v>
      </c>
      <c r="B144" s="123" t="s">
        <v>1545</v>
      </c>
      <c r="C144" s="124">
        <v>1082</v>
      </c>
      <c r="D144" s="125">
        <v>1516.912</v>
      </c>
      <c r="E144" s="126">
        <v>179.17069999999998</v>
      </c>
      <c r="F144" s="126">
        <v>86.957800000000006</v>
      </c>
      <c r="G144" s="127">
        <v>8.4662949913127541</v>
      </c>
      <c r="H144" s="127">
        <v>12.442817090588768</v>
      </c>
      <c r="I144" s="128">
        <v>7680923</v>
      </c>
      <c r="J144" s="128">
        <v>8183230</v>
      </c>
      <c r="K144" s="128">
        <v>8109379</v>
      </c>
      <c r="L144" s="128">
        <v>7327314</v>
      </c>
      <c r="M144" s="128">
        <v>7778757</v>
      </c>
      <c r="N144" s="128">
        <v>8395637</v>
      </c>
      <c r="O144" s="128">
        <v>2998955</v>
      </c>
    </row>
    <row r="145" spans="1:15">
      <c r="A145" s="132" t="s">
        <v>197</v>
      </c>
      <c r="B145" s="123" t="s">
        <v>198</v>
      </c>
      <c r="C145" s="124">
        <v>267</v>
      </c>
      <c r="D145" s="125">
        <v>435.38300000000004</v>
      </c>
      <c r="E145" s="126">
        <v>50.213700000000003</v>
      </c>
      <c r="F145" s="126">
        <v>26.6797</v>
      </c>
      <c r="G145" s="127">
        <v>8.6706018477029172</v>
      </c>
      <c r="H145" s="127">
        <v>10.007608781208184</v>
      </c>
      <c r="I145" s="128">
        <v>2837532</v>
      </c>
      <c r="J145" s="128">
        <v>2769972</v>
      </c>
      <c r="K145" s="128">
        <v>3148949</v>
      </c>
      <c r="L145" s="128">
        <v>2648667</v>
      </c>
      <c r="M145" s="128">
        <v>2807569</v>
      </c>
      <c r="N145" s="128">
        <v>2828577</v>
      </c>
      <c r="O145" s="128">
        <v>948573</v>
      </c>
    </row>
    <row r="146" spans="1:15">
      <c r="A146" s="132" t="s">
        <v>559</v>
      </c>
      <c r="B146" s="123" t="s">
        <v>560</v>
      </c>
      <c r="C146" s="124">
        <v>1199</v>
      </c>
      <c r="D146" s="125">
        <v>1811.308</v>
      </c>
      <c r="E146" s="126">
        <v>211.5719</v>
      </c>
      <c r="F146" s="126">
        <v>97.234099999999998</v>
      </c>
      <c r="G146" s="127">
        <v>8.5611936178670227</v>
      </c>
      <c r="H146" s="127">
        <v>12.331064924753765</v>
      </c>
      <c r="I146" s="128">
        <v>11708900</v>
      </c>
      <c r="J146" s="128">
        <v>11140532</v>
      </c>
      <c r="K146" s="128">
        <v>9848126</v>
      </c>
      <c r="L146" s="128">
        <v>11495112</v>
      </c>
      <c r="M146" s="128">
        <v>10817255</v>
      </c>
      <c r="N146" s="128">
        <v>10853903</v>
      </c>
      <c r="O146" s="128">
        <v>2878160</v>
      </c>
    </row>
    <row r="147" spans="1:15">
      <c r="A147" s="132" t="s">
        <v>844</v>
      </c>
      <c r="B147" s="123" t="s">
        <v>845</v>
      </c>
      <c r="C147" s="124">
        <v>292</v>
      </c>
      <c r="D147" s="125">
        <v>481.46</v>
      </c>
      <c r="E147" s="126">
        <v>62.806600000000003</v>
      </c>
      <c r="F147" s="126">
        <v>29.319900000000001</v>
      </c>
      <c r="G147" s="127">
        <v>7.6657548728955236</v>
      </c>
      <c r="H147" s="127">
        <v>9.9591062725316259</v>
      </c>
      <c r="I147" s="128">
        <v>2530274</v>
      </c>
      <c r="J147" s="128">
        <v>2824275</v>
      </c>
      <c r="K147" s="128">
        <v>2729351</v>
      </c>
      <c r="L147" s="128">
        <v>2643737</v>
      </c>
      <c r="M147" s="128">
        <v>2845566</v>
      </c>
      <c r="N147" s="128">
        <v>2763251</v>
      </c>
      <c r="O147" s="128">
        <v>796678</v>
      </c>
    </row>
    <row r="148" spans="1:15">
      <c r="A148" s="132" t="s">
        <v>1347</v>
      </c>
      <c r="B148" s="123" t="s">
        <v>1348</v>
      </c>
      <c r="C148" s="124">
        <v>240</v>
      </c>
      <c r="D148" s="125">
        <v>356.76400000000001</v>
      </c>
      <c r="E148" s="126">
        <v>33.250599999999999</v>
      </c>
      <c r="F148" s="126">
        <v>21.593499999999999</v>
      </c>
      <c r="G148" s="127">
        <v>10.729550744948964</v>
      </c>
      <c r="H148" s="127">
        <v>11.114455738995531</v>
      </c>
      <c r="I148" s="128">
        <v>1952239</v>
      </c>
      <c r="J148" s="128">
        <v>2005800</v>
      </c>
      <c r="K148" s="128">
        <v>1959978</v>
      </c>
      <c r="L148" s="128">
        <v>1952243</v>
      </c>
      <c r="M148" s="128">
        <v>1960900</v>
      </c>
      <c r="N148" s="128">
        <v>2298836</v>
      </c>
      <c r="O148" s="128">
        <v>475884</v>
      </c>
    </row>
    <row r="149" spans="1:15">
      <c r="A149" s="132" t="s">
        <v>86</v>
      </c>
      <c r="B149" s="123" t="s">
        <v>87</v>
      </c>
      <c r="C149" s="124">
        <v>1225</v>
      </c>
      <c r="D149" s="125">
        <v>1800.4949999999999</v>
      </c>
      <c r="E149" s="126">
        <v>186.80160000000001</v>
      </c>
      <c r="F149" s="126">
        <v>94.021500000000003</v>
      </c>
      <c r="G149" s="127">
        <v>9.6385416399003017</v>
      </c>
      <c r="H149" s="127">
        <v>13.028934871279441</v>
      </c>
      <c r="I149" s="128">
        <v>10667663</v>
      </c>
      <c r="J149" s="128">
        <v>10363913</v>
      </c>
      <c r="K149" s="128">
        <v>11397841</v>
      </c>
      <c r="L149" s="128">
        <v>10664497</v>
      </c>
      <c r="M149" s="128">
        <v>10431352</v>
      </c>
      <c r="N149" s="128">
        <v>11147729</v>
      </c>
      <c r="O149" s="128">
        <v>1997918</v>
      </c>
    </row>
    <row r="150" spans="1:15">
      <c r="A150" s="132" t="s">
        <v>152</v>
      </c>
      <c r="B150" s="123" t="s">
        <v>153</v>
      </c>
      <c r="C150" s="124">
        <v>4201</v>
      </c>
      <c r="D150" s="125">
        <v>4773.4940000000006</v>
      </c>
      <c r="E150" s="126">
        <v>622.79849999999999</v>
      </c>
      <c r="F150" s="126">
        <v>309.02839999999998</v>
      </c>
      <c r="G150" s="127">
        <v>7.6645881452829459</v>
      </c>
      <c r="H150" s="127">
        <v>13.594219819278747</v>
      </c>
      <c r="I150" s="128">
        <v>37836249</v>
      </c>
      <c r="J150" s="128">
        <v>49838037</v>
      </c>
      <c r="K150" s="128">
        <v>42267331</v>
      </c>
      <c r="L150" s="128">
        <v>38581238</v>
      </c>
      <c r="M150" s="128">
        <v>49487668</v>
      </c>
      <c r="N150" s="128">
        <v>46518127</v>
      </c>
      <c r="O150" s="128">
        <v>10923783</v>
      </c>
    </row>
    <row r="151" spans="1:15">
      <c r="A151" s="132" t="s">
        <v>593</v>
      </c>
      <c r="B151" s="123" t="s">
        <v>594</v>
      </c>
      <c r="C151" s="124">
        <v>1330</v>
      </c>
      <c r="D151" s="125">
        <v>1799.5230000000001</v>
      </c>
      <c r="E151" s="126">
        <v>162.97669999999999</v>
      </c>
      <c r="F151" s="126">
        <v>92.367099999999994</v>
      </c>
      <c r="G151" s="127">
        <v>11.041596743583593</v>
      </c>
      <c r="H151" s="127">
        <v>14.399066334225067</v>
      </c>
      <c r="I151" s="128">
        <v>10420451</v>
      </c>
      <c r="J151" s="128">
        <v>10419335</v>
      </c>
      <c r="K151" s="128">
        <v>11713544</v>
      </c>
      <c r="L151" s="128">
        <v>10322448</v>
      </c>
      <c r="M151" s="128">
        <v>10414911</v>
      </c>
      <c r="N151" s="128">
        <v>10644280</v>
      </c>
      <c r="O151" s="128">
        <v>3900696</v>
      </c>
    </row>
    <row r="152" spans="1:15">
      <c r="A152" s="132" t="s">
        <v>74</v>
      </c>
      <c r="B152" s="123" t="s">
        <v>75</v>
      </c>
      <c r="C152" s="124">
        <v>681</v>
      </c>
      <c r="D152" s="125">
        <v>1025.604</v>
      </c>
      <c r="E152" s="126">
        <v>117.05630000000001</v>
      </c>
      <c r="F152" s="126">
        <v>65.426100000000005</v>
      </c>
      <c r="G152" s="127">
        <v>8.761630087402386</v>
      </c>
      <c r="H152" s="127">
        <v>10.408690109910264</v>
      </c>
      <c r="I152" s="128">
        <v>5874698</v>
      </c>
      <c r="J152" s="128">
        <v>5387236</v>
      </c>
      <c r="K152" s="128">
        <v>5897432</v>
      </c>
      <c r="L152" s="128">
        <v>5996901</v>
      </c>
      <c r="M152" s="128">
        <v>5442022</v>
      </c>
      <c r="N152" s="128">
        <v>5116988</v>
      </c>
      <c r="O152" s="128">
        <v>269036</v>
      </c>
    </row>
    <row r="153" spans="1:15">
      <c r="A153" s="132" t="s">
        <v>958</v>
      </c>
      <c r="B153" s="123" t="s">
        <v>959</v>
      </c>
      <c r="C153" s="124">
        <v>4963</v>
      </c>
      <c r="D153" s="125">
        <v>6265.5039999999999</v>
      </c>
      <c r="E153" s="126">
        <v>793.44479999999999</v>
      </c>
      <c r="F153" s="126">
        <v>356.15870000000001</v>
      </c>
      <c r="G153" s="127">
        <v>7.8965846143298188</v>
      </c>
      <c r="H153" s="127">
        <v>13.934799290316366</v>
      </c>
      <c r="I153" s="128">
        <v>34712998</v>
      </c>
      <c r="J153" s="128">
        <v>34825998</v>
      </c>
      <c r="K153" s="128">
        <v>33698834</v>
      </c>
      <c r="L153" s="128">
        <v>34606117</v>
      </c>
      <c r="M153" s="128">
        <v>35124125</v>
      </c>
      <c r="N153" s="128">
        <v>35344293</v>
      </c>
      <c r="O153" s="128">
        <v>7571949</v>
      </c>
    </row>
    <row r="154" spans="1:15">
      <c r="A154" s="132" t="s">
        <v>1646</v>
      </c>
      <c r="B154" s="123" t="s">
        <v>1647</v>
      </c>
      <c r="C154" s="124">
        <v>2128</v>
      </c>
      <c r="D154" s="125">
        <v>2728.8120000000004</v>
      </c>
      <c r="E154" s="126">
        <v>304.53399999999999</v>
      </c>
      <c r="F154" s="126">
        <v>160.7689</v>
      </c>
      <c r="G154" s="127">
        <v>8.9606152350804855</v>
      </c>
      <c r="H154" s="127">
        <v>13.23639086912954</v>
      </c>
      <c r="I154" s="128">
        <v>13699987</v>
      </c>
      <c r="J154" s="128">
        <v>14172916</v>
      </c>
      <c r="K154" s="128">
        <v>12912240</v>
      </c>
      <c r="L154" s="128">
        <v>14603075</v>
      </c>
      <c r="M154" s="128">
        <v>14991952</v>
      </c>
      <c r="N154" s="128">
        <v>15029855</v>
      </c>
      <c r="O154" s="128">
        <v>2644902</v>
      </c>
    </row>
    <row r="155" spans="1:15">
      <c r="A155" s="132" t="s">
        <v>1367</v>
      </c>
      <c r="B155" s="123" t="s">
        <v>1368</v>
      </c>
      <c r="C155" s="124">
        <v>495</v>
      </c>
      <c r="D155" s="125">
        <v>802.19299999999998</v>
      </c>
      <c r="E155" s="126">
        <v>88.297799999999995</v>
      </c>
      <c r="F155" s="126">
        <v>46.918999999999997</v>
      </c>
      <c r="G155" s="127">
        <v>9.0850847925995897</v>
      </c>
      <c r="H155" s="127">
        <v>10.550096975638867</v>
      </c>
      <c r="I155" s="128">
        <v>4637345</v>
      </c>
      <c r="J155" s="128">
        <v>4902021</v>
      </c>
      <c r="K155" s="128">
        <v>4771891</v>
      </c>
      <c r="L155" s="128">
        <v>5043872</v>
      </c>
      <c r="M155" s="128">
        <v>5377348</v>
      </c>
      <c r="N155" s="128">
        <v>5758484</v>
      </c>
      <c r="O155" s="128">
        <v>693835</v>
      </c>
    </row>
    <row r="156" spans="1:15">
      <c r="A156" s="132" t="s">
        <v>1991</v>
      </c>
      <c r="B156" s="123" t="s">
        <v>1992</v>
      </c>
      <c r="C156" s="124">
        <v>329</v>
      </c>
      <c r="D156" s="125">
        <v>527.13800000000003</v>
      </c>
      <c r="E156" s="126">
        <v>51.499899999999997</v>
      </c>
      <c r="F156" s="126">
        <v>33.002499999999998</v>
      </c>
      <c r="G156" s="127">
        <v>10.235709195551838</v>
      </c>
      <c r="H156" s="127">
        <v>9.9689417468373609</v>
      </c>
      <c r="I156" s="128">
        <v>3262484</v>
      </c>
      <c r="J156" s="128">
        <v>3427633</v>
      </c>
      <c r="K156" s="128">
        <v>2862950</v>
      </c>
      <c r="L156" s="128">
        <v>2933678</v>
      </c>
      <c r="M156" s="128">
        <v>2898875</v>
      </c>
      <c r="N156" s="128">
        <v>3099106</v>
      </c>
      <c r="O156" s="128">
        <v>468886</v>
      </c>
    </row>
    <row r="157" spans="1:15">
      <c r="A157" s="132" t="s">
        <v>373</v>
      </c>
      <c r="B157" s="123" t="s">
        <v>374</v>
      </c>
      <c r="C157" s="124">
        <v>1094</v>
      </c>
      <c r="D157" s="125">
        <v>1682.2720000000002</v>
      </c>
      <c r="E157" s="126">
        <v>203.2226</v>
      </c>
      <c r="F157" s="126">
        <v>96.342500000000001</v>
      </c>
      <c r="G157" s="127">
        <v>8.2779769572872315</v>
      </c>
      <c r="H157" s="127">
        <v>11.355320860471755</v>
      </c>
      <c r="I157" s="128">
        <v>11221024</v>
      </c>
      <c r="J157" s="128">
        <v>10000449</v>
      </c>
      <c r="K157" s="128">
        <v>10879993</v>
      </c>
      <c r="L157" s="128">
        <v>10258244</v>
      </c>
      <c r="M157" s="128">
        <v>9868653</v>
      </c>
      <c r="N157" s="128">
        <v>10451583</v>
      </c>
      <c r="O157" s="128">
        <v>1661898</v>
      </c>
    </row>
    <row r="158" spans="1:15">
      <c r="A158" s="132" t="s">
        <v>299</v>
      </c>
      <c r="B158" s="123" t="s">
        <v>300</v>
      </c>
      <c r="C158" s="124">
        <v>77</v>
      </c>
      <c r="D158" s="125">
        <v>128.99100000000001</v>
      </c>
      <c r="E158" s="126">
        <v>23.562100000000001</v>
      </c>
      <c r="F158" s="126">
        <v>13.5006</v>
      </c>
      <c r="G158" s="127">
        <v>5.4745120341565485</v>
      </c>
      <c r="H158" s="127">
        <v>5.7034502170273909</v>
      </c>
      <c r="I158" s="128">
        <v>1341484</v>
      </c>
      <c r="J158" s="128">
        <v>1237877</v>
      </c>
      <c r="K158" s="128">
        <v>1286062</v>
      </c>
      <c r="L158" s="128">
        <v>1355888</v>
      </c>
      <c r="M158" s="128">
        <v>1269705</v>
      </c>
      <c r="N158" s="128">
        <v>1343594</v>
      </c>
      <c r="O158" s="128">
        <v>369982</v>
      </c>
    </row>
    <row r="159" spans="1:15">
      <c r="A159" s="132" t="s">
        <v>868</v>
      </c>
      <c r="B159" s="123" t="s">
        <v>869</v>
      </c>
      <c r="C159" s="124">
        <v>938</v>
      </c>
      <c r="D159" s="125">
        <v>1471.5990000000002</v>
      </c>
      <c r="E159" s="126">
        <v>158.9683</v>
      </c>
      <c r="F159" s="126">
        <v>77.289199999999994</v>
      </c>
      <c r="G159" s="127">
        <v>9.257185237559943</v>
      </c>
      <c r="H159" s="127">
        <v>12.136236369376318</v>
      </c>
      <c r="I159" s="128">
        <v>7967941</v>
      </c>
      <c r="J159" s="128">
        <v>8058215</v>
      </c>
      <c r="K159" s="128">
        <v>7593555</v>
      </c>
      <c r="L159" s="128">
        <v>8172893</v>
      </c>
      <c r="M159" s="128">
        <v>8087106</v>
      </c>
      <c r="N159" s="128">
        <v>8187737</v>
      </c>
      <c r="O159" s="128">
        <v>3573131</v>
      </c>
    </row>
    <row r="160" spans="1:15">
      <c r="A160" s="132" t="s">
        <v>1474</v>
      </c>
      <c r="B160" s="123" t="s">
        <v>1475</v>
      </c>
      <c r="C160" s="124">
        <v>475</v>
      </c>
      <c r="D160" s="125">
        <v>723.47300000000007</v>
      </c>
      <c r="E160" s="126">
        <v>78.138800000000003</v>
      </c>
      <c r="F160" s="126">
        <v>41.545999999999999</v>
      </c>
      <c r="G160" s="127">
        <v>9.2588189222255792</v>
      </c>
      <c r="H160" s="127">
        <v>11.433110287392289</v>
      </c>
      <c r="I160" s="128">
        <v>3896049</v>
      </c>
      <c r="J160" s="128">
        <v>4058433</v>
      </c>
      <c r="K160" s="128">
        <v>3913864</v>
      </c>
      <c r="L160" s="128">
        <v>3729986</v>
      </c>
      <c r="M160" s="128">
        <v>3964191</v>
      </c>
      <c r="N160" s="128">
        <v>4036115</v>
      </c>
      <c r="O160" s="128">
        <v>1018156</v>
      </c>
    </row>
    <row r="161" spans="1:15">
      <c r="A161" s="132" t="s">
        <v>166</v>
      </c>
      <c r="B161" s="123" t="s">
        <v>167</v>
      </c>
      <c r="C161" s="124">
        <v>175</v>
      </c>
      <c r="D161" s="125">
        <v>288.88200000000001</v>
      </c>
      <c r="E161" s="126">
        <v>29.4877</v>
      </c>
      <c r="F161" s="126">
        <v>15.2393</v>
      </c>
      <c r="G161" s="127">
        <v>9.7966948931249309</v>
      </c>
      <c r="H161" s="127">
        <v>11.483467088383325</v>
      </c>
      <c r="I161" s="128">
        <v>1475379</v>
      </c>
      <c r="J161" s="128">
        <v>1447271</v>
      </c>
      <c r="K161" s="128">
        <v>1535194</v>
      </c>
      <c r="L161" s="128">
        <v>1486962</v>
      </c>
      <c r="M161" s="128">
        <v>1537819</v>
      </c>
      <c r="N161" s="128">
        <v>1369906</v>
      </c>
      <c r="O161" s="128">
        <v>205384</v>
      </c>
    </row>
    <row r="162" spans="1:15">
      <c r="A162" s="132" t="s">
        <v>1276</v>
      </c>
      <c r="B162" s="123" t="s">
        <v>1277</v>
      </c>
      <c r="C162" s="124">
        <v>102</v>
      </c>
      <c r="D162" s="125">
        <v>247.61200000000002</v>
      </c>
      <c r="E162" s="126">
        <v>27.5456</v>
      </c>
      <c r="F162" s="126">
        <v>17.3809</v>
      </c>
      <c r="G162" s="127">
        <v>8.9891670539033459</v>
      </c>
      <c r="H162" s="127">
        <v>5.8685108366080003</v>
      </c>
      <c r="I162" s="128">
        <v>1482370</v>
      </c>
      <c r="J162" s="128">
        <v>1544743</v>
      </c>
      <c r="K162" s="128">
        <v>1499194</v>
      </c>
      <c r="L162" s="128">
        <v>1538673</v>
      </c>
      <c r="M162" s="128">
        <v>1561227</v>
      </c>
      <c r="N162" s="128">
        <v>1536905</v>
      </c>
      <c r="O162" s="128">
        <v>287690</v>
      </c>
    </row>
    <row r="163" spans="1:15">
      <c r="A163" s="132" t="s">
        <v>1313</v>
      </c>
      <c r="B163" s="123" t="s">
        <v>1314</v>
      </c>
      <c r="C163" s="124">
        <v>461</v>
      </c>
      <c r="D163" s="125">
        <v>752.17400000000009</v>
      </c>
      <c r="E163" s="126">
        <v>99.445899999999995</v>
      </c>
      <c r="F163" s="126">
        <v>51.665399999999998</v>
      </c>
      <c r="G163" s="127">
        <v>7.5636501856788474</v>
      </c>
      <c r="H163" s="127">
        <v>8.9227993976626525</v>
      </c>
      <c r="I163" s="128">
        <v>5014314</v>
      </c>
      <c r="J163" s="128">
        <v>4968997</v>
      </c>
      <c r="K163" s="128">
        <v>4892757</v>
      </c>
      <c r="L163" s="128">
        <v>5159316</v>
      </c>
      <c r="M163" s="128">
        <v>5064001</v>
      </c>
      <c r="N163" s="128">
        <v>5382096</v>
      </c>
      <c r="O163" s="128">
        <v>1696167</v>
      </c>
    </row>
    <row r="164" spans="1:15">
      <c r="A164" s="132" t="s">
        <v>2025</v>
      </c>
      <c r="B164" s="123" t="s">
        <v>2026</v>
      </c>
      <c r="C164" s="124">
        <v>293</v>
      </c>
      <c r="D164" s="125">
        <v>529.60900000000004</v>
      </c>
      <c r="E164" s="126">
        <v>73.2791</v>
      </c>
      <c r="F164" s="126">
        <v>39.779200000000003</v>
      </c>
      <c r="G164" s="127">
        <v>7.2272858154644375</v>
      </c>
      <c r="H164" s="127">
        <v>7.3656584345587639</v>
      </c>
      <c r="I164" s="128">
        <v>6211606</v>
      </c>
      <c r="J164" s="128">
        <v>6294957</v>
      </c>
      <c r="K164" s="128">
        <v>8369181</v>
      </c>
      <c r="L164" s="128">
        <v>6032580</v>
      </c>
      <c r="M164" s="128">
        <v>6480112</v>
      </c>
      <c r="N164" s="128">
        <v>4236219</v>
      </c>
      <c r="O164" s="128">
        <v>2937388</v>
      </c>
    </row>
    <row r="165" spans="1:15">
      <c r="A165" s="132" t="s">
        <v>255</v>
      </c>
      <c r="B165" s="123" t="s">
        <v>256</v>
      </c>
      <c r="C165" s="124">
        <v>304</v>
      </c>
      <c r="D165" s="125">
        <v>554.17399999999998</v>
      </c>
      <c r="E165" s="126">
        <v>59.127299999999998</v>
      </c>
      <c r="F165" s="126">
        <v>34.465299999999999</v>
      </c>
      <c r="G165" s="127">
        <v>9.3725571774797771</v>
      </c>
      <c r="H165" s="127">
        <v>8.8204658018354696</v>
      </c>
      <c r="I165" s="128">
        <v>6469884</v>
      </c>
      <c r="J165" s="128">
        <v>4889956</v>
      </c>
      <c r="K165" s="128">
        <v>5215982</v>
      </c>
      <c r="L165" s="128">
        <v>3465779</v>
      </c>
      <c r="M165" s="128">
        <v>3738959</v>
      </c>
      <c r="N165" s="128">
        <v>3620740</v>
      </c>
      <c r="O165" s="128">
        <v>495089</v>
      </c>
    </row>
    <row r="166" spans="1:15">
      <c r="A166" s="132" t="s">
        <v>1602</v>
      </c>
      <c r="B166" s="123" t="s">
        <v>1603</v>
      </c>
      <c r="C166" s="124">
        <v>248</v>
      </c>
      <c r="D166" s="125">
        <v>462.608</v>
      </c>
      <c r="E166" s="126">
        <v>47.540599999999998</v>
      </c>
      <c r="F166" s="126">
        <v>24.3047</v>
      </c>
      <c r="G166" s="127">
        <v>9.7307985174776928</v>
      </c>
      <c r="H166" s="127">
        <v>10.203787744757186</v>
      </c>
      <c r="I166" s="128">
        <v>2630441</v>
      </c>
      <c r="J166" s="128">
        <v>2767716</v>
      </c>
      <c r="K166" s="128">
        <v>2803054</v>
      </c>
      <c r="L166" s="128">
        <v>2947963</v>
      </c>
      <c r="M166" s="128">
        <v>3071171</v>
      </c>
      <c r="N166" s="128">
        <v>3248815</v>
      </c>
      <c r="O166" s="128">
        <v>686662</v>
      </c>
    </row>
    <row r="167" spans="1:15">
      <c r="A167" s="132" t="s">
        <v>413</v>
      </c>
      <c r="B167" s="123" t="s">
        <v>414</v>
      </c>
      <c r="C167" s="124">
        <v>891</v>
      </c>
      <c r="D167" s="125">
        <v>1280.623</v>
      </c>
      <c r="E167" s="126">
        <v>169.43370000000002</v>
      </c>
      <c r="F167" s="126">
        <v>83.292199999999994</v>
      </c>
      <c r="G167" s="127">
        <v>7.5582543496364654</v>
      </c>
      <c r="H167" s="127">
        <v>10.697280177495612</v>
      </c>
      <c r="I167" s="128">
        <v>8365525</v>
      </c>
      <c r="J167" s="128">
        <v>8327796</v>
      </c>
      <c r="K167" s="128">
        <v>8575040</v>
      </c>
      <c r="L167" s="128">
        <v>8625933</v>
      </c>
      <c r="M167" s="128">
        <v>8488892</v>
      </c>
      <c r="N167" s="128">
        <v>8893278</v>
      </c>
      <c r="O167" s="128">
        <v>1984278</v>
      </c>
    </row>
    <row r="168" spans="1:15">
      <c r="A168" s="132" t="s">
        <v>1696</v>
      </c>
      <c r="B168" s="123" t="s">
        <v>1697</v>
      </c>
      <c r="C168" s="124">
        <v>276</v>
      </c>
      <c r="D168" s="125">
        <v>519.22900000000004</v>
      </c>
      <c r="E168" s="126">
        <v>50.387699999999995</v>
      </c>
      <c r="F168" s="126">
        <v>24.7423</v>
      </c>
      <c r="G168" s="127">
        <v>10.304677530429055</v>
      </c>
      <c r="H168" s="127">
        <v>11.154985591476944</v>
      </c>
      <c r="I168" s="128">
        <v>3459793</v>
      </c>
      <c r="J168" s="128">
        <v>2646363</v>
      </c>
      <c r="K168" s="128">
        <v>3195811</v>
      </c>
      <c r="L168" s="128">
        <v>3142046</v>
      </c>
      <c r="M168" s="128">
        <v>2813193</v>
      </c>
      <c r="N168" s="128">
        <v>3333131</v>
      </c>
      <c r="O168" s="128">
        <v>338792</v>
      </c>
    </row>
    <row r="169" spans="1:15">
      <c r="A169" s="132" t="s">
        <v>1446</v>
      </c>
      <c r="B169" s="123" t="s">
        <v>1447</v>
      </c>
      <c r="C169" s="124">
        <v>169</v>
      </c>
      <c r="D169" s="125">
        <v>321.351</v>
      </c>
      <c r="E169" s="126">
        <v>32.998800000000003</v>
      </c>
      <c r="F169" s="126">
        <v>19.704000000000001</v>
      </c>
      <c r="G169" s="127">
        <v>9.7382632095712562</v>
      </c>
      <c r="H169" s="127">
        <v>8.5769386926512379</v>
      </c>
      <c r="I169" s="128">
        <v>1962213</v>
      </c>
      <c r="J169" s="128">
        <v>1839075</v>
      </c>
      <c r="K169" s="128">
        <v>1865141</v>
      </c>
      <c r="L169" s="128">
        <v>2044213</v>
      </c>
      <c r="M169" s="128">
        <v>1936844</v>
      </c>
      <c r="N169" s="128">
        <v>2027376</v>
      </c>
      <c r="O169" s="128">
        <v>133008</v>
      </c>
    </row>
    <row r="170" spans="1:15">
      <c r="A170" s="132" t="s">
        <v>1398</v>
      </c>
      <c r="B170" s="123" t="s">
        <v>1399</v>
      </c>
      <c r="C170" s="124">
        <v>93</v>
      </c>
      <c r="D170" s="125">
        <v>153.09800000000001</v>
      </c>
      <c r="E170" s="126">
        <v>23.998100000000001</v>
      </c>
      <c r="F170" s="126">
        <v>14.902900000000001</v>
      </c>
      <c r="G170" s="127">
        <v>6.3795883840804066</v>
      </c>
      <c r="H170" s="127">
        <v>6.2403961645048946</v>
      </c>
      <c r="I170" s="128">
        <v>1054700</v>
      </c>
      <c r="J170" s="128">
        <v>1263414</v>
      </c>
      <c r="K170" s="128">
        <v>1177322</v>
      </c>
      <c r="L170" s="128">
        <v>1011099</v>
      </c>
      <c r="M170" s="128">
        <v>1326412</v>
      </c>
      <c r="N170" s="128">
        <v>1346587</v>
      </c>
      <c r="O170" s="128">
        <v>388622</v>
      </c>
    </row>
    <row r="171" spans="1:15">
      <c r="A171" s="132" t="s">
        <v>70</v>
      </c>
      <c r="B171" s="123" t="s">
        <v>71</v>
      </c>
      <c r="C171" s="124">
        <v>18726</v>
      </c>
      <c r="D171" s="125">
        <v>21662.826000000001</v>
      </c>
      <c r="E171" s="126">
        <v>2201.6235000000001</v>
      </c>
      <c r="F171" s="126">
        <v>1221.1786</v>
      </c>
      <c r="G171" s="127">
        <v>9.8394780033915872</v>
      </c>
      <c r="H171" s="127">
        <v>15.334366324467199</v>
      </c>
      <c r="I171" s="128">
        <v>130962625</v>
      </c>
      <c r="J171" s="128">
        <v>136650262</v>
      </c>
      <c r="K171" s="128">
        <v>127679848</v>
      </c>
      <c r="L171" s="128">
        <v>127423884</v>
      </c>
      <c r="M171" s="128">
        <v>132972984</v>
      </c>
      <c r="N171" s="128">
        <v>125113747</v>
      </c>
      <c r="O171" s="128">
        <v>25303982</v>
      </c>
    </row>
    <row r="172" spans="1:15">
      <c r="A172" s="132" t="s">
        <v>94</v>
      </c>
      <c r="B172" s="123" t="s">
        <v>95</v>
      </c>
      <c r="C172" s="124">
        <v>2278</v>
      </c>
      <c r="D172" s="125">
        <v>2898.97</v>
      </c>
      <c r="E172" s="126">
        <v>296.84219999999999</v>
      </c>
      <c r="F172" s="126">
        <v>165.28880000000001</v>
      </c>
      <c r="G172" s="127">
        <v>9.7660305711249968</v>
      </c>
      <c r="H172" s="127">
        <v>13.781938038148985</v>
      </c>
      <c r="I172" s="128">
        <v>17122396</v>
      </c>
      <c r="J172" s="128">
        <v>18269954</v>
      </c>
      <c r="K172" s="128">
        <v>17109108</v>
      </c>
      <c r="L172" s="128">
        <v>17782788</v>
      </c>
      <c r="M172" s="128">
        <v>18307505</v>
      </c>
      <c r="N172" s="128">
        <v>17474233</v>
      </c>
      <c r="O172" s="128">
        <v>1608723</v>
      </c>
    </row>
    <row r="173" spans="1:15">
      <c r="A173" s="132" t="s">
        <v>345</v>
      </c>
      <c r="B173" s="123" t="s">
        <v>346</v>
      </c>
      <c r="C173" s="124">
        <v>1953</v>
      </c>
      <c r="D173" s="125">
        <v>2514.5060000000003</v>
      </c>
      <c r="E173" s="126">
        <v>258.42610000000002</v>
      </c>
      <c r="F173" s="126">
        <v>131.15289999999999</v>
      </c>
      <c r="G173" s="127">
        <v>9.7300775734339524</v>
      </c>
      <c r="H173" s="127">
        <v>14.891016515837624</v>
      </c>
      <c r="I173" s="128">
        <v>14292856</v>
      </c>
      <c r="J173" s="128">
        <v>14947524</v>
      </c>
      <c r="K173" s="128">
        <v>16492876</v>
      </c>
      <c r="L173" s="128">
        <v>13848515</v>
      </c>
      <c r="M173" s="128">
        <v>15729886</v>
      </c>
      <c r="N173" s="128">
        <v>14843616</v>
      </c>
      <c r="O173" s="128">
        <v>2464166</v>
      </c>
    </row>
    <row r="174" spans="1:15">
      <c r="A174" s="132" t="s">
        <v>652</v>
      </c>
      <c r="B174" s="123" t="s">
        <v>653</v>
      </c>
      <c r="C174" s="124">
        <v>1444</v>
      </c>
      <c r="D174" s="125">
        <v>1857.6670000000001</v>
      </c>
      <c r="E174" s="126">
        <v>189.0581</v>
      </c>
      <c r="F174" s="126">
        <v>110.5094</v>
      </c>
      <c r="G174" s="127">
        <v>9.8259053698307568</v>
      </c>
      <c r="H174" s="127">
        <v>13.066761741535108</v>
      </c>
      <c r="I174" s="128">
        <v>10387376</v>
      </c>
      <c r="J174" s="128">
        <v>10840720</v>
      </c>
      <c r="K174" s="128">
        <v>9807920</v>
      </c>
      <c r="L174" s="128">
        <v>10644917</v>
      </c>
      <c r="M174" s="128">
        <v>11379783</v>
      </c>
      <c r="N174" s="128">
        <v>10993594</v>
      </c>
      <c r="O174" s="128">
        <v>5070418</v>
      </c>
    </row>
    <row r="175" spans="1:15">
      <c r="A175" s="132" t="s">
        <v>700</v>
      </c>
      <c r="B175" s="123" t="s">
        <v>701</v>
      </c>
      <c r="C175" s="124">
        <v>37043</v>
      </c>
      <c r="D175" s="125">
        <v>41340.534</v>
      </c>
      <c r="E175" s="126">
        <v>4820.7493999999997</v>
      </c>
      <c r="F175" s="126">
        <v>2636.7842000000001</v>
      </c>
      <c r="G175" s="127">
        <v>8.5755409729449958</v>
      </c>
      <c r="H175" s="127">
        <v>14.048552020298057</v>
      </c>
      <c r="I175" s="128">
        <v>251652319</v>
      </c>
      <c r="J175" s="128">
        <v>275142501</v>
      </c>
      <c r="K175" s="128">
        <v>260660889</v>
      </c>
      <c r="L175" s="128">
        <v>252963700</v>
      </c>
      <c r="M175" s="128">
        <v>291432000</v>
      </c>
      <c r="N175" s="128">
        <v>283297747</v>
      </c>
      <c r="O175" s="128">
        <v>46286952</v>
      </c>
    </row>
    <row r="176" spans="1:15">
      <c r="A176" s="132" t="s">
        <v>1238</v>
      </c>
      <c r="B176" s="123" t="s">
        <v>1239</v>
      </c>
      <c r="C176" s="124">
        <v>24265</v>
      </c>
      <c r="D176" s="125">
        <v>28206.132000000001</v>
      </c>
      <c r="E176" s="126">
        <v>2631.0936999999999</v>
      </c>
      <c r="F176" s="126">
        <v>1688.3504</v>
      </c>
      <c r="G176" s="127">
        <v>10.720306920274258</v>
      </c>
      <c r="H176" s="127">
        <v>14.372016614560579</v>
      </c>
      <c r="I176" s="128">
        <v>177996485</v>
      </c>
      <c r="J176" s="128">
        <v>183357316</v>
      </c>
      <c r="K176" s="128">
        <v>175029800</v>
      </c>
      <c r="L176" s="128">
        <v>174686798</v>
      </c>
      <c r="M176" s="128">
        <v>178727715</v>
      </c>
      <c r="N176" s="128">
        <v>175732444</v>
      </c>
      <c r="O176" s="128">
        <v>48751000</v>
      </c>
    </row>
    <row r="177" spans="1:15">
      <c r="A177" s="132" t="s">
        <v>1252</v>
      </c>
      <c r="B177" s="123" t="s">
        <v>1253</v>
      </c>
      <c r="C177" s="124">
        <v>1450</v>
      </c>
      <c r="D177" s="125">
        <v>1744.231</v>
      </c>
      <c r="E177" s="126">
        <v>183.88309999999998</v>
      </c>
      <c r="F177" s="126">
        <v>101.0008</v>
      </c>
      <c r="G177" s="127">
        <v>9.4855427170849307</v>
      </c>
      <c r="H177" s="127">
        <v>14.356321930123325</v>
      </c>
      <c r="I177" s="128">
        <v>10492392</v>
      </c>
      <c r="J177" s="128">
        <v>11330801</v>
      </c>
      <c r="K177" s="128">
        <v>10050381</v>
      </c>
      <c r="L177" s="128">
        <v>10852824</v>
      </c>
      <c r="M177" s="128">
        <v>11380796</v>
      </c>
      <c r="N177" s="128">
        <v>10651594</v>
      </c>
      <c r="O177" s="128">
        <v>1970581</v>
      </c>
    </row>
    <row r="178" spans="1:15">
      <c r="A178" s="132" t="s">
        <v>1494</v>
      </c>
      <c r="B178" s="123" t="s">
        <v>1495</v>
      </c>
      <c r="C178" s="124">
        <v>55294</v>
      </c>
      <c r="D178" s="125">
        <v>64276.07</v>
      </c>
      <c r="E178" s="126">
        <v>6892.3347000000003</v>
      </c>
      <c r="F178" s="126">
        <v>4010.7797999999998</v>
      </c>
      <c r="G178" s="127">
        <v>9.3257325416886676</v>
      </c>
      <c r="H178" s="127">
        <v>13.786346485538798</v>
      </c>
      <c r="I178" s="128">
        <v>415486940</v>
      </c>
      <c r="J178" s="128">
        <v>424764847</v>
      </c>
      <c r="K178" s="128">
        <v>407081848</v>
      </c>
      <c r="L178" s="128">
        <v>417435685</v>
      </c>
      <c r="M178" s="128">
        <v>419368490</v>
      </c>
      <c r="N178" s="128">
        <v>419433466</v>
      </c>
      <c r="O178" s="128">
        <v>126837824</v>
      </c>
    </row>
    <row r="179" spans="1:15">
      <c r="A179" s="132" t="s">
        <v>1534</v>
      </c>
      <c r="B179" s="123" t="s">
        <v>1535</v>
      </c>
      <c r="C179" s="124">
        <v>3198</v>
      </c>
      <c r="D179" s="125">
        <v>4077.9060000000004</v>
      </c>
      <c r="E179" s="126">
        <v>416.40740000000005</v>
      </c>
      <c r="F179" s="126">
        <v>207.5564</v>
      </c>
      <c r="G179" s="127">
        <v>9.793068038656374</v>
      </c>
      <c r="H179" s="127">
        <v>15.407860224979814</v>
      </c>
      <c r="I179" s="128">
        <v>21925883</v>
      </c>
      <c r="J179" s="128">
        <v>23208223</v>
      </c>
      <c r="K179" s="128">
        <v>21352815</v>
      </c>
      <c r="L179" s="128">
        <v>22336409</v>
      </c>
      <c r="M179" s="128">
        <v>23385744</v>
      </c>
      <c r="N179" s="128">
        <v>23340411</v>
      </c>
      <c r="O179" s="128">
        <v>3717802</v>
      </c>
    </row>
    <row r="180" spans="1:15">
      <c r="A180" s="132" t="s">
        <v>1540</v>
      </c>
      <c r="B180" s="123" t="s">
        <v>1541</v>
      </c>
      <c r="C180" s="124">
        <v>4334</v>
      </c>
      <c r="D180" s="125">
        <v>4793.5370000000003</v>
      </c>
      <c r="E180" s="126">
        <v>494.93970000000002</v>
      </c>
      <c r="F180" s="126">
        <v>300.99990000000003</v>
      </c>
      <c r="G180" s="127">
        <v>9.6850929517272508</v>
      </c>
      <c r="H180" s="127">
        <v>14.398675879958763</v>
      </c>
      <c r="I180" s="128">
        <v>31494938</v>
      </c>
      <c r="J180" s="128">
        <v>36989992</v>
      </c>
      <c r="K180" s="128">
        <v>30318216</v>
      </c>
      <c r="L180" s="128">
        <v>31880000</v>
      </c>
      <c r="M180" s="128">
        <v>37265000</v>
      </c>
      <c r="N180" s="128">
        <v>39376332</v>
      </c>
      <c r="O180" s="128">
        <v>6417037</v>
      </c>
    </row>
    <row r="181" spans="1:15">
      <c r="A181" s="132" t="s">
        <v>2073</v>
      </c>
      <c r="B181" s="123" t="s">
        <v>2074</v>
      </c>
      <c r="C181" s="124">
        <v>12472</v>
      </c>
      <c r="D181" s="125">
        <v>14225.087</v>
      </c>
      <c r="E181" s="126">
        <v>1670.7325000000001</v>
      </c>
      <c r="F181" s="126">
        <v>847.31659999999999</v>
      </c>
      <c r="G181" s="127">
        <v>8.5142816100123735</v>
      </c>
      <c r="H181" s="127">
        <v>14.719409486371447</v>
      </c>
      <c r="I181" s="128">
        <v>86922028</v>
      </c>
      <c r="J181" s="128">
        <v>92000102</v>
      </c>
      <c r="K181" s="128">
        <v>86010178</v>
      </c>
      <c r="L181" s="128">
        <v>87326805</v>
      </c>
      <c r="M181" s="128">
        <v>92250281</v>
      </c>
      <c r="N181" s="128">
        <v>87504655</v>
      </c>
      <c r="O181" s="128">
        <v>13636735</v>
      </c>
    </row>
    <row r="182" spans="1:15">
      <c r="A182" s="132" t="s">
        <v>203</v>
      </c>
      <c r="B182" s="123" t="s">
        <v>204</v>
      </c>
      <c r="C182" s="124">
        <v>646</v>
      </c>
      <c r="D182" s="125">
        <v>967.59700000000009</v>
      </c>
      <c r="E182" s="126">
        <v>98.037999999999997</v>
      </c>
      <c r="F182" s="126">
        <v>52.667000000000002</v>
      </c>
      <c r="G182" s="127">
        <v>9.8696117831861123</v>
      </c>
      <c r="H182" s="127">
        <v>12.265745153511686</v>
      </c>
      <c r="I182" s="128">
        <v>5449321</v>
      </c>
      <c r="J182" s="128">
        <v>5862981</v>
      </c>
      <c r="K182" s="128">
        <v>5403736</v>
      </c>
      <c r="L182" s="128">
        <v>5667031</v>
      </c>
      <c r="M182" s="128">
        <v>5797319</v>
      </c>
      <c r="N182" s="128">
        <v>6127011</v>
      </c>
      <c r="O182" s="128">
        <v>972960</v>
      </c>
    </row>
    <row r="183" spans="1:15">
      <c r="A183" s="132" t="s">
        <v>435</v>
      </c>
      <c r="B183" s="123" t="s">
        <v>436</v>
      </c>
      <c r="C183" s="124">
        <v>1612</v>
      </c>
      <c r="D183" s="125">
        <v>2052.2840000000001</v>
      </c>
      <c r="E183" s="126">
        <v>223.01679999999999</v>
      </c>
      <c r="F183" s="126">
        <v>111.6172</v>
      </c>
      <c r="G183" s="127">
        <v>9.2023739915557936</v>
      </c>
      <c r="H183" s="127">
        <v>14.442218582799066</v>
      </c>
      <c r="I183" s="128">
        <v>11743299</v>
      </c>
      <c r="J183" s="128">
        <v>12278898</v>
      </c>
      <c r="K183" s="128">
        <v>11984026</v>
      </c>
      <c r="L183" s="128">
        <v>11611136</v>
      </c>
      <c r="M183" s="128">
        <v>11760049</v>
      </c>
      <c r="N183" s="128">
        <v>11439215</v>
      </c>
      <c r="O183" s="128">
        <v>4719023</v>
      </c>
    </row>
    <row r="184" spans="1:15">
      <c r="A184" s="132" t="s">
        <v>1164</v>
      </c>
      <c r="B184" s="123" t="s">
        <v>1165</v>
      </c>
      <c r="C184" s="124">
        <v>3369</v>
      </c>
      <c r="D184" s="125">
        <v>3806.6470000000004</v>
      </c>
      <c r="E184" s="126">
        <v>486.08550000000002</v>
      </c>
      <c r="F184" s="126">
        <v>258.9676</v>
      </c>
      <c r="G184" s="127">
        <v>7.8312292796226179</v>
      </c>
      <c r="H184" s="127">
        <v>13.009349432129733</v>
      </c>
      <c r="I184" s="128">
        <v>28748368</v>
      </c>
      <c r="J184" s="128">
        <v>30764481</v>
      </c>
      <c r="K184" s="128">
        <v>29660174</v>
      </c>
      <c r="L184" s="128">
        <v>28926731</v>
      </c>
      <c r="M184" s="128">
        <v>30957309</v>
      </c>
      <c r="N184" s="128">
        <v>30557535</v>
      </c>
      <c r="O184" s="128">
        <v>8152052</v>
      </c>
    </row>
    <row r="185" spans="1:15">
      <c r="A185" s="132" t="s">
        <v>1987</v>
      </c>
      <c r="B185" s="123" t="s">
        <v>1988</v>
      </c>
      <c r="C185" s="124">
        <v>551</v>
      </c>
      <c r="D185" s="125">
        <v>976.01400000000001</v>
      </c>
      <c r="E185" s="126">
        <v>93.8232</v>
      </c>
      <c r="F185" s="126">
        <v>50.805599999999998</v>
      </c>
      <c r="G185" s="127">
        <v>10.402693576855192</v>
      </c>
      <c r="H185" s="127">
        <v>10.845261152313919</v>
      </c>
      <c r="I185" s="128">
        <v>5449754</v>
      </c>
      <c r="J185" s="128">
        <v>5259904</v>
      </c>
      <c r="K185" s="128">
        <v>7867303</v>
      </c>
      <c r="L185" s="128">
        <v>5526463</v>
      </c>
      <c r="M185" s="128">
        <v>5331314</v>
      </c>
      <c r="N185" s="128">
        <v>5480724</v>
      </c>
      <c r="O185" s="128">
        <v>928115</v>
      </c>
    </row>
    <row r="186" spans="1:15">
      <c r="A186" s="132" t="s">
        <v>1664</v>
      </c>
      <c r="B186" s="123" t="s">
        <v>1665</v>
      </c>
      <c r="C186" s="124">
        <v>64</v>
      </c>
      <c r="D186" s="125">
        <v>266.21499999999997</v>
      </c>
      <c r="E186" s="126">
        <v>20.465499999999999</v>
      </c>
      <c r="F186" s="126">
        <v>12.1553</v>
      </c>
      <c r="G186" s="127">
        <v>13.007989054750681</v>
      </c>
      <c r="H186" s="127">
        <v>5.2651929610951598</v>
      </c>
      <c r="I186" s="128">
        <v>1334193</v>
      </c>
      <c r="J186" s="128">
        <v>1502394</v>
      </c>
      <c r="K186" s="128">
        <v>1391552</v>
      </c>
      <c r="L186" s="128">
        <v>1476308</v>
      </c>
      <c r="M186" s="128">
        <v>1564841</v>
      </c>
      <c r="N186" s="128">
        <v>1668741</v>
      </c>
      <c r="O186" s="128">
        <v>773126</v>
      </c>
    </row>
    <row r="187" spans="1:15">
      <c r="A187" s="132" t="s">
        <v>425</v>
      </c>
      <c r="B187" s="123" t="s">
        <v>426</v>
      </c>
      <c r="C187" s="124">
        <v>1573</v>
      </c>
      <c r="D187" s="125">
        <v>2097.355</v>
      </c>
      <c r="E187" s="126">
        <v>215.69919999999999</v>
      </c>
      <c r="F187" s="126">
        <v>130.04419999999999</v>
      </c>
      <c r="G187" s="127">
        <v>9.7235177506453443</v>
      </c>
      <c r="H187" s="127">
        <v>12.095887398284583</v>
      </c>
      <c r="I187" s="128">
        <v>11623403</v>
      </c>
      <c r="J187" s="128">
        <v>11938627</v>
      </c>
      <c r="K187" s="128">
        <v>11919071</v>
      </c>
      <c r="L187" s="128">
        <v>12328407</v>
      </c>
      <c r="M187" s="128">
        <v>12619813</v>
      </c>
      <c r="N187" s="128">
        <v>12967569</v>
      </c>
      <c r="O187" s="128">
        <v>3070856</v>
      </c>
    </row>
    <row r="188" spans="1:15">
      <c r="A188" s="132" t="s">
        <v>1576</v>
      </c>
      <c r="B188" s="123" t="s">
        <v>1577</v>
      </c>
      <c r="C188" s="124">
        <v>1293</v>
      </c>
      <c r="D188" s="125">
        <v>1945.894</v>
      </c>
      <c r="E188" s="126">
        <v>209.18</v>
      </c>
      <c r="F188" s="126">
        <v>107.6644</v>
      </c>
      <c r="G188" s="127">
        <v>9.3024858973133178</v>
      </c>
      <c r="H188" s="127">
        <v>12.009540758133607</v>
      </c>
      <c r="I188" s="128">
        <v>14562435</v>
      </c>
      <c r="J188" s="128">
        <v>11549494</v>
      </c>
      <c r="K188" s="128">
        <v>14613758</v>
      </c>
      <c r="L188" s="128">
        <v>12162208</v>
      </c>
      <c r="M188" s="128">
        <v>12144496</v>
      </c>
      <c r="N188" s="128">
        <v>12599470</v>
      </c>
      <c r="O188" s="128">
        <v>6211249</v>
      </c>
    </row>
    <row r="189" spans="1:15">
      <c r="A189" s="132" t="s">
        <v>1985</v>
      </c>
      <c r="B189" s="123" t="s">
        <v>1986</v>
      </c>
      <c r="C189" s="124">
        <v>558</v>
      </c>
      <c r="D189" s="125">
        <v>875.70100000000002</v>
      </c>
      <c r="E189" s="126">
        <v>106.43469999999999</v>
      </c>
      <c r="F189" s="126">
        <v>60.365699999999997</v>
      </c>
      <c r="G189" s="127">
        <v>8.227589310628959</v>
      </c>
      <c r="H189" s="127">
        <v>9.243659892952456</v>
      </c>
      <c r="I189" s="128">
        <v>5408552</v>
      </c>
      <c r="J189" s="128">
        <v>5653699</v>
      </c>
      <c r="K189" s="128">
        <v>5652768</v>
      </c>
      <c r="L189" s="128">
        <v>5439430</v>
      </c>
      <c r="M189" s="128">
        <v>5653982</v>
      </c>
      <c r="N189" s="128">
        <v>5670747</v>
      </c>
      <c r="O189" s="128">
        <v>2027200</v>
      </c>
    </row>
    <row r="190" spans="1:15">
      <c r="A190" s="132" t="s">
        <v>1357</v>
      </c>
      <c r="B190" s="123" t="s">
        <v>1358</v>
      </c>
      <c r="C190" s="124">
        <v>7926</v>
      </c>
      <c r="D190" s="125">
        <v>9044.978000000001</v>
      </c>
      <c r="E190" s="126">
        <v>974.72429999999997</v>
      </c>
      <c r="F190" s="126">
        <v>491.27460000000002</v>
      </c>
      <c r="G190" s="127">
        <v>9.2795244768187288</v>
      </c>
      <c r="H190" s="127">
        <v>16.133543236308167</v>
      </c>
      <c r="I190" s="128">
        <v>51674714</v>
      </c>
      <c r="J190" s="128">
        <v>52983778</v>
      </c>
      <c r="K190" s="128">
        <v>49199324</v>
      </c>
      <c r="L190" s="128">
        <v>51301458</v>
      </c>
      <c r="M190" s="128">
        <v>53330890</v>
      </c>
      <c r="N190" s="128">
        <v>47976885</v>
      </c>
      <c r="O190" s="128">
        <v>18250586</v>
      </c>
    </row>
    <row r="191" spans="1:15">
      <c r="A191" s="132" t="s">
        <v>427</v>
      </c>
      <c r="B191" s="123" t="s">
        <v>428</v>
      </c>
      <c r="C191" s="124">
        <v>17140</v>
      </c>
      <c r="D191" s="125">
        <v>19833.558000000001</v>
      </c>
      <c r="E191" s="126">
        <v>2327.2442000000001</v>
      </c>
      <c r="F191" s="126">
        <v>1106.5417</v>
      </c>
      <c r="G191" s="127">
        <v>8.5223364183268782</v>
      </c>
      <c r="H191" s="127">
        <v>15.489700930385181</v>
      </c>
      <c r="I191" s="128">
        <v>125520391</v>
      </c>
      <c r="J191" s="128">
        <v>128281343</v>
      </c>
      <c r="K191" s="128">
        <v>123119859</v>
      </c>
      <c r="L191" s="128">
        <v>126417712</v>
      </c>
      <c r="M191" s="128">
        <v>129401608</v>
      </c>
      <c r="N191" s="128">
        <v>127309459</v>
      </c>
      <c r="O191" s="128">
        <v>56078797</v>
      </c>
    </row>
    <row r="192" spans="1:15">
      <c r="A192" s="132" t="s">
        <v>429</v>
      </c>
      <c r="B192" s="123" t="s">
        <v>430</v>
      </c>
      <c r="C192" s="124">
        <v>1183</v>
      </c>
      <c r="D192" s="125">
        <v>1770.8130000000001</v>
      </c>
      <c r="E192" s="126">
        <v>205.68090000000001</v>
      </c>
      <c r="F192" s="126">
        <v>108.8464</v>
      </c>
      <c r="G192" s="127">
        <v>8.6095160027012714</v>
      </c>
      <c r="H192" s="127">
        <v>10.868526657748902</v>
      </c>
      <c r="I192" s="128">
        <v>10338987</v>
      </c>
      <c r="J192" s="128">
        <v>10221326</v>
      </c>
      <c r="K192" s="128">
        <v>9908571</v>
      </c>
      <c r="L192" s="128">
        <v>10486215</v>
      </c>
      <c r="M192" s="128">
        <v>10516934</v>
      </c>
      <c r="N192" s="128">
        <v>10830025</v>
      </c>
      <c r="O192" s="128">
        <v>1471263</v>
      </c>
    </row>
    <row r="193" spans="1:15">
      <c r="A193" s="132" t="s">
        <v>522</v>
      </c>
      <c r="B193" s="123" t="s">
        <v>523</v>
      </c>
      <c r="C193" s="124">
        <v>700</v>
      </c>
      <c r="D193" s="125">
        <v>1015.06</v>
      </c>
      <c r="E193" s="126">
        <v>121.90130000000001</v>
      </c>
      <c r="F193" s="126">
        <v>59.938099999999999</v>
      </c>
      <c r="G193" s="127">
        <v>8.326900533464368</v>
      </c>
      <c r="H193" s="127">
        <v>11.678715207856104</v>
      </c>
      <c r="I193" s="128">
        <v>6101983</v>
      </c>
      <c r="J193" s="128">
        <v>5759656</v>
      </c>
      <c r="K193" s="128">
        <v>6224285</v>
      </c>
      <c r="L193" s="128">
        <v>6158334</v>
      </c>
      <c r="M193" s="128">
        <v>6081293</v>
      </c>
      <c r="N193" s="128">
        <v>6131967</v>
      </c>
      <c r="O193" s="128">
        <v>827677</v>
      </c>
    </row>
    <row r="194" spans="1:15">
      <c r="A194" s="132" t="s">
        <v>808</v>
      </c>
      <c r="B194" s="123" t="s">
        <v>809</v>
      </c>
      <c r="C194" s="124">
        <v>220</v>
      </c>
      <c r="D194" s="125">
        <v>379.786</v>
      </c>
      <c r="E194" s="126">
        <v>38.434899999999999</v>
      </c>
      <c r="F194" s="126">
        <v>20.0017</v>
      </c>
      <c r="G194" s="127">
        <v>9.8812797743717304</v>
      </c>
      <c r="H194" s="127">
        <v>10.999065079468245</v>
      </c>
      <c r="I194" s="128">
        <v>1839358</v>
      </c>
      <c r="J194" s="128">
        <v>1965194</v>
      </c>
      <c r="K194" s="128">
        <v>1946040</v>
      </c>
      <c r="L194" s="128">
        <v>1951386</v>
      </c>
      <c r="M194" s="128">
        <v>2047046</v>
      </c>
      <c r="N194" s="128">
        <v>2056682</v>
      </c>
      <c r="O194" s="128">
        <v>716611</v>
      </c>
    </row>
    <row r="195" spans="1:15">
      <c r="A195" s="132" t="s">
        <v>1744</v>
      </c>
      <c r="B195" s="123" t="s">
        <v>1745</v>
      </c>
      <c r="C195" s="124">
        <v>112</v>
      </c>
      <c r="D195" s="125">
        <v>221.77</v>
      </c>
      <c r="E195" s="126">
        <v>27.058500000000002</v>
      </c>
      <c r="F195" s="126">
        <v>14.9998</v>
      </c>
      <c r="G195" s="127">
        <v>8.195945821091339</v>
      </c>
      <c r="H195" s="127">
        <v>7.466766223549647</v>
      </c>
      <c r="I195" s="128">
        <v>1251898</v>
      </c>
      <c r="J195" s="128">
        <v>1277485</v>
      </c>
      <c r="K195" s="128">
        <v>1488355</v>
      </c>
      <c r="L195" s="128">
        <v>1283187</v>
      </c>
      <c r="M195" s="128">
        <v>1277246</v>
      </c>
      <c r="N195" s="128">
        <v>1387745</v>
      </c>
      <c r="O195" s="128">
        <v>145172</v>
      </c>
    </row>
    <row r="196" spans="1:15">
      <c r="A196" s="132" t="s">
        <v>603</v>
      </c>
      <c r="B196" s="123" t="s">
        <v>604</v>
      </c>
      <c r="C196" s="124">
        <v>263</v>
      </c>
      <c r="D196" s="125">
        <v>479.16500000000002</v>
      </c>
      <c r="E196" s="126">
        <v>48.695599999999999</v>
      </c>
      <c r="F196" s="126">
        <v>22.399899999999999</v>
      </c>
      <c r="G196" s="127">
        <v>9.8400060785779413</v>
      </c>
      <c r="H196" s="127">
        <v>11.741123844302876</v>
      </c>
      <c r="I196" s="128">
        <v>2724320</v>
      </c>
      <c r="J196" s="128">
        <v>2716074</v>
      </c>
      <c r="K196" s="128">
        <v>2784382</v>
      </c>
      <c r="L196" s="128">
        <v>2946870</v>
      </c>
      <c r="M196" s="128">
        <v>2923819</v>
      </c>
      <c r="N196" s="128">
        <v>3053664</v>
      </c>
      <c r="O196" s="128">
        <v>346226</v>
      </c>
    </row>
    <row r="197" spans="1:15">
      <c r="A197" s="132" t="s">
        <v>1432</v>
      </c>
      <c r="B197" s="123" t="s">
        <v>1433</v>
      </c>
      <c r="C197" s="124">
        <v>148</v>
      </c>
      <c r="D197" s="125">
        <v>278.69600000000003</v>
      </c>
      <c r="E197" s="126">
        <v>28.397800000000004</v>
      </c>
      <c r="F197" s="126">
        <v>16.393599999999999</v>
      </c>
      <c r="G197" s="127">
        <v>9.8139996760312407</v>
      </c>
      <c r="H197" s="127">
        <v>9.0279133320320124</v>
      </c>
      <c r="I197" s="128">
        <v>1605575</v>
      </c>
      <c r="J197" s="128">
        <v>1560953</v>
      </c>
      <c r="K197" s="128">
        <v>1549732</v>
      </c>
      <c r="L197" s="128">
        <v>1685076</v>
      </c>
      <c r="M197" s="128">
        <v>892950</v>
      </c>
      <c r="N197" s="128">
        <v>1708911</v>
      </c>
      <c r="O197" s="128">
        <v>303849</v>
      </c>
    </row>
    <row r="198" spans="1:15">
      <c r="A198" s="132" t="s">
        <v>712</v>
      </c>
      <c r="B198" s="123" t="s">
        <v>713</v>
      </c>
      <c r="C198" s="124">
        <v>2715</v>
      </c>
      <c r="D198" s="125">
        <v>3612.328</v>
      </c>
      <c r="E198" s="126">
        <v>389.11660000000001</v>
      </c>
      <c r="F198" s="126">
        <v>206.7388</v>
      </c>
      <c r="G198" s="127">
        <v>9.2834075955639008</v>
      </c>
      <c r="H198" s="127">
        <v>13.132513103490975</v>
      </c>
      <c r="I198" s="128">
        <v>20118110</v>
      </c>
      <c r="J198" s="128">
        <v>20226017</v>
      </c>
      <c r="K198" s="128">
        <v>23177322</v>
      </c>
      <c r="L198" s="128">
        <v>19856691</v>
      </c>
      <c r="M198" s="128">
        <v>20056576</v>
      </c>
      <c r="N198" s="128">
        <v>20476127</v>
      </c>
      <c r="O198" s="128">
        <v>3902019</v>
      </c>
    </row>
    <row r="199" spans="1:15">
      <c r="A199" s="132" t="s">
        <v>1327</v>
      </c>
      <c r="B199" s="123" t="s">
        <v>1328</v>
      </c>
      <c r="C199" s="124">
        <v>479</v>
      </c>
      <c r="D199" s="125">
        <v>701.41200000000003</v>
      </c>
      <c r="E199" s="126">
        <v>75.518699999999995</v>
      </c>
      <c r="F199" s="126">
        <v>44.036000000000001</v>
      </c>
      <c r="G199" s="127">
        <v>9.2879247126870581</v>
      </c>
      <c r="H199" s="127">
        <v>10.877463893178309</v>
      </c>
      <c r="I199" s="128">
        <v>4449324</v>
      </c>
      <c r="J199" s="128">
        <v>4587371</v>
      </c>
      <c r="K199" s="128">
        <v>4737919</v>
      </c>
      <c r="L199" s="128">
        <v>4347658</v>
      </c>
      <c r="M199" s="128">
        <v>4329418</v>
      </c>
      <c r="N199" s="128">
        <v>4609761</v>
      </c>
      <c r="O199" s="128">
        <v>1206371</v>
      </c>
    </row>
    <row r="200" spans="1:15">
      <c r="A200" s="132" t="s">
        <v>1936</v>
      </c>
      <c r="B200" s="123" t="s">
        <v>1937</v>
      </c>
      <c r="C200" s="124">
        <v>642</v>
      </c>
      <c r="D200" s="125">
        <v>972.80700000000002</v>
      </c>
      <c r="E200" s="126">
        <v>93.4833</v>
      </c>
      <c r="F200" s="126">
        <v>54.719099999999997</v>
      </c>
      <c r="G200" s="127">
        <v>10.406211590733319</v>
      </c>
      <c r="H200" s="127">
        <v>11.73264911155337</v>
      </c>
      <c r="I200" s="128">
        <v>5722178</v>
      </c>
      <c r="J200" s="128">
        <v>5699692</v>
      </c>
      <c r="K200" s="128">
        <v>5205684</v>
      </c>
      <c r="L200" s="128">
        <v>6006849</v>
      </c>
      <c r="M200" s="128">
        <v>5980154</v>
      </c>
      <c r="N200" s="128">
        <v>5303671</v>
      </c>
      <c r="O200" s="128">
        <v>791161</v>
      </c>
    </row>
    <row r="201" spans="1:15">
      <c r="A201" s="132" t="s">
        <v>311</v>
      </c>
      <c r="B201" s="123" t="s">
        <v>312</v>
      </c>
      <c r="C201" s="124">
        <v>1197</v>
      </c>
      <c r="D201" s="125">
        <v>1629.7830000000001</v>
      </c>
      <c r="E201" s="126">
        <v>197.5719</v>
      </c>
      <c r="F201" s="126">
        <v>95.367500000000007</v>
      </c>
      <c r="G201" s="127">
        <v>8.2490627462711057</v>
      </c>
      <c r="H201" s="127">
        <v>12.551445723123704</v>
      </c>
      <c r="I201" s="128">
        <v>10285149</v>
      </c>
      <c r="J201" s="128">
        <v>10824081</v>
      </c>
      <c r="K201" s="128">
        <v>9991354</v>
      </c>
      <c r="L201" s="128">
        <v>10821973</v>
      </c>
      <c r="M201" s="128">
        <v>11009847</v>
      </c>
      <c r="N201" s="128">
        <v>11178303</v>
      </c>
      <c r="O201" s="128">
        <v>2656282</v>
      </c>
    </row>
    <row r="202" spans="1:15">
      <c r="A202" s="132" t="s">
        <v>626</v>
      </c>
      <c r="B202" s="123" t="s">
        <v>627</v>
      </c>
      <c r="C202" s="124">
        <v>430</v>
      </c>
      <c r="D202" s="125">
        <v>646.24099999999999</v>
      </c>
      <c r="E202" s="126">
        <v>64.662300000000002</v>
      </c>
      <c r="F202" s="126">
        <v>36.686399999999999</v>
      </c>
      <c r="G202" s="127">
        <v>9.9940923845888552</v>
      </c>
      <c r="H202" s="127">
        <v>11.720964717170396</v>
      </c>
      <c r="I202" s="128">
        <v>3648772</v>
      </c>
      <c r="J202" s="128">
        <v>3608750</v>
      </c>
      <c r="K202" s="128">
        <v>3535360</v>
      </c>
      <c r="L202" s="128">
        <v>3705819</v>
      </c>
      <c r="M202" s="128">
        <v>3787796</v>
      </c>
      <c r="N202" s="128">
        <v>3859524</v>
      </c>
      <c r="O202" s="128">
        <v>928148</v>
      </c>
    </row>
    <row r="203" spans="1:15">
      <c r="A203" s="132" t="s">
        <v>1122</v>
      </c>
      <c r="B203" s="123" t="s">
        <v>1123</v>
      </c>
      <c r="C203" s="124">
        <v>542</v>
      </c>
      <c r="D203" s="125">
        <v>736.74</v>
      </c>
      <c r="E203" s="126">
        <v>64.896000000000001</v>
      </c>
      <c r="F203" s="126">
        <v>40.693300000000001</v>
      </c>
      <c r="G203" s="127">
        <v>11.352625739644971</v>
      </c>
      <c r="H203" s="127">
        <v>13.319145903625412</v>
      </c>
      <c r="I203" s="128">
        <v>4441724</v>
      </c>
      <c r="J203" s="128">
        <v>4500252</v>
      </c>
      <c r="K203" s="128">
        <v>4150939</v>
      </c>
      <c r="L203" s="128">
        <v>4571898</v>
      </c>
      <c r="M203" s="128">
        <v>4592006</v>
      </c>
      <c r="N203" s="128">
        <v>4803003</v>
      </c>
      <c r="O203" s="128">
        <v>2001499</v>
      </c>
    </row>
    <row r="204" spans="1:15">
      <c r="A204" s="132" t="s">
        <v>1969</v>
      </c>
      <c r="B204" s="123" t="s">
        <v>1970</v>
      </c>
      <c r="C204" s="124">
        <v>63</v>
      </c>
      <c r="D204" s="125">
        <v>128.821</v>
      </c>
      <c r="E204" s="126">
        <v>15.4703</v>
      </c>
      <c r="F204" s="126">
        <v>7.2499000000000002</v>
      </c>
      <c r="G204" s="127">
        <v>8.3269878412183349</v>
      </c>
      <c r="H204" s="127">
        <v>8.6897750313797424</v>
      </c>
      <c r="I204" s="128">
        <v>730375</v>
      </c>
      <c r="J204" s="128">
        <v>732434</v>
      </c>
      <c r="K204" s="128">
        <v>715421</v>
      </c>
      <c r="L204" s="128">
        <v>834713</v>
      </c>
      <c r="M204" s="128">
        <v>801776</v>
      </c>
      <c r="N204" s="128">
        <v>816771</v>
      </c>
      <c r="O204" s="128">
        <v>502443</v>
      </c>
    </row>
    <row r="205" spans="1:15">
      <c r="A205" s="132" t="s">
        <v>1756</v>
      </c>
      <c r="B205" s="123" t="s">
        <v>1757</v>
      </c>
      <c r="C205" s="124">
        <v>66</v>
      </c>
      <c r="D205" s="125">
        <v>127.19499999999999</v>
      </c>
      <c r="E205" s="126">
        <v>13.892999999999999</v>
      </c>
      <c r="F205" s="126">
        <v>7.3167</v>
      </c>
      <c r="G205" s="127">
        <v>9.1553300223133967</v>
      </c>
      <c r="H205" s="127">
        <v>9.0204600434622169</v>
      </c>
      <c r="I205" s="128">
        <v>762517</v>
      </c>
      <c r="J205" s="128">
        <v>761068</v>
      </c>
      <c r="K205" s="128">
        <v>734601</v>
      </c>
      <c r="L205" s="128">
        <v>823283</v>
      </c>
      <c r="M205" s="128">
        <v>819551</v>
      </c>
      <c r="N205" s="128">
        <v>844951</v>
      </c>
      <c r="O205" s="128">
        <v>484161</v>
      </c>
    </row>
    <row r="206" spans="1:15">
      <c r="A206" s="132" t="s">
        <v>636</v>
      </c>
      <c r="B206" s="123" t="s">
        <v>637</v>
      </c>
      <c r="C206" s="124">
        <v>232</v>
      </c>
      <c r="D206" s="125">
        <v>373.72200000000004</v>
      </c>
      <c r="E206" s="126">
        <v>39.482100000000003</v>
      </c>
      <c r="F206" s="126">
        <v>22.115100000000002</v>
      </c>
      <c r="G206" s="127">
        <v>9.4656059328151247</v>
      </c>
      <c r="H206" s="127">
        <v>10.490569791680796</v>
      </c>
      <c r="I206" s="128">
        <v>2107799</v>
      </c>
      <c r="J206" s="128">
        <v>2001056</v>
      </c>
      <c r="K206" s="128">
        <v>2258724</v>
      </c>
      <c r="L206" s="128">
        <v>2208230</v>
      </c>
      <c r="M206" s="128">
        <v>2097460</v>
      </c>
      <c r="N206" s="128">
        <v>2463602</v>
      </c>
      <c r="O206" s="128">
        <v>1183606</v>
      </c>
    </row>
    <row r="207" spans="1:15">
      <c r="A207" s="132" t="s">
        <v>728</v>
      </c>
      <c r="B207" s="123" t="s">
        <v>729</v>
      </c>
      <c r="C207" s="124">
        <v>2863</v>
      </c>
      <c r="D207" s="125">
        <v>3656.8670000000002</v>
      </c>
      <c r="E207" s="126">
        <v>380.6626</v>
      </c>
      <c r="F207" s="126">
        <v>207.4562</v>
      </c>
      <c r="G207" s="127">
        <v>9.6065833627994976</v>
      </c>
      <c r="H207" s="127">
        <v>13.800503431567725</v>
      </c>
      <c r="I207" s="128">
        <v>19914467</v>
      </c>
      <c r="J207" s="128">
        <v>20422096</v>
      </c>
      <c r="K207" s="128">
        <v>20486392</v>
      </c>
      <c r="L207" s="128">
        <v>20708567</v>
      </c>
      <c r="M207" s="128">
        <v>21309338</v>
      </c>
      <c r="N207" s="128">
        <v>21330541</v>
      </c>
      <c r="O207" s="128">
        <v>11422733</v>
      </c>
    </row>
    <row r="208" spans="1:15">
      <c r="A208" s="132" t="s">
        <v>1410</v>
      </c>
      <c r="B208" s="123" t="s">
        <v>1411</v>
      </c>
      <c r="C208" s="124">
        <v>154</v>
      </c>
      <c r="D208" s="125">
        <v>257.471</v>
      </c>
      <c r="E208" s="126">
        <v>29.163699999999999</v>
      </c>
      <c r="F208" s="126">
        <v>17.199400000000001</v>
      </c>
      <c r="G208" s="127">
        <v>8.8284751248984179</v>
      </c>
      <c r="H208" s="127">
        <v>8.9538007139783939</v>
      </c>
      <c r="I208" s="128">
        <v>1641175</v>
      </c>
      <c r="J208" s="128">
        <v>1808084</v>
      </c>
      <c r="K208" s="128">
        <v>1597834</v>
      </c>
      <c r="L208" s="128">
        <v>1919231</v>
      </c>
      <c r="M208" s="128">
        <v>1902553</v>
      </c>
      <c r="N208" s="128">
        <v>1627454</v>
      </c>
      <c r="O208" s="128">
        <v>1258129</v>
      </c>
    </row>
    <row r="209" spans="1:15">
      <c r="A209" s="132" t="s">
        <v>976</v>
      </c>
      <c r="B209" s="123" t="s">
        <v>977</v>
      </c>
      <c r="C209" s="124">
        <v>136</v>
      </c>
      <c r="D209" s="125">
        <v>233.35499999999999</v>
      </c>
      <c r="E209" s="126">
        <v>29.000499999999999</v>
      </c>
      <c r="F209" s="126">
        <v>15.000500000000001</v>
      </c>
      <c r="G209" s="127">
        <v>8.0465854036999378</v>
      </c>
      <c r="H209" s="127">
        <v>9.0663644545181832</v>
      </c>
      <c r="I209" s="128">
        <v>1203085</v>
      </c>
      <c r="J209" s="128">
        <v>1348260</v>
      </c>
      <c r="K209" s="128">
        <v>1435302</v>
      </c>
      <c r="L209" s="128">
        <v>1391010</v>
      </c>
      <c r="M209" s="128">
        <v>1391010</v>
      </c>
      <c r="N209" s="128">
        <v>1332185</v>
      </c>
      <c r="O209" s="128">
        <v>-211690</v>
      </c>
    </row>
    <row r="210" spans="1:15">
      <c r="A210" s="132" t="s">
        <v>451</v>
      </c>
      <c r="B210" s="123" t="s">
        <v>452</v>
      </c>
      <c r="C210" s="124">
        <v>8311</v>
      </c>
      <c r="D210" s="125">
        <v>9223.014000000001</v>
      </c>
      <c r="E210" s="126">
        <v>1258.2930000000001</v>
      </c>
      <c r="F210" s="126">
        <v>585.74130000000002</v>
      </c>
      <c r="G210" s="127">
        <v>7.3297824910414349</v>
      </c>
      <c r="H210" s="127">
        <v>14.188857777315684</v>
      </c>
      <c r="I210" s="128">
        <v>63870419</v>
      </c>
      <c r="J210" s="128">
        <v>80289228</v>
      </c>
      <c r="K210" s="128">
        <v>65641358</v>
      </c>
      <c r="L210" s="128">
        <v>62482340</v>
      </c>
      <c r="M210" s="128">
        <v>66928491</v>
      </c>
      <c r="N210" s="128">
        <v>68180195</v>
      </c>
      <c r="O210" s="128">
        <v>14759856</v>
      </c>
    </row>
    <row r="211" spans="1:15">
      <c r="A211" s="132" t="s">
        <v>1428</v>
      </c>
      <c r="B211" s="123" t="s">
        <v>1429</v>
      </c>
      <c r="C211" s="124">
        <v>237</v>
      </c>
      <c r="D211" s="125">
        <v>452.41200000000003</v>
      </c>
      <c r="E211" s="126">
        <v>39.0717</v>
      </c>
      <c r="F211" s="126">
        <v>23.681699999999999</v>
      </c>
      <c r="G211" s="127">
        <v>11.579020109183887</v>
      </c>
      <c r="H211" s="127">
        <v>10.00772748578016</v>
      </c>
      <c r="I211" s="128">
        <v>2714832</v>
      </c>
      <c r="J211" s="128">
        <v>2497572</v>
      </c>
      <c r="K211" s="128">
        <v>2756826</v>
      </c>
      <c r="L211" s="128">
        <v>2874940</v>
      </c>
      <c r="M211" s="128">
        <v>2628194</v>
      </c>
      <c r="N211" s="128">
        <v>2830055</v>
      </c>
      <c r="O211" s="128">
        <v>3341585</v>
      </c>
    </row>
    <row r="212" spans="1:15">
      <c r="A212" s="132" t="s">
        <v>469</v>
      </c>
      <c r="B212" s="123" t="s">
        <v>470</v>
      </c>
      <c r="C212" s="124">
        <v>1010</v>
      </c>
      <c r="D212" s="125">
        <v>1479.556</v>
      </c>
      <c r="E212" s="126">
        <v>169.21779999999998</v>
      </c>
      <c r="F212" s="126">
        <v>96.000699999999995</v>
      </c>
      <c r="G212" s="127">
        <v>8.743500979211408</v>
      </c>
      <c r="H212" s="127">
        <v>10.520756619482983</v>
      </c>
      <c r="I212" s="128">
        <v>20398187</v>
      </c>
      <c r="J212" s="128">
        <v>14844790</v>
      </c>
      <c r="K212" s="128">
        <v>18280611</v>
      </c>
      <c r="L212" s="128">
        <v>15408526</v>
      </c>
      <c r="M212" s="128">
        <v>15582163</v>
      </c>
      <c r="N212" s="128">
        <v>15544715</v>
      </c>
      <c r="O212" s="128">
        <v>6751350</v>
      </c>
    </row>
    <row r="213" spans="1:15">
      <c r="A213" s="132" t="s">
        <v>475</v>
      </c>
      <c r="B213" s="123" t="s">
        <v>476</v>
      </c>
      <c r="C213" s="124">
        <v>754</v>
      </c>
      <c r="D213" s="125">
        <v>1248.5650000000001</v>
      </c>
      <c r="E213" s="126">
        <v>164.38150000000002</v>
      </c>
      <c r="F213" s="126">
        <v>80.412899999999993</v>
      </c>
      <c r="G213" s="127">
        <v>7.5955323439681468</v>
      </c>
      <c r="H213" s="127">
        <v>9.3766049974568766</v>
      </c>
      <c r="I213" s="128">
        <v>9344017</v>
      </c>
      <c r="J213" s="128">
        <v>10380254</v>
      </c>
      <c r="K213" s="128">
        <v>11200206</v>
      </c>
      <c r="L213" s="128">
        <v>9829015</v>
      </c>
      <c r="M213" s="128">
        <v>10482255</v>
      </c>
      <c r="N213" s="128">
        <v>10611873</v>
      </c>
      <c r="O213" s="128">
        <v>4677985</v>
      </c>
    </row>
    <row r="214" spans="1:15">
      <c r="A214" s="132" t="s">
        <v>481</v>
      </c>
      <c r="B214" s="123" t="s">
        <v>482</v>
      </c>
      <c r="C214" s="124">
        <v>398</v>
      </c>
      <c r="D214" s="125">
        <v>751.55900000000008</v>
      </c>
      <c r="E214" s="126">
        <v>85.812100000000001</v>
      </c>
      <c r="F214" s="126">
        <v>43.999499999999998</v>
      </c>
      <c r="G214" s="127">
        <v>8.7581937745376237</v>
      </c>
      <c r="H214" s="127">
        <v>9.0455573358788168</v>
      </c>
      <c r="I214" s="128">
        <v>4161523</v>
      </c>
      <c r="J214" s="128">
        <v>4462917</v>
      </c>
      <c r="K214" s="128">
        <v>4695406</v>
      </c>
      <c r="L214" s="128">
        <v>4303528</v>
      </c>
      <c r="M214" s="128">
        <v>4629918</v>
      </c>
      <c r="N214" s="128">
        <v>4534694</v>
      </c>
      <c r="O214" s="128">
        <v>1315971</v>
      </c>
    </row>
    <row r="215" spans="1:15">
      <c r="A215" s="132" t="s">
        <v>1158</v>
      </c>
      <c r="B215" s="123" t="s">
        <v>1159</v>
      </c>
      <c r="C215" s="124">
        <v>315</v>
      </c>
      <c r="D215" s="125">
        <v>536.23099999999999</v>
      </c>
      <c r="E215" s="126">
        <v>113.2097</v>
      </c>
      <c r="F215" s="126">
        <v>41.9587</v>
      </c>
      <c r="G215" s="127">
        <v>4.7366170919983004</v>
      </c>
      <c r="H215" s="127">
        <v>7.5073822592215675</v>
      </c>
      <c r="I215" s="128">
        <v>3612440</v>
      </c>
      <c r="J215" s="128">
        <v>3593419</v>
      </c>
      <c r="K215" s="128">
        <v>3610899</v>
      </c>
      <c r="L215" s="128">
        <v>3766612</v>
      </c>
      <c r="M215" s="128">
        <v>3704487</v>
      </c>
      <c r="N215" s="128">
        <v>3549961</v>
      </c>
      <c r="O215" s="128">
        <v>1903154</v>
      </c>
    </row>
    <row r="216" spans="1:15">
      <c r="A216" s="132" t="s">
        <v>1552</v>
      </c>
      <c r="B216" s="123" t="s">
        <v>1553</v>
      </c>
      <c r="C216" s="124">
        <v>568</v>
      </c>
      <c r="D216" s="125">
        <v>997.779</v>
      </c>
      <c r="E216" s="126">
        <v>100.0639</v>
      </c>
      <c r="F216" s="126">
        <v>51.188000000000002</v>
      </c>
      <c r="G216" s="127">
        <v>9.9714182637294773</v>
      </c>
      <c r="H216" s="127">
        <v>11.096350707196999</v>
      </c>
      <c r="I216" s="128">
        <v>5017693</v>
      </c>
      <c r="J216" s="128">
        <v>5045575</v>
      </c>
      <c r="K216" s="128">
        <v>5082227</v>
      </c>
      <c r="L216" s="128">
        <v>5417690</v>
      </c>
      <c r="M216" s="128">
        <v>5445570</v>
      </c>
      <c r="N216" s="128">
        <v>5585712</v>
      </c>
      <c r="O216" s="128">
        <v>1358610</v>
      </c>
    </row>
    <row r="217" spans="1:15">
      <c r="A217" s="132" t="s">
        <v>495</v>
      </c>
      <c r="B217" s="123" t="s">
        <v>496</v>
      </c>
      <c r="C217" s="124">
        <v>464</v>
      </c>
      <c r="D217" s="125">
        <v>793.25</v>
      </c>
      <c r="E217" s="126">
        <v>86.301999999999992</v>
      </c>
      <c r="F217" s="126">
        <v>45.304000000000002</v>
      </c>
      <c r="G217" s="127">
        <v>9.1915598711501474</v>
      </c>
      <c r="H217" s="127">
        <v>10.241921243157337</v>
      </c>
      <c r="I217" s="128">
        <v>5790853</v>
      </c>
      <c r="J217" s="128">
        <v>5796614</v>
      </c>
      <c r="K217" s="128">
        <v>5466456</v>
      </c>
      <c r="L217" s="128">
        <v>5434944</v>
      </c>
      <c r="M217" s="128">
        <v>5659165</v>
      </c>
      <c r="N217" s="128">
        <v>5713500</v>
      </c>
      <c r="O217" s="128">
        <v>1185157</v>
      </c>
    </row>
    <row r="218" spans="1:15">
      <c r="A218" s="132" t="s">
        <v>507</v>
      </c>
      <c r="B218" s="123" t="s">
        <v>508</v>
      </c>
      <c r="C218" s="124">
        <v>1676</v>
      </c>
      <c r="D218" s="125">
        <v>2153.703</v>
      </c>
      <c r="E218" s="126">
        <v>291.50450000000001</v>
      </c>
      <c r="F218" s="126">
        <v>148.9358</v>
      </c>
      <c r="G218" s="127">
        <v>7.3882324286589052</v>
      </c>
      <c r="H218" s="127">
        <v>11.253170829310347</v>
      </c>
      <c r="I218" s="128">
        <v>11677363</v>
      </c>
      <c r="J218" s="128">
        <v>12308757</v>
      </c>
      <c r="K218" s="128">
        <v>12722016</v>
      </c>
      <c r="L218" s="128">
        <v>11901021</v>
      </c>
      <c r="M218" s="128">
        <v>12776087</v>
      </c>
      <c r="N218" s="128">
        <v>14219984</v>
      </c>
      <c r="O218" s="128">
        <v>2921194</v>
      </c>
    </row>
    <row r="219" spans="1:15">
      <c r="A219" s="132" t="s">
        <v>1876</v>
      </c>
      <c r="B219" s="123" t="s">
        <v>1877</v>
      </c>
      <c r="C219" s="124">
        <v>174</v>
      </c>
      <c r="D219" s="125">
        <v>330.91300000000001</v>
      </c>
      <c r="E219" s="126">
        <v>32.731899999999996</v>
      </c>
      <c r="F219" s="126">
        <v>19.1494</v>
      </c>
      <c r="G219" s="127">
        <v>10.109801142005201</v>
      </c>
      <c r="H219" s="127">
        <v>9.0864465727385717</v>
      </c>
      <c r="I219" s="128">
        <v>1871610</v>
      </c>
      <c r="J219" s="128">
        <v>1830282</v>
      </c>
      <c r="K219" s="128">
        <v>1950734</v>
      </c>
      <c r="L219" s="128">
        <v>1880317</v>
      </c>
      <c r="M219" s="128">
        <v>1854778</v>
      </c>
      <c r="N219" s="128">
        <v>2035487</v>
      </c>
      <c r="O219" s="128">
        <v>718180</v>
      </c>
    </row>
    <row r="220" spans="1:15">
      <c r="A220" s="132" t="s">
        <v>333</v>
      </c>
      <c r="B220" s="123" t="s">
        <v>334</v>
      </c>
      <c r="C220" s="124">
        <v>26075</v>
      </c>
      <c r="D220" s="125">
        <v>32229.287</v>
      </c>
      <c r="E220" s="126">
        <v>3132.5987000000005</v>
      </c>
      <c r="F220" s="126">
        <v>1700.2</v>
      </c>
      <c r="G220" s="127">
        <v>10.288354840982343</v>
      </c>
      <c r="H220" s="127">
        <v>15.336431008116692</v>
      </c>
      <c r="I220" s="128">
        <v>208374302</v>
      </c>
      <c r="J220" s="128">
        <v>206631300</v>
      </c>
      <c r="K220" s="128">
        <v>197419096</v>
      </c>
      <c r="L220" s="128">
        <v>212490118</v>
      </c>
      <c r="M220" s="128">
        <v>215833607</v>
      </c>
      <c r="N220" s="128">
        <v>217750166</v>
      </c>
      <c r="O220" s="128">
        <v>62703909</v>
      </c>
    </row>
    <row r="221" spans="1:15">
      <c r="A221" s="132" t="s">
        <v>341</v>
      </c>
      <c r="B221" s="123" t="s">
        <v>342</v>
      </c>
      <c r="C221" s="124">
        <v>8170</v>
      </c>
      <c r="D221" s="125">
        <v>9913.6580000000013</v>
      </c>
      <c r="E221" s="126">
        <v>974.08240000000001</v>
      </c>
      <c r="F221" s="126">
        <v>512.78779999999995</v>
      </c>
      <c r="G221" s="127">
        <v>10.177432627876247</v>
      </c>
      <c r="H221" s="127">
        <v>15.932516335217025</v>
      </c>
      <c r="I221" s="128">
        <v>59451488</v>
      </c>
      <c r="J221" s="128">
        <v>59748505</v>
      </c>
      <c r="K221" s="128">
        <v>58090865</v>
      </c>
      <c r="L221" s="128">
        <v>59591488</v>
      </c>
      <c r="M221" s="128">
        <v>60041491</v>
      </c>
      <c r="N221" s="128">
        <v>58602305</v>
      </c>
      <c r="O221" s="128">
        <v>5744968</v>
      </c>
    </row>
    <row r="222" spans="1:15">
      <c r="A222" s="132" t="s">
        <v>509</v>
      </c>
      <c r="B222" s="123" t="s">
        <v>510</v>
      </c>
      <c r="C222" s="124">
        <v>156784</v>
      </c>
      <c r="D222" s="125">
        <v>198584.92</v>
      </c>
      <c r="E222" s="126">
        <v>19461.067600000002</v>
      </c>
      <c r="F222" s="126">
        <v>10665.1576</v>
      </c>
      <c r="G222" s="127">
        <v>10.204215106883447</v>
      </c>
      <c r="H222" s="127">
        <v>14.700579764522185</v>
      </c>
      <c r="I222" s="128">
        <v>1238652132</v>
      </c>
      <c r="J222" s="128">
        <v>1269989283</v>
      </c>
      <c r="K222" s="128">
        <v>1198389931</v>
      </c>
      <c r="L222" s="128">
        <v>1246027928</v>
      </c>
      <c r="M222" s="128">
        <v>1251386750</v>
      </c>
      <c r="N222" s="128">
        <v>1269601316</v>
      </c>
      <c r="O222" s="128">
        <v>82111760</v>
      </c>
    </row>
    <row r="223" spans="1:15">
      <c r="A223" s="132" t="s">
        <v>539</v>
      </c>
      <c r="B223" s="123" t="s">
        <v>540</v>
      </c>
      <c r="C223" s="124">
        <v>9165</v>
      </c>
      <c r="D223" s="125">
        <v>11430.642</v>
      </c>
      <c r="E223" s="126">
        <v>1151.8497</v>
      </c>
      <c r="F223" s="126">
        <v>637.63109999999995</v>
      </c>
      <c r="G223" s="127">
        <v>9.9237270279273417</v>
      </c>
      <c r="H223" s="127">
        <v>14.373514717208744</v>
      </c>
      <c r="I223" s="128">
        <v>61000408</v>
      </c>
      <c r="J223" s="128">
        <v>67061811</v>
      </c>
      <c r="K223" s="128">
        <v>63663139</v>
      </c>
      <c r="L223" s="128">
        <v>58808975</v>
      </c>
      <c r="M223" s="128">
        <v>64199061</v>
      </c>
      <c r="N223" s="128">
        <v>61642264</v>
      </c>
      <c r="O223" s="128">
        <v>5514752</v>
      </c>
    </row>
    <row r="224" spans="1:15">
      <c r="A224" s="132" t="s">
        <v>579</v>
      </c>
      <c r="B224" s="123" t="s">
        <v>580</v>
      </c>
      <c r="C224" s="124">
        <v>12880</v>
      </c>
      <c r="D224" s="125">
        <v>16283.142</v>
      </c>
      <c r="E224" s="126">
        <v>1599.9340000000002</v>
      </c>
      <c r="F224" s="126">
        <v>763.65340000000003</v>
      </c>
      <c r="G224" s="127">
        <v>10.177383567072141</v>
      </c>
      <c r="H224" s="127">
        <v>16.866290387759683</v>
      </c>
      <c r="I224" s="128">
        <v>91833817</v>
      </c>
      <c r="J224" s="128">
        <v>92435680</v>
      </c>
      <c r="K224" s="128">
        <v>88604274</v>
      </c>
      <c r="L224" s="128">
        <v>92158710</v>
      </c>
      <c r="M224" s="128">
        <v>90516608</v>
      </c>
      <c r="N224" s="128">
        <v>93062637</v>
      </c>
      <c r="O224" s="128">
        <v>22349461</v>
      </c>
    </row>
    <row r="225" spans="1:15">
      <c r="A225" s="132" t="s">
        <v>720</v>
      </c>
      <c r="B225" s="123" t="s">
        <v>721</v>
      </c>
      <c r="C225" s="124">
        <v>57614</v>
      </c>
      <c r="D225" s="125">
        <v>71710.854000000007</v>
      </c>
      <c r="E225" s="126">
        <v>7345.980599999999</v>
      </c>
      <c r="F225" s="126">
        <v>3710.8978999999999</v>
      </c>
      <c r="G225" s="127">
        <v>9.7619171496314614</v>
      </c>
      <c r="H225" s="127">
        <v>15.525622518474572</v>
      </c>
      <c r="I225" s="128">
        <v>396517921</v>
      </c>
      <c r="J225" s="128">
        <v>399332083</v>
      </c>
      <c r="K225" s="128">
        <v>389342673</v>
      </c>
      <c r="L225" s="128">
        <v>394811330</v>
      </c>
      <c r="M225" s="128">
        <v>397841564</v>
      </c>
      <c r="N225" s="128">
        <v>407567954</v>
      </c>
      <c r="O225" s="128">
        <v>79992042</v>
      </c>
    </row>
    <row r="226" spans="1:15">
      <c r="A226" s="132" t="s">
        <v>774</v>
      </c>
      <c r="B226" s="123" t="s">
        <v>775</v>
      </c>
      <c r="C226" s="124">
        <v>26433</v>
      </c>
      <c r="D226" s="125">
        <v>32995.182999999997</v>
      </c>
      <c r="E226" s="126">
        <v>3287.8816000000002</v>
      </c>
      <c r="F226" s="126">
        <v>1648.4147</v>
      </c>
      <c r="G226" s="127">
        <v>10.03539269783924</v>
      </c>
      <c r="H226" s="127">
        <v>16.035406624316078</v>
      </c>
      <c r="I226" s="128">
        <v>174954728</v>
      </c>
      <c r="J226" s="128">
        <v>182998841</v>
      </c>
      <c r="K226" s="128">
        <v>186295810</v>
      </c>
      <c r="L226" s="128">
        <v>180397820</v>
      </c>
      <c r="M226" s="128">
        <v>185482373</v>
      </c>
      <c r="N226" s="128">
        <v>189912647</v>
      </c>
      <c r="O226" s="128">
        <v>18298896</v>
      </c>
    </row>
    <row r="227" spans="1:15">
      <c r="A227" s="132" t="s">
        <v>884</v>
      </c>
      <c r="B227" s="123" t="s">
        <v>885</v>
      </c>
      <c r="C227" s="124">
        <v>6647</v>
      </c>
      <c r="D227" s="125">
        <v>7220.1940000000004</v>
      </c>
      <c r="E227" s="126">
        <v>731.06180000000006</v>
      </c>
      <c r="F227" s="126">
        <v>427.26010000000002</v>
      </c>
      <c r="G227" s="127">
        <v>9.8763114144385593</v>
      </c>
      <c r="H227" s="127">
        <v>15.557268277566756</v>
      </c>
      <c r="I227" s="128">
        <v>51188106</v>
      </c>
      <c r="J227" s="128">
        <v>52709692</v>
      </c>
      <c r="K227" s="128">
        <v>51217664</v>
      </c>
      <c r="L227" s="128">
        <v>51188118</v>
      </c>
      <c r="M227" s="128">
        <v>51813779</v>
      </c>
      <c r="N227" s="128">
        <v>54334468</v>
      </c>
      <c r="O227" s="128">
        <v>22739637</v>
      </c>
    </row>
    <row r="228" spans="1:15">
      <c r="A228" s="132" t="s">
        <v>950</v>
      </c>
      <c r="B228" s="123" t="s">
        <v>951</v>
      </c>
      <c r="C228" s="124">
        <v>34140</v>
      </c>
      <c r="D228" s="125">
        <v>43466.516000000003</v>
      </c>
      <c r="E228" s="126">
        <v>3690.0668999999998</v>
      </c>
      <c r="F228" s="126">
        <v>2420.9643000000001</v>
      </c>
      <c r="G228" s="127">
        <v>11.779330071224456</v>
      </c>
      <c r="H228" s="127">
        <v>14.101818849621202</v>
      </c>
      <c r="I228" s="128">
        <v>225643298</v>
      </c>
      <c r="J228" s="128">
        <v>271502834</v>
      </c>
      <c r="K228" s="128">
        <v>244113425</v>
      </c>
      <c r="L228" s="128">
        <v>219942416</v>
      </c>
      <c r="M228" s="128">
        <v>266310506</v>
      </c>
      <c r="N228" s="128">
        <v>242588620</v>
      </c>
      <c r="O228" s="128">
        <v>68382436</v>
      </c>
    </row>
    <row r="229" spans="1:15">
      <c r="A229" s="132" t="s">
        <v>1076</v>
      </c>
      <c r="B229" s="123" t="s">
        <v>1077</v>
      </c>
      <c r="C229" s="124">
        <v>6253</v>
      </c>
      <c r="D229" s="125">
        <v>7827.7460000000001</v>
      </c>
      <c r="E229" s="126">
        <v>774.05900000000008</v>
      </c>
      <c r="F229" s="126">
        <v>378.21870000000001</v>
      </c>
      <c r="G229" s="127">
        <v>10.112596068258362</v>
      </c>
      <c r="H229" s="127">
        <v>16.532762658218644</v>
      </c>
      <c r="I229" s="128">
        <v>43232959</v>
      </c>
      <c r="J229" s="128">
        <v>43251680</v>
      </c>
      <c r="K229" s="128">
        <v>40658000</v>
      </c>
      <c r="L229" s="128">
        <v>44252912</v>
      </c>
      <c r="M229" s="128">
        <v>43837578</v>
      </c>
      <c r="N229" s="128">
        <v>45250409</v>
      </c>
      <c r="O229" s="128">
        <v>7146470</v>
      </c>
    </row>
    <row r="230" spans="1:15">
      <c r="A230" s="132" t="s">
        <v>1264</v>
      </c>
      <c r="B230" s="123" t="s">
        <v>1265</v>
      </c>
      <c r="C230" s="124">
        <v>37653</v>
      </c>
      <c r="D230" s="125">
        <v>48360.656000000003</v>
      </c>
      <c r="E230" s="126">
        <v>4657.5303999999996</v>
      </c>
      <c r="F230" s="126">
        <v>2446.6010999999999</v>
      </c>
      <c r="G230" s="127">
        <v>10.38332589305268</v>
      </c>
      <c r="H230" s="127">
        <v>15.389921961532675</v>
      </c>
      <c r="I230" s="128">
        <v>262043394</v>
      </c>
      <c r="J230" s="128">
        <v>264792024</v>
      </c>
      <c r="K230" s="128">
        <v>266425294</v>
      </c>
      <c r="L230" s="128">
        <v>267378333</v>
      </c>
      <c r="M230" s="128">
        <v>267913097</v>
      </c>
      <c r="N230" s="128">
        <v>274592866</v>
      </c>
      <c r="O230" s="128">
        <v>64944470</v>
      </c>
    </row>
    <row r="231" spans="1:15">
      <c r="A231" s="132" t="s">
        <v>1582</v>
      </c>
      <c r="B231" s="123" t="s">
        <v>1583</v>
      </c>
      <c r="C231" s="124">
        <v>35977</v>
      </c>
      <c r="D231" s="125">
        <v>44412.184999999998</v>
      </c>
      <c r="E231" s="126">
        <v>4757.4063999999998</v>
      </c>
      <c r="F231" s="126">
        <v>2439.4823999999999</v>
      </c>
      <c r="G231" s="127">
        <v>9.3353775704341757</v>
      </c>
      <c r="H231" s="127">
        <v>14.747800599012315</v>
      </c>
      <c r="I231" s="128">
        <v>24739144</v>
      </c>
      <c r="J231" s="128">
        <v>252387716</v>
      </c>
      <c r="K231" s="128">
        <v>252038542</v>
      </c>
      <c r="L231" s="128">
        <v>25418136</v>
      </c>
      <c r="M231" s="128">
        <v>255734147</v>
      </c>
      <c r="N231" s="128">
        <v>255482368</v>
      </c>
      <c r="O231" s="128">
        <v>57008668</v>
      </c>
    </row>
    <row r="232" spans="1:15">
      <c r="A232" s="132" t="s">
        <v>1838</v>
      </c>
      <c r="B232" s="123" t="s">
        <v>1839</v>
      </c>
      <c r="C232" s="124">
        <v>1154</v>
      </c>
      <c r="D232" s="125">
        <v>1463.6080000000002</v>
      </c>
      <c r="E232" s="126">
        <v>163.0189</v>
      </c>
      <c r="F232" s="126">
        <v>80.802599999999998</v>
      </c>
      <c r="G232" s="127">
        <v>8.9781491593919487</v>
      </c>
      <c r="H232" s="127">
        <v>14.28171865756795</v>
      </c>
      <c r="I232" s="128">
        <v>8885686</v>
      </c>
      <c r="J232" s="128">
        <v>9855941</v>
      </c>
      <c r="K232" s="128">
        <v>9763553</v>
      </c>
      <c r="L232" s="128">
        <v>8821424</v>
      </c>
      <c r="M232" s="128">
        <v>9889938</v>
      </c>
      <c r="N232" s="128">
        <v>9417241</v>
      </c>
      <c r="O232" s="128">
        <v>1691056</v>
      </c>
    </row>
    <row r="233" spans="1:15">
      <c r="A233" s="132" t="s">
        <v>449</v>
      </c>
      <c r="B233" s="123" t="s">
        <v>450</v>
      </c>
      <c r="C233" s="124">
        <v>10190</v>
      </c>
      <c r="D233" s="125">
        <v>11102.923000000001</v>
      </c>
      <c r="E233" s="126">
        <v>1062.5962999999999</v>
      </c>
      <c r="F233" s="126">
        <v>683.72140000000002</v>
      </c>
      <c r="G233" s="127">
        <v>10.448862846595647</v>
      </c>
      <c r="H233" s="127">
        <v>14.90373125662002</v>
      </c>
      <c r="I233" s="128">
        <v>72593300</v>
      </c>
      <c r="J233" s="128">
        <v>75878936</v>
      </c>
      <c r="K233" s="128">
        <v>74691699</v>
      </c>
      <c r="L233" s="128">
        <v>68778814</v>
      </c>
      <c r="M233" s="128">
        <v>77342803</v>
      </c>
      <c r="N233" s="128">
        <v>75102346</v>
      </c>
      <c r="O233" s="128">
        <v>25539827</v>
      </c>
    </row>
    <row r="234" spans="1:15">
      <c r="A234" s="132" t="s">
        <v>517</v>
      </c>
      <c r="B234" s="123" t="s">
        <v>518</v>
      </c>
      <c r="C234" s="124">
        <v>163</v>
      </c>
      <c r="D234" s="125">
        <v>244.77100000000002</v>
      </c>
      <c r="E234" s="126">
        <v>35.9268</v>
      </c>
      <c r="F234" s="126">
        <v>18.4619</v>
      </c>
      <c r="G234" s="127">
        <v>6.8130476413151193</v>
      </c>
      <c r="H234" s="127">
        <v>8.8289937655387583</v>
      </c>
      <c r="I234" s="128">
        <v>2316561</v>
      </c>
      <c r="J234" s="128">
        <v>2496032</v>
      </c>
      <c r="K234" s="128">
        <v>2316675</v>
      </c>
      <c r="L234" s="128">
        <v>2326809</v>
      </c>
      <c r="M234" s="128">
        <v>2320437</v>
      </c>
      <c r="N234" s="128">
        <v>2586351</v>
      </c>
      <c r="O234" s="128">
        <v>1343427</v>
      </c>
    </row>
    <row r="235" spans="1:15">
      <c r="A235" s="132" t="s">
        <v>1026</v>
      </c>
      <c r="B235" s="123" t="s">
        <v>1027</v>
      </c>
      <c r="C235" s="124">
        <v>238</v>
      </c>
      <c r="D235" s="125">
        <v>420.31600000000003</v>
      </c>
      <c r="E235" s="126">
        <v>43.667499999999997</v>
      </c>
      <c r="F235" s="126">
        <v>21.570599999999999</v>
      </c>
      <c r="G235" s="127">
        <v>9.6253735615732534</v>
      </c>
      <c r="H235" s="127">
        <v>11.033536387490381</v>
      </c>
      <c r="I235" s="128">
        <v>2997388</v>
      </c>
      <c r="J235" s="128">
        <v>3305039</v>
      </c>
      <c r="K235" s="128">
        <v>2721869</v>
      </c>
      <c r="L235" s="128">
        <v>3068180</v>
      </c>
      <c r="M235" s="128">
        <v>3356823</v>
      </c>
      <c r="N235" s="128">
        <v>3475838</v>
      </c>
      <c r="O235" s="128">
        <v>2712367</v>
      </c>
    </row>
    <row r="236" spans="1:15">
      <c r="A236" s="132" t="s">
        <v>1072</v>
      </c>
      <c r="B236" s="123" t="s">
        <v>1073</v>
      </c>
      <c r="C236" s="124">
        <v>1883</v>
      </c>
      <c r="D236" s="125">
        <v>2514.864</v>
      </c>
      <c r="E236" s="126">
        <v>331.3433</v>
      </c>
      <c r="F236" s="126">
        <v>154.8381</v>
      </c>
      <c r="G236" s="127">
        <v>7.5899044887885161</v>
      </c>
      <c r="H236" s="127">
        <v>12.161089550956774</v>
      </c>
      <c r="I236" s="128">
        <v>15646595</v>
      </c>
      <c r="J236" s="128">
        <v>15904526</v>
      </c>
      <c r="K236" s="128">
        <v>14820219</v>
      </c>
      <c r="L236" s="128">
        <v>16491738</v>
      </c>
      <c r="M236" s="128">
        <v>16110590</v>
      </c>
      <c r="N236" s="128">
        <v>18624271</v>
      </c>
      <c r="O236" s="128">
        <v>11113091</v>
      </c>
    </row>
    <row r="237" spans="1:15">
      <c r="A237" s="132" t="s">
        <v>1690</v>
      </c>
      <c r="B237" s="123" t="s">
        <v>1691</v>
      </c>
      <c r="C237" s="124">
        <v>242</v>
      </c>
      <c r="D237" s="125">
        <v>398.83499999999998</v>
      </c>
      <c r="E237" s="126">
        <v>41.843599999999995</v>
      </c>
      <c r="F237" s="126">
        <v>22.8157</v>
      </c>
      <c r="G237" s="127">
        <v>9.5315651616973707</v>
      </c>
      <c r="H237" s="127">
        <v>10.606731329742239</v>
      </c>
      <c r="I237" s="128">
        <v>2746633</v>
      </c>
      <c r="J237" s="128">
        <v>3011334</v>
      </c>
      <c r="K237" s="128">
        <v>2721675</v>
      </c>
      <c r="L237" s="128">
        <v>2798633</v>
      </c>
      <c r="M237" s="128">
        <v>3344616</v>
      </c>
      <c r="N237" s="128">
        <v>2909226</v>
      </c>
      <c r="O237" s="128">
        <v>200849</v>
      </c>
    </row>
    <row r="238" spans="1:15">
      <c r="A238" s="132" t="s">
        <v>870</v>
      </c>
      <c r="B238" s="123" t="s">
        <v>871</v>
      </c>
      <c r="C238" s="124">
        <v>4265</v>
      </c>
      <c r="D238" s="125">
        <v>5487.1790000000001</v>
      </c>
      <c r="E238" s="126">
        <v>679.96500000000003</v>
      </c>
      <c r="F238" s="126">
        <v>314.23180000000002</v>
      </c>
      <c r="G238" s="127">
        <v>8.0697962395123284</v>
      </c>
      <c r="H238" s="127">
        <v>13.572782894665657</v>
      </c>
      <c r="I238" s="128">
        <v>28796709</v>
      </c>
      <c r="J238" s="128">
        <v>30188412</v>
      </c>
      <c r="K238" s="128">
        <v>30186126</v>
      </c>
      <c r="L238" s="128">
        <v>29813219</v>
      </c>
      <c r="M238" s="128">
        <v>31140962</v>
      </c>
      <c r="N238" s="128">
        <v>31183008</v>
      </c>
      <c r="O238" s="128">
        <v>7809721</v>
      </c>
    </row>
    <row r="239" spans="1:15">
      <c r="A239" s="132" t="s">
        <v>1963</v>
      </c>
      <c r="B239" s="123" t="s">
        <v>1964</v>
      </c>
      <c r="C239" s="124">
        <v>126</v>
      </c>
      <c r="D239" s="125">
        <v>237.59200000000001</v>
      </c>
      <c r="E239" s="126">
        <v>21.1936</v>
      </c>
      <c r="F239" s="126">
        <v>8.5007999999999999</v>
      </c>
      <c r="G239" s="127">
        <v>11.210554129548543</v>
      </c>
      <c r="H239" s="127">
        <v>14.822134387351779</v>
      </c>
      <c r="I239" s="128">
        <v>1399804</v>
      </c>
      <c r="J239" s="128">
        <v>1438942</v>
      </c>
      <c r="K239" s="128">
        <v>1582528</v>
      </c>
      <c r="L239" s="128">
        <v>1399804</v>
      </c>
      <c r="M239" s="128">
        <v>1438942</v>
      </c>
      <c r="N239" s="128">
        <v>2083864</v>
      </c>
      <c r="O239" s="128">
        <v>1300490</v>
      </c>
    </row>
    <row r="240" spans="1:15">
      <c r="A240" s="132" t="s">
        <v>447</v>
      </c>
      <c r="B240" s="123" t="s">
        <v>448</v>
      </c>
      <c r="C240" s="124">
        <v>831</v>
      </c>
      <c r="D240" s="125">
        <v>1210.5610000000001</v>
      </c>
      <c r="E240" s="126">
        <v>133.9682</v>
      </c>
      <c r="F240" s="126">
        <v>72.037599999999998</v>
      </c>
      <c r="G240" s="127">
        <v>9.0361817207367139</v>
      </c>
      <c r="H240" s="127">
        <v>11.535642497806702</v>
      </c>
      <c r="I240" s="128">
        <v>6576430</v>
      </c>
      <c r="J240" s="128">
        <v>6253161</v>
      </c>
      <c r="K240" s="128">
        <v>7712927</v>
      </c>
      <c r="L240" s="128">
        <v>7042421</v>
      </c>
      <c r="M240" s="128">
        <v>7059950</v>
      </c>
      <c r="N240" s="128">
        <v>7537639</v>
      </c>
      <c r="O240" s="128">
        <v>1044570</v>
      </c>
    </row>
    <row r="241" spans="1:15">
      <c r="A241" s="132" t="s">
        <v>650</v>
      </c>
      <c r="B241" s="123" t="s">
        <v>651</v>
      </c>
      <c r="C241" s="124">
        <v>186</v>
      </c>
      <c r="D241" s="125">
        <v>333.476</v>
      </c>
      <c r="E241" s="126">
        <v>42.624900000000004</v>
      </c>
      <c r="F241" s="126">
        <v>18.949300000000001</v>
      </c>
      <c r="G241" s="127">
        <v>7.8235022252251607</v>
      </c>
      <c r="H241" s="127">
        <v>9.815666014048011</v>
      </c>
      <c r="I241" s="128">
        <v>1721002</v>
      </c>
      <c r="J241" s="128">
        <v>1873665</v>
      </c>
      <c r="K241" s="128">
        <v>1750786</v>
      </c>
      <c r="L241" s="128">
        <v>1833000</v>
      </c>
      <c r="M241" s="128">
        <v>1954663</v>
      </c>
      <c r="N241" s="128">
        <v>1985855</v>
      </c>
      <c r="O241" s="128">
        <v>314994</v>
      </c>
    </row>
    <row r="242" spans="1:15">
      <c r="A242" s="132" t="s">
        <v>535</v>
      </c>
      <c r="B242" s="123" t="s">
        <v>536</v>
      </c>
      <c r="C242" s="124">
        <v>23832</v>
      </c>
      <c r="D242" s="125">
        <v>28637.548999999999</v>
      </c>
      <c r="E242" s="126">
        <v>3266.0545000000002</v>
      </c>
      <c r="F242" s="126">
        <v>1835.4555</v>
      </c>
      <c r="G242" s="127">
        <v>8.7682397828940086</v>
      </c>
      <c r="H242" s="127">
        <v>12.984242875950956</v>
      </c>
      <c r="I242" s="128">
        <v>193542643</v>
      </c>
      <c r="J242" s="128">
        <v>185103575</v>
      </c>
      <c r="K242" s="128">
        <v>187695338</v>
      </c>
      <c r="L242" s="128">
        <v>193867128</v>
      </c>
      <c r="M242" s="128">
        <v>187633365</v>
      </c>
      <c r="N242" s="128">
        <v>194029759</v>
      </c>
      <c r="O242" s="128">
        <v>53451035</v>
      </c>
    </row>
    <row r="243" spans="1:15">
      <c r="A243" s="132" t="s">
        <v>1108</v>
      </c>
      <c r="B243" s="123" t="s">
        <v>1109</v>
      </c>
      <c r="C243" s="124">
        <v>51298</v>
      </c>
      <c r="D243" s="125">
        <v>60506.086000000003</v>
      </c>
      <c r="E243" s="126">
        <v>6508.5954999999994</v>
      </c>
      <c r="F243" s="126">
        <v>3761.6230999999998</v>
      </c>
      <c r="G243" s="127">
        <v>9.2963352846247709</v>
      </c>
      <c r="H243" s="127">
        <v>13.637198261569587</v>
      </c>
      <c r="I243" s="128">
        <v>399286739</v>
      </c>
      <c r="J243" s="128">
        <v>398643527</v>
      </c>
      <c r="K243" s="128">
        <v>385424640</v>
      </c>
      <c r="L243" s="128">
        <v>387430679</v>
      </c>
      <c r="M243" s="128">
        <v>376133346</v>
      </c>
      <c r="N243" s="128">
        <v>391337834</v>
      </c>
      <c r="O243" s="128">
        <v>72969462</v>
      </c>
    </row>
    <row r="244" spans="1:15">
      <c r="A244" s="132" t="s">
        <v>1484</v>
      </c>
      <c r="B244" s="123" t="s">
        <v>1485</v>
      </c>
      <c r="C244" s="124">
        <v>1548</v>
      </c>
      <c r="D244" s="125">
        <v>2011.9080000000001</v>
      </c>
      <c r="E244" s="126">
        <v>197.70439999999999</v>
      </c>
      <c r="F244" s="126">
        <v>109.49679999999999</v>
      </c>
      <c r="G244" s="127">
        <v>10.176344077319474</v>
      </c>
      <c r="H244" s="127">
        <v>14.137399449116321</v>
      </c>
      <c r="I244" s="128">
        <v>10879124</v>
      </c>
      <c r="J244" s="128">
        <v>11291146</v>
      </c>
      <c r="K244" s="128">
        <v>11023010</v>
      </c>
      <c r="L244" s="128">
        <v>11428577</v>
      </c>
      <c r="M244" s="128">
        <v>11840145</v>
      </c>
      <c r="N244" s="128">
        <v>11781245</v>
      </c>
      <c r="O244" s="128">
        <v>2045675</v>
      </c>
    </row>
    <row r="245" spans="1:15">
      <c r="A245" s="132" t="s">
        <v>1038</v>
      </c>
      <c r="B245" s="123" t="s">
        <v>1039</v>
      </c>
      <c r="C245" s="124">
        <v>1692</v>
      </c>
      <c r="D245" s="125">
        <v>2141.2950000000001</v>
      </c>
      <c r="E245" s="126">
        <v>239.5284</v>
      </c>
      <c r="F245" s="126">
        <v>129.08279999999999</v>
      </c>
      <c r="G245" s="127">
        <v>8.9396288707309868</v>
      </c>
      <c r="H245" s="127">
        <v>13.107865649025278</v>
      </c>
      <c r="I245" s="128">
        <v>14960997</v>
      </c>
      <c r="J245" s="128">
        <v>15627971</v>
      </c>
      <c r="K245" s="128">
        <v>15950501</v>
      </c>
      <c r="L245" s="128">
        <v>15099172</v>
      </c>
      <c r="M245" s="128">
        <v>15523621</v>
      </c>
      <c r="N245" s="128">
        <v>15523674</v>
      </c>
      <c r="O245" s="128">
        <v>3289370</v>
      </c>
    </row>
    <row r="246" spans="1:15">
      <c r="A246" s="132" t="s">
        <v>1504</v>
      </c>
      <c r="B246" s="123" t="s">
        <v>1505</v>
      </c>
      <c r="C246" s="124">
        <v>1225</v>
      </c>
      <c r="D246" s="125">
        <v>1646.31</v>
      </c>
      <c r="E246" s="126">
        <v>172.93860000000001</v>
      </c>
      <c r="F246" s="126">
        <v>93.649900000000002</v>
      </c>
      <c r="G246" s="127">
        <v>9.5196214147680145</v>
      </c>
      <c r="H246" s="127">
        <v>13.080633294856694</v>
      </c>
      <c r="I246" s="128">
        <v>11082873</v>
      </c>
      <c r="J246" s="128">
        <v>11457439</v>
      </c>
      <c r="K246" s="128">
        <v>13173703</v>
      </c>
      <c r="L246" s="128">
        <v>11629712</v>
      </c>
      <c r="M246" s="128">
        <v>11622621</v>
      </c>
      <c r="N246" s="128">
        <v>12852991</v>
      </c>
      <c r="O246" s="128">
        <v>4280192</v>
      </c>
    </row>
    <row r="247" spans="1:15">
      <c r="A247" s="132" t="s">
        <v>124</v>
      </c>
      <c r="B247" s="123" t="s">
        <v>125</v>
      </c>
      <c r="C247" s="124">
        <v>1885</v>
      </c>
      <c r="D247" s="125">
        <v>2371.4580000000001</v>
      </c>
      <c r="E247" s="126">
        <v>211.4924</v>
      </c>
      <c r="F247" s="126">
        <v>125.30880000000001</v>
      </c>
      <c r="G247" s="127">
        <v>11.212970300587633</v>
      </c>
      <c r="H247" s="127">
        <v>15.042838172578461</v>
      </c>
      <c r="I247" s="128">
        <v>12987127</v>
      </c>
      <c r="J247" s="128">
        <v>13174083</v>
      </c>
      <c r="K247" s="128">
        <v>12688929</v>
      </c>
      <c r="L247" s="128">
        <v>13340198</v>
      </c>
      <c r="M247" s="128">
        <v>13594228</v>
      </c>
      <c r="N247" s="128">
        <v>12880813</v>
      </c>
      <c r="O247" s="128">
        <v>2095734</v>
      </c>
    </row>
    <row r="248" spans="1:15">
      <c r="A248" s="132" t="s">
        <v>1694</v>
      </c>
      <c r="B248" s="123" t="s">
        <v>1695</v>
      </c>
      <c r="C248" s="124">
        <v>2603</v>
      </c>
      <c r="D248" s="125">
        <v>3233.348</v>
      </c>
      <c r="E248" s="126">
        <v>432.7627</v>
      </c>
      <c r="F248" s="126">
        <v>193.8921</v>
      </c>
      <c r="G248" s="127">
        <v>7.4714110065400741</v>
      </c>
      <c r="H248" s="127">
        <v>13.424992560295133</v>
      </c>
      <c r="I248" s="128">
        <v>20074183</v>
      </c>
      <c r="J248" s="128">
        <v>19452998</v>
      </c>
      <c r="K248" s="128">
        <v>18962089</v>
      </c>
      <c r="L248" s="128">
        <v>19260026</v>
      </c>
      <c r="M248" s="128">
        <v>19036069</v>
      </c>
      <c r="N248" s="128">
        <v>20004194</v>
      </c>
      <c r="O248" s="128">
        <v>5119062</v>
      </c>
    </row>
    <row r="249" spans="1:15">
      <c r="A249" s="132" t="s">
        <v>112</v>
      </c>
      <c r="B249" s="123" t="s">
        <v>113</v>
      </c>
      <c r="C249" s="124">
        <v>1820</v>
      </c>
      <c r="D249" s="125">
        <v>2204.1860000000001</v>
      </c>
      <c r="E249" s="126">
        <v>212.3372</v>
      </c>
      <c r="F249" s="126">
        <v>122.50239999999999</v>
      </c>
      <c r="G249" s="127">
        <v>10.380592755296766</v>
      </c>
      <c r="H249" s="127">
        <v>14.856851784128311</v>
      </c>
      <c r="I249" s="128">
        <v>13866400</v>
      </c>
      <c r="J249" s="128">
        <v>14537812</v>
      </c>
      <c r="K249" s="128">
        <v>14188550</v>
      </c>
      <c r="L249" s="128">
        <v>14486552</v>
      </c>
      <c r="M249" s="128">
        <v>15094810</v>
      </c>
      <c r="N249" s="128">
        <v>15548064</v>
      </c>
      <c r="O249" s="128">
        <v>3519361</v>
      </c>
    </row>
    <row r="250" spans="1:15">
      <c r="A250" s="132" t="s">
        <v>1396</v>
      </c>
      <c r="B250" s="123" t="s">
        <v>1397</v>
      </c>
      <c r="C250" s="124">
        <v>15293</v>
      </c>
      <c r="D250" s="125">
        <v>17348.457999999999</v>
      </c>
      <c r="E250" s="126">
        <v>1636.0528000000002</v>
      </c>
      <c r="F250" s="126">
        <v>1035.1683</v>
      </c>
      <c r="G250" s="127">
        <v>10.603849704606109</v>
      </c>
      <c r="H250" s="127">
        <v>14.773443120311933</v>
      </c>
      <c r="I250" s="128">
        <v>117055682</v>
      </c>
      <c r="J250" s="128">
        <v>129686005</v>
      </c>
      <c r="K250" s="128">
        <v>112487320</v>
      </c>
      <c r="L250" s="128">
        <v>119836928</v>
      </c>
      <c r="M250" s="128">
        <v>132529158</v>
      </c>
      <c r="N250" s="128">
        <v>117571568</v>
      </c>
      <c r="O250" s="128">
        <v>29743954</v>
      </c>
    </row>
    <row r="251" spans="1:15">
      <c r="A251" s="132" t="s">
        <v>1064</v>
      </c>
      <c r="B251" s="123" t="s">
        <v>1065</v>
      </c>
      <c r="C251" s="124">
        <v>4090</v>
      </c>
      <c r="D251" s="125">
        <v>4930.8410000000003</v>
      </c>
      <c r="E251" s="126">
        <v>586.06130000000007</v>
      </c>
      <c r="F251" s="126">
        <v>286.8852</v>
      </c>
      <c r="G251" s="127">
        <v>8.4135243190430753</v>
      </c>
      <c r="H251" s="127">
        <v>14.256573709623222</v>
      </c>
      <c r="I251" s="128">
        <v>30124292</v>
      </c>
      <c r="J251" s="128">
        <v>30662030</v>
      </c>
      <c r="K251" s="128">
        <v>30052415</v>
      </c>
      <c r="L251" s="128">
        <v>30227014</v>
      </c>
      <c r="M251" s="128">
        <v>30677863</v>
      </c>
      <c r="N251" s="128">
        <v>31052190</v>
      </c>
      <c r="O251" s="128">
        <v>6948853</v>
      </c>
    </row>
    <row r="252" spans="1:15">
      <c r="A252" s="132" t="s">
        <v>1130</v>
      </c>
      <c r="B252" s="123" t="s">
        <v>1131</v>
      </c>
      <c r="C252" s="124">
        <v>6283</v>
      </c>
      <c r="D252" s="125">
        <v>7331.1320000000005</v>
      </c>
      <c r="E252" s="126">
        <v>802.46389999999997</v>
      </c>
      <c r="F252" s="126">
        <v>414.86720000000003</v>
      </c>
      <c r="G252" s="127">
        <v>9.1357779458988766</v>
      </c>
      <c r="H252" s="127">
        <v>15.144605309843728</v>
      </c>
      <c r="I252" s="128">
        <v>43983559</v>
      </c>
      <c r="J252" s="128">
        <v>44002328</v>
      </c>
      <c r="K252" s="128">
        <v>42539966</v>
      </c>
      <c r="L252" s="128">
        <v>43052579</v>
      </c>
      <c r="M252" s="128">
        <v>44227325</v>
      </c>
      <c r="N252" s="128">
        <v>43327182</v>
      </c>
      <c r="O252" s="128">
        <v>9952193</v>
      </c>
    </row>
    <row r="253" spans="1:15">
      <c r="A253" s="132" t="s">
        <v>493</v>
      </c>
      <c r="B253" s="123" t="s">
        <v>494</v>
      </c>
      <c r="C253" s="124">
        <v>1906</v>
      </c>
      <c r="D253" s="125">
        <v>2429.7539999999999</v>
      </c>
      <c r="E253" s="126">
        <v>406.37979999999999</v>
      </c>
      <c r="F253" s="126">
        <v>156.82220000000001</v>
      </c>
      <c r="G253" s="127">
        <v>5.9790225793703327</v>
      </c>
      <c r="H253" s="127">
        <v>12.153891477099542</v>
      </c>
      <c r="I253" s="128">
        <v>16429431</v>
      </c>
      <c r="J253" s="128">
        <v>15719833</v>
      </c>
      <c r="K253" s="128">
        <v>15922539</v>
      </c>
      <c r="L253" s="128">
        <v>15869555</v>
      </c>
      <c r="M253" s="128">
        <v>15642679</v>
      </c>
      <c r="N253" s="128">
        <v>16674973</v>
      </c>
      <c r="O253" s="128">
        <v>3894256</v>
      </c>
    </row>
    <row r="254" spans="1:15">
      <c r="A254" s="132" t="s">
        <v>1379</v>
      </c>
      <c r="B254" s="123" t="s">
        <v>1380</v>
      </c>
      <c r="C254" s="124">
        <v>113</v>
      </c>
      <c r="D254" s="125">
        <v>234.99700000000001</v>
      </c>
      <c r="E254" s="126">
        <v>24.187999999999999</v>
      </c>
      <c r="F254" s="126">
        <v>14.893800000000001</v>
      </c>
      <c r="G254" s="127">
        <v>9.7154374069786673</v>
      </c>
      <c r="H254" s="127">
        <v>7.5870496448186486</v>
      </c>
      <c r="I254" s="128">
        <v>1687502</v>
      </c>
      <c r="J254" s="128">
        <v>1487199</v>
      </c>
      <c r="K254" s="128">
        <v>1293904</v>
      </c>
      <c r="L254" s="128">
        <v>1429796</v>
      </c>
      <c r="M254" s="128">
        <v>1761298</v>
      </c>
      <c r="N254" s="128">
        <v>1342791</v>
      </c>
      <c r="O254" s="128">
        <v>347575</v>
      </c>
    </row>
    <row r="255" spans="1:15">
      <c r="A255" s="132" t="s">
        <v>2078</v>
      </c>
      <c r="B255" s="123" t="s">
        <v>2079</v>
      </c>
      <c r="C255" s="124">
        <v>1560</v>
      </c>
      <c r="D255" s="125">
        <v>2117.201</v>
      </c>
      <c r="E255" s="126">
        <v>258.89769999999999</v>
      </c>
      <c r="F255" s="126">
        <v>126.3356</v>
      </c>
      <c r="G255" s="127">
        <v>8.1777512894089064</v>
      </c>
      <c r="H255" s="127">
        <v>12.348063412054875</v>
      </c>
      <c r="I255" s="128">
        <v>12715393</v>
      </c>
      <c r="J255" s="128">
        <v>13317526</v>
      </c>
      <c r="K255" s="128">
        <v>12061318</v>
      </c>
      <c r="L255" s="128">
        <v>11860387</v>
      </c>
      <c r="M255" s="128">
        <v>12263927</v>
      </c>
      <c r="N255" s="128">
        <v>12028561</v>
      </c>
      <c r="O255" s="128">
        <v>832018</v>
      </c>
    </row>
    <row r="256" spans="1:15">
      <c r="A256" s="132" t="s">
        <v>2080</v>
      </c>
      <c r="B256" s="123" t="s">
        <v>2081</v>
      </c>
      <c r="C256" s="124">
        <v>543</v>
      </c>
      <c r="D256" s="125">
        <v>853.03</v>
      </c>
      <c r="E256" s="126">
        <v>82.544800000000009</v>
      </c>
      <c r="F256" s="126">
        <v>46.088999999999999</v>
      </c>
      <c r="G256" s="127">
        <v>10.334145821420609</v>
      </c>
      <c r="H256" s="127">
        <v>11.781553082080324</v>
      </c>
      <c r="I256" s="128">
        <v>4555733</v>
      </c>
      <c r="J256" s="128">
        <v>4280721</v>
      </c>
      <c r="K256" s="128">
        <v>4435012</v>
      </c>
      <c r="L256" s="128">
        <v>4970725</v>
      </c>
      <c r="M256" s="128">
        <v>4720659</v>
      </c>
      <c r="N256" s="128">
        <v>4925094</v>
      </c>
      <c r="O256" s="128">
        <v>747239</v>
      </c>
    </row>
    <row r="257" spans="1:15">
      <c r="A257" s="132" t="s">
        <v>2009</v>
      </c>
      <c r="B257" s="123" t="s">
        <v>2010</v>
      </c>
      <c r="C257" s="124">
        <v>37</v>
      </c>
      <c r="D257" s="125">
        <v>120.16500000000001</v>
      </c>
      <c r="E257" s="126">
        <v>12.3553</v>
      </c>
      <c r="F257" s="126">
        <v>5.9675000000000002</v>
      </c>
      <c r="G257" s="127">
        <v>9.7257856952077262</v>
      </c>
      <c r="H257" s="127">
        <v>6.2002513615416834</v>
      </c>
      <c r="I257" s="128">
        <v>669327</v>
      </c>
      <c r="J257" s="128">
        <v>639497</v>
      </c>
      <c r="K257" s="128">
        <v>714452</v>
      </c>
      <c r="L257" s="128">
        <v>773368</v>
      </c>
      <c r="M257" s="128">
        <v>736614</v>
      </c>
      <c r="N257" s="128">
        <v>791978</v>
      </c>
      <c r="O257" s="128">
        <v>133636</v>
      </c>
    </row>
    <row r="258" spans="1:15">
      <c r="A258" s="132" t="s">
        <v>1268</v>
      </c>
      <c r="B258" s="123" t="s">
        <v>1269</v>
      </c>
      <c r="C258" s="124">
        <v>158</v>
      </c>
      <c r="D258" s="125">
        <v>248.6</v>
      </c>
      <c r="E258" s="126">
        <v>21.0486</v>
      </c>
      <c r="F258" s="126">
        <v>12.535299999999999</v>
      </c>
      <c r="G258" s="127">
        <v>11.810761760877208</v>
      </c>
      <c r="H258" s="127">
        <v>12.604405159828644</v>
      </c>
      <c r="I258" s="128">
        <v>1463241</v>
      </c>
      <c r="J258" s="128">
        <v>1824680</v>
      </c>
      <c r="K258" s="128">
        <v>1409654</v>
      </c>
      <c r="L258" s="128">
        <v>1471900</v>
      </c>
      <c r="M258" s="128">
        <v>1689000</v>
      </c>
      <c r="N258" s="128">
        <v>1553395</v>
      </c>
      <c r="O258" s="128">
        <v>98032</v>
      </c>
    </row>
    <row r="259" spans="1:15">
      <c r="A259" s="132" t="s">
        <v>1808</v>
      </c>
      <c r="B259" s="123" t="s">
        <v>1809</v>
      </c>
      <c r="C259" s="124">
        <v>305</v>
      </c>
      <c r="D259" s="125">
        <v>541.899</v>
      </c>
      <c r="E259" s="126">
        <v>61.636399999999995</v>
      </c>
      <c r="F259" s="126">
        <v>29.155899999999999</v>
      </c>
      <c r="G259" s="127">
        <v>8.7918664944740446</v>
      </c>
      <c r="H259" s="127">
        <v>10.461004462218625</v>
      </c>
      <c r="I259" s="128">
        <v>4382329</v>
      </c>
      <c r="J259" s="128">
        <v>3910821</v>
      </c>
      <c r="K259" s="128">
        <v>3424649</v>
      </c>
      <c r="L259" s="128">
        <v>4741557</v>
      </c>
      <c r="M259" s="128">
        <v>4499246</v>
      </c>
      <c r="N259" s="128">
        <v>3887367</v>
      </c>
      <c r="O259" s="128">
        <v>1600195</v>
      </c>
    </row>
    <row r="260" spans="1:15">
      <c r="A260" s="132" t="s">
        <v>1454</v>
      </c>
      <c r="B260" s="123" t="s">
        <v>1455</v>
      </c>
      <c r="C260" s="124">
        <v>96</v>
      </c>
      <c r="D260" s="125">
        <v>282.98400000000004</v>
      </c>
      <c r="E260" s="126">
        <v>31.536000000000001</v>
      </c>
      <c r="F260" s="126">
        <v>14.751099999999999</v>
      </c>
      <c r="G260" s="127">
        <v>8.9733637747336381</v>
      </c>
      <c r="H260" s="127">
        <v>6.5079892347011414</v>
      </c>
      <c r="I260" s="128">
        <v>1814360</v>
      </c>
      <c r="J260" s="128">
        <v>1800277</v>
      </c>
      <c r="K260" s="128">
        <v>1805906</v>
      </c>
      <c r="L260" s="128">
        <v>1738926</v>
      </c>
      <c r="M260" s="128">
        <v>1700481</v>
      </c>
      <c r="N260" s="128">
        <v>1733477</v>
      </c>
      <c r="O260" s="128">
        <v>277108</v>
      </c>
    </row>
    <row r="261" spans="1:15">
      <c r="A261" s="132" t="s">
        <v>329</v>
      </c>
      <c r="B261" s="123" t="s">
        <v>330</v>
      </c>
      <c r="C261" s="124">
        <v>2399</v>
      </c>
      <c r="D261" s="125">
        <v>3099.98</v>
      </c>
      <c r="E261" s="126">
        <v>370.19599999999997</v>
      </c>
      <c r="F261" s="126">
        <v>155.79519999999999</v>
      </c>
      <c r="G261" s="127">
        <v>8.373888426671277</v>
      </c>
      <c r="H261" s="127">
        <v>15.39842049049008</v>
      </c>
      <c r="I261" s="128">
        <v>19187140</v>
      </c>
      <c r="J261" s="128">
        <v>19227185</v>
      </c>
      <c r="K261" s="128">
        <v>19018745</v>
      </c>
      <c r="L261" s="128">
        <v>19406477</v>
      </c>
      <c r="M261" s="128">
        <v>19360702</v>
      </c>
      <c r="N261" s="128">
        <v>20455201</v>
      </c>
      <c r="O261" s="128">
        <v>5000097</v>
      </c>
    </row>
    <row r="262" spans="1:15">
      <c r="A262" s="132" t="s">
        <v>391</v>
      </c>
      <c r="B262" s="123" t="s">
        <v>392</v>
      </c>
      <c r="C262" s="124">
        <v>516</v>
      </c>
      <c r="D262" s="125">
        <v>897.24700000000007</v>
      </c>
      <c r="E262" s="126">
        <v>92.227199999999996</v>
      </c>
      <c r="F262" s="126">
        <v>51.373100000000001</v>
      </c>
      <c r="G262" s="127">
        <v>9.7286592241768162</v>
      </c>
      <c r="H262" s="127">
        <v>10.044167083551509</v>
      </c>
      <c r="I262" s="128">
        <v>5388305</v>
      </c>
      <c r="J262" s="128">
        <v>5360523</v>
      </c>
      <c r="K262" s="128">
        <v>5561666</v>
      </c>
      <c r="L262" s="128">
        <v>5456875</v>
      </c>
      <c r="M262" s="128">
        <v>5435688</v>
      </c>
      <c r="N262" s="128">
        <v>5590772</v>
      </c>
      <c r="O262" s="128">
        <v>735917</v>
      </c>
    </row>
    <row r="263" spans="1:15">
      <c r="A263" s="132" t="s">
        <v>860</v>
      </c>
      <c r="B263" s="123" t="s">
        <v>861</v>
      </c>
      <c r="C263" s="124">
        <v>133</v>
      </c>
      <c r="D263" s="125">
        <v>293.44200000000001</v>
      </c>
      <c r="E263" s="126">
        <v>30.0002</v>
      </c>
      <c r="F263" s="126">
        <v>18.0002</v>
      </c>
      <c r="G263" s="127">
        <v>9.7813347911013935</v>
      </c>
      <c r="H263" s="127">
        <v>7.3888067910356554</v>
      </c>
      <c r="I263" s="128">
        <v>1674807</v>
      </c>
      <c r="J263" s="128">
        <v>1641286</v>
      </c>
      <c r="K263" s="128">
        <v>1568146</v>
      </c>
      <c r="L263" s="128">
        <v>1767176</v>
      </c>
      <c r="M263" s="128">
        <v>1734860</v>
      </c>
      <c r="N263" s="128">
        <v>1777780</v>
      </c>
      <c r="O263" s="128">
        <v>279841</v>
      </c>
    </row>
    <row r="264" spans="1:15">
      <c r="A264" s="132" t="s">
        <v>1554</v>
      </c>
      <c r="B264" s="123" t="s">
        <v>1555</v>
      </c>
      <c r="C264" s="124">
        <v>40</v>
      </c>
      <c r="D264" s="125">
        <v>101.986</v>
      </c>
      <c r="E264" s="126">
        <v>10.486599999999999</v>
      </c>
      <c r="F264" s="126">
        <v>4</v>
      </c>
      <c r="G264" s="127">
        <v>9.7253637976083773</v>
      </c>
      <c r="H264" s="127">
        <v>10</v>
      </c>
      <c r="I264" s="128">
        <v>564202</v>
      </c>
      <c r="J264" s="128">
        <v>485490</v>
      </c>
      <c r="K264" s="128">
        <v>639168</v>
      </c>
      <c r="L264" s="128">
        <v>568515</v>
      </c>
      <c r="M264" s="128">
        <v>499266</v>
      </c>
      <c r="N264" s="128">
        <v>556973</v>
      </c>
      <c r="O264" s="128">
        <v>12092</v>
      </c>
    </row>
    <row r="265" spans="1:15">
      <c r="A265" s="132" t="s">
        <v>176</v>
      </c>
      <c r="B265" s="123" t="s">
        <v>177</v>
      </c>
      <c r="C265" s="124">
        <v>390</v>
      </c>
      <c r="D265" s="125">
        <v>712.86599999999999</v>
      </c>
      <c r="E265" s="126">
        <v>91.49969999999999</v>
      </c>
      <c r="F265" s="126">
        <v>33.4998</v>
      </c>
      <c r="G265" s="127">
        <v>7.7909107898714431</v>
      </c>
      <c r="H265" s="127">
        <v>11.641860548421185</v>
      </c>
      <c r="I265" s="128">
        <v>5905888</v>
      </c>
      <c r="J265" s="128">
        <v>4918106</v>
      </c>
      <c r="K265" s="128">
        <v>5086039</v>
      </c>
      <c r="L265" s="128">
        <v>5630853</v>
      </c>
      <c r="M265" s="128">
        <v>4653807</v>
      </c>
      <c r="N265" s="128">
        <v>5086497</v>
      </c>
      <c r="O265" s="128">
        <v>1044977</v>
      </c>
    </row>
    <row r="266" spans="1:15">
      <c r="A266" s="132" t="s">
        <v>1674</v>
      </c>
      <c r="B266" s="123" t="s">
        <v>1675</v>
      </c>
      <c r="C266" s="124">
        <v>1370</v>
      </c>
      <c r="D266" s="125">
        <v>1945.2160000000001</v>
      </c>
      <c r="E266" s="126">
        <v>219.16759999999999</v>
      </c>
      <c r="F266" s="126">
        <v>102.5235</v>
      </c>
      <c r="G266" s="127">
        <v>8.8754724694708536</v>
      </c>
      <c r="H266" s="127">
        <v>13.362789994489068</v>
      </c>
      <c r="I266" s="128">
        <v>11882577</v>
      </c>
      <c r="J266" s="128">
        <v>11903990</v>
      </c>
      <c r="K266" s="128">
        <v>12482031</v>
      </c>
      <c r="L266" s="128">
        <v>11991571</v>
      </c>
      <c r="M266" s="128">
        <v>11825722</v>
      </c>
      <c r="N266" s="128">
        <v>11904701</v>
      </c>
      <c r="O266" s="128">
        <v>2339414</v>
      </c>
    </row>
    <row r="267" spans="1:15">
      <c r="A267" s="132" t="s">
        <v>692</v>
      </c>
      <c r="B267" s="123" t="s">
        <v>693</v>
      </c>
      <c r="C267" s="124">
        <v>835</v>
      </c>
      <c r="D267" s="125">
        <v>1370.9490000000001</v>
      </c>
      <c r="E267" s="126">
        <v>121.9932</v>
      </c>
      <c r="F267" s="126">
        <v>65.993200000000002</v>
      </c>
      <c r="G267" s="127">
        <v>11.237913260739123</v>
      </c>
      <c r="H267" s="127">
        <v>12.652818775267754</v>
      </c>
      <c r="I267" s="128">
        <v>8014760</v>
      </c>
      <c r="J267" s="128">
        <v>7971489</v>
      </c>
      <c r="K267" s="128">
        <v>8355781</v>
      </c>
      <c r="L267" s="128">
        <v>8169161</v>
      </c>
      <c r="M267" s="128">
        <v>8040468</v>
      </c>
      <c r="N267" s="128">
        <v>8054977</v>
      </c>
      <c r="O267" s="128">
        <v>1662947</v>
      </c>
    </row>
    <row r="268" spans="1:15">
      <c r="A268" s="132" t="s">
        <v>387</v>
      </c>
      <c r="B268" s="123" t="s">
        <v>388</v>
      </c>
      <c r="C268" s="124">
        <v>838</v>
      </c>
      <c r="D268" s="125">
        <v>1256.6290000000001</v>
      </c>
      <c r="E268" s="126">
        <v>178.58890000000002</v>
      </c>
      <c r="F268" s="126">
        <v>92.058800000000005</v>
      </c>
      <c r="G268" s="127">
        <v>7.0364339553018134</v>
      </c>
      <c r="H268" s="127">
        <v>9.1028777259751372</v>
      </c>
      <c r="I268" s="128">
        <v>7866162</v>
      </c>
      <c r="J268" s="128">
        <v>8213799</v>
      </c>
      <c r="K268" s="128">
        <v>8982914</v>
      </c>
      <c r="L268" s="128">
        <v>8149785</v>
      </c>
      <c r="M268" s="128">
        <v>8523793</v>
      </c>
      <c r="N268" s="128">
        <v>8824001</v>
      </c>
      <c r="O268" s="128">
        <v>44530</v>
      </c>
    </row>
    <row r="269" spans="1:15">
      <c r="A269" s="132" t="s">
        <v>595</v>
      </c>
      <c r="B269" s="123" t="s">
        <v>596</v>
      </c>
      <c r="C269" s="124">
        <v>1159</v>
      </c>
      <c r="D269" s="125">
        <v>1579.3390000000002</v>
      </c>
      <c r="E269" s="126">
        <v>178.11359999999999</v>
      </c>
      <c r="F269" s="126">
        <v>101.0398</v>
      </c>
      <c r="G269" s="127">
        <v>8.8670320514548031</v>
      </c>
      <c r="H269" s="127">
        <v>11.470727376736692</v>
      </c>
      <c r="I269" s="128">
        <v>9226275</v>
      </c>
      <c r="J269" s="128">
        <v>8687675</v>
      </c>
      <c r="K269" s="128">
        <v>10976651</v>
      </c>
      <c r="L269" s="128">
        <v>9764024</v>
      </c>
      <c r="M269" s="128">
        <v>9269537</v>
      </c>
      <c r="N269" s="128">
        <v>9471955</v>
      </c>
      <c r="O269" s="128">
        <v>521463</v>
      </c>
    </row>
    <row r="270" spans="1:15">
      <c r="A270" s="132" t="s">
        <v>764</v>
      </c>
      <c r="B270" s="123" t="s">
        <v>765</v>
      </c>
      <c r="C270" s="124">
        <v>345</v>
      </c>
      <c r="D270" s="125">
        <v>556.70400000000006</v>
      </c>
      <c r="E270" s="126">
        <v>92.937399999999997</v>
      </c>
      <c r="F270" s="126">
        <v>34.017699999999998</v>
      </c>
      <c r="G270" s="127">
        <v>5.990096559619702</v>
      </c>
      <c r="H270" s="127">
        <v>10.141779132628015</v>
      </c>
      <c r="I270" s="128">
        <v>3423703</v>
      </c>
      <c r="J270" s="128">
        <v>3376866</v>
      </c>
      <c r="K270" s="128">
        <v>3357743</v>
      </c>
      <c r="L270" s="128">
        <v>3509958</v>
      </c>
      <c r="M270" s="128">
        <v>3132447</v>
      </c>
      <c r="N270" s="128">
        <v>3233384</v>
      </c>
      <c r="O270" s="128">
        <v>345835</v>
      </c>
    </row>
    <row r="271" spans="1:15">
      <c r="A271" s="132" t="s">
        <v>1558</v>
      </c>
      <c r="B271" s="123" t="s">
        <v>1559</v>
      </c>
      <c r="C271" s="124">
        <v>482</v>
      </c>
      <c r="D271" s="125">
        <v>756.16499999999996</v>
      </c>
      <c r="E271" s="126">
        <v>87.885499999999993</v>
      </c>
      <c r="F271" s="126">
        <v>44.002899999999997</v>
      </c>
      <c r="G271" s="127">
        <v>8.6039790409111863</v>
      </c>
      <c r="H271" s="127">
        <v>10.953823497996725</v>
      </c>
      <c r="I271" s="128">
        <v>4218626</v>
      </c>
      <c r="J271" s="128">
        <v>4269840</v>
      </c>
      <c r="K271" s="128">
        <v>4516299</v>
      </c>
      <c r="L271" s="128">
        <v>4212610</v>
      </c>
      <c r="M271" s="128">
        <v>4216831</v>
      </c>
      <c r="N271" s="128">
        <v>4369876</v>
      </c>
      <c r="O271" s="128">
        <v>843171</v>
      </c>
    </row>
    <row r="272" spans="1:15">
      <c r="A272" s="132" t="s">
        <v>1594</v>
      </c>
      <c r="B272" s="123" t="s">
        <v>1595</v>
      </c>
      <c r="C272" s="124">
        <v>211</v>
      </c>
      <c r="D272" s="125">
        <v>365.82</v>
      </c>
      <c r="E272" s="126">
        <v>41.158799999999999</v>
      </c>
      <c r="F272" s="126">
        <v>23.501100000000001</v>
      </c>
      <c r="G272" s="127">
        <v>8.8880142278200527</v>
      </c>
      <c r="H272" s="127">
        <v>8.9783031432571239</v>
      </c>
      <c r="I272" s="128">
        <v>2449920</v>
      </c>
      <c r="J272" s="128">
        <v>2242762</v>
      </c>
      <c r="K272" s="128">
        <v>2426446</v>
      </c>
      <c r="L272" s="128">
        <v>2421843</v>
      </c>
      <c r="M272" s="128">
        <v>2310722</v>
      </c>
      <c r="N272" s="128">
        <v>2306905</v>
      </c>
      <c r="O272" s="128">
        <v>176312</v>
      </c>
    </row>
    <row r="273" spans="1:15">
      <c r="A273" s="132" t="s">
        <v>597</v>
      </c>
      <c r="B273" s="123" t="s">
        <v>598</v>
      </c>
      <c r="C273" s="124">
        <v>27806</v>
      </c>
      <c r="D273" s="125">
        <v>33099.042000000001</v>
      </c>
      <c r="E273" s="126">
        <v>3401.5971</v>
      </c>
      <c r="F273" s="126">
        <v>1726.8964000000001</v>
      </c>
      <c r="G273" s="127">
        <v>9.7304416210844025</v>
      </c>
      <c r="H273" s="127">
        <v>16.101718667083908</v>
      </c>
      <c r="I273" s="128">
        <v>187896238</v>
      </c>
      <c r="J273" s="128">
        <v>190034367</v>
      </c>
      <c r="K273" s="128">
        <v>181443337</v>
      </c>
      <c r="L273" s="128">
        <v>189348425</v>
      </c>
      <c r="M273" s="128">
        <v>191420923</v>
      </c>
      <c r="N273" s="128">
        <v>189824571</v>
      </c>
      <c r="O273" s="128">
        <v>25679220</v>
      </c>
    </row>
    <row r="274" spans="1:15">
      <c r="A274" s="132" t="s">
        <v>1614</v>
      </c>
      <c r="B274" s="123" t="s">
        <v>1615</v>
      </c>
      <c r="C274" s="124">
        <v>303</v>
      </c>
      <c r="D274" s="125">
        <v>557.57299999999998</v>
      </c>
      <c r="E274" s="126">
        <v>58.679400000000001</v>
      </c>
      <c r="F274" s="126">
        <v>33.667900000000003</v>
      </c>
      <c r="G274" s="127">
        <v>9.5020228564027569</v>
      </c>
      <c r="H274" s="127">
        <v>8.9996703091074881</v>
      </c>
      <c r="I274" s="128">
        <v>4175518</v>
      </c>
      <c r="J274" s="128">
        <v>3884886</v>
      </c>
      <c r="K274" s="128">
        <v>4331937</v>
      </c>
      <c r="L274" s="128">
        <v>4441116</v>
      </c>
      <c r="M274" s="128">
        <v>4154040</v>
      </c>
      <c r="N274" s="128">
        <v>4446158</v>
      </c>
      <c r="O274" s="128">
        <v>1475819</v>
      </c>
    </row>
    <row r="275" spans="1:15">
      <c r="A275" s="132" t="s">
        <v>1400</v>
      </c>
      <c r="B275" s="123" t="s">
        <v>1401</v>
      </c>
      <c r="C275" s="124">
        <v>281</v>
      </c>
      <c r="D275" s="125">
        <v>563.13800000000003</v>
      </c>
      <c r="E275" s="126">
        <v>64.783199999999994</v>
      </c>
      <c r="F275" s="126">
        <v>30.5501</v>
      </c>
      <c r="G275" s="127">
        <v>8.6926548858346013</v>
      </c>
      <c r="H275" s="127">
        <v>9.1980058985076969</v>
      </c>
      <c r="I275" s="128">
        <v>3351509</v>
      </c>
      <c r="J275" s="128">
        <v>3472863</v>
      </c>
      <c r="K275" s="128">
        <v>3449945</v>
      </c>
      <c r="L275" s="128">
        <v>3210806</v>
      </c>
      <c r="M275" s="128">
        <v>3493359</v>
      </c>
      <c r="N275" s="128">
        <v>4097829</v>
      </c>
      <c r="O275" s="128">
        <v>324601</v>
      </c>
    </row>
    <row r="276" spans="1:15">
      <c r="A276" s="132" t="s">
        <v>130</v>
      </c>
      <c r="B276" s="123" t="s">
        <v>131</v>
      </c>
      <c r="C276" s="124">
        <v>320</v>
      </c>
      <c r="D276" s="125">
        <v>499.03200000000004</v>
      </c>
      <c r="E276" s="126">
        <v>46.4146</v>
      </c>
      <c r="F276" s="126">
        <v>24.852499999999999</v>
      </c>
      <c r="G276" s="127">
        <v>10.751616948115464</v>
      </c>
      <c r="H276" s="127">
        <v>12.875968212453476</v>
      </c>
      <c r="I276" s="128">
        <v>2590968</v>
      </c>
      <c r="J276" s="128">
        <v>2812363</v>
      </c>
      <c r="K276" s="128">
        <v>2875470</v>
      </c>
      <c r="L276" s="128">
        <v>2961079</v>
      </c>
      <c r="M276" s="128">
        <v>3012653</v>
      </c>
      <c r="N276" s="128">
        <v>2986002</v>
      </c>
      <c r="O276" s="128">
        <v>217805</v>
      </c>
    </row>
    <row r="277" spans="1:15">
      <c r="A277" s="132" t="s">
        <v>624</v>
      </c>
      <c r="B277" s="123" t="s">
        <v>625</v>
      </c>
      <c r="C277" s="124">
        <v>5821</v>
      </c>
      <c r="D277" s="125">
        <v>7310.31</v>
      </c>
      <c r="E277" s="126">
        <v>788.98609999999996</v>
      </c>
      <c r="F277" s="126">
        <v>390.89600000000002</v>
      </c>
      <c r="G277" s="127">
        <v>9.2654484027031661</v>
      </c>
      <c r="H277" s="127">
        <v>14.891428922270885</v>
      </c>
      <c r="I277" s="128">
        <v>43030362</v>
      </c>
      <c r="J277" s="128">
        <v>44217121</v>
      </c>
      <c r="K277" s="128">
        <v>41340444</v>
      </c>
      <c r="L277" s="128">
        <v>42215335</v>
      </c>
      <c r="M277" s="128">
        <v>43094410</v>
      </c>
      <c r="N277" s="128">
        <v>42270438</v>
      </c>
      <c r="O277" s="128">
        <v>7575750</v>
      </c>
    </row>
    <row r="278" spans="1:15">
      <c r="A278" s="132" t="s">
        <v>658</v>
      </c>
      <c r="B278" s="123" t="s">
        <v>659</v>
      </c>
      <c r="C278" s="124">
        <v>2437</v>
      </c>
      <c r="D278" s="125">
        <v>3260.6080000000002</v>
      </c>
      <c r="E278" s="126">
        <v>376.85519999999997</v>
      </c>
      <c r="F278" s="126">
        <v>158.93379999999999</v>
      </c>
      <c r="G278" s="127">
        <v>8.6521507464936143</v>
      </c>
      <c r="H278" s="127">
        <v>15.333428131712701</v>
      </c>
      <c r="I278" s="128">
        <v>16524979</v>
      </c>
      <c r="J278" s="128">
        <v>17246659</v>
      </c>
      <c r="K278" s="128">
        <v>17090122</v>
      </c>
      <c r="L278" s="128">
        <v>17608100</v>
      </c>
      <c r="M278" s="128">
        <v>18312341</v>
      </c>
      <c r="N278" s="128">
        <v>18434988</v>
      </c>
      <c r="O278" s="128">
        <v>2347059</v>
      </c>
    </row>
    <row r="279" spans="1:15">
      <c r="A279" s="132" t="s">
        <v>952</v>
      </c>
      <c r="B279" s="123" t="s">
        <v>953</v>
      </c>
      <c r="C279" s="124">
        <v>613</v>
      </c>
      <c r="D279" s="125">
        <v>917.81100000000004</v>
      </c>
      <c r="E279" s="126">
        <v>100.9883</v>
      </c>
      <c r="F279" s="126">
        <v>59.736499999999999</v>
      </c>
      <c r="G279" s="127">
        <v>9.0882904257225849</v>
      </c>
      <c r="H279" s="127">
        <v>10.261732776443214</v>
      </c>
      <c r="I279" s="128">
        <v>5905552</v>
      </c>
      <c r="J279" s="128">
        <v>5464615</v>
      </c>
      <c r="K279" s="128">
        <v>5346876</v>
      </c>
      <c r="L279" s="128">
        <v>5863536</v>
      </c>
      <c r="M279" s="128">
        <v>5479622</v>
      </c>
      <c r="N279" s="128">
        <v>5896171</v>
      </c>
      <c r="O279" s="128">
        <v>1165832</v>
      </c>
    </row>
    <row r="280" spans="1:15">
      <c r="A280" s="132" t="s">
        <v>1274</v>
      </c>
      <c r="B280" s="123" t="s">
        <v>1275</v>
      </c>
      <c r="C280" s="124">
        <v>7540</v>
      </c>
      <c r="D280" s="125">
        <v>8719.4709999999995</v>
      </c>
      <c r="E280" s="126">
        <v>932.93640000000005</v>
      </c>
      <c r="F280" s="126">
        <v>496.03289999999998</v>
      </c>
      <c r="G280" s="127">
        <v>9.346265190210179</v>
      </c>
      <c r="H280" s="127">
        <v>15.200604637313372</v>
      </c>
      <c r="I280" s="128">
        <v>52421332</v>
      </c>
      <c r="J280" s="128">
        <v>51101866</v>
      </c>
      <c r="K280" s="128">
        <v>52295822</v>
      </c>
      <c r="L280" s="128">
        <v>60599130</v>
      </c>
      <c r="M280" s="128">
        <v>58090296</v>
      </c>
      <c r="N280" s="128">
        <v>63091591</v>
      </c>
      <c r="O280" s="128">
        <v>15294402</v>
      </c>
    </row>
    <row r="281" spans="1:15">
      <c r="A281" s="132" t="s">
        <v>1285</v>
      </c>
      <c r="B281" s="123" t="s">
        <v>1286</v>
      </c>
      <c r="C281" s="124">
        <v>247</v>
      </c>
      <c r="D281" s="125">
        <v>424.00700000000001</v>
      </c>
      <c r="E281" s="126">
        <v>40.5989</v>
      </c>
      <c r="F281" s="126">
        <v>21</v>
      </c>
      <c r="G281" s="127">
        <v>10.443805127725135</v>
      </c>
      <c r="H281" s="127">
        <v>11.761904761904763</v>
      </c>
      <c r="I281" s="128">
        <v>2139211</v>
      </c>
      <c r="J281" s="128">
        <v>2275677</v>
      </c>
      <c r="K281" s="128">
        <v>2186905</v>
      </c>
      <c r="L281" s="128">
        <v>2210317</v>
      </c>
      <c r="M281" s="128">
        <v>2360810</v>
      </c>
      <c r="N281" s="128">
        <v>2578347</v>
      </c>
      <c r="O281" s="128">
        <v>204450</v>
      </c>
    </row>
    <row r="282" spans="1:15">
      <c r="A282" s="132" t="s">
        <v>1438</v>
      </c>
      <c r="B282" s="123" t="s">
        <v>1439</v>
      </c>
      <c r="C282" s="124">
        <v>1106</v>
      </c>
      <c r="D282" s="125">
        <v>1590.1170000000002</v>
      </c>
      <c r="E282" s="126">
        <v>170.7424</v>
      </c>
      <c r="F282" s="126">
        <v>89.083500000000001</v>
      </c>
      <c r="G282" s="127">
        <v>9.3129591712427615</v>
      </c>
      <c r="H282" s="127">
        <v>12.415318212688096</v>
      </c>
      <c r="I282" s="128">
        <v>8923890</v>
      </c>
      <c r="J282" s="128">
        <v>8782258</v>
      </c>
      <c r="K282" s="128">
        <v>9480136</v>
      </c>
      <c r="L282" s="128">
        <v>9503864</v>
      </c>
      <c r="M282" s="128">
        <v>9488952</v>
      </c>
      <c r="N282" s="128">
        <v>9773500</v>
      </c>
      <c r="O282" s="128">
        <v>1023064</v>
      </c>
    </row>
    <row r="283" spans="1:15">
      <c r="A283" s="132" t="s">
        <v>1568</v>
      </c>
      <c r="B283" s="123" t="s">
        <v>1569</v>
      </c>
      <c r="C283" s="124">
        <v>5494</v>
      </c>
      <c r="D283" s="125">
        <v>6710.634</v>
      </c>
      <c r="E283" s="126">
        <v>690.04219999999998</v>
      </c>
      <c r="F283" s="126">
        <v>339.8297</v>
      </c>
      <c r="G283" s="127">
        <v>9.7249617487162379</v>
      </c>
      <c r="H283" s="127">
        <v>16.166921254969768</v>
      </c>
      <c r="I283" s="128">
        <v>39118981</v>
      </c>
      <c r="J283" s="128">
        <v>40689679</v>
      </c>
      <c r="K283" s="128">
        <v>38617722</v>
      </c>
      <c r="L283" s="128">
        <v>40730949</v>
      </c>
      <c r="M283" s="128">
        <v>41876770</v>
      </c>
      <c r="N283" s="128">
        <v>40138780</v>
      </c>
      <c r="O283" s="128">
        <v>5654397</v>
      </c>
    </row>
    <row r="284" spans="1:15">
      <c r="A284" s="132" t="s">
        <v>1979</v>
      </c>
      <c r="B284" s="123" t="s">
        <v>1980</v>
      </c>
      <c r="C284" s="124">
        <v>7373</v>
      </c>
      <c r="D284" s="125">
        <v>8988.6810000000005</v>
      </c>
      <c r="E284" s="126">
        <v>1033.2163</v>
      </c>
      <c r="F284" s="126">
        <v>488.279</v>
      </c>
      <c r="G284" s="127">
        <v>8.6997088605744999</v>
      </c>
      <c r="H284" s="127">
        <v>15.09997358067826</v>
      </c>
      <c r="I284" s="128">
        <v>50200633</v>
      </c>
      <c r="J284" s="128">
        <v>52254458</v>
      </c>
      <c r="K284" s="128">
        <v>49374288</v>
      </c>
      <c r="L284" s="128">
        <v>50345902</v>
      </c>
      <c r="M284" s="128">
        <v>52370845</v>
      </c>
      <c r="N284" s="128">
        <v>53543378</v>
      </c>
      <c r="O284" s="128">
        <v>14468924</v>
      </c>
    </row>
    <row r="285" spans="1:15">
      <c r="A285" s="132" t="s">
        <v>1228</v>
      </c>
      <c r="B285" s="123" t="s">
        <v>1229</v>
      </c>
      <c r="C285" s="124">
        <v>1051</v>
      </c>
      <c r="D285" s="125">
        <v>1560.056</v>
      </c>
      <c r="E285" s="126">
        <v>146.9051</v>
      </c>
      <c r="F285" s="126">
        <v>79.8566</v>
      </c>
      <c r="G285" s="127">
        <v>10.619481556460599</v>
      </c>
      <c r="H285" s="127">
        <v>13.161091256076517</v>
      </c>
      <c r="I285" s="128">
        <v>9618703</v>
      </c>
      <c r="J285" s="128">
        <v>9614473</v>
      </c>
      <c r="K285" s="128">
        <v>8995624</v>
      </c>
      <c r="L285" s="128">
        <v>9992873</v>
      </c>
      <c r="M285" s="128">
        <v>9084674</v>
      </c>
      <c r="N285" s="128">
        <v>9787147</v>
      </c>
      <c r="O285" s="128">
        <v>911660</v>
      </c>
    </row>
    <row r="286" spans="1:15">
      <c r="A286" s="132" t="s">
        <v>405</v>
      </c>
      <c r="B286" s="123" t="s">
        <v>406</v>
      </c>
      <c r="C286" s="124">
        <v>11614</v>
      </c>
      <c r="D286" s="125">
        <v>13935.932000000001</v>
      </c>
      <c r="E286" s="126">
        <v>1310.8585</v>
      </c>
      <c r="F286" s="126">
        <v>658.26289999999995</v>
      </c>
      <c r="G286" s="127">
        <v>10.631148976033645</v>
      </c>
      <c r="H286" s="127">
        <v>17.643406608514624</v>
      </c>
      <c r="I286" s="128">
        <v>88534392</v>
      </c>
      <c r="J286" s="128">
        <v>86139624</v>
      </c>
      <c r="K286" s="128">
        <v>86286197</v>
      </c>
      <c r="L286" s="128">
        <v>87337756</v>
      </c>
      <c r="M286" s="128">
        <v>86663361</v>
      </c>
      <c r="N286" s="128">
        <v>85970235</v>
      </c>
      <c r="O286" s="128">
        <v>14975028</v>
      </c>
    </row>
    <row r="287" spans="1:15">
      <c r="A287" s="132" t="s">
        <v>614</v>
      </c>
      <c r="B287" s="123" t="s">
        <v>615</v>
      </c>
      <c r="C287" s="124">
        <v>64023</v>
      </c>
      <c r="D287" s="125">
        <v>79132.274000000005</v>
      </c>
      <c r="E287" s="126">
        <v>8591.8011000000006</v>
      </c>
      <c r="F287" s="126">
        <v>4394.9282999999996</v>
      </c>
      <c r="G287" s="127">
        <v>9.210207857349026</v>
      </c>
      <c r="H287" s="127">
        <v>14.567473148538056</v>
      </c>
      <c r="I287" s="128">
        <v>493524925</v>
      </c>
      <c r="J287" s="128">
        <v>483366650</v>
      </c>
      <c r="K287" s="128">
        <v>471448241</v>
      </c>
      <c r="L287" s="128">
        <v>467283244</v>
      </c>
      <c r="M287" s="128">
        <v>468516441</v>
      </c>
      <c r="N287" s="128">
        <v>463499896</v>
      </c>
      <c r="O287" s="128">
        <v>39352058</v>
      </c>
    </row>
    <row r="288" spans="1:15">
      <c r="A288" s="132" t="s">
        <v>644</v>
      </c>
      <c r="B288" s="123" t="s">
        <v>645</v>
      </c>
      <c r="C288" s="124">
        <v>2459</v>
      </c>
      <c r="D288" s="125">
        <v>3599.5320000000002</v>
      </c>
      <c r="E288" s="126">
        <v>372.5933</v>
      </c>
      <c r="F288" s="126">
        <v>174.09790000000001</v>
      </c>
      <c r="G288" s="127">
        <v>9.6607534273965747</v>
      </c>
      <c r="H288" s="127">
        <v>14.124236995391673</v>
      </c>
      <c r="I288" s="128">
        <v>19455952</v>
      </c>
      <c r="J288" s="128">
        <v>20088499</v>
      </c>
      <c r="K288" s="128">
        <v>20689827</v>
      </c>
      <c r="L288" s="128">
        <v>19520278</v>
      </c>
      <c r="M288" s="128">
        <v>20445340</v>
      </c>
      <c r="N288" s="128">
        <v>22009146</v>
      </c>
      <c r="O288" s="128">
        <v>4580639</v>
      </c>
    </row>
    <row r="289" spans="1:15">
      <c r="A289" s="132" t="s">
        <v>1676</v>
      </c>
      <c r="B289" s="123" t="s">
        <v>1677</v>
      </c>
      <c r="C289" s="124">
        <v>4083</v>
      </c>
      <c r="D289" s="125">
        <v>5484.2880000000005</v>
      </c>
      <c r="E289" s="126">
        <v>592.24090000000001</v>
      </c>
      <c r="F289" s="126">
        <v>256.23480000000001</v>
      </c>
      <c r="G289" s="127">
        <v>9.2602317739284814</v>
      </c>
      <c r="H289" s="127">
        <v>15.934603730640802</v>
      </c>
      <c r="I289" s="128">
        <v>33103703</v>
      </c>
      <c r="J289" s="128">
        <v>34424962</v>
      </c>
      <c r="K289" s="128">
        <v>33395556</v>
      </c>
      <c r="L289" s="128">
        <v>34033617</v>
      </c>
      <c r="M289" s="128">
        <v>36080277</v>
      </c>
      <c r="N289" s="128">
        <v>37160833</v>
      </c>
      <c r="O289" s="128">
        <v>3311755</v>
      </c>
    </row>
    <row r="290" spans="1:15">
      <c r="A290" s="132" t="s">
        <v>2082</v>
      </c>
      <c r="B290" s="123" t="s">
        <v>2083</v>
      </c>
      <c r="C290" s="124">
        <v>44468</v>
      </c>
      <c r="D290" s="125">
        <v>57021.050999999999</v>
      </c>
      <c r="E290" s="126">
        <v>6429.1763000000001</v>
      </c>
      <c r="F290" s="126">
        <v>3044.0882999999999</v>
      </c>
      <c r="G290" s="127">
        <v>8.8691067625568145</v>
      </c>
      <c r="H290" s="127">
        <v>14.607986240083772</v>
      </c>
      <c r="I290" s="128">
        <v>344674018</v>
      </c>
      <c r="J290" s="128">
        <v>366721591</v>
      </c>
      <c r="K290" s="128">
        <v>327791250</v>
      </c>
      <c r="L290" s="128">
        <v>346307404</v>
      </c>
      <c r="M290" s="128">
        <v>355558595</v>
      </c>
      <c r="N290" s="128">
        <v>361955854</v>
      </c>
      <c r="O290" s="128">
        <v>44424079</v>
      </c>
    </row>
    <row r="291" spans="1:15">
      <c r="A291" s="132" t="s">
        <v>98</v>
      </c>
      <c r="B291" s="123" t="s">
        <v>99</v>
      </c>
      <c r="C291" s="124">
        <v>849</v>
      </c>
      <c r="D291" s="125">
        <v>1256.797</v>
      </c>
      <c r="E291" s="126">
        <v>132.39840000000001</v>
      </c>
      <c r="F291" s="126">
        <v>57.713500000000003</v>
      </c>
      <c r="G291" s="127">
        <v>9.4925391847635616</v>
      </c>
      <c r="H291" s="127">
        <v>14.710596307623</v>
      </c>
      <c r="I291" s="128">
        <v>7038714</v>
      </c>
      <c r="J291" s="128">
        <v>7198593</v>
      </c>
      <c r="K291" s="128">
        <v>7929976</v>
      </c>
      <c r="L291" s="128">
        <v>7038705</v>
      </c>
      <c r="M291" s="128">
        <v>7224592</v>
      </c>
      <c r="N291" s="128">
        <v>7681164</v>
      </c>
      <c r="O291" s="128">
        <v>2120563</v>
      </c>
    </row>
    <row r="292" spans="1:15">
      <c r="A292" s="132" t="s">
        <v>323</v>
      </c>
      <c r="B292" s="123" t="s">
        <v>324</v>
      </c>
      <c r="C292" s="124">
        <v>5938</v>
      </c>
      <c r="D292" s="125">
        <v>7624.5390000000007</v>
      </c>
      <c r="E292" s="126">
        <v>792.16470000000004</v>
      </c>
      <c r="F292" s="126">
        <v>366.1001</v>
      </c>
      <c r="G292" s="127">
        <v>9.6249416314561866</v>
      </c>
      <c r="H292" s="127">
        <v>16.219607697457608</v>
      </c>
      <c r="I292" s="128">
        <v>47308023</v>
      </c>
      <c r="J292" s="128">
        <v>46179141</v>
      </c>
      <c r="K292" s="128">
        <v>48350570</v>
      </c>
      <c r="L292" s="128">
        <v>45498252</v>
      </c>
      <c r="M292" s="128">
        <v>46337661</v>
      </c>
      <c r="N292" s="128">
        <v>47979456</v>
      </c>
      <c r="O292" s="128">
        <v>5045692</v>
      </c>
    </row>
    <row r="293" spans="1:15">
      <c r="A293" s="132" t="s">
        <v>1900</v>
      </c>
      <c r="B293" s="123" t="s">
        <v>1901</v>
      </c>
      <c r="C293" s="124">
        <v>1342</v>
      </c>
      <c r="D293" s="125">
        <v>1866.8310000000001</v>
      </c>
      <c r="E293" s="126">
        <v>176.8947</v>
      </c>
      <c r="F293" s="126">
        <v>87.526600000000002</v>
      </c>
      <c r="G293" s="127">
        <v>10.553346143214014</v>
      </c>
      <c r="H293" s="127">
        <v>15.332481782680922</v>
      </c>
      <c r="I293" s="128">
        <v>10576126</v>
      </c>
      <c r="J293" s="128">
        <v>10684360</v>
      </c>
      <c r="K293" s="128">
        <v>10885888</v>
      </c>
      <c r="L293" s="128">
        <v>10576128</v>
      </c>
      <c r="M293" s="128">
        <v>10684357</v>
      </c>
      <c r="N293" s="128">
        <v>11289409</v>
      </c>
      <c r="O293" s="128">
        <v>905297</v>
      </c>
    </row>
    <row r="294" spans="1:15">
      <c r="A294" s="132" t="s">
        <v>1774</v>
      </c>
      <c r="B294" s="123" t="s">
        <v>1775</v>
      </c>
      <c r="C294" s="124">
        <v>42287</v>
      </c>
      <c r="D294" s="125">
        <v>53039.699000000001</v>
      </c>
      <c r="E294" s="126">
        <v>4890.5789000000004</v>
      </c>
      <c r="F294" s="126">
        <v>2462.9648000000002</v>
      </c>
      <c r="G294" s="127">
        <v>10.845280300047914</v>
      </c>
      <c r="H294" s="127">
        <v>17.169145088878249</v>
      </c>
      <c r="I294" s="128">
        <v>273147230</v>
      </c>
      <c r="J294" s="128">
        <v>286884282</v>
      </c>
      <c r="K294" s="128">
        <v>286914791</v>
      </c>
      <c r="L294" s="128">
        <v>273147244</v>
      </c>
      <c r="M294" s="128">
        <v>288494284</v>
      </c>
      <c r="N294" s="128">
        <v>290936120</v>
      </c>
      <c r="O294" s="128">
        <v>36447671</v>
      </c>
    </row>
    <row r="295" spans="1:15">
      <c r="A295" s="132" t="s">
        <v>1884</v>
      </c>
      <c r="B295" s="123" t="s">
        <v>1885</v>
      </c>
      <c r="C295" s="124">
        <v>68</v>
      </c>
      <c r="D295" s="125">
        <v>127.131</v>
      </c>
      <c r="E295" s="126">
        <v>11.4732</v>
      </c>
      <c r="F295" s="126">
        <v>7.2171000000000003</v>
      </c>
      <c r="G295" s="127">
        <v>11.080692396192866</v>
      </c>
      <c r="H295" s="127">
        <v>9.4220670352357594</v>
      </c>
      <c r="I295" s="128">
        <v>635855</v>
      </c>
      <c r="J295" s="128">
        <v>644616</v>
      </c>
      <c r="K295" s="128">
        <v>662768</v>
      </c>
      <c r="L295" s="128">
        <v>656530</v>
      </c>
      <c r="M295" s="128">
        <v>651616</v>
      </c>
      <c r="N295" s="128">
        <v>676724</v>
      </c>
      <c r="O295" s="128">
        <v>112756</v>
      </c>
    </row>
    <row r="296" spans="1:15">
      <c r="A296" s="132" t="s">
        <v>575</v>
      </c>
      <c r="B296" s="123" t="s">
        <v>576</v>
      </c>
      <c r="C296" s="124">
        <v>1254</v>
      </c>
      <c r="D296" s="125">
        <v>1697.3320000000001</v>
      </c>
      <c r="E296" s="126">
        <v>210.84910000000002</v>
      </c>
      <c r="F296" s="126">
        <v>100.10809999999999</v>
      </c>
      <c r="G296" s="127">
        <v>8.0499845624192847</v>
      </c>
      <c r="H296" s="127">
        <v>12.526458897931336</v>
      </c>
      <c r="I296" s="128">
        <v>11140376</v>
      </c>
      <c r="J296" s="128">
        <v>9637287</v>
      </c>
      <c r="K296" s="128">
        <v>10158543</v>
      </c>
      <c r="L296" s="128">
        <v>10377567</v>
      </c>
      <c r="M296" s="128">
        <v>9665909</v>
      </c>
      <c r="N296" s="128">
        <v>10493809</v>
      </c>
      <c r="O296" s="128">
        <v>3025776</v>
      </c>
    </row>
    <row r="297" spans="1:15">
      <c r="A297" s="132" t="s">
        <v>1820</v>
      </c>
      <c r="B297" s="123" t="s">
        <v>1821</v>
      </c>
      <c r="C297" s="124">
        <v>3623</v>
      </c>
      <c r="D297" s="125">
        <v>4433.3180000000002</v>
      </c>
      <c r="E297" s="126">
        <v>429.79939999999999</v>
      </c>
      <c r="F297" s="126">
        <v>232.13679999999999</v>
      </c>
      <c r="G297" s="127">
        <v>10.314853859730842</v>
      </c>
      <c r="H297" s="127">
        <v>15.607176458019582</v>
      </c>
      <c r="I297" s="128">
        <v>24950869</v>
      </c>
      <c r="J297" s="128">
        <v>25224242</v>
      </c>
      <c r="K297" s="128">
        <v>23910064</v>
      </c>
      <c r="L297" s="128">
        <v>24982341</v>
      </c>
      <c r="M297" s="128">
        <v>25624219</v>
      </c>
      <c r="N297" s="128">
        <v>25306337</v>
      </c>
      <c r="O297" s="128">
        <v>4621004</v>
      </c>
    </row>
    <row r="298" spans="1:15">
      <c r="A298" s="132" t="s">
        <v>205</v>
      </c>
      <c r="B298" s="123" t="s">
        <v>206</v>
      </c>
      <c r="C298" s="124">
        <v>96</v>
      </c>
      <c r="D298" s="125">
        <v>141.68299999999999</v>
      </c>
      <c r="E298" s="126">
        <v>15.1015</v>
      </c>
      <c r="F298" s="126">
        <v>10.3696</v>
      </c>
      <c r="G298" s="127">
        <v>9.3820481409131542</v>
      </c>
      <c r="H298" s="127">
        <v>9.2578305817003539</v>
      </c>
      <c r="I298" s="128">
        <v>837783</v>
      </c>
      <c r="J298" s="128">
        <v>926251</v>
      </c>
      <c r="K298" s="128">
        <v>901028</v>
      </c>
      <c r="L298" s="128">
        <v>929279</v>
      </c>
      <c r="M298" s="128">
        <v>1005865</v>
      </c>
      <c r="N298" s="128">
        <v>1123678</v>
      </c>
      <c r="O298" s="128">
        <v>650050</v>
      </c>
    </row>
    <row r="299" spans="1:15">
      <c r="A299" s="132" t="s">
        <v>908</v>
      </c>
      <c r="B299" s="123" t="s">
        <v>909</v>
      </c>
      <c r="C299" s="124">
        <v>188</v>
      </c>
      <c r="D299" s="125">
        <v>306.02300000000002</v>
      </c>
      <c r="E299" s="126">
        <v>34.922200000000004</v>
      </c>
      <c r="F299" s="126">
        <v>20</v>
      </c>
      <c r="G299" s="127">
        <v>8.7629931676698494</v>
      </c>
      <c r="H299" s="127">
        <v>9.4</v>
      </c>
      <c r="I299" s="128">
        <v>1857546</v>
      </c>
      <c r="J299" s="128">
        <v>1771101</v>
      </c>
      <c r="K299" s="128">
        <v>1781004</v>
      </c>
      <c r="L299" s="128">
        <v>1933061</v>
      </c>
      <c r="M299" s="128">
        <v>1825285</v>
      </c>
      <c r="N299" s="128">
        <v>1889001</v>
      </c>
      <c r="O299" s="128">
        <v>266109</v>
      </c>
    </row>
    <row r="300" spans="1:15">
      <c r="A300" s="132" t="s">
        <v>1124</v>
      </c>
      <c r="B300" s="123" t="s">
        <v>1125</v>
      </c>
      <c r="C300" s="124">
        <v>235</v>
      </c>
      <c r="D300" s="125">
        <v>361.69600000000003</v>
      </c>
      <c r="E300" s="126">
        <v>42.706599999999995</v>
      </c>
      <c r="F300" s="126">
        <v>22.396100000000001</v>
      </c>
      <c r="G300" s="127">
        <v>8.469323242777465</v>
      </c>
      <c r="H300" s="127">
        <v>10.492898317117712</v>
      </c>
      <c r="I300" s="128">
        <v>2176576</v>
      </c>
      <c r="J300" s="128">
        <v>2166594</v>
      </c>
      <c r="K300" s="128">
        <v>2260284</v>
      </c>
      <c r="L300" s="128">
        <v>2216257</v>
      </c>
      <c r="M300" s="128">
        <v>1978731</v>
      </c>
      <c r="N300" s="128">
        <v>2135969</v>
      </c>
      <c r="O300" s="128">
        <v>956546</v>
      </c>
    </row>
    <row r="301" spans="1:15">
      <c r="A301" s="132" t="s">
        <v>1311</v>
      </c>
      <c r="B301" s="123" t="s">
        <v>1312</v>
      </c>
      <c r="C301" s="124">
        <v>116</v>
      </c>
      <c r="D301" s="125">
        <v>175.083</v>
      </c>
      <c r="E301" s="126">
        <v>15.319600000000001</v>
      </c>
      <c r="F301" s="126">
        <v>11.301600000000001</v>
      </c>
      <c r="G301" s="127">
        <v>11.428692655160708</v>
      </c>
      <c r="H301" s="127">
        <v>10.264033411198414</v>
      </c>
      <c r="I301" s="128">
        <v>1034731</v>
      </c>
      <c r="J301" s="128">
        <v>979100</v>
      </c>
      <c r="K301" s="128">
        <v>893605</v>
      </c>
      <c r="L301" s="128">
        <v>1023725</v>
      </c>
      <c r="M301" s="128">
        <v>1003042</v>
      </c>
      <c r="N301" s="128">
        <v>1056215</v>
      </c>
      <c r="O301" s="128">
        <v>248113</v>
      </c>
    </row>
    <row r="302" spans="1:15">
      <c r="A302" s="132" t="s">
        <v>377</v>
      </c>
      <c r="B302" s="123" t="s">
        <v>378</v>
      </c>
      <c r="C302" s="124">
        <v>506</v>
      </c>
      <c r="D302" s="125">
        <v>834.78300000000002</v>
      </c>
      <c r="E302" s="126">
        <v>79.599400000000003</v>
      </c>
      <c r="F302" s="126">
        <v>45.801400000000001</v>
      </c>
      <c r="G302" s="127">
        <v>10.487302668110564</v>
      </c>
      <c r="H302" s="127">
        <v>11.047697231962342</v>
      </c>
      <c r="I302" s="128">
        <v>3877527</v>
      </c>
      <c r="J302" s="128">
        <v>4151102</v>
      </c>
      <c r="K302" s="128">
        <v>3862141</v>
      </c>
      <c r="L302" s="128">
        <v>4128790</v>
      </c>
      <c r="M302" s="128">
        <v>4181098</v>
      </c>
      <c r="N302" s="128">
        <v>4549221</v>
      </c>
      <c r="O302" s="128">
        <v>545130</v>
      </c>
    </row>
    <row r="303" spans="1:15">
      <c r="A303" s="132" t="s">
        <v>1208</v>
      </c>
      <c r="B303" s="123" t="s">
        <v>1209</v>
      </c>
      <c r="C303" s="124">
        <v>1106</v>
      </c>
      <c r="D303" s="125">
        <v>1877.5020000000002</v>
      </c>
      <c r="E303" s="126">
        <v>267.20550000000003</v>
      </c>
      <c r="F303" s="126">
        <v>104.06359999999999</v>
      </c>
      <c r="G303" s="127">
        <v>7.0264347103633717</v>
      </c>
      <c r="H303" s="127">
        <v>10.628115882979255</v>
      </c>
      <c r="I303" s="128">
        <v>10601906</v>
      </c>
      <c r="J303" s="128">
        <v>9602935</v>
      </c>
      <c r="K303" s="128">
        <v>9492080</v>
      </c>
      <c r="L303" s="128">
        <v>11277634</v>
      </c>
      <c r="M303" s="128">
        <v>10821782</v>
      </c>
      <c r="N303" s="128">
        <v>10820554</v>
      </c>
      <c r="O303" s="128">
        <v>2795626</v>
      </c>
    </row>
    <row r="304" spans="1:15">
      <c r="A304" s="132" t="s">
        <v>2011</v>
      </c>
      <c r="B304" s="123" t="s">
        <v>2012</v>
      </c>
      <c r="C304" s="124">
        <v>155</v>
      </c>
      <c r="D304" s="125">
        <v>243.852</v>
      </c>
      <c r="E304" s="126">
        <v>20.9999</v>
      </c>
      <c r="F304" s="126">
        <v>12.106299999999999</v>
      </c>
      <c r="G304" s="127">
        <v>11.612055295501408</v>
      </c>
      <c r="H304" s="127">
        <v>12.803251199788541</v>
      </c>
      <c r="I304" s="128">
        <v>1248580</v>
      </c>
      <c r="J304" s="128">
        <v>1200324</v>
      </c>
      <c r="K304" s="128">
        <v>1251181</v>
      </c>
      <c r="L304" s="128">
        <v>1341251</v>
      </c>
      <c r="M304" s="128">
        <v>1306154</v>
      </c>
      <c r="N304" s="128">
        <v>1356499</v>
      </c>
      <c r="O304" s="128">
        <v>412572</v>
      </c>
    </row>
    <row r="305" spans="1:15">
      <c r="A305" s="132" t="s">
        <v>1628</v>
      </c>
      <c r="B305" s="123" t="s">
        <v>1629</v>
      </c>
      <c r="C305" s="124">
        <v>760</v>
      </c>
      <c r="D305" s="125">
        <v>1297.7070000000001</v>
      </c>
      <c r="E305" s="126">
        <v>164.90770000000001</v>
      </c>
      <c r="F305" s="126">
        <v>77.144900000000007</v>
      </c>
      <c r="G305" s="127">
        <v>7.8692929438710264</v>
      </c>
      <c r="H305" s="127">
        <v>9.8515909671280912</v>
      </c>
      <c r="I305" s="128">
        <v>8287147</v>
      </c>
      <c r="J305" s="128">
        <v>8994212</v>
      </c>
      <c r="K305" s="128">
        <v>7156934</v>
      </c>
      <c r="L305" s="128">
        <v>7750086</v>
      </c>
      <c r="M305" s="128">
        <v>8117644</v>
      </c>
      <c r="N305" s="128">
        <v>7073719</v>
      </c>
      <c r="O305" s="128">
        <v>2157468</v>
      </c>
    </row>
    <row r="306" spans="1:15">
      <c r="A306" s="132" t="s">
        <v>215</v>
      </c>
      <c r="B306" s="123" t="s">
        <v>216</v>
      </c>
      <c r="C306" s="124">
        <v>1923</v>
      </c>
      <c r="D306" s="125">
        <v>2524.8270000000002</v>
      </c>
      <c r="E306" s="126">
        <v>305.23070000000001</v>
      </c>
      <c r="F306" s="126">
        <v>148.9579</v>
      </c>
      <c r="G306" s="127">
        <v>8.2718645273886278</v>
      </c>
      <c r="H306" s="127">
        <v>12.909687905106074</v>
      </c>
      <c r="I306" s="128">
        <v>14326446</v>
      </c>
      <c r="J306" s="128">
        <v>14202930</v>
      </c>
      <c r="K306" s="128">
        <v>14094530</v>
      </c>
      <c r="L306" s="128">
        <v>14913118</v>
      </c>
      <c r="M306" s="128">
        <v>14129142</v>
      </c>
      <c r="N306" s="128">
        <v>14983277</v>
      </c>
      <c r="O306" s="128">
        <v>3770784</v>
      </c>
    </row>
    <row r="307" spans="1:15">
      <c r="A307" s="132" t="s">
        <v>563</v>
      </c>
      <c r="B307" s="123" t="s">
        <v>564</v>
      </c>
      <c r="C307" s="124">
        <v>329</v>
      </c>
      <c r="D307" s="125">
        <v>487.13600000000002</v>
      </c>
      <c r="E307" s="126">
        <v>46.9268</v>
      </c>
      <c r="F307" s="126">
        <v>29.7684</v>
      </c>
      <c r="G307" s="127">
        <v>10.380763231245259</v>
      </c>
      <c r="H307" s="127">
        <v>11.051988014135794</v>
      </c>
      <c r="I307" s="128">
        <v>2565634</v>
      </c>
      <c r="J307" s="128">
        <v>2609432</v>
      </c>
      <c r="K307" s="128">
        <v>2576899</v>
      </c>
      <c r="L307" s="128">
        <v>2636709</v>
      </c>
      <c r="M307" s="128">
        <v>2626026</v>
      </c>
      <c r="N307" s="128">
        <v>2708616</v>
      </c>
      <c r="O307" s="128">
        <v>396360</v>
      </c>
    </row>
    <row r="308" spans="1:15">
      <c r="A308" s="132" t="s">
        <v>599</v>
      </c>
      <c r="B308" s="123" t="s">
        <v>600</v>
      </c>
      <c r="C308" s="124">
        <v>283</v>
      </c>
      <c r="D308" s="125">
        <v>445.04</v>
      </c>
      <c r="E308" s="126">
        <v>47.9619</v>
      </c>
      <c r="F308" s="126">
        <v>23.999300000000002</v>
      </c>
      <c r="G308" s="127">
        <v>9.2790318982358926</v>
      </c>
      <c r="H308" s="127">
        <v>11.792010600309174</v>
      </c>
      <c r="I308" s="128">
        <v>2526510</v>
      </c>
      <c r="J308" s="128">
        <v>2447553</v>
      </c>
      <c r="K308" s="128">
        <v>2393288</v>
      </c>
      <c r="L308" s="128">
        <v>2515723</v>
      </c>
      <c r="M308" s="128">
        <v>2591416</v>
      </c>
      <c r="N308" s="128">
        <v>2363588</v>
      </c>
      <c r="O308" s="128">
        <v>380939</v>
      </c>
    </row>
    <row r="309" spans="1:15">
      <c r="A309" s="132" t="s">
        <v>897</v>
      </c>
      <c r="B309" s="123" t="s">
        <v>898</v>
      </c>
      <c r="C309" s="124">
        <v>601</v>
      </c>
      <c r="D309" s="125">
        <v>937.88700000000006</v>
      </c>
      <c r="E309" s="126">
        <v>142.1233</v>
      </c>
      <c r="F309" s="126">
        <v>58.119300000000003</v>
      </c>
      <c r="G309" s="127">
        <v>6.5991079576677434</v>
      </c>
      <c r="H309" s="127">
        <v>10.340799011688027</v>
      </c>
      <c r="I309" s="128">
        <v>5424219</v>
      </c>
      <c r="J309" s="128">
        <v>5407739</v>
      </c>
      <c r="K309" s="128">
        <v>5297119</v>
      </c>
      <c r="L309" s="128">
        <v>5564922</v>
      </c>
      <c r="M309" s="128">
        <v>5610974</v>
      </c>
      <c r="N309" s="128">
        <v>5634638</v>
      </c>
      <c r="O309" s="128">
        <v>876985</v>
      </c>
    </row>
    <row r="310" spans="1:15">
      <c r="A310" s="132" t="s">
        <v>1102</v>
      </c>
      <c r="B310" s="123" t="s">
        <v>1103</v>
      </c>
      <c r="C310" s="124">
        <v>893</v>
      </c>
      <c r="D310" s="125">
        <v>1328.94</v>
      </c>
      <c r="E310" s="126">
        <v>122.0467</v>
      </c>
      <c r="F310" s="126">
        <v>63.902299999999997</v>
      </c>
      <c r="G310" s="127">
        <v>10.888782736444329</v>
      </c>
      <c r="H310" s="127">
        <v>13.974457883362572</v>
      </c>
      <c r="I310" s="128">
        <v>8217178</v>
      </c>
      <c r="J310" s="128">
        <v>7986234</v>
      </c>
      <c r="K310" s="128">
        <v>8153755</v>
      </c>
      <c r="L310" s="128">
        <v>7915770</v>
      </c>
      <c r="M310" s="128">
        <v>7890319</v>
      </c>
      <c r="N310" s="128">
        <v>8307997</v>
      </c>
      <c r="O310" s="128">
        <v>1274846</v>
      </c>
    </row>
    <row r="311" spans="1:15">
      <c r="A311" s="132" t="s">
        <v>1708</v>
      </c>
      <c r="B311" s="123" t="s">
        <v>1709</v>
      </c>
      <c r="C311" s="124">
        <v>308</v>
      </c>
      <c r="D311" s="125">
        <v>495.75600000000003</v>
      </c>
      <c r="E311" s="126">
        <v>53.744900000000001</v>
      </c>
      <c r="F311" s="126">
        <v>28.028300000000002</v>
      </c>
      <c r="G311" s="127">
        <v>9.2242426723279802</v>
      </c>
      <c r="H311" s="127">
        <v>10.988893368488277</v>
      </c>
      <c r="I311" s="128">
        <v>2787540</v>
      </c>
      <c r="J311" s="128">
        <v>2727586</v>
      </c>
      <c r="K311" s="128">
        <v>2738560</v>
      </c>
      <c r="L311" s="128">
        <v>2776840</v>
      </c>
      <c r="M311" s="128">
        <v>2705000</v>
      </c>
      <c r="N311" s="128">
        <v>2786728</v>
      </c>
      <c r="O311" s="128">
        <v>442550</v>
      </c>
    </row>
    <row r="312" spans="1:15">
      <c r="A312" s="132" t="s">
        <v>1904</v>
      </c>
      <c r="B312" s="123" t="s">
        <v>1905</v>
      </c>
      <c r="C312" s="124">
        <v>548</v>
      </c>
      <c r="D312" s="125">
        <v>825.95500000000004</v>
      </c>
      <c r="E312" s="126">
        <v>89.779799999999994</v>
      </c>
      <c r="F312" s="126">
        <v>45.611400000000003</v>
      </c>
      <c r="G312" s="127">
        <v>9.1997865889654484</v>
      </c>
      <c r="H312" s="127">
        <v>12.014540224592974</v>
      </c>
      <c r="I312" s="128">
        <v>4800739</v>
      </c>
      <c r="J312" s="128">
        <v>4762691</v>
      </c>
      <c r="K312" s="128">
        <v>5079448</v>
      </c>
      <c r="L312" s="128">
        <v>5376809</v>
      </c>
      <c r="M312" s="128">
        <v>5023296</v>
      </c>
      <c r="N312" s="128">
        <v>5115853</v>
      </c>
      <c r="O312" s="128">
        <v>394829</v>
      </c>
    </row>
    <row r="313" spans="1:15">
      <c r="A313" s="132" t="s">
        <v>1662</v>
      </c>
      <c r="B313" s="123" t="s">
        <v>1663</v>
      </c>
      <c r="C313" s="124">
        <v>444</v>
      </c>
      <c r="D313" s="125">
        <v>669.327</v>
      </c>
      <c r="E313" s="126">
        <v>60.003900000000002</v>
      </c>
      <c r="F313" s="126">
        <v>40.0137</v>
      </c>
      <c r="G313" s="127">
        <v>11.154724942878712</v>
      </c>
      <c r="H313" s="127">
        <v>11.096199551653559</v>
      </c>
      <c r="I313" s="128">
        <v>3761515</v>
      </c>
      <c r="J313" s="128">
        <v>3681170</v>
      </c>
      <c r="K313" s="128">
        <v>3668895</v>
      </c>
      <c r="L313" s="128">
        <v>3856503</v>
      </c>
      <c r="M313" s="128">
        <v>3841379</v>
      </c>
      <c r="N313" s="128">
        <v>4088725</v>
      </c>
      <c r="O313" s="128">
        <v>614895</v>
      </c>
    </row>
    <row r="314" spans="1:15">
      <c r="A314" s="132" t="s">
        <v>660</v>
      </c>
      <c r="B314" s="123" t="s">
        <v>661</v>
      </c>
      <c r="C314" s="124">
        <v>577</v>
      </c>
      <c r="D314" s="125">
        <v>856.45900000000006</v>
      </c>
      <c r="E314" s="126">
        <v>97.684399999999997</v>
      </c>
      <c r="F314" s="126">
        <v>53.183700000000002</v>
      </c>
      <c r="G314" s="127">
        <v>8.7676128429923317</v>
      </c>
      <c r="H314" s="127">
        <v>10.849188755201311</v>
      </c>
      <c r="I314" s="128">
        <v>5018465</v>
      </c>
      <c r="J314" s="128">
        <v>5187194</v>
      </c>
      <c r="K314" s="128">
        <v>4931187</v>
      </c>
      <c r="L314" s="128">
        <v>5074473</v>
      </c>
      <c r="M314" s="128">
        <v>5392092</v>
      </c>
      <c r="N314" s="128">
        <v>5417957</v>
      </c>
      <c r="O314" s="128">
        <v>1301837</v>
      </c>
    </row>
    <row r="315" spans="1:15">
      <c r="A315" s="132" t="s">
        <v>1044</v>
      </c>
      <c r="B315" s="123" t="s">
        <v>1045</v>
      </c>
      <c r="C315" s="124">
        <v>1884</v>
      </c>
      <c r="D315" s="125">
        <v>2436.2440000000001</v>
      </c>
      <c r="E315" s="126">
        <v>300.67250000000001</v>
      </c>
      <c r="F315" s="126">
        <v>143.81610000000001</v>
      </c>
      <c r="G315" s="127">
        <v>8.1026498931561743</v>
      </c>
      <c r="H315" s="127">
        <v>13.100063205718969</v>
      </c>
      <c r="I315" s="128">
        <v>15424439</v>
      </c>
      <c r="J315" s="128">
        <v>15510761</v>
      </c>
      <c r="K315" s="128">
        <v>14710262</v>
      </c>
      <c r="L315" s="128">
        <v>16160253</v>
      </c>
      <c r="M315" s="128">
        <v>16513121</v>
      </c>
      <c r="N315" s="128">
        <v>16981478</v>
      </c>
      <c r="O315" s="128">
        <v>2456315</v>
      </c>
    </row>
    <row r="316" spans="1:15">
      <c r="A316" s="132" t="s">
        <v>1714</v>
      </c>
      <c r="B316" s="123" t="s">
        <v>1715</v>
      </c>
      <c r="C316" s="124">
        <v>720</v>
      </c>
      <c r="D316" s="125">
        <v>1070.617</v>
      </c>
      <c r="E316" s="126">
        <v>113.9616</v>
      </c>
      <c r="F316" s="126">
        <v>58.765000000000001</v>
      </c>
      <c r="G316" s="127">
        <v>9.3945416701766202</v>
      </c>
      <c r="H316" s="127">
        <v>12.252190929975326</v>
      </c>
      <c r="I316" s="128">
        <v>6339824</v>
      </c>
      <c r="J316" s="128">
        <v>6207204</v>
      </c>
      <c r="K316" s="128">
        <v>6363050</v>
      </c>
      <c r="L316" s="128">
        <v>6495361</v>
      </c>
      <c r="M316" s="128">
        <v>6385741</v>
      </c>
      <c r="N316" s="128">
        <v>6476406</v>
      </c>
      <c r="O316" s="128">
        <v>443122</v>
      </c>
    </row>
    <row r="317" spans="1:15">
      <c r="A317" s="132" t="s">
        <v>656</v>
      </c>
      <c r="B317" s="123" t="s">
        <v>657</v>
      </c>
      <c r="C317" s="124">
        <v>219</v>
      </c>
      <c r="D317" s="125">
        <v>322.68600000000004</v>
      </c>
      <c r="E317" s="126">
        <v>38.721699999999998</v>
      </c>
      <c r="F317" s="126">
        <v>22.500800000000002</v>
      </c>
      <c r="G317" s="127">
        <v>8.3334667641141795</v>
      </c>
      <c r="H317" s="127">
        <v>9.7329872715636778</v>
      </c>
      <c r="I317" s="128">
        <v>1988188</v>
      </c>
      <c r="J317" s="128">
        <v>2082768</v>
      </c>
      <c r="K317" s="128">
        <v>2147132</v>
      </c>
      <c r="L317" s="128">
        <v>1704804</v>
      </c>
      <c r="M317" s="128">
        <v>2004027</v>
      </c>
      <c r="N317" s="128">
        <v>2119064</v>
      </c>
      <c r="O317" s="128">
        <v>1313664</v>
      </c>
    </row>
    <row r="318" spans="1:15">
      <c r="A318" s="132" t="s">
        <v>1634</v>
      </c>
      <c r="B318" s="123" t="s">
        <v>1635</v>
      </c>
      <c r="C318" s="124">
        <v>246</v>
      </c>
      <c r="D318" s="125">
        <v>386.03</v>
      </c>
      <c r="E318" s="126">
        <v>47.338000000000001</v>
      </c>
      <c r="F318" s="126">
        <v>23.475899999999999</v>
      </c>
      <c r="G318" s="127">
        <v>8.1547593899193043</v>
      </c>
      <c r="H318" s="127">
        <v>10.478831482499073</v>
      </c>
      <c r="I318" s="128">
        <v>2555749</v>
      </c>
      <c r="J318" s="128">
        <v>2501140</v>
      </c>
      <c r="K318" s="128">
        <v>2528368</v>
      </c>
      <c r="L318" s="128">
        <v>2686792</v>
      </c>
      <c r="M318" s="128">
        <v>2715089</v>
      </c>
      <c r="N318" s="128">
        <v>2662013</v>
      </c>
      <c r="O318" s="128">
        <v>637935</v>
      </c>
    </row>
    <row r="319" spans="1:15">
      <c r="A319" s="132" t="s">
        <v>1608</v>
      </c>
      <c r="B319" s="123" t="s">
        <v>1609</v>
      </c>
      <c r="C319" s="124">
        <v>301</v>
      </c>
      <c r="D319" s="125">
        <v>538.19200000000001</v>
      </c>
      <c r="E319" s="126">
        <v>51.791699999999999</v>
      </c>
      <c r="F319" s="126">
        <v>26.0002</v>
      </c>
      <c r="G319" s="127">
        <v>10.391471992616578</v>
      </c>
      <c r="H319" s="127">
        <v>11.576834024353658</v>
      </c>
      <c r="I319" s="128">
        <v>2771921</v>
      </c>
      <c r="J319" s="128">
        <v>2843211</v>
      </c>
      <c r="K319" s="128">
        <v>2612572</v>
      </c>
      <c r="L319" s="128">
        <v>2925667</v>
      </c>
      <c r="M319" s="128">
        <v>2953222</v>
      </c>
      <c r="N319" s="128">
        <v>3135129</v>
      </c>
      <c r="O319" s="128">
        <v>1312922</v>
      </c>
    </row>
    <row r="320" spans="1:15">
      <c r="A320" s="132" t="s">
        <v>1630</v>
      </c>
      <c r="B320" s="123" t="s">
        <v>1631</v>
      </c>
      <c r="C320" s="124">
        <v>320</v>
      </c>
      <c r="D320" s="125">
        <v>600.09300000000007</v>
      </c>
      <c r="E320" s="126">
        <v>76.910799999999995</v>
      </c>
      <c r="F320" s="126">
        <v>36.9908</v>
      </c>
      <c r="G320" s="127">
        <v>7.8024542717017651</v>
      </c>
      <c r="H320" s="127">
        <v>8.6507996582934137</v>
      </c>
      <c r="I320" s="128">
        <v>3485601</v>
      </c>
      <c r="J320" s="128">
        <v>3443757</v>
      </c>
      <c r="K320" s="128">
        <v>3653130</v>
      </c>
      <c r="L320" s="128">
        <v>3712601</v>
      </c>
      <c r="M320" s="128">
        <v>3670763</v>
      </c>
      <c r="N320" s="128">
        <v>3941302</v>
      </c>
      <c r="O320" s="128">
        <v>830669</v>
      </c>
    </row>
    <row r="321" spans="1:15">
      <c r="A321" s="132" t="s">
        <v>668</v>
      </c>
      <c r="B321" s="123" t="s">
        <v>669</v>
      </c>
      <c r="C321" s="124">
        <v>879</v>
      </c>
      <c r="D321" s="125">
        <v>1418.537</v>
      </c>
      <c r="E321" s="126">
        <v>164.77089999999998</v>
      </c>
      <c r="F321" s="126">
        <v>78.865399999999994</v>
      </c>
      <c r="G321" s="127">
        <v>8.609147610409364</v>
      </c>
      <c r="H321" s="127">
        <v>11.145572075967408</v>
      </c>
      <c r="I321" s="128">
        <v>8283464</v>
      </c>
      <c r="J321" s="128">
        <v>8404046</v>
      </c>
      <c r="K321" s="128">
        <v>8280680</v>
      </c>
      <c r="L321" s="128">
        <v>7790585</v>
      </c>
      <c r="M321" s="128">
        <v>8591497</v>
      </c>
      <c r="N321" s="128">
        <v>8253956</v>
      </c>
      <c r="O321" s="128">
        <v>1576593</v>
      </c>
    </row>
    <row r="322" spans="1:15">
      <c r="A322" s="132" t="s">
        <v>1140</v>
      </c>
      <c r="B322" s="123" t="s">
        <v>1141</v>
      </c>
      <c r="C322" s="124">
        <v>555</v>
      </c>
      <c r="D322" s="125">
        <v>873.28</v>
      </c>
      <c r="E322" s="126">
        <v>104.19760000000001</v>
      </c>
      <c r="F322" s="126">
        <v>56.753399999999999</v>
      </c>
      <c r="G322" s="127">
        <v>8.3809991784839557</v>
      </c>
      <c r="H322" s="127">
        <v>9.779149795430758</v>
      </c>
      <c r="I322" s="128">
        <v>5328284</v>
      </c>
      <c r="J322" s="128">
        <v>5261786</v>
      </c>
      <c r="K322" s="128">
        <v>6487755</v>
      </c>
      <c r="L322" s="128">
        <v>5379316</v>
      </c>
      <c r="M322" s="128">
        <v>5281774</v>
      </c>
      <c r="N322" s="128">
        <v>8580031</v>
      </c>
      <c r="O322" s="128">
        <v>1338509</v>
      </c>
    </row>
    <row r="323" spans="1:15">
      <c r="A323" s="132" t="s">
        <v>487</v>
      </c>
      <c r="B323" s="123" t="s">
        <v>488</v>
      </c>
      <c r="C323" s="124">
        <v>240</v>
      </c>
      <c r="D323" s="125">
        <v>459.87300000000005</v>
      </c>
      <c r="E323" s="126">
        <v>42.951500000000003</v>
      </c>
      <c r="F323" s="126">
        <v>21.932700000000001</v>
      </c>
      <c r="G323" s="127">
        <v>10.706797201494709</v>
      </c>
      <c r="H323" s="127">
        <v>10.942565210849553</v>
      </c>
      <c r="I323" s="128">
        <v>2633374</v>
      </c>
      <c r="J323" s="128">
        <v>2520339</v>
      </c>
      <c r="K323" s="128">
        <v>2469683</v>
      </c>
      <c r="L323" s="128">
        <v>2821378</v>
      </c>
      <c r="M323" s="128">
        <v>2685344</v>
      </c>
      <c r="N323" s="128">
        <v>2856911</v>
      </c>
      <c r="O323" s="128">
        <v>481138</v>
      </c>
    </row>
    <row r="324" spans="1:15">
      <c r="A324" s="132" t="s">
        <v>1070</v>
      </c>
      <c r="B324" s="123" t="s">
        <v>1071</v>
      </c>
      <c r="C324" s="124">
        <v>24535</v>
      </c>
      <c r="D324" s="125">
        <v>29681.753000000001</v>
      </c>
      <c r="E324" s="126">
        <v>3128.752</v>
      </c>
      <c r="F324" s="126">
        <v>1528.5797</v>
      </c>
      <c r="G324" s="127">
        <v>9.4867707635504512</v>
      </c>
      <c r="H324" s="127">
        <v>16.05084772485203</v>
      </c>
      <c r="I324" s="128">
        <v>172095062</v>
      </c>
      <c r="J324" s="128">
        <v>178173143</v>
      </c>
      <c r="K324" s="128">
        <v>162894941</v>
      </c>
      <c r="L324" s="128">
        <v>177246220</v>
      </c>
      <c r="M324" s="128">
        <v>183758240</v>
      </c>
      <c r="N324" s="128">
        <v>171770130</v>
      </c>
      <c r="O324" s="128">
        <v>43378408</v>
      </c>
    </row>
    <row r="325" spans="1:15">
      <c r="A325" s="132" t="s">
        <v>1353</v>
      </c>
      <c r="B325" s="123" t="s">
        <v>1354</v>
      </c>
      <c r="C325" s="124">
        <v>2587</v>
      </c>
      <c r="D325" s="125">
        <v>3321.6820000000002</v>
      </c>
      <c r="E325" s="126">
        <v>304.40109999999999</v>
      </c>
      <c r="F325" s="126">
        <v>166.3227</v>
      </c>
      <c r="G325" s="127">
        <v>10.912187899452402</v>
      </c>
      <c r="H325" s="127">
        <v>15.554100552720705</v>
      </c>
      <c r="I325" s="128">
        <v>18384071</v>
      </c>
      <c r="J325" s="128">
        <v>19446982</v>
      </c>
      <c r="K325" s="128">
        <v>18448101</v>
      </c>
      <c r="L325" s="128">
        <v>19121572</v>
      </c>
      <c r="M325" s="128">
        <v>20128437</v>
      </c>
      <c r="N325" s="128">
        <v>19521995</v>
      </c>
      <c r="O325" s="128">
        <v>7365888</v>
      </c>
    </row>
    <row r="326" spans="1:15">
      <c r="A326" s="132" t="s">
        <v>678</v>
      </c>
      <c r="B326" s="123" t="s">
        <v>679</v>
      </c>
      <c r="C326" s="124">
        <v>68710</v>
      </c>
      <c r="D326" s="125">
        <v>81152.921000000002</v>
      </c>
      <c r="E326" s="126">
        <v>8453.2465000000011</v>
      </c>
      <c r="F326" s="126">
        <v>4110.2740999999996</v>
      </c>
      <c r="G326" s="127">
        <v>9.6002075652236094</v>
      </c>
      <c r="H326" s="127">
        <v>16.716646707332732</v>
      </c>
      <c r="I326" s="128">
        <v>496309353</v>
      </c>
      <c r="J326" s="128">
        <v>490932162</v>
      </c>
      <c r="K326" s="128">
        <v>493489379</v>
      </c>
      <c r="L326" s="128">
        <v>479733749</v>
      </c>
      <c r="M326" s="128">
        <v>488578256</v>
      </c>
      <c r="N326" s="128">
        <v>491325433</v>
      </c>
      <c r="O326" s="128">
        <v>120996401</v>
      </c>
    </row>
    <row r="327" spans="1:15">
      <c r="A327" s="132" t="s">
        <v>1812</v>
      </c>
      <c r="B327" s="123" t="s">
        <v>1813</v>
      </c>
      <c r="C327" s="124">
        <v>3215</v>
      </c>
      <c r="D327" s="125">
        <v>4106.8730000000005</v>
      </c>
      <c r="E327" s="126">
        <v>406.24109999999996</v>
      </c>
      <c r="F327" s="126">
        <v>217.71369999999999</v>
      </c>
      <c r="G327" s="127">
        <v>10.109447320815153</v>
      </c>
      <c r="H327" s="127">
        <v>14.767100095216792</v>
      </c>
      <c r="I327" s="128">
        <v>21919694</v>
      </c>
      <c r="J327" s="128">
        <v>24203486</v>
      </c>
      <c r="K327" s="128">
        <v>22290948</v>
      </c>
      <c r="L327" s="128">
        <v>22335000</v>
      </c>
      <c r="M327" s="128">
        <v>24734078</v>
      </c>
      <c r="N327" s="128">
        <v>24787200</v>
      </c>
      <c r="O327" s="128">
        <v>5057167</v>
      </c>
    </row>
    <row r="328" spans="1:15">
      <c r="A328" s="132" t="s">
        <v>1325</v>
      </c>
      <c r="B328" s="123" t="s">
        <v>1326</v>
      </c>
      <c r="C328" s="124">
        <v>1561</v>
      </c>
      <c r="D328" s="125">
        <v>2050.8230000000003</v>
      </c>
      <c r="E328" s="126">
        <v>231.44049999999999</v>
      </c>
      <c r="F328" s="126">
        <v>125.25709999999999</v>
      </c>
      <c r="G328" s="127">
        <v>8.8611241334165811</v>
      </c>
      <c r="H328" s="127">
        <v>12.462367402726073</v>
      </c>
      <c r="I328" s="128">
        <v>12503727</v>
      </c>
      <c r="J328" s="128">
        <v>12633287</v>
      </c>
      <c r="K328" s="128">
        <v>12506114</v>
      </c>
      <c r="L328" s="128">
        <v>12271711</v>
      </c>
      <c r="M328" s="128">
        <v>12884122</v>
      </c>
      <c r="N328" s="128">
        <v>13008096</v>
      </c>
      <c r="O328" s="128">
        <v>4333459</v>
      </c>
    </row>
    <row r="329" spans="1:15">
      <c r="A329" s="132" t="s">
        <v>646</v>
      </c>
      <c r="B329" s="123" t="s">
        <v>647</v>
      </c>
      <c r="C329" s="124">
        <v>1769</v>
      </c>
      <c r="D329" s="125">
        <v>2291.739</v>
      </c>
      <c r="E329" s="126">
        <v>310.22059999999999</v>
      </c>
      <c r="F329" s="126">
        <v>157.28630000000001</v>
      </c>
      <c r="G329" s="127">
        <v>7.3874494472643022</v>
      </c>
      <c r="H329" s="127">
        <v>11.247006255471709</v>
      </c>
      <c r="I329" s="128">
        <v>16914841</v>
      </c>
      <c r="J329" s="128">
        <v>17094017</v>
      </c>
      <c r="K329" s="128">
        <v>15856776</v>
      </c>
      <c r="L329" s="128">
        <v>17766690</v>
      </c>
      <c r="M329" s="128">
        <v>17407045</v>
      </c>
      <c r="N329" s="128">
        <v>17837716</v>
      </c>
      <c r="O329" s="128">
        <v>7264892</v>
      </c>
    </row>
    <row r="330" spans="1:15">
      <c r="A330" s="132" t="s">
        <v>1858</v>
      </c>
      <c r="B330" s="123" t="s">
        <v>1859</v>
      </c>
      <c r="C330" s="124">
        <v>1254</v>
      </c>
      <c r="D330" s="125">
        <v>1601.84</v>
      </c>
      <c r="E330" s="126">
        <v>233.94929999999999</v>
      </c>
      <c r="F330" s="126">
        <v>103.68170000000001</v>
      </c>
      <c r="G330" s="127">
        <v>6.8469535920817037</v>
      </c>
      <c r="H330" s="127">
        <v>12.094709095240528</v>
      </c>
      <c r="I330" s="128">
        <v>13098219</v>
      </c>
      <c r="J330" s="128">
        <v>13870635</v>
      </c>
      <c r="K330" s="128">
        <v>11077007</v>
      </c>
      <c r="L330" s="128">
        <v>9945324</v>
      </c>
      <c r="M330" s="128">
        <v>6836191</v>
      </c>
      <c r="N330" s="128">
        <v>14155919</v>
      </c>
      <c r="O330" s="128">
        <v>13305693</v>
      </c>
    </row>
    <row r="331" spans="1:15">
      <c r="A331" s="132" t="s">
        <v>2071</v>
      </c>
      <c r="B331" s="123" t="s">
        <v>2072</v>
      </c>
      <c r="C331" s="124">
        <v>515</v>
      </c>
      <c r="D331" s="125">
        <v>776.15200000000004</v>
      </c>
      <c r="E331" s="126">
        <v>79.999700000000004</v>
      </c>
      <c r="F331" s="126">
        <v>41.999699999999997</v>
      </c>
      <c r="G331" s="127">
        <v>9.7019363822614331</v>
      </c>
      <c r="H331" s="127">
        <v>12.261992347564389</v>
      </c>
      <c r="I331" s="128">
        <v>5015665</v>
      </c>
      <c r="J331" s="128">
        <v>4162760</v>
      </c>
      <c r="K331" s="128">
        <v>5034199</v>
      </c>
      <c r="L331" s="128">
        <v>4253653</v>
      </c>
      <c r="M331" s="128">
        <v>4213831</v>
      </c>
      <c r="N331" s="128">
        <v>4515073</v>
      </c>
      <c r="O331" s="128">
        <v>2053872</v>
      </c>
    </row>
    <row r="332" spans="1:15">
      <c r="A332" s="132" t="s">
        <v>547</v>
      </c>
      <c r="B332" s="123" t="s">
        <v>548</v>
      </c>
      <c r="C332" s="124">
        <v>163</v>
      </c>
      <c r="D332" s="125">
        <v>230.13</v>
      </c>
      <c r="E332" s="126">
        <v>34.501100000000001</v>
      </c>
      <c r="F332" s="126">
        <v>20.942299999999999</v>
      </c>
      <c r="G332" s="127">
        <v>6.6702221088602967</v>
      </c>
      <c r="H332" s="127">
        <v>7.7832902785271916</v>
      </c>
      <c r="I332" s="128">
        <v>1957424</v>
      </c>
      <c r="J332" s="128">
        <v>1930409</v>
      </c>
      <c r="K332" s="128">
        <v>1553309</v>
      </c>
      <c r="L332" s="128">
        <v>2430879</v>
      </c>
      <c r="M332" s="128">
        <v>1655583</v>
      </c>
      <c r="N332" s="128">
        <v>2008441</v>
      </c>
      <c r="O332" s="128">
        <v>-134003</v>
      </c>
    </row>
    <row r="333" spans="1:15">
      <c r="A333" s="132" t="s">
        <v>555</v>
      </c>
      <c r="B333" s="123" t="s">
        <v>556</v>
      </c>
      <c r="C333" s="124">
        <v>940</v>
      </c>
      <c r="D333" s="125">
        <v>1485.6310000000001</v>
      </c>
      <c r="E333" s="126">
        <v>166.089</v>
      </c>
      <c r="F333" s="126">
        <v>75.714799999999997</v>
      </c>
      <c r="G333" s="127">
        <v>8.9447886374172896</v>
      </c>
      <c r="H333" s="127">
        <v>12.415010011252754</v>
      </c>
      <c r="I333" s="128">
        <v>8586913</v>
      </c>
      <c r="J333" s="128">
        <v>8702270</v>
      </c>
      <c r="K333" s="128">
        <v>8587885</v>
      </c>
      <c r="L333" s="128">
        <v>8919640</v>
      </c>
      <c r="M333" s="128">
        <v>8992113</v>
      </c>
      <c r="N333" s="128">
        <v>9109188</v>
      </c>
      <c r="O333" s="128">
        <v>188526</v>
      </c>
    </row>
    <row r="334" spans="1:15">
      <c r="A334" s="132" t="s">
        <v>1460</v>
      </c>
      <c r="B334" s="123" t="s">
        <v>1461</v>
      </c>
      <c r="C334" s="124">
        <v>2274</v>
      </c>
      <c r="D334" s="125">
        <v>2952.442</v>
      </c>
      <c r="E334" s="126">
        <v>388.923</v>
      </c>
      <c r="F334" s="126">
        <v>182.80350000000001</v>
      </c>
      <c r="G334" s="127">
        <v>7.5913278463860454</v>
      </c>
      <c r="H334" s="127">
        <v>12.439586769399929</v>
      </c>
      <c r="I334" s="128">
        <v>19667848</v>
      </c>
      <c r="J334" s="128">
        <v>19215031</v>
      </c>
      <c r="K334" s="128">
        <v>18359319</v>
      </c>
      <c r="L334" s="128">
        <v>18947211</v>
      </c>
      <c r="M334" s="128">
        <v>19871427</v>
      </c>
      <c r="N334" s="128">
        <v>19195116</v>
      </c>
      <c r="O334" s="128">
        <v>9086700</v>
      </c>
    </row>
    <row r="335" spans="1:15">
      <c r="A335" s="132" t="s">
        <v>1718</v>
      </c>
      <c r="B335" s="123" t="s">
        <v>1719</v>
      </c>
      <c r="C335" s="124">
        <v>624</v>
      </c>
      <c r="D335" s="125">
        <v>957.1880000000001</v>
      </c>
      <c r="E335" s="126">
        <v>127.86089999999999</v>
      </c>
      <c r="F335" s="126">
        <v>61.055399999999999</v>
      </c>
      <c r="G335" s="127">
        <v>7.4861666076181237</v>
      </c>
      <c r="H335" s="127">
        <v>10.22022622077654</v>
      </c>
      <c r="I335" s="128">
        <v>8114303</v>
      </c>
      <c r="J335" s="128">
        <v>8852977</v>
      </c>
      <c r="K335" s="128">
        <v>8311193</v>
      </c>
      <c r="L335" s="128">
        <v>8231083</v>
      </c>
      <c r="M335" s="128">
        <v>8932928</v>
      </c>
      <c r="N335" s="128">
        <v>8942411</v>
      </c>
      <c r="O335" s="128">
        <v>2873250</v>
      </c>
    </row>
    <row r="336" spans="1:15">
      <c r="A336" s="132" t="s">
        <v>1152</v>
      </c>
      <c r="B336" s="123" t="s">
        <v>1153</v>
      </c>
      <c r="C336" s="124">
        <v>123</v>
      </c>
      <c r="D336" s="125">
        <v>249.62300000000002</v>
      </c>
      <c r="E336" s="126">
        <v>33.905000000000001</v>
      </c>
      <c r="F336" s="126">
        <v>20.8218</v>
      </c>
      <c r="G336" s="127">
        <v>7.3624244211768177</v>
      </c>
      <c r="H336" s="127">
        <v>5.907270264818604</v>
      </c>
      <c r="I336" s="128">
        <v>2627359</v>
      </c>
      <c r="J336" s="128">
        <v>3376952</v>
      </c>
      <c r="K336" s="128">
        <v>2640285</v>
      </c>
      <c r="L336" s="128">
        <v>2760326</v>
      </c>
      <c r="M336" s="128">
        <v>2606862</v>
      </c>
      <c r="N336" s="128">
        <v>2760678</v>
      </c>
      <c r="O336" s="128">
        <v>2006430</v>
      </c>
    </row>
    <row r="337" spans="1:15">
      <c r="A337" s="132" t="s">
        <v>1724</v>
      </c>
      <c r="B337" s="123" t="s">
        <v>1725</v>
      </c>
      <c r="C337" s="124">
        <v>2428</v>
      </c>
      <c r="D337" s="125">
        <v>3183.2380000000003</v>
      </c>
      <c r="E337" s="126">
        <v>438.32799999999997</v>
      </c>
      <c r="F337" s="126">
        <v>195.79429999999999</v>
      </c>
      <c r="G337" s="127">
        <v>7.262228285667355</v>
      </c>
      <c r="H337" s="127">
        <v>12.400769583179899</v>
      </c>
      <c r="I337" s="128">
        <v>26679461</v>
      </c>
      <c r="J337" s="128">
        <v>27187819</v>
      </c>
      <c r="K337" s="128">
        <v>28809773</v>
      </c>
      <c r="L337" s="128">
        <v>26804494</v>
      </c>
      <c r="M337" s="128">
        <v>28087807</v>
      </c>
      <c r="N337" s="128">
        <v>31368387</v>
      </c>
      <c r="O337" s="128">
        <v>2042261</v>
      </c>
    </row>
    <row r="338" spans="1:15">
      <c r="A338" s="132" t="s">
        <v>553</v>
      </c>
      <c r="B338" s="123" t="s">
        <v>554</v>
      </c>
      <c r="C338" s="124">
        <v>9055</v>
      </c>
      <c r="D338" s="125">
        <v>10985.77</v>
      </c>
      <c r="E338" s="126">
        <v>1190.8525999999999</v>
      </c>
      <c r="F338" s="126">
        <v>586.05690000000004</v>
      </c>
      <c r="G338" s="127">
        <v>9.2251299615082516</v>
      </c>
      <c r="H338" s="127">
        <v>15.450718181118591</v>
      </c>
      <c r="I338" s="128">
        <v>64812921</v>
      </c>
      <c r="J338" s="128">
        <v>67290711</v>
      </c>
      <c r="K338" s="128">
        <v>62618156</v>
      </c>
      <c r="L338" s="128">
        <v>65414064</v>
      </c>
      <c r="M338" s="128">
        <v>67326218</v>
      </c>
      <c r="N338" s="128">
        <v>64661357</v>
      </c>
      <c r="O338" s="128">
        <v>4483835</v>
      </c>
    </row>
    <row r="339" spans="1:15">
      <c r="A339" s="132" t="s">
        <v>716</v>
      </c>
      <c r="B339" s="123" t="s">
        <v>717</v>
      </c>
      <c r="C339" s="124">
        <v>6440</v>
      </c>
      <c r="D339" s="125">
        <v>7759.4720000000007</v>
      </c>
      <c r="E339" s="126">
        <v>934.47860000000003</v>
      </c>
      <c r="F339" s="126">
        <v>432.87029999999999</v>
      </c>
      <c r="G339" s="127">
        <v>8.3035309743850743</v>
      </c>
      <c r="H339" s="127">
        <v>14.877435573657976</v>
      </c>
      <c r="I339" s="128">
        <v>60413161</v>
      </c>
      <c r="J339" s="128">
        <v>55708965</v>
      </c>
      <c r="K339" s="128">
        <v>56756905</v>
      </c>
      <c r="L339" s="128">
        <v>65914893</v>
      </c>
      <c r="M339" s="128">
        <v>54668941</v>
      </c>
      <c r="N339" s="128">
        <v>69036867</v>
      </c>
      <c r="O339" s="128">
        <v>45216638</v>
      </c>
    </row>
    <row r="340" spans="1:15">
      <c r="A340" s="132" t="s">
        <v>880</v>
      </c>
      <c r="B340" s="123" t="s">
        <v>881</v>
      </c>
      <c r="C340" s="124">
        <v>179</v>
      </c>
      <c r="D340" s="125">
        <v>292.97200000000004</v>
      </c>
      <c r="E340" s="126">
        <v>29.837000000000003</v>
      </c>
      <c r="F340" s="126">
        <v>16.429200000000002</v>
      </c>
      <c r="G340" s="127">
        <v>9.8190836880383419</v>
      </c>
      <c r="H340" s="127">
        <v>10.89523531273586</v>
      </c>
      <c r="I340" s="128">
        <v>4058350</v>
      </c>
      <c r="J340" s="128">
        <v>2113955</v>
      </c>
      <c r="K340" s="128">
        <v>3899852</v>
      </c>
      <c r="L340" s="128">
        <v>2372316</v>
      </c>
      <c r="M340" s="128">
        <v>2114551</v>
      </c>
      <c r="N340" s="128">
        <v>2192807</v>
      </c>
      <c r="O340" s="128">
        <v>1474703</v>
      </c>
    </row>
    <row r="341" spans="1:15">
      <c r="A341" s="132" t="s">
        <v>1048</v>
      </c>
      <c r="B341" s="123" t="s">
        <v>1049</v>
      </c>
      <c r="C341" s="124">
        <v>2971</v>
      </c>
      <c r="D341" s="125">
        <v>3960.2980000000002</v>
      </c>
      <c r="E341" s="126">
        <v>433.75470000000001</v>
      </c>
      <c r="F341" s="126">
        <v>211.17949999999999</v>
      </c>
      <c r="G341" s="127">
        <v>9.1302710956215574</v>
      </c>
      <c r="H341" s="127">
        <v>14.06860040865709</v>
      </c>
      <c r="I341" s="128">
        <v>30584324</v>
      </c>
      <c r="J341" s="128">
        <v>28255588</v>
      </c>
      <c r="K341" s="128">
        <v>28782898</v>
      </c>
      <c r="L341" s="128">
        <v>30865540</v>
      </c>
      <c r="M341" s="128">
        <v>28638127</v>
      </c>
      <c r="N341" s="128">
        <v>27482698</v>
      </c>
      <c r="O341" s="128">
        <v>1901182</v>
      </c>
    </row>
    <row r="342" spans="1:15">
      <c r="A342" s="132" t="s">
        <v>1872</v>
      </c>
      <c r="B342" s="123" t="s">
        <v>1873</v>
      </c>
      <c r="C342" s="124">
        <v>5781</v>
      </c>
      <c r="D342" s="125">
        <v>7124.3610000000008</v>
      </c>
      <c r="E342" s="126">
        <v>831.73570000000007</v>
      </c>
      <c r="F342" s="126">
        <v>377.20769999999999</v>
      </c>
      <c r="G342" s="127">
        <v>8.5656549310075309</v>
      </c>
      <c r="H342" s="127">
        <v>15.325774102702569</v>
      </c>
      <c r="I342" s="128">
        <v>44275299</v>
      </c>
      <c r="J342" s="128">
        <v>46252501</v>
      </c>
      <c r="K342" s="128">
        <v>48027183</v>
      </c>
      <c r="L342" s="128">
        <v>46927191</v>
      </c>
      <c r="M342" s="128">
        <v>47287870</v>
      </c>
      <c r="N342" s="128">
        <v>50589508</v>
      </c>
      <c r="O342" s="128">
        <v>10594783</v>
      </c>
    </row>
    <row r="343" spans="1:15">
      <c r="A343" s="132" t="s">
        <v>889</v>
      </c>
      <c r="B343" s="123" t="s">
        <v>890</v>
      </c>
      <c r="C343" s="124">
        <v>1414</v>
      </c>
      <c r="D343" s="125">
        <v>1746.5650000000001</v>
      </c>
      <c r="E343" s="126">
        <v>226.71359999999999</v>
      </c>
      <c r="F343" s="126">
        <v>90.782499999999999</v>
      </c>
      <c r="G343" s="127">
        <v>7.7038386757565496</v>
      </c>
      <c r="H343" s="127">
        <v>15.575689147137389</v>
      </c>
      <c r="I343" s="128">
        <v>11605869</v>
      </c>
      <c r="J343" s="128">
        <v>12166674</v>
      </c>
      <c r="K343" s="128">
        <v>11337530</v>
      </c>
      <c r="L343" s="128">
        <v>10753015</v>
      </c>
      <c r="M343" s="128">
        <v>11445290</v>
      </c>
      <c r="N343" s="128">
        <v>11662346</v>
      </c>
      <c r="O343" s="128">
        <v>2010938</v>
      </c>
    </row>
    <row r="344" spans="1:15">
      <c r="A344" s="132" t="s">
        <v>1698</v>
      </c>
      <c r="B344" s="123" t="s">
        <v>1699</v>
      </c>
      <c r="C344" s="124">
        <v>4498</v>
      </c>
      <c r="D344" s="125">
        <v>5345.4840000000004</v>
      </c>
      <c r="E344" s="126">
        <v>593.09619999999995</v>
      </c>
      <c r="F344" s="126">
        <v>288.13029999999998</v>
      </c>
      <c r="G344" s="127">
        <v>9.0128447965102474</v>
      </c>
      <c r="H344" s="127">
        <v>15.610992665471144</v>
      </c>
      <c r="I344" s="128">
        <v>32896665</v>
      </c>
      <c r="J344" s="128">
        <v>31441259</v>
      </c>
      <c r="K344" s="128">
        <v>32149630</v>
      </c>
      <c r="L344" s="128">
        <v>33231470</v>
      </c>
      <c r="M344" s="128">
        <v>31357000</v>
      </c>
      <c r="N344" s="128">
        <v>34035925</v>
      </c>
      <c r="O344" s="128">
        <v>7527338</v>
      </c>
    </row>
    <row r="345" spans="1:15">
      <c r="A345" s="132" t="s">
        <v>397</v>
      </c>
      <c r="B345" s="123" t="s">
        <v>398</v>
      </c>
      <c r="C345" s="124">
        <v>38250</v>
      </c>
      <c r="D345" s="125">
        <v>44611.599000000002</v>
      </c>
      <c r="E345" s="126">
        <v>4963.0459000000001</v>
      </c>
      <c r="F345" s="126">
        <v>2629.5583000000001</v>
      </c>
      <c r="G345" s="127">
        <v>8.988754063306164</v>
      </c>
      <c r="H345" s="127">
        <v>14.546169217849247</v>
      </c>
      <c r="I345" s="128">
        <v>272250792</v>
      </c>
      <c r="J345" s="128">
        <v>274064200</v>
      </c>
      <c r="K345" s="128">
        <v>276460220</v>
      </c>
      <c r="L345" s="128">
        <v>284375380</v>
      </c>
      <c r="M345" s="128">
        <v>284966500</v>
      </c>
      <c r="N345" s="128">
        <v>287879693</v>
      </c>
      <c r="O345" s="128">
        <v>44502738</v>
      </c>
    </row>
    <row r="346" spans="1:15">
      <c r="A346" s="132" t="s">
        <v>696</v>
      </c>
      <c r="B346" s="123" t="s">
        <v>697</v>
      </c>
      <c r="C346" s="124">
        <v>5946</v>
      </c>
      <c r="D346" s="125">
        <v>6590.5150000000003</v>
      </c>
      <c r="E346" s="126">
        <v>685.19240000000002</v>
      </c>
      <c r="F346" s="126">
        <v>363.86660000000001</v>
      </c>
      <c r="G346" s="127">
        <v>9.618488179378522</v>
      </c>
      <c r="H346" s="127">
        <v>16.341153598599046</v>
      </c>
      <c r="I346" s="128">
        <v>37952839</v>
      </c>
      <c r="J346" s="128">
        <v>37279272</v>
      </c>
      <c r="K346" s="128">
        <v>37853418</v>
      </c>
      <c r="L346" s="128">
        <v>39477780</v>
      </c>
      <c r="M346" s="128">
        <v>39108784</v>
      </c>
      <c r="N346" s="128">
        <v>40088837</v>
      </c>
      <c r="O346" s="128">
        <v>4821229</v>
      </c>
    </row>
    <row r="347" spans="1:15">
      <c r="A347" s="132" t="s">
        <v>1514</v>
      </c>
      <c r="B347" s="123" t="s">
        <v>1515</v>
      </c>
      <c r="C347" s="124">
        <v>777</v>
      </c>
      <c r="D347" s="125">
        <v>1285.672</v>
      </c>
      <c r="E347" s="126">
        <v>173.69720000000001</v>
      </c>
      <c r="F347" s="126">
        <v>93.4649</v>
      </c>
      <c r="G347" s="127">
        <v>7.4018003744447229</v>
      </c>
      <c r="H347" s="127">
        <v>8.3132812424771227</v>
      </c>
      <c r="I347" s="128">
        <v>9941262</v>
      </c>
      <c r="J347" s="128">
        <v>9385934</v>
      </c>
      <c r="K347" s="128">
        <v>9223261</v>
      </c>
      <c r="L347" s="128">
        <v>10009241</v>
      </c>
      <c r="M347" s="128">
        <v>8816516</v>
      </c>
      <c r="N347" s="128">
        <v>9126631</v>
      </c>
      <c r="O347" s="128">
        <v>3808409</v>
      </c>
    </row>
    <row r="348" spans="1:15">
      <c r="A348" s="132" t="s">
        <v>1786</v>
      </c>
      <c r="B348" s="123" t="s">
        <v>1787</v>
      </c>
      <c r="C348" s="124">
        <v>153</v>
      </c>
      <c r="D348" s="125">
        <v>266.88800000000003</v>
      </c>
      <c r="E348" s="126">
        <v>32.972900000000003</v>
      </c>
      <c r="F348" s="126">
        <v>18.999600000000001</v>
      </c>
      <c r="G348" s="127">
        <v>8.094162175604815</v>
      </c>
      <c r="H348" s="127">
        <v>8.0528011116023492</v>
      </c>
      <c r="I348" s="128">
        <v>1807159</v>
      </c>
      <c r="J348" s="128">
        <v>1853168</v>
      </c>
      <c r="K348" s="128">
        <v>1634100</v>
      </c>
      <c r="L348" s="128">
        <v>1860160</v>
      </c>
      <c r="M348" s="128">
        <v>1863105</v>
      </c>
      <c r="N348" s="128">
        <v>1812626</v>
      </c>
      <c r="O348" s="128">
        <v>297498</v>
      </c>
    </row>
    <row r="349" spans="1:15">
      <c r="A349" s="132" t="s">
        <v>567</v>
      </c>
      <c r="B349" s="123" t="s">
        <v>568</v>
      </c>
      <c r="C349" s="124">
        <v>20</v>
      </c>
      <c r="D349" s="125">
        <v>110.664</v>
      </c>
      <c r="E349" s="126">
        <v>5.0468000000000002</v>
      </c>
      <c r="F349" s="126">
        <v>1.7809999999999999</v>
      </c>
      <c r="G349" s="127">
        <v>21.927558056590314</v>
      </c>
      <c r="H349" s="127">
        <v>11.229646266142616</v>
      </c>
      <c r="I349" s="128">
        <v>520504</v>
      </c>
      <c r="J349" s="128">
        <v>518361</v>
      </c>
      <c r="K349" s="128">
        <v>329739</v>
      </c>
      <c r="L349" s="128">
        <v>520504</v>
      </c>
      <c r="M349" s="128">
        <v>518361</v>
      </c>
      <c r="N349" s="128">
        <v>560012</v>
      </c>
      <c r="O349" s="128">
        <v>501729</v>
      </c>
    </row>
    <row r="350" spans="1:15">
      <c r="A350" s="132" t="s">
        <v>690</v>
      </c>
      <c r="B350" s="123" t="s">
        <v>691</v>
      </c>
      <c r="C350" s="124">
        <v>2950</v>
      </c>
      <c r="D350" s="125">
        <v>3761.1990000000001</v>
      </c>
      <c r="E350" s="126">
        <v>450.89980000000003</v>
      </c>
      <c r="F350" s="126">
        <v>215.76050000000001</v>
      </c>
      <c r="G350" s="127">
        <v>8.3415406260991904</v>
      </c>
      <c r="H350" s="127">
        <v>13.672567499611837</v>
      </c>
      <c r="I350" s="128">
        <v>26551204</v>
      </c>
      <c r="J350" s="128">
        <v>25853843</v>
      </c>
      <c r="K350" s="128">
        <v>23117887</v>
      </c>
      <c r="L350" s="128">
        <v>26331964</v>
      </c>
      <c r="M350" s="128">
        <v>26672364</v>
      </c>
      <c r="N350" s="128">
        <v>26938338</v>
      </c>
      <c r="O350" s="128">
        <v>6769723</v>
      </c>
    </row>
    <row r="351" spans="1:15">
      <c r="A351" s="132" t="s">
        <v>840</v>
      </c>
      <c r="B351" s="123" t="s">
        <v>841</v>
      </c>
      <c r="C351" s="124">
        <v>599</v>
      </c>
      <c r="D351" s="125">
        <v>1019.056</v>
      </c>
      <c r="E351" s="126">
        <v>94.969699999999989</v>
      </c>
      <c r="F351" s="126">
        <v>50.7117</v>
      </c>
      <c r="G351" s="127">
        <v>10.730327672931473</v>
      </c>
      <c r="H351" s="127">
        <v>11.811869844631515</v>
      </c>
      <c r="I351" s="128">
        <v>5794033</v>
      </c>
      <c r="J351" s="128">
        <v>6472583</v>
      </c>
      <c r="K351" s="128">
        <v>5479657</v>
      </c>
      <c r="L351" s="128">
        <v>6257049</v>
      </c>
      <c r="M351" s="128">
        <v>6344127</v>
      </c>
      <c r="N351" s="128">
        <v>6461376</v>
      </c>
      <c r="O351" s="128">
        <v>2654795</v>
      </c>
    </row>
    <row r="352" spans="1:15">
      <c r="A352" s="132" t="s">
        <v>744</v>
      </c>
      <c r="B352" s="123" t="s">
        <v>745</v>
      </c>
      <c r="C352" s="124">
        <v>283</v>
      </c>
      <c r="D352" s="125">
        <v>520.05200000000002</v>
      </c>
      <c r="E352" s="126">
        <v>47.204099999999997</v>
      </c>
      <c r="F352" s="126">
        <v>23.000800000000002</v>
      </c>
      <c r="G352" s="127">
        <v>11.017093854135553</v>
      </c>
      <c r="H352" s="127">
        <v>12.303919863656915</v>
      </c>
      <c r="I352" s="128">
        <v>4149393</v>
      </c>
      <c r="J352" s="128">
        <v>4090136</v>
      </c>
      <c r="K352" s="128">
        <v>3986248</v>
      </c>
      <c r="L352" s="128">
        <v>4274790</v>
      </c>
      <c r="M352" s="128">
        <v>4283996</v>
      </c>
      <c r="N352" s="128">
        <v>5088601</v>
      </c>
      <c r="O352" s="128">
        <v>1048536</v>
      </c>
    </row>
    <row r="353" spans="1:15">
      <c r="A353" s="132" t="s">
        <v>754</v>
      </c>
      <c r="B353" s="123" t="s">
        <v>755</v>
      </c>
      <c r="C353" s="124">
        <v>1360</v>
      </c>
      <c r="D353" s="125">
        <v>1918.6470000000002</v>
      </c>
      <c r="E353" s="126">
        <v>238.5746</v>
      </c>
      <c r="F353" s="126">
        <v>118.6118</v>
      </c>
      <c r="G353" s="127">
        <v>8.0421260268276686</v>
      </c>
      <c r="H353" s="127">
        <v>11.465975560610326</v>
      </c>
      <c r="I353" s="128">
        <v>13498777</v>
      </c>
      <c r="J353" s="128">
        <v>14023886</v>
      </c>
      <c r="K353" s="128">
        <v>17408279</v>
      </c>
      <c r="L353" s="128">
        <v>14026601</v>
      </c>
      <c r="M353" s="128">
        <v>14278587</v>
      </c>
      <c r="N353" s="128">
        <v>14357507</v>
      </c>
      <c r="O353" s="128">
        <v>3214153</v>
      </c>
    </row>
    <row r="354" spans="1:15">
      <c r="A354" s="132" t="s">
        <v>756</v>
      </c>
      <c r="B354" s="123" t="s">
        <v>757</v>
      </c>
      <c r="C354" s="124">
        <v>2608</v>
      </c>
      <c r="D354" s="125">
        <v>3324.8610000000003</v>
      </c>
      <c r="E354" s="126">
        <v>399.19990000000001</v>
      </c>
      <c r="F354" s="126">
        <v>194.57089999999999</v>
      </c>
      <c r="G354" s="127">
        <v>8.3288122066162842</v>
      </c>
      <c r="H354" s="127">
        <v>13.403854327651258</v>
      </c>
      <c r="I354" s="128">
        <v>19967244</v>
      </c>
      <c r="J354" s="128">
        <v>26434631</v>
      </c>
      <c r="K354" s="128">
        <v>19564693</v>
      </c>
      <c r="L354" s="128">
        <v>20037219</v>
      </c>
      <c r="M354" s="128">
        <v>20197795</v>
      </c>
      <c r="N354" s="128">
        <v>19633515</v>
      </c>
      <c r="O354" s="128">
        <v>5143405</v>
      </c>
    </row>
    <row r="355" spans="1:15">
      <c r="A355" s="132" t="s">
        <v>1375</v>
      </c>
      <c r="B355" s="123" t="s">
        <v>1376</v>
      </c>
      <c r="C355" s="124">
        <v>1063</v>
      </c>
      <c r="D355" s="125">
        <v>1641.299</v>
      </c>
      <c r="E355" s="126">
        <v>175.74809999999999</v>
      </c>
      <c r="F355" s="126">
        <v>80.869100000000003</v>
      </c>
      <c r="G355" s="127">
        <v>9.338928841904977</v>
      </c>
      <c r="H355" s="127">
        <v>13.144699273270012</v>
      </c>
      <c r="I355" s="128">
        <v>9403770</v>
      </c>
      <c r="J355" s="128">
        <v>9794251</v>
      </c>
      <c r="K355" s="128">
        <v>9380216</v>
      </c>
      <c r="L355" s="128">
        <v>9495489</v>
      </c>
      <c r="M355" s="128">
        <v>9651351</v>
      </c>
      <c r="N355" s="128">
        <v>9875169</v>
      </c>
      <c r="O355" s="128">
        <v>2034509</v>
      </c>
    </row>
    <row r="356" spans="1:15">
      <c r="A356" s="132" t="s">
        <v>1961</v>
      </c>
      <c r="B356" s="123" t="s">
        <v>1962</v>
      </c>
      <c r="C356" s="124">
        <v>247</v>
      </c>
      <c r="D356" s="125">
        <v>416.96700000000004</v>
      </c>
      <c r="E356" s="126">
        <v>45.869199999999999</v>
      </c>
      <c r="F356" s="126">
        <v>23.326499999999999</v>
      </c>
      <c r="G356" s="127">
        <v>9.090348207511795</v>
      </c>
      <c r="H356" s="127">
        <v>10.588815295908088</v>
      </c>
      <c r="I356" s="128">
        <v>2350408</v>
      </c>
      <c r="J356" s="128">
        <v>2289552</v>
      </c>
      <c r="K356" s="128">
        <v>2124025</v>
      </c>
      <c r="L356" s="128">
        <v>2350077</v>
      </c>
      <c r="M356" s="128">
        <v>2442533</v>
      </c>
      <c r="N356" s="128">
        <v>2509434</v>
      </c>
      <c r="O356" s="128">
        <v>1859187</v>
      </c>
    </row>
    <row r="357" spans="1:15">
      <c r="A357" s="132" t="s">
        <v>1096</v>
      </c>
      <c r="B357" s="123" t="s">
        <v>1097</v>
      </c>
      <c r="C357" s="124">
        <v>174</v>
      </c>
      <c r="D357" s="125">
        <v>267.02499999999998</v>
      </c>
      <c r="E357" s="126">
        <v>36.8369</v>
      </c>
      <c r="F357" s="126">
        <v>19.688600000000001</v>
      </c>
      <c r="G357" s="127">
        <v>7.2488455868979216</v>
      </c>
      <c r="H357" s="127">
        <v>8.8376014546488832</v>
      </c>
      <c r="I357" s="128">
        <v>1650194</v>
      </c>
      <c r="J357" s="128">
        <v>1822862</v>
      </c>
      <c r="K357" s="128">
        <v>1805500</v>
      </c>
      <c r="L357" s="128">
        <v>1984336</v>
      </c>
      <c r="M357" s="128">
        <v>2084503</v>
      </c>
      <c r="N357" s="128">
        <v>2137478</v>
      </c>
      <c r="O357" s="128">
        <v>605057</v>
      </c>
    </row>
    <row r="358" spans="1:15">
      <c r="A358" s="132" t="s">
        <v>1240</v>
      </c>
      <c r="B358" s="123" t="s">
        <v>1241</v>
      </c>
      <c r="C358" s="124">
        <v>216</v>
      </c>
      <c r="D358" s="125">
        <v>388.27600000000001</v>
      </c>
      <c r="E358" s="126">
        <v>45.502600000000001</v>
      </c>
      <c r="F358" s="126">
        <v>24.601800000000001</v>
      </c>
      <c r="G358" s="127">
        <v>8.5330508586322544</v>
      </c>
      <c r="H358" s="127">
        <v>8.7798453771675238</v>
      </c>
      <c r="I358" s="128">
        <v>2654046</v>
      </c>
      <c r="J358" s="128">
        <v>2624434</v>
      </c>
      <c r="K358" s="128">
        <v>2516235</v>
      </c>
      <c r="L358" s="128">
        <v>2726128</v>
      </c>
      <c r="M358" s="128">
        <v>2714181</v>
      </c>
      <c r="N358" s="128">
        <v>2821922</v>
      </c>
      <c r="O358" s="128">
        <v>1477860</v>
      </c>
    </row>
    <row r="359" spans="1:15">
      <c r="A359" s="132" t="s">
        <v>1442</v>
      </c>
      <c r="B359" s="123" t="s">
        <v>1443</v>
      </c>
      <c r="C359" s="124">
        <v>3446</v>
      </c>
      <c r="D359" s="125">
        <v>4337.2190000000001</v>
      </c>
      <c r="E359" s="126">
        <v>516.96050000000002</v>
      </c>
      <c r="F359" s="126">
        <v>266.61070000000001</v>
      </c>
      <c r="G359" s="127">
        <v>8.3898460327239697</v>
      </c>
      <c r="H359" s="127">
        <v>12.925212679011008</v>
      </c>
      <c r="I359" s="128">
        <v>25092602</v>
      </c>
      <c r="J359" s="128">
        <v>25566579</v>
      </c>
      <c r="K359" s="128">
        <v>24877436</v>
      </c>
      <c r="L359" s="128">
        <v>24921897</v>
      </c>
      <c r="M359" s="128">
        <v>25024774</v>
      </c>
      <c r="N359" s="128">
        <v>24519907</v>
      </c>
      <c r="O359" s="128">
        <v>3441736</v>
      </c>
    </row>
    <row r="360" spans="1:15">
      <c r="A360" s="132" t="s">
        <v>782</v>
      </c>
      <c r="B360" s="123" t="s">
        <v>783</v>
      </c>
      <c r="C360" s="124">
        <v>44</v>
      </c>
      <c r="D360" s="125">
        <v>90.243000000000009</v>
      </c>
      <c r="E360" s="126">
        <v>10.355799999999999</v>
      </c>
      <c r="F360" s="126">
        <v>3.7625999999999999</v>
      </c>
      <c r="G360" s="127">
        <v>8.7142470885880403</v>
      </c>
      <c r="H360" s="127">
        <v>11.694041354382607</v>
      </c>
      <c r="I360" s="128">
        <v>1386105</v>
      </c>
      <c r="J360" s="128">
        <v>503834</v>
      </c>
      <c r="K360" s="128">
        <v>465903</v>
      </c>
      <c r="L360" s="128">
        <v>1399766</v>
      </c>
      <c r="M360" s="128">
        <v>507304</v>
      </c>
      <c r="N360" s="128">
        <v>545763</v>
      </c>
      <c r="O360" s="128">
        <v>535595</v>
      </c>
    </row>
    <row r="361" spans="1:15">
      <c r="A361" s="132" t="s">
        <v>168</v>
      </c>
      <c r="B361" s="123" t="s">
        <v>169</v>
      </c>
      <c r="C361" s="124">
        <v>762</v>
      </c>
      <c r="D361" s="125">
        <v>1095.4260000000002</v>
      </c>
      <c r="E361" s="126">
        <v>116.10599999999999</v>
      </c>
      <c r="F361" s="126">
        <v>66.316000000000003</v>
      </c>
      <c r="G361" s="127">
        <v>9.4347062167329874</v>
      </c>
      <c r="H361" s="127">
        <v>11.490439712889799</v>
      </c>
      <c r="I361" s="128">
        <v>7241412</v>
      </c>
      <c r="J361" s="128">
        <v>7086201</v>
      </c>
      <c r="K361" s="128">
        <v>8001993</v>
      </c>
      <c r="L361" s="128">
        <v>7439796</v>
      </c>
      <c r="M361" s="128">
        <v>7350701</v>
      </c>
      <c r="N361" s="128">
        <v>7260059</v>
      </c>
      <c r="O361" s="128">
        <v>991593</v>
      </c>
    </row>
    <row r="362" spans="1:15">
      <c r="A362" s="132" t="s">
        <v>417</v>
      </c>
      <c r="B362" s="123" t="s">
        <v>418</v>
      </c>
      <c r="C362" s="124">
        <v>547</v>
      </c>
      <c r="D362" s="125">
        <v>806.48800000000006</v>
      </c>
      <c r="E362" s="126">
        <v>88.502199999999988</v>
      </c>
      <c r="F362" s="126">
        <v>47.991300000000003</v>
      </c>
      <c r="G362" s="127">
        <v>9.1126322283513872</v>
      </c>
      <c r="H362" s="127">
        <v>11.397899202563798</v>
      </c>
      <c r="I362" s="128">
        <v>5186305</v>
      </c>
      <c r="J362" s="128">
        <v>4677951</v>
      </c>
      <c r="K362" s="128">
        <v>5226124</v>
      </c>
      <c r="L362" s="128">
        <v>5261304</v>
      </c>
      <c r="M362" s="128">
        <v>4771013</v>
      </c>
      <c r="N362" s="128">
        <v>5492792</v>
      </c>
      <c r="O362" s="128">
        <v>799489</v>
      </c>
    </row>
    <row r="363" spans="1:15">
      <c r="A363" s="132" t="s">
        <v>533</v>
      </c>
      <c r="B363" s="123" t="s">
        <v>534</v>
      </c>
      <c r="C363" s="124">
        <v>4474</v>
      </c>
      <c r="D363" s="125">
        <v>5870.8620000000001</v>
      </c>
      <c r="E363" s="126">
        <v>537.63580000000002</v>
      </c>
      <c r="F363" s="126">
        <v>325.29809999999998</v>
      </c>
      <c r="G363" s="127">
        <v>10.919775059622145</v>
      </c>
      <c r="H363" s="127">
        <v>13.753538677293228</v>
      </c>
      <c r="I363" s="128">
        <v>36370014</v>
      </c>
      <c r="J363" s="128">
        <v>36400261</v>
      </c>
      <c r="K363" s="128">
        <v>34476143</v>
      </c>
      <c r="L363" s="128">
        <v>36757400</v>
      </c>
      <c r="M363" s="128">
        <v>36177163</v>
      </c>
      <c r="N363" s="128">
        <v>36384847</v>
      </c>
      <c r="O363" s="128">
        <v>8265996</v>
      </c>
    </row>
    <row r="364" spans="1:15">
      <c r="A364" s="132" t="s">
        <v>903</v>
      </c>
      <c r="B364" s="123" t="s">
        <v>904</v>
      </c>
      <c r="C364" s="124">
        <v>1001</v>
      </c>
      <c r="D364" s="125">
        <v>1406.66</v>
      </c>
      <c r="E364" s="126">
        <v>142.6465</v>
      </c>
      <c r="F364" s="126">
        <v>75.777199999999993</v>
      </c>
      <c r="G364" s="127">
        <v>9.8611602808340901</v>
      </c>
      <c r="H364" s="127">
        <v>13.209778139070856</v>
      </c>
      <c r="I364" s="128">
        <v>7221613</v>
      </c>
      <c r="J364" s="128">
        <v>7508682</v>
      </c>
      <c r="K364" s="128">
        <v>7212002</v>
      </c>
      <c r="L364" s="128">
        <v>7782375</v>
      </c>
      <c r="M364" s="128">
        <v>7694500</v>
      </c>
      <c r="N364" s="128">
        <v>7757311</v>
      </c>
      <c r="O364" s="128">
        <v>2825139</v>
      </c>
    </row>
    <row r="365" spans="1:15">
      <c r="A365" s="132" t="s">
        <v>1740</v>
      </c>
      <c r="B365" s="123" t="s">
        <v>1741</v>
      </c>
      <c r="C365" s="124">
        <v>6774</v>
      </c>
      <c r="D365" s="125">
        <v>8312.5820000000003</v>
      </c>
      <c r="E365" s="126">
        <v>949.57709999999997</v>
      </c>
      <c r="F365" s="126">
        <v>510.91660000000002</v>
      </c>
      <c r="G365" s="127">
        <v>8.7539832205304879</v>
      </c>
      <c r="H365" s="127">
        <v>13.258523993935604</v>
      </c>
      <c r="I365" s="128">
        <v>44543475</v>
      </c>
      <c r="J365" s="128">
        <v>45168037</v>
      </c>
      <c r="K365" s="128">
        <v>47093176</v>
      </c>
      <c r="L365" s="128">
        <v>44569679</v>
      </c>
      <c r="M365" s="128">
        <v>45584123</v>
      </c>
      <c r="N365" s="128">
        <v>47744681</v>
      </c>
      <c r="O365" s="128">
        <v>7609891</v>
      </c>
    </row>
    <row r="366" spans="1:15">
      <c r="A366" s="132" t="s">
        <v>1892</v>
      </c>
      <c r="B366" s="123" t="s">
        <v>1893</v>
      </c>
      <c r="C366" s="124">
        <v>141</v>
      </c>
      <c r="D366" s="125">
        <v>225.04499999999999</v>
      </c>
      <c r="E366" s="126">
        <v>23.9998</v>
      </c>
      <c r="F366" s="126">
        <v>13.999700000000001</v>
      </c>
      <c r="G366" s="127">
        <v>9.3769531412761786</v>
      </c>
      <c r="H366" s="127">
        <v>10.071644392379836</v>
      </c>
      <c r="I366" s="128">
        <v>1356397</v>
      </c>
      <c r="J366" s="128">
        <v>1393281</v>
      </c>
      <c r="K366" s="128">
        <v>1339366</v>
      </c>
      <c r="L366" s="128">
        <v>1473293</v>
      </c>
      <c r="M366" s="128">
        <v>1629182</v>
      </c>
      <c r="N366" s="128">
        <v>1459657</v>
      </c>
      <c r="O366" s="128">
        <v>533000</v>
      </c>
    </row>
    <row r="367" spans="1:15">
      <c r="A367" s="132" t="s">
        <v>1939</v>
      </c>
      <c r="B367" s="123" t="s">
        <v>1940</v>
      </c>
      <c r="C367" s="124">
        <v>1348</v>
      </c>
      <c r="D367" s="125">
        <v>1708.655</v>
      </c>
      <c r="E367" s="126">
        <v>162.13850000000002</v>
      </c>
      <c r="F367" s="126">
        <v>91.007300000000001</v>
      </c>
      <c r="G367" s="127">
        <v>10.538243538703021</v>
      </c>
      <c r="H367" s="127">
        <v>14.811998597914673</v>
      </c>
      <c r="I367" s="128">
        <v>8969070</v>
      </c>
      <c r="J367" s="128">
        <v>9546299</v>
      </c>
      <c r="K367" s="128">
        <v>9254815</v>
      </c>
      <c r="L367" s="128">
        <v>9794857</v>
      </c>
      <c r="M367" s="128">
        <v>10183902</v>
      </c>
      <c r="N367" s="128">
        <v>10576684</v>
      </c>
      <c r="O367" s="128">
        <v>1627847</v>
      </c>
    </row>
    <row r="368" spans="1:15">
      <c r="A368" s="132" t="s">
        <v>2029</v>
      </c>
      <c r="B368" s="123" t="s">
        <v>2030</v>
      </c>
      <c r="C368" s="124">
        <v>1490</v>
      </c>
      <c r="D368" s="125">
        <v>1981.5640000000001</v>
      </c>
      <c r="E368" s="126">
        <v>203.1636</v>
      </c>
      <c r="F368" s="126">
        <v>119.99509999999999</v>
      </c>
      <c r="G368" s="127">
        <v>9.7535385275708837</v>
      </c>
      <c r="H368" s="127">
        <v>12.417173701259468</v>
      </c>
      <c r="I368" s="128">
        <v>12274073</v>
      </c>
      <c r="J368" s="128">
        <v>12286887</v>
      </c>
      <c r="K368" s="128">
        <v>11795869</v>
      </c>
      <c r="L368" s="128">
        <v>12764100</v>
      </c>
      <c r="M368" s="128">
        <v>12766372</v>
      </c>
      <c r="N368" s="128">
        <v>12871030</v>
      </c>
      <c r="O368" s="128">
        <v>2020283</v>
      </c>
    </row>
    <row r="369" spans="1:15">
      <c r="A369" s="132" t="s">
        <v>2031</v>
      </c>
      <c r="B369" s="123" t="s">
        <v>2032</v>
      </c>
      <c r="C369" s="124">
        <v>773</v>
      </c>
      <c r="D369" s="125">
        <v>1104.3790000000001</v>
      </c>
      <c r="E369" s="126">
        <v>105.8982</v>
      </c>
      <c r="F369" s="126">
        <v>62.898099999999999</v>
      </c>
      <c r="G369" s="127">
        <v>10.428685284546859</v>
      </c>
      <c r="H369" s="127">
        <v>12.289719403288812</v>
      </c>
      <c r="I369" s="128">
        <v>6549807</v>
      </c>
      <c r="J369" s="128">
        <v>6375745</v>
      </c>
      <c r="K369" s="128">
        <v>7171522</v>
      </c>
      <c r="L369" s="128">
        <v>6793079</v>
      </c>
      <c r="M369" s="128">
        <v>6592186</v>
      </c>
      <c r="N369" s="128">
        <v>6633515</v>
      </c>
      <c r="O369" s="128">
        <v>1019788</v>
      </c>
    </row>
    <row r="370" spans="1:15">
      <c r="A370" s="132" t="s">
        <v>1520</v>
      </c>
      <c r="B370" s="123" t="s">
        <v>1521</v>
      </c>
      <c r="C370" s="124">
        <v>1281</v>
      </c>
      <c r="D370" s="125">
        <v>1663.277</v>
      </c>
      <c r="E370" s="126">
        <v>184.90690000000001</v>
      </c>
      <c r="F370" s="126">
        <v>95.326899999999995</v>
      </c>
      <c r="G370" s="127">
        <v>8.9952132667845284</v>
      </c>
      <c r="H370" s="127">
        <v>13.437969765092539</v>
      </c>
      <c r="I370" s="128">
        <v>11436377</v>
      </c>
      <c r="J370" s="128">
        <v>11097502</v>
      </c>
      <c r="K370" s="128">
        <v>11478286</v>
      </c>
      <c r="L370" s="128">
        <v>11913101</v>
      </c>
      <c r="M370" s="128">
        <v>11189429</v>
      </c>
      <c r="N370" s="128">
        <v>11244837</v>
      </c>
      <c r="O370" s="128">
        <v>1036261</v>
      </c>
    </row>
    <row r="371" spans="1:15">
      <c r="A371" s="132" t="s">
        <v>1648</v>
      </c>
      <c r="B371" s="123" t="s">
        <v>1649</v>
      </c>
      <c r="C371" s="124">
        <v>824</v>
      </c>
      <c r="D371" s="125">
        <v>1177.71</v>
      </c>
      <c r="E371" s="126">
        <v>123.2731</v>
      </c>
      <c r="F371" s="126">
        <v>61.213299999999997</v>
      </c>
      <c r="G371" s="127">
        <v>9.5536658038128355</v>
      </c>
      <c r="H371" s="127">
        <v>13.461126911961944</v>
      </c>
      <c r="I371" s="128">
        <v>6497693</v>
      </c>
      <c r="J371" s="128">
        <v>6967232</v>
      </c>
      <c r="K371" s="128">
        <v>6510758</v>
      </c>
      <c r="L371" s="128">
        <v>7011791</v>
      </c>
      <c r="M371" s="128">
        <v>7118700</v>
      </c>
      <c r="N371" s="128">
        <v>7051865</v>
      </c>
      <c r="O371" s="128">
        <v>2349708</v>
      </c>
    </row>
    <row r="372" spans="1:15">
      <c r="A372" s="132" t="s">
        <v>806</v>
      </c>
      <c r="B372" s="123" t="s">
        <v>807</v>
      </c>
      <c r="C372" s="124">
        <v>791</v>
      </c>
      <c r="D372" s="125">
        <v>1141.222</v>
      </c>
      <c r="E372" s="126">
        <v>193.69489999999999</v>
      </c>
      <c r="F372" s="126">
        <v>88.123900000000006</v>
      </c>
      <c r="G372" s="127">
        <v>5.8918536316650574</v>
      </c>
      <c r="H372" s="127">
        <v>8.9759985656558552</v>
      </c>
      <c r="I372" s="128">
        <v>7306955</v>
      </c>
      <c r="J372" s="128">
        <v>7680597</v>
      </c>
      <c r="K372" s="128">
        <v>8174654</v>
      </c>
      <c r="L372" s="128">
        <v>7761853</v>
      </c>
      <c r="M372" s="128">
        <v>7843128</v>
      </c>
      <c r="N372" s="128">
        <v>8147598</v>
      </c>
      <c r="O372" s="128">
        <v>762662</v>
      </c>
    </row>
    <row r="373" spans="1:15">
      <c r="A373" s="132" t="s">
        <v>1896</v>
      </c>
      <c r="B373" s="123" t="s">
        <v>1897</v>
      </c>
      <c r="C373" s="124">
        <v>786</v>
      </c>
      <c r="D373" s="125">
        <v>1182.836</v>
      </c>
      <c r="E373" s="126">
        <v>130.1592</v>
      </c>
      <c r="F373" s="126">
        <v>71.741799999999998</v>
      </c>
      <c r="G373" s="127">
        <v>9.0876096349700983</v>
      </c>
      <c r="H373" s="127">
        <v>10.955955942003127</v>
      </c>
      <c r="I373" s="128">
        <v>7236701</v>
      </c>
      <c r="J373" s="128">
        <v>7005900</v>
      </c>
      <c r="K373" s="128">
        <v>6949288</v>
      </c>
      <c r="L373" s="128">
        <v>7424096</v>
      </c>
      <c r="M373" s="128">
        <v>6793183</v>
      </c>
      <c r="N373" s="128">
        <v>6994356</v>
      </c>
      <c r="O373" s="128">
        <v>1113349</v>
      </c>
    </row>
    <row r="374" spans="1:15">
      <c r="A374" s="132" t="s">
        <v>742</v>
      </c>
      <c r="B374" s="123" t="s">
        <v>743</v>
      </c>
      <c r="C374" s="124">
        <v>2018</v>
      </c>
      <c r="D374" s="125">
        <v>2761.9680000000003</v>
      </c>
      <c r="E374" s="126">
        <v>334.87850000000003</v>
      </c>
      <c r="F374" s="126">
        <v>158.9776</v>
      </c>
      <c r="G374" s="127">
        <v>8.2476719168295372</v>
      </c>
      <c r="H374" s="127">
        <v>12.693612181841971</v>
      </c>
      <c r="I374" s="128">
        <v>17650537</v>
      </c>
      <c r="J374" s="128">
        <v>17575574</v>
      </c>
      <c r="K374" s="128">
        <v>17732952</v>
      </c>
      <c r="L374" s="128">
        <v>16481818</v>
      </c>
      <c r="M374" s="128">
        <v>17242920</v>
      </c>
      <c r="N374" s="128">
        <v>16514989</v>
      </c>
      <c r="O374" s="128">
        <v>2195575</v>
      </c>
    </row>
    <row r="375" spans="1:15">
      <c r="A375" s="132" t="s">
        <v>1016</v>
      </c>
      <c r="B375" s="123" t="s">
        <v>1017</v>
      </c>
      <c r="C375" s="124">
        <v>3884</v>
      </c>
      <c r="D375" s="125">
        <v>4750.1230000000005</v>
      </c>
      <c r="E375" s="126">
        <v>579.36800000000005</v>
      </c>
      <c r="F375" s="126">
        <v>290.1848</v>
      </c>
      <c r="G375" s="127">
        <v>8.1988011074135958</v>
      </c>
      <c r="H375" s="127">
        <v>13.384574243723311</v>
      </c>
      <c r="I375" s="128">
        <v>27503701</v>
      </c>
      <c r="J375" s="128">
        <v>27348900</v>
      </c>
      <c r="K375" s="128">
        <v>27029534</v>
      </c>
      <c r="L375" s="128">
        <v>27748691</v>
      </c>
      <c r="M375" s="128">
        <v>27614867</v>
      </c>
      <c r="N375" s="128">
        <v>27849833</v>
      </c>
      <c r="O375" s="128">
        <v>8879729</v>
      </c>
    </row>
    <row r="376" spans="1:15">
      <c r="A376" s="132" t="s">
        <v>1150</v>
      </c>
      <c r="B376" s="123" t="s">
        <v>1151</v>
      </c>
      <c r="C376" s="124">
        <v>8482</v>
      </c>
      <c r="D376" s="125">
        <v>10198.254000000001</v>
      </c>
      <c r="E376" s="126">
        <v>1164.0130999999999</v>
      </c>
      <c r="F376" s="126">
        <v>553.18820000000005</v>
      </c>
      <c r="G376" s="127">
        <v>8.7612879958137935</v>
      </c>
      <c r="H376" s="127">
        <v>15.332937325850406</v>
      </c>
      <c r="I376" s="128">
        <v>67903066</v>
      </c>
      <c r="J376" s="128">
        <v>63521960</v>
      </c>
      <c r="K376" s="128">
        <v>63220198</v>
      </c>
      <c r="L376" s="128">
        <v>61932946</v>
      </c>
      <c r="M376" s="128">
        <v>64376363</v>
      </c>
      <c r="N376" s="128">
        <v>66698966</v>
      </c>
      <c r="O376" s="128">
        <v>11028045</v>
      </c>
    </row>
    <row r="377" spans="1:15">
      <c r="A377" s="132" t="s">
        <v>1486</v>
      </c>
      <c r="B377" s="123" t="s">
        <v>1487</v>
      </c>
      <c r="C377" s="124">
        <v>4724</v>
      </c>
      <c r="D377" s="125">
        <v>5630.7530000000006</v>
      </c>
      <c r="E377" s="126">
        <v>663.28240000000005</v>
      </c>
      <c r="F377" s="126">
        <v>320.45249999999999</v>
      </c>
      <c r="G377" s="127">
        <v>8.4892241977172915</v>
      </c>
      <c r="H377" s="127">
        <v>14.741654379354195</v>
      </c>
      <c r="I377" s="128">
        <v>32790941</v>
      </c>
      <c r="J377" s="128">
        <v>33836766</v>
      </c>
      <c r="K377" s="128">
        <v>32519191</v>
      </c>
      <c r="L377" s="128">
        <v>33051600</v>
      </c>
      <c r="M377" s="128">
        <v>33091114</v>
      </c>
      <c r="N377" s="128">
        <v>34122756</v>
      </c>
      <c r="O377" s="128">
        <v>4171856</v>
      </c>
    </row>
    <row r="378" spans="1:15">
      <c r="A378" s="132" t="s">
        <v>1652</v>
      </c>
      <c r="B378" s="123" t="s">
        <v>1653</v>
      </c>
      <c r="C378" s="124">
        <v>1290</v>
      </c>
      <c r="D378" s="125">
        <v>1706.626</v>
      </c>
      <c r="E378" s="126">
        <v>237.45480000000001</v>
      </c>
      <c r="F378" s="126">
        <v>109.0048</v>
      </c>
      <c r="G378" s="127">
        <v>7.1871615145282384</v>
      </c>
      <c r="H378" s="127">
        <v>11.834341240018787</v>
      </c>
      <c r="I378" s="128">
        <v>10187396</v>
      </c>
      <c r="J378" s="128">
        <v>11765269</v>
      </c>
      <c r="K378" s="128">
        <v>10943744</v>
      </c>
      <c r="L378" s="128">
        <v>10291878</v>
      </c>
      <c r="M378" s="128">
        <v>10407762</v>
      </c>
      <c r="N378" s="128">
        <v>10524614</v>
      </c>
      <c r="O378" s="128">
        <v>3204825</v>
      </c>
    </row>
    <row r="379" spans="1:15">
      <c r="A379" s="132" t="s">
        <v>1800</v>
      </c>
      <c r="B379" s="123" t="s">
        <v>1801</v>
      </c>
      <c r="C379" s="124">
        <v>1881</v>
      </c>
      <c r="D379" s="125">
        <v>2265.1669999999999</v>
      </c>
      <c r="E379" s="126">
        <v>234.8108</v>
      </c>
      <c r="F379" s="126">
        <v>127.0056</v>
      </c>
      <c r="G379" s="127">
        <v>9.6467751909196675</v>
      </c>
      <c r="H379" s="127">
        <v>14.810370566337232</v>
      </c>
      <c r="I379" s="128">
        <v>11994226</v>
      </c>
      <c r="J379" s="128">
        <v>11717020</v>
      </c>
      <c r="K379" s="128">
        <v>12114188</v>
      </c>
      <c r="L379" s="128">
        <v>11971350</v>
      </c>
      <c r="M379" s="128">
        <v>11822023</v>
      </c>
      <c r="N379" s="128">
        <v>12072989</v>
      </c>
      <c r="O379" s="128">
        <v>3152252</v>
      </c>
    </row>
    <row r="380" spans="1:15">
      <c r="A380" s="132" t="s">
        <v>2021</v>
      </c>
      <c r="B380" s="123" t="s">
        <v>2022</v>
      </c>
      <c r="C380" s="124">
        <v>1446</v>
      </c>
      <c r="D380" s="125">
        <v>1772.0450000000001</v>
      </c>
      <c r="E380" s="126">
        <v>166.37559999999999</v>
      </c>
      <c r="F380" s="126">
        <v>100.3271</v>
      </c>
      <c r="G380" s="127">
        <v>10.650870680556524</v>
      </c>
      <c r="H380" s="127">
        <v>14.412855549497593</v>
      </c>
      <c r="I380" s="128">
        <v>10274934</v>
      </c>
      <c r="J380" s="128">
        <v>10035983</v>
      </c>
      <c r="K380" s="128">
        <v>9957157</v>
      </c>
      <c r="L380" s="128">
        <v>9880535</v>
      </c>
      <c r="M380" s="128">
        <v>9808637</v>
      </c>
      <c r="N380" s="128">
        <v>10282460</v>
      </c>
      <c r="O380" s="128">
        <v>3704490</v>
      </c>
    </row>
    <row r="381" spans="1:15">
      <c r="A381" s="132" t="s">
        <v>88</v>
      </c>
      <c r="B381" s="123" t="s">
        <v>89</v>
      </c>
      <c r="C381" s="124">
        <v>736</v>
      </c>
      <c r="D381" s="125">
        <v>1056.7090000000001</v>
      </c>
      <c r="E381" s="126">
        <v>120.2252</v>
      </c>
      <c r="F381" s="126">
        <v>56.110199999999999</v>
      </c>
      <c r="G381" s="127">
        <v>8.7894135339346491</v>
      </c>
      <c r="H381" s="127">
        <v>13.117044672804589</v>
      </c>
      <c r="I381" s="128">
        <v>5914273</v>
      </c>
      <c r="J381" s="128">
        <v>6144376</v>
      </c>
      <c r="K381" s="128">
        <v>6691211</v>
      </c>
      <c r="L381" s="128">
        <v>6209407</v>
      </c>
      <c r="M381" s="128">
        <v>6371921</v>
      </c>
      <c r="N381" s="128">
        <v>6405495</v>
      </c>
      <c r="O381" s="128">
        <v>1928724</v>
      </c>
    </row>
    <row r="382" spans="1:15">
      <c r="A382" s="132" t="s">
        <v>938</v>
      </c>
      <c r="B382" s="123" t="s">
        <v>939</v>
      </c>
      <c r="C382" s="124">
        <v>491</v>
      </c>
      <c r="D382" s="125">
        <v>732.62</v>
      </c>
      <c r="E382" s="126">
        <v>81.918900000000008</v>
      </c>
      <c r="F382" s="126">
        <v>42.037500000000001</v>
      </c>
      <c r="G382" s="127">
        <v>8.9432353217633533</v>
      </c>
      <c r="H382" s="127">
        <v>11.680047576568539</v>
      </c>
      <c r="I382" s="128">
        <v>5018157</v>
      </c>
      <c r="J382" s="128">
        <v>4547045</v>
      </c>
      <c r="K382" s="128">
        <v>4588450</v>
      </c>
      <c r="L382" s="128">
        <v>4697647</v>
      </c>
      <c r="M382" s="128">
        <v>4677045</v>
      </c>
      <c r="N382" s="128">
        <v>4746548</v>
      </c>
      <c r="O382" s="128">
        <v>1116964</v>
      </c>
    </row>
    <row r="383" spans="1:15">
      <c r="A383" s="132" t="s">
        <v>1345</v>
      </c>
      <c r="B383" s="123" t="s">
        <v>1346</v>
      </c>
      <c r="C383" s="124">
        <v>2916</v>
      </c>
      <c r="D383" s="125">
        <v>3793.1080000000002</v>
      </c>
      <c r="E383" s="126">
        <v>419.93649999999997</v>
      </c>
      <c r="F383" s="126">
        <v>228.00290000000001</v>
      </c>
      <c r="G383" s="127">
        <v>9.0325751631496676</v>
      </c>
      <c r="H383" s="127">
        <v>12.789311013149394</v>
      </c>
      <c r="I383" s="128">
        <v>22120307</v>
      </c>
      <c r="J383" s="128">
        <v>21093690</v>
      </c>
      <c r="K383" s="128">
        <v>21681740</v>
      </c>
      <c r="L383" s="128">
        <v>22661930</v>
      </c>
      <c r="M383" s="128">
        <v>21645684</v>
      </c>
      <c r="N383" s="128">
        <v>22202137</v>
      </c>
      <c r="O383" s="128">
        <v>2527857</v>
      </c>
    </row>
    <row r="384" spans="1:15">
      <c r="A384" s="132" t="s">
        <v>1580</v>
      </c>
      <c r="B384" s="123" t="s">
        <v>1581</v>
      </c>
      <c r="C384" s="124">
        <v>152</v>
      </c>
      <c r="D384" s="125">
        <v>240.90400000000002</v>
      </c>
      <c r="E384" s="126">
        <v>31.4998</v>
      </c>
      <c r="F384" s="126">
        <v>17.9998</v>
      </c>
      <c r="G384" s="127">
        <v>7.6477945891719958</v>
      </c>
      <c r="H384" s="127">
        <v>8.444538272647474</v>
      </c>
      <c r="I384" s="128">
        <v>1796889</v>
      </c>
      <c r="J384" s="128">
        <v>1631545</v>
      </c>
      <c r="K384" s="128">
        <v>1698964</v>
      </c>
      <c r="L384" s="128">
        <v>1738073</v>
      </c>
      <c r="M384" s="128">
        <v>1711546</v>
      </c>
      <c r="N384" s="128">
        <v>1746339</v>
      </c>
      <c r="O384" s="128">
        <v>1154392</v>
      </c>
    </row>
    <row r="385" spans="1:15">
      <c r="A385" s="132" t="s">
        <v>1722</v>
      </c>
      <c r="B385" s="123" t="s">
        <v>1723</v>
      </c>
      <c r="C385" s="124">
        <v>7503</v>
      </c>
      <c r="D385" s="125">
        <v>9170.5690000000013</v>
      </c>
      <c r="E385" s="126">
        <v>1138.1855</v>
      </c>
      <c r="F385" s="126">
        <v>524.53380000000004</v>
      </c>
      <c r="G385" s="127">
        <v>8.0571831217319154</v>
      </c>
      <c r="H385" s="127">
        <v>14.304130639436389</v>
      </c>
      <c r="I385" s="128">
        <v>51409080</v>
      </c>
      <c r="J385" s="128">
        <v>51801282</v>
      </c>
      <c r="K385" s="128">
        <v>52242422</v>
      </c>
      <c r="L385" s="128">
        <v>51765794</v>
      </c>
      <c r="M385" s="128">
        <v>51247312</v>
      </c>
      <c r="N385" s="128">
        <v>53992647</v>
      </c>
      <c r="O385" s="128">
        <v>15810725</v>
      </c>
    </row>
    <row r="386" spans="1:15">
      <c r="A386" s="132" t="s">
        <v>1710</v>
      </c>
      <c r="B386" s="123" t="s">
        <v>1711</v>
      </c>
      <c r="C386" s="124">
        <v>12389</v>
      </c>
      <c r="D386" s="125">
        <v>14181.184999999999</v>
      </c>
      <c r="E386" s="126">
        <v>1520.7184</v>
      </c>
      <c r="F386" s="126">
        <v>782.89760000000001</v>
      </c>
      <c r="G386" s="127">
        <v>9.3253195331890506</v>
      </c>
      <c r="H386" s="127">
        <v>15.824547169387159</v>
      </c>
      <c r="I386" s="128">
        <v>85450864</v>
      </c>
      <c r="J386" s="128">
        <v>83596625</v>
      </c>
      <c r="K386" s="128">
        <v>81012796</v>
      </c>
      <c r="L386" s="128">
        <v>86001022</v>
      </c>
      <c r="M386" s="128">
        <v>84201801</v>
      </c>
      <c r="N386" s="128">
        <v>83222190</v>
      </c>
      <c r="O386" s="128">
        <v>21560277</v>
      </c>
    </row>
    <row r="387" spans="1:15">
      <c r="A387" s="132" t="s">
        <v>1343</v>
      </c>
      <c r="B387" s="123" t="s">
        <v>1344</v>
      </c>
      <c r="C387" s="124">
        <v>1557</v>
      </c>
      <c r="D387" s="125">
        <v>1948.998</v>
      </c>
      <c r="E387" s="126">
        <v>198.22120000000001</v>
      </c>
      <c r="F387" s="126">
        <v>106.77679999999999</v>
      </c>
      <c r="G387" s="127">
        <v>9.8324397188595363</v>
      </c>
      <c r="H387" s="127">
        <v>14.581819271602072</v>
      </c>
      <c r="I387" s="128">
        <v>10530272</v>
      </c>
      <c r="J387" s="128">
        <v>11076703</v>
      </c>
      <c r="K387" s="128">
        <v>10509848</v>
      </c>
      <c r="L387" s="128">
        <v>10768086</v>
      </c>
      <c r="M387" s="128">
        <v>11374799</v>
      </c>
      <c r="N387" s="128">
        <v>11097615</v>
      </c>
      <c r="O387" s="128">
        <v>1740799</v>
      </c>
    </row>
    <row r="388" spans="1:15">
      <c r="A388" s="132" t="s">
        <v>1206</v>
      </c>
      <c r="B388" s="123" t="s">
        <v>1207</v>
      </c>
      <c r="C388" s="124">
        <v>1352</v>
      </c>
      <c r="D388" s="125">
        <v>1681.1980000000001</v>
      </c>
      <c r="E388" s="126">
        <v>206.10880000000003</v>
      </c>
      <c r="F388" s="126">
        <v>100.83750000000001</v>
      </c>
      <c r="G388" s="127">
        <v>8.1568472573708632</v>
      </c>
      <c r="H388" s="127">
        <v>13.407710425189041</v>
      </c>
      <c r="I388" s="128">
        <v>10391451</v>
      </c>
      <c r="J388" s="128">
        <v>10379491</v>
      </c>
      <c r="K388" s="128">
        <v>10737964</v>
      </c>
      <c r="L388" s="128">
        <v>10015234</v>
      </c>
      <c r="M388" s="128">
        <v>10561408</v>
      </c>
      <c r="N388" s="128">
        <v>10120991</v>
      </c>
      <c r="O388" s="128">
        <v>1115817</v>
      </c>
    </row>
    <row r="389" spans="1:15">
      <c r="A389" s="132" t="s">
        <v>46</v>
      </c>
      <c r="B389" s="123" t="s">
        <v>47</v>
      </c>
      <c r="C389" s="124">
        <v>785</v>
      </c>
      <c r="D389" s="125">
        <v>1155.1849999999999</v>
      </c>
      <c r="E389" s="126">
        <v>136.30250000000001</v>
      </c>
      <c r="F389" s="126">
        <v>71.808000000000007</v>
      </c>
      <c r="G389" s="127">
        <v>8.4751563617688586</v>
      </c>
      <c r="H389" s="127">
        <v>10.931929590017825</v>
      </c>
      <c r="I389" s="128">
        <v>7738581</v>
      </c>
      <c r="J389" s="128">
        <v>8123446</v>
      </c>
      <c r="K389" s="128">
        <v>7788448</v>
      </c>
      <c r="L389" s="128">
        <v>7960039</v>
      </c>
      <c r="M389" s="128">
        <v>8349813</v>
      </c>
      <c r="N389" s="128">
        <v>8199520</v>
      </c>
      <c r="O389" s="128">
        <v>2585718</v>
      </c>
    </row>
    <row r="390" spans="1:15">
      <c r="A390" s="132" t="s">
        <v>459</v>
      </c>
      <c r="B390" s="123" t="s">
        <v>460</v>
      </c>
      <c r="C390" s="124">
        <v>120</v>
      </c>
      <c r="D390" s="125">
        <v>247.964</v>
      </c>
      <c r="E390" s="126">
        <v>30.912500000000001</v>
      </c>
      <c r="F390" s="126">
        <v>15.8819</v>
      </c>
      <c r="G390" s="127">
        <v>8.0214799838253121</v>
      </c>
      <c r="H390" s="127">
        <v>7.5557710349517375</v>
      </c>
      <c r="I390" s="128">
        <v>1529939</v>
      </c>
      <c r="J390" s="128">
        <v>1610772</v>
      </c>
      <c r="K390" s="128">
        <v>1521793</v>
      </c>
      <c r="L390" s="128">
        <v>1672529</v>
      </c>
      <c r="M390" s="128">
        <v>1625465</v>
      </c>
      <c r="N390" s="128">
        <v>1620515</v>
      </c>
      <c r="O390" s="128">
        <v>629692</v>
      </c>
    </row>
    <row r="391" spans="1:15">
      <c r="A391" s="132" t="s">
        <v>812</v>
      </c>
      <c r="B391" s="123" t="s">
        <v>813</v>
      </c>
      <c r="C391" s="124">
        <v>670</v>
      </c>
      <c r="D391" s="125">
        <v>1043.7360000000001</v>
      </c>
      <c r="E391" s="126">
        <v>108.60910000000001</v>
      </c>
      <c r="F391" s="126">
        <v>55.277500000000003</v>
      </c>
      <c r="G391" s="127">
        <v>9.6100234694882847</v>
      </c>
      <c r="H391" s="127">
        <v>12.120663922934286</v>
      </c>
      <c r="I391" s="128">
        <v>5076958</v>
      </c>
      <c r="J391" s="128">
        <v>5305049</v>
      </c>
      <c r="K391" s="128">
        <v>4895565</v>
      </c>
      <c r="L391" s="128">
        <v>5229910</v>
      </c>
      <c r="M391" s="128">
        <v>5734575</v>
      </c>
      <c r="N391" s="128">
        <v>5733427</v>
      </c>
      <c r="O391" s="128">
        <v>2567380</v>
      </c>
    </row>
    <row r="392" spans="1:15">
      <c r="A392" s="132" t="s">
        <v>1472</v>
      </c>
      <c r="B392" s="123" t="s">
        <v>1473</v>
      </c>
      <c r="C392" s="124">
        <v>282</v>
      </c>
      <c r="D392" s="125">
        <v>452.28200000000004</v>
      </c>
      <c r="E392" s="126">
        <v>49.800800000000002</v>
      </c>
      <c r="F392" s="126">
        <v>24.734000000000002</v>
      </c>
      <c r="G392" s="127">
        <v>9.0818219787633936</v>
      </c>
      <c r="H392" s="127">
        <v>11.401309937737526</v>
      </c>
      <c r="I392" s="128">
        <v>2758349</v>
      </c>
      <c r="J392" s="128">
        <v>2818710</v>
      </c>
      <c r="K392" s="128">
        <v>2579580</v>
      </c>
      <c r="L392" s="128">
        <v>2813639</v>
      </c>
      <c r="M392" s="128">
        <v>2768446</v>
      </c>
      <c r="N392" s="128">
        <v>2823497</v>
      </c>
      <c r="O392" s="128">
        <v>958102</v>
      </c>
    </row>
    <row r="393" spans="1:15">
      <c r="A393" s="132" t="s">
        <v>1492</v>
      </c>
      <c r="B393" s="123" t="s">
        <v>1493</v>
      </c>
      <c r="C393" s="124">
        <v>5839</v>
      </c>
      <c r="D393" s="125">
        <v>7179.7449999999999</v>
      </c>
      <c r="E393" s="126">
        <v>718.97849999999994</v>
      </c>
      <c r="F393" s="126">
        <v>408.97469999999998</v>
      </c>
      <c r="G393" s="127">
        <v>9.986035743767026</v>
      </c>
      <c r="H393" s="127">
        <v>14.277166778287263</v>
      </c>
      <c r="I393" s="128">
        <v>38816147</v>
      </c>
      <c r="J393" s="128">
        <v>41060320</v>
      </c>
      <c r="K393" s="128">
        <v>39722592</v>
      </c>
      <c r="L393" s="128">
        <v>38939776</v>
      </c>
      <c r="M393" s="128">
        <v>41080703</v>
      </c>
      <c r="N393" s="128">
        <v>41252946</v>
      </c>
      <c r="O393" s="128">
        <v>10977655</v>
      </c>
    </row>
    <row r="394" spans="1:15">
      <c r="A394" s="132" t="s">
        <v>1254</v>
      </c>
      <c r="B394" s="123" t="s">
        <v>1255</v>
      </c>
      <c r="C394" s="124">
        <v>553</v>
      </c>
      <c r="D394" s="125">
        <v>985.36200000000008</v>
      </c>
      <c r="E394" s="126">
        <v>115.87280000000001</v>
      </c>
      <c r="F394" s="126">
        <v>51.423400000000001</v>
      </c>
      <c r="G394" s="127">
        <v>8.5038248838381403</v>
      </c>
      <c r="H394" s="127">
        <v>10.753859138057772</v>
      </c>
      <c r="I394" s="128">
        <v>5423737</v>
      </c>
      <c r="J394" s="128">
        <v>5304393</v>
      </c>
      <c r="K394" s="128">
        <v>5394223</v>
      </c>
      <c r="L394" s="128">
        <v>5804987</v>
      </c>
      <c r="M394" s="128">
        <v>5381389</v>
      </c>
      <c r="N394" s="128">
        <v>6024442</v>
      </c>
      <c r="O394" s="128">
        <v>3239963</v>
      </c>
    </row>
    <row r="395" spans="1:15">
      <c r="A395" s="132" t="s">
        <v>1918</v>
      </c>
      <c r="B395" s="123" t="s">
        <v>1919</v>
      </c>
      <c r="C395" s="124">
        <v>208</v>
      </c>
      <c r="D395" s="125">
        <v>400.60500000000002</v>
      </c>
      <c r="E395" s="126">
        <v>46.505499999999998</v>
      </c>
      <c r="F395" s="126">
        <v>24.324999999999999</v>
      </c>
      <c r="G395" s="127">
        <v>8.6141424132629485</v>
      </c>
      <c r="H395" s="127">
        <v>8.5508735868448102</v>
      </c>
      <c r="I395" s="128">
        <v>2280953</v>
      </c>
      <c r="J395" s="128">
        <v>2146397</v>
      </c>
      <c r="K395" s="128">
        <v>2341417</v>
      </c>
      <c r="L395" s="128">
        <v>2227359</v>
      </c>
      <c r="M395" s="128">
        <v>2135956</v>
      </c>
      <c r="N395" s="128">
        <v>2077062</v>
      </c>
      <c r="O395" s="128">
        <v>1049748</v>
      </c>
    </row>
    <row r="396" spans="1:15">
      <c r="A396" s="132" t="s">
        <v>820</v>
      </c>
      <c r="B396" s="123" t="s">
        <v>821</v>
      </c>
      <c r="C396" s="124">
        <v>812</v>
      </c>
      <c r="D396" s="125">
        <v>1318.615</v>
      </c>
      <c r="E396" s="126">
        <v>127.8634</v>
      </c>
      <c r="F396" s="126">
        <v>75.851100000000002</v>
      </c>
      <c r="G396" s="127">
        <v>10.312685256296955</v>
      </c>
      <c r="H396" s="127">
        <v>10.705184235957026</v>
      </c>
      <c r="I396" s="128">
        <v>6674301</v>
      </c>
      <c r="J396" s="128">
        <v>7015866</v>
      </c>
      <c r="K396" s="128">
        <v>7443392</v>
      </c>
      <c r="L396" s="128">
        <v>7126410</v>
      </c>
      <c r="M396" s="128">
        <v>7157373</v>
      </c>
      <c r="N396" s="128">
        <v>7652445</v>
      </c>
      <c r="O396" s="128">
        <v>385397</v>
      </c>
    </row>
    <row r="397" spans="1:15">
      <c r="A397" s="132" t="s">
        <v>874</v>
      </c>
      <c r="B397" s="123" t="s">
        <v>875</v>
      </c>
      <c r="C397" s="124">
        <v>615</v>
      </c>
      <c r="D397" s="125">
        <v>911.99800000000005</v>
      </c>
      <c r="E397" s="126">
        <v>99.331199999999995</v>
      </c>
      <c r="F397" s="126">
        <v>56.334699999999998</v>
      </c>
      <c r="G397" s="127">
        <v>9.1813851035726959</v>
      </c>
      <c r="H397" s="127">
        <v>10.916894915567138</v>
      </c>
      <c r="I397" s="128">
        <v>6063656</v>
      </c>
      <c r="J397" s="128">
        <v>5662057</v>
      </c>
      <c r="K397" s="128">
        <v>5961638</v>
      </c>
      <c r="L397" s="128">
        <v>6713995</v>
      </c>
      <c r="M397" s="128">
        <v>6231864</v>
      </c>
      <c r="N397" s="128">
        <v>6589607</v>
      </c>
      <c r="O397" s="128">
        <v>1523643</v>
      </c>
    </row>
    <row r="398" spans="1:15">
      <c r="A398" s="132" t="s">
        <v>804</v>
      </c>
      <c r="B398" s="123" t="s">
        <v>805</v>
      </c>
      <c r="C398" s="124">
        <v>417</v>
      </c>
      <c r="D398" s="125">
        <v>772.024</v>
      </c>
      <c r="E398" s="126">
        <v>76.639899999999997</v>
      </c>
      <c r="F398" s="126">
        <v>42.338900000000002</v>
      </c>
      <c r="G398" s="127">
        <v>10.073395189711887</v>
      </c>
      <c r="H398" s="127">
        <v>9.8490985830997015</v>
      </c>
      <c r="I398" s="128">
        <v>6488611</v>
      </c>
      <c r="J398" s="128">
        <v>6623431</v>
      </c>
      <c r="K398" s="128">
        <v>6244335</v>
      </c>
      <c r="L398" s="128">
        <v>5865788</v>
      </c>
      <c r="M398" s="128">
        <v>6703252</v>
      </c>
      <c r="N398" s="128">
        <v>6754269</v>
      </c>
      <c r="O398" s="128">
        <v>1228799</v>
      </c>
    </row>
    <row r="399" spans="1:15">
      <c r="A399" s="132" t="s">
        <v>1536</v>
      </c>
      <c r="B399" s="123" t="s">
        <v>1537</v>
      </c>
      <c r="C399" s="124">
        <v>121</v>
      </c>
      <c r="D399" s="125">
        <v>228.96</v>
      </c>
      <c r="E399" s="126">
        <v>29.1389</v>
      </c>
      <c r="F399" s="126">
        <v>13.499599999999999</v>
      </c>
      <c r="G399" s="127">
        <v>7.8575375185748264</v>
      </c>
      <c r="H399" s="127">
        <v>8.9632285401048932</v>
      </c>
      <c r="I399" s="128">
        <v>1793996</v>
      </c>
      <c r="J399" s="128">
        <v>1748014</v>
      </c>
      <c r="K399" s="128">
        <v>1784227</v>
      </c>
      <c r="L399" s="128">
        <v>1867992</v>
      </c>
      <c r="M399" s="128">
        <v>1794244</v>
      </c>
      <c r="N399" s="128">
        <v>1856870</v>
      </c>
      <c r="O399" s="128">
        <v>582950</v>
      </c>
    </row>
    <row r="400" spans="1:15">
      <c r="A400" s="132" t="s">
        <v>1792</v>
      </c>
      <c r="B400" s="123" t="s">
        <v>1793</v>
      </c>
      <c r="C400" s="124">
        <v>832</v>
      </c>
      <c r="D400" s="125">
        <v>1353.4549999999999</v>
      </c>
      <c r="E400" s="126">
        <v>138.50149999999999</v>
      </c>
      <c r="F400" s="126">
        <v>81.765699999999995</v>
      </c>
      <c r="G400" s="127">
        <v>9.7721324317787186</v>
      </c>
      <c r="H400" s="127">
        <v>10.175415852857617</v>
      </c>
      <c r="I400" s="128">
        <v>7729561</v>
      </c>
      <c r="J400" s="128">
        <v>8352674</v>
      </c>
      <c r="K400" s="128">
        <v>8114798</v>
      </c>
      <c r="L400" s="128">
        <v>8395084</v>
      </c>
      <c r="M400" s="128">
        <v>8114785</v>
      </c>
      <c r="N400" s="128">
        <v>8139259</v>
      </c>
      <c r="O400" s="128">
        <v>2344097</v>
      </c>
    </row>
    <row r="401" spans="1:15">
      <c r="A401" s="132" t="s">
        <v>375</v>
      </c>
      <c r="B401" s="123" t="s">
        <v>376</v>
      </c>
      <c r="C401" s="124">
        <v>196</v>
      </c>
      <c r="D401" s="125">
        <v>347.81100000000004</v>
      </c>
      <c r="E401" s="126">
        <v>40.672800000000002</v>
      </c>
      <c r="F401" s="126">
        <v>19.164899999999999</v>
      </c>
      <c r="G401" s="127">
        <v>8.5514397828524231</v>
      </c>
      <c r="H401" s="127">
        <v>10.227029621860797</v>
      </c>
      <c r="I401" s="128">
        <v>2171057</v>
      </c>
      <c r="J401" s="128">
        <v>2173968</v>
      </c>
      <c r="K401" s="128">
        <v>2199823</v>
      </c>
      <c r="L401" s="128">
        <v>2201242</v>
      </c>
      <c r="M401" s="128">
        <v>2251974</v>
      </c>
      <c r="N401" s="128">
        <v>2101983</v>
      </c>
      <c r="O401" s="128">
        <v>384168</v>
      </c>
    </row>
    <row r="402" spans="1:15">
      <c r="A402" s="132" t="s">
        <v>1542</v>
      </c>
      <c r="B402" s="123" t="s">
        <v>1543</v>
      </c>
      <c r="C402" s="124">
        <v>537</v>
      </c>
      <c r="D402" s="125">
        <v>990.995</v>
      </c>
      <c r="E402" s="126">
        <v>116.4016</v>
      </c>
      <c r="F402" s="126">
        <v>55.808300000000003</v>
      </c>
      <c r="G402" s="127">
        <v>8.5135857239075747</v>
      </c>
      <c r="H402" s="127">
        <v>9.6222246511719582</v>
      </c>
      <c r="I402" s="128">
        <v>5975305</v>
      </c>
      <c r="J402" s="128">
        <v>5900927</v>
      </c>
      <c r="K402" s="128">
        <v>5443414</v>
      </c>
      <c r="L402" s="128">
        <v>6262759</v>
      </c>
      <c r="M402" s="128">
        <v>6069407</v>
      </c>
      <c r="N402" s="128">
        <v>6129238</v>
      </c>
      <c r="O402" s="128">
        <v>1354469</v>
      </c>
    </row>
    <row r="403" spans="1:15">
      <c r="A403" s="132" t="s">
        <v>1034</v>
      </c>
      <c r="B403" s="123" t="s">
        <v>1035</v>
      </c>
      <c r="C403" s="124">
        <v>1365</v>
      </c>
      <c r="D403" s="125">
        <v>1778.5980000000002</v>
      </c>
      <c r="E403" s="126">
        <v>210.8818</v>
      </c>
      <c r="F403" s="126">
        <v>106.3877</v>
      </c>
      <c r="G403" s="127">
        <v>8.4340991019613849</v>
      </c>
      <c r="H403" s="127">
        <v>12.830430585490616</v>
      </c>
      <c r="I403" s="128">
        <v>9764636</v>
      </c>
      <c r="J403" s="128">
        <v>9755509</v>
      </c>
      <c r="K403" s="128">
        <v>10256460</v>
      </c>
      <c r="L403" s="128">
        <v>9804637</v>
      </c>
      <c r="M403" s="128">
        <v>9874086</v>
      </c>
      <c r="N403" s="128">
        <v>10082032</v>
      </c>
      <c r="O403" s="128">
        <v>2623335</v>
      </c>
    </row>
    <row r="404" spans="1:15">
      <c r="A404" s="132" t="s">
        <v>1748</v>
      </c>
      <c r="B404" s="123" t="s">
        <v>1749</v>
      </c>
      <c r="C404" s="124">
        <v>2856</v>
      </c>
      <c r="D404" s="125">
        <v>3725.817</v>
      </c>
      <c r="E404" s="126">
        <v>481.43380000000002</v>
      </c>
      <c r="F404" s="126">
        <v>207.52930000000001</v>
      </c>
      <c r="G404" s="127">
        <v>7.7390017069844284</v>
      </c>
      <c r="H404" s="127">
        <v>13.761912173365399</v>
      </c>
      <c r="I404" s="128">
        <v>26330574</v>
      </c>
      <c r="J404" s="128">
        <v>24765680</v>
      </c>
      <c r="K404" s="128">
        <v>24526490</v>
      </c>
      <c r="L404" s="128">
        <v>24310644</v>
      </c>
      <c r="M404" s="128">
        <v>22244180</v>
      </c>
      <c r="N404" s="128">
        <v>22611422</v>
      </c>
      <c r="O404" s="128">
        <v>4000000</v>
      </c>
    </row>
    <row r="405" spans="1:15">
      <c r="A405" s="132" t="s">
        <v>830</v>
      </c>
      <c r="B405" s="123" t="s">
        <v>831</v>
      </c>
      <c r="C405" s="124">
        <v>2022</v>
      </c>
      <c r="D405" s="125">
        <v>2515.4490000000001</v>
      </c>
      <c r="E405" s="126">
        <v>333.16110000000003</v>
      </c>
      <c r="F405" s="126">
        <v>154.60050000000001</v>
      </c>
      <c r="G405" s="127">
        <v>7.5502482132517867</v>
      </c>
      <c r="H405" s="127">
        <v>13.078871025643512</v>
      </c>
      <c r="I405" s="128">
        <v>15853289</v>
      </c>
      <c r="J405" s="128">
        <v>15868106</v>
      </c>
      <c r="K405" s="128">
        <v>18626343</v>
      </c>
      <c r="L405" s="128">
        <v>16002227</v>
      </c>
      <c r="M405" s="128">
        <v>15858424</v>
      </c>
      <c r="N405" s="128">
        <v>16081899</v>
      </c>
      <c r="O405" s="128">
        <v>4013032</v>
      </c>
    </row>
    <row r="406" spans="1:15">
      <c r="A406" s="132" t="s">
        <v>1178</v>
      </c>
      <c r="B406" s="123" t="s">
        <v>1179</v>
      </c>
      <c r="C406" s="124">
        <v>3958</v>
      </c>
      <c r="D406" s="125">
        <v>4689.6970000000001</v>
      </c>
      <c r="E406" s="126">
        <v>583.84850000000006</v>
      </c>
      <c r="F406" s="126">
        <v>267.7919</v>
      </c>
      <c r="G406" s="127">
        <v>8.0323868263770475</v>
      </c>
      <c r="H406" s="127">
        <v>14.780133379687735</v>
      </c>
      <c r="I406" s="128">
        <v>26411315</v>
      </c>
      <c r="J406" s="128">
        <v>26743065</v>
      </c>
      <c r="K406" s="128">
        <v>27949942</v>
      </c>
      <c r="L406" s="128">
        <v>27830183</v>
      </c>
      <c r="M406" s="128">
        <v>28157114</v>
      </c>
      <c r="N406" s="128">
        <v>29405481</v>
      </c>
      <c r="O406" s="128">
        <v>2379104</v>
      </c>
    </row>
    <row r="407" spans="1:15">
      <c r="A407" s="132" t="s">
        <v>1995</v>
      </c>
      <c r="B407" s="123" t="s">
        <v>1996</v>
      </c>
      <c r="C407" s="124">
        <v>599</v>
      </c>
      <c r="D407" s="125">
        <v>901.87900000000002</v>
      </c>
      <c r="E407" s="126">
        <v>91.103700000000003</v>
      </c>
      <c r="F407" s="126">
        <v>45.288400000000003</v>
      </c>
      <c r="G407" s="127">
        <v>9.8994771891811197</v>
      </c>
      <c r="H407" s="127">
        <v>13.226344936010102</v>
      </c>
      <c r="I407" s="128">
        <v>4913907</v>
      </c>
      <c r="J407" s="128">
        <v>4752846</v>
      </c>
      <c r="K407" s="128">
        <v>4771546</v>
      </c>
      <c r="L407" s="128">
        <v>4671769</v>
      </c>
      <c r="M407" s="128">
        <v>5007280</v>
      </c>
      <c r="N407" s="128">
        <v>5280410</v>
      </c>
      <c r="O407" s="128">
        <v>461735</v>
      </c>
    </row>
    <row r="408" spans="1:15">
      <c r="A408" s="132" t="s">
        <v>62</v>
      </c>
      <c r="B408" s="123" t="s">
        <v>63</v>
      </c>
      <c r="C408" s="124">
        <v>62945</v>
      </c>
      <c r="D408" s="125">
        <v>79240.732000000004</v>
      </c>
      <c r="E408" s="126">
        <v>8357.9086000000007</v>
      </c>
      <c r="F408" s="126">
        <v>3956.0003999999999</v>
      </c>
      <c r="G408" s="127">
        <v>9.4809282791151848</v>
      </c>
      <c r="H408" s="127">
        <v>15.911272405331406</v>
      </c>
      <c r="I408" s="128">
        <v>473231682</v>
      </c>
      <c r="J408" s="128">
        <v>466200716</v>
      </c>
      <c r="K408" s="128">
        <v>448343903</v>
      </c>
      <c r="L408" s="128">
        <v>437449799</v>
      </c>
      <c r="M408" s="128">
        <v>467157855</v>
      </c>
      <c r="N408" s="128">
        <v>468115105</v>
      </c>
      <c r="O408" s="128">
        <v>95886403</v>
      </c>
    </row>
    <row r="409" spans="1:15">
      <c r="A409" s="132" t="s">
        <v>68</v>
      </c>
      <c r="B409" s="123" t="s">
        <v>69</v>
      </c>
      <c r="C409" s="124">
        <v>45657</v>
      </c>
      <c r="D409" s="125">
        <v>57686.559000000001</v>
      </c>
      <c r="E409" s="126">
        <v>6137.6723000000002</v>
      </c>
      <c r="F409" s="126">
        <v>3003.3548999999998</v>
      </c>
      <c r="G409" s="127">
        <v>9.3987681616693681</v>
      </c>
      <c r="H409" s="127">
        <v>15.201999603843023</v>
      </c>
      <c r="I409" s="128">
        <v>338319675</v>
      </c>
      <c r="J409" s="128">
        <v>346861059</v>
      </c>
      <c r="K409" s="128">
        <v>342360708</v>
      </c>
      <c r="L409" s="128">
        <v>337215387</v>
      </c>
      <c r="M409" s="128">
        <v>347034902</v>
      </c>
      <c r="N409" s="128">
        <v>348130926</v>
      </c>
      <c r="O409" s="128">
        <v>67674874</v>
      </c>
    </row>
    <row r="410" spans="1:15">
      <c r="A410" s="132" t="s">
        <v>358</v>
      </c>
      <c r="B410" s="123" t="s">
        <v>359</v>
      </c>
      <c r="C410" s="124">
        <v>8617</v>
      </c>
      <c r="D410" s="125">
        <v>10946.7</v>
      </c>
      <c r="E410" s="126">
        <v>1179.2815000000001</v>
      </c>
      <c r="F410" s="126">
        <v>574.74180000000001</v>
      </c>
      <c r="G410" s="127">
        <v>9.2825165153527802</v>
      </c>
      <c r="H410" s="127">
        <v>14.992819384286996</v>
      </c>
      <c r="I410" s="128">
        <v>60156806</v>
      </c>
      <c r="J410" s="128">
        <v>63311844</v>
      </c>
      <c r="K410" s="128">
        <v>60131112</v>
      </c>
      <c r="L410" s="128">
        <v>61719168</v>
      </c>
      <c r="M410" s="128">
        <v>60487927</v>
      </c>
      <c r="N410" s="128">
        <v>62976393</v>
      </c>
      <c r="O410" s="128">
        <v>23845444</v>
      </c>
    </row>
    <row r="411" spans="1:15">
      <c r="A411" s="132" t="s">
        <v>479</v>
      </c>
      <c r="B411" s="123" t="s">
        <v>480</v>
      </c>
      <c r="C411" s="124">
        <v>5097</v>
      </c>
      <c r="D411" s="125">
        <v>6026.4160000000002</v>
      </c>
      <c r="E411" s="126">
        <v>678.73979999999995</v>
      </c>
      <c r="F411" s="126">
        <v>302.32209999999998</v>
      </c>
      <c r="G411" s="127">
        <v>8.8788310336302665</v>
      </c>
      <c r="H411" s="127">
        <v>16.859501835955758</v>
      </c>
      <c r="I411" s="128">
        <v>36745522</v>
      </c>
      <c r="J411" s="128">
        <v>37607439</v>
      </c>
      <c r="K411" s="128">
        <v>35095392</v>
      </c>
      <c r="L411" s="128">
        <v>38637875</v>
      </c>
      <c r="M411" s="128">
        <v>39818288</v>
      </c>
      <c r="N411" s="128">
        <v>38419957</v>
      </c>
      <c r="O411" s="128">
        <v>6062199</v>
      </c>
    </row>
    <row r="412" spans="1:15">
      <c r="A412" s="132" t="s">
        <v>501</v>
      </c>
      <c r="B412" s="123" t="s">
        <v>502</v>
      </c>
      <c r="C412" s="124">
        <v>105860</v>
      </c>
      <c r="D412" s="125">
        <v>125375.16</v>
      </c>
      <c r="E412" s="126">
        <v>12734.0833</v>
      </c>
      <c r="F412" s="126">
        <v>6470.3549999999996</v>
      </c>
      <c r="G412" s="127">
        <v>9.845636866534397</v>
      </c>
      <c r="H412" s="127">
        <v>16.360771549629039</v>
      </c>
      <c r="I412" s="128">
        <v>681368350</v>
      </c>
      <c r="J412" s="128">
        <v>712521657</v>
      </c>
      <c r="K412" s="128">
        <v>652539716</v>
      </c>
      <c r="L412" s="128">
        <v>694229017</v>
      </c>
      <c r="M412" s="128">
        <v>716850615</v>
      </c>
      <c r="N412" s="128">
        <v>684665090</v>
      </c>
      <c r="O412" s="128">
        <v>98314811</v>
      </c>
    </row>
    <row r="413" spans="1:15">
      <c r="A413" s="132" t="s">
        <v>526</v>
      </c>
      <c r="B413" s="123" t="s">
        <v>527</v>
      </c>
      <c r="C413" s="124">
        <v>12533</v>
      </c>
      <c r="D413" s="125">
        <v>15247.643</v>
      </c>
      <c r="E413" s="126">
        <v>1742.4084</v>
      </c>
      <c r="F413" s="126">
        <v>846.1318</v>
      </c>
      <c r="G413" s="127">
        <v>8.7509007647116483</v>
      </c>
      <c r="H413" s="127">
        <v>14.812113195603805</v>
      </c>
      <c r="I413" s="128">
        <v>98709255</v>
      </c>
      <c r="J413" s="128">
        <v>100128786</v>
      </c>
      <c r="K413" s="128">
        <v>111117176</v>
      </c>
      <c r="L413" s="128">
        <v>102842248</v>
      </c>
      <c r="M413" s="128">
        <v>98492016</v>
      </c>
      <c r="N413" s="128">
        <v>100032219</v>
      </c>
      <c r="O413" s="128">
        <v>10716545</v>
      </c>
    </row>
    <row r="414" spans="1:15">
      <c r="A414" s="132" t="s">
        <v>1385</v>
      </c>
      <c r="B414" s="123" t="s">
        <v>1386</v>
      </c>
      <c r="C414" s="124">
        <v>7507</v>
      </c>
      <c r="D414" s="125">
        <v>8985.866</v>
      </c>
      <c r="E414" s="126">
        <v>1089.0161000000001</v>
      </c>
      <c r="F414" s="126">
        <v>513.16160000000002</v>
      </c>
      <c r="G414" s="127">
        <v>8.2513619403790255</v>
      </c>
      <c r="H414" s="127">
        <v>14.628920012721139</v>
      </c>
      <c r="I414" s="128">
        <v>51375602</v>
      </c>
      <c r="J414" s="128">
        <v>54567739</v>
      </c>
      <c r="K414" s="128">
        <v>52721119</v>
      </c>
      <c r="L414" s="128">
        <v>51375594</v>
      </c>
      <c r="M414" s="128">
        <v>54639106</v>
      </c>
      <c r="N414" s="128">
        <v>52481101</v>
      </c>
      <c r="O414" s="128">
        <v>-435017</v>
      </c>
    </row>
    <row r="415" spans="1:15">
      <c r="A415" s="132" t="s">
        <v>714</v>
      </c>
      <c r="B415" s="123" t="s">
        <v>715</v>
      </c>
      <c r="C415" s="124">
        <v>21557</v>
      </c>
      <c r="D415" s="125">
        <v>27807.822</v>
      </c>
      <c r="E415" s="126">
        <v>3103.7642999999998</v>
      </c>
      <c r="F415" s="126">
        <v>1534.49</v>
      </c>
      <c r="G415" s="127">
        <v>8.9593858657372927</v>
      </c>
      <c r="H415" s="127">
        <v>14.048315727049378</v>
      </c>
      <c r="I415" s="128">
        <v>164289470</v>
      </c>
      <c r="J415" s="128">
        <v>167432117</v>
      </c>
      <c r="K415" s="128">
        <v>166711494</v>
      </c>
      <c r="L415" s="128">
        <v>164909463</v>
      </c>
      <c r="M415" s="128">
        <v>165102127</v>
      </c>
      <c r="N415" s="128">
        <v>171058698</v>
      </c>
      <c r="O415" s="128">
        <v>17454788</v>
      </c>
    </row>
    <row r="416" spans="1:15">
      <c r="A416" s="132" t="s">
        <v>760</v>
      </c>
      <c r="B416" s="123" t="s">
        <v>761</v>
      </c>
      <c r="C416" s="124">
        <v>21097</v>
      </c>
      <c r="D416" s="125">
        <v>26360.66</v>
      </c>
      <c r="E416" s="126">
        <v>2919.4615000000003</v>
      </c>
      <c r="F416" s="126">
        <v>1469.7002</v>
      </c>
      <c r="G416" s="127">
        <v>9.0292884492568231</v>
      </c>
      <c r="H416" s="127">
        <v>14.35462824322947</v>
      </c>
      <c r="I416" s="128">
        <v>170819143</v>
      </c>
      <c r="J416" s="128">
        <v>171445298</v>
      </c>
      <c r="K416" s="128">
        <v>178224877</v>
      </c>
      <c r="L416" s="128">
        <v>170368200</v>
      </c>
      <c r="M416" s="128">
        <v>170790951</v>
      </c>
      <c r="N416" s="128">
        <v>174363021</v>
      </c>
      <c r="O416" s="128">
        <v>33075340</v>
      </c>
    </row>
    <row r="417" spans="1:15">
      <c r="A417" s="132" t="s">
        <v>901</v>
      </c>
      <c r="B417" s="123" t="s">
        <v>902</v>
      </c>
      <c r="C417" s="124">
        <v>203294</v>
      </c>
      <c r="D417" s="125">
        <v>252137.372</v>
      </c>
      <c r="E417" s="126">
        <v>24440.423699999999</v>
      </c>
      <c r="F417" s="126">
        <v>11808.5479</v>
      </c>
      <c r="G417" s="127">
        <v>10.316407567025935</v>
      </c>
      <c r="H417" s="127">
        <v>17.215833963801764</v>
      </c>
      <c r="I417" s="128">
        <v>1551449453</v>
      </c>
      <c r="J417" s="128">
        <v>1608215822</v>
      </c>
      <c r="K417" s="128">
        <v>1461003106</v>
      </c>
      <c r="L417" s="128">
        <v>1512839570</v>
      </c>
      <c r="M417" s="128">
        <v>1579177320</v>
      </c>
      <c r="N417" s="128">
        <v>1547514399</v>
      </c>
      <c r="O417" s="128">
        <v>199726439</v>
      </c>
    </row>
    <row r="418" spans="1:15">
      <c r="A418" s="132" t="s">
        <v>918</v>
      </c>
      <c r="B418" s="123" t="s">
        <v>919</v>
      </c>
      <c r="C418" s="124">
        <v>35678</v>
      </c>
      <c r="D418" s="125">
        <v>41175.258999999998</v>
      </c>
      <c r="E418" s="126">
        <v>4812.8244000000004</v>
      </c>
      <c r="F418" s="126">
        <v>2480.1033000000002</v>
      </c>
      <c r="G418" s="127">
        <v>8.5553212787069466</v>
      </c>
      <c r="H418" s="127">
        <v>14.385691112140368</v>
      </c>
      <c r="I418" s="128">
        <v>254714348</v>
      </c>
      <c r="J418" s="128">
        <v>268297936</v>
      </c>
      <c r="K418" s="128">
        <v>248757771</v>
      </c>
      <c r="L418" s="128">
        <v>251017081</v>
      </c>
      <c r="M418" s="128">
        <v>238883451</v>
      </c>
      <c r="N418" s="128">
        <v>260165416</v>
      </c>
      <c r="O418" s="128">
        <v>64483994</v>
      </c>
    </row>
    <row r="419" spans="1:15">
      <c r="A419" s="132" t="s">
        <v>990</v>
      </c>
      <c r="B419" s="123" t="s">
        <v>991</v>
      </c>
      <c r="C419" s="124">
        <v>60573</v>
      </c>
      <c r="D419" s="125">
        <v>70676.244999999995</v>
      </c>
      <c r="E419" s="126">
        <v>7655.8927000000003</v>
      </c>
      <c r="F419" s="126">
        <v>3820.6441</v>
      </c>
      <c r="G419" s="127">
        <v>9.2316138391020015</v>
      </c>
      <c r="H419" s="127">
        <v>15.854133076671548</v>
      </c>
      <c r="I419" s="128">
        <v>424509899</v>
      </c>
      <c r="J419" s="128">
        <v>443066702</v>
      </c>
      <c r="K419" s="128">
        <v>420885460</v>
      </c>
      <c r="L419" s="128">
        <v>427905335</v>
      </c>
      <c r="M419" s="128">
        <v>447693360</v>
      </c>
      <c r="N419" s="128">
        <v>430741048</v>
      </c>
      <c r="O419" s="128">
        <v>77732382</v>
      </c>
    </row>
    <row r="420" spans="1:15">
      <c r="A420" s="132" t="s">
        <v>1024</v>
      </c>
      <c r="B420" s="123" t="s">
        <v>1025</v>
      </c>
      <c r="C420" s="124">
        <v>45092</v>
      </c>
      <c r="D420" s="125">
        <v>53658.086000000003</v>
      </c>
      <c r="E420" s="126">
        <v>5783.0581999999995</v>
      </c>
      <c r="F420" s="126">
        <v>2994.2363999999998</v>
      </c>
      <c r="G420" s="127">
        <v>9.2784966265772688</v>
      </c>
      <c r="H420" s="127">
        <v>15.059599168589362</v>
      </c>
      <c r="I420" s="128">
        <v>305143951</v>
      </c>
      <c r="J420" s="128">
        <v>312515857</v>
      </c>
      <c r="K420" s="128">
        <v>299038564</v>
      </c>
      <c r="L420" s="128">
        <v>311942904</v>
      </c>
      <c r="M420" s="128">
        <v>309660210</v>
      </c>
      <c r="N420" s="128">
        <v>313333024</v>
      </c>
      <c r="O420" s="128">
        <v>46954372</v>
      </c>
    </row>
    <row r="421" spans="1:15">
      <c r="A421" s="132" t="s">
        <v>1050</v>
      </c>
      <c r="B421" s="123" t="s">
        <v>1051</v>
      </c>
      <c r="C421" s="124">
        <v>7785</v>
      </c>
      <c r="D421" s="125">
        <v>9295.9240000000009</v>
      </c>
      <c r="E421" s="126">
        <v>1073.4704000000002</v>
      </c>
      <c r="F421" s="126">
        <v>494.41680000000002</v>
      </c>
      <c r="G421" s="127">
        <v>8.6596928988447193</v>
      </c>
      <c r="H421" s="127">
        <v>15.745824171023314</v>
      </c>
      <c r="I421" s="128">
        <v>69189675</v>
      </c>
      <c r="J421" s="128">
        <v>62426910</v>
      </c>
      <c r="K421" s="128">
        <v>61894199</v>
      </c>
      <c r="L421" s="128">
        <v>62743215</v>
      </c>
      <c r="M421" s="128">
        <v>60524722</v>
      </c>
      <c r="N421" s="128">
        <v>63766599</v>
      </c>
      <c r="O421" s="128">
        <v>22918219</v>
      </c>
    </row>
    <row r="422" spans="1:15">
      <c r="A422" s="132" t="s">
        <v>1452</v>
      </c>
      <c r="B422" s="123" t="s">
        <v>1453</v>
      </c>
      <c r="C422" s="124">
        <v>52010</v>
      </c>
      <c r="D422" s="125">
        <v>65663.392999999996</v>
      </c>
      <c r="E422" s="126">
        <v>7177.0045</v>
      </c>
      <c r="F422" s="126">
        <v>3498.6702</v>
      </c>
      <c r="G422" s="127">
        <v>9.1491363841279458</v>
      </c>
      <c r="H422" s="127">
        <v>14.865648096811183</v>
      </c>
      <c r="I422" s="128">
        <v>370764010</v>
      </c>
      <c r="J422" s="128">
        <v>382499644</v>
      </c>
      <c r="K422" s="128">
        <v>377013074</v>
      </c>
      <c r="L422" s="128">
        <v>372089037</v>
      </c>
      <c r="M422" s="128">
        <v>380800785</v>
      </c>
      <c r="N422" s="128">
        <v>393697732</v>
      </c>
      <c r="O422" s="128">
        <v>63428850</v>
      </c>
    </row>
    <row r="423" spans="1:15">
      <c r="A423" s="132" t="s">
        <v>1802</v>
      </c>
      <c r="B423" s="123" t="s">
        <v>1803</v>
      </c>
      <c r="C423" s="124">
        <v>36230</v>
      </c>
      <c r="D423" s="125">
        <v>45015.908000000003</v>
      </c>
      <c r="E423" s="126">
        <v>5102.3579</v>
      </c>
      <c r="F423" s="126">
        <v>2268.2310000000002</v>
      </c>
      <c r="G423" s="127">
        <v>8.82256965941178</v>
      </c>
      <c r="H423" s="127">
        <v>15.972799948506125</v>
      </c>
      <c r="I423" s="128">
        <v>254058209</v>
      </c>
      <c r="J423" s="128">
        <v>260359669</v>
      </c>
      <c r="K423" s="128">
        <v>257554157</v>
      </c>
      <c r="L423" s="128">
        <v>251017871</v>
      </c>
      <c r="M423" s="128">
        <v>260456851</v>
      </c>
      <c r="N423" s="128">
        <v>253206155</v>
      </c>
      <c r="O423" s="128">
        <v>15613391</v>
      </c>
    </row>
    <row r="424" spans="1:15">
      <c r="A424" s="132" t="s">
        <v>1796</v>
      </c>
      <c r="B424" s="123" t="s">
        <v>1797</v>
      </c>
      <c r="C424" s="124">
        <v>32879</v>
      </c>
      <c r="D424" s="125">
        <v>40041.042999999998</v>
      </c>
      <c r="E424" s="126">
        <v>4581.3332</v>
      </c>
      <c r="F424" s="126">
        <v>2283.0664000000002</v>
      </c>
      <c r="G424" s="127">
        <v>8.740041654250339</v>
      </c>
      <c r="H424" s="127">
        <v>14.401245622991954</v>
      </c>
      <c r="I424" s="128">
        <v>263609042</v>
      </c>
      <c r="J424" s="128">
        <v>249839636</v>
      </c>
      <c r="K424" s="128">
        <v>260238421</v>
      </c>
      <c r="L424" s="128">
        <v>252031987</v>
      </c>
      <c r="M424" s="128">
        <v>245889773</v>
      </c>
      <c r="N424" s="128">
        <v>256661239</v>
      </c>
      <c r="O424" s="128">
        <v>40796859</v>
      </c>
    </row>
    <row r="425" spans="1:15">
      <c r="A425" s="132" t="s">
        <v>1898</v>
      </c>
      <c r="B425" s="123" t="s">
        <v>1899</v>
      </c>
      <c r="C425" s="124">
        <v>10609</v>
      </c>
      <c r="D425" s="125">
        <v>12095.056</v>
      </c>
      <c r="E425" s="126">
        <v>1408.2852</v>
      </c>
      <c r="F425" s="126">
        <v>658.71910000000003</v>
      </c>
      <c r="G425" s="127">
        <v>8.5884989773378297</v>
      </c>
      <c r="H425" s="127">
        <v>16.105499294008631</v>
      </c>
      <c r="I425" s="128">
        <v>79883739</v>
      </c>
      <c r="J425" s="128">
        <v>81141617</v>
      </c>
      <c r="K425" s="128">
        <v>78082404</v>
      </c>
      <c r="L425" s="128">
        <v>76475213</v>
      </c>
      <c r="M425" s="128">
        <v>81692214</v>
      </c>
      <c r="N425" s="128">
        <v>83818063</v>
      </c>
      <c r="O425" s="128">
        <v>22412608</v>
      </c>
    </row>
    <row r="426" spans="1:15">
      <c r="A426" s="132" t="s">
        <v>1736</v>
      </c>
      <c r="B426" s="123" t="s">
        <v>1737</v>
      </c>
      <c r="C426" s="124">
        <v>6809</v>
      </c>
      <c r="D426" s="125">
        <v>8430.6869999999999</v>
      </c>
      <c r="E426" s="126">
        <v>1067.2763</v>
      </c>
      <c r="F426" s="126">
        <v>476.1395</v>
      </c>
      <c r="G426" s="127">
        <v>7.8992543917634075</v>
      </c>
      <c r="H426" s="127">
        <v>14.300430861123683</v>
      </c>
      <c r="I426" s="128">
        <v>61806518</v>
      </c>
      <c r="J426" s="128">
        <v>64299775</v>
      </c>
      <c r="K426" s="128">
        <v>61217306</v>
      </c>
      <c r="L426" s="128">
        <v>59767940</v>
      </c>
      <c r="M426" s="128">
        <v>60603209</v>
      </c>
      <c r="N426" s="128">
        <v>60311433</v>
      </c>
      <c r="O426" s="128">
        <v>10539456</v>
      </c>
    </row>
    <row r="427" spans="1:15">
      <c r="A427" s="132" t="s">
        <v>912</v>
      </c>
      <c r="B427" s="123" t="s">
        <v>913</v>
      </c>
      <c r="C427" s="124">
        <v>3163</v>
      </c>
      <c r="D427" s="125">
        <v>3890.0770000000002</v>
      </c>
      <c r="E427" s="126">
        <v>415.94829999999996</v>
      </c>
      <c r="F427" s="126">
        <v>194.90719999999999</v>
      </c>
      <c r="G427" s="127">
        <v>9.3523089287779282</v>
      </c>
      <c r="H427" s="127">
        <v>16.228235796317428</v>
      </c>
      <c r="I427" s="128">
        <v>20435396</v>
      </c>
      <c r="J427" s="128">
        <v>21244385</v>
      </c>
      <c r="K427" s="128">
        <v>20705221</v>
      </c>
      <c r="L427" s="128">
        <v>21434200</v>
      </c>
      <c r="M427" s="128">
        <v>22091419</v>
      </c>
      <c r="N427" s="128">
        <v>22493037</v>
      </c>
      <c r="O427" s="128">
        <v>5773198</v>
      </c>
    </row>
    <row r="428" spans="1:15">
      <c r="A428" s="132" t="s">
        <v>986</v>
      </c>
      <c r="B428" s="123" t="s">
        <v>987</v>
      </c>
      <c r="C428" s="124">
        <v>213</v>
      </c>
      <c r="D428" s="125">
        <v>344.55900000000003</v>
      </c>
      <c r="E428" s="126">
        <v>48.552800000000005</v>
      </c>
      <c r="F428" s="126">
        <v>24.355799999999999</v>
      </c>
      <c r="G428" s="127">
        <v>7.0965835132062409</v>
      </c>
      <c r="H428" s="127">
        <v>8.7453501835291796</v>
      </c>
      <c r="I428" s="128">
        <v>2478544</v>
      </c>
      <c r="J428" s="128">
        <v>2260304</v>
      </c>
      <c r="K428" s="128">
        <v>2544714</v>
      </c>
      <c r="L428" s="128">
        <v>2073868</v>
      </c>
      <c r="M428" s="128">
        <v>2248525</v>
      </c>
      <c r="N428" s="128">
        <v>2733115</v>
      </c>
      <c r="O428" s="128">
        <v>29450</v>
      </c>
    </row>
    <row r="429" spans="1:15">
      <c r="A429" s="132" t="s">
        <v>1210</v>
      </c>
      <c r="B429" s="123" t="s">
        <v>1211</v>
      </c>
      <c r="C429" s="124">
        <v>5829</v>
      </c>
      <c r="D429" s="125">
        <v>7101.4010000000007</v>
      </c>
      <c r="E429" s="126">
        <v>930.77809999999999</v>
      </c>
      <c r="F429" s="126">
        <v>436.90699999999998</v>
      </c>
      <c r="G429" s="127">
        <v>7.6295316789254075</v>
      </c>
      <c r="H429" s="127">
        <v>13.341512038030977</v>
      </c>
      <c r="I429" s="128">
        <v>41256593</v>
      </c>
      <c r="J429" s="128">
        <v>38754118</v>
      </c>
      <c r="K429" s="128">
        <v>41279135</v>
      </c>
      <c r="L429" s="128">
        <v>41706602</v>
      </c>
      <c r="M429" s="128">
        <v>39203649</v>
      </c>
      <c r="N429" s="128">
        <v>41312521</v>
      </c>
      <c r="O429" s="128">
        <v>8153873</v>
      </c>
    </row>
    <row r="430" spans="1:15">
      <c r="A430" s="132" t="s">
        <v>1975</v>
      </c>
      <c r="B430" s="123" t="s">
        <v>1976</v>
      </c>
      <c r="C430" s="124">
        <v>786</v>
      </c>
      <c r="D430" s="125">
        <v>1196.0120000000002</v>
      </c>
      <c r="E430" s="126">
        <v>138.92860000000002</v>
      </c>
      <c r="F430" s="126">
        <v>75.498400000000004</v>
      </c>
      <c r="G430" s="127">
        <v>8.6088249647660735</v>
      </c>
      <c r="H430" s="127">
        <v>10.410816653068144</v>
      </c>
      <c r="I430" s="128">
        <v>6887075</v>
      </c>
      <c r="J430" s="128">
        <v>6808735</v>
      </c>
      <c r="K430" s="128">
        <v>6785669</v>
      </c>
      <c r="L430" s="128">
        <v>6947318</v>
      </c>
      <c r="M430" s="128">
        <v>6914860</v>
      </c>
      <c r="N430" s="128">
        <v>7338071</v>
      </c>
      <c r="O430" s="128">
        <v>1745908</v>
      </c>
    </row>
    <row r="431" spans="1:15">
      <c r="A431" s="132" t="s">
        <v>818</v>
      </c>
      <c r="B431" s="123" t="s">
        <v>819</v>
      </c>
      <c r="C431" s="124">
        <v>4317</v>
      </c>
      <c r="D431" s="125">
        <v>5287.3280000000004</v>
      </c>
      <c r="E431" s="126">
        <v>642.13779999999997</v>
      </c>
      <c r="F431" s="126">
        <v>320.22199999999998</v>
      </c>
      <c r="G431" s="127">
        <v>8.233946047094566</v>
      </c>
      <c r="H431" s="127">
        <v>13.48127236729519</v>
      </c>
      <c r="I431" s="128">
        <v>35902843</v>
      </c>
      <c r="J431" s="128">
        <v>33733552</v>
      </c>
      <c r="K431" s="128">
        <v>40034798</v>
      </c>
      <c r="L431" s="128">
        <v>35507692</v>
      </c>
      <c r="M431" s="128">
        <v>34716096</v>
      </c>
      <c r="N431" s="128">
        <v>35785056</v>
      </c>
      <c r="O431" s="128">
        <v>323828</v>
      </c>
    </row>
    <row r="432" spans="1:15">
      <c r="A432" s="132" t="s">
        <v>834</v>
      </c>
      <c r="B432" s="123" t="s">
        <v>835</v>
      </c>
      <c r="C432" s="124">
        <v>730</v>
      </c>
      <c r="D432" s="125">
        <v>1063.7060000000001</v>
      </c>
      <c r="E432" s="126">
        <v>119.2711</v>
      </c>
      <c r="F432" s="126">
        <v>61.697200000000002</v>
      </c>
      <c r="G432" s="127">
        <v>8.9183884444764914</v>
      </c>
      <c r="H432" s="127">
        <v>11.83197940911419</v>
      </c>
      <c r="I432" s="128">
        <v>5928811</v>
      </c>
      <c r="J432" s="128">
        <v>5920364</v>
      </c>
      <c r="K432" s="128">
        <v>5669035</v>
      </c>
      <c r="L432" s="128">
        <v>6039945</v>
      </c>
      <c r="M432" s="128">
        <v>6056731</v>
      </c>
      <c r="N432" s="128">
        <v>6671992</v>
      </c>
      <c r="O432" s="128">
        <v>3117241</v>
      </c>
    </row>
    <row r="433" spans="1:15">
      <c r="A433" s="132" t="s">
        <v>622</v>
      </c>
      <c r="B433" s="123" t="s">
        <v>623</v>
      </c>
      <c r="C433" s="124">
        <v>1043</v>
      </c>
      <c r="D433" s="125">
        <v>1455.875</v>
      </c>
      <c r="E433" s="126">
        <v>167.0205</v>
      </c>
      <c r="F433" s="126">
        <v>87.633200000000002</v>
      </c>
      <c r="G433" s="127">
        <v>8.7167443517412533</v>
      </c>
      <c r="H433" s="127">
        <v>11.901881935156995</v>
      </c>
      <c r="I433" s="128">
        <v>8460198</v>
      </c>
      <c r="J433" s="128">
        <v>9147471</v>
      </c>
      <c r="K433" s="128">
        <v>9545134</v>
      </c>
      <c r="L433" s="128">
        <v>8657860</v>
      </c>
      <c r="M433" s="128">
        <v>8909882</v>
      </c>
      <c r="N433" s="128">
        <v>9542415</v>
      </c>
      <c r="O433" s="128">
        <v>3659705</v>
      </c>
    </row>
    <row r="434" spans="1:15">
      <c r="A434" s="132" t="s">
        <v>360</v>
      </c>
      <c r="B434" s="123" t="s">
        <v>361</v>
      </c>
      <c r="C434" s="124">
        <v>153</v>
      </c>
      <c r="D434" s="125">
        <v>297.92500000000001</v>
      </c>
      <c r="E434" s="126">
        <v>27.606200000000001</v>
      </c>
      <c r="F434" s="126">
        <v>16.535599999999999</v>
      </c>
      <c r="G434" s="127">
        <v>10.79195977715151</v>
      </c>
      <c r="H434" s="127">
        <v>9.2527637340042101</v>
      </c>
      <c r="I434" s="128">
        <v>2223944</v>
      </c>
      <c r="J434" s="128">
        <v>1730521</v>
      </c>
      <c r="K434" s="128">
        <v>2378483</v>
      </c>
      <c r="L434" s="128">
        <v>1763290</v>
      </c>
      <c r="M434" s="128">
        <v>1809467</v>
      </c>
      <c r="N434" s="128">
        <v>1904519</v>
      </c>
      <c r="O434" s="128">
        <v>348025</v>
      </c>
    </row>
    <row r="435" spans="1:15">
      <c r="A435" s="132" t="s">
        <v>846</v>
      </c>
      <c r="B435" s="123" t="s">
        <v>847</v>
      </c>
      <c r="C435" s="124">
        <v>184</v>
      </c>
      <c r="D435" s="125">
        <v>357.12200000000001</v>
      </c>
      <c r="E435" s="126">
        <v>33.501800000000003</v>
      </c>
      <c r="F435" s="126">
        <v>20.501799999999999</v>
      </c>
      <c r="G435" s="127">
        <v>10.659785444364182</v>
      </c>
      <c r="H435" s="127">
        <v>8.9748217229706668</v>
      </c>
      <c r="I435" s="128">
        <v>2209839</v>
      </c>
      <c r="J435" s="128">
        <v>2440431</v>
      </c>
      <c r="K435" s="128">
        <v>2422242</v>
      </c>
      <c r="L435" s="128">
        <v>2463879</v>
      </c>
      <c r="M435" s="128">
        <v>2262118</v>
      </c>
      <c r="N435" s="128">
        <v>2296831</v>
      </c>
      <c r="O435" s="128">
        <v>888949</v>
      </c>
    </row>
    <row r="436" spans="1:15">
      <c r="A436" s="132" t="s">
        <v>850</v>
      </c>
      <c r="B436" s="123" t="s">
        <v>851</v>
      </c>
      <c r="C436" s="124">
        <v>653</v>
      </c>
      <c r="D436" s="125">
        <v>1121.5450000000001</v>
      </c>
      <c r="E436" s="126">
        <v>125.11790000000001</v>
      </c>
      <c r="F436" s="126">
        <v>62.981299999999997</v>
      </c>
      <c r="G436" s="127">
        <v>8.9639052445733185</v>
      </c>
      <c r="H436" s="127">
        <v>10.368156897364774</v>
      </c>
      <c r="I436" s="128">
        <v>7633782</v>
      </c>
      <c r="J436" s="128">
        <v>7446633</v>
      </c>
      <c r="K436" s="128">
        <v>9521717</v>
      </c>
      <c r="L436" s="128">
        <v>7811782</v>
      </c>
      <c r="M436" s="128">
        <v>7645412</v>
      </c>
      <c r="N436" s="128">
        <v>7805828</v>
      </c>
    </row>
    <row r="437" spans="1:15">
      <c r="A437" s="132" t="s">
        <v>1642</v>
      </c>
      <c r="B437" s="123" t="s">
        <v>1643</v>
      </c>
      <c r="C437" s="124">
        <v>140</v>
      </c>
      <c r="D437" s="125">
        <v>242.05800000000002</v>
      </c>
      <c r="E437" s="126">
        <v>30.7607</v>
      </c>
      <c r="F437" s="126">
        <v>18.093399999999999</v>
      </c>
      <c r="G437" s="127">
        <v>7.8690666987422269</v>
      </c>
      <c r="H437" s="127">
        <v>7.7376280853791997</v>
      </c>
      <c r="I437" s="128">
        <v>1510456</v>
      </c>
      <c r="J437" s="128">
        <v>1625327</v>
      </c>
      <c r="K437" s="128">
        <v>1580559</v>
      </c>
      <c r="L437" s="128">
        <v>1563731</v>
      </c>
      <c r="M437" s="128">
        <v>1578364</v>
      </c>
      <c r="N437" s="128">
        <v>1576914</v>
      </c>
      <c r="O437" s="128">
        <v>193463</v>
      </c>
    </row>
    <row r="438" spans="1:15">
      <c r="A438" s="132" t="s">
        <v>1430</v>
      </c>
      <c r="B438" s="123" t="s">
        <v>1431</v>
      </c>
      <c r="C438" s="124">
        <v>169</v>
      </c>
      <c r="D438" s="125">
        <v>273.16000000000003</v>
      </c>
      <c r="E438" s="126">
        <v>25.699100000000001</v>
      </c>
      <c r="F438" s="126">
        <v>15.999599999999999</v>
      </c>
      <c r="G438" s="127">
        <v>10.629166001922247</v>
      </c>
      <c r="H438" s="127">
        <v>10.562764069101728</v>
      </c>
      <c r="I438" s="128">
        <v>1471172</v>
      </c>
      <c r="J438" s="128">
        <v>1527330</v>
      </c>
      <c r="K438" s="128">
        <v>1475075</v>
      </c>
      <c r="L438" s="128">
        <v>1642931</v>
      </c>
      <c r="M438" s="128">
        <v>1692866</v>
      </c>
      <c r="N438" s="128">
        <v>1581441</v>
      </c>
      <c r="O438" s="128">
        <v>374777</v>
      </c>
    </row>
    <row r="439" spans="1:15">
      <c r="A439" s="132" t="s">
        <v>1682</v>
      </c>
      <c r="B439" s="123" t="s">
        <v>1683</v>
      </c>
      <c r="C439" s="124">
        <v>7377</v>
      </c>
      <c r="D439" s="125">
        <v>8842.9510000000009</v>
      </c>
      <c r="E439" s="126">
        <v>1116.6498999999999</v>
      </c>
      <c r="F439" s="126">
        <v>540.9171</v>
      </c>
      <c r="G439" s="127">
        <v>7.9191795029041794</v>
      </c>
      <c r="H439" s="127">
        <v>13.637949327170466</v>
      </c>
      <c r="I439" s="128">
        <v>56886796</v>
      </c>
      <c r="J439" s="128">
        <v>58434749</v>
      </c>
      <c r="K439" s="128">
        <v>54810211</v>
      </c>
      <c r="L439" s="128">
        <v>56730993</v>
      </c>
      <c r="M439" s="128">
        <v>59442653</v>
      </c>
      <c r="N439" s="128">
        <v>58004100</v>
      </c>
      <c r="O439" s="128">
        <v>10556301</v>
      </c>
    </row>
    <row r="440" spans="1:15">
      <c r="A440" s="132" t="s">
        <v>571</v>
      </c>
      <c r="B440" s="123" t="s">
        <v>572</v>
      </c>
      <c r="C440" s="124">
        <v>4468</v>
      </c>
      <c r="D440" s="125">
        <v>5035.4319999999998</v>
      </c>
      <c r="E440" s="126">
        <v>598.64300000000003</v>
      </c>
      <c r="F440" s="126">
        <v>282.45800000000003</v>
      </c>
      <c r="G440" s="127">
        <v>8.4114104733539019</v>
      </c>
      <c r="H440" s="127">
        <v>15.818280947963943</v>
      </c>
      <c r="I440" s="128">
        <v>34892856</v>
      </c>
      <c r="J440" s="128">
        <v>35532953</v>
      </c>
      <c r="K440" s="128">
        <v>32121563</v>
      </c>
      <c r="L440" s="128">
        <v>32185851</v>
      </c>
      <c r="M440" s="128">
        <v>31895563</v>
      </c>
      <c r="N440" s="128">
        <v>32618714</v>
      </c>
      <c r="O440" s="128">
        <v>17810348</v>
      </c>
    </row>
    <row r="441" spans="1:15">
      <c r="A441" s="132" t="s">
        <v>2047</v>
      </c>
      <c r="B441" s="123" t="s">
        <v>2048</v>
      </c>
      <c r="C441" s="124">
        <v>2002</v>
      </c>
      <c r="D441" s="125">
        <v>2466.8969999999999</v>
      </c>
      <c r="E441" s="126">
        <v>293.91899999999998</v>
      </c>
      <c r="F441" s="126">
        <v>149.7132</v>
      </c>
      <c r="G441" s="127">
        <v>8.39311851224317</v>
      </c>
      <c r="H441" s="127">
        <v>13.372234378798931</v>
      </c>
      <c r="I441" s="128">
        <v>15972159</v>
      </c>
      <c r="J441" s="128">
        <v>16563114</v>
      </c>
      <c r="K441" s="128">
        <v>15765663</v>
      </c>
      <c r="L441" s="128">
        <v>16134443</v>
      </c>
      <c r="M441" s="128">
        <v>16761123</v>
      </c>
      <c r="N441" s="128">
        <v>16566375</v>
      </c>
      <c r="O441" s="128">
        <v>806174</v>
      </c>
    </row>
    <row r="442" spans="1:15">
      <c r="A442" s="132" t="s">
        <v>856</v>
      </c>
      <c r="B442" s="123" t="s">
        <v>857</v>
      </c>
      <c r="C442" s="124">
        <v>15262</v>
      </c>
      <c r="D442" s="125">
        <v>18152.121999999999</v>
      </c>
      <c r="E442" s="126">
        <v>2211.6653999999999</v>
      </c>
      <c r="F442" s="126">
        <v>1042.9604999999999</v>
      </c>
      <c r="G442" s="127">
        <v>8.207444941716771</v>
      </c>
      <c r="H442" s="127">
        <v>14.63334421581642</v>
      </c>
      <c r="I442" s="128">
        <v>111644899</v>
      </c>
      <c r="J442" s="128">
        <v>117688749</v>
      </c>
      <c r="K442" s="128">
        <v>110372408</v>
      </c>
      <c r="L442" s="128">
        <v>111016649</v>
      </c>
      <c r="M442" s="128">
        <v>115932492</v>
      </c>
      <c r="N442" s="128">
        <v>114608504</v>
      </c>
      <c r="O442" s="128">
        <v>23945354</v>
      </c>
    </row>
    <row r="443" spans="1:15">
      <c r="A443" s="132" t="s">
        <v>319</v>
      </c>
      <c r="B443" s="123" t="s">
        <v>320</v>
      </c>
      <c r="C443" s="124">
        <v>848</v>
      </c>
      <c r="D443" s="125">
        <v>1251.213</v>
      </c>
      <c r="E443" s="126">
        <v>151.69919999999999</v>
      </c>
      <c r="F443" s="126">
        <v>81.875299999999996</v>
      </c>
      <c r="G443" s="127">
        <v>8.2479868054676633</v>
      </c>
      <c r="H443" s="127">
        <v>10.357213958300001</v>
      </c>
      <c r="I443" s="128">
        <v>9766560</v>
      </c>
      <c r="J443" s="128">
        <v>9662289</v>
      </c>
      <c r="K443" s="128">
        <v>8716322</v>
      </c>
      <c r="L443" s="128">
        <v>4651839</v>
      </c>
      <c r="M443" s="128">
        <v>10287074</v>
      </c>
      <c r="N443" s="128">
        <v>359266</v>
      </c>
      <c r="O443" s="128">
        <v>2159340</v>
      </c>
    </row>
    <row r="444" spans="1:15">
      <c r="A444" s="132" t="s">
        <v>120</v>
      </c>
      <c r="B444" s="123" t="s">
        <v>121</v>
      </c>
      <c r="C444" s="124">
        <v>3430</v>
      </c>
      <c r="D444" s="125">
        <v>4351.8630000000003</v>
      </c>
      <c r="E444" s="126">
        <v>475.97270000000003</v>
      </c>
      <c r="F444" s="126">
        <v>234.7938</v>
      </c>
      <c r="G444" s="127">
        <v>9.1430937110468733</v>
      </c>
      <c r="H444" s="127">
        <v>14.60856291776018</v>
      </c>
      <c r="I444" s="128">
        <v>26035758</v>
      </c>
      <c r="J444" s="128">
        <v>24466548</v>
      </c>
      <c r="K444" s="128">
        <v>26372071</v>
      </c>
      <c r="L444" s="128">
        <v>24422011</v>
      </c>
      <c r="M444" s="128">
        <v>25122737</v>
      </c>
      <c r="N444" s="128">
        <v>25474265</v>
      </c>
      <c r="O444" s="128">
        <v>5270528</v>
      </c>
    </row>
    <row r="445" spans="1:15">
      <c r="A445" s="132" t="s">
        <v>265</v>
      </c>
      <c r="B445" s="123" t="s">
        <v>266</v>
      </c>
      <c r="C445" s="124">
        <v>2878</v>
      </c>
      <c r="D445" s="125">
        <v>3649.806</v>
      </c>
      <c r="E445" s="126">
        <v>393.0951</v>
      </c>
      <c r="F445" s="126">
        <v>194.351</v>
      </c>
      <c r="G445" s="127">
        <v>9.2847913901750498</v>
      </c>
      <c r="H445" s="127">
        <v>14.808259283461366</v>
      </c>
      <c r="I445" s="128">
        <v>17583193</v>
      </c>
      <c r="J445" s="128">
        <v>19415290</v>
      </c>
      <c r="K445" s="128">
        <v>19305055</v>
      </c>
      <c r="L445" s="128">
        <v>19134887</v>
      </c>
      <c r="M445" s="128">
        <v>19943847</v>
      </c>
      <c r="N445" s="128">
        <v>20760062</v>
      </c>
      <c r="O445" s="128">
        <v>4610889</v>
      </c>
    </row>
    <row r="446" spans="1:15">
      <c r="A446" s="132" t="s">
        <v>485</v>
      </c>
      <c r="B446" s="123" t="s">
        <v>486</v>
      </c>
      <c r="C446" s="124">
        <v>609</v>
      </c>
      <c r="D446" s="125">
        <v>948.98599999999999</v>
      </c>
      <c r="E446" s="126">
        <v>84.480599999999995</v>
      </c>
      <c r="F446" s="126">
        <v>45.615900000000003</v>
      </c>
      <c r="G446" s="127">
        <v>11.233182529480141</v>
      </c>
      <c r="H446" s="127">
        <v>13.350608011680137</v>
      </c>
      <c r="I446" s="128">
        <v>4856174</v>
      </c>
      <c r="J446" s="128">
        <v>5031043</v>
      </c>
      <c r="K446" s="128">
        <v>4820130</v>
      </c>
      <c r="L446" s="128">
        <v>5384578</v>
      </c>
      <c r="M446" s="128">
        <v>5265348</v>
      </c>
      <c r="N446" s="128">
        <v>5423544</v>
      </c>
      <c r="O446" s="128">
        <v>1303059</v>
      </c>
    </row>
    <row r="447" spans="1:15">
      <c r="A447" s="132" t="s">
        <v>632</v>
      </c>
      <c r="B447" s="123" t="s">
        <v>633</v>
      </c>
      <c r="C447" s="124">
        <v>1478</v>
      </c>
      <c r="D447" s="125">
        <v>1950.1560000000002</v>
      </c>
      <c r="E447" s="126">
        <v>239.0162</v>
      </c>
      <c r="F447" s="126">
        <v>107.8194</v>
      </c>
      <c r="G447" s="127">
        <v>8.1590954922720726</v>
      </c>
      <c r="H447" s="127">
        <v>13.708108188322324</v>
      </c>
      <c r="I447" s="128">
        <v>10780342</v>
      </c>
      <c r="J447" s="128">
        <v>9958843</v>
      </c>
      <c r="K447" s="128">
        <v>11539112</v>
      </c>
      <c r="L447" s="128">
        <v>10848584</v>
      </c>
      <c r="M447" s="128">
        <v>10445005</v>
      </c>
      <c r="N447" s="128">
        <v>11123398</v>
      </c>
      <c r="O447" s="128">
        <v>2036775</v>
      </c>
    </row>
    <row r="448" spans="1:15">
      <c r="A448" s="132" t="s">
        <v>1190</v>
      </c>
      <c r="B448" s="123" t="s">
        <v>1191</v>
      </c>
      <c r="C448" s="124">
        <v>1264</v>
      </c>
      <c r="D448" s="125">
        <v>1747.51</v>
      </c>
      <c r="E448" s="126">
        <v>227.2011</v>
      </c>
      <c r="F448" s="126">
        <v>107.8036</v>
      </c>
      <c r="G448" s="127">
        <v>7.6914680430684532</v>
      </c>
      <c r="H448" s="127">
        <v>11.725025880397315</v>
      </c>
      <c r="I448" s="128">
        <v>11478869</v>
      </c>
      <c r="J448" s="128">
        <v>11706049</v>
      </c>
      <c r="K448" s="128">
        <v>10948765</v>
      </c>
      <c r="L448" s="128">
        <v>12005708</v>
      </c>
      <c r="M448" s="128">
        <v>12381900</v>
      </c>
      <c r="N448" s="128">
        <v>12063926</v>
      </c>
      <c r="O448" s="128">
        <v>2663808</v>
      </c>
    </row>
    <row r="449" spans="1:15">
      <c r="A449" s="132" t="s">
        <v>1906</v>
      </c>
      <c r="B449" s="123" t="s">
        <v>1907</v>
      </c>
      <c r="C449" s="124">
        <v>176</v>
      </c>
      <c r="D449" s="125">
        <v>294.66000000000003</v>
      </c>
      <c r="E449" s="126">
        <v>37.353400000000001</v>
      </c>
      <c r="F449" s="126">
        <v>18.000499999999999</v>
      </c>
      <c r="G449" s="127">
        <v>7.8884385357156246</v>
      </c>
      <c r="H449" s="127">
        <v>9.7775061803838792</v>
      </c>
      <c r="I449" s="128">
        <v>1849383</v>
      </c>
      <c r="J449" s="128">
        <v>1792231</v>
      </c>
      <c r="K449" s="128">
        <v>1931799</v>
      </c>
      <c r="L449" s="128">
        <v>1880805</v>
      </c>
      <c r="M449" s="128">
        <v>1897570</v>
      </c>
      <c r="N449" s="128">
        <v>1972933</v>
      </c>
      <c r="O449" s="128">
        <v>341327</v>
      </c>
    </row>
    <row r="450" spans="1:15">
      <c r="A450" s="132" t="s">
        <v>1337</v>
      </c>
      <c r="B450" s="123" t="s">
        <v>1338</v>
      </c>
      <c r="C450" s="124">
        <v>138</v>
      </c>
      <c r="D450" s="125">
        <v>232.351</v>
      </c>
      <c r="E450" s="126">
        <v>26.871500000000001</v>
      </c>
      <c r="F450" s="126">
        <v>11.770200000000001</v>
      </c>
      <c r="G450" s="127">
        <v>8.6467446923320246</v>
      </c>
      <c r="H450" s="127">
        <v>11.724524646989854</v>
      </c>
      <c r="I450" s="128">
        <v>1398189</v>
      </c>
      <c r="J450" s="128">
        <v>1395439</v>
      </c>
      <c r="K450" s="128">
        <v>1367066</v>
      </c>
      <c r="L450" s="128">
        <v>1505136</v>
      </c>
      <c r="M450" s="128">
        <v>1478026</v>
      </c>
      <c r="N450" s="128">
        <v>1548895</v>
      </c>
      <c r="O450" s="128">
        <v>445740</v>
      </c>
    </row>
    <row r="451" spans="1:15">
      <c r="A451" s="132" t="s">
        <v>1080</v>
      </c>
      <c r="B451" s="123" t="s">
        <v>1081</v>
      </c>
      <c r="C451" s="124">
        <v>461</v>
      </c>
      <c r="D451" s="125">
        <v>706.04600000000005</v>
      </c>
      <c r="E451" s="126">
        <v>76.926600000000008</v>
      </c>
      <c r="F451" s="126">
        <v>41.328200000000002</v>
      </c>
      <c r="G451" s="127">
        <v>9.1781776394641117</v>
      </c>
      <c r="H451" s="127">
        <v>11.154611137189619</v>
      </c>
      <c r="I451" s="128">
        <v>4993949</v>
      </c>
      <c r="J451" s="128">
        <v>4596503</v>
      </c>
      <c r="K451" s="128">
        <v>4295362</v>
      </c>
      <c r="L451" s="128">
        <v>5097955</v>
      </c>
      <c r="M451" s="128">
        <v>4792184</v>
      </c>
      <c r="N451" s="128">
        <v>4519170</v>
      </c>
      <c r="O451" s="128">
        <v>1009664</v>
      </c>
    </row>
    <row r="452" spans="1:15">
      <c r="A452" s="132" t="s">
        <v>565</v>
      </c>
      <c r="B452" s="123" t="s">
        <v>566</v>
      </c>
      <c r="C452" s="124">
        <v>15023</v>
      </c>
      <c r="D452" s="125">
        <v>19601.614000000001</v>
      </c>
      <c r="E452" s="126">
        <v>2269.1026000000002</v>
      </c>
      <c r="F452" s="126">
        <v>998.93259999999998</v>
      </c>
      <c r="G452" s="127">
        <v>8.6384873033066025</v>
      </c>
      <c r="H452" s="127">
        <v>15.039052684835793</v>
      </c>
      <c r="I452" s="128">
        <v>134084821</v>
      </c>
      <c r="J452" s="128">
        <v>128970015</v>
      </c>
      <c r="K452" s="128">
        <v>121595744</v>
      </c>
      <c r="L452" s="128">
        <v>138420564</v>
      </c>
      <c r="M452" s="128">
        <v>133022793</v>
      </c>
      <c r="N452" s="128">
        <v>138798467</v>
      </c>
      <c r="O452" s="128">
        <v>24664646</v>
      </c>
    </row>
    <row r="453" spans="1:15">
      <c r="A453" s="132" t="s">
        <v>601</v>
      </c>
      <c r="B453" s="123" t="s">
        <v>602</v>
      </c>
      <c r="C453" s="124">
        <v>5334</v>
      </c>
      <c r="D453" s="125">
        <v>7063.4270000000006</v>
      </c>
      <c r="E453" s="126">
        <v>771.24810000000002</v>
      </c>
      <c r="F453" s="126">
        <v>382.81659999999999</v>
      </c>
      <c r="G453" s="127">
        <v>9.1584368246741885</v>
      </c>
      <c r="H453" s="127">
        <v>13.93356505438897</v>
      </c>
      <c r="I453" s="128">
        <v>39165115</v>
      </c>
      <c r="J453" s="128">
        <v>42911273</v>
      </c>
      <c r="K453" s="128">
        <v>37666063</v>
      </c>
      <c r="L453" s="128">
        <v>44690217</v>
      </c>
      <c r="M453" s="128">
        <v>44423300</v>
      </c>
      <c r="N453" s="128">
        <v>46851650</v>
      </c>
      <c r="O453" s="128">
        <v>8826262</v>
      </c>
    </row>
    <row r="454" spans="1:15">
      <c r="A454" s="132" t="s">
        <v>608</v>
      </c>
      <c r="B454" s="123" t="s">
        <v>609</v>
      </c>
      <c r="C454" s="124">
        <v>33066</v>
      </c>
      <c r="D454" s="125">
        <v>42702.667000000001</v>
      </c>
      <c r="E454" s="126">
        <v>4335.9583999999995</v>
      </c>
      <c r="F454" s="126">
        <v>2062.1884</v>
      </c>
      <c r="G454" s="127">
        <v>9.8484955482967749</v>
      </c>
      <c r="H454" s="127">
        <v>16.034422461109759</v>
      </c>
      <c r="I454" s="128">
        <v>268554968</v>
      </c>
      <c r="J454" s="128">
        <v>277731719</v>
      </c>
      <c r="K454" s="128">
        <v>247565724</v>
      </c>
      <c r="L454" s="128">
        <v>274536729</v>
      </c>
      <c r="M454" s="128">
        <v>278592632</v>
      </c>
      <c r="N454" s="128">
        <v>262512447</v>
      </c>
      <c r="O454" s="128">
        <v>51198529</v>
      </c>
    </row>
    <row r="455" spans="1:15">
      <c r="A455" s="132" t="s">
        <v>876</v>
      </c>
      <c r="B455" s="123" t="s">
        <v>877</v>
      </c>
      <c r="C455" s="124">
        <v>3435</v>
      </c>
      <c r="D455" s="125">
        <v>4684.384</v>
      </c>
      <c r="E455" s="126">
        <v>530.67619999999999</v>
      </c>
      <c r="F455" s="126">
        <v>248.5429</v>
      </c>
      <c r="G455" s="127">
        <v>8.8271982048563693</v>
      </c>
      <c r="H455" s="127">
        <v>13.820551703548965</v>
      </c>
      <c r="I455" s="128">
        <v>30144073</v>
      </c>
      <c r="J455" s="128">
        <v>30823063</v>
      </c>
      <c r="K455" s="128">
        <v>33246529</v>
      </c>
      <c r="L455" s="128">
        <v>25309938</v>
      </c>
      <c r="M455" s="128">
        <v>32285042</v>
      </c>
      <c r="N455" s="128">
        <v>31541449</v>
      </c>
      <c r="O455" s="128">
        <v>664210</v>
      </c>
    </row>
    <row r="456" spans="1:15">
      <c r="A456" s="132" t="s">
        <v>1230</v>
      </c>
      <c r="B456" s="123" t="s">
        <v>1231</v>
      </c>
      <c r="C456" s="124">
        <v>25490</v>
      </c>
      <c r="D456" s="125">
        <v>31463.719000000001</v>
      </c>
      <c r="E456" s="126">
        <v>3286.9578000000001</v>
      </c>
      <c r="F456" s="126">
        <v>1624.1320000000001</v>
      </c>
      <c r="G456" s="127">
        <v>9.5722917404050634</v>
      </c>
      <c r="H456" s="127">
        <v>15.694537143532667</v>
      </c>
      <c r="I456" s="128">
        <v>189803878</v>
      </c>
      <c r="J456" s="128">
        <v>189349906</v>
      </c>
      <c r="K456" s="128">
        <v>181804514</v>
      </c>
      <c r="L456" s="128">
        <v>188907473</v>
      </c>
      <c r="M456" s="128">
        <v>189153767</v>
      </c>
      <c r="N456" s="128">
        <v>191544281</v>
      </c>
      <c r="O456" s="128">
        <v>26760456</v>
      </c>
    </row>
    <row r="457" spans="1:15">
      <c r="A457" s="132" t="s">
        <v>1258</v>
      </c>
      <c r="B457" s="123" t="s">
        <v>1259</v>
      </c>
      <c r="C457" s="124">
        <v>5697</v>
      </c>
      <c r="D457" s="125">
        <v>7244.5190000000002</v>
      </c>
      <c r="E457" s="126">
        <v>868.27469999999994</v>
      </c>
      <c r="F457" s="126">
        <v>386.34840000000003</v>
      </c>
      <c r="G457" s="127">
        <v>8.3435795146397798</v>
      </c>
      <c r="H457" s="127">
        <v>14.745757973890923</v>
      </c>
      <c r="I457" s="128">
        <v>45350338</v>
      </c>
      <c r="J457" s="128">
        <v>45644675</v>
      </c>
      <c r="K457" s="128">
        <v>45107741</v>
      </c>
      <c r="L457" s="128">
        <v>45964027</v>
      </c>
      <c r="M457" s="128">
        <v>46252609</v>
      </c>
      <c r="N457" s="128">
        <v>46464652</v>
      </c>
      <c r="O457" s="128">
        <v>6588684</v>
      </c>
    </row>
    <row r="458" spans="1:15">
      <c r="A458" s="132" t="s">
        <v>1295</v>
      </c>
      <c r="B458" s="123" t="s">
        <v>1296</v>
      </c>
      <c r="C458" s="124">
        <v>15732</v>
      </c>
      <c r="D458" s="125">
        <v>20351.842000000001</v>
      </c>
      <c r="E458" s="126">
        <v>2268.3085000000001</v>
      </c>
      <c r="F458" s="126">
        <v>1024.3814</v>
      </c>
      <c r="G458" s="127">
        <v>8.9722548762657279</v>
      </c>
      <c r="H458" s="127">
        <v>15.357561158373239</v>
      </c>
      <c r="I458" s="128">
        <v>128673394</v>
      </c>
      <c r="J458" s="128">
        <v>133881013</v>
      </c>
      <c r="K458" s="128">
        <v>124580953</v>
      </c>
      <c r="L458" s="128">
        <v>128156434</v>
      </c>
      <c r="M458" s="128">
        <v>129714251</v>
      </c>
      <c r="N458" s="128">
        <v>130927054</v>
      </c>
      <c r="O458" s="128">
        <v>27968495</v>
      </c>
    </row>
    <row r="459" spans="1:15">
      <c r="A459" s="132" t="s">
        <v>1482</v>
      </c>
      <c r="B459" s="123" t="s">
        <v>1483</v>
      </c>
      <c r="C459" s="124">
        <v>31424</v>
      </c>
      <c r="D459" s="125">
        <v>40144.714</v>
      </c>
      <c r="E459" s="126">
        <v>4419.7145</v>
      </c>
      <c r="F459" s="126">
        <v>2043.7726</v>
      </c>
      <c r="G459" s="127">
        <v>9.0831011822143708</v>
      </c>
      <c r="H459" s="127">
        <v>15.375487468615637</v>
      </c>
      <c r="I459" s="128">
        <v>246717490</v>
      </c>
      <c r="J459" s="128">
        <v>246305666</v>
      </c>
      <c r="K459" s="128">
        <v>249121575</v>
      </c>
      <c r="L459" s="128">
        <v>247036290</v>
      </c>
      <c r="M459" s="128">
        <v>245880120</v>
      </c>
      <c r="N459" s="128">
        <v>261398927</v>
      </c>
      <c r="O459" s="128">
        <v>33706967</v>
      </c>
    </row>
    <row r="460" spans="1:15">
      <c r="A460" s="132" t="s">
        <v>1538</v>
      </c>
      <c r="B460" s="123" t="s">
        <v>1539</v>
      </c>
      <c r="C460" s="124">
        <v>2224</v>
      </c>
      <c r="D460" s="125">
        <v>3085.683</v>
      </c>
      <c r="E460" s="126">
        <v>285.24220000000003</v>
      </c>
      <c r="F460" s="126">
        <v>152.32249999999999</v>
      </c>
      <c r="G460" s="127">
        <v>10.817764692601585</v>
      </c>
      <c r="H460" s="127">
        <v>14.60060069917445</v>
      </c>
      <c r="I460" s="128">
        <v>16921699</v>
      </c>
      <c r="J460" s="128">
        <v>16950072</v>
      </c>
      <c r="K460" s="128">
        <v>18223028</v>
      </c>
      <c r="L460" s="128">
        <v>16946703</v>
      </c>
      <c r="M460" s="128">
        <v>16950066</v>
      </c>
      <c r="N460" s="128">
        <v>18637128</v>
      </c>
      <c r="O460" s="128">
        <v>7283202</v>
      </c>
    </row>
    <row r="461" spans="1:15">
      <c r="A461" s="132" t="s">
        <v>1732</v>
      </c>
      <c r="B461" s="123" t="s">
        <v>1733</v>
      </c>
      <c r="C461" s="124">
        <v>9953</v>
      </c>
      <c r="D461" s="125">
        <v>12255.761</v>
      </c>
      <c r="E461" s="126">
        <v>1193.9936</v>
      </c>
      <c r="F461" s="126">
        <v>572.17899999999997</v>
      </c>
      <c r="G461" s="127">
        <v>10.264511468068171</v>
      </c>
      <c r="H461" s="127">
        <v>17.394906139512287</v>
      </c>
      <c r="I461" s="128">
        <v>70910694</v>
      </c>
      <c r="J461" s="128">
        <v>73625430</v>
      </c>
      <c r="K461" s="128">
        <v>72726234</v>
      </c>
      <c r="L461" s="128">
        <v>71135515</v>
      </c>
      <c r="M461" s="128">
        <v>73987424</v>
      </c>
      <c r="N461" s="128">
        <v>71178525</v>
      </c>
      <c r="O461" s="128">
        <v>11244216</v>
      </c>
    </row>
    <row r="462" spans="1:15">
      <c r="A462" s="132" t="s">
        <v>1046</v>
      </c>
      <c r="B462" s="123" t="s">
        <v>1047</v>
      </c>
      <c r="C462" s="124">
        <v>28805</v>
      </c>
      <c r="D462" s="125">
        <v>36457.944000000003</v>
      </c>
      <c r="E462" s="126">
        <v>4068.3353999999999</v>
      </c>
      <c r="F462" s="126">
        <v>1967.9509</v>
      </c>
      <c r="G462" s="127">
        <v>8.9613909413663393</v>
      </c>
      <c r="H462" s="127">
        <v>14.637052174421628</v>
      </c>
      <c r="I462" s="128">
        <v>226800586</v>
      </c>
      <c r="J462" s="128">
        <v>245174743</v>
      </c>
      <c r="K462" s="128">
        <v>225860619</v>
      </c>
      <c r="L462" s="128">
        <v>226800448</v>
      </c>
      <c r="M462" s="128">
        <v>251981177</v>
      </c>
      <c r="N462" s="128">
        <v>251524296</v>
      </c>
      <c r="O462" s="128">
        <v>46544622</v>
      </c>
    </row>
    <row r="463" spans="1:15">
      <c r="A463" s="132" t="s">
        <v>1993</v>
      </c>
      <c r="B463" s="123" t="s">
        <v>1994</v>
      </c>
      <c r="C463" s="124">
        <v>17782</v>
      </c>
      <c r="D463" s="125">
        <v>23280.491999999998</v>
      </c>
      <c r="E463" s="126">
        <v>2335.2753000000002</v>
      </c>
      <c r="F463" s="126">
        <v>1070.8453999999999</v>
      </c>
      <c r="G463" s="127">
        <v>9.969056753180233</v>
      </c>
      <c r="H463" s="127">
        <v>16.6055716352706</v>
      </c>
      <c r="I463" s="128">
        <v>132786575</v>
      </c>
      <c r="J463" s="128">
        <v>136102305</v>
      </c>
      <c r="K463" s="128">
        <v>136027663</v>
      </c>
      <c r="L463" s="128">
        <v>133618594</v>
      </c>
      <c r="M463" s="128">
        <v>138394019</v>
      </c>
      <c r="N463" s="128">
        <v>143278123</v>
      </c>
      <c r="O463" s="128">
        <v>15697714</v>
      </c>
    </row>
    <row r="464" spans="1:15">
      <c r="A464" s="132" t="s">
        <v>1058</v>
      </c>
      <c r="B464" s="123" t="s">
        <v>1059</v>
      </c>
      <c r="C464" s="124">
        <v>634</v>
      </c>
      <c r="D464" s="125">
        <v>1020.604</v>
      </c>
      <c r="E464" s="126">
        <v>106.1636</v>
      </c>
      <c r="F464" s="126">
        <v>43.505699999999997</v>
      </c>
      <c r="G464" s="127">
        <v>9.6135021796547964</v>
      </c>
      <c r="H464" s="127">
        <v>14.572803103961091</v>
      </c>
      <c r="I464" s="128">
        <v>5835052</v>
      </c>
      <c r="J464" s="128">
        <v>6092171</v>
      </c>
      <c r="K464" s="128">
        <v>6126180</v>
      </c>
      <c r="L464" s="128">
        <v>5836460</v>
      </c>
      <c r="M464" s="128">
        <v>5635326</v>
      </c>
      <c r="N464" s="128">
        <v>6223020</v>
      </c>
      <c r="O464" s="128">
        <v>2181809</v>
      </c>
    </row>
    <row r="465" spans="1:15">
      <c r="A465" s="132" t="s">
        <v>1301</v>
      </c>
      <c r="B465" s="123" t="s">
        <v>1302</v>
      </c>
      <c r="C465" s="124">
        <v>947</v>
      </c>
      <c r="D465" s="125">
        <v>1407.548</v>
      </c>
      <c r="E465" s="126">
        <v>123.27919999999999</v>
      </c>
      <c r="F465" s="126">
        <v>61.228400000000001</v>
      </c>
      <c r="G465" s="127">
        <v>11.417562735643971</v>
      </c>
      <c r="H465" s="127">
        <v>15.466678861443382</v>
      </c>
      <c r="I465" s="128">
        <v>6544172</v>
      </c>
      <c r="J465" s="128">
        <v>7185054</v>
      </c>
      <c r="K465" s="128">
        <v>7007591</v>
      </c>
      <c r="L465" s="128">
        <v>6680030</v>
      </c>
      <c r="M465" s="128">
        <v>7425050</v>
      </c>
      <c r="N465" s="128">
        <v>7919986</v>
      </c>
      <c r="O465" s="128">
        <v>2194178</v>
      </c>
    </row>
    <row r="466" spans="1:15">
      <c r="A466" s="132" t="s">
        <v>1938</v>
      </c>
      <c r="B466" s="123" t="s">
        <v>1937</v>
      </c>
      <c r="C466" s="124">
        <v>4701</v>
      </c>
      <c r="D466" s="125">
        <v>6394.2150000000001</v>
      </c>
      <c r="E466" s="126">
        <v>728.84069999999997</v>
      </c>
      <c r="F466" s="126">
        <v>328.71719999999999</v>
      </c>
      <c r="G466" s="127">
        <v>8.773131083376656</v>
      </c>
      <c r="H466" s="127">
        <v>14.301046613928325</v>
      </c>
      <c r="I466" s="128">
        <v>39573410</v>
      </c>
      <c r="J466" s="128">
        <v>40275903</v>
      </c>
      <c r="K466" s="128">
        <v>39634668</v>
      </c>
      <c r="L466" s="128">
        <v>40022964</v>
      </c>
      <c r="M466" s="128">
        <v>40927545</v>
      </c>
      <c r="N466" s="128">
        <v>41143197</v>
      </c>
      <c r="O466" s="128">
        <v>8506468</v>
      </c>
    </row>
    <row r="467" spans="1:15">
      <c r="A467" s="132" t="s">
        <v>44</v>
      </c>
      <c r="B467" s="123" t="s">
        <v>45</v>
      </c>
      <c r="C467" s="124">
        <v>297</v>
      </c>
      <c r="D467" s="125">
        <v>449.60900000000004</v>
      </c>
      <c r="E467" s="126">
        <v>38.933099999999996</v>
      </c>
      <c r="F467" s="126">
        <v>24.470400000000001</v>
      </c>
      <c r="G467" s="127">
        <v>11.548245580238925</v>
      </c>
      <c r="H467" s="127">
        <v>12.137112593173793</v>
      </c>
      <c r="I467" s="128">
        <v>2554799</v>
      </c>
      <c r="J467" s="128">
        <v>2391486</v>
      </c>
      <c r="K467" s="128">
        <v>2678499</v>
      </c>
      <c r="L467" s="128">
        <v>2654468</v>
      </c>
      <c r="M467" s="128">
        <v>2576157</v>
      </c>
      <c r="N467" s="128">
        <v>2688465</v>
      </c>
      <c r="O467" s="128">
        <v>61338</v>
      </c>
    </row>
    <row r="468" spans="1:15">
      <c r="A468" s="132" t="s">
        <v>301</v>
      </c>
      <c r="B468" s="123" t="s">
        <v>302</v>
      </c>
      <c r="C468" s="124">
        <v>244</v>
      </c>
      <c r="D468" s="125">
        <v>409.065</v>
      </c>
      <c r="E468" s="126">
        <v>44.329599999999999</v>
      </c>
      <c r="F468" s="126">
        <v>22.834099999999999</v>
      </c>
      <c r="G468" s="127">
        <v>9.2278071536851218</v>
      </c>
      <c r="H468" s="127">
        <v>10.685772594496827</v>
      </c>
      <c r="I468" s="128">
        <v>2529010</v>
      </c>
      <c r="J468" s="128">
        <v>2466209</v>
      </c>
      <c r="K468" s="128">
        <v>2636051</v>
      </c>
      <c r="L468" s="128">
        <v>2800398</v>
      </c>
      <c r="M468" s="128">
        <v>2625709</v>
      </c>
      <c r="N468" s="128">
        <v>2453723</v>
      </c>
      <c r="O468" s="128">
        <v>158555</v>
      </c>
    </row>
    <row r="469" spans="1:15">
      <c r="A469" s="132" t="s">
        <v>465</v>
      </c>
      <c r="B469" s="123" t="s">
        <v>466</v>
      </c>
      <c r="C469" s="124">
        <v>286</v>
      </c>
      <c r="D469" s="125">
        <v>444.53800000000001</v>
      </c>
      <c r="E469" s="126">
        <v>48.399200000000008</v>
      </c>
      <c r="F469" s="126">
        <v>22.9892</v>
      </c>
      <c r="G469" s="127">
        <v>9.1848212367146544</v>
      </c>
      <c r="H469" s="127">
        <v>12.440624293146346</v>
      </c>
      <c r="I469" s="128">
        <v>2588981</v>
      </c>
      <c r="J469" s="128">
        <v>2548864</v>
      </c>
      <c r="K469" s="128">
        <v>2548154</v>
      </c>
      <c r="L469" s="128">
        <v>2752289</v>
      </c>
      <c r="M469" s="128">
        <v>2493594</v>
      </c>
      <c r="N469" s="128">
        <v>2805741</v>
      </c>
      <c r="O469" s="128">
        <v>547693</v>
      </c>
    </row>
    <row r="470" spans="1:15">
      <c r="A470" s="132" t="s">
        <v>887</v>
      </c>
      <c r="B470" s="123" t="s">
        <v>888</v>
      </c>
      <c r="C470" s="124">
        <v>1928</v>
      </c>
      <c r="D470" s="125">
        <v>2557.0889999999999</v>
      </c>
      <c r="E470" s="126">
        <v>306.91500000000002</v>
      </c>
      <c r="F470" s="126">
        <v>143.73910000000001</v>
      </c>
      <c r="G470" s="127">
        <v>8.3315869214603406</v>
      </c>
      <c r="H470" s="127">
        <v>13.413190982829306</v>
      </c>
      <c r="I470" s="128">
        <v>14707616</v>
      </c>
      <c r="J470" s="128">
        <v>14961696</v>
      </c>
      <c r="K470" s="128">
        <v>15037057</v>
      </c>
      <c r="L470" s="128">
        <v>14908602</v>
      </c>
      <c r="M470" s="128">
        <v>15161707</v>
      </c>
      <c r="N470" s="128">
        <v>16474786</v>
      </c>
      <c r="O470" s="128">
        <v>731453</v>
      </c>
    </row>
    <row r="471" spans="1:15">
      <c r="A471" s="132" t="s">
        <v>907</v>
      </c>
      <c r="B471" s="123" t="s">
        <v>906</v>
      </c>
      <c r="C471" s="124">
        <v>416</v>
      </c>
      <c r="D471" s="125">
        <v>661.72800000000007</v>
      </c>
      <c r="E471" s="126">
        <v>76.751000000000005</v>
      </c>
      <c r="F471" s="126">
        <v>40.0655</v>
      </c>
      <c r="G471" s="127">
        <v>8.6217508566663632</v>
      </c>
      <c r="H471" s="127">
        <v>10.382997841035305</v>
      </c>
      <c r="I471" s="128">
        <v>4110307</v>
      </c>
      <c r="J471" s="128">
        <v>4173675</v>
      </c>
      <c r="K471" s="128">
        <v>4527310</v>
      </c>
      <c r="L471" s="128">
        <v>4130310</v>
      </c>
      <c r="M471" s="128">
        <v>4183675</v>
      </c>
      <c r="N471" s="128">
        <v>4347768</v>
      </c>
      <c r="O471" s="128">
        <v>1389255</v>
      </c>
    </row>
    <row r="472" spans="1:15">
      <c r="A472" s="132" t="s">
        <v>954</v>
      </c>
      <c r="B472" s="123" t="s">
        <v>955</v>
      </c>
      <c r="C472" s="124">
        <v>733</v>
      </c>
      <c r="D472" s="125">
        <v>1114.0730000000001</v>
      </c>
      <c r="E472" s="126">
        <v>109.0291</v>
      </c>
      <c r="F472" s="126">
        <v>55.868299999999998</v>
      </c>
      <c r="G472" s="127">
        <v>10.218125252799483</v>
      </c>
      <c r="H472" s="127">
        <v>13.120141475577386</v>
      </c>
      <c r="I472" s="128">
        <v>6269019</v>
      </c>
      <c r="J472" s="128">
        <v>6559497</v>
      </c>
      <c r="K472" s="128">
        <v>6706612</v>
      </c>
      <c r="L472" s="128">
        <v>6372589</v>
      </c>
      <c r="M472" s="128">
        <v>6805659</v>
      </c>
      <c r="N472" s="128">
        <v>7348494</v>
      </c>
      <c r="O472" s="128">
        <v>1628241</v>
      </c>
    </row>
    <row r="473" spans="1:15">
      <c r="A473" s="132" t="s">
        <v>1192</v>
      </c>
      <c r="B473" s="123" t="s">
        <v>1193</v>
      </c>
      <c r="C473" s="124">
        <v>99</v>
      </c>
      <c r="D473" s="125">
        <v>158.398</v>
      </c>
      <c r="E473" s="126">
        <v>27.486500000000003</v>
      </c>
      <c r="F473" s="126">
        <v>8.9426000000000005</v>
      </c>
      <c r="G473" s="127">
        <v>5.7627562621650616</v>
      </c>
      <c r="H473" s="127">
        <v>11.070605864066378</v>
      </c>
      <c r="I473" s="128">
        <v>1172558</v>
      </c>
      <c r="J473" s="128">
        <v>989725</v>
      </c>
      <c r="K473" s="128">
        <v>1198419</v>
      </c>
      <c r="L473" s="128">
        <v>847130</v>
      </c>
      <c r="M473" s="128">
        <v>1014959</v>
      </c>
      <c r="N473" s="128">
        <v>1053181</v>
      </c>
      <c r="O473" s="128">
        <v>225246</v>
      </c>
    </row>
    <row r="474" spans="1:15">
      <c r="A474" s="132" t="s">
        <v>1319</v>
      </c>
      <c r="B474" s="123" t="s">
        <v>1320</v>
      </c>
      <c r="C474" s="124">
        <v>166</v>
      </c>
      <c r="D474" s="125">
        <v>273.77999999999997</v>
      </c>
      <c r="E474" s="126">
        <v>31.746300000000002</v>
      </c>
      <c r="F474" s="126">
        <v>16.484200000000001</v>
      </c>
      <c r="G474" s="127">
        <v>8.6239971272242748</v>
      </c>
      <c r="H474" s="127">
        <v>10.070249087004525</v>
      </c>
      <c r="I474" s="128">
        <v>1264974</v>
      </c>
      <c r="J474" s="128">
        <v>1748897</v>
      </c>
      <c r="K474" s="128">
        <v>1461105</v>
      </c>
      <c r="L474" s="128">
        <v>1301473</v>
      </c>
      <c r="M474" s="128">
        <v>1768831</v>
      </c>
      <c r="N474" s="128">
        <v>1571529</v>
      </c>
      <c r="O474" s="128">
        <v>410732</v>
      </c>
    </row>
    <row r="475" spans="1:15">
      <c r="A475" s="132" t="s">
        <v>2035</v>
      </c>
      <c r="B475" s="123" t="s">
        <v>2036</v>
      </c>
      <c r="C475" s="124">
        <v>1520</v>
      </c>
      <c r="D475" s="125">
        <v>2000.7060000000001</v>
      </c>
      <c r="E475" s="126">
        <v>262.86849999999998</v>
      </c>
      <c r="F475" s="126">
        <v>116.8999</v>
      </c>
      <c r="G475" s="127">
        <v>7.6110526746262872</v>
      </c>
      <c r="H475" s="127">
        <v>13.002577418800186</v>
      </c>
      <c r="I475" s="128">
        <v>11267168</v>
      </c>
      <c r="J475" s="128">
        <v>11422026</v>
      </c>
      <c r="K475" s="128">
        <v>11324655</v>
      </c>
      <c r="L475" s="128">
        <v>11941835</v>
      </c>
      <c r="M475" s="128">
        <v>12962225</v>
      </c>
      <c r="N475" s="128">
        <v>12494265</v>
      </c>
      <c r="O475" s="128">
        <v>1697067</v>
      </c>
    </row>
    <row r="476" spans="1:15">
      <c r="A476" s="132" t="s">
        <v>104</v>
      </c>
      <c r="B476" s="123" t="s">
        <v>105</v>
      </c>
      <c r="C476" s="124">
        <v>263</v>
      </c>
      <c r="D476" s="125">
        <v>408.08600000000001</v>
      </c>
      <c r="E476" s="126">
        <v>35.769199999999998</v>
      </c>
      <c r="F476" s="126">
        <v>19.128799999999998</v>
      </c>
      <c r="G476" s="127">
        <v>11.408865728056542</v>
      </c>
      <c r="H476" s="127">
        <v>13.748902178913472</v>
      </c>
      <c r="I476" s="128">
        <v>1914882</v>
      </c>
      <c r="J476" s="128">
        <v>2059558</v>
      </c>
      <c r="K476" s="128">
        <v>2111121</v>
      </c>
      <c r="L476" s="128">
        <v>2056934</v>
      </c>
      <c r="M476" s="128">
        <v>2160819</v>
      </c>
      <c r="N476" s="128">
        <v>2313514</v>
      </c>
      <c r="O476" s="128">
        <v>738302</v>
      </c>
    </row>
    <row r="477" spans="1:15">
      <c r="A477" s="132" t="s">
        <v>207</v>
      </c>
      <c r="B477" s="123" t="s">
        <v>208</v>
      </c>
      <c r="C477" s="124">
        <v>357</v>
      </c>
      <c r="D477" s="125">
        <v>594.24200000000008</v>
      </c>
      <c r="E477" s="126">
        <v>63.757400000000004</v>
      </c>
      <c r="F477" s="126">
        <v>33.753300000000003</v>
      </c>
      <c r="G477" s="127">
        <v>9.320361244341834</v>
      </c>
      <c r="H477" s="127">
        <v>10.57674360729173</v>
      </c>
      <c r="I477" s="128">
        <v>3165904</v>
      </c>
      <c r="J477" s="128">
        <v>3302151</v>
      </c>
      <c r="K477" s="128">
        <v>3318862</v>
      </c>
      <c r="L477" s="128">
        <v>3379522</v>
      </c>
      <c r="M477" s="128">
        <v>3580218</v>
      </c>
      <c r="N477" s="128">
        <v>3933836</v>
      </c>
      <c r="O477" s="128">
        <v>657123</v>
      </c>
    </row>
    <row r="478" spans="1:15">
      <c r="A478" s="132" t="s">
        <v>1466</v>
      </c>
      <c r="B478" s="123" t="s">
        <v>1467</v>
      </c>
      <c r="C478" s="124">
        <v>179</v>
      </c>
      <c r="D478" s="125">
        <v>317.25700000000001</v>
      </c>
      <c r="E478" s="126">
        <v>41.139099999999999</v>
      </c>
      <c r="F478" s="126">
        <v>21.962800000000001</v>
      </c>
      <c r="G478" s="127">
        <v>7.7118118772651814</v>
      </c>
      <c r="H478" s="127">
        <v>8.1501447902817485</v>
      </c>
      <c r="I478" s="128">
        <v>1965053</v>
      </c>
      <c r="J478" s="128">
        <v>2025053</v>
      </c>
      <c r="K478" s="128">
        <v>2043810</v>
      </c>
      <c r="L478" s="128">
        <v>1965053</v>
      </c>
      <c r="M478" s="128">
        <v>2025053</v>
      </c>
      <c r="N478" s="128">
        <v>2192833</v>
      </c>
      <c r="O478" s="128">
        <v>189525</v>
      </c>
    </row>
    <row r="479" spans="1:15">
      <c r="A479" s="132" t="s">
        <v>100</v>
      </c>
      <c r="B479" s="123" t="s">
        <v>101</v>
      </c>
      <c r="C479" s="124">
        <v>244</v>
      </c>
      <c r="D479" s="125">
        <v>414.87600000000003</v>
      </c>
      <c r="E479" s="126">
        <v>50.2029</v>
      </c>
      <c r="F479" s="126">
        <v>27.9085</v>
      </c>
      <c r="G479" s="127">
        <v>8.2639847498849672</v>
      </c>
      <c r="H479" s="127">
        <v>8.7428561191034984</v>
      </c>
      <c r="I479" s="128">
        <v>4148491</v>
      </c>
      <c r="J479" s="128">
        <v>3132437</v>
      </c>
      <c r="K479" s="128">
        <v>2836236</v>
      </c>
      <c r="L479" s="128">
        <v>2564635</v>
      </c>
      <c r="M479" s="128">
        <v>2733586</v>
      </c>
      <c r="N479" s="128">
        <v>2766651</v>
      </c>
      <c r="O479" s="128">
        <v>1652117</v>
      </c>
    </row>
    <row r="480" spans="1:15">
      <c r="A480" s="132" t="s">
        <v>1104</v>
      </c>
      <c r="B480" s="123" t="s">
        <v>1105</v>
      </c>
      <c r="C480" s="124">
        <v>2918</v>
      </c>
      <c r="D480" s="125">
        <v>3857.8240000000001</v>
      </c>
      <c r="E480" s="126">
        <v>463.37880000000001</v>
      </c>
      <c r="F480" s="126">
        <v>236.96029999999999</v>
      </c>
      <c r="G480" s="127">
        <v>8.3254218794644892</v>
      </c>
      <c r="H480" s="127">
        <v>12.314299061910372</v>
      </c>
      <c r="I480" s="128">
        <v>24805803</v>
      </c>
      <c r="J480" s="128">
        <v>24797280</v>
      </c>
      <c r="K480" s="128">
        <v>25417091</v>
      </c>
      <c r="L480" s="128">
        <v>25222115</v>
      </c>
      <c r="M480" s="128">
        <v>25138143</v>
      </c>
      <c r="N480" s="128">
        <v>25402673</v>
      </c>
      <c r="O480" s="128">
        <v>6167832</v>
      </c>
    </row>
    <row r="481" spans="1:15">
      <c r="A481" s="132" t="s">
        <v>1624</v>
      </c>
      <c r="B481" s="123" t="s">
        <v>1625</v>
      </c>
      <c r="C481" s="124">
        <v>328</v>
      </c>
      <c r="D481" s="125">
        <v>505.95800000000003</v>
      </c>
      <c r="E481" s="126">
        <v>61.478700000000003</v>
      </c>
      <c r="F481" s="126">
        <v>36.937600000000003</v>
      </c>
      <c r="G481" s="127">
        <v>8.2298096739195845</v>
      </c>
      <c r="H481" s="127">
        <v>8.879840596032226</v>
      </c>
      <c r="I481" s="128">
        <v>3356459</v>
      </c>
      <c r="J481" s="128">
        <v>3486373</v>
      </c>
      <c r="K481" s="128">
        <v>3188712</v>
      </c>
      <c r="L481" s="128">
        <v>3408514</v>
      </c>
      <c r="M481" s="128">
        <v>3538424</v>
      </c>
      <c r="N481" s="128">
        <v>3335562</v>
      </c>
      <c r="O481" s="128">
        <v>807484</v>
      </c>
    </row>
    <row r="482" spans="1:15">
      <c r="A482" s="132" t="s">
        <v>1768</v>
      </c>
      <c r="B482" s="123" t="s">
        <v>1769</v>
      </c>
      <c r="C482" s="124">
        <v>358</v>
      </c>
      <c r="D482" s="125">
        <v>591.83900000000006</v>
      </c>
      <c r="E482" s="126">
        <v>49.749699999999997</v>
      </c>
      <c r="F482" s="126">
        <v>32.594000000000001</v>
      </c>
      <c r="G482" s="127">
        <v>11.896333043214332</v>
      </c>
      <c r="H482" s="127">
        <v>10.983616616555194</v>
      </c>
      <c r="I482" s="128">
        <v>3455053</v>
      </c>
      <c r="J482" s="128">
        <v>3501683</v>
      </c>
      <c r="K482" s="128">
        <v>3505079</v>
      </c>
      <c r="L482" s="128">
        <v>3504071</v>
      </c>
      <c r="M482" s="128">
        <v>3732660</v>
      </c>
      <c r="N482" s="128">
        <v>3761816</v>
      </c>
      <c r="O482" s="128">
        <v>1262168</v>
      </c>
    </row>
    <row r="483" spans="1:15">
      <c r="A483" s="132" t="s">
        <v>1836</v>
      </c>
      <c r="B483" s="123" t="s">
        <v>1837</v>
      </c>
      <c r="C483" s="124">
        <v>667</v>
      </c>
      <c r="D483" s="125">
        <v>883.09100000000001</v>
      </c>
      <c r="E483" s="126">
        <v>109.99809999999999</v>
      </c>
      <c r="F483" s="126">
        <v>65.579300000000003</v>
      </c>
      <c r="G483" s="127">
        <v>8.0282386695770214</v>
      </c>
      <c r="H483" s="127">
        <v>10.170892339503471</v>
      </c>
      <c r="I483" s="128">
        <v>11556123</v>
      </c>
      <c r="J483" s="128">
        <v>10092779</v>
      </c>
      <c r="K483" s="128">
        <v>11499451</v>
      </c>
      <c r="L483" s="128">
        <v>14027533</v>
      </c>
      <c r="M483" s="128">
        <v>9609053</v>
      </c>
      <c r="N483" s="128">
        <v>8869860</v>
      </c>
      <c r="O483" s="128">
        <v>4481279</v>
      </c>
    </row>
    <row r="484" spans="1:15">
      <c r="A484" s="132" t="s">
        <v>2033</v>
      </c>
      <c r="B484" s="123" t="s">
        <v>2034</v>
      </c>
      <c r="C484" s="124">
        <v>191</v>
      </c>
      <c r="D484" s="125">
        <v>311.12700000000001</v>
      </c>
      <c r="E484" s="126">
        <v>33.998899999999999</v>
      </c>
      <c r="F484" s="126">
        <v>18.863199999999999</v>
      </c>
      <c r="G484" s="127">
        <v>9.1510901823294297</v>
      </c>
      <c r="H484" s="127">
        <v>10.125535434072692</v>
      </c>
      <c r="I484" s="128">
        <v>1868693</v>
      </c>
      <c r="J484" s="128">
        <v>2028805</v>
      </c>
      <c r="K484" s="128">
        <v>1977583</v>
      </c>
      <c r="L484" s="128">
        <v>2012843</v>
      </c>
      <c r="M484" s="128">
        <v>2055540</v>
      </c>
      <c r="N484" s="128">
        <v>1866641</v>
      </c>
      <c r="O484" s="128">
        <v>326547</v>
      </c>
    </row>
    <row r="485" spans="1:15">
      <c r="A485" s="132" t="s">
        <v>772</v>
      </c>
      <c r="B485" s="123" t="s">
        <v>773</v>
      </c>
      <c r="C485" s="124">
        <v>6573</v>
      </c>
      <c r="D485" s="125">
        <v>7743.3820000000005</v>
      </c>
      <c r="E485" s="126">
        <v>989.21710000000007</v>
      </c>
      <c r="F485" s="126">
        <v>502.14440000000002</v>
      </c>
      <c r="G485" s="127">
        <v>7.8277882580072662</v>
      </c>
      <c r="H485" s="127">
        <v>13.089860207541895</v>
      </c>
      <c r="I485" s="128">
        <v>59699965</v>
      </c>
      <c r="J485" s="128">
        <v>57059848</v>
      </c>
      <c r="K485" s="128">
        <v>56939754</v>
      </c>
      <c r="L485" s="128">
        <v>57390620</v>
      </c>
      <c r="M485" s="128">
        <v>55955386</v>
      </c>
      <c r="N485" s="128">
        <v>56648114</v>
      </c>
      <c r="O485" s="128">
        <v>14597878</v>
      </c>
    </row>
    <row r="486" spans="1:15">
      <c r="A486" s="132" t="s">
        <v>1126</v>
      </c>
      <c r="B486" s="123" t="s">
        <v>1127</v>
      </c>
      <c r="C486" s="124">
        <v>278</v>
      </c>
      <c r="D486" s="125">
        <v>417.10900000000004</v>
      </c>
      <c r="E486" s="126">
        <v>42.376899999999999</v>
      </c>
      <c r="F486" s="126">
        <v>21.002300000000002</v>
      </c>
      <c r="G486" s="127">
        <v>9.842838905158235</v>
      </c>
      <c r="H486" s="127">
        <v>13.236645510253638</v>
      </c>
      <c r="I486" s="128">
        <v>2645172</v>
      </c>
      <c r="J486" s="128">
        <v>2483412</v>
      </c>
      <c r="K486" s="128">
        <v>2598238</v>
      </c>
      <c r="L486" s="128">
        <v>3034252</v>
      </c>
      <c r="M486" s="128">
        <v>2747310</v>
      </c>
      <c r="N486" s="128">
        <v>2880039</v>
      </c>
      <c r="O486" s="128">
        <v>475593</v>
      </c>
    </row>
    <row r="487" spans="1:15">
      <c r="A487" s="132" t="s">
        <v>1894</v>
      </c>
      <c r="B487" s="123" t="s">
        <v>1895</v>
      </c>
      <c r="C487" s="124">
        <v>634</v>
      </c>
      <c r="D487" s="125">
        <v>915.38700000000006</v>
      </c>
      <c r="E487" s="126">
        <v>95.597700000000003</v>
      </c>
      <c r="F487" s="126">
        <v>54.354399999999998</v>
      </c>
      <c r="G487" s="127">
        <v>9.575408194967034</v>
      </c>
      <c r="H487" s="127">
        <v>11.664189099686503</v>
      </c>
      <c r="I487" s="128">
        <v>5323335</v>
      </c>
      <c r="J487" s="128">
        <v>5213477</v>
      </c>
      <c r="K487" s="128">
        <v>5256325</v>
      </c>
      <c r="L487" s="128">
        <v>5685580</v>
      </c>
      <c r="M487" s="128">
        <v>5728581</v>
      </c>
      <c r="N487" s="128">
        <v>5585534</v>
      </c>
      <c r="O487" s="128">
        <v>907929</v>
      </c>
    </row>
    <row r="488" spans="1:15">
      <c r="A488" s="132" t="s">
        <v>1834</v>
      </c>
      <c r="B488" s="123" t="s">
        <v>1835</v>
      </c>
      <c r="C488" s="124">
        <v>4144</v>
      </c>
      <c r="D488" s="125">
        <v>5034.683</v>
      </c>
      <c r="E488" s="126">
        <v>615.77830000000006</v>
      </c>
      <c r="F488" s="126">
        <v>313.93180000000001</v>
      </c>
      <c r="G488" s="127">
        <v>8.1761292984829108</v>
      </c>
      <c r="H488" s="127">
        <v>13.200319305021026</v>
      </c>
      <c r="I488" s="128">
        <v>28434706</v>
      </c>
      <c r="J488" s="128">
        <v>27888230</v>
      </c>
      <c r="K488" s="128">
        <v>27931264</v>
      </c>
      <c r="L488" s="128">
        <v>28765028</v>
      </c>
      <c r="M488" s="128">
        <v>28229204</v>
      </c>
      <c r="N488" s="128">
        <v>32178204</v>
      </c>
      <c r="O488" s="128">
        <v>19262463</v>
      </c>
    </row>
    <row r="489" spans="1:15">
      <c r="A489" s="132" t="s">
        <v>497</v>
      </c>
      <c r="B489" s="123" t="s">
        <v>498</v>
      </c>
      <c r="C489" s="124">
        <v>415</v>
      </c>
      <c r="D489" s="125">
        <v>651.61300000000006</v>
      </c>
      <c r="E489" s="126">
        <v>76.464200000000005</v>
      </c>
      <c r="F489" s="126">
        <v>39.004399999999997</v>
      </c>
      <c r="G489" s="127">
        <v>8.5218049754002525</v>
      </c>
      <c r="H489" s="127">
        <v>10.639825250484561</v>
      </c>
      <c r="I489" s="128">
        <v>3905320</v>
      </c>
      <c r="J489" s="128">
        <v>3858947</v>
      </c>
      <c r="K489" s="128">
        <v>4023050</v>
      </c>
      <c r="L489" s="128">
        <v>4192268</v>
      </c>
      <c r="M489" s="128">
        <v>3974122</v>
      </c>
      <c r="N489" s="128">
        <v>4103749</v>
      </c>
      <c r="O489" s="128">
        <v>923791</v>
      </c>
    </row>
    <row r="490" spans="1:15">
      <c r="A490" s="132" t="s">
        <v>1387</v>
      </c>
      <c r="B490" s="123" t="s">
        <v>1388</v>
      </c>
      <c r="C490" s="124">
        <v>454</v>
      </c>
      <c r="D490" s="125">
        <v>708.40600000000006</v>
      </c>
      <c r="E490" s="126">
        <v>65.4602</v>
      </c>
      <c r="F490" s="126">
        <v>37.000300000000003</v>
      </c>
      <c r="G490" s="127">
        <v>10.821934549543082</v>
      </c>
      <c r="H490" s="127">
        <v>12.270170782399061</v>
      </c>
      <c r="I490" s="128">
        <v>3670243</v>
      </c>
      <c r="J490" s="128">
        <v>3699367</v>
      </c>
      <c r="K490" s="128">
        <v>3555679</v>
      </c>
      <c r="L490" s="128">
        <v>3976218</v>
      </c>
      <c r="M490" s="128">
        <v>3921407</v>
      </c>
      <c r="N490" s="128">
        <v>4021231</v>
      </c>
      <c r="O490" s="128">
        <v>869623</v>
      </c>
    </row>
    <row r="491" spans="1:15">
      <c r="A491" s="132" t="s">
        <v>1287</v>
      </c>
      <c r="B491" s="123" t="s">
        <v>1288</v>
      </c>
      <c r="C491" s="124">
        <v>252</v>
      </c>
      <c r="D491" s="125">
        <v>407.03800000000001</v>
      </c>
      <c r="E491" s="126">
        <v>36.499700000000004</v>
      </c>
      <c r="F491" s="126">
        <v>23.9998</v>
      </c>
      <c r="G491" s="127">
        <v>11.151817686172762</v>
      </c>
      <c r="H491" s="127">
        <v>10.500087500729173</v>
      </c>
      <c r="I491" s="128">
        <v>2018059</v>
      </c>
      <c r="J491" s="128">
        <v>2098253</v>
      </c>
      <c r="K491" s="128">
        <v>1970897</v>
      </c>
      <c r="L491" s="128">
        <v>2303502</v>
      </c>
      <c r="M491" s="128">
        <v>2461424</v>
      </c>
      <c r="N491" s="128">
        <v>2421104</v>
      </c>
      <c r="O491" s="128">
        <v>858794</v>
      </c>
    </row>
    <row r="492" spans="1:15">
      <c r="A492" s="132" t="s">
        <v>437</v>
      </c>
      <c r="B492" s="123" t="s">
        <v>438</v>
      </c>
      <c r="C492" s="124">
        <v>824</v>
      </c>
      <c r="D492" s="125">
        <v>1231.5220000000002</v>
      </c>
      <c r="E492" s="126">
        <v>133.0214</v>
      </c>
      <c r="F492" s="126">
        <v>66.012200000000007</v>
      </c>
      <c r="G492" s="127">
        <v>9.2580742647423655</v>
      </c>
      <c r="H492" s="127">
        <v>12.482541106037974</v>
      </c>
      <c r="I492" s="128">
        <v>7201338</v>
      </c>
      <c r="J492" s="128">
        <v>7212741</v>
      </c>
      <c r="K492" s="128">
        <v>6890649</v>
      </c>
      <c r="L492" s="128">
        <v>7250937</v>
      </c>
      <c r="M492" s="128">
        <v>7247740</v>
      </c>
      <c r="N492" s="128">
        <v>7030437</v>
      </c>
      <c r="O492" s="128">
        <v>1133090</v>
      </c>
    </row>
    <row r="493" spans="1:15">
      <c r="A493" s="132" t="s">
        <v>1660</v>
      </c>
      <c r="B493" s="123" t="s">
        <v>1661</v>
      </c>
      <c r="C493" s="124">
        <v>256</v>
      </c>
      <c r="D493" s="125">
        <v>439.95100000000002</v>
      </c>
      <c r="E493" s="126">
        <v>51.681799999999996</v>
      </c>
      <c r="F493" s="126">
        <v>26.7974</v>
      </c>
      <c r="G493" s="127">
        <v>8.5126872516050156</v>
      </c>
      <c r="H493" s="127">
        <v>9.5531656056184548</v>
      </c>
      <c r="I493" s="128">
        <v>2267529</v>
      </c>
      <c r="J493" s="128">
        <v>2119409</v>
      </c>
      <c r="K493" s="128">
        <v>2185962</v>
      </c>
      <c r="L493" s="128">
        <v>2592269</v>
      </c>
      <c r="M493" s="128">
        <v>2631146</v>
      </c>
      <c r="N493" s="128">
        <v>2837836</v>
      </c>
      <c r="O493" s="128">
        <v>615182</v>
      </c>
    </row>
    <row r="494" spans="1:15">
      <c r="A494" s="132" t="s">
        <v>1832</v>
      </c>
      <c r="B494" s="123" t="s">
        <v>1833</v>
      </c>
      <c r="C494" s="124">
        <v>227</v>
      </c>
      <c r="D494" s="125">
        <v>362.29400000000004</v>
      </c>
      <c r="E494" s="126">
        <v>44.460900000000002</v>
      </c>
      <c r="F494" s="126">
        <v>21.438500000000001</v>
      </c>
      <c r="G494" s="127">
        <v>8.1485979815973142</v>
      </c>
      <c r="H494" s="127">
        <v>10.588427361988945</v>
      </c>
      <c r="I494" s="128">
        <v>2383580</v>
      </c>
      <c r="J494" s="128">
        <v>2430772</v>
      </c>
      <c r="K494" s="128">
        <v>2350811</v>
      </c>
      <c r="L494" s="128">
        <v>2296963</v>
      </c>
      <c r="M494" s="128">
        <v>2383905</v>
      </c>
      <c r="N494" s="128">
        <v>2364947</v>
      </c>
      <c r="O494" s="128">
        <v>219243</v>
      </c>
    </row>
    <row r="495" spans="1:15">
      <c r="A495" s="132" t="s">
        <v>477</v>
      </c>
      <c r="B495" s="123" t="s">
        <v>478</v>
      </c>
      <c r="C495" s="124">
        <v>1431</v>
      </c>
      <c r="D495" s="125">
        <v>1893.9949999999999</v>
      </c>
      <c r="E495" s="126">
        <v>235.18129999999999</v>
      </c>
      <c r="F495" s="126">
        <v>121.09399999999999</v>
      </c>
      <c r="G495" s="127">
        <v>8.0533401252565575</v>
      </c>
      <c r="H495" s="127">
        <v>11.817265925644541</v>
      </c>
      <c r="I495" s="128">
        <v>11005896</v>
      </c>
      <c r="J495" s="128">
        <v>11290597</v>
      </c>
      <c r="K495" s="128">
        <v>11816561</v>
      </c>
      <c r="L495" s="128">
        <v>10853601</v>
      </c>
      <c r="M495" s="128">
        <v>11290594</v>
      </c>
      <c r="N495" s="128">
        <v>11108619</v>
      </c>
      <c r="O495" s="128">
        <v>539829</v>
      </c>
    </row>
    <row r="496" spans="1:15">
      <c r="A496" s="132" t="s">
        <v>788</v>
      </c>
      <c r="B496" s="123" t="s">
        <v>789</v>
      </c>
      <c r="C496" s="124">
        <v>507</v>
      </c>
      <c r="D496" s="125">
        <v>766.92499999999995</v>
      </c>
      <c r="E496" s="126">
        <v>100.04899999999999</v>
      </c>
      <c r="F496" s="126">
        <v>48.177399999999999</v>
      </c>
      <c r="G496" s="127">
        <v>7.6654939079850886</v>
      </c>
      <c r="H496" s="127">
        <v>10.523606504294545</v>
      </c>
      <c r="I496" s="128">
        <v>4953701</v>
      </c>
      <c r="J496" s="128">
        <v>4880307</v>
      </c>
      <c r="K496" s="128">
        <v>4933757</v>
      </c>
      <c r="L496" s="128">
        <v>5032000</v>
      </c>
      <c r="M496" s="128">
        <v>5050800</v>
      </c>
      <c r="N496" s="128">
        <v>4393666</v>
      </c>
      <c r="O496" s="128">
        <v>540542</v>
      </c>
    </row>
    <row r="497" spans="1:15">
      <c r="A497" s="132" t="s">
        <v>1166</v>
      </c>
      <c r="B497" s="123" t="s">
        <v>1167</v>
      </c>
      <c r="C497" s="124">
        <v>533</v>
      </c>
      <c r="D497" s="125">
        <v>855.09100000000001</v>
      </c>
      <c r="E497" s="126">
        <v>89.815799999999996</v>
      </c>
      <c r="F497" s="126">
        <v>44.099600000000002</v>
      </c>
      <c r="G497" s="127">
        <v>9.52049639373028</v>
      </c>
      <c r="H497" s="127">
        <v>12.086277426552622</v>
      </c>
      <c r="I497" s="128">
        <v>5010460</v>
      </c>
      <c r="J497" s="128">
        <v>5199590</v>
      </c>
      <c r="K497" s="128">
        <v>5316006</v>
      </c>
      <c r="L497" s="128">
        <v>5238460</v>
      </c>
      <c r="M497" s="128">
        <v>5419735</v>
      </c>
      <c r="N497" s="128">
        <v>5056646</v>
      </c>
      <c r="O497" s="128">
        <v>1445019</v>
      </c>
    </row>
    <row r="498" spans="1:15">
      <c r="A498" s="132" t="s">
        <v>1086</v>
      </c>
      <c r="B498" s="123" t="s">
        <v>1087</v>
      </c>
      <c r="C498" s="124">
        <v>462</v>
      </c>
      <c r="D498" s="125">
        <v>678.721</v>
      </c>
      <c r="E498" s="126">
        <v>89.447100000000006</v>
      </c>
      <c r="F498" s="126">
        <v>44.0032</v>
      </c>
      <c r="G498" s="127">
        <v>7.5879598108826327</v>
      </c>
      <c r="H498" s="127">
        <v>10.499236419169515</v>
      </c>
      <c r="I498" s="128">
        <v>4311676</v>
      </c>
      <c r="J498" s="128">
        <v>3775594</v>
      </c>
      <c r="K498" s="128">
        <v>3974107</v>
      </c>
      <c r="L498" s="128">
        <v>4075575</v>
      </c>
      <c r="M498" s="128">
        <v>3852694</v>
      </c>
      <c r="N498" s="128">
        <v>3691311</v>
      </c>
      <c r="O498" s="128">
        <v>505878</v>
      </c>
    </row>
    <row r="499" spans="1:15">
      <c r="A499" s="132" t="s">
        <v>1006</v>
      </c>
      <c r="B499" s="123" t="s">
        <v>1007</v>
      </c>
      <c r="C499" s="124">
        <v>328</v>
      </c>
      <c r="D499" s="125">
        <v>609.08000000000004</v>
      </c>
      <c r="E499" s="126">
        <v>74.49969999999999</v>
      </c>
      <c r="F499" s="126">
        <v>40.8964</v>
      </c>
      <c r="G499" s="127">
        <v>8.1756033916915118</v>
      </c>
      <c r="H499" s="127">
        <v>8.0202658424702413</v>
      </c>
      <c r="I499" s="128">
        <v>3952184</v>
      </c>
      <c r="J499" s="128">
        <v>4048864</v>
      </c>
      <c r="K499" s="128">
        <v>4145800</v>
      </c>
      <c r="L499" s="128">
        <v>4002932</v>
      </c>
      <c r="M499" s="128">
        <v>4134249</v>
      </c>
      <c r="N499" s="128">
        <v>4373125</v>
      </c>
      <c r="O499" s="128">
        <v>1917820</v>
      </c>
    </row>
    <row r="500" spans="1:15">
      <c r="A500" s="132" t="s">
        <v>183</v>
      </c>
      <c r="B500" s="123" t="s">
        <v>184</v>
      </c>
      <c r="C500" s="124">
        <v>3909</v>
      </c>
      <c r="D500" s="125">
        <v>4843.5230000000001</v>
      </c>
      <c r="E500" s="126">
        <v>617.28060000000005</v>
      </c>
      <c r="F500" s="126">
        <v>263.93099999999998</v>
      </c>
      <c r="G500" s="127">
        <v>7.8465498510725915</v>
      </c>
      <c r="H500" s="127">
        <v>14.81068915739341</v>
      </c>
      <c r="I500" s="128">
        <v>27124881</v>
      </c>
      <c r="J500" s="128">
        <v>28820982</v>
      </c>
      <c r="K500" s="128">
        <v>29130079</v>
      </c>
      <c r="L500" s="128">
        <v>27150270</v>
      </c>
      <c r="M500" s="128">
        <v>28672891</v>
      </c>
      <c r="N500" s="128">
        <v>28728942</v>
      </c>
      <c r="O500" s="128">
        <v>7011433</v>
      </c>
    </row>
    <row r="501" spans="1:15">
      <c r="A501" s="132" t="s">
        <v>409</v>
      </c>
      <c r="B501" s="123" t="s">
        <v>410</v>
      </c>
      <c r="C501" s="124">
        <v>772</v>
      </c>
      <c r="D501" s="125">
        <v>1233.568</v>
      </c>
      <c r="E501" s="126">
        <v>114.25129999999999</v>
      </c>
      <c r="F501" s="126">
        <v>64.617000000000004</v>
      </c>
      <c r="G501" s="127">
        <v>10.796971237964033</v>
      </c>
      <c r="H501" s="127">
        <v>11.947320364609931</v>
      </c>
      <c r="I501" s="128">
        <v>9463475</v>
      </c>
      <c r="J501" s="128">
        <v>6909703</v>
      </c>
      <c r="K501" s="128">
        <v>8059618</v>
      </c>
      <c r="L501" s="128">
        <v>7357707</v>
      </c>
      <c r="M501" s="128">
        <v>7090197</v>
      </c>
      <c r="N501" s="128">
        <v>7218350</v>
      </c>
      <c r="O501" s="128">
        <v>83967</v>
      </c>
    </row>
    <row r="502" spans="1:15">
      <c r="A502" s="132" t="s">
        <v>676</v>
      </c>
      <c r="B502" s="123" t="s">
        <v>677</v>
      </c>
      <c r="C502" s="124">
        <v>689</v>
      </c>
      <c r="D502" s="125">
        <v>962.83900000000006</v>
      </c>
      <c r="E502" s="126">
        <v>96.318899999999985</v>
      </c>
      <c r="F502" s="126">
        <v>51.674500000000002</v>
      </c>
      <c r="G502" s="127">
        <v>9.9963662375712374</v>
      </c>
      <c r="H502" s="127">
        <v>13.333462346031407</v>
      </c>
      <c r="I502" s="128">
        <v>6675327</v>
      </c>
      <c r="J502" s="128">
        <v>6711209</v>
      </c>
      <c r="K502" s="128">
        <v>7580939</v>
      </c>
      <c r="L502" s="128">
        <v>7075355</v>
      </c>
      <c r="M502" s="128">
        <v>7314522</v>
      </c>
      <c r="N502" s="128">
        <v>7656098</v>
      </c>
      <c r="O502" s="128">
        <v>1247099</v>
      </c>
    </row>
    <row r="503" spans="1:15">
      <c r="A503" s="132" t="s">
        <v>708</v>
      </c>
      <c r="B503" s="123" t="s">
        <v>709</v>
      </c>
      <c r="C503" s="124">
        <v>520</v>
      </c>
      <c r="D503" s="125">
        <v>968.20800000000008</v>
      </c>
      <c r="E503" s="126">
        <v>94.4983</v>
      </c>
      <c r="F503" s="126">
        <v>44.879100000000001</v>
      </c>
      <c r="G503" s="127">
        <v>10.245771617055546</v>
      </c>
      <c r="H503" s="127">
        <v>11.586685116234506</v>
      </c>
      <c r="I503" s="128">
        <v>6125925</v>
      </c>
      <c r="J503" s="128">
        <v>6598986</v>
      </c>
      <c r="K503" s="128">
        <v>5623208</v>
      </c>
      <c r="L503" s="128">
        <v>6210934</v>
      </c>
      <c r="M503" s="128">
        <v>6647992</v>
      </c>
      <c r="N503" s="128">
        <v>6514638</v>
      </c>
      <c r="O503" s="128">
        <v>4364258</v>
      </c>
    </row>
    <row r="504" spans="1:15">
      <c r="A504" s="132" t="s">
        <v>1746</v>
      </c>
      <c r="B504" s="123" t="s">
        <v>1747</v>
      </c>
      <c r="C504" s="124">
        <v>159</v>
      </c>
      <c r="D504" s="125">
        <v>299.82300000000004</v>
      </c>
      <c r="E504" s="126">
        <v>27.499500000000001</v>
      </c>
      <c r="F504" s="126">
        <v>15.456200000000001</v>
      </c>
      <c r="G504" s="127">
        <v>10.90285277914144</v>
      </c>
      <c r="H504" s="127">
        <v>10.287133965657794</v>
      </c>
      <c r="I504" s="128">
        <v>1985500</v>
      </c>
      <c r="J504" s="128">
        <v>1782036</v>
      </c>
      <c r="K504" s="128">
        <v>1753532</v>
      </c>
      <c r="L504" s="128">
        <v>1985500</v>
      </c>
      <c r="M504" s="128">
        <v>1799937</v>
      </c>
      <c r="N504" s="128">
        <v>1770382</v>
      </c>
      <c r="O504" s="128">
        <v>391455</v>
      </c>
    </row>
    <row r="505" spans="1:15">
      <c r="A505" s="132" t="s">
        <v>531</v>
      </c>
      <c r="B505" s="123" t="s">
        <v>532</v>
      </c>
      <c r="C505" s="124">
        <v>104</v>
      </c>
      <c r="D505" s="125">
        <v>265.43299999999999</v>
      </c>
      <c r="E505" s="126">
        <v>24.0242</v>
      </c>
      <c r="F505" s="126">
        <v>13.8116</v>
      </c>
      <c r="G505" s="127">
        <v>11.048567694241639</v>
      </c>
      <c r="H505" s="127">
        <v>7.5299024008804194</v>
      </c>
      <c r="I505" s="128">
        <v>1558916</v>
      </c>
      <c r="J505" s="128">
        <v>1569832</v>
      </c>
      <c r="K505" s="128">
        <v>1457027</v>
      </c>
      <c r="L505" s="128">
        <v>1595914</v>
      </c>
      <c r="M505" s="128">
        <v>1606828</v>
      </c>
      <c r="N505" s="128">
        <v>1630693</v>
      </c>
      <c r="O505" s="128">
        <v>433903</v>
      </c>
    </row>
    <row r="506" spans="1:15">
      <c r="A506" s="132" t="s">
        <v>303</v>
      </c>
      <c r="B506" s="123" t="s">
        <v>304</v>
      </c>
      <c r="C506" s="124">
        <v>1485</v>
      </c>
      <c r="D506" s="125">
        <v>1914.43</v>
      </c>
      <c r="E506" s="126">
        <v>201.2654</v>
      </c>
      <c r="F506" s="126">
        <v>108.7771</v>
      </c>
      <c r="G506" s="127">
        <v>9.5119677798568461</v>
      </c>
      <c r="H506" s="127">
        <v>13.651770455362387</v>
      </c>
      <c r="I506" s="128">
        <v>10296048</v>
      </c>
      <c r="J506" s="128">
        <v>10304545</v>
      </c>
      <c r="K506" s="128">
        <v>10262556</v>
      </c>
      <c r="L506" s="128">
        <v>10378090</v>
      </c>
      <c r="M506" s="128">
        <v>10592560</v>
      </c>
      <c r="N506" s="128">
        <v>10716164</v>
      </c>
      <c r="O506" s="128">
        <v>1812379</v>
      </c>
    </row>
    <row r="507" spans="1:15">
      <c r="A507" s="132" t="s">
        <v>343</v>
      </c>
      <c r="B507" s="123" t="s">
        <v>344</v>
      </c>
      <c r="C507" s="124">
        <v>483</v>
      </c>
      <c r="D507" s="125">
        <v>773.322</v>
      </c>
      <c r="E507" s="126">
        <v>76.681600000000003</v>
      </c>
      <c r="F507" s="126">
        <v>41.113500000000002</v>
      </c>
      <c r="G507" s="127">
        <v>10.084844343362684</v>
      </c>
      <c r="H507" s="127">
        <v>11.747965996570469</v>
      </c>
      <c r="I507" s="128">
        <v>4459516</v>
      </c>
      <c r="J507" s="128">
        <v>4304989</v>
      </c>
      <c r="K507" s="128">
        <v>4675263</v>
      </c>
      <c r="L507" s="128">
        <v>4474971</v>
      </c>
      <c r="M507" s="128">
        <v>4416466</v>
      </c>
      <c r="N507" s="128">
        <v>4373221</v>
      </c>
      <c r="O507" s="128">
        <v>482906</v>
      </c>
    </row>
    <row r="508" spans="1:15">
      <c r="A508" s="132" t="s">
        <v>433</v>
      </c>
      <c r="B508" s="123" t="s">
        <v>434</v>
      </c>
      <c r="C508" s="124">
        <v>1593</v>
      </c>
      <c r="D508" s="125">
        <v>2135.3879999999999</v>
      </c>
      <c r="E508" s="126">
        <v>253.81310000000002</v>
      </c>
      <c r="F508" s="126">
        <v>121.6794</v>
      </c>
      <c r="G508" s="127">
        <v>8.4132300499855983</v>
      </c>
      <c r="H508" s="127">
        <v>13.091780531462186</v>
      </c>
      <c r="I508" s="128">
        <v>12521652</v>
      </c>
      <c r="J508" s="128">
        <v>12412869</v>
      </c>
      <c r="K508" s="128">
        <v>12701986</v>
      </c>
      <c r="L508" s="128">
        <v>12523515</v>
      </c>
      <c r="M508" s="128">
        <v>12869639</v>
      </c>
      <c r="N508" s="128">
        <v>11531062</v>
      </c>
      <c r="O508" s="128">
        <v>2134335</v>
      </c>
    </row>
    <row r="509" spans="1:15">
      <c r="A509" s="132" t="s">
        <v>792</v>
      </c>
      <c r="B509" s="123" t="s">
        <v>793</v>
      </c>
      <c r="C509" s="124">
        <v>4806</v>
      </c>
      <c r="D509" s="125">
        <v>5938.3070000000007</v>
      </c>
      <c r="E509" s="126">
        <v>688.3175</v>
      </c>
      <c r="F509" s="126">
        <v>357.09660000000002</v>
      </c>
      <c r="G509" s="127">
        <v>8.6272788357117189</v>
      </c>
      <c r="H509" s="127">
        <v>13.458543150508852</v>
      </c>
      <c r="I509" s="128">
        <v>33511443</v>
      </c>
      <c r="J509" s="128">
        <v>34711560</v>
      </c>
      <c r="K509" s="128">
        <v>32218833</v>
      </c>
      <c r="L509" s="128">
        <v>33158085</v>
      </c>
      <c r="M509" s="128">
        <v>34013388</v>
      </c>
      <c r="N509" s="128">
        <v>34150040</v>
      </c>
      <c r="O509" s="128">
        <v>6913752</v>
      </c>
    </row>
    <row r="510" spans="1:15">
      <c r="A510" s="132" t="s">
        <v>1148</v>
      </c>
      <c r="B510" s="123" t="s">
        <v>1149</v>
      </c>
      <c r="C510" s="124">
        <v>887</v>
      </c>
      <c r="D510" s="125">
        <v>1306.039</v>
      </c>
      <c r="E510" s="126">
        <v>158.70570000000001</v>
      </c>
      <c r="F510" s="126">
        <v>83.193700000000007</v>
      </c>
      <c r="G510" s="127">
        <v>8.2293137549565003</v>
      </c>
      <c r="H510" s="127">
        <v>10.661865021029236</v>
      </c>
      <c r="I510" s="128">
        <v>7890524</v>
      </c>
      <c r="J510" s="128">
        <v>8274394</v>
      </c>
      <c r="K510" s="128">
        <v>7608033</v>
      </c>
      <c r="L510" s="128">
        <v>8276748</v>
      </c>
      <c r="M510" s="128">
        <v>8495662</v>
      </c>
      <c r="N510" s="128">
        <v>7957286</v>
      </c>
      <c r="O510" s="128">
        <v>1696112</v>
      </c>
    </row>
    <row r="511" spans="1:15">
      <c r="A511" s="132" t="s">
        <v>1546</v>
      </c>
      <c r="B511" s="123" t="s">
        <v>1547</v>
      </c>
      <c r="C511" s="124">
        <v>2546</v>
      </c>
      <c r="D511" s="125">
        <v>3314.3960000000002</v>
      </c>
      <c r="E511" s="126">
        <v>348.72460000000001</v>
      </c>
      <c r="F511" s="126">
        <v>165.43260000000001</v>
      </c>
      <c r="G511" s="127">
        <v>9.5043366599316492</v>
      </c>
      <c r="H511" s="127">
        <v>15.389953370738294</v>
      </c>
      <c r="I511" s="128">
        <v>19305407</v>
      </c>
      <c r="J511" s="128">
        <v>18219985</v>
      </c>
      <c r="K511" s="128">
        <v>18009039</v>
      </c>
      <c r="L511" s="128">
        <v>18194160</v>
      </c>
      <c r="M511" s="128">
        <v>18106397</v>
      </c>
      <c r="N511" s="128">
        <v>18777863</v>
      </c>
      <c r="O511" s="128">
        <v>5963031</v>
      </c>
    </row>
    <row r="512" spans="1:15">
      <c r="A512" s="132" t="s">
        <v>2063</v>
      </c>
      <c r="B512" s="123" t="s">
        <v>2064</v>
      </c>
      <c r="C512" s="124">
        <v>634</v>
      </c>
      <c r="D512" s="125">
        <v>944.35500000000002</v>
      </c>
      <c r="E512" s="126">
        <v>91.03540000000001</v>
      </c>
      <c r="F512" s="126">
        <v>53.0032</v>
      </c>
      <c r="G512" s="127">
        <v>10.373492070117777</v>
      </c>
      <c r="H512" s="127">
        <v>11.961541944637306</v>
      </c>
      <c r="I512" s="128">
        <v>7131445</v>
      </c>
      <c r="J512" s="128">
        <v>6415200</v>
      </c>
      <c r="K512" s="128">
        <v>6914972</v>
      </c>
      <c r="L512" s="128">
        <v>5609372</v>
      </c>
      <c r="M512" s="128">
        <v>5141277</v>
      </c>
      <c r="N512" s="128">
        <v>5488707</v>
      </c>
      <c r="O512" s="128">
        <v>565828</v>
      </c>
    </row>
    <row r="513" spans="1:15">
      <c r="A513" s="132" t="s">
        <v>317</v>
      </c>
      <c r="B513" s="123" t="s">
        <v>318</v>
      </c>
      <c r="C513" s="124">
        <v>403</v>
      </c>
      <c r="D513" s="125">
        <v>635.04</v>
      </c>
      <c r="E513" s="126">
        <v>66.578199999999995</v>
      </c>
      <c r="F513" s="126">
        <v>36.252699999999997</v>
      </c>
      <c r="G513" s="127">
        <v>9.5382572673938313</v>
      </c>
      <c r="H513" s="127">
        <v>11.116413398174481</v>
      </c>
      <c r="I513" s="128">
        <v>3388750</v>
      </c>
      <c r="J513" s="128">
        <v>3856084</v>
      </c>
      <c r="K513" s="128">
        <v>3647192</v>
      </c>
      <c r="L513" s="128">
        <v>3422740</v>
      </c>
      <c r="M513" s="128">
        <v>3866085</v>
      </c>
      <c r="N513" s="128">
        <v>3222360</v>
      </c>
      <c r="O513" s="128">
        <v>436974</v>
      </c>
    </row>
    <row r="514" spans="1:15">
      <c r="A514" s="132" t="s">
        <v>193</v>
      </c>
      <c r="B514" s="123" t="s">
        <v>194</v>
      </c>
      <c r="C514" s="124">
        <v>575</v>
      </c>
      <c r="D514" s="125">
        <v>866.45600000000002</v>
      </c>
      <c r="E514" s="126">
        <v>88.228899999999996</v>
      </c>
      <c r="F514" s="126">
        <v>48.183300000000003</v>
      </c>
      <c r="G514" s="127">
        <v>9.8205463289239692</v>
      </c>
      <c r="H514" s="127">
        <v>11.933595249806467</v>
      </c>
      <c r="I514" s="128">
        <v>4812135</v>
      </c>
      <c r="J514" s="128">
        <v>5026674</v>
      </c>
      <c r="K514" s="128">
        <v>4941602</v>
      </c>
      <c r="L514" s="128">
        <v>4944293</v>
      </c>
      <c r="M514" s="128">
        <v>5041965</v>
      </c>
      <c r="N514" s="128">
        <v>5055601</v>
      </c>
      <c r="O514" s="128">
        <v>1618294</v>
      </c>
    </row>
    <row r="515" spans="1:15">
      <c r="A515" s="132" t="s">
        <v>211</v>
      </c>
      <c r="B515" s="123" t="s">
        <v>212</v>
      </c>
      <c r="C515" s="124">
        <v>530</v>
      </c>
      <c r="D515" s="125">
        <v>814.96</v>
      </c>
      <c r="E515" s="126">
        <v>96.085100000000011</v>
      </c>
      <c r="F515" s="126">
        <v>49.5351</v>
      </c>
      <c r="G515" s="127">
        <v>8.481648039082021</v>
      </c>
      <c r="H515" s="127">
        <v>10.699483800375894</v>
      </c>
      <c r="I515" s="128">
        <v>5092219</v>
      </c>
      <c r="J515" s="128">
        <v>5091294</v>
      </c>
      <c r="K515" s="128">
        <v>5098828</v>
      </c>
      <c r="L515" s="128">
        <v>5577399</v>
      </c>
      <c r="M515" s="128">
        <v>5450532</v>
      </c>
      <c r="N515" s="128">
        <v>4991216</v>
      </c>
      <c r="O515" s="128">
        <v>209295</v>
      </c>
    </row>
    <row r="516" spans="1:15">
      <c r="A516" s="132" t="s">
        <v>221</v>
      </c>
      <c r="B516" s="123" t="s">
        <v>222</v>
      </c>
      <c r="C516" s="124">
        <v>2763</v>
      </c>
      <c r="D516" s="125">
        <v>3462.768</v>
      </c>
      <c r="E516" s="126">
        <v>334.48219999999998</v>
      </c>
      <c r="F516" s="126">
        <v>208.11179999999999</v>
      </c>
      <c r="G516" s="127">
        <v>10.352622650771851</v>
      </c>
      <c r="H516" s="127">
        <v>13.276517717880486</v>
      </c>
      <c r="I516" s="128">
        <v>18234425</v>
      </c>
      <c r="J516" s="128">
        <v>18013402</v>
      </c>
      <c r="K516" s="128">
        <v>18205305</v>
      </c>
      <c r="L516" s="128">
        <v>14068412</v>
      </c>
      <c r="M516" s="128">
        <v>18010482</v>
      </c>
      <c r="N516" s="128">
        <v>19142714</v>
      </c>
      <c r="O516" s="128">
        <v>2495059</v>
      </c>
    </row>
    <row r="517" spans="1:15">
      <c r="A517" s="132" t="s">
        <v>1692</v>
      </c>
      <c r="B517" s="123" t="s">
        <v>1693</v>
      </c>
      <c r="C517" s="124">
        <v>845</v>
      </c>
      <c r="D517" s="125">
        <v>1197.153</v>
      </c>
      <c r="E517" s="126">
        <v>140.50559999999999</v>
      </c>
      <c r="F517" s="126">
        <v>72.441199999999995</v>
      </c>
      <c r="G517" s="127">
        <v>8.5203223216725892</v>
      </c>
      <c r="H517" s="127">
        <v>11.664632833249588</v>
      </c>
      <c r="I517" s="128">
        <v>6454903</v>
      </c>
      <c r="J517" s="128">
        <v>6636414</v>
      </c>
      <c r="K517" s="128">
        <v>6575914</v>
      </c>
      <c r="L517" s="128">
        <v>6785968</v>
      </c>
      <c r="M517" s="128">
        <v>6877416</v>
      </c>
      <c r="N517" s="128">
        <v>6909951</v>
      </c>
      <c r="O517" s="128">
        <v>3138884</v>
      </c>
    </row>
    <row r="518" spans="1:15">
      <c r="A518" s="132" t="s">
        <v>1500</v>
      </c>
      <c r="B518" s="123" t="s">
        <v>1501</v>
      </c>
      <c r="C518" s="124">
        <v>617</v>
      </c>
      <c r="D518" s="125">
        <v>1049.249</v>
      </c>
      <c r="E518" s="126">
        <v>145.4308</v>
      </c>
      <c r="F518" s="126">
        <v>70.332700000000003</v>
      </c>
      <c r="G518" s="127">
        <v>7.214764685334881</v>
      </c>
      <c r="H518" s="127">
        <v>8.772590843235081</v>
      </c>
      <c r="I518" s="128">
        <v>8646429</v>
      </c>
      <c r="J518" s="128">
        <v>9131412</v>
      </c>
      <c r="K518" s="128">
        <v>8076280</v>
      </c>
      <c r="L518" s="128">
        <v>9127580</v>
      </c>
      <c r="M518" s="128">
        <v>9431660</v>
      </c>
      <c r="N518" s="128">
        <v>9929156</v>
      </c>
      <c r="O518" s="128">
        <v>2969455</v>
      </c>
    </row>
    <row r="519" spans="1:15">
      <c r="A519" s="132" t="s">
        <v>1798</v>
      </c>
      <c r="B519" s="123" t="s">
        <v>1799</v>
      </c>
      <c r="C519" s="124">
        <v>81</v>
      </c>
      <c r="D519" s="125">
        <v>138.86100000000002</v>
      </c>
      <c r="E519" s="126">
        <v>15.6465</v>
      </c>
      <c r="F519" s="126">
        <v>8.5236999999999998</v>
      </c>
      <c r="G519" s="127">
        <v>8.8748921484037986</v>
      </c>
      <c r="H519" s="127">
        <v>9.5029154005889467</v>
      </c>
      <c r="I519" s="128">
        <v>788211</v>
      </c>
      <c r="J519" s="128">
        <v>815734</v>
      </c>
      <c r="K519" s="128">
        <v>867797</v>
      </c>
      <c r="L519" s="128">
        <v>844500</v>
      </c>
      <c r="M519" s="128">
        <v>869733</v>
      </c>
      <c r="N519" s="128">
        <v>1009788</v>
      </c>
      <c r="O519" s="128">
        <v>926387</v>
      </c>
    </row>
    <row r="520" spans="1:15">
      <c r="A520" s="132" t="s">
        <v>948</v>
      </c>
      <c r="B520" s="123" t="s">
        <v>949</v>
      </c>
      <c r="C520" s="124">
        <v>328</v>
      </c>
      <c r="D520" s="125">
        <v>593.07100000000003</v>
      </c>
      <c r="E520" s="126">
        <v>60.9572</v>
      </c>
      <c r="F520" s="126">
        <v>32.000100000000003</v>
      </c>
      <c r="G520" s="127">
        <v>9.729301870820839</v>
      </c>
      <c r="H520" s="127">
        <v>10.249967968850097</v>
      </c>
      <c r="I520" s="128">
        <v>4654825</v>
      </c>
      <c r="J520" s="128">
        <v>4021780</v>
      </c>
      <c r="K520" s="128">
        <v>4236023</v>
      </c>
      <c r="L520" s="128">
        <v>4639892</v>
      </c>
      <c r="M520" s="128">
        <v>4337324</v>
      </c>
      <c r="N520" s="128">
        <v>4657654</v>
      </c>
      <c r="O520" s="128">
        <v>1552114</v>
      </c>
    </row>
    <row r="521" spans="1:15">
      <c r="A521" s="132" t="s">
        <v>275</v>
      </c>
      <c r="B521" s="123" t="s">
        <v>276</v>
      </c>
      <c r="C521" s="124">
        <v>206</v>
      </c>
      <c r="D521" s="125">
        <v>324.12200000000001</v>
      </c>
      <c r="E521" s="126">
        <v>42.476700000000001</v>
      </c>
      <c r="F521" s="126">
        <v>23.7151</v>
      </c>
      <c r="G521" s="127">
        <v>7.6305833551099784</v>
      </c>
      <c r="H521" s="127">
        <v>8.6864487183271422</v>
      </c>
      <c r="I521" s="128">
        <v>2223448</v>
      </c>
      <c r="J521" s="128">
        <v>2229812</v>
      </c>
      <c r="K521" s="128">
        <v>2280866</v>
      </c>
      <c r="L521" s="128">
        <v>2277449</v>
      </c>
      <c r="M521" s="128">
        <v>2737809</v>
      </c>
      <c r="N521" s="128">
        <v>2230730</v>
      </c>
      <c r="O521" s="128">
        <v>434098</v>
      </c>
    </row>
    <row r="522" spans="1:15">
      <c r="A522" s="132" t="s">
        <v>956</v>
      </c>
      <c r="B522" s="123" t="s">
        <v>957</v>
      </c>
      <c r="C522" s="124">
        <v>935</v>
      </c>
      <c r="D522" s="125">
        <v>1482.15</v>
      </c>
      <c r="E522" s="126">
        <v>169.42579999999998</v>
      </c>
      <c r="F522" s="126">
        <v>94.662099999999995</v>
      </c>
      <c r="G522" s="127">
        <v>8.7480773294268062</v>
      </c>
      <c r="H522" s="127">
        <v>9.8772370357302446</v>
      </c>
      <c r="I522" s="128">
        <v>10877041</v>
      </c>
      <c r="J522" s="128">
        <v>10981728</v>
      </c>
      <c r="K522" s="128">
        <v>11351287</v>
      </c>
      <c r="L522" s="128">
        <v>11429286</v>
      </c>
      <c r="M522" s="128">
        <v>11256065</v>
      </c>
      <c r="N522" s="128">
        <v>10794935</v>
      </c>
      <c r="O522" s="128">
        <v>684826</v>
      </c>
    </row>
    <row r="523" spans="1:15">
      <c r="A523" s="132" t="s">
        <v>1468</v>
      </c>
      <c r="B523" s="123" t="s">
        <v>1469</v>
      </c>
      <c r="C523" s="124">
        <v>385</v>
      </c>
      <c r="D523" s="125">
        <v>588.34400000000005</v>
      </c>
      <c r="E523" s="126">
        <v>60.575500000000005</v>
      </c>
      <c r="F523" s="126">
        <v>35.5473</v>
      </c>
      <c r="G523" s="127">
        <v>9.7125735652202625</v>
      </c>
      <c r="H523" s="127">
        <v>10.830639739164438</v>
      </c>
      <c r="I523" s="128">
        <v>3694504</v>
      </c>
      <c r="J523" s="128">
        <v>3397615</v>
      </c>
      <c r="K523" s="128">
        <v>4437148</v>
      </c>
      <c r="L523" s="128">
        <v>3888503</v>
      </c>
      <c r="M523" s="128">
        <v>3652613</v>
      </c>
      <c r="N523" s="128">
        <v>4731379</v>
      </c>
      <c r="O523" s="128">
        <v>863358</v>
      </c>
    </row>
    <row r="524" spans="1:15">
      <c r="A524" s="132" t="s">
        <v>610</v>
      </c>
      <c r="B524" s="123" t="s">
        <v>611</v>
      </c>
      <c r="C524" s="124">
        <v>1395</v>
      </c>
      <c r="D524" s="125">
        <v>1933.2660000000001</v>
      </c>
      <c r="E524" s="126">
        <v>204.08180000000002</v>
      </c>
      <c r="F524" s="126">
        <v>111.3646</v>
      </c>
      <c r="G524" s="127">
        <v>9.4729956321435811</v>
      </c>
      <c r="H524" s="127">
        <v>12.526422220346502</v>
      </c>
      <c r="I524" s="128">
        <v>16527725</v>
      </c>
      <c r="J524" s="128">
        <v>12179686</v>
      </c>
      <c r="K524" s="128">
        <v>15197664</v>
      </c>
      <c r="L524" s="128">
        <v>12148410</v>
      </c>
      <c r="M524" s="128">
        <v>12582216</v>
      </c>
      <c r="N524" s="128">
        <v>13193823</v>
      </c>
      <c r="O524" s="128">
        <v>2574005</v>
      </c>
    </row>
    <row r="525" spans="1:15">
      <c r="A525" s="132" t="s">
        <v>718</v>
      </c>
      <c r="B525" s="123" t="s">
        <v>719</v>
      </c>
      <c r="C525" s="124">
        <v>653</v>
      </c>
      <c r="D525" s="125">
        <v>1003.43</v>
      </c>
      <c r="E525" s="126">
        <v>112.15650000000001</v>
      </c>
      <c r="F525" s="126">
        <v>54.563499999999998</v>
      </c>
      <c r="G525" s="127">
        <v>8.9466950199052224</v>
      </c>
      <c r="H525" s="127">
        <v>11.96770735015166</v>
      </c>
      <c r="I525" s="128">
        <v>5347263</v>
      </c>
      <c r="J525" s="128">
        <v>5491583</v>
      </c>
      <c r="K525" s="128">
        <v>5406106</v>
      </c>
      <c r="L525" s="128">
        <v>5483060</v>
      </c>
      <c r="M525" s="128">
        <v>5576484</v>
      </c>
      <c r="N525" s="128">
        <v>5462357</v>
      </c>
      <c r="O525" s="128">
        <v>547922</v>
      </c>
    </row>
    <row r="526" spans="1:15">
      <c r="A526" s="132" t="s">
        <v>932</v>
      </c>
      <c r="B526" s="123" t="s">
        <v>933</v>
      </c>
      <c r="C526" s="124">
        <v>1123</v>
      </c>
      <c r="D526" s="125">
        <v>1589.4830000000002</v>
      </c>
      <c r="E526" s="126">
        <v>173.57079999999999</v>
      </c>
      <c r="F526" s="126">
        <v>87.889700000000005</v>
      </c>
      <c r="G526" s="127">
        <v>9.1575483894756502</v>
      </c>
      <c r="H526" s="127">
        <v>12.777378919259025</v>
      </c>
      <c r="I526" s="128">
        <v>9266381</v>
      </c>
      <c r="J526" s="128">
        <v>9684736</v>
      </c>
      <c r="K526" s="128">
        <v>9541360</v>
      </c>
      <c r="L526" s="128">
        <v>9504846</v>
      </c>
      <c r="M526" s="128">
        <v>9743596</v>
      </c>
      <c r="N526" s="128">
        <v>9697857</v>
      </c>
      <c r="O526" s="128">
        <v>2504604</v>
      </c>
    </row>
    <row r="527" spans="1:15">
      <c r="A527" s="132" t="s">
        <v>257</v>
      </c>
      <c r="B527" s="123" t="s">
        <v>258</v>
      </c>
      <c r="C527" s="124">
        <v>410</v>
      </c>
      <c r="D527" s="125">
        <v>648.17600000000004</v>
      </c>
      <c r="E527" s="126">
        <v>68.763000000000005</v>
      </c>
      <c r="F527" s="126">
        <v>36.560400000000001</v>
      </c>
      <c r="G527" s="127">
        <v>9.426232130651659</v>
      </c>
      <c r="H527" s="127">
        <v>11.214319318169386</v>
      </c>
      <c r="I527" s="128">
        <v>4295354</v>
      </c>
      <c r="J527" s="128">
        <v>4270785</v>
      </c>
      <c r="K527" s="128">
        <v>4292808</v>
      </c>
      <c r="L527" s="128">
        <v>4184069</v>
      </c>
      <c r="M527" s="128">
        <v>4325785</v>
      </c>
      <c r="N527" s="128">
        <v>4824394</v>
      </c>
      <c r="O527" s="128">
        <v>378270</v>
      </c>
    </row>
    <row r="528" spans="1:15">
      <c r="A528" s="132" t="s">
        <v>285</v>
      </c>
      <c r="B528" s="123" t="s">
        <v>286</v>
      </c>
      <c r="C528" s="124">
        <v>1545</v>
      </c>
      <c r="D528" s="125">
        <v>1946.87</v>
      </c>
      <c r="E528" s="126">
        <v>250.91059999999999</v>
      </c>
      <c r="F528" s="126">
        <v>121.2454</v>
      </c>
      <c r="G528" s="127">
        <v>7.7592178249942414</v>
      </c>
      <c r="H528" s="127">
        <v>12.74275147758183</v>
      </c>
      <c r="I528" s="128">
        <v>9630218</v>
      </c>
      <c r="J528" s="128">
        <v>9904734</v>
      </c>
      <c r="K528" s="128">
        <v>9986483</v>
      </c>
      <c r="L528" s="128">
        <v>9755646</v>
      </c>
      <c r="M528" s="128">
        <v>10214120</v>
      </c>
      <c r="N528" s="128">
        <v>10478485</v>
      </c>
      <c r="O528" s="128">
        <v>3257175</v>
      </c>
    </row>
    <row r="529" spans="1:15">
      <c r="A529" s="132" t="s">
        <v>962</v>
      </c>
      <c r="B529" s="123" t="s">
        <v>963</v>
      </c>
      <c r="C529" s="124">
        <v>2813</v>
      </c>
      <c r="D529" s="125">
        <v>3641.6860000000001</v>
      </c>
      <c r="E529" s="126">
        <v>507.18</v>
      </c>
      <c r="F529" s="126">
        <v>232.7062</v>
      </c>
      <c r="G529" s="127">
        <v>7.1802634173271818</v>
      </c>
      <c r="H529" s="127">
        <v>12.08820392408969</v>
      </c>
      <c r="I529" s="128">
        <v>24485673</v>
      </c>
      <c r="J529" s="128">
        <v>23693476</v>
      </c>
      <c r="K529" s="128">
        <v>22620287</v>
      </c>
      <c r="L529" s="128">
        <v>24245561</v>
      </c>
      <c r="M529" s="128">
        <v>24024458</v>
      </c>
      <c r="N529" s="128">
        <v>23564898</v>
      </c>
      <c r="O529" s="128">
        <v>3855080</v>
      </c>
    </row>
    <row r="530" spans="1:15">
      <c r="A530" s="132" t="s">
        <v>1022</v>
      </c>
      <c r="B530" s="123" t="s">
        <v>1023</v>
      </c>
      <c r="C530" s="124">
        <v>1465</v>
      </c>
      <c r="D530" s="125">
        <v>1932.1010000000001</v>
      </c>
      <c r="E530" s="126">
        <v>210.2216</v>
      </c>
      <c r="F530" s="126">
        <v>104.34520000000001</v>
      </c>
      <c r="G530" s="127">
        <v>9.1907824885739622</v>
      </c>
      <c r="H530" s="127">
        <v>14.039936671739571</v>
      </c>
      <c r="I530" s="128">
        <v>10838045</v>
      </c>
      <c r="J530" s="128">
        <v>10639800</v>
      </c>
      <c r="K530" s="128">
        <v>11315642</v>
      </c>
      <c r="L530" s="128">
        <v>11071273</v>
      </c>
      <c r="M530" s="128">
        <v>10991864</v>
      </c>
      <c r="N530" s="128">
        <v>10675621</v>
      </c>
      <c r="O530" s="128">
        <v>1319412</v>
      </c>
    </row>
    <row r="531" spans="1:15">
      <c r="A531" s="132" t="s">
        <v>634</v>
      </c>
      <c r="B531" s="123" t="s">
        <v>635</v>
      </c>
      <c r="C531" s="124">
        <v>429</v>
      </c>
      <c r="D531" s="125">
        <v>635.44799999999998</v>
      </c>
      <c r="E531" s="126">
        <v>72.349600000000009</v>
      </c>
      <c r="F531" s="126">
        <v>37.999600000000001</v>
      </c>
      <c r="G531" s="127">
        <v>8.7830202240233515</v>
      </c>
      <c r="H531" s="127">
        <v>11.289592522026547</v>
      </c>
      <c r="I531" s="128">
        <v>4452432</v>
      </c>
      <c r="J531" s="128">
        <v>4261419</v>
      </c>
      <c r="K531" s="128">
        <v>4410890</v>
      </c>
      <c r="L531" s="128">
        <v>4457513</v>
      </c>
      <c r="M531" s="128">
        <v>4139409</v>
      </c>
      <c r="N531" s="128">
        <v>4218322</v>
      </c>
      <c r="O531" s="128">
        <v>1471118</v>
      </c>
    </row>
    <row r="532" spans="1:15">
      <c r="A532" s="132" t="s">
        <v>706</v>
      </c>
      <c r="B532" s="123" t="s">
        <v>707</v>
      </c>
      <c r="C532" s="124">
        <v>311</v>
      </c>
      <c r="D532" s="125">
        <v>607.43799999999999</v>
      </c>
      <c r="E532" s="126">
        <v>68.278199999999998</v>
      </c>
      <c r="F532" s="126">
        <v>40.535800000000002</v>
      </c>
      <c r="G532" s="127">
        <v>8.8965145536935655</v>
      </c>
      <c r="H532" s="127">
        <v>7.6722304728166213</v>
      </c>
      <c r="I532" s="128">
        <v>4819579</v>
      </c>
      <c r="J532" s="128">
        <v>4490767</v>
      </c>
      <c r="K532" s="128">
        <v>4412662</v>
      </c>
      <c r="L532" s="128">
        <v>4368157</v>
      </c>
      <c r="M532" s="128">
        <v>4383096</v>
      </c>
      <c r="N532" s="128">
        <v>4456241</v>
      </c>
      <c r="O532" s="128">
        <v>1716663</v>
      </c>
    </row>
    <row r="533" spans="1:15">
      <c r="A533" s="132" t="s">
        <v>1932</v>
      </c>
      <c r="B533" s="123" t="s">
        <v>1933</v>
      </c>
      <c r="C533" s="124">
        <v>47</v>
      </c>
      <c r="D533" s="125">
        <v>228.90700000000001</v>
      </c>
      <c r="E533" s="126">
        <v>18.642499999999998</v>
      </c>
      <c r="F533" s="126">
        <v>12.0008</v>
      </c>
      <c r="G533" s="127">
        <v>12.278771623977473</v>
      </c>
      <c r="H533" s="127">
        <v>3.9164055729618026</v>
      </c>
      <c r="I533" s="128">
        <v>1372360</v>
      </c>
      <c r="J533" s="128">
        <v>1512641</v>
      </c>
      <c r="K533" s="128">
        <v>1532468</v>
      </c>
      <c r="L533" s="128">
        <v>1261091</v>
      </c>
      <c r="M533" s="128">
        <v>1358409</v>
      </c>
      <c r="N533" s="128">
        <v>1343621</v>
      </c>
      <c r="O533" s="128">
        <v>193843</v>
      </c>
    </row>
    <row r="534" spans="1:15">
      <c r="A534" s="132" t="s">
        <v>1351</v>
      </c>
      <c r="B534" s="123" t="s">
        <v>1352</v>
      </c>
      <c r="C534" s="124">
        <v>5022</v>
      </c>
      <c r="D534" s="125">
        <v>6092.085</v>
      </c>
      <c r="E534" s="126">
        <v>623.07569999999998</v>
      </c>
      <c r="F534" s="126">
        <v>331.11700000000002</v>
      </c>
      <c r="G534" s="127">
        <v>9.7774395631221065</v>
      </c>
      <c r="H534" s="127">
        <v>15.166844348070319</v>
      </c>
      <c r="I534" s="128">
        <v>35837971</v>
      </c>
      <c r="J534" s="128">
        <v>35743790</v>
      </c>
      <c r="K534" s="128">
        <v>35450478</v>
      </c>
      <c r="L534" s="128">
        <v>36703543</v>
      </c>
      <c r="M534" s="128">
        <v>35251335</v>
      </c>
      <c r="N534" s="128">
        <v>37654685</v>
      </c>
      <c r="O534" s="128">
        <v>6691584</v>
      </c>
    </row>
    <row r="535" spans="1:15">
      <c r="A535" s="132" t="s">
        <v>1510</v>
      </c>
      <c r="B535" s="123" t="s">
        <v>1511</v>
      </c>
      <c r="C535" s="124">
        <v>8898</v>
      </c>
      <c r="D535" s="125">
        <v>10976.583000000001</v>
      </c>
      <c r="E535" s="126">
        <v>1323.4857000000002</v>
      </c>
      <c r="F535" s="126">
        <v>609.87350000000004</v>
      </c>
      <c r="G535" s="127">
        <v>8.2936921796737195</v>
      </c>
      <c r="H535" s="127">
        <v>14.589910858563291</v>
      </c>
      <c r="I535" s="128">
        <v>78122218</v>
      </c>
      <c r="J535" s="128">
        <v>83828113</v>
      </c>
      <c r="K535" s="128">
        <v>83063198</v>
      </c>
      <c r="L535" s="128">
        <v>78339226</v>
      </c>
      <c r="M535" s="128">
        <v>81380449</v>
      </c>
      <c r="N535" s="128">
        <v>83256182</v>
      </c>
      <c r="O535" s="128">
        <v>15994470</v>
      </c>
    </row>
    <row r="536" spans="1:15">
      <c r="A536" s="132" t="s">
        <v>1512</v>
      </c>
      <c r="B536" s="123" t="s">
        <v>1513</v>
      </c>
      <c r="C536" s="124">
        <v>4667</v>
      </c>
      <c r="D536" s="125">
        <v>5522.2070000000003</v>
      </c>
      <c r="E536" s="126">
        <v>620.44460000000004</v>
      </c>
      <c r="F536" s="126">
        <v>341.96010000000001</v>
      </c>
      <c r="G536" s="127">
        <v>8.9004030335665743</v>
      </c>
      <c r="H536" s="127">
        <v>13.647791072701171</v>
      </c>
      <c r="I536" s="128">
        <v>36934226</v>
      </c>
      <c r="J536" s="128">
        <v>36392859</v>
      </c>
      <c r="K536" s="128">
        <v>35995156</v>
      </c>
      <c r="L536" s="128">
        <v>33456919</v>
      </c>
      <c r="M536" s="128">
        <v>32071540</v>
      </c>
      <c r="N536" s="128">
        <v>36855890</v>
      </c>
      <c r="O536" s="128">
        <v>7355800</v>
      </c>
    </row>
    <row r="537" spans="1:15">
      <c r="A537" s="132" t="s">
        <v>160</v>
      </c>
      <c r="B537" s="123" t="s">
        <v>161</v>
      </c>
      <c r="C537" s="124">
        <v>19817</v>
      </c>
      <c r="D537" s="125">
        <v>24049.292000000001</v>
      </c>
      <c r="E537" s="126">
        <v>2823.1905999999999</v>
      </c>
      <c r="F537" s="126">
        <v>1433.8774000000001</v>
      </c>
      <c r="G537" s="127">
        <v>8.5184797654115183</v>
      </c>
      <c r="H537" s="127">
        <v>13.820567923031634</v>
      </c>
      <c r="I537" s="128">
        <v>172489458</v>
      </c>
      <c r="J537" s="128">
        <v>163338223</v>
      </c>
      <c r="K537" s="128">
        <v>170575603</v>
      </c>
      <c r="L537" s="128">
        <v>172488993</v>
      </c>
      <c r="M537" s="128">
        <v>163305886</v>
      </c>
      <c r="N537" s="128">
        <v>174594602</v>
      </c>
      <c r="O537" s="128">
        <v>39916143</v>
      </c>
    </row>
    <row r="538" spans="1:15">
      <c r="A538" s="132" t="s">
        <v>1654</v>
      </c>
      <c r="B538" s="123" t="s">
        <v>1655</v>
      </c>
      <c r="C538" s="124">
        <v>333</v>
      </c>
      <c r="D538" s="125">
        <v>562.06799999999998</v>
      </c>
      <c r="E538" s="126">
        <v>53.817799999999998</v>
      </c>
      <c r="F538" s="126">
        <v>28.503499999999999</v>
      </c>
      <c r="G538" s="127">
        <v>10.443905176354292</v>
      </c>
      <c r="H538" s="127">
        <v>11.682775799463224</v>
      </c>
      <c r="I538" s="128">
        <v>4145745</v>
      </c>
      <c r="J538" s="128">
        <v>4311201</v>
      </c>
      <c r="K538" s="128">
        <v>4253322</v>
      </c>
      <c r="L538" s="128">
        <v>4276745</v>
      </c>
      <c r="M538" s="128">
        <v>4402200</v>
      </c>
      <c r="N538" s="128">
        <v>8890529</v>
      </c>
      <c r="O538" s="128">
        <v>5577774</v>
      </c>
    </row>
    <row r="539" spans="1:15">
      <c r="A539" s="132" t="s">
        <v>824</v>
      </c>
      <c r="B539" s="123" t="s">
        <v>825</v>
      </c>
      <c r="C539" s="124">
        <v>1731</v>
      </c>
      <c r="D539" s="125">
        <v>2166.7550000000001</v>
      </c>
      <c r="E539" s="126">
        <v>237.4682</v>
      </c>
      <c r="F539" s="126">
        <v>136.39609999999999</v>
      </c>
      <c r="G539" s="127">
        <v>9.1244006565931777</v>
      </c>
      <c r="H539" s="127">
        <v>12.690978701003916</v>
      </c>
      <c r="I539" s="128">
        <v>14118380</v>
      </c>
      <c r="J539" s="128">
        <v>14278234</v>
      </c>
      <c r="K539" s="128">
        <v>14290640</v>
      </c>
      <c r="L539" s="128">
        <v>13751571</v>
      </c>
      <c r="M539" s="128">
        <v>14119315</v>
      </c>
      <c r="N539" s="128">
        <v>14290093</v>
      </c>
      <c r="O539" s="128">
        <v>3486750</v>
      </c>
    </row>
    <row r="540" spans="1:15">
      <c r="A540" s="132" t="s">
        <v>968</v>
      </c>
      <c r="B540" s="123" t="s">
        <v>969</v>
      </c>
      <c r="C540" s="124">
        <v>1151</v>
      </c>
      <c r="D540" s="125">
        <v>1705.8960000000002</v>
      </c>
      <c r="E540" s="126">
        <v>162.0042</v>
      </c>
      <c r="F540" s="126">
        <v>81.004499999999993</v>
      </c>
      <c r="G540" s="127">
        <v>10.529949223538651</v>
      </c>
      <c r="H540" s="127">
        <v>14.209087149479352</v>
      </c>
      <c r="I540" s="128">
        <v>10000908</v>
      </c>
      <c r="J540" s="128">
        <v>9909157</v>
      </c>
      <c r="K540" s="128">
        <v>10727889</v>
      </c>
      <c r="L540" s="128">
        <v>10000907</v>
      </c>
      <c r="M540" s="128">
        <v>9909153</v>
      </c>
      <c r="N540" s="128">
        <v>11013355</v>
      </c>
      <c r="O540" s="128">
        <v>486401</v>
      </c>
    </row>
    <row r="541" spans="1:15">
      <c r="A541" s="132" t="s">
        <v>66</v>
      </c>
      <c r="B541" s="123" t="s">
        <v>67</v>
      </c>
      <c r="C541" s="124">
        <v>5431</v>
      </c>
      <c r="D541" s="125">
        <v>6459.9450000000006</v>
      </c>
      <c r="E541" s="126">
        <v>777.43649999999991</v>
      </c>
      <c r="F541" s="126">
        <v>372.61959999999999</v>
      </c>
      <c r="G541" s="127">
        <v>8.3092895689873085</v>
      </c>
      <c r="H541" s="127">
        <v>14.575186061066031</v>
      </c>
      <c r="I541" s="128">
        <v>37434965</v>
      </c>
      <c r="J541" s="128">
        <v>37105435</v>
      </c>
      <c r="K541" s="128">
        <v>37550777</v>
      </c>
      <c r="L541" s="128">
        <v>37240856</v>
      </c>
      <c r="M541" s="128">
        <v>37059286</v>
      </c>
      <c r="N541" s="128">
        <v>37732015</v>
      </c>
      <c r="O541" s="128">
        <v>5818881</v>
      </c>
    </row>
    <row r="542" spans="1:15">
      <c r="A542" s="132" t="s">
        <v>174</v>
      </c>
      <c r="B542" s="123" t="s">
        <v>175</v>
      </c>
      <c r="C542" s="124">
        <v>597</v>
      </c>
      <c r="D542" s="125">
        <v>953.928</v>
      </c>
      <c r="E542" s="126">
        <v>109.8301</v>
      </c>
      <c r="F542" s="126">
        <v>50.744999999999997</v>
      </c>
      <c r="G542" s="127">
        <v>8.6854878580644108</v>
      </c>
      <c r="H542" s="127">
        <v>11.764705882352942</v>
      </c>
      <c r="I542" s="128">
        <v>5299570</v>
      </c>
      <c r="J542" s="128">
        <v>5388797</v>
      </c>
      <c r="K542" s="128">
        <v>6263037</v>
      </c>
      <c r="L542" s="128">
        <v>5345072</v>
      </c>
      <c r="M542" s="128">
        <v>5450500</v>
      </c>
      <c r="N542" s="128">
        <v>5672517</v>
      </c>
      <c r="O542" s="128">
        <v>1305811</v>
      </c>
    </row>
    <row r="543" spans="1:15">
      <c r="A543" s="132" t="s">
        <v>1420</v>
      </c>
      <c r="B543" s="123" t="s">
        <v>1421</v>
      </c>
      <c r="C543" s="124">
        <v>1817</v>
      </c>
      <c r="D543" s="125">
        <v>2405.2710000000002</v>
      </c>
      <c r="E543" s="126">
        <v>249.80779999999999</v>
      </c>
      <c r="F543" s="126">
        <v>123.98909999999999</v>
      </c>
      <c r="G543" s="127">
        <v>9.628486380329198</v>
      </c>
      <c r="H543" s="127">
        <v>14.654513985503565</v>
      </c>
      <c r="I543" s="128">
        <v>13387968</v>
      </c>
      <c r="J543" s="128">
        <v>13535704</v>
      </c>
      <c r="K543" s="128">
        <v>13272722</v>
      </c>
      <c r="L543" s="128">
        <v>14051673</v>
      </c>
      <c r="M543" s="128">
        <v>14477453</v>
      </c>
      <c r="N543" s="128">
        <v>14470482</v>
      </c>
      <c r="O543" s="128">
        <v>2051344</v>
      </c>
    </row>
    <row r="544" spans="1:15">
      <c r="A544" s="132" t="s">
        <v>1528</v>
      </c>
      <c r="B544" s="123" t="s">
        <v>1529</v>
      </c>
      <c r="C544" s="124">
        <v>595</v>
      </c>
      <c r="D544" s="125">
        <v>948.69800000000009</v>
      </c>
      <c r="E544" s="126">
        <v>98</v>
      </c>
      <c r="F544" s="126">
        <v>51.5002</v>
      </c>
      <c r="G544" s="127">
        <v>9.6805918367346955</v>
      </c>
      <c r="H544" s="127">
        <v>11.553353190861396</v>
      </c>
      <c r="I544" s="128">
        <v>5787747</v>
      </c>
      <c r="J544" s="128">
        <v>5370472</v>
      </c>
      <c r="K544" s="128">
        <v>5735651</v>
      </c>
      <c r="L544" s="128">
        <v>5837745</v>
      </c>
      <c r="M544" s="128">
        <v>5424421</v>
      </c>
      <c r="N544" s="128">
        <v>5570370</v>
      </c>
      <c r="O544" s="128">
        <v>-310376</v>
      </c>
    </row>
    <row r="545" spans="1:15">
      <c r="A545" s="132" t="s">
        <v>1042</v>
      </c>
      <c r="B545" s="123" t="s">
        <v>1043</v>
      </c>
      <c r="C545" s="124">
        <v>113</v>
      </c>
      <c r="D545" s="125">
        <v>178.34700000000001</v>
      </c>
      <c r="E545" s="126">
        <v>15.5</v>
      </c>
      <c r="F545" s="126">
        <v>7.5</v>
      </c>
      <c r="G545" s="127">
        <v>11.50625806451613</v>
      </c>
      <c r="H545" s="127">
        <v>15.066666666666666</v>
      </c>
      <c r="I545" s="128">
        <v>994098</v>
      </c>
      <c r="J545" s="128">
        <v>948368</v>
      </c>
      <c r="K545" s="128">
        <v>1065995</v>
      </c>
      <c r="L545" s="128">
        <v>966443</v>
      </c>
      <c r="M545" s="128">
        <v>970239</v>
      </c>
      <c r="N545" s="128">
        <v>998756</v>
      </c>
      <c r="O545" s="128">
        <v>259177</v>
      </c>
    </row>
    <row r="546" spans="1:15">
      <c r="A546" s="132" t="s">
        <v>76</v>
      </c>
      <c r="B546" s="123" t="s">
        <v>77</v>
      </c>
      <c r="C546" s="124">
        <v>3511</v>
      </c>
      <c r="D546" s="125">
        <v>4427.0460000000003</v>
      </c>
      <c r="E546" s="126">
        <v>408.43630000000002</v>
      </c>
      <c r="F546" s="126">
        <v>209.4212</v>
      </c>
      <c r="G546" s="127">
        <v>10.83901210543725</v>
      </c>
      <c r="H546" s="127">
        <v>16.765255857573159</v>
      </c>
      <c r="I546" s="128">
        <v>25787861</v>
      </c>
      <c r="J546" s="128">
        <v>26036506</v>
      </c>
      <c r="K546" s="128">
        <v>25762858</v>
      </c>
      <c r="L546" s="128">
        <v>26189118</v>
      </c>
      <c r="M546" s="128">
        <v>26211306</v>
      </c>
      <c r="N546" s="128">
        <v>27928138</v>
      </c>
      <c r="O546" s="128">
        <v>4074740</v>
      </c>
    </row>
    <row r="547" spans="1:15">
      <c r="A547" s="132" t="s">
        <v>291</v>
      </c>
      <c r="B547" s="123" t="s">
        <v>292</v>
      </c>
      <c r="C547" s="124">
        <v>9989</v>
      </c>
      <c r="D547" s="125">
        <v>11411.377</v>
      </c>
      <c r="E547" s="126">
        <v>1374.7892999999999</v>
      </c>
      <c r="F547" s="126">
        <v>660.83090000000004</v>
      </c>
      <c r="G547" s="127">
        <v>8.3004552042993076</v>
      </c>
      <c r="H547" s="127">
        <v>15.115818585359733</v>
      </c>
      <c r="I547" s="128">
        <v>65467364</v>
      </c>
      <c r="J547" s="128">
        <v>69003970</v>
      </c>
      <c r="K547" s="128">
        <v>65611203</v>
      </c>
      <c r="L547" s="128">
        <v>66017387</v>
      </c>
      <c r="M547" s="128">
        <v>69568970</v>
      </c>
      <c r="N547" s="128">
        <v>71066984</v>
      </c>
      <c r="O547" s="128">
        <v>17042051</v>
      </c>
    </row>
    <row r="548" spans="1:15">
      <c r="A548" s="132" t="s">
        <v>399</v>
      </c>
      <c r="B548" s="123" t="s">
        <v>400</v>
      </c>
      <c r="C548" s="124">
        <v>6906</v>
      </c>
      <c r="D548" s="125">
        <v>8283.9390000000003</v>
      </c>
      <c r="E548" s="126">
        <v>982.06229999999994</v>
      </c>
      <c r="F548" s="126">
        <v>479.42930000000001</v>
      </c>
      <c r="G548" s="127">
        <v>8.4352479471007094</v>
      </c>
      <c r="H548" s="127">
        <v>14.404626500716581</v>
      </c>
      <c r="I548" s="128">
        <v>52539527</v>
      </c>
      <c r="J548" s="128">
        <v>49822862</v>
      </c>
      <c r="K548" s="128">
        <v>49365718</v>
      </c>
      <c r="L548" s="128">
        <v>53420108</v>
      </c>
      <c r="M548" s="128">
        <v>50780057</v>
      </c>
      <c r="N548" s="128">
        <v>51920715</v>
      </c>
      <c r="O548" s="128">
        <v>8912238</v>
      </c>
    </row>
    <row r="549" spans="1:15">
      <c r="A549" s="132" t="s">
        <v>780</v>
      </c>
      <c r="B549" s="123" t="s">
        <v>781</v>
      </c>
      <c r="C549" s="124">
        <v>1087</v>
      </c>
      <c r="D549" s="125">
        <v>1527.144</v>
      </c>
      <c r="E549" s="126">
        <v>148.06190000000001</v>
      </c>
      <c r="F549" s="126">
        <v>89.520700000000005</v>
      </c>
      <c r="G549" s="127">
        <v>10.314226684920293</v>
      </c>
      <c r="H549" s="127">
        <v>12.142443032728742</v>
      </c>
      <c r="I549" s="128">
        <v>9087853</v>
      </c>
      <c r="J549" s="128">
        <v>9198606</v>
      </c>
      <c r="K549" s="128">
        <v>10347904</v>
      </c>
      <c r="L549" s="128">
        <v>9603712</v>
      </c>
      <c r="M549" s="128">
        <v>9785583</v>
      </c>
      <c r="N549" s="128">
        <v>9011497</v>
      </c>
      <c r="O549" s="128">
        <v>3425190</v>
      </c>
    </row>
    <row r="550" spans="1:15">
      <c r="A550" s="132" t="s">
        <v>978</v>
      </c>
      <c r="B550" s="123" t="s">
        <v>979</v>
      </c>
      <c r="C550" s="124">
        <v>4845</v>
      </c>
      <c r="D550" s="125">
        <v>5829.5889999999999</v>
      </c>
      <c r="E550" s="126">
        <v>638.83339999999998</v>
      </c>
      <c r="F550" s="126">
        <v>346.59820000000002</v>
      </c>
      <c r="G550" s="127">
        <v>9.125366644887384</v>
      </c>
      <c r="H550" s="127">
        <v>13.978722336122923</v>
      </c>
      <c r="I550" s="128">
        <v>37271612</v>
      </c>
      <c r="J550" s="128">
        <v>42187099</v>
      </c>
      <c r="K550" s="128">
        <v>35722512</v>
      </c>
      <c r="L550" s="128">
        <v>37216606</v>
      </c>
      <c r="M550" s="128">
        <v>42459117</v>
      </c>
      <c r="N550" s="128">
        <v>37534549</v>
      </c>
      <c r="O550" s="128">
        <v>15760777</v>
      </c>
    </row>
    <row r="551" spans="1:15">
      <c r="A551" s="132" t="s">
        <v>994</v>
      </c>
      <c r="B551" s="123" t="s">
        <v>995</v>
      </c>
      <c r="C551" s="124">
        <v>817</v>
      </c>
      <c r="D551" s="125">
        <v>1313.799</v>
      </c>
      <c r="E551" s="126">
        <v>129.74349999999998</v>
      </c>
      <c r="F551" s="126">
        <v>70.059899999999999</v>
      </c>
      <c r="G551" s="127">
        <v>10.126125778940757</v>
      </c>
      <c r="H551" s="127">
        <v>11.661449702326152</v>
      </c>
      <c r="I551" s="128">
        <v>6639038</v>
      </c>
      <c r="J551" s="128">
        <v>7211740</v>
      </c>
      <c r="K551" s="128">
        <v>6610058</v>
      </c>
      <c r="L551" s="128">
        <v>8384946</v>
      </c>
      <c r="M551" s="128">
        <v>8167395</v>
      </c>
      <c r="N551" s="128">
        <v>8673750</v>
      </c>
      <c r="O551" s="128">
        <v>1594571</v>
      </c>
    </row>
    <row r="552" spans="1:15">
      <c r="A552" s="132" t="s">
        <v>1592</v>
      </c>
      <c r="B552" s="123" t="s">
        <v>1593</v>
      </c>
      <c r="C552" s="124">
        <v>858</v>
      </c>
      <c r="D552" s="125">
        <v>1282.1020000000001</v>
      </c>
      <c r="E552" s="126">
        <v>123.12690000000001</v>
      </c>
      <c r="F552" s="126">
        <v>70.002899999999997</v>
      </c>
      <c r="G552" s="127">
        <v>10.412850481901193</v>
      </c>
      <c r="H552" s="127">
        <v>12.256635082260878</v>
      </c>
      <c r="I552" s="128">
        <v>7407695</v>
      </c>
      <c r="J552" s="128">
        <v>7304522</v>
      </c>
      <c r="K552" s="128">
        <v>7307593</v>
      </c>
      <c r="L552" s="128">
        <v>7734636</v>
      </c>
      <c r="M552" s="128">
        <v>8187817</v>
      </c>
      <c r="N552" s="128">
        <v>7460796</v>
      </c>
      <c r="O552" s="128">
        <v>-808308</v>
      </c>
    </row>
    <row r="553" spans="1:15">
      <c r="A553" s="132" t="s">
        <v>1947</v>
      </c>
      <c r="B553" s="123" t="s">
        <v>1948</v>
      </c>
      <c r="C553" s="124">
        <v>1846</v>
      </c>
      <c r="D553" s="125">
        <v>2528.5230000000001</v>
      </c>
      <c r="E553" s="126">
        <v>258.27229999999997</v>
      </c>
      <c r="F553" s="126">
        <v>133.3554</v>
      </c>
      <c r="G553" s="127">
        <v>9.7901439682072002</v>
      </c>
      <c r="H553" s="127">
        <v>13.842709031655261</v>
      </c>
      <c r="I553" s="128">
        <v>13633315</v>
      </c>
      <c r="J553" s="128">
        <v>14506069</v>
      </c>
      <c r="K553" s="128">
        <v>15353004</v>
      </c>
      <c r="L553" s="128">
        <v>13903760</v>
      </c>
      <c r="M553" s="128">
        <v>14750143</v>
      </c>
      <c r="N553" s="128">
        <v>17356870</v>
      </c>
      <c r="O553" s="128">
        <v>1736773</v>
      </c>
    </row>
    <row r="554" spans="1:15">
      <c r="A554" s="132" t="s">
        <v>748</v>
      </c>
      <c r="B554" s="123" t="s">
        <v>749</v>
      </c>
      <c r="C554" s="124">
        <v>1581</v>
      </c>
      <c r="D554" s="125">
        <v>2132.5540000000001</v>
      </c>
      <c r="E554" s="126">
        <v>309.58870000000002</v>
      </c>
      <c r="F554" s="126">
        <v>141.31209999999999</v>
      </c>
      <c r="G554" s="127">
        <v>6.8883457309649865</v>
      </c>
      <c r="H554" s="127">
        <v>11.188001593635649</v>
      </c>
      <c r="I554" s="128">
        <v>15821409</v>
      </c>
      <c r="J554" s="128">
        <v>16117830</v>
      </c>
      <c r="K554" s="128">
        <v>15031239</v>
      </c>
      <c r="L554" s="128">
        <v>15992334</v>
      </c>
      <c r="M554" s="128">
        <v>15718934</v>
      </c>
      <c r="N554" s="128">
        <v>16469064</v>
      </c>
      <c r="O554" s="128">
        <v>950000</v>
      </c>
    </row>
    <row r="555" spans="1:15">
      <c r="A555" s="132" t="s">
        <v>96</v>
      </c>
      <c r="B555" s="123" t="s">
        <v>97</v>
      </c>
      <c r="C555" s="124">
        <v>690</v>
      </c>
      <c r="D555" s="125">
        <v>1076.8810000000001</v>
      </c>
      <c r="E555" s="126">
        <v>125.9136</v>
      </c>
      <c r="F555" s="126">
        <v>70.638499999999993</v>
      </c>
      <c r="G555" s="127">
        <v>8.5525392014841923</v>
      </c>
      <c r="H555" s="127">
        <v>9.7680443384273463</v>
      </c>
      <c r="I555" s="128">
        <v>6010503</v>
      </c>
      <c r="J555" s="128">
        <v>6088969</v>
      </c>
      <c r="K555" s="128">
        <v>6051551</v>
      </c>
      <c r="L555" s="128">
        <v>6329188</v>
      </c>
      <c r="M555" s="128">
        <v>6313308</v>
      </c>
      <c r="N555" s="128">
        <v>6222423</v>
      </c>
      <c r="O555" s="128">
        <v>652309</v>
      </c>
    </row>
    <row r="556" spans="1:15">
      <c r="A556" s="132" t="s">
        <v>822</v>
      </c>
      <c r="B556" s="123" t="s">
        <v>823</v>
      </c>
      <c r="C556" s="124">
        <v>501</v>
      </c>
      <c r="D556" s="125">
        <v>793.96300000000008</v>
      </c>
      <c r="E556" s="126">
        <v>86.409400000000005</v>
      </c>
      <c r="F556" s="126">
        <v>43.004899999999999</v>
      </c>
      <c r="G556" s="127">
        <v>9.1883869116091539</v>
      </c>
      <c r="H556" s="127">
        <v>11.649835251331826</v>
      </c>
      <c r="I556" s="128">
        <v>4417056</v>
      </c>
      <c r="J556" s="128">
        <v>4677829</v>
      </c>
      <c r="K556" s="128">
        <v>4585196</v>
      </c>
      <c r="L556" s="128">
        <v>4551758</v>
      </c>
      <c r="M556" s="128">
        <v>4855151</v>
      </c>
      <c r="N556" s="128">
        <v>5017756</v>
      </c>
      <c r="O556" s="128">
        <v>742830</v>
      </c>
    </row>
    <row r="557" spans="1:15">
      <c r="A557" s="132" t="s">
        <v>854</v>
      </c>
      <c r="B557" s="123" t="s">
        <v>855</v>
      </c>
      <c r="C557" s="124">
        <v>739</v>
      </c>
      <c r="D557" s="125">
        <v>1088.1010000000001</v>
      </c>
      <c r="E557" s="126">
        <v>123.8312</v>
      </c>
      <c r="F557" s="126">
        <v>66.537999999999997</v>
      </c>
      <c r="G557" s="127">
        <v>8.7869696813081042</v>
      </c>
      <c r="H557" s="127">
        <v>11.106435420361297</v>
      </c>
      <c r="I557" s="128">
        <v>6045986</v>
      </c>
      <c r="J557" s="128">
        <v>6510161</v>
      </c>
      <c r="K557" s="128">
        <v>5978027</v>
      </c>
      <c r="L557" s="128">
        <v>6295992</v>
      </c>
      <c r="M557" s="128">
        <v>6669214</v>
      </c>
      <c r="N557" s="128">
        <v>6438738</v>
      </c>
      <c r="O557" s="128">
        <v>1375136</v>
      </c>
    </row>
    <row r="558" spans="1:15">
      <c r="A558" s="132" t="s">
        <v>1172</v>
      </c>
      <c r="B558" s="123" t="s">
        <v>1173</v>
      </c>
      <c r="C558" s="124">
        <v>126</v>
      </c>
      <c r="D558" s="125">
        <v>243.41800000000001</v>
      </c>
      <c r="E558" s="126">
        <v>32.341200000000001</v>
      </c>
      <c r="F558" s="126">
        <v>16.381499999999999</v>
      </c>
      <c r="G558" s="127">
        <v>7.5265605481552944</v>
      </c>
      <c r="H558" s="127">
        <v>7.6916033330281115</v>
      </c>
      <c r="I558" s="128">
        <v>1605569</v>
      </c>
      <c r="J558" s="128">
        <v>1599768</v>
      </c>
      <c r="K558" s="128">
        <v>1553243</v>
      </c>
      <c r="L558" s="128">
        <v>1703105</v>
      </c>
      <c r="M558" s="128">
        <v>1654760</v>
      </c>
      <c r="N558" s="128">
        <v>1544502</v>
      </c>
      <c r="O558" s="128">
        <v>385715</v>
      </c>
    </row>
    <row r="559" spans="1:15">
      <c r="A559" s="132" t="s">
        <v>1814</v>
      </c>
      <c r="B559" s="123" t="s">
        <v>1815</v>
      </c>
      <c r="C559" s="124">
        <v>649</v>
      </c>
      <c r="D559" s="125">
        <v>973.22200000000009</v>
      </c>
      <c r="E559" s="126">
        <v>137.42649999999998</v>
      </c>
      <c r="F559" s="126">
        <v>59.264000000000003</v>
      </c>
      <c r="G559" s="127">
        <v>7.0817637064176147</v>
      </c>
      <c r="H559" s="127">
        <v>10.950998920086393</v>
      </c>
      <c r="I559" s="128">
        <v>5675670</v>
      </c>
      <c r="J559" s="128">
        <v>5689248</v>
      </c>
      <c r="K559" s="128">
        <v>5600021</v>
      </c>
      <c r="L559" s="128">
        <v>5872141</v>
      </c>
      <c r="M559" s="128">
        <v>5872136</v>
      </c>
      <c r="N559" s="128">
        <v>5986661</v>
      </c>
      <c r="O559" s="128">
        <v>500000</v>
      </c>
    </row>
    <row r="560" spans="1:15">
      <c r="A560" s="132" t="s">
        <v>988</v>
      </c>
      <c r="B560" s="123" t="s">
        <v>989</v>
      </c>
      <c r="C560" s="124">
        <v>959</v>
      </c>
      <c r="D560" s="125">
        <v>1494.6120000000001</v>
      </c>
      <c r="E560" s="126">
        <v>164.6567</v>
      </c>
      <c r="F560" s="126">
        <v>77.166499999999999</v>
      </c>
      <c r="G560" s="127">
        <v>9.0771404989897171</v>
      </c>
      <c r="H560" s="127">
        <v>12.427672629962483</v>
      </c>
      <c r="I560" s="128">
        <v>8124429</v>
      </c>
      <c r="J560" s="128">
        <v>8431464</v>
      </c>
      <c r="K560" s="128">
        <v>7835919</v>
      </c>
      <c r="L560" s="128">
        <v>8716245</v>
      </c>
      <c r="M560" s="128">
        <v>8957351</v>
      </c>
      <c r="N560" s="128">
        <v>8563188</v>
      </c>
      <c r="O560" s="128">
        <v>2027240</v>
      </c>
    </row>
    <row r="561" spans="1:15">
      <c r="A561" s="132" t="s">
        <v>1004</v>
      </c>
      <c r="B561" s="123" t="s">
        <v>1005</v>
      </c>
      <c r="C561" s="124">
        <v>663</v>
      </c>
      <c r="D561" s="125">
        <v>1034.0350000000001</v>
      </c>
      <c r="E561" s="126">
        <v>128.22300000000001</v>
      </c>
      <c r="F561" s="126">
        <v>60.3795</v>
      </c>
      <c r="G561" s="127">
        <v>8.0643488297731292</v>
      </c>
      <c r="H561" s="127">
        <v>10.980548033686929</v>
      </c>
      <c r="I561" s="128">
        <v>6102628</v>
      </c>
      <c r="J561" s="128">
        <v>5542764</v>
      </c>
      <c r="K561" s="128">
        <v>6356124</v>
      </c>
      <c r="L561" s="128">
        <v>6192702</v>
      </c>
      <c r="M561" s="128">
        <v>5546757</v>
      </c>
      <c r="N561" s="128">
        <v>6442036</v>
      </c>
      <c r="O561" s="128">
        <v>350091</v>
      </c>
    </row>
    <row r="562" spans="1:15">
      <c r="A562" s="132" t="s">
        <v>1644</v>
      </c>
      <c r="B562" s="123" t="s">
        <v>1645</v>
      </c>
      <c r="C562" s="124">
        <v>304</v>
      </c>
      <c r="D562" s="125">
        <v>497.93400000000003</v>
      </c>
      <c r="E562" s="126">
        <v>50.219499999999996</v>
      </c>
      <c r="F562" s="126">
        <v>30.793399999999998</v>
      </c>
      <c r="G562" s="127">
        <v>9.9151524806101232</v>
      </c>
      <c r="H562" s="127">
        <v>9.8722453512765735</v>
      </c>
      <c r="I562" s="128">
        <v>2741529</v>
      </c>
      <c r="J562" s="128">
        <v>2780573</v>
      </c>
      <c r="K562" s="128">
        <v>2782964</v>
      </c>
      <c r="L562" s="128">
        <v>2819528</v>
      </c>
      <c r="M562" s="128">
        <v>2834372</v>
      </c>
      <c r="N562" s="128">
        <v>2848492</v>
      </c>
      <c r="O562" s="128">
        <v>1397657</v>
      </c>
    </row>
    <row r="563" spans="1:15">
      <c r="A563" s="132" t="s">
        <v>648</v>
      </c>
      <c r="B563" s="123" t="s">
        <v>649</v>
      </c>
      <c r="C563" s="124">
        <v>339</v>
      </c>
      <c r="D563" s="125">
        <v>515.91499999999996</v>
      </c>
      <c r="E563" s="126">
        <v>53.365500000000004</v>
      </c>
      <c r="F563" s="126">
        <v>26.176500000000001</v>
      </c>
      <c r="G563" s="127">
        <v>9.6675754935304656</v>
      </c>
      <c r="H563" s="127">
        <v>12.950547246576127</v>
      </c>
      <c r="I563" s="128">
        <v>3332662</v>
      </c>
      <c r="J563" s="128">
        <v>2883849</v>
      </c>
      <c r="K563" s="128">
        <v>3202027</v>
      </c>
      <c r="L563" s="128">
        <v>2940095</v>
      </c>
      <c r="M563" s="128">
        <v>2964958</v>
      </c>
      <c r="N563" s="128">
        <v>2969442</v>
      </c>
      <c r="O563" s="128">
        <v>693080</v>
      </c>
    </row>
    <row r="564" spans="1:15">
      <c r="A564" s="132" t="s">
        <v>467</v>
      </c>
      <c r="B564" s="123" t="s">
        <v>468</v>
      </c>
      <c r="C564" s="124">
        <v>2839</v>
      </c>
      <c r="D564" s="125">
        <v>3481.366</v>
      </c>
      <c r="E564" s="126">
        <v>331.25919999999996</v>
      </c>
      <c r="F564" s="126">
        <v>174.50569999999999</v>
      </c>
      <c r="G564" s="127">
        <v>10.509492264667669</v>
      </c>
      <c r="H564" s="127">
        <v>16.268809557510156</v>
      </c>
      <c r="I564" s="128">
        <v>18579713</v>
      </c>
      <c r="J564" s="128">
        <v>20123408</v>
      </c>
      <c r="K564" s="128">
        <v>18602934</v>
      </c>
      <c r="L564" s="128">
        <v>18323036</v>
      </c>
      <c r="M564" s="128">
        <v>20150822</v>
      </c>
      <c r="N564" s="128">
        <v>18951187</v>
      </c>
      <c r="O564" s="128">
        <v>4583078</v>
      </c>
    </row>
    <row r="565" spans="1:15">
      <c r="A565" s="132" t="s">
        <v>674</v>
      </c>
      <c r="B565" s="123" t="s">
        <v>675</v>
      </c>
      <c r="C565" s="124">
        <v>8087</v>
      </c>
      <c r="D565" s="125">
        <v>9154.11</v>
      </c>
      <c r="E565" s="126">
        <v>1060.1307999999999</v>
      </c>
      <c r="F565" s="126">
        <v>551.17759999999998</v>
      </c>
      <c r="G565" s="127">
        <v>8.6348873176781602</v>
      </c>
      <c r="H565" s="127">
        <v>14.672221802917971</v>
      </c>
      <c r="I565" s="128">
        <v>54920670</v>
      </c>
      <c r="J565" s="128">
        <v>60517619</v>
      </c>
      <c r="K565" s="128">
        <v>57922918</v>
      </c>
      <c r="L565" s="128">
        <v>55042724</v>
      </c>
      <c r="M565" s="128">
        <v>60526801</v>
      </c>
      <c r="N565" s="128">
        <v>57853703</v>
      </c>
      <c r="O565" s="128">
        <v>5665513</v>
      </c>
    </row>
    <row r="566" spans="1:15">
      <c r="A566" s="132" t="s">
        <v>992</v>
      </c>
      <c r="B566" s="123" t="s">
        <v>993</v>
      </c>
      <c r="C566" s="124">
        <v>3747</v>
      </c>
      <c r="D566" s="125">
        <v>4702.9660000000003</v>
      </c>
      <c r="E566" s="126">
        <v>489.88589999999999</v>
      </c>
      <c r="F566" s="126">
        <v>255.93209999999999</v>
      </c>
      <c r="G566" s="127">
        <v>9.6001252536560049</v>
      </c>
      <c r="H566" s="127">
        <v>14.64060194090542</v>
      </c>
      <c r="I566" s="128">
        <v>26039247</v>
      </c>
      <c r="J566" s="128">
        <v>26127819</v>
      </c>
      <c r="K566" s="128">
        <v>27157461</v>
      </c>
      <c r="L566" s="128">
        <v>27932906</v>
      </c>
      <c r="M566" s="128">
        <v>26333967</v>
      </c>
      <c r="N566" s="128">
        <v>26513924</v>
      </c>
      <c r="O566" s="128">
        <v>3529239</v>
      </c>
    </row>
    <row r="567" spans="1:15">
      <c r="A567" s="132" t="s">
        <v>1000</v>
      </c>
      <c r="B567" s="123" t="s">
        <v>1001</v>
      </c>
      <c r="C567" s="124">
        <v>1575</v>
      </c>
      <c r="D567" s="125">
        <v>2074.1530000000002</v>
      </c>
      <c r="E567" s="126">
        <v>232.05789999999999</v>
      </c>
      <c r="F567" s="126">
        <v>118.5509</v>
      </c>
      <c r="G567" s="127">
        <v>8.938083986798123</v>
      </c>
      <c r="H567" s="127">
        <v>13.285432670692504</v>
      </c>
      <c r="I567" s="128">
        <v>13117411</v>
      </c>
      <c r="J567" s="128">
        <v>13195111</v>
      </c>
      <c r="K567" s="128">
        <v>12986850</v>
      </c>
      <c r="L567" s="128">
        <v>12532270</v>
      </c>
      <c r="M567" s="128">
        <v>13370902</v>
      </c>
      <c r="N567" s="128">
        <v>12340979</v>
      </c>
      <c r="O567" s="128">
        <v>911066</v>
      </c>
    </row>
    <row r="568" spans="1:15">
      <c r="A568" s="132" t="s">
        <v>1184</v>
      </c>
      <c r="B568" s="123" t="s">
        <v>1185</v>
      </c>
      <c r="C568" s="124">
        <v>3311</v>
      </c>
      <c r="D568" s="125">
        <v>4104.1620000000003</v>
      </c>
      <c r="E568" s="126">
        <v>472.6062</v>
      </c>
      <c r="F568" s="126">
        <v>237.2296</v>
      </c>
      <c r="G568" s="127">
        <v>8.684105286811727</v>
      </c>
      <c r="H568" s="127">
        <v>13.956942978447882</v>
      </c>
      <c r="I568" s="128">
        <v>23331329</v>
      </c>
      <c r="J568" s="128">
        <v>23711421</v>
      </c>
      <c r="K568" s="128">
        <v>24137603</v>
      </c>
      <c r="L568" s="128">
        <v>23058700</v>
      </c>
      <c r="M568" s="128">
        <v>22953908</v>
      </c>
      <c r="N568" s="128">
        <v>24229459</v>
      </c>
      <c r="O568" s="128">
        <v>3054866</v>
      </c>
    </row>
    <row r="569" spans="1:15">
      <c r="A569" s="132" t="s">
        <v>1868</v>
      </c>
      <c r="B569" s="123" t="s">
        <v>1869</v>
      </c>
      <c r="C569" s="124">
        <v>4115</v>
      </c>
      <c r="D569" s="125">
        <v>5247.4320000000007</v>
      </c>
      <c r="E569" s="126">
        <v>560.62779999999998</v>
      </c>
      <c r="F569" s="126">
        <v>289.46589999999998</v>
      </c>
      <c r="G569" s="127">
        <v>9.3599211455443356</v>
      </c>
      <c r="H569" s="127">
        <v>14.215836822230184</v>
      </c>
      <c r="I569" s="128">
        <v>31956979</v>
      </c>
      <c r="J569" s="128">
        <v>31208803</v>
      </c>
      <c r="K569" s="128">
        <v>31392508</v>
      </c>
      <c r="L569" s="128">
        <v>31406117</v>
      </c>
      <c r="M569" s="128">
        <v>32126424</v>
      </c>
      <c r="N569" s="128">
        <v>30788740</v>
      </c>
      <c r="O569" s="128">
        <v>8341128</v>
      </c>
    </row>
    <row r="570" spans="1:15">
      <c r="A570" s="132" t="s">
        <v>1716</v>
      </c>
      <c r="B570" s="123" t="s">
        <v>1717</v>
      </c>
      <c r="C570" s="124">
        <v>909</v>
      </c>
      <c r="D570" s="125">
        <v>1341.519</v>
      </c>
      <c r="E570" s="126">
        <v>144.36949999999999</v>
      </c>
      <c r="F570" s="126">
        <v>74.513999999999996</v>
      </c>
      <c r="G570" s="127">
        <v>9.2922604843820906</v>
      </c>
      <c r="H570" s="127">
        <v>12.199049842982527</v>
      </c>
      <c r="I570" s="128">
        <v>8084083</v>
      </c>
      <c r="J570" s="128">
        <v>7977962</v>
      </c>
      <c r="K570" s="128">
        <v>7744318</v>
      </c>
      <c r="L570" s="128">
        <v>7241759</v>
      </c>
      <c r="M570" s="128">
        <v>7432820</v>
      </c>
      <c r="N570" s="128">
        <v>7405523</v>
      </c>
      <c r="O570" s="128">
        <v>585164</v>
      </c>
    </row>
    <row r="571" spans="1:15">
      <c r="A571" s="132" t="s">
        <v>209</v>
      </c>
      <c r="B571" s="123" t="s">
        <v>210</v>
      </c>
      <c r="C571" s="124">
        <v>6632</v>
      </c>
      <c r="D571" s="125">
        <v>7501.2920000000004</v>
      </c>
      <c r="E571" s="126">
        <v>880.30309999999997</v>
      </c>
      <c r="F571" s="126">
        <v>446.2638</v>
      </c>
      <c r="G571" s="127">
        <v>8.5212604613115648</v>
      </c>
      <c r="H571" s="127">
        <v>14.861165077696196</v>
      </c>
      <c r="I571" s="128">
        <v>51789867</v>
      </c>
      <c r="J571" s="128">
        <v>50868173</v>
      </c>
      <c r="K571" s="128">
        <v>50956011</v>
      </c>
      <c r="L571" s="128">
        <v>51491136</v>
      </c>
      <c r="M571" s="128">
        <v>51463185</v>
      </c>
      <c r="N571" s="128">
        <v>51831523</v>
      </c>
      <c r="O571" s="128">
        <v>6149237</v>
      </c>
    </row>
    <row r="572" spans="1:15">
      <c r="A572" s="132" t="s">
        <v>431</v>
      </c>
      <c r="B572" s="123" t="s">
        <v>432</v>
      </c>
      <c r="C572" s="124">
        <v>1167</v>
      </c>
      <c r="D572" s="125">
        <v>1767.9649999999999</v>
      </c>
      <c r="E572" s="126">
        <v>177.97140000000002</v>
      </c>
      <c r="F572" s="126">
        <v>104.9511</v>
      </c>
      <c r="G572" s="127">
        <v>9.9339837749211384</v>
      </c>
      <c r="H572" s="127">
        <v>11.119464207616691</v>
      </c>
      <c r="I572" s="128">
        <v>10713724</v>
      </c>
      <c r="J572" s="128">
        <v>10772338</v>
      </c>
      <c r="K572" s="128">
        <v>10084703</v>
      </c>
      <c r="L572" s="128">
        <v>11023714</v>
      </c>
      <c r="M572" s="128">
        <v>10595150</v>
      </c>
      <c r="N572" s="128">
        <v>10987545</v>
      </c>
      <c r="O572" s="128">
        <v>4824232</v>
      </c>
    </row>
    <row r="573" spans="1:15">
      <c r="A573" s="132" t="s">
        <v>1002</v>
      </c>
      <c r="B573" s="123" t="s">
        <v>1003</v>
      </c>
      <c r="C573" s="124">
        <v>80</v>
      </c>
      <c r="D573" s="125">
        <v>147.59</v>
      </c>
      <c r="E573" s="126">
        <v>21.257999999999999</v>
      </c>
      <c r="F573" s="126">
        <v>9.8569999999999993</v>
      </c>
      <c r="G573" s="127">
        <v>6.9427980054567699</v>
      </c>
      <c r="H573" s="127">
        <v>8.1160596530384499</v>
      </c>
      <c r="I573" s="128">
        <v>1703514</v>
      </c>
      <c r="J573" s="128">
        <v>1730687</v>
      </c>
      <c r="K573" s="128">
        <v>1536672</v>
      </c>
      <c r="L573" s="128">
        <v>2223077</v>
      </c>
      <c r="M573" s="128">
        <v>1571166</v>
      </c>
      <c r="N573" s="128">
        <v>2024845</v>
      </c>
      <c r="O573" s="128">
        <v>193962</v>
      </c>
    </row>
    <row r="574" spans="1:15">
      <c r="A574" s="132" t="s">
        <v>964</v>
      </c>
      <c r="B574" s="123" t="s">
        <v>965</v>
      </c>
      <c r="C574" s="124">
        <v>153</v>
      </c>
      <c r="D574" s="125">
        <v>285.72700000000003</v>
      </c>
      <c r="E574" s="126">
        <v>42.533900000000003</v>
      </c>
      <c r="F574" s="126">
        <v>20.499300000000002</v>
      </c>
      <c r="G574" s="127">
        <v>6.7176299375321804</v>
      </c>
      <c r="H574" s="127">
        <v>7.4636694911533557</v>
      </c>
      <c r="I574" s="128">
        <v>3513380</v>
      </c>
      <c r="J574" s="128">
        <v>3660442</v>
      </c>
      <c r="K574" s="128">
        <v>4736376</v>
      </c>
      <c r="L574" s="128">
        <v>3620547</v>
      </c>
      <c r="M574" s="128">
        <v>3776625</v>
      </c>
      <c r="N574" s="128">
        <v>5382646</v>
      </c>
      <c r="O574" s="128">
        <v>8470176</v>
      </c>
    </row>
    <row r="575" spans="1:15">
      <c r="A575" s="132" t="s">
        <v>349</v>
      </c>
      <c r="B575" s="123" t="s">
        <v>350</v>
      </c>
      <c r="C575" s="124">
        <v>639</v>
      </c>
      <c r="D575" s="125">
        <v>987.66200000000003</v>
      </c>
      <c r="E575" s="126">
        <v>93.00800000000001</v>
      </c>
      <c r="F575" s="126">
        <v>44.6312</v>
      </c>
      <c r="G575" s="127">
        <v>10.619108033717529</v>
      </c>
      <c r="H575" s="127">
        <v>14.317338543440464</v>
      </c>
      <c r="I575" s="128">
        <v>5299780</v>
      </c>
      <c r="J575" s="128">
        <v>5472702</v>
      </c>
      <c r="K575" s="128">
        <v>5176535</v>
      </c>
      <c r="L575" s="128">
        <v>5329971</v>
      </c>
      <c r="M575" s="128">
        <v>5528365</v>
      </c>
      <c r="N575" s="128">
        <v>5775095</v>
      </c>
      <c r="O575" s="128">
        <v>1089220</v>
      </c>
    </row>
    <row r="576" spans="1:15">
      <c r="A576" s="132" t="s">
        <v>920</v>
      </c>
      <c r="B576" s="123" t="s">
        <v>921</v>
      </c>
      <c r="C576" s="124">
        <v>181</v>
      </c>
      <c r="D576" s="125">
        <v>259.42599999999999</v>
      </c>
      <c r="E576" s="126">
        <v>32.481300000000005</v>
      </c>
      <c r="F576" s="126">
        <v>16.892700000000001</v>
      </c>
      <c r="G576" s="127">
        <v>7.9869340204979462</v>
      </c>
      <c r="H576" s="127">
        <v>10.714687409354335</v>
      </c>
      <c r="I576" s="128">
        <v>2055893</v>
      </c>
      <c r="J576" s="128">
        <v>3382856</v>
      </c>
      <c r="K576" s="128">
        <v>2952579</v>
      </c>
      <c r="L576" s="128">
        <v>1792417</v>
      </c>
      <c r="M576" s="128">
        <v>3610249</v>
      </c>
      <c r="N576" s="128">
        <v>3260909</v>
      </c>
      <c r="O576" s="128">
        <v>1611252</v>
      </c>
    </row>
    <row r="577" spans="1:15">
      <c r="A577" s="132" t="s">
        <v>1014</v>
      </c>
      <c r="B577" s="123" t="s">
        <v>1015</v>
      </c>
      <c r="C577" s="124">
        <v>4859</v>
      </c>
      <c r="D577" s="125">
        <v>5774.3879999999999</v>
      </c>
      <c r="E577" s="126">
        <v>733.53330000000005</v>
      </c>
      <c r="F577" s="126">
        <v>341.26060000000001</v>
      </c>
      <c r="G577" s="127">
        <v>7.8720188981195527</v>
      </c>
      <c r="H577" s="127">
        <v>14.238385562236015</v>
      </c>
      <c r="I577" s="128">
        <v>35549981</v>
      </c>
      <c r="J577" s="128">
        <v>36319990</v>
      </c>
      <c r="K577" s="128">
        <v>37458111</v>
      </c>
      <c r="L577" s="128">
        <v>35660000</v>
      </c>
      <c r="M577" s="128">
        <v>36430000</v>
      </c>
      <c r="N577" s="128">
        <v>37827668</v>
      </c>
      <c r="O577" s="128">
        <v>5313893</v>
      </c>
    </row>
    <row r="578" spans="1:15">
      <c r="A578" s="132" t="s">
        <v>936</v>
      </c>
      <c r="B578" s="123" t="s">
        <v>937</v>
      </c>
      <c r="C578" s="124">
        <v>1050</v>
      </c>
      <c r="D578" s="125">
        <v>1448.6870000000001</v>
      </c>
      <c r="E578" s="126">
        <v>173.4683</v>
      </c>
      <c r="F578" s="126">
        <v>82.118899999999996</v>
      </c>
      <c r="G578" s="127">
        <v>8.3513068381946454</v>
      </c>
      <c r="H578" s="127">
        <v>12.786337858885105</v>
      </c>
      <c r="I578" s="128">
        <v>9552505</v>
      </c>
      <c r="J578" s="128">
        <v>8965667</v>
      </c>
      <c r="K578" s="128">
        <v>9089695</v>
      </c>
      <c r="L578" s="128">
        <v>9673805</v>
      </c>
      <c r="M578" s="128">
        <v>9003867</v>
      </c>
      <c r="N578" s="128">
        <v>9639574</v>
      </c>
      <c r="O578" s="128">
        <v>1313395</v>
      </c>
    </row>
    <row r="579" spans="1:15">
      <c r="A579" s="132" t="s">
        <v>561</v>
      </c>
      <c r="B579" s="123" t="s">
        <v>562</v>
      </c>
      <c r="C579" s="124">
        <v>24</v>
      </c>
      <c r="D579" s="125">
        <v>85.198000000000008</v>
      </c>
      <c r="E579" s="126">
        <v>4.2647000000000004</v>
      </c>
      <c r="F579" s="126">
        <v>1.1893</v>
      </c>
      <c r="G579" s="127">
        <v>19.977489624123621</v>
      </c>
      <c r="H579" s="127">
        <v>20.179937778525183</v>
      </c>
      <c r="I579" s="128">
        <v>614980</v>
      </c>
      <c r="J579" s="128">
        <v>692895</v>
      </c>
      <c r="K579" s="128">
        <v>513859</v>
      </c>
      <c r="L579" s="128">
        <v>549020</v>
      </c>
      <c r="M579" s="128">
        <v>586405</v>
      </c>
      <c r="N579" s="128">
        <v>728637</v>
      </c>
      <c r="O579" s="128">
        <v>1923696</v>
      </c>
    </row>
    <row r="580" spans="1:15">
      <c r="A580" s="132" t="s">
        <v>984</v>
      </c>
      <c r="B580" s="123" t="s">
        <v>985</v>
      </c>
      <c r="C580" s="124">
        <v>695</v>
      </c>
      <c r="D580" s="125">
        <v>1129.021</v>
      </c>
      <c r="E580" s="126">
        <v>99.112000000000009</v>
      </c>
      <c r="F580" s="126">
        <v>56.218600000000002</v>
      </c>
      <c r="G580" s="127">
        <v>11.39136532407781</v>
      </c>
      <c r="H580" s="127">
        <v>12.362456553524989</v>
      </c>
      <c r="I580" s="128">
        <v>5782780</v>
      </c>
      <c r="J580" s="128">
        <v>6058944</v>
      </c>
      <c r="K580" s="128">
        <v>5638363</v>
      </c>
      <c r="L580" s="128">
        <v>5985806</v>
      </c>
      <c r="M580" s="128">
        <v>5997854</v>
      </c>
      <c r="N580" s="128">
        <v>6047474</v>
      </c>
      <c r="O580" s="128">
        <v>823891</v>
      </c>
    </row>
    <row r="581" spans="1:15">
      <c r="A581" s="132" t="s">
        <v>810</v>
      </c>
      <c r="B581" s="123" t="s">
        <v>811</v>
      </c>
      <c r="C581" s="124">
        <v>116</v>
      </c>
      <c r="D581" s="125">
        <v>271.911</v>
      </c>
      <c r="E581" s="126">
        <v>37.999499999999998</v>
      </c>
      <c r="F581" s="126">
        <v>19.892399999999999</v>
      </c>
      <c r="G581" s="127">
        <v>7.1556467848261169</v>
      </c>
      <c r="H581" s="127">
        <v>5.8313727855864554</v>
      </c>
      <c r="I581" s="128">
        <v>3461531</v>
      </c>
      <c r="J581" s="128">
        <v>3471549</v>
      </c>
      <c r="K581" s="128">
        <v>3230692</v>
      </c>
      <c r="L581" s="128">
        <v>3403081</v>
      </c>
      <c r="M581" s="128">
        <v>3515152</v>
      </c>
      <c r="N581" s="128">
        <v>3666791</v>
      </c>
      <c r="O581" s="128">
        <v>1960317</v>
      </c>
    </row>
    <row r="582" spans="1:15">
      <c r="A582" s="132" t="s">
        <v>233</v>
      </c>
      <c r="B582" s="123" t="s">
        <v>234</v>
      </c>
      <c r="C582" s="124">
        <v>611</v>
      </c>
      <c r="D582" s="125">
        <v>1092.039</v>
      </c>
      <c r="E582" s="126">
        <v>109.2176</v>
      </c>
      <c r="F582" s="126">
        <v>54.850900000000003</v>
      </c>
      <c r="G582" s="127">
        <v>9.9987456234160064</v>
      </c>
      <c r="H582" s="127">
        <v>11.139288507572346</v>
      </c>
      <c r="I582" s="128">
        <v>6876707</v>
      </c>
      <c r="J582" s="128">
        <v>6741286</v>
      </c>
      <c r="K582" s="128">
        <v>6127480</v>
      </c>
      <c r="L582" s="128">
        <v>6096700</v>
      </c>
      <c r="M582" s="128">
        <v>6266287</v>
      </c>
      <c r="N582" s="128">
        <v>6187961</v>
      </c>
      <c r="O582" s="128">
        <v>4396403</v>
      </c>
    </row>
    <row r="583" spans="1:15">
      <c r="A583" s="132" t="s">
        <v>1020</v>
      </c>
      <c r="B583" s="123" t="s">
        <v>1021</v>
      </c>
      <c r="C583" s="124">
        <v>3958</v>
      </c>
      <c r="D583" s="125">
        <v>4979.75</v>
      </c>
      <c r="E583" s="126">
        <v>582.08590000000004</v>
      </c>
      <c r="F583" s="126">
        <v>259.70280000000002</v>
      </c>
      <c r="G583" s="127">
        <v>8.5550088054014015</v>
      </c>
      <c r="H583" s="127">
        <v>15.24049798461934</v>
      </c>
      <c r="I583" s="128">
        <v>29400262</v>
      </c>
      <c r="J583" s="128">
        <v>28830063</v>
      </c>
      <c r="K583" s="128">
        <v>27953958</v>
      </c>
      <c r="L583" s="128">
        <v>29295371</v>
      </c>
      <c r="M583" s="128">
        <v>29302410</v>
      </c>
      <c r="N583" s="128">
        <v>29559656</v>
      </c>
      <c r="O583" s="128">
        <v>4435444</v>
      </c>
    </row>
    <row r="584" spans="1:15">
      <c r="A584" s="132" t="s">
        <v>1574</v>
      </c>
      <c r="B584" s="123" t="s">
        <v>1575</v>
      </c>
      <c r="C584" s="124">
        <v>656</v>
      </c>
      <c r="D584" s="125">
        <v>919.625</v>
      </c>
      <c r="E584" s="126">
        <v>83.211999999999989</v>
      </c>
      <c r="F584" s="126">
        <v>42.0015</v>
      </c>
      <c r="G584" s="127">
        <v>11.051591116665866</v>
      </c>
      <c r="H584" s="127">
        <v>15.61848981583991</v>
      </c>
      <c r="I584" s="128">
        <v>5160336</v>
      </c>
      <c r="J584" s="128">
        <v>5036447</v>
      </c>
      <c r="K584" s="128">
        <v>4743335</v>
      </c>
      <c r="L584" s="128">
        <v>5565306</v>
      </c>
      <c r="M584" s="128">
        <v>5536446</v>
      </c>
      <c r="N584" s="128">
        <v>5374311</v>
      </c>
      <c r="O584" s="128">
        <v>1506369</v>
      </c>
    </row>
    <row r="585" spans="1:15">
      <c r="A585" s="132" t="s">
        <v>1600</v>
      </c>
      <c r="B585" s="123" t="s">
        <v>1601</v>
      </c>
      <c r="C585" s="124">
        <v>489</v>
      </c>
      <c r="D585" s="125">
        <v>858.74800000000005</v>
      </c>
      <c r="E585" s="126">
        <v>84.122600000000006</v>
      </c>
      <c r="F585" s="126">
        <v>49.553100000000001</v>
      </c>
      <c r="G585" s="127">
        <v>10.208291232082699</v>
      </c>
      <c r="H585" s="127">
        <v>9.8682019893810882</v>
      </c>
      <c r="I585" s="128">
        <v>5505296</v>
      </c>
      <c r="J585" s="128">
        <v>5561834</v>
      </c>
      <c r="K585" s="128">
        <v>5572269</v>
      </c>
      <c r="L585" s="128">
        <v>5557122</v>
      </c>
      <c r="M585" s="128">
        <v>5457122</v>
      </c>
      <c r="N585" s="128">
        <v>5450165</v>
      </c>
      <c r="O585" s="128">
        <v>1364062</v>
      </c>
    </row>
    <row r="586" spans="1:15">
      <c r="A586" s="132" t="s">
        <v>1700</v>
      </c>
      <c r="B586" s="123" t="s">
        <v>1701</v>
      </c>
      <c r="C586" s="124">
        <v>401</v>
      </c>
      <c r="D586" s="125">
        <v>584.00599999999997</v>
      </c>
      <c r="E586" s="126">
        <v>79.931799999999996</v>
      </c>
      <c r="F586" s="126">
        <v>40.539499999999997</v>
      </c>
      <c r="G586" s="127">
        <v>7.3063036238393231</v>
      </c>
      <c r="H586" s="127">
        <v>9.891587217405247</v>
      </c>
      <c r="I586" s="128">
        <v>5766635</v>
      </c>
      <c r="J586" s="128">
        <v>5577581</v>
      </c>
      <c r="K586" s="128">
        <v>9628400</v>
      </c>
      <c r="L586" s="128">
        <v>6380686</v>
      </c>
      <c r="M586" s="128">
        <v>5756106</v>
      </c>
      <c r="N586" s="128">
        <v>6211922</v>
      </c>
      <c r="O586" s="128">
        <v>1256884</v>
      </c>
    </row>
    <row r="587" spans="1:15">
      <c r="A587" s="132" t="s">
        <v>1030</v>
      </c>
      <c r="B587" s="123" t="s">
        <v>1031</v>
      </c>
      <c r="C587" s="124">
        <v>266</v>
      </c>
      <c r="D587" s="125">
        <v>474.05500000000001</v>
      </c>
      <c r="E587" s="126">
        <v>69.347499999999997</v>
      </c>
      <c r="F587" s="126">
        <v>35.704300000000003</v>
      </c>
      <c r="G587" s="127">
        <v>6.8359349652114352</v>
      </c>
      <c r="H587" s="127">
        <v>7.4500830432188829</v>
      </c>
      <c r="I587" s="128">
        <v>3100438</v>
      </c>
      <c r="J587" s="128">
        <v>3110765</v>
      </c>
      <c r="K587" s="128">
        <v>2754323</v>
      </c>
      <c r="L587" s="128">
        <v>2956028</v>
      </c>
      <c r="M587" s="128">
        <v>3067650</v>
      </c>
      <c r="N587" s="128">
        <v>2996360</v>
      </c>
      <c r="O587" s="128">
        <v>717661</v>
      </c>
    </row>
    <row r="588" spans="1:15">
      <c r="A588" s="132" t="s">
        <v>1335</v>
      </c>
      <c r="B588" s="123" t="s">
        <v>1336</v>
      </c>
      <c r="C588" s="124">
        <v>364</v>
      </c>
      <c r="D588" s="125">
        <v>589.23800000000006</v>
      </c>
      <c r="E588" s="126">
        <v>67.258399999999995</v>
      </c>
      <c r="F588" s="126">
        <v>40.042400000000001</v>
      </c>
      <c r="G588" s="127">
        <v>8.7608090587941447</v>
      </c>
      <c r="H588" s="127">
        <v>9.0903642139332312</v>
      </c>
      <c r="I588" s="128">
        <v>3788103</v>
      </c>
      <c r="J588" s="128">
        <v>3904606</v>
      </c>
      <c r="K588" s="128">
        <v>3582851</v>
      </c>
      <c r="L588" s="128">
        <v>3978918</v>
      </c>
      <c r="M588" s="128">
        <v>3801647</v>
      </c>
      <c r="N588" s="128">
        <v>4186036</v>
      </c>
      <c r="O588" s="128">
        <v>709893</v>
      </c>
    </row>
    <row r="589" spans="1:15">
      <c r="A589" s="132" t="s">
        <v>178</v>
      </c>
      <c r="B589" s="123" t="s">
        <v>179</v>
      </c>
      <c r="C589" s="124">
        <v>75</v>
      </c>
      <c r="D589" s="125">
        <v>142.80200000000002</v>
      </c>
      <c r="E589" s="126">
        <v>17.120699999999999</v>
      </c>
      <c r="F589" s="126">
        <v>10.880100000000001</v>
      </c>
      <c r="G589" s="127">
        <v>8.3408972763964098</v>
      </c>
      <c r="H589" s="127">
        <v>6.8933189952298228</v>
      </c>
      <c r="I589" s="128">
        <v>1210699</v>
      </c>
      <c r="J589" s="128">
        <v>1115228</v>
      </c>
      <c r="K589" s="128">
        <v>1102258</v>
      </c>
      <c r="L589" s="128">
        <v>995604</v>
      </c>
      <c r="M589" s="128">
        <v>951109</v>
      </c>
      <c r="N589" s="128">
        <v>1019141</v>
      </c>
    </row>
    <row r="590" spans="1:15">
      <c r="A590" s="132" t="s">
        <v>383</v>
      </c>
      <c r="B590" s="123" t="s">
        <v>384</v>
      </c>
      <c r="C590" s="124">
        <v>819</v>
      </c>
      <c r="D590" s="125">
        <v>1208.6849999999999</v>
      </c>
      <c r="E590" s="126">
        <v>138.79480000000001</v>
      </c>
      <c r="F590" s="126">
        <v>72.908299999999997</v>
      </c>
      <c r="G590" s="127">
        <v>8.7084314397945732</v>
      </c>
      <c r="H590" s="127">
        <v>11.23328893966805</v>
      </c>
      <c r="I590" s="128">
        <v>7325414</v>
      </c>
      <c r="J590" s="128">
        <v>7743969</v>
      </c>
      <c r="K590" s="128">
        <v>8159090</v>
      </c>
      <c r="L590" s="128">
        <v>7767500</v>
      </c>
      <c r="M590" s="128">
        <v>7790190</v>
      </c>
      <c r="N590" s="128">
        <v>7593672</v>
      </c>
      <c r="O590" s="128">
        <v>3089764</v>
      </c>
    </row>
    <row r="591" spans="1:15">
      <c r="A591" s="132" t="s">
        <v>1636</v>
      </c>
      <c r="B591" s="123" t="s">
        <v>1637</v>
      </c>
      <c r="C591" s="124">
        <v>195</v>
      </c>
      <c r="D591" s="125">
        <v>327.34100000000001</v>
      </c>
      <c r="E591" s="126">
        <v>40.075099999999999</v>
      </c>
      <c r="F591" s="126">
        <v>23.345099999999999</v>
      </c>
      <c r="G591" s="127">
        <v>8.1681892247305683</v>
      </c>
      <c r="H591" s="127">
        <v>8.3529305935720988</v>
      </c>
      <c r="I591" s="128">
        <v>1926339</v>
      </c>
      <c r="J591" s="128">
        <v>2073886</v>
      </c>
      <c r="K591" s="128">
        <v>1905735</v>
      </c>
      <c r="L591" s="128">
        <v>2010982</v>
      </c>
      <c r="M591" s="128">
        <v>1941800</v>
      </c>
      <c r="N591" s="128">
        <v>2016039</v>
      </c>
      <c r="O591" s="128">
        <v>462697</v>
      </c>
    </row>
    <row r="592" spans="1:15">
      <c r="A592" s="132" t="s">
        <v>1450</v>
      </c>
      <c r="B592" s="123" t="s">
        <v>1451</v>
      </c>
      <c r="C592" s="124">
        <v>3777</v>
      </c>
      <c r="D592" s="125">
        <v>4659.5529999999999</v>
      </c>
      <c r="E592" s="126">
        <v>629.92009999999993</v>
      </c>
      <c r="F592" s="126">
        <v>323.30270000000002</v>
      </c>
      <c r="G592" s="127">
        <v>7.3970540073256918</v>
      </c>
      <c r="H592" s="127">
        <v>11.682550130264918</v>
      </c>
      <c r="I592" s="128">
        <v>24791279</v>
      </c>
      <c r="J592" s="128">
        <v>28415882</v>
      </c>
      <c r="K592" s="128">
        <v>25507484</v>
      </c>
      <c r="L592" s="128">
        <v>22796333</v>
      </c>
      <c r="M592" s="128">
        <v>29296227</v>
      </c>
      <c r="N592" s="128">
        <v>27244357</v>
      </c>
      <c r="O592" s="128">
        <v>1320256</v>
      </c>
    </row>
    <row r="593" spans="1:15">
      <c r="A593" s="132" t="s">
        <v>1389</v>
      </c>
      <c r="B593" s="123" t="s">
        <v>1390</v>
      </c>
      <c r="C593" s="124">
        <v>2900</v>
      </c>
      <c r="D593" s="125">
        <v>3722.8870000000002</v>
      </c>
      <c r="E593" s="126">
        <v>486.91849999999999</v>
      </c>
      <c r="F593" s="126">
        <v>252.4462</v>
      </c>
      <c r="G593" s="127">
        <v>7.6458113626818456</v>
      </c>
      <c r="H593" s="127">
        <v>11.487596169005515</v>
      </c>
      <c r="I593" s="128">
        <v>20799797</v>
      </c>
      <c r="J593" s="128">
        <v>20902768</v>
      </c>
      <c r="K593" s="128">
        <v>20230513</v>
      </c>
      <c r="L593" s="128">
        <v>22094894</v>
      </c>
      <c r="M593" s="128">
        <v>22185430</v>
      </c>
      <c r="N593" s="128">
        <v>22516571</v>
      </c>
      <c r="O593" s="128">
        <v>6799620</v>
      </c>
    </row>
    <row r="594" spans="1:15">
      <c r="A594" s="132" t="s">
        <v>1526</v>
      </c>
      <c r="B594" s="123" t="s">
        <v>1527</v>
      </c>
      <c r="C594" s="124">
        <v>1130</v>
      </c>
      <c r="D594" s="125">
        <v>1602.701</v>
      </c>
      <c r="E594" s="126">
        <v>139.28149999999999</v>
      </c>
      <c r="F594" s="126">
        <v>80.718500000000006</v>
      </c>
      <c r="G594" s="127">
        <v>11.506919440126651</v>
      </c>
      <c r="H594" s="127">
        <v>13.99926906471255</v>
      </c>
      <c r="I594" s="128">
        <v>8436736</v>
      </c>
      <c r="J594" s="128">
        <v>8472729</v>
      </c>
      <c r="K594" s="128">
        <v>7523999</v>
      </c>
      <c r="L594" s="128">
        <v>8972739</v>
      </c>
      <c r="M594" s="128">
        <v>9270228</v>
      </c>
      <c r="N594" s="128">
        <v>9281610</v>
      </c>
      <c r="O594" s="128">
        <v>2398408</v>
      </c>
    </row>
    <row r="595" spans="1:15">
      <c r="A595" s="132" t="s">
        <v>84</v>
      </c>
      <c r="B595" s="123" t="s">
        <v>85</v>
      </c>
      <c r="C595" s="124">
        <v>178</v>
      </c>
      <c r="D595" s="125">
        <v>304.149</v>
      </c>
      <c r="E595" s="126">
        <v>32.920400000000001</v>
      </c>
      <c r="F595" s="126">
        <v>19.224299999999999</v>
      </c>
      <c r="G595" s="127">
        <v>9.2389217627975349</v>
      </c>
      <c r="H595" s="127">
        <v>9.2591147662073521</v>
      </c>
      <c r="I595" s="128">
        <v>1646159</v>
      </c>
      <c r="J595" s="128">
        <v>1706533</v>
      </c>
      <c r="K595" s="128">
        <v>1701859</v>
      </c>
      <c r="L595" s="128">
        <v>1769453</v>
      </c>
      <c r="M595" s="128">
        <v>1786257</v>
      </c>
      <c r="N595" s="128">
        <v>1819859</v>
      </c>
      <c r="O595" s="128">
        <v>413267</v>
      </c>
    </row>
    <row r="596" spans="1:15">
      <c r="A596" s="132" t="s">
        <v>1132</v>
      </c>
      <c r="B596" s="123" t="s">
        <v>1133</v>
      </c>
      <c r="C596" s="124">
        <v>1484</v>
      </c>
      <c r="D596" s="125">
        <v>1951.741</v>
      </c>
      <c r="E596" s="126">
        <v>202.149</v>
      </c>
      <c r="F596" s="126">
        <v>97.153099999999995</v>
      </c>
      <c r="G596" s="127">
        <v>9.6549624287035805</v>
      </c>
      <c r="H596" s="127">
        <v>15.274859989027629</v>
      </c>
      <c r="I596" s="128">
        <v>9569290</v>
      </c>
      <c r="J596" s="128">
        <v>9671726</v>
      </c>
      <c r="K596" s="128">
        <v>9713914</v>
      </c>
      <c r="L596" s="128">
        <v>10175772</v>
      </c>
      <c r="M596" s="128">
        <v>10381487</v>
      </c>
      <c r="N596" s="128">
        <v>11202619</v>
      </c>
      <c r="O596" s="128">
        <v>8068992</v>
      </c>
    </row>
    <row r="597" spans="1:15">
      <c r="A597" s="132" t="s">
        <v>1416</v>
      </c>
      <c r="B597" s="123" t="s">
        <v>1417</v>
      </c>
      <c r="C597" s="124">
        <v>682</v>
      </c>
      <c r="D597" s="125">
        <v>1186.69</v>
      </c>
      <c r="E597" s="126">
        <v>132.16990000000001</v>
      </c>
      <c r="F597" s="126">
        <v>64.515699999999995</v>
      </c>
      <c r="G597" s="127">
        <v>8.9785193149120932</v>
      </c>
      <c r="H597" s="127">
        <v>10.57107029761748</v>
      </c>
      <c r="I597" s="128">
        <v>6659975</v>
      </c>
      <c r="J597" s="128">
        <v>7201869</v>
      </c>
      <c r="K597" s="128">
        <v>6346096</v>
      </c>
      <c r="L597" s="128">
        <v>6744196</v>
      </c>
      <c r="M597" s="128">
        <v>6868690</v>
      </c>
      <c r="N597" s="128">
        <v>6812038</v>
      </c>
      <c r="O597" s="128">
        <v>971821</v>
      </c>
    </row>
    <row r="598" spans="1:15">
      <c r="A598" s="132" t="s">
        <v>1804</v>
      </c>
      <c r="B598" s="123" t="s">
        <v>1805</v>
      </c>
      <c r="C598" s="124">
        <v>390</v>
      </c>
      <c r="D598" s="125">
        <v>658.75300000000004</v>
      </c>
      <c r="E598" s="126">
        <v>74.614400000000003</v>
      </c>
      <c r="F598" s="126">
        <v>37.9544</v>
      </c>
      <c r="G598" s="127">
        <v>8.8287649568984001</v>
      </c>
      <c r="H598" s="127">
        <v>10.275488480913939</v>
      </c>
      <c r="I598" s="128">
        <v>4099848</v>
      </c>
      <c r="J598" s="128">
        <v>4120383</v>
      </c>
      <c r="K598" s="128">
        <v>3684846</v>
      </c>
      <c r="L598" s="128">
        <v>3894698</v>
      </c>
      <c r="M598" s="128">
        <v>3793687</v>
      </c>
      <c r="N598" s="128">
        <v>4017824</v>
      </c>
      <c r="O598" s="128">
        <v>583702</v>
      </c>
    </row>
    <row r="599" spans="1:15">
      <c r="A599" s="132" t="s">
        <v>1830</v>
      </c>
      <c r="B599" s="123" t="s">
        <v>1831</v>
      </c>
      <c r="C599" s="124">
        <v>428</v>
      </c>
      <c r="D599" s="125">
        <v>769.18</v>
      </c>
      <c r="E599" s="126">
        <v>68.352099999999993</v>
      </c>
      <c r="F599" s="126">
        <v>38.521700000000003</v>
      </c>
      <c r="G599" s="127">
        <v>11.253202169355443</v>
      </c>
      <c r="H599" s="127">
        <v>11.110620766996263</v>
      </c>
      <c r="I599" s="128">
        <v>5057213</v>
      </c>
      <c r="J599" s="128">
        <v>4582700</v>
      </c>
      <c r="K599" s="128">
        <v>4783593</v>
      </c>
      <c r="L599" s="128">
        <v>4684209</v>
      </c>
      <c r="M599" s="128">
        <v>4473516</v>
      </c>
      <c r="N599" s="128">
        <v>5057111</v>
      </c>
      <c r="O599" s="128">
        <v>1330470</v>
      </c>
    </row>
    <row r="600" spans="1:15">
      <c r="A600" s="132" t="s">
        <v>1074</v>
      </c>
      <c r="B600" s="123" t="s">
        <v>1075</v>
      </c>
      <c r="C600" s="124">
        <v>3381</v>
      </c>
      <c r="D600" s="125">
        <v>4206.777</v>
      </c>
      <c r="E600" s="126">
        <v>496.70039999999995</v>
      </c>
      <c r="F600" s="126">
        <v>223.31399999999999</v>
      </c>
      <c r="G600" s="127">
        <v>8.4694455651736948</v>
      </c>
      <c r="H600" s="127">
        <v>15.140116607109272</v>
      </c>
      <c r="I600" s="128">
        <v>24656703</v>
      </c>
      <c r="J600" s="128">
        <v>25538257</v>
      </c>
      <c r="K600" s="128">
        <v>24563930</v>
      </c>
      <c r="L600" s="128">
        <v>24836349</v>
      </c>
      <c r="M600" s="128">
        <v>25570198</v>
      </c>
      <c r="N600" s="128">
        <v>25761541</v>
      </c>
      <c r="O600" s="128">
        <v>11357754</v>
      </c>
    </row>
    <row r="601" spans="1:15">
      <c r="A601" s="132" t="s">
        <v>1144</v>
      </c>
      <c r="B601" s="123" t="s">
        <v>1145</v>
      </c>
      <c r="C601" s="124">
        <v>313</v>
      </c>
      <c r="D601" s="125">
        <v>533.37800000000004</v>
      </c>
      <c r="E601" s="126">
        <v>64.424199999999999</v>
      </c>
      <c r="F601" s="126">
        <v>27.872800000000002</v>
      </c>
      <c r="G601" s="127">
        <v>8.2791559693407137</v>
      </c>
      <c r="H601" s="127">
        <v>11.229585832783215</v>
      </c>
      <c r="I601" s="128">
        <v>2920267</v>
      </c>
      <c r="J601" s="128">
        <v>2982931</v>
      </c>
      <c r="K601" s="128">
        <v>3088607</v>
      </c>
      <c r="L601" s="128">
        <v>3157363</v>
      </c>
      <c r="M601" s="128">
        <v>3038018</v>
      </c>
      <c r="N601" s="128">
        <v>3108770</v>
      </c>
      <c r="O601" s="128">
        <v>927651</v>
      </c>
    </row>
    <row r="602" spans="1:15">
      <c r="A602" s="132" t="s">
        <v>461</v>
      </c>
      <c r="B602" s="123" t="s">
        <v>462</v>
      </c>
      <c r="C602" s="124">
        <v>1186</v>
      </c>
      <c r="D602" s="125">
        <v>1792.876</v>
      </c>
      <c r="E602" s="126">
        <v>213.13630000000001</v>
      </c>
      <c r="F602" s="126">
        <v>96.443899999999999</v>
      </c>
      <c r="G602" s="127">
        <v>8.4118754055503455</v>
      </c>
      <c r="H602" s="127">
        <v>12.297304443308493</v>
      </c>
      <c r="I602" s="128">
        <v>14257747</v>
      </c>
      <c r="J602" s="128">
        <v>12119527</v>
      </c>
      <c r="K602" s="128">
        <v>12946893</v>
      </c>
      <c r="L602" s="128">
        <v>14487339</v>
      </c>
      <c r="M602" s="128">
        <v>12355321</v>
      </c>
      <c r="N602" s="128">
        <v>11758639</v>
      </c>
      <c r="O602" s="128">
        <v>760101</v>
      </c>
    </row>
    <row r="603" spans="1:15">
      <c r="A603" s="132" t="s">
        <v>814</v>
      </c>
      <c r="B603" s="123" t="s">
        <v>815</v>
      </c>
      <c r="C603" s="124">
        <v>886</v>
      </c>
      <c r="D603" s="125">
        <v>1407.1030000000001</v>
      </c>
      <c r="E603" s="126">
        <v>153.53559999999999</v>
      </c>
      <c r="F603" s="126">
        <v>78.165499999999994</v>
      </c>
      <c r="G603" s="127">
        <v>9.1646693014519123</v>
      </c>
      <c r="H603" s="127">
        <v>11.334923975411147</v>
      </c>
      <c r="I603" s="128">
        <v>8880869</v>
      </c>
      <c r="J603" s="128">
        <v>8869439</v>
      </c>
      <c r="K603" s="128">
        <v>8499947</v>
      </c>
      <c r="L603" s="128">
        <v>9507053</v>
      </c>
      <c r="M603" s="128">
        <v>9511185</v>
      </c>
      <c r="N603" s="128">
        <v>9328004</v>
      </c>
      <c r="O603" s="128">
        <v>1656439</v>
      </c>
    </row>
    <row r="604" spans="1:15">
      <c r="A604" s="132" t="s">
        <v>1317</v>
      </c>
      <c r="B604" s="123" t="s">
        <v>1318</v>
      </c>
      <c r="C604" s="124">
        <v>318</v>
      </c>
      <c r="D604" s="125">
        <v>504.34700000000004</v>
      </c>
      <c r="E604" s="126">
        <v>53.682600000000001</v>
      </c>
      <c r="F604" s="126">
        <v>29.273299999999999</v>
      </c>
      <c r="G604" s="127">
        <v>9.3949808690339154</v>
      </c>
      <c r="H604" s="127">
        <v>10.863141497542129</v>
      </c>
      <c r="I604" s="128">
        <v>2836061</v>
      </c>
      <c r="J604" s="128">
        <v>2884844</v>
      </c>
      <c r="K604" s="128">
        <v>2949094</v>
      </c>
      <c r="L604" s="128">
        <v>3039472</v>
      </c>
      <c r="M604" s="128">
        <v>3080283</v>
      </c>
      <c r="N604" s="128">
        <v>2807328</v>
      </c>
      <c r="O604" s="128">
        <v>601025</v>
      </c>
    </row>
    <row r="605" spans="1:15">
      <c r="A605" s="132" t="s">
        <v>1742</v>
      </c>
      <c r="B605" s="123" t="s">
        <v>1743</v>
      </c>
      <c r="C605" s="124">
        <v>596</v>
      </c>
      <c r="D605" s="125">
        <v>863.029</v>
      </c>
      <c r="E605" s="126">
        <v>78.327600000000004</v>
      </c>
      <c r="F605" s="126">
        <v>44.971600000000002</v>
      </c>
      <c r="G605" s="127">
        <v>11.018197927678111</v>
      </c>
      <c r="H605" s="127">
        <v>13.25280843910379</v>
      </c>
      <c r="I605" s="128">
        <v>4524984</v>
      </c>
      <c r="J605" s="128">
        <v>4561325</v>
      </c>
      <c r="K605" s="128">
        <v>4642374</v>
      </c>
      <c r="L605" s="128">
        <v>4589056</v>
      </c>
      <c r="M605" s="128">
        <v>4724327</v>
      </c>
      <c r="N605" s="128">
        <v>4837761</v>
      </c>
      <c r="O605" s="128">
        <v>1365171</v>
      </c>
    </row>
    <row r="606" spans="1:15">
      <c r="A606" s="132" t="s">
        <v>1957</v>
      </c>
      <c r="B606" s="123" t="s">
        <v>1958</v>
      </c>
      <c r="C606" s="124">
        <v>91</v>
      </c>
      <c r="D606" s="125">
        <v>142.291</v>
      </c>
      <c r="E606" s="126">
        <v>17.456900000000001</v>
      </c>
      <c r="F606" s="126">
        <v>9.6425000000000001</v>
      </c>
      <c r="G606" s="127">
        <v>8.150989007212047</v>
      </c>
      <c r="H606" s="127">
        <v>9.4373865698729578</v>
      </c>
      <c r="I606" s="128">
        <v>922676</v>
      </c>
      <c r="J606" s="128">
        <v>826686</v>
      </c>
      <c r="K606" s="128">
        <v>855774</v>
      </c>
      <c r="L606" s="128">
        <v>999098</v>
      </c>
      <c r="M606" s="128">
        <v>905002</v>
      </c>
      <c r="N606" s="128">
        <v>925526</v>
      </c>
      <c r="O606" s="128">
        <v>582123</v>
      </c>
    </row>
    <row r="607" spans="1:15">
      <c r="A607" s="132" t="s">
        <v>1844</v>
      </c>
      <c r="B607" s="123" t="s">
        <v>1845</v>
      </c>
      <c r="C607" s="124">
        <v>129</v>
      </c>
      <c r="D607" s="125">
        <v>182.70500000000001</v>
      </c>
      <c r="E607" s="126">
        <v>19.3187</v>
      </c>
      <c r="F607" s="126">
        <v>9.5968999999999998</v>
      </c>
      <c r="G607" s="127">
        <v>9.457416906934732</v>
      </c>
      <c r="H607" s="127">
        <v>13.441840594358595</v>
      </c>
      <c r="I607" s="128">
        <v>961469</v>
      </c>
      <c r="J607" s="128">
        <v>1018215</v>
      </c>
      <c r="K607" s="128">
        <v>956420</v>
      </c>
      <c r="L607" s="128">
        <v>1036667</v>
      </c>
      <c r="M607" s="128">
        <v>1081015</v>
      </c>
      <c r="N607" s="128">
        <v>1122658</v>
      </c>
      <c r="O607" s="128">
        <v>260180</v>
      </c>
    </row>
    <row r="608" spans="1:15">
      <c r="A608" s="132" t="s">
        <v>642</v>
      </c>
      <c r="B608" s="123" t="s">
        <v>643</v>
      </c>
      <c r="C608" s="124">
        <v>62</v>
      </c>
      <c r="D608" s="125">
        <v>127.593</v>
      </c>
      <c r="E608" s="126">
        <v>17.3002</v>
      </c>
      <c r="F608" s="126">
        <v>8.0006000000000004</v>
      </c>
      <c r="G608" s="127">
        <v>7.37523265626987</v>
      </c>
      <c r="H608" s="127">
        <v>7.7494187935904799</v>
      </c>
      <c r="I608" s="128">
        <v>843343</v>
      </c>
      <c r="J608" s="128">
        <v>715215</v>
      </c>
      <c r="K608" s="128">
        <v>753881</v>
      </c>
      <c r="L608" s="128">
        <v>938429</v>
      </c>
      <c r="M608" s="128">
        <v>752869</v>
      </c>
      <c r="N608" s="128">
        <v>752417</v>
      </c>
      <c r="O608" s="128">
        <v>292961</v>
      </c>
    </row>
    <row r="609" spans="1:15">
      <c r="A609" s="132" t="s">
        <v>738</v>
      </c>
      <c r="B609" s="123" t="s">
        <v>739</v>
      </c>
      <c r="C609" s="124">
        <v>1895</v>
      </c>
      <c r="D609" s="125">
        <v>2486.21</v>
      </c>
      <c r="E609" s="126">
        <v>262.93340000000001</v>
      </c>
      <c r="F609" s="126">
        <v>148.4726</v>
      </c>
      <c r="G609" s="127">
        <v>9.455664438218955</v>
      </c>
      <c r="H609" s="127">
        <v>12.763297739784983</v>
      </c>
      <c r="I609" s="128">
        <v>21398484</v>
      </c>
      <c r="J609" s="128">
        <v>14255501</v>
      </c>
      <c r="K609" s="128">
        <v>14941552</v>
      </c>
      <c r="L609" s="128">
        <v>15035674</v>
      </c>
      <c r="M609" s="128">
        <v>15290750</v>
      </c>
      <c r="N609" s="128">
        <v>14574215</v>
      </c>
      <c r="O609" s="128">
        <v>1776084</v>
      </c>
    </row>
    <row r="610" spans="1:15">
      <c r="A610" s="132" t="s">
        <v>1110</v>
      </c>
      <c r="B610" s="123" t="s">
        <v>1111</v>
      </c>
      <c r="C610" s="124">
        <v>922</v>
      </c>
      <c r="D610" s="125">
        <v>1299.623</v>
      </c>
      <c r="E610" s="126">
        <v>154.5806</v>
      </c>
      <c r="F610" s="126">
        <v>84.9649</v>
      </c>
      <c r="G610" s="127">
        <v>8.4074133494112466</v>
      </c>
      <c r="H610" s="127">
        <v>10.851539871170329</v>
      </c>
      <c r="I610" s="128">
        <v>8078408</v>
      </c>
      <c r="J610" s="128">
        <v>7799713</v>
      </c>
      <c r="K610" s="128">
        <v>7948399</v>
      </c>
      <c r="L610" s="128">
        <v>8235385</v>
      </c>
      <c r="M610" s="128">
        <v>7975451</v>
      </c>
      <c r="N610" s="128">
        <v>8211703</v>
      </c>
      <c r="O610" s="128">
        <v>2050980</v>
      </c>
    </row>
    <row r="611" spans="1:15">
      <c r="A611" s="132" t="s">
        <v>557</v>
      </c>
      <c r="B611" s="123" t="s">
        <v>558</v>
      </c>
      <c r="C611" s="124">
        <v>173</v>
      </c>
      <c r="D611" s="125">
        <v>321.46300000000002</v>
      </c>
      <c r="E611" s="126">
        <v>38.005000000000003</v>
      </c>
      <c r="F611" s="126">
        <v>17.560300000000002</v>
      </c>
      <c r="G611" s="127">
        <v>8.4584396789896079</v>
      </c>
      <c r="H611" s="127">
        <v>9.8517679082931373</v>
      </c>
      <c r="I611" s="128">
        <v>1805190</v>
      </c>
      <c r="J611" s="128">
        <v>1865767</v>
      </c>
      <c r="K611" s="128">
        <v>1826463</v>
      </c>
      <c r="L611" s="128">
        <v>1996853</v>
      </c>
      <c r="M611" s="128">
        <v>2026396</v>
      </c>
      <c r="N611" s="128">
        <v>2016877</v>
      </c>
      <c r="O611" s="128">
        <v>404293</v>
      </c>
    </row>
    <row r="612" spans="1:15">
      <c r="A612" s="132" t="s">
        <v>281</v>
      </c>
      <c r="B612" s="123" t="s">
        <v>282</v>
      </c>
      <c r="C612" s="124">
        <v>926</v>
      </c>
      <c r="D612" s="125">
        <v>1326.4690000000001</v>
      </c>
      <c r="E612" s="126">
        <v>154.10550000000001</v>
      </c>
      <c r="F612" s="126">
        <v>76.396699999999996</v>
      </c>
      <c r="G612" s="127">
        <v>8.6075383422395699</v>
      </c>
      <c r="H612" s="127">
        <v>12.12094239672656</v>
      </c>
      <c r="I612" s="128">
        <v>6813686</v>
      </c>
      <c r="J612" s="128">
        <v>9526690</v>
      </c>
      <c r="K612" s="128">
        <v>6806357</v>
      </c>
      <c r="L612" s="128">
        <v>7164984</v>
      </c>
      <c r="M612" s="128">
        <v>7883201</v>
      </c>
      <c r="N612" s="128">
        <v>9134253</v>
      </c>
      <c r="O612" s="128">
        <v>3262748</v>
      </c>
    </row>
    <row r="613" spans="1:15">
      <c r="A613" s="132" t="s">
        <v>351</v>
      </c>
      <c r="B613" s="123" t="s">
        <v>352</v>
      </c>
      <c r="C613" s="124">
        <v>706</v>
      </c>
      <c r="D613" s="125">
        <v>1159.203</v>
      </c>
      <c r="E613" s="126">
        <v>127.4327</v>
      </c>
      <c r="F613" s="126">
        <v>64.356300000000005</v>
      </c>
      <c r="G613" s="127">
        <v>9.0965898077965868</v>
      </c>
      <c r="H613" s="127">
        <v>10.970176967911454</v>
      </c>
      <c r="I613" s="128">
        <v>6352477</v>
      </c>
      <c r="J613" s="128">
        <v>6568720</v>
      </c>
      <c r="K613" s="128">
        <v>6498938</v>
      </c>
      <c r="L613" s="128">
        <v>6340478</v>
      </c>
      <c r="M613" s="128">
        <v>6656727</v>
      </c>
      <c r="N613" s="128">
        <v>6786683</v>
      </c>
      <c r="O613" s="128">
        <v>1312580</v>
      </c>
    </row>
    <row r="614" spans="1:15">
      <c r="A614" s="132" t="s">
        <v>1381</v>
      </c>
      <c r="B614" s="123" t="s">
        <v>1382</v>
      </c>
      <c r="C614" s="124">
        <v>518</v>
      </c>
      <c r="D614" s="125">
        <v>770.70500000000004</v>
      </c>
      <c r="E614" s="126">
        <v>99.010400000000004</v>
      </c>
      <c r="F614" s="126">
        <v>46.999600000000001</v>
      </c>
      <c r="G614" s="127">
        <v>7.7840812682304081</v>
      </c>
      <c r="H614" s="127">
        <v>11.021370394641655</v>
      </c>
      <c r="I614" s="128">
        <v>4776976</v>
      </c>
      <c r="J614" s="128">
        <v>5333130</v>
      </c>
      <c r="K614" s="128">
        <v>5065487</v>
      </c>
      <c r="L614" s="128">
        <v>4854015</v>
      </c>
      <c r="M614" s="128">
        <v>5421768</v>
      </c>
      <c r="N614" s="128">
        <v>4955865</v>
      </c>
      <c r="O614" s="128">
        <v>798414</v>
      </c>
    </row>
    <row r="615" spans="1:15">
      <c r="A615" s="132" t="s">
        <v>1406</v>
      </c>
      <c r="B615" s="123" t="s">
        <v>1407</v>
      </c>
      <c r="C615" s="124">
        <v>209</v>
      </c>
      <c r="D615" s="125">
        <v>349.47300000000001</v>
      </c>
      <c r="E615" s="126">
        <v>42.965999999999994</v>
      </c>
      <c r="F615" s="126">
        <v>22.003399999999999</v>
      </c>
      <c r="G615" s="127">
        <v>8.1337103756458617</v>
      </c>
      <c r="H615" s="127">
        <v>9.4985320450475843</v>
      </c>
      <c r="I615" s="128">
        <v>2641752</v>
      </c>
      <c r="J615" s="128">
        <v>2427112</v>
      </c>
      <c r="K615" s="128">
        <v>2477072</v>
      </c>
      <c r="L615" s="128">
        <v>2693027</v>
      </c>
      <c r="M615" s="128">
        <v>2518225</v>
      </c>
      <c r="N615" s="128">
        <v>2536763</v>
      </c>
      <c r="O615" s="128">
        <v>590596</v>
      </c>
    </row>
    <row r="616" spans="1:15">
      <c r="A616" s="132" t="s">
        <v>1100</v>
      </c>
      <c r="B616" s="123" t="s">
        <v>1101</v>
      </c>
      <c r="C616" s="124">
        <v>782</v>
      </c>
      <c r="D616" s="125">
        <v>1247.4480000000001</v>
      </c>
      <c r="E616" s="126">
        <v>134.43020000000001</v>
      </c>
      <c r="F616" s="126">
        <v>73.906800000000004</v>
      </c>
      <c r="G616" s="127">
        <v>9.2795220121669093</v>
      </c>
      <c r="H616" s="127">
        <v>10.580893774321172</v>
      </c>
      <c r="I616" s="128">
        <v>7492084</v>
      </c>
      <c r="J616" s="128">
        <v>8251771</v>
      </c>
      <c r="K616" s="128">
        <v>8125151</v>
      </c>
      <c r="L616" s="128">
        <v>9805752</v>
      </c>
      <c r="M616" s="128">
        <v>9634441</v>
      </c>
      <c r="N616" s="128">
        <v>10476394</v>
      </c>
      <c r="O616" s="128">
        <v>3429619</v>
      </c>
    </row>
    <row r="617" spans="1:15">
      <c r="A617" s="132" t="s">
        <v>401</v>
      </c>
      <c r="B617" s="123" t="s">
        <v>402</v>
      </c>
      <c r="C617" s="124">
        <v>3843</v>
      </c>
      <c r="D617" s="125">
        <v>4829.7970000000005</v>
      </c>
      <c r="E617" s="126">
        <v>539.34690000000001</v>
      </c>
      <c r="F617" s="126">
        <v>273.65679999999998</v>
      </c>
      <c r="G617" s="127">
        <v>8.9548989713299552</v>
      </c>
      <c r="H617" s="127">
        <v>14.043137243437767</v>
      </c>
      <c r="I617" s="128">
        <v>31897603</v>
      </c>
      <c r="J617" s="128">
        <v>32182134</v>
      </c>
      <c r="K617" s="128">
        <v>29730614</v>
      </c>
      <c r="L617" s="128">
        <v>27074552</v>
      </c>
      <c r="M617" s="128">
        <v>29033810</v>
      </c>
      <c r="N617" s="128">
        <v>28460883</v>
      </c>
      <c r="O617" s="128">
        <v>3529755</v>
      </c>
    </row>
    <row r="618" spans="1:15">
      <c r="A618" s="132" t="s">
        <v>520</v>
      </c>
      <c r="B618" s="123" t="s">
        <v>521</v>
      </c>
      <c r="C618" s="124">
        <v>4906</v>
      </c>
      <c r="D618" s="125">
        <v>5971.4670000000006</v>
      </c>
      <c r="E618" s="126">
        <v>657.9828</v>
      </c>
      <c r="F618" s="126">
        <v>305.83780000000002</v>
      </c>
      <c r="G618" s="127">
        <v>9.0754150412442396</v>
      </c>
      <c r="H618" s="127">
        <v>16.041182613790706</v>
      </c>
      <c r="I618" s="128">
        <v>35762359</v>
      </c>
      <c r="J618" s="128">
        <v>37054148</v>
      </c>
      <c r="K618" s="128">
        <v>34424316</v>
      </c>
      <c r="L618" s="128">
        <v>33496408</v>
      </c>
      <c r="M618" s="128">
        <v>34903256</v>
      </c>
      <c r="N618" s="128">
        <v>36321333</v>
      </c>
      <c r="O618" s="128">
        <v>6877968</v>
      </c>
    </row>
    <row r="619" spans="1:15">
      <c r="A619" s="132" t="s">
        <v>543</v>
      </c>
      <c r="B619" s="123" t="s">
        <v>544</v>
      </c>
      <c r="C619" s="124">
        <v>178</v>
      </c>
      <c r="D619" s="125">
        <v>267.50700000000001</v>
      </c>
      <c r="E619" s="126">
        <v>27.509900000000002</v>
      </c>
      <c r="F619" s="126">
        <v>15.8026</v>
      </c>
      <c r="G619" s="127">
        <v>9.7240266231429402</v>
      </c>
      <c r="H619" s="127">
        <v>11.263969220254895</v>
      </c>
      <c r="I619" s="128">
        <v>2106106</v>
      </c>
      <c r="J619" s="128">
        <v>2025936</v>
      </c>
      <c r="K619" s="128">
        <v>2042340</v>
      </c>
      <c r="L619" s="128">
        <v>2170520</v>
      </c>
      <c r="M619" s="128">
        <v>2091661</v>
      </c>
      <c r="N619" s="128">
        <v>1998161</v>
      </c>
      <c r="O619" s="128">
        <v>391149</v>
      </c>
    </row>
    <row r="620" spans="1:15">
      <c r="A620" s="132" t="s">
        <v>828</v>
      </c>
      <c r="B620" s="123" t="s">
        <v>829</v>
      </c>
      <c r="C620" s="124">
        <v>1245</v>
      </c>
      <c r="D620" s="125">
        <v>1662.748</v>
      </c>
      <c r="E620" s="126">
        <v>192.5455</v>
      </c>
      <c r="F620" s="126">
        <v>97.631699999999995</v>
      </c>
      <c r="G620" s="127">
        <v>8.6356108036801693</v>
      </c>
      <c r="H620" s="127">
        <v>12.752005752230065</v>
      </c>
      <c r="I620" s="128">
        <v>9546716</v>
      </c>
      <c r="J620" s="128">
        <v>10517131</v>
      </c>
      <c r="K620" s="128">
        <v>9729369</v>
      </c>
      <c r="L620" s="128">
        <v>9826457</v>
      </c>
      <c r="M620" s="128">
        <v>10273805</v>
      </c>
      <c r="N620" s="128">
        <v>11104936</v>
      </c>
      <c r="O620" s="128">
        <v>2750322</v>
      </c>
    </row>
    <row r="621" spans="1:15">
      <c r="A621" s="132" t="s">
        <v>916</v>
      </c>
      <c r="B621" s="123" t="s">
        <v>917</v>
      </c>
      <c r="C621" s="124">
        <v>508</v>
      </c>
      <c r="D621" s="125">
        <v>791.79700000000003</v>
      </c>
      <c r="E621" s="126">
        <v>94.307600000000008</v>
      </c>
      <c r="F621" s="126">
        <v>46.764499999999998</v>
      </c>
      <c r="G621" s="127">
        <v>8.3958981036523035</v>
      </c>
      <c r="H621" s="127">
        <v>10.862940906029147</v>
      </c>
      <c r="I621" s="128">
        <v>5270170</v>
      </c>
      <c r="J621" s="128">
        <v>5240221</v>
      </c>
      <c r="K621" s="128">
        <v>5240960</v>
      </c>
      <c r="L621" s="128">
        <v>5066575</v>
      </c>
      <c r="M621" s="128">
        <v>5258050</v>
      </c>
      <c r="N621" s="128">
        <v>5275896</v>
      </c>
      <c r="O621" s="128">
        <v>714324</v>
      </c>
    </row>
    <row r="622" spans="1:15">
      <c r="A622" s="132" t="s">
        <v>1114</v>
      </c>
      <c r="B622" s="123" t="s">
        <v>1115</v>
      </c>
      <c r="C622" s="124">
        <v>2142</v>
      </c>
      <c r="D622" s="125">
        <v>2779.2330000000002</v>
      </c>
      <c r="E622" s="126">
        <v>389.71089999999998</v>
      </c>
      <c r="F622" s="126">
        <v>172.17070000000001</v>
      </c>
      <c r="G622" s="127">
        <v>7.1315249329695432</v>
      </c>
      <c r="H622" s="127">
        <v>12.441141262711946</v>
      </c>
      <c r="I622" s="128">
        <v>17623034</v>
      </c>
      <c r="J622" s="128">
        <v>16135961</v>
      </c>
      <c r="K622" s="128">
        <v>17533607</v>
      </c>
      <c r="L622" s="128">
        <v>17298019</v>
      </c>
      <c r="M622" s="128">
        <v>16763791</v>
      </c>
      <c r="N622" s="128">
        <v>17179022</v>
      </c>
      <c r="O622" s="128">
        <v>3958490</v>
      </c>
    </row>
    <row r="623" spans="1:15">
      <c r="A623" s="132" t="s">
        <v>1852</v>
      </c>
      <c r="B623" s="123" t="s">
        <v>1853</v>
      </c>
      <c r="C623" s="124">
        <v>1904</v>
      </c>
      <c r="D623" s="125">
        <v>2403.165</v>
      </c>
      <c r="E623" s="126">
        <v>276.68849999999998</v>
      </c>
      <c r="F623" s="126">
        <v>142.14279999999999</v>
      </c>
      <c r="G623" s="127">
        <v>8.6854531359272258</v>
      </c>
      <c r="H623" s="127">
        <v>13.394980259288547</v>
      </c>
      <c r="I623" s="128">
        <v>13799321</v>
      </c>
      <c r="J623" s="128">
        <v>13100496</v>
      </c>
      <c r="K623" s="128">
        <v>13948160</v>
      </c>
      <c r="L623" s="128">
        <v>13799314</v>
      </c>
      <c r="M623" s="128">
        <v>13100499</v>
      </c>
      <c r="N623" s="128">
        <v>14382895</v>
      </c>
      <c r="O623" s="128">
        <v>2682258</v>
      </c>
    </row>
    <row r="624" spans="1:15">
      <c r="A624" s="132" t="s">
        <v>445</v>
      </c>
      <c r="B624" s="123" t="s">
        <v>446</v>
      </c>
      <c r="C624" s="124">
        <v>300</v>
      </c>
      <c r="D624" s="125">
        <v>517.25200000000007</v>
      </c>
      <c r="E624" s="126">
        <v>47.787700000000001</v>
      </c>
      <c r="F624" s="126">
        <v>26.903600000000001</v>
      </c>
      <c r="G624" s="127">
        <v>10.823956792228964</v>
      </c>
      <c r="H624" s="127">
        <v>11.150924039905441</v>
      </c>
      <c r="I624" s="128">
        <v>3218491</v>
      </c>
      <c r="J624" s="128">
        <v>3209174</v>
      </c>
      <c r="K624" s="128">
        <v>3112945</v>
      </c>
      <c r="L624" s="128">
        <v>2644230</v>
      </c>
      <c r="M624" s="128">
        <v>2759330</v>
      </c>
      <c r="N624" s="128">
        <v>2743793</v>
      </c>
      <c r="O624" s="128">
        <v>29956</v>
      </c>
    </row>
    <row r="625" spans="1:15">
      <c r="A625" s="132" t="s">
        <v>798</v>
      </c>
      <c r="B625" s="123" t="s">
        <v>799</v>
      </c>
      <c r="C625" s="124">
        <v>1577</v>
      </c>
      <c r="D625" s="125">
        <v>2093.8240000000001</v>
      </c>
      <c r="E625" s="126">
        <v>222.75409999999999</v>
      </c>
      <c r="F625" s="126">
        <v>94.011099999999999</v>
      </c>
      <c r="G625" s="127">
        <v>9.399710263469899</v>
      </c>
      <c r="H625" s="127">
        <v>16.774614912494375</v>
      </c>
      <c r="I625" s="128">
        <v>15743385</v>
      </c>
      <c r="J625" s="128">
        <v>15743387</v>
      </c>
      <c r="K625" s="128">
        <v>15501773</v>
      </c>
      <c r="L625" s="128">
        <v>15654007</v>
      </c>
      <c r="M625" s="128">
        <v>15654007</v>
      </c>
      <c r="N625" s="128">
        <v>16470944</v>
      </c>
      <c r="O625" s="128">
        <v>5280777</v>
      </c>
    </row>
    <row r="626" spans="1:15">
      <c r="A626" s="132" t="s">
        <v>1266</v>
      </c>
      <c r="B626" s="123" t="s">
        <v>1267</v>
      </c>
      <c r="C626" s="124">
        <v>2132</v>
      </c>
      <c r="D626" s="125">
        <v>2955.6860000000001</v>
      </c>
      <c r="E626" s="126">
        <v>361.43380000000002</v>
      </c>
      <c r="F626" s="126">
        <v>164.42930000000001</v>
      </c>
      <c r="G626" s="127">
        <v>8.1776690503212475</v>
      </c>
      <c r="H626" s="127">
        <v>12.966058968809087</v>
      </c>
      <c r="I626" s="128">
        <v>17361754</v>
      </c>
      <c r="J626" s="128">
        <v>17651222</v>
      </c>
      <c r="K626" s="128">
        <v>18511008</v>
      </c>
      <c r="L626" s="128">
        <v>17456885</v>
      </c>
      <c r="M626" s="128">
        <v>17277788</v>
      </c>
      <c r="N626" s="128">
        <v>17088212</v>
      </c>
      <c r="O626" s="128">
        <v>1398925</v>
      </c>
    </row>
    <row r="627" spans="1:15">
      <c r="A627" s="132" t="s">
        <v>217</v>
      </c>
      <c r="B627" s="123" t="s">
        <v>218</v>
      </c>
      <c r="C627" s="124">
        <v>388</v>
      </c>
      <c r="D627" s="125">
        <v>710.19600000000003</v>
      </c>
      <c r="E627" s="126">
        <v>74.649900000000002</v>
      </c>
      <c r="F627" s="126">
        <v>39.8215</v>
      </c>
      <c r="G627" s="127">
        <v>9.5136899044740844</v>
      </c>
      <c r="H627" s="127">
        <v>9.7434802807528591</v>
      </c>
      <c r="I627" s="128">
        <v>3964953</v>
      </c>
      <c r="J627" s="128">
        <v>3978778</v>
      </c>
      <c r="K627" s="128">
        <v>4137619</v>
      </c>
      <c r="L627" s="128">
        <v>4295407</v>
      </c>
      <c r="M627" s="128">
        <v>4334660</v>
      </c>
      <c r="N627" s="128">
        <v>4662426</v>
      </c>
      <c r="O627" s="128">
        <v>1257277</v>
      </c>
    </row>
    <row r="628" spans="1:15">
      <c r="A628" s="132" t="s">
        <v>670</v>
      </c>
      <c r="B628" s="123" t="s">
        <v>671</v>
      </c>
      <c r="C628" s="124">
        <v>175</v>
      </c>
      <c r="D628" s="125">
        <v>263.89699999999999</v>
      </c>
      <c r="E628" s="126">
        <v>35.620100000000001</v>
      </c>
      <c r="F628" s="126">
        <v>21.501300000000001</v>
      </c>
      <c r="G628" s="127">
        <v>7.4086541025993746</v>
      </c>
      <c r="H628" s="127">
        <v>8.1390427555543159</v>
      </c>
      <c r="I628" s="128">
        <v>2332811</v>
      </c>
      <c r="J628" s="128">
        <v>2199743</v>
      </c>
      <c r="K628" s="128">
        <v>2177077</v>
      </c>
      <c r="L628" s="128">
        <v>2262756</v>
      </c>
      <c r="M628" s="128">
        <v>2210538</v>
      </c>
      <c r="N628" s="128">
        <v>2341351</v>
      </c>
      <c r="O628" s="128">
        <v>1950943</v>
      </c>
    </row>
    <row r="629" spans="1:15">
      <c r="A629" s="132" t="s">
        <v>878</v>
      </c>
      <c r="B629" s="123" t="s">
        <v>879</v>
      </c>
      <c r="C629" s="124">
        <v>101</v>
      </c>
      <c r="D629" s="125">
        <v>232.97200000000001</v>
      </c>
      <c r="E629" s="126">
        <v>29.958500000000001</v>
      </c>
      <c r="F629" s="126">
        <v>17.751300000000001</v>
      </c>
      <c r="G629" s="127">
        <v>7.7764908122903353</v>
      </c>
      <c r="H629" s="127">
        <v>5.6897241328804089</v>
      </c>
      <c r="I629" s="128">
        <v>2012700</v>
      </c>
      <c r="J629" s="128">
        <v>1740645</v>
      </c>
      <c r="K629" s="128">
        <v>1998539</v>
      </c>
      <c r="L629" s="128">
        <v>2060011</v>
      </c>
      <c r="M629" s="128">
        <v>1376413</v>
      </c>
      <c r="N629" s="128">
        <v>1480217</v>
      </c>
      <c r="O629" s="128">
        <v>1228754</v>
      </c>
    </row>
    <row r="630" spans="1:15">
      <c r="A630" s="132" t="s">
        <v>515</v>
      </c>
      <c r="B630" s="123" t="s">
        <v>516</v>
      </c>
      <c r="C630" s="124">
        <v>156</v>
      </c>
      <c r="D630" s="125">
        <v>252.55100000000002</v>
      </c>
      <c r="E630" s="126">
        <v>31.450299999999999</v>
      </c>
      <c r="F630" s="126">
        <v>17.450299999999999</v>
      </c>
      <c r="G630" s="127">
        <v>8.0301618744495293</v>
      </c>
      <c r="H630" s="127">
        <v>8.9396743895520423</v>
      </c>
      <c r="I630" s="128">
        <v>2006543</v>
      </c>
      <c r="J630" s="128">
        <v>2122100</v>
      </c>
      <c r="K630" s="128">
        <v>2212341</v>
      </c>
      <c r="L630" s="128">
        <v>1956919</v>
      </c>
      <c r="M630" s="128">
        <v>1892254</v>
      </c>
      <c r="N630" s="128">
        <v>1928924</v>
      </c>
      <c r="O630" s="128">
        <v>594902</v>
      </c>
    </row>
    <row r="631" spans="1:15">
      <c r="A631" s="132" t="s">
        <v>732</v>
      </c>
      <c r="B631" s="123" t="s">
        <v>733</v>
      </c>
      <c r="C631" s="124">
        <v>1091</v>
      </c>
      <c r="D631" s="125">
        <v>1624.7760000000001</v>
      </c>
      <c r="E631" s="126">
        <v>191.53399999999999</v>
      </c>
      <c r="F631" s="126">
        <v>86.897300000000001</v>
      </c>
      <c r="G631" s="127">
        <v>8.482963860202366</v>
      </c>
      <c r="H631" s="127">
        <v>12.555050617222859</v>
      </c>
      <c r="I631" s="128">
        <v>9792589</v>
      </c>
      <c r="J631" s="128">
        <v>9495118</v>
      </c>
      <c r="K631" s="128">
        <v>9446014</v>
      </c>
      <c r="L631" s="128">
        <v>10013947</v>
      </c>
      <c r="M631" s="128">
        <v>9680794</v>
      </c>
      <c r="N631" s="128">
        <v>9816933</v>
      </c>
      <c r="O631" s="128">
        <v>2525297</v>
      </c>
    </row>
    <row r="632" spans="1:15">
      <c r="A632" s="132" t="s">
        <v>1882</v>
      </c>
      <c r="B632" s="123" t="s">
        <v>1883</v>
      </c>
      <c r="C632" s="124">
        <v>600</v>
      </c>
      <c r="D632" s="125">
        <v>1039.828</v>
      </c>
      <c r="E632" s="126">
        <v>117.32939999999999</v>
      </c>
      <c r="F632" s="126">
        <v>62.917400000000001</v>
      </c>
      <c r="G632" s="127">
        <v>8.8624675486280502</v>
      </c>
      <c r="H632" s="127">
        <v>9.5363126893355421</v>
      </c>
      <c r="I632" s="128">
        <v>6972989</v>
      </c>
      <c r="J632" s="128">
        <v>6849754</v>
      </c>
      <c r="K632" s="128">
        <v>7081224</v>
      </c>
      <c r="L632" s="128">
        <v>7610679</v>
      </c>
      <c r="M632" s="128">
        <v>7298739</v>
      </c>
      <c r="N632" s="128">
        <v>8170298</v>
      </c>
      <c r="O632" s="128">
        <v>1695935</v>
      </c>
    </row>
    <row r="633" spans="1:15">
      <c r="A633" s="132" t="s">
        <v>1136</v>
      </c>
      <c r="B633" s="123" t="s">
        <v>1137</v>
      </c>
      <c r="C633" s="124">
        <v>1908</v>
      </c>
      <c r="D633" s="125">
        <v>2431.422</v>
      </c>
      <c r="E633" s="126">
        <v>303.92590000000001</v>
      </c>
      <c r="F633" s="126">
        <v>147.01150000000001</v>
      </c>
      <c r="G633" s="127">
        <v>8.0000486960801958</v>
      </c>
      <c r="H633" s="127">
        <v>12.978576505919603</v>
      </c>
      <c r="I633" s="128">
        <v>17734192</v>
      </c>
      <c r="J633" s="128">
        <v>17486990</v>
      </c>
      <c r="K633" s="128">
        <v>17074344</v>
      </c>
      <c r="L633" s="128">
        <v>18008747</v>
      </c>
      <c r="M633" s="128">
        <v>17854191</v>
      </c>
      <c r="N633" s="128">
        <v>18145408</v>
      </c>
      <c r="O633" s="128">
        <v>3884727</v>
      </c>
    </row>
    <row r="634" spans="1:15">
      <c r="A634" s="132" t="s">
        <v>1168</v>
      </c>
      <c r="B634" s="123" t="s">
        <v>1169</v>
      </c>
      <c r="C634" s="124">
        <v>28680</v>
      </c>
      <c r="D634" s="125">
        <v>34817.016000000003</v>
      </c>
      <c r="E634" s="126">
        <v>3391.6689999999999</v>
      </c>
      <c r="F634" s="126">
        <v>1924.7673</v>
      </c>
      <c r="G634" s="127">
        <v>10.265452200671707</v>
      </c>
      <c r="H634" s="127">
        <v>14.900502517888786</v>
      </c>
      <c r="I634" s="128">
        <v>199606499</v>
      </c>
      <c r="J634" s="128">
        <v>187549743</v>
      </c>
      <c r="K634" s="128">
        <v>192822404</v>
      </c>
      <c r="L634" s="128">
        <v>188143820</v>
      </c>
      <c r="M634" s="128">
        <v>187507698</v>
      </c>
      <c r="N634" s="128">
        <v>198477577</v>
      </c>
      <c r="O634" s="128">
        <v>30600422</v>
      </c>
    </row>
    <row r="635" spans="1:15">
      <c r="A635" s="132" t="s">
        <v>1361</v>
      </c>
      <c r="B635" s="123" t="s">
        <v>1362</v>
      </c>
      <c r="C635" s="124">
        <v>732</v>
      </c>
      <c r="D635" s="125">
        <v>1128.68</v>
      </c>
      <c r="E635" s="126">
        <v>93.403700000000001</v>
      </c>
      <c r="F635" s="126">
        <v>63.003799999999998</v>
      </c>
      <c r="G635" s="127">
        <v>12.083889610368754</v>
      </c>
      <c r="H635" s="127">
        <v>11.618346829873754</v>
      </c>
      <c r="I635" s="128">
        <v>6807217</v>
      </c>
      <c r="J635" s="128">
        <v>7135635</v>
      </c>
      <c r="K635" s="128">
        <v>6483759</v>
      </c>
      <c r="L635" s="128">
        <v>7043077</v>
      </c>
      <c r="M635" s="128">
        <v>7329579</v>
      </c>
      <c r="N635" s="128">
        <v>6771510</v>
      </c>
      <c r="O635" s="128">
        <v>1824056</v>
      </c>
    </row>
    <row r="636" spans="1:15">
      <c r="A636" s="132" t="s">
        <v>1760</v>
      </c>
      <c r="B636" s="123" t="s">
        <v>1761</v>
      </c>
      <c r="C636" s="124">
        <v>1282</v>
      </c>
      <c r="D636" s="125">
        <v>1799.403</v>
      </c>
      <c r="E636" s="126">
        <v>244.6028</v>
      </c>
      <c r="F636" s="126">
        <v>114.98050000000001</v>
      </c>
      <c r="G636" s="127">
        <v>7.3564284627976457</v>
      </c>
      <c r="H636" s="127">
        <v>11.149716691091097</v>
      </c>
      <c r="I636" s="128">
        <v>10873115</v>
      </c>
      <c r="J636" s="128">
        <v>10631839</v>
      </c>
      <c r="K636" s="128">
        <v>10608586</v>
      </c>
      <c r="L636" s="128">
        <v>11874870</v>
      </c>
      <c r="M636" s="128">
        <v>10932610</v>
      </c>
      <c r="N636" s="128">
        <v>11227410</v>
      </c>
      <c r="O636" s="128">
        <v>2458679</v>
      </c>
    </row>
    <row r="637" spans="1:15">
      <c r="A637" s="132" t="s">
        <v>1170</v>
      </c>
      <c r="B637" s="123" t="s">
        <v>1171</v>
      </c>
      <c r="C637" s="124">
        <v>4033</v>
      </c>
      <c r="D637" s="125">
        <v>4904.3110000000006</v>
      </c>
      <c r="E637" s="126">
        <v>605.53970000000004</v>
      </c>
      <c r="F637" s="126">
        <v>305.91269999999997</v>
      </c>
      <c r="G637" s="127">
        <v>8.0990742638343942</v>
      </c>
      <c r="H637" s="127">
        <v>13.183499737016477</v>
      </c>
      <c r="I637" s="128">
        <v>28239937</v>
      </c>
      <c r="J637" s="128">
        <v>30606622</v>
      </c>
      <c r="K637" s="128">
        <v>28881102</v>
      </c>
      <c r="L637" s="128">
        <v>28789229</v>
      </c>
      <c r="M637" s="128">
        <v>31224685</v>
      </c>
      <c r="N637" s="128">
        <v>29148315</v>
      </c>
      <c r="O637" s="128">
        <v>5073218</v>
      </c>
    </row>
    <row r="638" spans="1:15">
      <c r="A638" s="132" t="s">
        <v>694</v>
      </c>
      <c r="B638" s="123" t="s">
        <v>695</v>
      </c>
      <c r="C638" s="124">
        <v>7492</v>
      </c>
      <c r="D638" s="125">
        <v>8699.9560000000001</v>
      </c>
      <c r="E638" s="126">
        <v>944.68259999999998</v>
      </c>
      <c r="F638" s="126">
        <v>546.04060000000004</v>
      </c>
      <c r="G638" s="127">
        <v>9.2093958330554617</v>
      </c>
      <c r="H638" s="127">
        <v>13.720591472502226</v>
      </c>
      <c r="I638" s="128">
        <v>51933680</v>
      </c>
      <c r="J638" s="128">
        <v>53196586</v>
      </c>
      <c r="K638" s="128">
        <v>51197056</v>
      </c>
      <c r="L638" s="128">
        <v>51931759</v>
      </c>
      <c r="M638" s="128">
        <v>54986928</v>
      </c>
      <c r="N638" s="128">
        <v>51869959</v>
      </c>
      <c r="O638" s="128">
        <v>10508485</v>
      </c>
    </row>
    <row r="639" spans="1:15">
      <c r="A639" s="132" t="s">
        <v>1622</v>
      </c>
      <c r="B639" s="123" t="s">
        <v>1623</v>
      </c>
      <c r="C639" s="124">
        <v>1088</v>
      </c>
      <c r="D639" s="125">
        <v>1605.104</v>
      </c>
      <c r="E639" s="126">
        <v>186.17699999999999</v>
      </c>
      <c r="F639" s="126">
        <v>96.288700000000006</v>
      </c>
      <c r="G639" s="127">
        <v>8.6213871745704367</v>
      </c>
      <c r="H639" s="127">
        <v>11.299352883567853</v>
      </c>
      <c r="I639" s="128">
        <v>9317245</v>
      </c>
      <c r="J639" s="128">
        <v>9370863</v>
      </c>
      <c r="K639" s="128">
        <v>9152394</v>
      </c>
      <c r="L639" s="128">
        <v>9588219</v>
      </c>
      <c r="M639" s="128">
        <v>9552909</v>
      </c>
      <c r="N639" s="128">
        <v>9386023</v>
      </c>
      <c r="O639" s="128">
        <v>1456583</v>
      </c>
    </row>
    <row r="640" spans="1:15">
      <c r="A640" s="132" t="s">
        <v>1728</v>
      </c>
      <c r="B640" s="123" t="s">
        <v>1729</v>
      </c>
      <c r="C640" s="124">
        <v>1504</v>
      </c>
      <c r="D640" s="125">
        <v>1940.1690000000001</v>
      </c>
      <c r="E640" s="126">
        <v>230.34710000000001</v>
      </c>
      <c r="F640" s="126">
        <v>123.4004</v>
      </c>
      <c r="G640" s="127">
        <v>8.4228062780039341</v>
      </c>
      <c r="H640" s="127">
        <v>12.187966975795865</v>
      </c>
      <c r="I640" s="128">
        <v>11590088</v>
      </c>
      <c r="J640" s="128">
        <v>11976972</v>
      </c>
      <c r="K640" s="128">
        <v>11974972</v>
      </c>
      <c r="L640" s="128">
        <v>11834373</v>
      </c>
      <c r="M640" s="128">
        <v>12189521</v>
      </c>
      <c r="N640" s="128">
        <v>12079461</v>
      </c>
      <c r="O640" s="128">
        <v>1973716</v>
      </c>
    </row>
    <row r="641" spans="1:15">
      <c r="A641" s="132" t="s">
        <v>930</v>
      </c>
      <c r="B641" s="123" t="s">
        <v>931</v>
      </c>
      <c r="C641" s="124">
        <v>957</v>
      </c>
      <c r="D641" s="125">
        <v>1297.6570000000002</v>
      </c>
      <c r="E641" s="126">
        <v>122.23910000000001</v>
      </c>
      <c r="F641" s="126">
        <v>76.915899999999993</v>
      </c>
      <c r="G641" s="127">
        <v>10.615727700874762</v>
      </c>
      <c r="H641" s="127">
        <v>12.442160853607643</v>
      </c>
      <c r="I641" s="128">
        <v>7655220</v>
      </c>
      <c r="J641" s="128">
        <v>7929046</v>
      </c>
      <c r="K641" s="128">
        <v>7462589</v>
      </c>
      <c r="L641" s="128">
        <v>7908681</v>
      </c>
      <c r="M641" s="128">
        <v>8169928</v>
      </c>
      <c r="N641" s="128">
        <v>8042816</v>
      </c>
      <c r="O641" s="128">
        <v>1614963</v>
      </c>
    </row>
    <row r="642" spans="1:15">
      <c r="A642" s="132" t="s">
        <v>1404</v>
      </c>
      <c r="B642" s="123" t="s">
        <v>1405</v>
      </c>
      <c r="C642" s="124">
        <v>313</v>
      </c>
      <c r="D642" s="125">
        <v>582.97500000000002</v>
      </c>
      <c r="E642" s="126">
        <v>69.103799999999993</v>
      </c>
      <c r="F642" s="126">
        <v>33.831000000000003</v>
      </c>
      <c r="G642" s="127">
        <v>8.4362220312052312</v>
      </c>
      <c r="H642" s="127">
        <v>9.2518695870651175</v>
      </c>
      <c r="I642" s="128">
        <v>3943045</v>
      </c>
      <c r="J642" s="128">
        <v>4092005</v>
      </c>
      <c r="K642" s="128">
        <v>3857476</v>
      </c>
      <c r="L642" s="128">
        <v>3948076</v>
      </c>
      <c r="M642" s="128">
        <v>4133209</v>
      </c>
      <c r="N642" s="128">
        <v>4115287</v>
      </c>
      <c r="O642" s="128">
        <v>2067828</v>
      </c>
    </row>
    <row r="643" spans="1:15">
      <c r="A643" s="132" t="s">
        <v>1850</v>
      </c>
      <c r="B643" s="123" t="s">
        <v>1851</v>
      </c>
      <c r="C643" s="124">
        <v>604</v>
      </c>
      <c r="D643" s="125">
        <v>1054.07</v>
      </c>
      <c r="E643" s="126">
        <v>115.5166</v>
      </c>
      <c r="F643" s="126">
        <v>62.006</v>
      </c>
      <c r="G643" s="127">
        <v>9.1248357378939478</v>
      </c>
      <c r="H643" s="127">
        <v>9.7409928071476948</v>
      </c>
      <c r="I643" s="128">
        <v>6066785</v>
      </c>
      <c r="J643" s="128">
        <v>6027503</v>
      </c>
      <c r="K643" s="128">
        <v>6050057</v>
      </c>
      <c r="L643" s="128">
        <v>5864102</v>
      </c>
      <c r="M643" s="128">
        <v>5600431</v>
      </c>
      <c r="N643" s="128">
        <v>5869904</v>
      </c>
      <c r="O643" s="128">
        <v>1382763</v>
      </c>
    </row>
    <row r="644" spans="1:15">
      <c r="A644" s="132" t="s">
        <v>1365</v>
      </c>
      <c r="B644" s="123" t="s">
        <v>1366</v>
      </c>
      <c r="C644" s="124">
        <v>194</v>
      </c>
      <c r="D644" s="125">
        <v>303.63800000000003</v>
      </c>
      <c r="E644" s="126">
        <v>38.498599999999996</v>
      </c>
      <c r="F644" s="126">
        <v>22.4986</v>
      </c>
      <c r="G644" s="127">
        <v>7.8869880982685103</v>
      </c>
      <c r="H644" s="127">
        <v>8.6227587494332987</v>
      </c>
      <c r="I644" s="128">
        <v>2216999</v>
      </c>
      <c r="J644" s="128">
        <v>2082719</v>
      </c>
      <c r="K644" s="128">
        <v>1990235</v>
      </c>
      <c r="L644" s="128">
        <v>2192598</v>
      </c>
      <c r="M644" s="128">
        <v>2025909</v>
      </c>
      <c r="N644" s="128">
        <v>2312137</v>
      </c>
      <c r="O644" s="128">
        <v>1111034</v>
      </c>
    </row>
    <row r="645" spans="1:15">
      <c r="A645" s="132" t="s">
        <v>2045</v>
      </c>
      <c r="B645" s="123" t="s">
        <v>2046</v>
      </c>
      <c r="C645" s="124">
        <v>133</v>
      </c>
      <c r="D645" s="125">
        <v>251.691</v>
      </c>
      <c r="E645" s="126">
        <v>27.950100000000003</v>
      </c>
      <c r="F645" s="126">
        <v>16.343800000000002</v>
      </c>
      <c r="G645" s="127">
        <v>9.0050125044275333</v>
      </c>
      <c r="H645" s="127">
        <v>8.1376424087421526</v>
      </c>
      <c r="I645" s="128">
        <v>1370571</v>
      </c>
      <c r="J645" s="128">
        <v>1395924</v>
      </c>
      <c r="K645" s="128">
        <v>1461174</v>
      </c>
      <c r="L645" s="128">
        <v>1554400</v>
      </c>
      <c r="M645" s="128">
        <v>1486160</v>
      </c>
      <c r="N645" s="128">
        <v>1583600</v>
      </c>
      <c r="O645" s="128">
        <v>127941</v>
      </c>
    </row>
    <row r="646" spans="1:15">
      <c r="A646" s="132" t="s">
        <v>1186</v>
      </c>
      <c r="B646" s="123" t="s">
        <v>1187</v>
      </c>
      <c r="C646" s="124">
        <v>2259</v>
      </c>
      <c r="D646" s="125">
        <v>2963.4490000000001</v>
      </c>
      <c r="E646" s="126">
        <v>300.87740000000002</v>
      </c>
      <c r="F646" s="126">
        <v>160.34909999999999</v>
      </c>
      <c r="G646" s="127">
        <v>9.8493572465063846</v>
      </c>
      <c r="H646" s="127">
        <v>14.088011719429669</v>
      </c>
      <c r="I646" s="128">
        <v>18952299</v>
      </c>
      <c r="J646" s="128">
        <v>16455405</v>
      </c>
      <c r="K646" s="128">
        <v>19437279</v>
      </c>
      <c r="L646" s="128">
        <v>16924243</v>
      </c>
      <c r="M646" s="128">
        <v>17355347</v>
      </c>
      <c r="N646" s="128">
        <v>17155975</v>
      </c>
      <c r="O646" s="128">
        <v>1428867</v>
      </c>
    </row>
    <row r="647" spans="1:15">
      <c r="A647" s="132" t="s">
        <v>1391</v>
      </c>
      <c r="B647" s="123" t="s">
        <v>1392</v>
      </c>
      <c r="C647" s="124">
        <v>344</v>
      </c>
      <c r="D647" s="125">
        <v>565.98300000000006</v>
      </c>
      <c r="E647" s="126">
        <v>56.144400000000005</v>
      </c>
      <c r="F647" s="126">
        <v>30.191299999999998</v>
      </c>
      <c r="G647" s="127">
        <v>10.08084510654669</v>
      </c>
      <c r="H647" s="127">
        <v>11.394010857432439</v>
      </c>
      <c r="I647" s="128">
        <v>2760806</v>
      </c>
      <c r="J647" s="128">
        <v>3107494</v>
      </c>
      <c r="K647" s="128">
        <v>2737433</v>
      </c>
      <c r="L647" s="128">
        <v>2895196</v>
      </c>
      <c r="M647" s="128">
        <v>3232118</v>
      </c>
      <c r="N647" s="128">
        <v>3269160</v>
      </c>
      <c r="O647" s="128">
        <v>721167</v>
      </c>
    </row>
    <row r="648" spans="1:15">
      <c r="A648" s="132" t="s">
        <v>966</v>
      </c>
      <c r="B648" s="123" t="s">
        <v>967</v>
      </c>
      <c r="C648" s="124">
        <v>1225</v>
      </c>
      <c r="D648" s="125">
        <v>1864.71</v>
      </c>
      <c r="E648" s="126">
        <v>232.78029999999998</v>
      </c>
      <c r="F648" s="126">
        <v>106.2045</v>
      </c>
      <c r="G648" s="127">
        <v>8.0106005533973459</v>
      </c>
      <c r="H648" s="127">
        <v>11.534351180976325</v>
      </c>
      <c r="I648" s="128">
        <v>10944227</v>
      </c>
      <c r="J648" s="128">
        <v>12669226</v>
      </c>
      <c r="K648" s="128">
        <v>10922740</v>
      </c>
      <c r="L648" s="128">
        <v>10978542</v>
      </c>
      <c r="M648" s="128">
        <v>10996166</v>
      </c>
      <c r="N648" s="128">
        <v>11577493</v>
      </c>
      <c r="O648" s="128">
        <v>3165891</v>
      </c>
    </row>
    <row r="649" spans="1:15">
      <c r="A649" s="132" t="s">
        <v>1816</v>
      </c>
      <c r="B649" s="123" t="s">
        <v>1817</v>
      </c>
      <c r="C649" s="124">
        <v>773</v>
      </c>
      <c r="D649" s="125">
        <v>1280.8030000000001</v>
      </c>
      <c r="E649" s="126">
        <v>139.83240000000001</v>
      </c>
      <c r="F649" s="126">
        <v>74.004099999999994</v>
      </c>
      <c r="G649" s="127">
        <v>9.1595581567648132</v>
      </c>
      <c r="H649" s="127">
        <v>10.445367216140728</v>
      </c>
      <c r="I649" s="128">
        <v>7684657</v>
      </c>
      <c r="J649" s="128">
        <v>9720890</v>
      </c>
      <c r="K649" s="128">
        <v>7630926</v>
      </c>
      <c r="L649" s="128">
        <v>8198582</v>
      </c>
      <c r="M649" s="128">
        <v>8883585</v>
      </c>
      <c r="N649" s="128">
        <v>8470334</v>
      </c>
      <c r="O649" s="128">
        <v>6402394</v>
      </c>
    </row>
    <row r="650" spans="1:15">
      <c r="A650" s="132" t="s">
        <v>766</v>
      </c>
      <c r="B650" s="123" t="s">
        <v>767</v>
      </c>
      <c r="C650" s="124">
        <v>226</v>
      </c>
      <c r="D650" s="125">
        <v>342.06100000000004</v>
      </c>
      <c r="E650" s="126">
        <v>40.198799999999999</v>
      </c>
      <c r="F650" s="126">
        <v>19.5227</v>
      </c>
      <c r="G650" s="127">
        <v>8.5092341064907426</v>
      </c>
      <c r="H650" s="127">
        <v>11.576267626916358</v>
      </c>
      <c r="I650" s="128">
        <v>2404260</v>
      </c>
      <c r="J650" s="128">
        <v>2779501</v>
      </c>
      <c r="K650" s="128">
        <v>2634086</v>
      </c>
      <c r="L650" s="128">
        <v>2630103</v>
      </c>
      <c r="M650" s="128">
        <v>3007911</v>
      </c>
      <c r="N650" s="128">
        <v>2883666</v>
      </c>
      <c r="O650" s="128">
        <v>3457302</v>
      </c>
    </row>
    <row r="651" spans="1:15">
      <c r="A651" s="132" t="s">
        <v>1218</v>
      </c>
      <c r="B651" s="123" t="s">
        <v>1219</v>
      </c>
      <c r="C651" s="124">
        <v>676</v>
      </c>
      <c r="D651" s="125">
        <v>1137.1079999999999</v>
      </c>
      <c r="E651" s="126">
        <v>132.70830000000001</v>
      </c>
      <c r="F651" s="126">
        <v>61.200699999999998</v>
      </c>
      <c r="G651" s="127">
        <v>8.5684768774824178</v>
      </c>
      <c r="H651" s="127">
        <v>11.045625295135514</v>
      </c>
      <c r="I651" s="128">
        <v>6314516</v>
      </c>
      <c r="J651" s="128">
        <v>6752413</v>
      </c>
      <c r="K651" s="128">
        <v>6794945</v>
      </c>
      <c r="L651" s="128">
        <v>6908827</v>
      </c>
      <c r="M651" s="128">
        <v>6972984</v>
      </c>
      <c r="N651" s="128">
        <v>7401504</v>
      </c>
      <c r="O651" s="128">
        <v>1265811</v>
      </c>
    </row>
    <row r="652" spans="1:15">
      <c r="A652" s="132" t="s">
        <v>158</v>
      </c>
      <c r="B652" s="123" t="s">
        <v>159</v>
      </c>
      <c r="C652" s="124">
        <v>3775</v>
      </c>
      <c r="D652" s="125">
        <v>4871.6210000000001</v>
      </c>
      <c r="E652" s="126">
        <v>634.64160000000004</v>
      </c>
      <c r="F652" s="126">
        <v>297.55939999999998</v>
      </c>
      <c r="G652" s="127">
        <v>7.6761766010926475</v>
      </c>
      <c r="H652" s="127">
        <v>12.686542586118941</v>
      </c>
      <c r="I652" s="128">
        <v>31632657</v>
      </c>
      <c r="J652" s="128">
        <v>31630503</v>
      </c>
      <c r="K652" s="128">
        <v>35556365</v>
      </c>
      <c r="L652" s="128">
        <v>32130568</v>
      </c>
      <c r="M652" s="128">
        <v>31788610</v>
      </c>
      <c r="N652" s="128">
        <v>31179180</v>
      </c>
      <c r="O652" s="128">
        <v>4245501</v>
      </c>
    </row>
    <row r="653" spans="1:15">
      <c r="A653" s="132" t="s">
        <v>1888</v>
      </c>
      <c r="B653" s="123" t="s">
        <v>1889</v>
      </c>
      <c r="C653" s="124">
        <v>803</v>
      </c>
      <c r="D653" s="125">
        <v>1315.567</v>
      </c>
      <c r="E653" s="126">
        <v>143.05439999999999</v>
      </c>
      <c r="F653" s="126">
        <v>72.141000000000005</v>
      </c>
      <c r="G653" s="127">
        <v>9.1962707892941431</v>
      </c>
      <c r="H653" s="127">
        <v>11.130979609376082</v>
      </c>
      <c r="I653" s="128">
        <v>10029966</v>
      </c>
      <c r="J653" s="128">
        <v>12058680</v>
      </c>
      <c r="K653" s="128">
        <v>9029105</v>
      </c>
      <c r="L653" s="128">
        <v>9941449</v>
      </c>
      <c r="M653" s="128">
        <v>11959204</v>
      </c>
      <c r="N653" s="128">
        <v>9024478</v>
      </c>
      <c r="O653" s="128">
        <v>2623896</v>
      </c>
    </row>
    <row r="654" spans="1:15">
      <c r="A654" s="132" t="s">
        <v>1220</v>
      </c>
      <c r="B654" s="123" t="s">
        <v>1221</v>
      </c>
      <c r="C654" s="124">
        <v>105</v>
      </c>
      <c r="D654" s="125">
        <v>168.04</v>
      </c>
      <c r="E654" s="126">
        <v>18.999499999999998</v>
      </c>
      <c r="F654" s="126">
        <v>8.9994999999999994</v>
      </c>
      <c r="G654" s="127">
        <v>8.8444432748230231</v>
      </c>
      <c r="H654" s="127">
        <v>11.667314850825047</v>
      </c>
      <c r="I654" s="128">
        <v>1342337</v>
      </c>
      <c r="J654" s="128">
        <v>1170658</v>
      </c>
      <c r="K654" s="128">
        <v>1303457</v>
      </c>
      <c r="L654" s="128">
        <v>1237922</v>
      </c>
      <c r="M654" s="128">
        <v>1322937</v>
      </c>
      <c r="N654" s="128">
        <v>1289188</v>
      </c>
      <c r="O654" s="128">
        <v>393804</v>
      </c>
    </row>
    <row r="655" spans="1:15">
      <c r="A655" s="132" t="s">
        <v>1434</v>
      </c>
      <c r="B655" s="123" t="s">
        <v>1435</v>
      </c>
      <c r="C655" s="124">
        <v>1522</v>
      </c>
      <c r="D655" s="125">
        <v>2075.3679999999999</v>
      </c>
      <c r="E655" s="126">
        <v>247.8768</v>
      </c>
      <c r="F655" s="126">
        <v>117.8278</v>
      </c>
      <c r="G655" s="127">
        <v>8.3725786358384493</v>
      </c>
      <c r="H655" s="127">
        <v>12.91715537419862</v>
      </c>
      <c r="I655" s="128">
        <v>14207376</v>
      </c>
      <c r="J655" s="128">
        <v>14310638</v>
      </c>
      <c r="K655" s="128">
        <v>14082045</v>
      </c>
      <c r="L655" s="128">
        <v>15673001</v>
      </c>
      <c r="M655" s="128">
        <v>15364749</v>
      </c>
      <c r="N655" s="128">
        <v>15819292</v>
      </c>
      <c r="O655" s="128">
        <v>1735321</v>
      </c>
    </row>
    <row r="656" spans="1:15">
      <c r="A656" s="132" t="s">
        <v>1943</v>
      </c>
      <c r="B656" s="123" t="s">
        <v>1944</v>
      </c>
      <c r="C656" s="124">
        <v>951</v>
      </c>
      <c r="D656" s="125">
        <v>1564.8320000000001</v>
      </c>
      <c r="E656" s="126">
        <v>161.39250000000001</v>
      </c>
      <c r="F656" s="126">
        <v>82.284499999999994</v>
      </c>
      <c r="G656" s="127">
        <v>9.6958161005003323</v>
      </c>
      <c r="H656" s="127">
        <v>11.557462219494559</v>
      </c>
      <c r="I656" s="128">
        <v>8727302</v>
      </c>
      <c r="J656" s="128">
        <v>9109030</v>
      </c>
      <c r="K656" s="128">
        <v>9280804</v>
      </c>
      <c r="L656" s="128">
        <v>8864765</v>
      </c>
      <c r="M656" s="128">
        <v>9369170</v>
      </c>
      <c r="N656" s="128">
        <v>9631439</v>
      </c>
      <c r="O656" s="128">
        <v>1242473</v>
      </c>
    </row>
    <row r="657" spans="1:15">
      <c r="A657" s="132" t="s">
        <v>583</v>
      </c>
      <c r="B657" s="123" t="s">
        <v>584</v>
      </c>
      <c r="C657" s="124">
        <v>14731</v>
      </c>
      <c r="D657" s="125">
        <v>19145.255000000001</v>
      </c>
      <c r="E657" s="126">
        <v>2058.1695</v>
      </c>
      <c r="F657" s="126">
        <v>897.16179999999997</v>
      </c>
      <c r="G657" s="127">
        <v>9.3020788618235777</v>
      </c>
      <c r="H657" s="127">
        <v>16.419557765388586</v>
      </c>
      <c r="I657" s="128">
        <v>116849512</v>
      </c>
      <c r="J657" s="128">
        <v>118700388</v>
      </c>
      <c r="K657" s="128">
        <v>113476073</v>
      </c>
      <c r="L657" s="128">
        <v>117710978</v>
      </c>
      <c r="M657" s="128">
        <v>119356491</v>
      </c>
      <c r="N657" s="128">
        <v>116175713</v>
      </c>
      <c r="O657" s="128">
        <v>9322386</v>
      </c>
    </row>
    <row r="658" spans="1:15">
      <c r="A658" s="132" t="s">
        <v>235</v>
      </c>
      <c r="B658" s="123" t="s">
        <v>236</v>
      </c>
      <c r="C658" s="124">
        <v>1260</v>
      </c>
      <c r="D658" s="125">
        <v>1892.5450000000001</v>
      </c>
      <c r="E658" s="126">
        <v>229.88759999999999</v>
      </c>
      <c r="F658" s="126">
        <v>113.44370000000001</v>
      </c>
      <c r="G658" s="127">
        <v>8.232479698774533</v>
      </c>
      <c r="H658" s="127">
        <v>11.106830965492133</v>
      </c>
      <c r="I658" s="128">
        <v>11244841</v>
      </c>
      <c r="J658" s="128">
        <v>10910090</v>
      </c>
      <c r="K658" s="128">
        <v>10930890</v>
      </c>
      <c r="L658" s="128">
        <v>11643892</v>
      </c>
      <c r="M658" s="128">
        <v>11359919</v>
      </c>
      <c r="N658" s="128">
        <v>11500253</v>
      </c>
      <c r="O658" s="128">
        <v>2299291</v>
      </c>
    </row>
    <row r="659" spans="1:15">
      <c r="A659" s="132" t="s">
        <v>1610</v>
      </c>
      <c r="B659" s="123" t="s">
        <v>1611</v>
      </c>
      <c r="C659" s="124">
        <v>209</v>
      </c>
      <c r="D659" s="125">
        <v>390.43299999999999</v>
      </c>
      <c r="E659" s="126">
        <v>43.502899999999997</v>
      </c>
      <c r="F659" s="126">
        <v>22.6432</v>
      </c>
      <c r="G659" s="127">
        <v>8.9748729395051825</v>
      </c>
      <c r="H659" s="127">
        <v>9.2301441492368568</v>
      </c>
      <c r="I659" s="128">
        <v>2374922</v>
      </c>
      <c r="J659" s="128">
        <v>2466513</v>
      </c>
      <c r="K659" s="128">
        <v>2457722</v>
      </c>
      <c r="L659" s="128">
        <v>2370846</v>
      </c>
      <c r="M659" s="128">
        <v>2374755</v>
      </c>
      <c r="N659" s="128">
        <v>2410602</v>
      </c>
      <c r="O659" s="128">
        <v>248756</v>
      </c>
    </row>
    <row r="660" spans="1:15">
      <c r="A660" s="132" t="s">
        <v>1142</v>
      </c>
      <c r="B660" s="123" t="s">
        <v>1143</v>
      </c>
      <c r="C660" s="124">
        <v>103</v>
      </c>
      <c r="D660" s="125">
        <v>254.96800000000002</v>
      </c>
      <c r="E660" s="126">
        <v>24.203099999999999</v>
      </c>
      <c r="F660" s="126">
        <v>12.6569</v>
      </c>
      <c r="G660" s="127">
        <v>10.534518305506321</v>
      </c>
      <c r="H660" s="127">
        <v>8.1378536608490233</v>
      </c>
      <c r="I660" s="128">
        <v>1358031</v>
      </c>
      <c r="J660" s="128">
        <v>1376903</v>
      </c>
      <c r="K660" s="128">
        <v>1456487</v>
      </c>
      <c r="L660" s="128">
        <v>1398856</v>
      </c>
      <c r="M660" s="128">
        <v>1410731</v>
      </c>
      <c r="N660" s="128">
        <v>1439089</v>
      </c>
      <c r="O660" s="128">
        <v>181088</v>
      </c>
    </row>
    <row r="661" spans="1:15">
      <c r="A661" s="132" t="s">
        <v>473</v>
      </c>
      <c r="B661" s="123" t="s">
        <v>474</v>
      </c>
      <c r="C661" s="124">
        <v>591</v>
      </c>
      <c r="D661" s="125">
        <v>855.64300000000003</v>
      </c>
      <c r="E661" s="126">
        <v>83.499300000000005</v>
      </c>
      <c r="F661" s="126">
        <v>46.501300000000001</v>
      </c>
      <c r="G661" s="127">
        <v>10.247307462457769</v>
      </c>
      <c r="H661" s="127">
        <v>12.70932210497341</v>
      </c>
      <c r="I661" s="128">
        <v>4618955</v>
      </c>
      <c r="J661" s="128">
        <v>4664130</v>
      </c>
      <c r="K661" s="128">
        <v>4569850</v>
      </c>
      <c r="L661" s="128">
        <v>4823435</v>
      </c>
      <c r="M661" s="128">
        <v>4474101</v>
      </c>
      <c r="N661" s="128">
        <v>4799052</v>
      </c>
      <c r="O661" s="128">
        <v>1777680</v>
      </c>
    </row>
    <row r="662" spans="1:15">
      <c r="A662" s="132" t="s">
        <v>1278</v>
      </c>
      <c r="B662" s="123" t="s">
        <v>1277</v>
      </c>
      <c r="C662" s="124">
        <v>7183</v>
      </c>
      <c r="D662" s="125">
        <v>8132.2420000000002</v>
      </c>
      <c r="E662" s="126">
        <v>1040.5377000000001</v>
      </c>
      <c r="F662" s="126">
        <v>478.43119999999999</v>
      </c>
      <c r="G662" s="127">
        <v>7.815422737686486</v>
      </c>
      <c r="H662" s="127">
        <v>15.013652955743689</v>
      </c>
      <c r="I662" s="128">
        <v>50136935</v>
      </c>
      <c r="J662" s="128">
        <v>55031229</v>
      </c>
      <c r="K662" s="128">
        <v>51347069</v>
      </c>
      <c r="L662" s="128">
        <v>50769962</v>
      </c>
      <c r="M662" s="128">
        <v>54343089</v>
      </c>
      <c r="N662" s="128">
        <v>53134082</v>
      </c>
      <c r="O662" s="128">
        <v>15143245</v>
      </c>
    </row>
    <row r="663" spans="1:15">
      <c r="A663" s="132" t="s">
        <v>1054</v>
      </c>
      <c r="B663" s="123" t="s">
        <v>1055</v>
      </c>
      <c r="C663" s="124">
        <v>2855</v>
      </c>
      <c r="D663" s="125">
        <v>3774.663</v>
      </c>
      <c r="E663" s="126">
        <v>411.66800000000001</v>
      </c>
      <c r="F663" s="126">
        <v>193.6489</v>
      </c>
      <c r="G663" s="127">
        <v>9.1691921645597905</v>
      </c>
      <c r="H663" s="127">
        <v>14.743176955820561</v>
      </c>
      <c r="I663" s="128">
        <v>19771906</v>
      </c>
      <c r="J663" s="128">
        <v>21206242</v>
      </c>
      <c r="K663" s="128">
        <v>21334899</v>
      </c>
      <c r="L663" s="128">
        <v>19886916</v>
      </c>
      <c r="M663" s="128">
        <v>21783955</v>
      </c>
      <c r="N663" s="128">
        <v>21226829</v>
      </c>
      <c r="O663" s="128">
        <v>2755402</v>
      </c>
    </row>
    <row r="664" spans="1:15">
      <c r="A664" s="132" t="s">
        <v>1156</v>
      </c>
      <c r="B664" s="123" t="s">
        <v>1157</v>
      </c>
      <c r="C664" s="124">
        <v>1616</v>
      </c>
      <c r="D664" s="125">
        <v>1977.1010000000001</v>
      </c>
      <c r="E664" s="126">
        <v>192.1867</v>
      </c>
      <c r="F664" s="126">
        <v>105.2393</v>
      </c>
      <c r="G664" s="127">
        <v>10.287397619086025</v>
      </c>
      <c r="H664" s="127">
        <v>15.35548031961444</v>
      </c>
      <c r="I664" s="128">
        <v>11064199</v>
      </c>
      <c r="J664" s="128">
        <v>10807233</v>
      </c>
      <c r="K664" s="128">
        <v>11148273</v>
      </c>
      <c r="L664" s="128">
        <v>11135777</v>
      </c>
      <c r="M664" s="128">
        <v>11098140</v>
      </c>
      <c r="N664" s="128">
        <v>10951074</v>
      </c>
      <c r="O664" s="128">
        <v>1776507</v>
      </c>
    </row>
    <row r="665" spans="1:15">
      <c r="A665" s="132" t="s">
        <v>1212</v>
      </c>
      <c r="B665" s="123" t="s">
        <v>1213</v>
      </c>
      <c r="C665" s="124">
        <v>585</v>
      </c>
      <c r="D665" s="125">
        <v>920.68200000000002</v>
      </c>
      <c r="E665" s="126">
        <v>95.340400000000002</v>
      </c>
      <c r="F665" s="126">
        <v>57.811199999999999</v>
      </c>
      <c r="G665" s="127">
        <v>9.6567876786755669</v>
      </c>
      <c r="H665" s="127">
        <v>10.119146462969113</v>
      </c>
      <c r="I665" s="128">
        <v>5306523</v>
      </c>
      <c r="J665" s="128">
        <v>5325384</v>
      </c>
      <c r="K665" s="128">
        <v>5324418</v>
      </c>
      <c r="L665" s="128">
        <v>5545343</v>
      </c>
      <c r="M665" s="128">
        <v>5515470</v>
      </c>
      <c r="N665" s="128">
        <v>5628560</v>
      </c>
      <c r="O665" s="128">
        <v>1580384</v>
      </c>
    </row>
    <row r="666" spans="1:15">
      <c r="A666" s="132" t="s">
        <v>1236</v>
      </c>
      <c r="B666" s="123" t="s">
        <v>1237</v>
      </c>
      <c r="C666" s="124">
        <v>1321</v>
      </c>
      <c r="D666" s="125">
        <v>1782.527</v>
      </c>
      <c r="E666" s="126">
        <v>232.27779999999998</v>
      </c>
      <c r="F666" s="126">
        <v>105.7848</v>
      </c>
      <c r="G666" s="127">
        <v>7.6741169410077079</v>
      </c>
      <c r="H666" s="127">
        <v>12.487616368325128</v>
      </c>
      <c r="I666" s="128">
        <v>10803895</v>
      </c>
      <c r="J666" s="128">
        <v>11903205</v>
      </c>
      <c r="K666" s="128">
        <v>11247457</v>
      </c>
      <c r="L666" s="128">
        <v>10891692</v>
      </c>
      <c r="M666" s="128">
        <v>10999175</v>
      </c>
      <c r="N666" s="128">
        <v>10984613</v>
      </c>
      <c r="O666" s="128">
        <v>831310</v>
      </c>
    </row>
    <row r="667" spans="1:15">
      <c r="A667" s="132" t="s">
        <v>1305</v>
      </c>
      <c r="B667" s="123" t="s">
        <v>1306</v>
      </c>
      <c r="C667" s="124">
        <v>684</v>
      </c>
      <c r="D667" s="125">
        <v>1065.4770000000001</v>
      </c>
      <c r="E667" s="126">
        <v>123.6139</v>
      </c>
      <c r="F667" s="126">
        <v>68.502200000000002</v>
      </c>
      <c r="G667" s="127">
        <v>8.6193947444421717</v>
      </c>
      <c r="H667" s="127">
        <v>9.9850807711285174</v>
      </c>
      <c r="I667" s="128">
        <v>6438880</v>
      </c>
      <c r="J667" s="128">
        <v>6274806</v>
      </c>
      <c r="K667" s="128">
        <v>6187849</v>
      </c>
      <c r="L667" s="128">
        <v>6753868</v>
      </c>
      <c r="M667" s="128">
        <v>6102197</v>
      </c>
      <c r="N667" s="128">
        <v>7291868</v>
      </c>
      <c r="O667" s="128">
        <v>5718187</v>
      </c>
    </row>
    <row r="668" spans="1:15">
      <c r="A668" s="132" t="s">
        <v>1586</v>
      </c>
      <c r="B668" s="123" t="s">
        <v>1587</v>
      </c>
      <c r="C668" s="124">
        <v>588</v>
      </c>
      <c r="D668" s="125">
        <v>894.47</v>
      </c>
      <c r="E668" s="126">
        <v>83.500599999999991</v>
      </c>
      <c r="F668" s="126">
        <v>48.883299999999998</v>
      </c>
      <c r="G668" s="127">
        <v>10.712138595411291</v>
      </c>
      <c r="H668" s="127">
        <v>12.028647820421289</v>
      </c>
      <c r="I668" s="128">
        <v>4448071</v>
      </c>
      <c r="J668" s="128">
        <v>4721389</v>
      </c>
      <c r="K668" s="128">
        <v>4384958</v>
      </c>
      <c r="L668" s="128">
        <v>4685673</v>
      </c>
      <c r="M668" s="128">
        <v>5131226</v>
      </c>
      <c r="N668" s="128">
        <v>5152850</v>
      </c>
      <c r="O668" s="128">
        <v>1867190</v>
      </c>
    </row>
    <row r="669" spans="1:15">
      <c r="A669" s="132" t="s">
        <v>1959</v>
      </c>
      <c r="B669" s="123" t="s">
        <v>1960</v>
      </c>
      <c r="C669" s="124">
        <v>15240</v>
      </c>
      <c r="D669" s="125">
        <v>19323.163</v>
      </c>
      <c r="E669" s="126">
        <v>2126.6359000000002</v>
      </c>
      <c r="F669" s="126">
        <v>1076.2891</v>
      </c>
      <c r="G669" s="127">
        <v>9.0862582541750552</v>
      </c>
      <c r="H669" s="127">
        <v>14.159764323544669</v>
      </c>
      <c r="I669" s="128">
        <v>112242297</v>
      </c>
      <c r="J669" s="128">
        <v>113641653</v>
      </c>
      <c r="K669" s="128">
        <v>111531204</v>
      </c>
      <c r="L669" s="128">
        <v>114248079</v>
      </c>
      <c r="M669" s="128">
        <v>113879808</v>
      </c>
      <c r="N669" s="128">
        <v>115096965</v>
      </c>
      <c r="O669" s="128">
        <v>27072569</v>
      </c>
    </row>
    <row r="670" spans="1:15">
      <c r="A670" s="132" t="s">
        <v>1997</v>
      </c>
      <c r="B670" s="123" t="s">
        <v>1998</v>
      </c>
      <c r="C670" s="124">
        <v>1506</v>
      </c>
      <c r="D670" s="125">
        <v>1945.546</v>
      </c>
      <c r="E670" s="126">
        <v>322.71839999999997</v>
      </c>
      <c r="F670" s="126">
        <v>127.4301</v>
      </c>
      <c r="G670" s="127">
        <v>6.0286181389099607</v>
      </c>
      <c r="H670" s="127">
        <v>11.818243884294214</v>
      </c>
      <c r="I670" s="128">
        <v>11085146</v>
      </c>
      <c r="J670" s="128">
        <v>9776039</v>
      </c>
      <c r="K670" s="128">
        <v>10585730</v>
      </c>
      <c r="L670" s="128">
        <v>11351007</v>
      </c>
      <c r="M670" s="128">
        <v>11823549</v>
      </c>
      <c r="N670" s="128">
        <v>12046194</v>
      </c>
      <c r="O670" s="128">
        <v>119609</v>
      </c>
    </row>
    <row r="671" spans="1:15">
      <c r="A671" s="132" t="s">
        <v>136</v>
      </c>
      <c r="B671" s="123" t="s">
        <v>137</v>
      </c>
      <c r="C671" s="124">
        <v>797</v>
      </c>
      <c r="D671" s="125">
        <v>1333.124</v>
      </c>
      <c r="E671" s="126">
        <v>145.16660000000002</v>
      </c>
      <c r="F671" s="126">
        <v>76.611900000000006</v>
      </c>
      <c r="G671" s="127">
        <v>9.183407202483215</v>
      </c>
      <c r="H671" s="127">
        <v>10.403083594063062</v>
      </c>
      <c r="I671" s="128">
        <v>11400891</v>
      </c>
      <c r="J671" s="128">
        <v>8522752</v>
      </c>
      <c r="K671" s="128">
        <v>8025891</v>
      </c>
      <c r="L671" s="128">
        <v>8455115</v>
      </c>
      <c r="M671" s="128">
        <v>7959249</v>
      </c>
      <c r="N671" s="128">
        <v>7912214</v>
      </c>
      <c r="O671" s="128">
        <v>2168999</v>
      </c>
    </row>
    <row r="672" spans="1:15">
      <c r="A672" s="132" t="s">
        <v>271</v>
      </c>
      <c r="B672" s="123" t="s">
        <v>272</v>
      </c>
      <c r="C672" s="124">
        <v>841</v>
      </c>
      <c r="D672" s="125">
        <v>1298.731</v>
      </c>
      <c r="E672" s="126">
        <v>168.31200000000001</v>
      </c>
      <c r="F672" s="126">
        <v>84.817999999999998</v>
      </c>
      <c r="G672" s="127">
        <v>7.7162115594847656</v>
      </c>
      <c r="H672" s="127">
        <v>9.9153481572307776</v>
      </c>
      <c r="I672" s="128">
        <v>9023564</v>
      </c>
      <c r="J672" s="128">
        <v>8515238</v>
      </c>
      <c r="K672" s="128">
        <v>7980922</v>
      </c>
      <c r="L672" s="128">
        <v>8663764</v>
      </c>
      <c r="M672" s="128">
        <v>8257392</v>
      </c>
      <c r="N672" s="128">
        <v>8509064</v>
      </c>
      <c r="O672" s="128">
        <v>2571935</v>
      </c>
    </row>
    <row r="673" spans="1:15">
      <c r="A673" s="132" t="s">
        <v>379</v>
      </c>
      <c r="B673" s="123" t="s">
        <v>380</v>
      </c>
      <c r="C673" s="124">
        <v>2336</v>
      </c>
      <c r="D673" s="125">
        <v>2793.59</v>
      </c>
      <c r="E673" s="126">
        <v>278.20510000000002</v>
      </c>
      <c r="F673" s="126">
        <v>157.94049999999999</v>
      </c>
      <c r="G673" s="127">
        <v>10.041476594066751</v>
      </c>
      <c r="H673" s="127">
        <v>14.790379921552738</v>
      </c>
      <c r="I673" s="128">
        <v>13456189</v>
      </c>
      <c r="J673" s="128">
        <v>14348202</v>
      </c>
      <c r="K673" s="128">
        <v>14315861</v>
      </c>
      <c r="L673" s="128">
        <v>14785382</v>
      </c>
      <c r="M673" s="128">
        <v>15268905</v>
      </c>
      <c r="N673" s="128">
        <v>15598840</v>
      </c>
      <c r="O673" s="128">
        <v>1408846</v>
      </c>
    </row>
    <row r="674" spans="1:15">
      <c r="A674" s="132" t="s">
        <v>441</v>
      </c>
      <c r="B674" s="123" t="s">
        <v>442</v>
      </c>
      <c r="C674" s="124">
        <v>2465</v>
      </c>
      <c r="D674" s="125">
        <v>3243.1990000000001</v>
      </c>
      <c r="E674" s="126">
        <v>342.572</v>
      </c>
      <c r="F674" s="126">
        <v>165.50579999999999</v>
      </c>
      <c r="G674" s="127">
        <v>9.4672039746389078</v>
      </c>
      <c r="H674" s="127">
        <v>14.893737862963111</v>
      </c>
      <c r="I674" s="128">
        <v>17883379</v>
      </c>
      <c r="J674" s="128">
        <v>17973938</v>
      </c>
      <c r="K674" s="128">
        <v>17486897</v>
      </c>
      <c r="L674" s="128">
        <v>17931213</v>
      </c>
      <c r="M674" s="128">
        <v>17938932</v>
      </c>
      <c r="N674" s="128">
        <v>19229565</v>
      </c>
      <c r="O674" s="128">
        <v>4996206</v>
      </c>
    </row>
    <row r="675" spans="1:15">
      <c r="A675" s="132" t="s">
        <v>1604</v>
      </c>
      <c r="B675" s="123" t="s">
        <v>1605</v>
      </c>
      <c r="C675" s="124">
        <v>2135</v>
      </c>
      <c r="D675" s="125">
        <v>2719.873</v>
      </c>
      <c r="E675" s="126">
        <v>286.17379999999997</v>
      </c>
      <c r="F675" s="126">
        <v>170.0692</v>
      </c>
      <c r="G675" s="127">
        <v>9.5042697829081497</v>
      </c>
      <c r="H675" s="127">
        <v>12.553713429592189</v>
      </c>
      <c r="I675" s="128">
        <v>16167009</v>
      </c>
      <c r="J675" s="128">
        <v>15808893</v>
      </c>
      <c r="K675" s="128">
        <v>17693209</v>
      </c>
      <c r="L675" s="128">
        <v>16743002</v>
      </c>
      <c r="M675" s="128">
        <v>16058891</v>
      </c>
      <c r="N675" s="128">
        <v>16659957</v>
      </c>
      <c r="O675" s="128">
        <v>1679171</v>
      </c>
    </row>
    <row r="676" spans="1:15">
      <c r="A676" s="132" t="s">
        <v>223</v>
      </c>
      <c r="B676" s="123" t="s">
        <v>224</v>
      </c>
      <c r="C676" s="124">
        <v>578</v>
      </c>
      <c r="D676" s="125">
        <v>843.04</v>
      </c>
      <c r="E676" s="126">
        <v>88.276299999999992</v>
      </c>
      <c r="F676" s="126">
        <v>47.168900000000001</v>
      </c>
      <c r="G676" s="127">
        <v>9.5500151229718515</v>
      </c>
      <c r="H676" s="127">
        <v>12.253836744125897</v>
      </c>
      <c r="I676" s="128">
        <v>4591302</v>
      </c>
      <c r="J676" s="128">
        <v>4919506</v>
      </c>
      <c r="K676" s="128">
        <v>4517629</v>
      </c>
      <c r="L676" s="128">
        <v>4564281</v>
      </c>
      <c r="M676" s="128">
        <v>5132864</v>
      </c>
      <c r="N676" s="128">
        <v>5161337</v>
      </c>
      <c r="O676" s="128">
        <v>920159</v>
      </c>
    </row>
    <row r="677" spans="1:15">
      <c r="A677" s="132" t="s">
        <v>816</v>
      </c>
      <c r="B677" s="123" t="s">
        <v>817</v>
      </c>
      <c r="C677" s="124">
        <v>94</v>
      </c>
      <c r="D677" s="125">
        <v>158.44999999999999</v>
      </c>
      <c r="E677" s="126">
        <v>16.6523</v>
      </c>
      <c r="F677" s="126">
        <v>9.1790000000000003</v>
      </c>
      <c r="G677" s="127">
        <v>9.5152021042138326</v>
      </c>
      <c r="H677" s="127">
        <v>10.240766968079312</v>
      </c>
      <c r="I677" s="128">
        <v>1007154</v>
      </c>
      <c r="J677" s="128">
        <v>842219</v>
      </c>
      <c r="K677" s="128">
        <v>1002583</v>
      </c>
      <c r="L677" s="128">
        <v>1150408</v>
      </c>
      <c r="M677" s="128">
        <v>953997</v>
      </c>
      <c r="N677" s="128">
        <v>1046235</v>
      </c>
      <c r="O677" s="128">
        <v>531315</v>
      </c>
    </row>
    <row r="678" spans="1:15">
      <c r="A678" s="132" t="s">
        <v>736</v>
      </c>
      <c r="B678" s="123" t="s">
        <v>737</v>
      </c>
      <c r="C678" s="124">
        <v>144</v>
      </c>
      <c r="D678" s="125">
        <v>241.17700000000002</v>
      </c>
      <c r="E678" s="126">
        <v>22.999500000000001</v>
      </c>
      <c r="F678" s="126">
        <v>10.999499999999999</v>
      </c>
      <c r="G678" s="127">
        <v>10.486184482271353</v>
      </c>
      <c r="H678" s="127">
        <v>13.091504159279967</v>
      </c>
      <c r="I678" s="128">
        <v>1170491</v>
      </c>
      <c r="J678" s="128">
        <v>1182897</v>
      </c>
      <c r="K678" s="128">
        <v>1248586</v>
      </c>
      <c r="L678" s="128">
        <v>1339000</v>
      </c>
      <c r="M678" s="128">
        <v>1410160</v>
      </c>
      <c r="N678" s="128">
        <v>1507943</v>
      </c>
      <c r="O678" s="128">
        <v>1994591</v>
      </c>
    </row>
    <row r="679" spans="1:15">
      <c r="A679" s="132" t="s">
        <v>1244</v>
      </c>
      <c r="B679" s="123" t="s">
        <v>1245</v>
      </c>
      <c r="C679" s="124">
        <v>178</v>
      </c>
      <c r="D679" s="125">
        <v>310.23900000000003</v>
      </c>
      <c r="E679" s="126">
        <v>42.087400000000002</v>
      </c>
      <c r="F679" s="126">
        <v>18.9634</v>
      </c>
      <c r="G679" s="127">
        <v>7.3713035255207027</v>
      </c>
      <c r="H679" s="127">
        <v>9.3865024204520289</v>
      </c>
      <c r="I679" s="128">
        <v>3304660</v>
      </c>
      <c r="J679" s="128">
        <v>4664393</v>
      </c>
      <c r="K679" s="128">
        <v>3607298</v>
      </c>
      <c r="L679" s="128">
        <v>3055262</v>
      </c>
      <c r="M679" s="128">
        <v>3004531</v>
      </c>
      <c r="N679" s="128">
        <v>3583106</v>
      </c>
      <c r="O679" s="128">
        <v>1358637</v>
      </c>
    </row>
    <row r="680" spans="1:15">
      <c r="A680" s="132" t="s">
        <v>545</v>
      </c>
      <c r="B680" s="123" t="s">
        <v>546</v>
      </c>
      <c r="C680" s="124">
        <v>1962</v>
      </c>
      <c r="D680" s="125">
        <v>2575.6330000000003</v>
      </c>
      <c r="E680" s="126">
        <v>289.875</v>
      </c>
      <c r="F680" s="126">
        <v>134.67570000000001</v>
      </c>
      <c r="G680" s="127">
        <v>8.8853229840448478</v>
      </c>
      <c r="H680" s="127">
        <v>14.568329698676152</v>
      </c>
      <c r="I680" s="128">
        <v>14916111</v>
      </c>
      <c r="J680" s="128">
        <v>14955244</v>
      </c>
      <c r="K680" s="128">
        <v>15591343</v>
      </c>
      <c r="L680" s="128">
        <v>15051102</v>
      </c>
      <c r="M680" s="128">
        <v>14920584</v>
      </c>
      <c r="N680" s="128">
        <v>15737061</v>
      </c>
      <c r="O680" s="128">
        <v>2347844</v>
      </c>
    </row>
    <row r="681" spans="1:15">
      <c r="A681" s="132" t="s">
        <v>503</v>
      </c>
      <c r="B681" s="123" t="s">
        <v>504</v>
      </c>
      <c r="C681" s="124">
        <v>328</v>
      </c>
      <c r="D681" s="125">
        <v>593.16899999999998</v>
      </c>
      <c r="E681" s="126">
        <v>56.732799999999997</v>
      </c>
      <c r="F681" s="126">
        <v>29.0595</v>
      </c>
      <c r="G681" s="127">
        <v>10.455486068024141</v>
      </c>
      <c r="H681" s="127">
        <v>11.287186634319241</v>
      </c>
      <c r="I681" s="128">
        <v>3448315</v>
      </c>
      <c r="J681" s="128">
        <v>3498884</v>
      </c>
      <c r="K681" s="128">
        <v>3153525</v>
      </c>
      <c r="L681" s="128">
        <v>3475365</v>
      </c>
      <c r="M681" s="128">
        <v>3548483</v>
      </c>
      <c r="N681" s="128">
        <v>3366640</v>
      </c>
      <c r="O681" s="128">
        <v>32502</v>
      </c>
    </row>
    <row r="682" spans="1:15">
      <c r="A682" s="132" t="s">
        <v>1341</v>
      </c>
      <c r="B682" s="123" t="s">
        <v>1342</v>
      </c>
      <c r="C682" s="124">
        <v>1073</v>
      </c>
      <c r="D682" s="125">
        <v>1521.3340000000001</v>
      </c>
      <c r="E682" s="126">
        <v>202.47800000000001</v>
      </c>
      <c r="F682" s="126">
        <v>79.350700000000003</v>
      </c>
      <c r="G682" s="127">
        <v>7.5135767836505698</v>
      </c>
      <c r="H682" s="127">
        <v>13.522249961247978</v>
      </c>
      <c r="I682" s="128">
        <v>8859872</v>
      </c>
      <c r="J682" s="128">
        <v>9277877</v>
      </c>
      <c r="K682" s="128">
        <v>9019312</v>
      </c>
      <c r="L682" s="128">
        <v>9007489</v>
      </c>
      <c r="M682" s="128">
        <v>9057846</v>
      </c>
      <c r="N682" s="128">
        <v>9480148</v>
      </c>
      <c r="O682" s="128">
        <v>1175856</v>
      </c>
    </row>
    <row r="683" spans="1:15">
      <c r="A683" s="132" t="s">
        <v>895</v>
      </c>
      <c r="B683" s="123" t="s">
        <v>896</v>
      </c>
      <c r="C683" s="124">
        <v>2237</v>
      </c>
      <c r="D683" s="125">
        <v>2819.7440000000001</v>
      </c>
      <c r="E683" s="126">
        <v>341.00880000000001</v>
      </c>
      <c r="F683" s="126">
        <v>171.1994</v>
      </c>
      <c r="G683" s="127">
        <v>8.2688305990930449</v>
      </c>
      <c r="H683" s="127">
        <v>13.066634579326797</v>
      </c>
      <c r="I683" s="128">
        <v>16941313</v>
      </c>
      <c r="J683" s="128">
        <v>16472349</v>
      </c>
      <c r="K683" s="128">
        <v>16686872</v>
      </c>
      <c r="L683" s="128">
        <v>16170322</v>
      </c>
      <c r="M683" s="128">
        <v>16488106</v>
      </c>
      <c r="N683" s="128">
        <v>16295881</v>
      </c>
      <c r="O683" s="128">
        <v>1768030</v>
      </c>
    </row>
    <row r="684" spans="1:15">
      <c r="A684" s="132" t="s">
        <v>1250</v>
      </c>
      <c r="B684" s="123" t="s">
        <v>1251</v>
      </c>
      <c r="C684" s="124">
        <v>3475</v>
      </c>
      <c r="D684" s="125">
        <v>4350.4740000000002</v>
      </c>
      <c r="E684" s="126">
        <v>445.67679999999996</v>
      </c>
      <c r="F684" s="126">
        <v>216.32820000000001</v>
      </c>
      <c r="G684" s="127">
        <v>9.7614998133176343</v>
      </c>
      <c r="H684" s="127">
        <v>16.063555283129983</v>
      </c>
      <c r="I684" s="128">
        <v>23784987</v>
      </c>
      <c r="J684" s="128">
        <v>24207746</v>
      </c>
      <c r="K684" s="128">
        <v>24063049</v>
      </c>
      <c r="L684" s="128">
        <v>23785005</v>
      </c>
      <c r="M684" s="128">
        <v>24207760</v>
      </c>
      <c r="N684" s="128">
        <v>25905182</v>
      </c>
      <c r="O684" s="128">
        <v>4943210</v>
      </c>
    </row>
    <row r="685" spans="1:15">
      <c r="A685" s="132" t="s">
        <v>1256</v>
      </c>
      <c r="B685" s="123" t="s">
        <v>1257</v>
      </c>
      <c r="C685" s="124">
        <v>325</v>
      </c>
      <c r="D685" s="125">
        <v>604.495</v>
      </c>
      <c r="E685" s="126">
        <v>74.000599999999991</v>
      </c>
      <c r="F685" s="126">
        <v>34.000500000000002</v>
      </c>
      <c r="G685" s="127">
        <v>8.1687851179585049</v>
      </c>
      <c r="H685" s="127">
        <v>9.5586829605446972</v>
      </c>
      <c r="I685" s="128">
        <v>3424510</v>
      </c>
      <c r="J685" s="128">
        <v>3520325</v>
      </c>
      <c r="K685" s="128">
        <v>3301265</v>
      </c>
      <c r="L685" s="128">
        <v>3484506</v>
      </c>
      <c r="M685" s="128">
        <v>3592122</v>
      </c>
      <c r="N685" s="128">
        <v>3407782</v>
      </c>
      <c r="O685" s="128">
        <v>316929</v>
      </c>
    </row>
    <row r="686" spans="1:15">
      <c r="A686" s="132" t="s">
        <v>1272</v>
      </c>
      <c r="B686" s="123" t="s">
        <v>1273</v>
      </c>
      <c r="C686" s="124">
        <v>21614</v>
      </c>
      <c r="D686" s="125">
        <v>25282.271000000001</v>
      </c>
      <c r="E686" s="126">
        <v>2765.0805</v>
      </c>
      <c r="F686" s="126">
        <v>1443.1439</v>
      </c>
      <c r="G686" s="127">
        <v>9.1434122804019626</v>
      </c>
      <c r="H686" s="127">
        <v>14.977023427809243</v>
      </c>
      <c r="I686" s="128">
        <v>151675339</v>
      </c>
      <c r="J686" s="128">
        <v>152447723</v>
      </c>
      <c r="K686" s="128">
        <v>154386489</v>
      </c>
      <c r="L686" s="128">
        <v>151578058</v>
      </c>
      <c r="M686" s="128">
        <v>152623878</v>
      </c>
      <c r="N686" s="128">
        <v>152450483</v>
      </c>
      <c r="O686" s="128">
        <v>30282018</v>
      </c>
    </row>
    <row r="687" spans="1:15">
      <c r="A687" s="132" t="s">
        <v>794</v>
      </c>
      <c r="B687" s="123" t="s">
        <v>795</v>
      </c>
      <c r="C687" s="124">
        <v>1701</v>
      </c>
      <c r="D687" s="125">
        <v>2076.873</v>
      </c>
      <c r="E687" s="126">
        <v>182.9316</v>
      </c>
      <c r="F687" s="126">
        <v>112.15860000000001</v>
      </c>
      <c r="G687" s="127">
        <v>11.353276306553925</v>
      </c>
      <c r="H687" s="127">
        <v>15.166023826973587</v>
      </c>
      <c r="I687" s="128">
        <v>12315541</v>
      </c>
      <c r="J687" s="128">
        <v>12957514</v>
      </c>
      <c r="K687" s="128">
        <v>12806908</v>
      </c>
      <c r="L687" s="128">
        <v>12689823</v>
      </c>
      <c r="M687" s="128">
        <v>12750687</v>
      </c>
      <c r="N687" s="128">
        <v>13257041</v>
      </c>
      <c r="O687" s="128">
        <v>3940951</v>
      </c>
    </row>
    <row r="688" spans="1:15">
      <c r="A688" s="132" t="s">
        <v>315</v>
      </c>
      <c r="B688" s="123" t="s">
        <v>316</v>
      </c>
      <c r="C688" s="124">
        <v>1577</v>
      </c>
      <c r="D688" s="125">
        <v>2139.085</v>
      </c>
      <c r="E688" s="126">
        <v>234.11630000000002</v>
      </c>
      <c r="F688" s="126">
        <v>127.476</v>
      </c>
      <c r="G688" s="127">
        <v>9.1368477974408435</v>
      </c>
      <c r="H688" s="127">
        <v>12.370956101540683</v>
      </c>
      <c r="I688" s="128">
        <v>12269488</v>
      </c>
      <c r="J688" s="128">
        <v>12155965</v>
      </c>
      <c r="K688" s="128">
        <v>12654080</v>
      </c>
      <c r="L688" s="128">
        <v>13316705</v>
      </c>
      <c r="M688" s="128">
        <v>12420545</v>
      </c>
      <c r="N688" s="128">
        <v>12741134</v>
      </c>
      <c r="O688" s="128">
        <v>4031995</v>
      </c>
    </row>
    <row r="689" spans="1:15">
      <c r="A689" s="132" t="s">
        <v>730</v>
      </c>
      <c r="B689" s="123" t="s">
        <v>731</v>
      </c>
      <c r="C689" s="124">
        <v>181</v>
      </c>
      <c r="D689" s="125">
        <v>274.22399999999999</v>
      </c>
      <c r="E689" s="126">
        <v>28.840300000000003</v>
      </c>
      <c r="F689" s="126">
        <v>17.000900000000001</v>
      </c>
      <c r="G689" s="127">
        <v>9.5083615635066199</v>
      </c>
      <c r="H689" s="127">
        <v>10.646495185549</v>
      </c>
      <c r="I689" s="128">
        <v>1472865</v>
      </c>
      <c r="J689" s="128">
        <v>1514991</v>
      </c>
      <c r="K689" s="128">
        <v>1413840</v>
      </c>
      <c r="L689" s="128">
        <v>1525264</v>
      </c>
      <c r="M689" s="128">
        <v>1572056</v>
      </c>
      <c r="N689" s="128">
        <v>1567175</v>
      </c>
      <c r="O689" s="128">
        <v>597001</v>
      </c>
    </row>
    <row r="690" spans="1:15">
      <c r="A690" s="132" t="s">
        <v>1279</v>
      </c>
      <c r="B690" s="123" t="s">
        <v>1280</v>
      </c>
      <c r="C690" s="124">
        <v>404</v>
      </c>
      <c r="D690" s="125">
        <v>660.27800000000002</v>
      </c>
      <c r="E690" s="126">
        <v>68.729700000000008</v>
      </c>
      <c r="F690" s="126">
        <v>35.883400000000002</v>
      </c>
      <c r="G690" s="127">
        <v>9.6068802861062963</v>
      </c>
      <c r="H690" s="127">
        <v>11.258687861239459</v>
      </c>
      <c r="I690" s="128">
        <v>3687556</v>
      </c>
      <c r="J690" s="128">
        <v>3549434</v>
      </c>
      <c r="K690" s="128">
        <v>4013370</v>
      </c>
      <c r="L690" s="128">
        <v>3945385</v>
      </c>
      <c r="M690" s="128">
        <v>3786990</v>
      </c>
      <c r="N690" s="128">
        <v>4047596</v>
      </c>
      <c r="O690" s="128">
        <v>858746</v>
      </c>
    </row>
    <row r="691" spans="1:15">
      <c r="A691" s="132" t="s">
        <v>1612</v>
      </c>
      <c r="B691" s="123" t="s">
        <v>1613</v>
      </c>
      <c r="C691" s="124">
        <v>1696</v>
      </c>
      <c r="D691" s="125">
        <v>2316.9450000000002</v>
      </c>
      <c r="E691" s="126">
        <v>234.4042</v>
      </c>
      <c r="F691" s="126">
        <v>115.9883</v>
      </c>
      <c r="G691" s="127">
        <v>9.8844005354852857</v>
      </c>
      <c r="H691" s="127">
        <v>14.622164476934312</v>
      </c>
      <c r="I691" s="128">
        <v>12039751</v>
      </c>
      <c r="J691" s="128">
        <v>13250214</v>
      </c>
      <c r="K691" s="128">
        <v>12531049</v>
      </c>
      <c r="L691" s="128">
        <v>12706458</v>
      </c>
      <c r="M691" s="128">
        <v>13518096</v>
      </c>
      <c r="N691" s="128">
        <v>13650436</v>
      </c>
      <c r="O691" s="128">
        <v>5378259</v>
      </c>
    </row>
    <row r="692" spans="1:15">
      <c r="A692" s="132" t="s">
        <v>1878</v>
      </c>
      <c r="B692" s="123" t="s">
        <v>1879</v>
      </c>
      <c r="C692" s="124">
        <v>538</v>
      </c>
      <c r="D692" s="125">
        <v>845.39800000000002</v>
      </c>
      <c r="E692" s="126">
        <v>96.614800000000002</v>
      </c>
      <c r="F692" s="126">
        <v>51.731400000000001</v>
      </c>
      <c r="G692" s="127">
        <v>8.7501914820503686</v>
      </c>
      <c r="H692" s="127">
        <v>10.399873191137297</v>
      </c>
      <c r="I692" s="128">
        <v>5434069</v>
      </c>
      <c r="J692" s="128">
        <v>5320264</v>
      </c>
      <c r="K692" s="128">
        <v>5361533</v>
      </c>
      <c r="L692" s="128">
        <v>5390091</v>
      </c>
      <c r="M692" s="128">
        <v>5415325</v>
      </c>
      <c r="N692" s="128">
        <v>5108531</v>
      </c>
      <c r="O692" s="128">
        <v>730435</v>
      </c>
    </row>
    <row r="693" spans="1:15">
      <c r="A693" s="132" t="s">
        <v>277</v>
      </c>
      <c r="B693" s="123" t="s">
        <v>278</v>
      </c>
      <c r="C693" s="124">
        <v>178</v>
      </c>
      <c r="D693" s="125">
        <v>294.21700000000004</v>
      </c>
      <c r="E693" s="126">
        <v>42.014600000000002</v>
      </c>
      <c r="F693" s="126">
        <v>22</v>
      </c>
      <c r="G693" s="127">
        <v>7.0027323835047826</v>
      </c>
      <c r="H693" s="127">
        <v>8.0909090909090917</v>
      </c>
      <c r="I693" s="128">
        <v>1769292</v>
      </c>
      <c r="J693" s="128">
        <v>1770608</v>
      </c>
      <c r="K693" s="128">
        <v>1825421</v>
      </c>
      <c r="L693" s="128">
        <v>1748816</v>
      </c>
      <c r="M693" s="128">
        <v>1560544</v>
      </c>
      <c r="N693" s="128">
        <v>1689570</v>
      </c>
      <c r="O693" s="128">
        <v>507364</v>
      </c>
    </row>
    <row r="694" spans="1:15">
      <c r="A694" s="132" t="s">
        <v>752</v>
      </c>
      <c r="B694" s="123" t="s">
        <v>753</v>
      </c>
      <c r="C694" s="124">
        <v>599</v>
      </c>
      <c r="D694" s="125">
        <v>896.77700000000004</v>
      </c>
      <c r="E694" s="126">
        <v>123.40480000000001</v>
      </c>
      <c r="F694" s="126">
        <v>55.321399999999997</v>
      </c>
      <c r="G694" s="127">
        <v>7.266953959651488</v>
      </c>
      <c r="H694" s="127">
        <v>10.827636321568146</v>
      </c>
      <c r="I694" s="128">
        <v>4880297</v>
      </c>
      <c r="J694" s="128">
        <v>4863710</v>
      </c>
      <c r="K694" s="128">
        <v>5012407</v>
      </c>
      <c r="L694" s="128">
        <v>5063319</v>
      </c>
      <c r="M694" s="128">
        <v>4999868</v>
      </c>
      <c r="N694" s="128">
        <v>5378509</v>
      </c>
      <c r="O694" s="128">
        <v>1318583</v>
      </c>
    </row>
    <row r="695" spans="1:15">
      <c r="A695" s="132" t="s">
        <v>1331</v>
      </c>
      <c r="B695" s="123" t="s">
        <v>1332</v>
      </c>
      <c r="C695" s="124">
        <v>103</v>
      </c>
      <c r="D695" s="125">
        <v>275.87700000000001</v>
      </c>
      <c r="E695" s="126">
        <v>27.041800000000002</v>
      </c>
      <c r="F695" s="126">
        <v>14.502599999999999</v>
      </c>
      <c r="G695" s="127">
        <v>10.201872656406008</v>
      </c>
      <c r="H695" s="127">
        <v>7.1021747824528019</v>
      </c>
      <c r="I695" s="128">
        <v>1492620</v>
      </c>
      <c r="J695" s="128">
        <v>1468242</v>
      </c>
      <c r="K695" s="128">
        <v>1666725</v>
      </c>
      <c r="L695" s="128">
        <v>1536193</v>
      </c>
      <c r="M695" s="128">
        <v>1536333</v>
      </c>
      <c r="N695" s="128">
        <v>1719792</v>
      </c>
      <c r="O695" s="128">
        <v>164392</v>
      </c>
    </row>
    <row r="696" spans="1:15">
      <c r="A696" s="132" t="s">
        <v>1818</v>
      </c>
      <c r="B696" s="123" t="s">
        <v>1819</v>
      </c>
      <c r="C696" s="124">
        <v>57</v>
      </c>
      <c r="D696" s="125">
        <v>125.79600000000001</v>
      </c>
      <c r="E696" s="126">
        <v>20.0016</v>
      </c>
      <c r="F696" s="126">
        <v>13.0017</v>
      </c>
      <c r="G696" s="127">
        <v>6.2892968562515001</v>
      </c>
      <c r="H696" s="127">
        <v>4.3840420868040333</v>
      </c>
      <c r="I696" s="128">
        <v>784333</v>
      </c>
      <c r="J696" s="128">
        <v>843941</v>
      </c>
      <c r="K696" s="128">
        <v>842484</v>
      </c>
      <c r="L696" s="128">
        <v>835245</v>
      </c>
      <c r="M696" s="128">
        <v>773331</v>
      </c>
      <c r="N696" s="128">
        <v>743631</v>
      </c>
      <c r="O696" s="128">
        <v>94657</v>
      </c>
    </row>
    <row r="697" spans="1:15">
      <c r="A697" s="132" t="s">
        <v>1532</v>
      </c>
      <c r="B697" s="123" t="s">
        <v>1533</v>
      </c>
      <c r="C697" s="124">
        <v>120</v>
      </c>
      <c r="D697" s="125">
        <v>244.697</v>
      </c>
      <c r="E697" s="126">
        <v>24.813300000000002</v>
      </c>
      <c r="F697" s="126">
        <v>12.8186</v>
      </c>
      <c r="G697" s="127">
        <v>9.8615258752362642</v>
      </c>
      <c r="H697" s="127">
        <v>9.3613967203906832</v>
      </c>
      <c r="I697" s="128">
        <v>1161530</v>
      </c>
      <c r="J697" s="128">
        <v>1240664</v>
      </c>
      <c r="K697" s="128">
        <v>1194285</v>
      </c>
      <c r="L697" s="128">
        <v>1205616</v>
      </c>
      <c r="M697" s="128">
        <v>1264677</v>
      </c>
      <c r="N697" s="128">
        <v>1369580</v>
      </c>
      <c r="O697" s="128">
        <v>452356</v>
      </c>
    </row>
    <row r="698" spans="1:15">
      <c r="A698" s="132" t="s">
        <v>421</v>
      </c>
      <c r="B698" s="123" t="s">
        <v>422</v>
      </c>
      <c r="C698" s="124">
        <v>1085</v>
      </c>
      <c r="D698" s="125">
        <v>1637.38</v>
      </c>
      <c r="E698" s="126">
        <v>202.50579999999999</v>
      </c>
      <c r="F698" s="126">
        <v>95.325800000000001</v>
      </c>
      <c r="G698" s="127">
        <v>8.0855955730650688</v>
      </c>
      <c r="H698" s="127">
        <v>11.382018299348131</v>
      </c>
      <c r="I698" s="128">
        <v>10129565</v>
      </c>
      <c r="J698" s="128">
        <v>9964706</v>
      </c>
      <c r="K698" s="128">
        <v>9758226</v>
      </c>
      <c r="L698" s="128">
        <v>10347439</v>
      </c>
      <c r="M698" s="128">
        <v>10179709</v>
      </c>
      <c r="N698" s="128">
        <v>10124439</v>
      </c>
      <c r="O698" s="128">
        <v>1208488</v>
      </c>
    </row>
    <row r="699" spans="1:15">
      <c r="A699" s="132" t="s">
        <v>1154</v>
      </c>
      <c r="B699" s="123" t="s">
        <v>1155</v>
      </c>
      <c r="C699" s="124">
        <v>160</v>
      </c>
      <c r="D699" s="125">
        <v>264.32600000000002</v>
      </c>
      <c r="E699" s="126">
        <v>34.921599999999998</v>
      </c>
      <c r="F699" s="126">
        <v>20.9268</v>
      </c>
      <c r="G699" s="127">
        <v>7.5691262714194094</v>
      </c>
      <c r="H699" s="127">
        <v>7.6456983389720357</v>
      </c>
      <c r="I699" s="128">
        <v>1811851</v>
      </c>
      <c r="J699" s="128">
        <v>1966743</v>
      </c>
      <c r="K699" s="128">
        <v>1886749</v>
      </c>
      <c r="L699" s="128">
        <v>1945281</v>
      </c>
      <c r="M699" s="128">
        <v>2073247</v>
      </c>
      <c r="N699" s="128">
        <v>1925397</v>
      </c>
      <c r="O699" s="128">
        <v>24956</v>
      </c>
    </row>
    <row r="700" spans="1:15">
      <c r="A700" s="132" t="s">
        <v>2007</v>
      </c>
      <c r="B700" s="123" t="s">
        <v>2008</v>
      </c>
      <c r="C700" s="124">
        <v>211</v>
      </c>
      <c r="D700" s="125">
        <v>331.85300000000001</v>
      </c>
      <c r="E700" s="126">
        <v>48.999600000000001</v>
      </c>
      <c r="F700" s="126">
        <v>24.907299999999999</v>
      </c>
      <c r="G700" s="127">
        <v>6.7725654903305337</v>
      </c>
      <c r="H700" s="127">
        <v>8.4714119956799809</v>
      </c>
      <c r="I700" s="128">
        <v>3814082</v>
      </c>
      <c r="J700" s="128">
        <v>4793012</v>
      </c>
      <c r="K700" s="128">
        <v>3848580</v>
      </c>
      <c r="L700" s="128">
        <v>4190212</v>
      </c>
      <c r="M700" s="128">
        <v>6455283</v>
      </c>
      <c r="N700" s="128">
        <v>4470197</v>
      </c>
      <c r="O700" s="128">
        <v>771805</v>
      </c>
    </row>
    <row r="701" spans="1:15">
      <c r="A701" s="132" t="s">
        <v>227</v>
      </c>
      <c r="B701" s="123" t="s">
        <v>228</v>
      </c>
      <c r="C701" s="124">
        <v>1667</v>
      </c>
      <c r="D701" s="125">
        <v>2116.0190000000002</v>
      </c>
      <c r="E701" s="126">
        <v>254.10939999999999</v>
      </c>
      <c r="F701" s="126">
        <v>116.724</v>
      </c>
      <c r="G701" s="127">
        <v>8.3271968687502316</v>
      </c>
      <c r="H701" s="127">
        <v>14.281553065350742</v>
      </c>
      <c r="I701" s="128">
        <v>13609744</v>
      </c>
      <c r="J701" s="128">
        <v>12356962</v>
      </c>
      <c r="K701" s="128">
        <v>13070969</v>
      </c>
      <c r="L701" s="128">
        <v>13854948</v>
      </c>
      <c r="M701" s="128">
        <v>12621473</v>
      </c>
      <c r="N701" s="128">
        <v>13045999</v>
      </c>
      <c r="O701" s="128">
        <v>1764716</v>
      </c>
    </row>
    <row r="702" spans="1:15">
      <c r="A702" s="132" t="s">
        <v>1377</v>
      </c>
      <c r="B702" s="123" t="s">
        <v>1378</v>
      </c>
      <c r="C702" s="124">
        <v>814</v>
      </c>
      <c r="D702" s="125">
        <v>1229.279</v>
      </c>
      <c r="E702" s="126">
        <v>166.3021</v>
      </c>
      <c r="F702" s="126">
        <v>75.143900000000002</v>
      </c>
      <c r="G702" s="127">
        <v>7.391842917197077</v>
      </c>
      <c r="H702" s="127">
        <v>10.832549282110723</v>
      </c>
      <c r="I702" s="128">
        <v>8275237</v>
      </c>
      <c r="J702" s="128">
        <v>7344657</v>
      </c>
      <c r="K702" s="128">
        <v>8556103</v>
      </c>
      <c r="L702" s="128">
        <v>7309397</v>
      </c>
      <c r="M702" s="128">
        <v>6981828</v>
      </c>
      <c r="N702" s="128">
        <v>7045249</v>
      </c>
      <c r="O702" s="128">
        <v>1259002</v>
      </c>
    </row>
    <row r="703" spans="1:15">
      <c r="A703" s="132" t="s">
        <v>750</v>
      </c>
      <c r="B703" s="123" t="s">
        <v>751</v>
      </c>
      <c r="C703" s="124">
        <v>106</v>
      </c>
      <c r="D703" s="125">
        <v>237.55500000000001</v>
      </c>
      <c r="E703" s="126">
        <v>28.418900000000001</v>
      </c>
      <c r="F703" s="126">
        <v>15.603899999999999</v>
      </c>
      <c r="G703" s="127">
        <v>8.3590497872894449</v>
      </c>
      <c r="H703" s="127">
        <v>6.7931735014964207</v>
      </c>
      <c r="I703" s="128">
        <v>1553119</v>
      </c>
      <c r="J703" s="128">
        <v>1578877</v>
      </c>
      <c r="K703" s="128">
        <v>1566953</v>
      </c>
      <c r="L703" s="128">
        <v>1483166</v>
      </c>
      <c r="M703" s="128">
        <v>1453598</v>
      </c>
      <c r="N703" s="128">
        <v>1551282</v>
      </c>
      <c r="O703" s="128">
        <v>476596</v>
      </c>
    </row>
    <row r="704" spans="1:15">
      <c r="A704" s="132" t="s">
        <v>1299</v>
      </c>
      <c r="B704" s="123" t="s">
        <v>1300</v>
      </c>
      <c r="C704" s="124">
        <v>102</v>
      </c>
      <c r="D704" s="125">
        <v>157.322</v>
      </c>
      <c r="E704" s="126">
        <v>17.506399999999999</v>
      </c>
      <c r="F704" s="126">
        <v>9.5801999999999996</v>
      </c>
      <c r="G704" s="127">
        <v>8.9865420646163692</v>
      </c>
      <c r="H704" s="127">
        <v>10.646959353666938</v>
      </c>
      <c r="I704" s="128">
        <v>881344</v>
      </c>
      <c r="J704" s="128">
        <v>954071</v>
      </c>
      <c r="K704" s="128">
        <v>903307</v>
      </c>
      <c r="L704" s="128">
        <v>924006</v>
      </c>
      <c r="M704" s="128">
        <v>972631</v>
      </c>
      <c r="N704" s="128">
        <v>913196</v>
      </c>
      <c r="O704" s="128">
        <v>43242</v>
      </c>
    </row>
    <row r="705" spans="1:15">
      <c r="A705" s="132" t="s">
        <v>1524</v>
      </c>
      <c r="B705" s="123" t="s">
        <v>1525</v>
      </c>
      <c r="C705" s="124">
        <v>138</v>
      </c>
      <c r="D705" s="125">
        <v>248.40400000000002</v>
      </c>
      <c r="E705" s="126">
        <v>32.050600000000003</v>
      </c>
      <c r="F705" s="126">
        <v>18.1069</v>
      </c>
      <c r="G705" s="127">
        <v>7.7503697278678088</v>
      </c>
      <c r="H705" s="127">
        <v>7.6214039951620656</v>
      </c>
      <c r="I705" s="128">
        <v>1925256</v>
      </c>
      <c r="J705" s="128">
        <v>1730700</v>
      </c>
      <c r="K705" s="128">
        <v>1631748</v>
      </c>
      <c r="L705" s="128">
        <v>1980970</v>
      </c>
      <c r="M705" s="128">
        <v>1678934</v>
      </c>
      <c r="N705" s="128">
        <v>1849829</v>
      </c>
      <c r="O705" s="128">
        <v>449167</v>
      </c>
    </row>
    <row r="706" spans="1:15">
      <c r="A706" s="132" t="s">
        <v>672</v>
      </c>
      <c r="B706" s="123" t="s">
        <v>673</v>
      </c>
      <c r="C706" s="124">
        <v>222</v>
      </c>
      <c r="D706" s="125">
        <v>346.36</v>
      </c>
      <c r="E706" s="126">
        <v>32.104900000000001</v>
      </c>
      <c r="F706" s="126">
        <v>16.350200000000001</v>
      </c>
      <c r="G706" s="127">
        <v>10.788384327626002</v>
      </c>
      <c r="H706" s="127">
        <v>13.57781556188915</v>
      </c>
      <c r="I706" s="128">
        <v>1903347</v>
      </c>
      <c r="J706" s="128">
        <v>2091281</v>
      </c>
      <c r="K706" s="128">
        <v>1904420</v>
      </c>
      <c r="L706" s="128">
        <v>1840774</v>
      </c>
      <c r="M706" s="128">
        <v>2201472</v>
      </c>
      <c r="N706" s="128">
        <v>1922187</v>
      </c>
      <c r="O706" s="128">
        <v>53209</v>
      </c>
    </row>
    <row r="707" spans="1:15">
      <c r="A707" s="132" t="s">
        <v>1656</v>
      </c>
      <c r="B707" s="123" t="s">
        <v>1657</v>
      </c>
      <c r="C707" s="124">
        <v>293</v>
      </c>
      <c r="D707" s="125">
        <v>462.58200000000005</v>
      </c>
      <c r="E707" s="126">
        <v>56.203299999999999</v>
      </c>
      <c r="F707" s="126">
        <v>31.188400000000001</v>
      </c>
      <c r="G707" s="127">
        <v>8.2305131549215087</v>
      </c>
      <c r="H707" s="127">
        <v>9.3945184748175592</v>
      </c>
      <c r="I707" s="128">
        <v>2963283</v>
      </c>
      <c r="J707" s="128">
        <v>2999816</v>
      </c>
      <c r="K707" s="128">
        <v>2974067</v>
      </c>
      <c r="L707" s="128">
        <v>3068264</v>
      </c>
      <c r="M707" s="128">
        <v>3128123</v>
      </c>
      <c r="N707" s="128">
        <v>3241911</v>
      </c>
      <c r="O707" s="128">
        <v>1188515</v>
      </c>
    </row>
    <row r="708" spans="1:15">
      <c r="A708" s="132" t="s">
        <v>443</v>
      </c>
      <c r="B708" s="123" t="s">
        <v>444</v>
      </c>
      <c r="C708" s="124">
        <v>50849</v>
      </c>
      <c r="D708" s="125">
        <v>59158.362000000001</v>
      </c>
      <c r="E708" s="126">
        <v>6186.0006000000003</v>
      </c>
      <c r="F708" s="126">
        <v>3186.739</v>
      </c>
      <c r="G708" s="127">
        <v>9.5632648338249435</v>
      </c>
      <c r="H708" s="127">
        <v>15.95643697208965</v>
      </c>
      <c r="I708" s="128">
        <v>328796764</v>
      </c>
      <c r="J708" s="128">
        <v>341935426</v>
      </c>
      <c r="K708" s="128">
        <v>322935280</v>
      </c>
      <c r="L708" s="128">
        <v>344949389</v>
      </c>
      <c r="M708" s="128">
        <v>326638758</v>
      </c>
      <c r="N708" s="128">
        <v>362245277</v>
      </c>
      <c r="O708" s="128">
        <v>72427738</v>
      </c>
    </row>
    <row r="709" spans="1:15">
      <c r="A709" s="132" t="s">
        <v>1303</v>
      </c>
      <c r="B709" s="123" t="s">
        <v>1304</v>
      </c>
      <c r="C709" s="124">
        <v>6892</v>
      </c>
      <c r="D709" s="125">
        <v>7878.4549999999999</v>
      </c>
      <c r="E709" s="126">
        <v>833.25360000000001</v>
      </c>
      <c r="F709" s="126">
        <v>445.36040000000003</v>
      </c>
      <c r="G709" s="127">
        <v>9.4550506592470764</v>
      </c>
      <c r="H709" s="127">
        <v>15.475107351259787</v>
      </c>
      <c r="I709" s="128">
        <v>49851545</v>
      </c>
      <c r="J709" s="128">
        <v>51912741</v>
      </c>
      <c r="K709" s="128">
        <v>49638675</v>
      </c>
      <c r="L709" s="128">
        <v>49872987</v>
      </c>
      <c r="M709" s="128">
        <v>52228294</v>
      </c>
      <c r="N709" s="128">
        <v>51764309</v>
      </c>
      <c r="O709" s="128">
        <v>4303546</v>
      </c>
    </row>
    <row r="710" spans="1:15">
      <c r="A710" s="132" t="s">
        <v>2041</v>
      </c>
      <c r="B710" s="123" t="s">
        <v>2042</v>
      </c>
      <c r="C710" s="124">
        <v>6421</v>
      </c>
      <c r="D710" s="125">
        <v>7698.9750000000004</v>
      </c>
      <c r="E710" s="126">
        <v>856.55549999999994</v>
      </c>
      <c r="F710" s="126">
        <v>422.65800000000002</v>
      </c>
      <c r="G710" s="127">
        <v>8.9882967303344632</v>
      </c>
      <c r="H710" s="127">
        <v>15.191951885448754</v>
      </c>
      <c r="I710" s="128">
        <v>44474794</v>
      </c>
      <c r="J710" s="128">
        <v>44809383</v>
      </c>
      <c r="K710" s="128">
        <v>44209999</v>
      </c>
      <c r="L710" s="128">
        <v>43963184</v>
      </c>
      <c r="M710" s="128">
        <v>45039515</v>
      </c>
      <c r="N710" s="128">
        <v>45310685</v>
      </c>
      <c r="O710" s="128">
        <v>7097814</v>
      </c>
    </row>
    <row r="711" spans="1:15">
      <c r="A711" s="132" t="s">
        <v>1188</v>
      </c>
      <c r="B711" s="123" t="s">
        <v>1189</v>
      </c>
      <c r="C711" s="124">
        <v>11855</v>
      </c>
      <c r="D711" s="125">
        <v>14109.174000000001</v>
      </c>
      <c r="E711" s="126">
        <v>1615.5553</v>
      </c>
      <c r="F711" s="126">
        <v>814.78719999999998</v>
      </c>
      <c r="G711" s="127">
        <v>8.7333277913792244</v>
      </c>
      <c r="H711" s="127">
        <v>14.549811288149838</v>
      </c>
      <c r="I711" s="128">
        <v>82616047</v>
      </c>
      <c r="J711" s="128">
        <v>83132689</v>
      </c>
      <c r="K711" s="128">
        <v>85335376</v>
      </c>
      <c r="L711" s="128">
        <v>82616054</v>
      </c>
      <c r="M711" s="128">
        <v>83044718</v>
      </c>
      <c r="N711" s="128">
        <v>89194658</v>
      </c>
      <c r="O711" s="128">
        <v>14357482</v>
      </c>
    </row>
    <row r="712" spans="1:15">
      <c r="A712" s="132" t="s">
        <v>1794</v>
      </c>
      <c r="B712" s="123" t="s">
        <v>1795</v>
      </c>
      <c r="C712" s="124">
        <v>3486</v>
      </c>
      <c r="D712" s="125">
        <v>4424.07</v>
      </c>
      <c r="E712" s="126">
        <v>488.21539999999999</v>
      </c>
      <c r="F712" s="126">
        <v>232.0181</v>
      </c>
      <c r="G712" s="127">
        <v>9.0617174304620463</v>
      </c>
      <c r="H712" s="127">
        <v>15.024689884108179</v>
      </c>
      <c r="I712" s="128">
        <v>25133161</v>
      </c>
      <c r="J712" s="128">
        <v>24710020</v>
      </c>
      <c r="K712" s="128">
        <v>24056651</v>
      </c>
      <c r="L712" s="128">
        <v>25271783</v>
      </c>
      <c r="M712" s="128">
        <v>24953526</v>
      </c>
      <c r="N712" s="128">
        <v>25127285</v>
      </c>
      <c r="O712" s="128">
        <v>5244641</v>
      </c>
    </row>
    <row r="713" spans="1:15">
      <c r="A713" s="132" t="s">
        <v>1359</v>
      </c>
      <c r="B713" s="123" t="s">
        <v>1360</v>
      </c>
      <c r="C713" s="124">
        <v>10089</v>
      </c>
      <c r="D713" s="125">
        <v>12640.576000000001</v>
      </c>
      <c r="E713" s="126">
        <v>1404.4004</v>
      </c>
      <c r="F713" s="126">
        <v>682.15430000000003</v>
      </c>
      <c r="G713" s="127">
        <v>9.0006923951317592</v>
      </c>
      <c r="H713" s="127">
        <v>14.789908969275718</v>
      </c>
      <c r="I713" s="128">
        <v>69289550</v>
      </c>
      <c r="J713" s="128">
        <v>74784975</v>
      </c>
      <c r="K713" s="128">
        <v>67775125</v>
      </c>
      <c r="L713" s="128">
        <v>66841763</v>
      </c>
      <c r="M713" s="128">
        <v>71122421</v>
      </c>
      <c r="N713" s="128">
        <v>69550536</v>
      </c>
      <c r="O713" s="128">
        <v>12002456</v>
      </c>
    </row>
    <row r="714" spans="1:15">
      <c r="A714" s="132" t="s">
        <v>577</v>
      </c>
      <c r="B714" s="123" t="s">
        <v>578</v>
      </c>
      <c r="C714" s="124">
        <v>4528</v>
      </c>
      <c r="D714" s="125">
        <v>5657.2730000000001</v>
      </c>
      <c r="E714" s="126">
        <v>655.53030000000001</v>
      </c>
      <c r="F714" s="126">
        <v>321.9787</v>
      </c>
      <c r="G714" s="127">
        <v>8.6300709517164957</v>
      </c>
      <c r="H714" s="127">
        <v>14.063042058372185</v>
      </c>
      <c r="I714" s="128">
        <v>34057572</v>
      </c>
      <c r="J714" s="128">
        <v>36572840</v>
      </c>
      <c r="K714" s="128">
        <v>31852796</v>
      </c>
      <c r="L714" s="128">
        <v>34609564</v>
      </c>
      <c r="M714" s="128">
        <v>35428960</v>
      </c>
      <c r="N714" s="128">
        <v>35761929</v>
      </c>
      <c r="O714" s="128">
        <v>12766234</v>
      </c>
    </row>
    <row r="715" spans="1:15">
      <c r="A715" s="132" t="s">
        <v>1840</v>
      </c>
      <c r="B715" s="123" t="s">
        <v>1841</v>
      </c>
      <c r="C715" s="124">
        <v>534</v>
      </c>
      <c r="D715" s="125">
        <v>799.34100000000001</v>
      </c>
      <c r="E715" s="126">
        <v>101.94659999999999</v>
      </c>
      <c r="F715" s="126">
        <v>57.2545</v>
      </c>
      <c r="G715" s="127">
        <v>7.8407813502363011</v>
      </c>
      <c r="H715" s="127">
        <v>9.3267778078578978</v>
      </c>
      <c r="I715" s="128">
        <v>5566760</v>
      </c>
      <c r="J715" s="128">
        <v>5312811</v>
      </c>
      <c r="K715" s="128">
        <v>5342447</v>
      </c>
      <c r="L715" s="128">
        <v>5758639</v>
      </c>
      <c r="M715" s="128">
        <v>5491262</v>
      </c>
      <c r="N715" s="128">
        <v>5526105</v>
      </c>
      <c r="O715" s="128">
        <v>3230140</v>
      </c>
    </row>
    <row r="716" spans="1:15">
      <c r="A716" s="132" t="s">
        <v>505</v>
      </c>
      <c r="B716" s="123" t="s">
        <v>506</v>
      </c>
      <c r="C716" s="124">
        <v>1227</v>
      </c>
      <c r="D716" s="125">
        <v>1791.895</v>
      </c>
      <c r="E716" s="126">
        <v>253.81270000000001</v>
      </c>
      <c r="F716" s="126">
        <v>115.9866</v>
      </c>
      <c r="G716" s="127">
        <v>7.0599107136876915</v>
      </c>
      <c r="H716" s="127">
        <v>10.578808241641708</v>
      </c>
      <c r="I716" s="128">
        <v>11669704</v>
      </c>
      <c r="J716" s="128">
        <v>11159727</v>
      </c>
      <c r="K716" s="128">
        <v>11565265</v>
      </c>
      <c r="L716" s="128">
        <v>12222025</v>
      </c>
      <c r="M716" s="128">
        <v>11744769</v>
      </c>
      <c r="N716" s="128">
        <v>11389470</v>
      </c>
      <c r="O716" s="128">
        <v>2007478</v>
      </c>
    </row>
    <row r="717" spans="1:15">
      <c r="A717" s="132" t="s">
        <v>1478</v>
      </c>
      <c r="B717" s="123" t="s">
        <v>1479</v>
      </c>
      <c r="C717" s="124">
        <v>1031</v>
      </c>
      <c r="D717" s="125">
        <v>1430.82</v>
      </c>
      <c r="E717" s="126">
        <v>159.66739999999999</v>
      </c>
      <c r="F717" s="126">
        <v>84.447100000000006</v>
      </c>
      <c r="G717" s="127">
        <v>8.9612532051001015</v>
      </c>
      <c r="H717" s="127">
        <v>12.208826590847998</v>
      </c>
      <c r="I717" s="128">
        <v>7343751</v>
      </c>
      <c r="J717" s="128">
        <v>7719183</v>
      </c>
      <c r="K717" s="128">
        <v>8166959</v>
      </c>
      <c r="L717" s="128">
        <v>7656761</v>
      </c>
      <c r="M717" s="128">
        <v>8036360</v>
      </c>
      <c r="N717" s="128">
        <v>8168073</v>
      </c>
      <c r="O717" s="128">
        <v>4332411</v>
      </c>
    </row>
    <row r="718" spans="1:15">
      <c r="A718" s="132" t="s">
        <v>1315</v>
      </c>
      <c r="B718" s="123" t="s">
        <v>1316</v>
      </c>
      <c r="C718" s="124">
        <v>183</v>
      </c>
      <c r="D718" s="125">
        <v>348.72300000000001</v>
      </c>
      <c r="E718" s="126">
        <v>41.751199999999997</v>
      </c>
      <c r="F718" s="126">
        <v>18.9587</v>
      </c>
      <c r="G718" s="127">
        <v>8.3524066374140151</v>
      </c>
      <c r="H718" s="127">
        <v>9.6525605658615827</v>
      </c>
      <c r="I718" s="128">
        <v>1771487</v>
      </c>
      <c r="J718" s="128">
        <v>2021704</v>
      </c>
      <c r="K718" s="128">
        <v>1785120</v>
      </c>
      <c r="L718" s="128">
        <v>1934079</v>
      </c>
      <c r="M718" s="128">
        <v>2126308</v>
      </c>
      <c r="N718" s="128">
        <v>2183799</v>
      </c>
      <c r="O718" s="128">
        <v>1650168</v>
      </c>
    </row>
    <row r="719" spans="1:15">
      <c r="A719" s="132" t="s">
        <v>381</v>
      </c>
      <c r="B719" s="123" t="s">
        <v>382</v>
      </c>
      <c r="C719" s="124">
        <v>349</v>
      </c>
      <c r="D719" s="125">
        <v>554.75700000000006</v>
      </c>
      <c r="E719" s="126">
        <v>51.4998</v>
      </c>
      <c r="F719" s="126">
        <v>33.024900000000002</v>
      </c>
      <c r="G719" s="127">
        <v>10.772022415621032</v>
      </c>
      <c r="H719" s="127">
        <v>10.567783702600158</v>
      </c>
      <c r="I719" s="128">
        <v>2760053</v>
      </c>
      <c r="J719" s="128">
        <v>3095178</v>
      </c>
      <c r="K719" s="128">
        <v>2839471</v>
      </c>
      <c r="L719" s="128">
        <v>2945519</v>
      </c>
      <c r="M719" s="128">
        <v>3133297</v>
      </c>
      <c r="N719" s="128">
        <v>3154400</v>
      </c>
      <c r="O719" s="128">
        <v>1123603</v>
      </c>
    </row>
    <row r="720" spans="1:15">
      <c r="A720" s="132" t="s">
        <v>499</v>
      </c>
      <c r="B720" s="123" t="s">
        <v>500</v>
      </c>
      <c r="C720" s="124">
        <v>483</v>
      </c>
      <c r="D720" s="125">
        <v>760.59100000000001</v>
      </c>
      <c r="E720" s="126">
        <v>86.446399999999997</v>
      </c>
      <c r="F720" s="126">
        <v>47.002600000000001</v>
      </c>
      <c r="G720" s="127">
        <v>8.7984115012308202</v>
      </c>
      <c r="H720" s="127">
        <v>10.276027283597077</v>
      </c>
      <c r="I720" s="128">
        <v>5331292</v>
      </c>
      <c r="J720" s="128">
        <v>7464669</v>
      </c>
      <c r="K720" s="128">
        <v>6228517</v>
      </c>
      <c r="L720" s="128">
        <v>5502821</v>
      </c>
      <c r="M720" s="128">
        <v>6103829</v>
      </c>
      <c r="N720" s="128">
        <v>6756889</v>
      </c>
      <c r="O720" s="128">
        <v>2222806</v>
      </c>
    </row>
    <row r="721" spans="1:15">
      <c r="A721" s="132" t="s">
        <v>724</v>
      </c>
      <c r="B721" s="123" t="s">
        <v>725</v>
      </c>
      <c r="C721" s="124">
        <v>724</v>
      </c>
      <c r="D721" s="125">
        <v>1058.98</v>
      </c>
      <c r="E721" s="126">
        <v>120.3895</v>
      </c>
      <c r="F721" s="126">
        <v>66.066100000000006</v>
      </c>
      <c r="G721" s="127">
        <v>8.7962820677883045</v>
      </c>
      <c r="H721" s="127">
        <v>10.958721643929337</v>
      </c>
      <c r="I721" s="128">
        <v>6090299</v>
      </c>
      <c r="J721" s="128">
        <v>6324663</v>
      </c>
      <c r="K721" s="128">
        <v>5855288</v>
      </c>
      <c r="L721" s="128">
        <v>6310295</v>
      </c>
      <c r="M721" s="128">
        <v>6544663</v>
      </c>
      <c r="N721" s="128">
        <v>6771687</v>
      </c>
      <c r="O721" s="128">
        <v>756506</v>
      </c>
    </row>
    <row r="722" spans="1:15">
      <c r="A722" s="132" t="s">
        <v>1339</v>
      </c>
      <c r="B722" s="123" t="s">
        <v>1340</v>
      </c>
      <c r="C722" s="124">
        <v>6464</v>
      </c>
      <c r="D722" s="125">
        <v>7762.3380000000006</v>
      </c>
      <c r="E722" s="126">
        <v>998.12120000000004</v>
      </c>
      <c r="F722" s="126">
        <v>442.2824</v>
      </c>
      <c r="G722" s="127">
        <v>7.7769493324057244</v>
      </c>
      <c r="H722" s="127">
        <v>14.615096598915082</v>
      </c>
      <c r="I722" s="128">
        <v>44722485</v>
      </c>
      <c r="J722" s="128">
        <v>45711908</v>
      </c>
      <c r="K722" s="128">
        <v>43372150</v>
      </c>
      <c r="L722" s="128">
        <v>44922493</v>
      </c>
      <c r="M722" s="128">
        <v>44062370</v>
      </c>
      <c r="N722" s="128">
        <v>45548560</v>
      </c>
      <c r="O722" s="128">
        <v>7436898</v>
      </c>
    </row>
    <row r="723" spans="1:15">
      <c r="A723" s="132" t="s">
        <v>2061</v>
      </c>
      <c r="B723" s="123" t="s">
        <v>2062</v>
      </c>
      <c r="C723" s="124">
        <v>828</v>
      </c>
      <c r="D723" s="125">
        <v>1222.557</v>
      </c>
      <c r="E723" s="126">
        <v>91.997500000000002</v>
      </c>
      <c r="F723" s="126">
        <v>72.099800000000002</v>
      </c>
      <c r="G723" s="127">
        <v>13.289024158265169</v>
      </c>
      <c r="H723" s="127">
        <v>11.484081786634636</v>
      </c>
      <c r="I723" s="128">
        <v>9879899</v>
      </c>
      <c r="J723" s="128">
        <v>6612506</v>
      </c>
      <c r="K723" s="128">
        <v>10228225</v>
      </c>
      <c r="L723" s="128">
        <v>6886369</v>
      </c>
      <c r="M723" s="128">
        <v>6659511</v>
      </c>
      <c r="N723" s="128">
        <v>6830231</v>
      </c>
      <c r="O723" s="128">
        <v>990146</v>
      </c>
    </row>
    <row r="724" spans="1:15">
      <c r="A724" s="132" t="s">
        <v>354</v>
      </c>
      <c r="B724" s="123" t="s">
        <v>355</v>
      </c>
      <c r="C724" s="124">
        <v>917</v>
      </c>
      <c r="D724" s="125">
        <v>1262.6180000000002</v>
      </c>
      <c r="E724" s="126">
        <v>110.29889999999999</v>
      </c>
      <c r="F724" s="126">
        <v>66.106499999999997</v>
      </c>
      <c r="G724" s="127">
        <v>11.447240180999088</v>
      </c>
      <c r="H724" s="127">
        <v>13.871555747165559</v>
      </c>
      <c r="I724" s="128">
        <v>6148874</v>
      </c>
      <c r="J724" s="128">
        <v>6607408</v>
      </c>
      <c r="K724" s="128">
        <v>5957295</v>
      </c>
      <c r="L724" s="128">
        <v>6348869</v>
      </c>
      <c r="M724" s="128">
        <v>6808202</v>
      </c>
      <c r="N724" s="128">
        <v>6821863</v>
      </c>
      <c r="O724" s="128">
        <v>1586239</v>
      </c>
    </row>
    <row r="725" spans="1:15">
      <c r="A725" s="132" t="s">
        <v>1216</v>
      </c>
      <c r="B725" s="123" t="s">
        <v>1217</v>
      </c>
      <c r="C725" s="124">
        <v>344</v>
      </c>
      <c r="D725" s="125">
        <v>561.72199999999998</v>
      </c>
      <c r="E725" s="126">
        <v>53.675699999999999</v>
      </c>
      <c r="F725" s="126">
        <v>34.900300000000001</v>
      </c>
      <c r="G725" s="127">
        <v>10.465108047030593</v>
      </c>
      <c r="H725" s="127">
        <v>9.8566487967152145</v>
      </c>
      <c r="I725" s="128">
        <v>2900791</v>
      </c>
      <c r="J725" s="128">
        <v>2935260</v>
      </c>
      <c r="K725" s="128">
        <v>2984547</v>
      </c>
      <c r="L725" s="128">
        <v>3005461</v>
      </c>
      <c r="M725" s="128">
        <v>2984617</v>
      </c>
      <c r="N725" s="128">
        <v>3268760</v>
      </c>
      <c r="O725" s="128">
        <v>764132</v>
      </c>
    </row>
    <row r="726" spans="1:15">
      <c r="A726" s="132" t="s">
        <v>628</v>
      </c>
      <c r="B726" s="123" t="s">
        <v>629</v>
      </c>
      <c r="C726" s="124">
        <v>165</v>
      </c>
      <c r="D726" s="125">
        <v>243.43300000000002</v>
      </c>
      <c r="E726" s="126">
        <v>27.962899999999998</v>
      </c>
      <c r="F726" s="126">
        <v>13.000299999999999</v>
      </c>
      <c r="G726" s="127">
        <v>8.7055705953245202</v>
      </c>
      <c r="H726" s="127">
        <v>12.69201479965847</v>
      </c>
      <c r="I726" s="128">
        <v>1105707</v>
      </c>
      <c r="J726" s="128">
        <v>1083066</v>
      </c>
      <c r="K726" s="128">
        <v>1123928</v>
      </c>
      <c r="L726" s="128">
        <v>1169634</v>
      </c>
      <c r="M726" s="128">
        <v>1161822</v>
      </c>
      <c r="N726" s="128">
        <v>1376744</v>
      </c>
      <c r="O726" s="128">
        <v>456387</v>
      </c>
    </row>
    <row r="727" spans="1:15">
      <c r="A727" s="132" t="s">
        <v>569</v>
      </c>
      <c r="B727" s="123" t="s">
        <v>570</v>
      </c>
      <c r="C727" s="124">
        <v>372</v>
      </c>
      <c r="D727" s="125">
        <v>561.71800000000007</v>
      </c>
      <c r="E727" s="126">
        <v>47.757999999999996</v>
      </c>
      <c r="F727" s="126">
        <v>32.003999999999998</v>
      </c>
      <c r="G727" s="127">
        <v>11.761757192512253</v>
      </c>
      <c r="H727" s="127">
        <v>11.623547056617923</v>
      </c>
      <c r="I727" s="128">
        <v>3340674</v>
      </c>
      <c r="J727" s="128">
        <v>3547594</v>
      </c>
      <c r="K727" s="128">
        <v>3044033</v>
      </c>
      <c r="L727" s="128">
        <v>3426676</v>
      </c>
      <c r="M727" s="128">
        <v>3638597</v>
      </c>
      <c r="N727" s="128">
        <v>3599606</v>
      </c>
      <c r="O727" s="128">
        <v>2145632</v>
      </c>
    </row>
    <row r="728" spans="1:15">
      <c r="A728" s="132" t="s">
        <v>199</v>
      </c>
      <c r="B728" s="123" t="s">
        <v>200</v>
      </c>
      <c r="C728" s="124">
        <v>834</v>
      </c>
      <c r="D728" s="125">
        <v>1219.777</v>
      </c>
      <c r="E728" s="126">
        <v>119.01679999999999</v>
      </c>
      <c r="F728" s="126">
        <v>64.705399999999997</v>
      </c>
      <c r="G728" s="127">
        <v>10.248780004167481</v>
      </c>
      <c r="H728" s="127">
        <v>12.889186992121214</v>
      </c>
      <c r="I728" s="128">
        <v>6985156</v>
      </c>
      <c r="J728" s="128">
        <v>6906998</v>
      </c>
      <c r="K728" s="128">
        <v>6624887</v>
      </c>
      <c r="L728" s="128">
        <v>7257889</v>
      </c>
      <c r="M728" s="128">
        <v>7195085</v>
      </c>
      <c r="N728" s="128">
        <v>6864549</v>
      </c>
      <c r="O728" s="128">
        <v>943558</v>
      </c>
    </row>
    <row r="729" spans="1:15">
      <c r="A729" s="132" t="s">
        <v>457</v>
      </c>
      <c r="B729" s="123" t="s">
        <v>458</v>
      </c>
      <c r="C729" s="124">
        <v>5715</v>
      </c>
      <c r="D729" s="125">
        <v>7015.2080000000005</v>
      </c>
      <c r="E729" s="126">
        <v>783.07339999999999</v>
      </c>
      <c r="F729" s="126">
        <v>406.0462</v>
      </c>
      <c r="G729" s="127">
        <v>8.9585573970460501</v>
      </c>
      <c r="H729" s="127">
        <v>14.074753069970855</v>
      </c>
      <c r="I729" s="128">
        <v>38632867</v>
      </c>
      <c r="J729" s="128">
        <v>38166453</v>
      </c>
      <c r="K729" s="128">
        <v>38733098</v>
      </c>
      <c r="L729" s="128">
        <v>38994602</v>
      </c>
      <c r="M729" s="128">
        <v>40004059</v>
      </c>
      <c r="N729" s="128">
        <v>39997551</v>
      </c>
      <c r="O729" s="128">
        <v>13228993</v>
      </c>
    </row>
    <row r="730" spans="1:15">
      <c r="A730" s="132" t="s">
        <v>519</v>
      </c>
      <c r="B730" s="123" t="s">
        <v>518</v>
      </c>
      <c r="C730" s="124">
        <v>445</v>
      </c>
      <c r="D730" s="125">
        <v>690.42600000000004</v>
      </c>
      <c r="E730" s="126">
        <v>76.666899999999998</v>
      </c>
      <c r="F730" s="126">
        <v>41.117100000000001</v>
      </c>
      <c r="G730" s="127">
        <v>9.0055291136070466</v>
      </c>
      <c r="H730" s="127">
        <v>10.822747713238531</v>
      </c>
      <c r="I730" s="128">
        <v>3809055</v>
      </c>
      <c r="J730" s="128">
        <v>3800368</v>
      </c>
      <c r="K730" s="128">
        <v>3719888</v>
      </c>
      <c r="L730" s="128">
        <v>3976633</v>
      </c>
      <c r="M730" s="128">
        <v>3811959</v>
      </c>
      <c r="N730" s="128">
        <v>3725493</v>
      </c>
      <c r="O730" s="128">
        <v>477077</v>
      </c>
    </row>
    <row r="731" spans="1:15">
      <c r="A731" s="132" t="s">
        <v>702</v>
      </c>
      <c r="B731" s="123" t="s">
        <v>703</v>
      </c>
      <c r="C731" s="124">
        <v>350</v>
      </c>
      <c r="D731" s="125">
        <v>549.97199999999998</v>
      </c>
      <c r="E731" s="126">
        <v>56.315799999999996</v>
      </c>
      <c r="F731" s="126">
        <v>32.145899999999997</v>
      </c>
      <c r="G731" s="127">
        <v>9.7658561185315662</v>
      </c>
      <c r="H731" s="127">
        <v>10.88785817164864</v>
      </c>
      <c r="I731" s="128">
        <v>3234857</v>
      </c>
      <c r="J731" s="128">
        <v>3111544</v>
      </c>
      <c r="K731" s="128">
        <v>3068540</v>
      </c>
      <c r="L731" s="128">
        <v>3356117</v>
      </c>
      <c r="M731" s="128">
        <v>3285097</v>
      </c>
      <c r="N731" s="128">
        <v>3402901</v>
      </c>
      <c r="O731" s="128">
        <v>238702</v>
      </c>
    </row>
    <row r="732" spans="1:15">
      <c r="A732" s="132" t="s">
        <v>1010</v>
      </c>
      <c r="B732" s="123" t="s">
        <v>1011</v>
      </c>
      <c r="C732" s="124">
        <v>636</v>
      </c>
      <c r="D732" s="125">
        <v>979.63800000000003</v>
      </c>
      <c r="E732" s="126">
        <v>118.98689999999999</v>
      </c>
      <c r="F732" s="126">
        <v>57.061999999999998</v>
      </c>
      <c r="G732" s="127">
        <v>8.233158440130806</v>
      </c>
      <c r="H732" s="127">
        <v>11.145771266341875</v>
      </c>
      <c r="I732" s="128">
        <v>5805196</v>
      </c>
      <c r="J732" s="128">
        <v>5853897</v>
      </c>
      <c r="K732" s="128">
        <v>6367881</v>
      </c>
      <c r="L732" s="128">
        <v>6064428</v>
      </c>
      <c r="M732" s="128">
        <v>6116697</v>
      </c>
      <c r="N732" s="128">
        <v>6216894</v>
      </c>
      <c r="O732" s="128">
        <v>1077053</v>
      </c>
    </row>
    <row r="733" spans="1:15">
      <c r="A733" s="132" t="s">
        <v>1281</v>
      </c>
      <c r="B733" s="123" t="s">
        <v>1282</v>
      </c>
      <c r="C733" s="124">
        <v>740</v>
      </c>
      <c r="D733" s="125">
        <v>1043.492</v>
      </c>
      <c r="E733" s="126">
        <v>132.15870000000001</v>
      </c>
      <c r="F733" s="126">
        <v>67.4251</v>
      </c>
      <c r="G733" s="127">
        <v>7.8957495798611808</v>
      </c>
      <c r="H733" s="127">
        <v>10.975141304944302</v>
      </c>
      <c r="I733" s="128">
        <v>6702389</v>
      </c>
      <c r="J733" s="128">
        <v>7027321</v>
      </c>
      <c r="K733" s="128">
        <v>6476087</v>
      </c>
      <c r="L733" s="128">
        <v>6972449</v>
      </c>
      <c r="M733" s="128">
        <v>6928022</v>
      </c>
      <c r="N733" s="128">
        <v>6442189</v>
      </c>
      <c r="O733" s="128">
        <v>1217944</v>
      </c>
    </row>
    <row r="734" spans="1:15">
      <c r="A734" s="132" t="s">
        <v>1578</v>
      </c>
      <c r="B734" s="123" t="s">
        <v>1579</v>
      </c>
      <c r="C734" s="124">
        <v>808</v>
      </c>
      <c r="D734" s="125">
        <v>1209.857</v>
      </c>
      <c r="E734" s="126">
        <v>118.81270000000001</v>
      </c>
      <c r="F734" s="126">
        <v>61.915799999999997</v>
      </c>
      <c r="G734" s="127">
        <v>10.18289290622972</v>
      </c>
      <c r="H734" s="127">
        <v>13.049980780350088</v>
      </c>
      <c r="I734" s="128">
        <v>5910071</v>
      </c>
      <c r="J734" s="128">
        <v>6292690</v>
      </c>
      <c r="K734" s="128">
        <v>5847756</v>
      </c>
      <c r="L734" s="128">
        <v>6204301</v>
      </c>
      <c r="M734" s="128">
        <v>6645583</v>
      </c>
      <c r="N734" s="128">
        <v>6531538</v>
      </c>
      <c r="O734" s="128">
        <v>817397</v>
      </c>
    </row>
    <row r="735" spans="1:15">
      <c r="A735" s="132" t="s">
        <v>289</v>
      </c>
      <c r="B735" s="123" t="s">
        <v>290</v>
      </c>
      <c r="C735" s="124">
        <v>299</v>
      </c>
      <c r="D735" s="125">
        <v>564.19400000000007</v>
      </c>
      <c r="E735" s="126">
        <v>56.481499999999997</v>
      </c>
      <c r="F735" s="126">
        <v>27.998899999999999</v>
      </c>
      <c r="G735" s="127">
        <v>9.9890052495064783</v>
      </c>
      <c r="H735" s="127">
        <v>10.678990960359158</v>
      </c>
      <c r="I735" s="128">
        <v>3274744</v>
      </c>
      <c r="J735" s="128">
        <v>2929632</v>
      </c>
      <c r="K735" s="128">
        <v>2828630</v>
      </c>
      <c r="L735" s="128">
        <v>3522744</v>
      </c>
      <c r="M735" s="128">
        <v>3261086</v>
      </c>
      <c r="N735" s="128">
        <v>2867744</v>
      </c>
      <c r="O735" s="128">
        <v>821202</v>
      </c>
    </row>
    <row r="736" spans="1:15">
      <c r="A736" s="132" t="s">
        <v>1373</v>
      </c>
      <c r="B736" s="123" t="s">
        <v>1374</v>
      </c>
      <c r="C736" s="124">
        <v>1125</v>
      </c>
      <c r="D736" s="125">
        <v>1804.0070000000001</v>
      </c>
      <c r="E736" s="126">
        <v>223.49160000000001</v>
      </c>
      <c r="F736" s="126">
        <v>97.007900000000006</v>
      </c>
      <c r="G736" s="127">
        <v>8.0719230610904393</v>
      </c>
      <c r="H736" s="127">
        <v>11.596993646909169</v>
      </c>
      <c r="I736" s="128">
        <v>9728351</v>
      </c>
      <c r="J736" s="128">
        <v>10154969</v>
      </c>
      <c r="K736" s="128">
        <v>9908776</v>
      </c>
      <c r="L736" s="128">
        <v>9791825</v>
      </c>
      <c r="M736" s="128">
        <v>10500051</v>
      </c>
      <c r="N736" s="128">
        <v>9762065</v>
      </c>
      <c r="O736" s="128">
        <v>1663342</v>
      </c>
    </row>
    <row r="737" spans="1:15">
      <c r="A737" s="132" t="s">
        <v>549</v>
      </c>
      <c r="B737" s="123" t="s">
        <v>550</v>
      </c>
      <c r="C737" s="124">
        <v>692</v>
      </c>
      <c r="D737" s="125">
        <v>975.87200000000007</v>
      </c>
      <c r="E737" s="126">
        <v>114.2937</v>
      </c>
      <c r="F737" s="126">
        <v>60.491999999999997</v>
      </c>
      <c r="G737" s="127">
        <v>8.5382833874483026</v>
      </c>
      <c r="H737" s="127">
        <v>11.439529193943001</v>
      </c>
      <c r="I737" s="128">
        <v>6997907</v>
      </c>
      <c r="J737" s="128">
        <v>6407989</v>
      </c>
      <c r="K737" s="128">
        <v>6891879</v>
      </c>
      <c r="L737" s="128">
        <v>6153930</v>
      </c>
      <c r="M737" s="128">
        <v>6079824</v>
      </c>
      <c r="N737" s="128">
        <v>5097037</v>
      </c>
      <c r="O737" s="128">
        <v>3279047</v>
      </c>
    </row>
    <row r="738" spans="1:15">
      <c r="A738" s="132" t="s">
        <v>1626</v>
      </c>
      <c r="B738" s="123" t="s">
        <v>1627</v>
      </c>
      <c r="C738" s="124">
        <v>345</v>
      </c>
      <c r="D738" s="125">
        <v>541.91899999999998</v>
      </c>
      <c r="E738" s="126">
        <v>56.755200000000002</v>
      </c>
      <c r="F738" s="126">
        <v>31.643799999999999</v>
      </c>
      <c r="G738" s="127">
        <v>9.5483585645015783</v>
      </c>
      <c r="H738" s="127">
        <v>10.902609673932966</v>
      </c>
      <c r="I738" s="128">
        <v>3127552</v>
      </c>
      <c r="J738" s="128">
        <v>3529883</v>
      </c>
      <c r="K738" s="128">
        <v>3228019</v>
      </c>
      <c r="L738" s="128">
        <v>3275995</v>
      </c>
      <c r="M738" s="128">
        <v>4102843</v>
      </c>
      <c r="N738" s="128">
        <v>4122041</v>
      </c>
      <c r="O738" s="128">
        <v>1660767</v>
      </c>
    </row>
    <row r="739" spans="1:15">
      <c r="A739" s="132" t="s">
        <v>1846</v>
      </c>
      <c r="B739" s="123" t="s">
        <v>1847</v>
      </c>
      <c r="C739" s="124">
        <v>2280</v>
      </c>
      <c r="D739" s="125">
        <v>2995.7470000000003</v>
      </c>
      <c r="E739" s="126">
        <v>397.40589999999997</v>
      </c>
      <c r="F739" s="126">
        <v>177.80510000000001</v>
      </c>
      <c r="G739" s="127">
        <v>7.5382549680314268</v>
      </c>
      <c r="H739" s="127">
        <v>12.823029260690497</v>
      </c>
      <c r="I739" s="128">
        <v>15755804</v>
      </c>
      <c r="J739" s="128">
        <v>15525091</v>
      </c>
      <c r="K739" s="128">
        <v>16943652</v>
      </c>
      <c r="L739" s="128">
        <v>16714367</v>
      </c>
      <c r="M739" s="128">
        <v>16600986</v>
      </c>
      <c r="N739" s="128">
        <v>17498112</v>
      </c>
      <c r="O739" s="128">
        <v>3997596</v>
      </c>
    </row>
    <row r="740" spans="1:15">
      <c r="A740" s="132" t="s">
        <v>189</v>
      </c>
      <c r="B740" s="123" t="s">
        <v>190</v>
      </c>
      <c r="C740" s="124">
        <v>164</v>
      </c>
      <c r="D740" s="125">
        <v>308.76600000000002</v>
      </c>
      <c r="E740" s="126">
        <v>45.272100000000002</v>
      </c>
      <c r="F740" s="126">
        <v>21.995000000000001</v>
      </c>
      <c r="G740" s="127">
        <v>6.8202270272419439</v>
      </c>
      <c r="H740" s="127">
        <v>7.4562400545578535</v>
      </c>
      <c r="I740" s="128">
        <v>6330598</v>
      </c>
      <c r="J740" s="128">
        <v>4580475</v>
      </c>
      <c r="K740" s="128">
        <v>5773234</v>
      </c>
      <c r="L740" s="128">
        <v>6440777</v>
      </c>
      <c r="M740" s="128">
        <v>4681976</v>
      </c>
      <c r="N740" s="128">
        <v>7001428</v>
      </c>
    </row>
    <row r="741" spans="1:15">
      <c r="A741" s="132" t="s">
        <v>882</v>
      </c>
      <c r="B741" s="123" t="s">
        <v>883</v>
      </c>
      <c r="C741" s="124">
        <v>222</v>
      </c>
      <c r="D741" s="125">
        <v>342.767</v>
      </c>
      <c r="E741" s="126">
        <v>41.112400000000001</v>
      </c>
      <c r="F741" s="126">
        <v>20.112500000000001</v>
      </c>
      <c r="G741" s="127">
        <v>8.3373142896060557</v>
      </c>
      <c r="H741" s="127">
        <v>11.037911746426351</v>
      </c>
      <c r="I741" s="128">
        <v>3041223</v>
      </c>
      <c r="J741" s="128">
        <v>3388311</v>
      </c>
      <c r="K741" s="128">
        <v>2476293</v>
      </c>
      <c r="L741" s="128">
        <v>3138722</v>
      </c>
      <c r="M741" s="128">
        <v>3486315</v>
      </c>
      <c r="N741" s="128">
        <v>3319557</v>
      </c>
      <c r="O741" s="128">
        <v>655562</v>
      </c>
    </row>
    <row r="742" spans="1:15">
      <c r="A742" s="132" t="s">
        <v>54</v>
      </c>
      <c r="B742" s="123" t="s">
        <v>55</v>
      </c>
      <c r="C742" s="124">
        <v>342</v>
      </c>
      <c r="D742" s="125">
        <v>563.37099999999998</v>
      </c>
      <c r="E742" s="126">
        <v>56.889400000000002</v>
      </c>
      <c r="F742" s="126">
        <v>29.394500000000001</v>
      </c>
      <c r="G742" s="127">
        <v>9.9029168878560849</v>
      </c>
      <c r="H742" s="127">
        <v>11.634829645001616</v>
      </c>
      <c r="I742" s="128">
        <v>3234334</v>
      </c>
      <c r="J742" s="128">
        <v>3332710</v>
      </c>
      <c r="K742" s="128">
        <v>3118277</v>
      </c>
      <c r="L742" s="128">
        <v>3396295</v>
      </c>
      <c r="M742" s="128">
        <v>3405561</v>
      </c>
      <c r="N742" s="128">
        <v>3353973</v>
      </c>
      <c r="O742" s="128">
        <v>1658887</v>
      </c>
    </row>
    <row r="743" spans="1:15">
      <c r="A743" s="132" t="s">
        <v>187</v>
      </c>
      <c r="B743" s="123" t="s">
        <v>188</v>
      </c>
      <c r="C743" s="124">
        <v>1234</v>
      </c>
      <c r="D743" s="125">
        <v>1653.578</v>
      </c>
      <c r="E743" s="126">
        <v>168.1677</v>
      </c>
      <c r="F743" s="126">
        <v>88.168300000000002</v>
      </c>
      <c r="G743" s="127">
        <v>9.8329108384071375</v>
      </c>
      <c r="H743" s="127">
        <v>13.995959999228747</v>
      </c>
      <c r="I743" s="128">
        <v>9626955</v>
      </c>
      <c r="J743" s="128">
        <v>9325885</v>
      </c>
      <c r="K743" s="128">
        <v>9642496</v>
      </c>
      <c r="L743" s="128">
        <v>9347994</v>
      </c>
      <c r="M743" s="128">
        <v>9425878</v>
      </c>
      <c r="N743" s="128">
        <v>9615445</v>
      </c>
      <c r="O743" s="128">
        <v>2782995</v>
      </c>
    </row>
    <row r="744" spans="1:15">
      <c r="A744" s="132" t="s">
        <v>305</v>
      </c>
      <c r="B744" s="123" t="s">
        <v>306</v>
      </c>
      <c r="C744" s="124">
        <v>3836</v>
      </c>
      <c r="D744" s="125">
        <v>4731.7950000000001</v>
      </c>
      <c r="E744" s="126">
        <v>492.79110000000003</v>
      </c>
      <c r="F744" s="126">
        <v>253.83609999999999</v>
      </c>
      <c r="G744" s="127">
        <v>9.6020301503010099</v>
      </c>
      <c r="H744" s="127">
        <v>15.112113682805559</v>
      </c>
      <c r="I744" s="128">
        <v>26253086</v>
      </c>
      <c r="J744" s="128">
        <v>26720446</v>
      </c>
      <c r="K744" s="128">
        <v>25666780</v>
      </c>
      <c r="L744" s="128">
        <v>26382957</v>
      </c>
      <c r="M744" s="128">
        <v>26736599</v>
      </c>
      <c r="N744" s="128">
        <v>26968323</v>
      </c>
      <c r="O744" s="128">
        <v>4259756</v>
      </c>
    </row>
    <row r="745" spans="1:15">
      <c r="A745" s="132" t="s">
        <v>453</v>
      </c>
      <c r="B745" s="123" t="s">
        <v>454</v>
      </c>
      <c r="C745" s="124">
        <v>38242</v>
      </c>
      <c r="D745" s="125">
        <v>46916.302000000003</v>
      </c>
      <c r="E745" s="126">
        <v>5031.6334999999999</v>
      </c>
      <c r="F745" s="126">
        <v>2391.1235999999999</v>
      </c>
      <c r="G745" s="127">
        <v>9.3242685501636799</v>
      </c>
      <c r="H745" s="127">
        <v>15.993317953116268</v>
      </c>
      <c r="I745" s="128">
        <v>266365535</v>
      </c>
      <c r="J745" s="128">
        <v>270014765</v>
      </c>
      <c r="K745" s="128">
        <v>271928838</v>
      </c>
      <c r="L745" s="128">
        <v>265336122</v>
      </c>
      <c r="M745" s="128">
        <v>271719022</v>
      </c>
      <c r="N745" s="128">
        <v>284626184</v>
      </c>
      <c r="O745" s="128">
        <v>44208997</v>
      </c>
    </row>
    <row r="746" spans="1:15">
      <c r="A746" s="132" t="s">
        <v>573</v>
      </c>
      <c r="B746" s="123" t="s">
        <v>574</v>
      </c>
      <c r="C746" s="124">
        <v>294</v>
      </c>
      <c r="D746" s="125">
        <v>459.01</v>
      </c>
      <c r="E746" s="126">
        <v>52.534500000000001</v>
      </c>
      <c r="F746" s="126">
        <v>24.333100000000002</v>
      </c>
      <c r="G746" s="127">
        <v>8.7373059608447772</v>
      </c>
      <c r="H746" s="127">
        <v>12.082307638566396</v>
      </c>
      <c r="I746" s="128">
        <v>2862398</v>
      </c>
      <c r="J746" s="128">
        <v>2800256</v>
      </c>
      <c r="K746" s="128">
        <v>2770765</v>
      </c>
      <c r="L746" s="128">
        <v>4440398</v>
      </c>
      <c r="M746" s="128">
        <v>4355435</v>
      </c>
      <c r="N746" s="128">
        <v>4383838</v>
      </c>
      <c r="O746" s="128">
        <v>1292349</v>
      </c>
    </row>
    <row r="747" spans="1:15">
      <c r="A747" s="132" t="s">
        <v>1146</v>
      </c>
      <c r="B747" s="123" t="s">
        <v>1147</v>
      </c>
      <c r="C747" s="124">
        <v>394</v>
      </c>
      <c r="D747" s="125">
        <v>552.06799999999998</v>
      </c>
      <c r="E747" s="126">
        <v>59.823300000000003</v>
      </c>
      <c r="F747" s="126">
        <v>28.536000000000001</v>
      </c>
      <c r="G747" s="127">
        <v>9.2283107083694809</v>
      </c>
      <c r="H747" s="127">
        <v>13.807120829828987</v>
      </c>
      <c r="I747" s="128">
        <v>3388800</v>
      </c>
      <c r="J747" s="128">
        <v>3722620</v>
      </c>
      <c r="K747" s="128">
        <v>3297490</v>
      </c>
      <c r="L747" s="128">
        <v>3372180</v>
      </c>
      <c r="M747" s="128">
        <v>3791500</v>
      </c>
      <c r="N747" s="128">
        <v>3568730</v>
      </c>
      <c r="O747" s="128">
        <v>856578</v>
      </c>
    </row>
    <row r="748" spans="1:15">
      <c r="A748" s="132" t="s">
        <v>1508</v>
      </c>
      <c r="B748" s="123" t="s">
        <v>1509</v>
      </c>
      <c r="C748" s="124">
        <v>568</v>
      </c>
      <c r="D748" s="125">
        <v>776.39</v>
      </c>
      <c r="E748" s="126">
        <v>99.852299999999985</v>
      </c>
      <c r="F748" s="126">
        <v>51.561999999999998</v>
      </c>
      <c r="G748" s="127">
        <v>7.7753842425262123</v>
      </c>
      <c r="H748" s="127">
        <v>11.015864396260813</v>
      </c>
      <c r="I748" s="128">
        <v>6739306</v>
      </c>
      <c r="J748" s="128">
        <v>7284142</v>
      </c>
      <c r="K748" s="128">
        <v>6608390</v>
      </c>
      <c r="L748" s="128">
        <v>7091303</v>
      </c>
      <c r="M748" s="128">
        <v>7318985</v>
      </c>
      <c r="N748" s="128">
        <v>6542434</v>
      </c>
      <c r="O748" s="128">
        <v>3182709</v>
      </c>
    </row>
    <row r="749" spans="1:15">
      <c r="A749" s="132" t="s">
        <v>1606</v>
      </c>
      <c r="B749" s="123" t="s">
        <v>1607</v>
      </c>
      <c r="C749" s="124">
        <v>3301</v>
      </c>
      <c r="D749" s="125">
        <v>4401.6550000000007</v>
      </c>
      <c r="E749" s="126">
        <v>585.39409999999998</v>
      </c>
      <c r="F749" s="126">
        <v>246.57599999999999</v>
      </c>
      <c r="G749" s="127">
        <v>7.5191311289266514</v>
      </c>
      <c r="H749" s="127">
        <v>13.387353189280384</v>
      </c>
      <c r="I749" s="128">
        <v>32794945</v>
      </c>
      <c r="J749" s="128">
        <v>27289243</v>
      </c>
      <c r="K749" s="128">
        <v>30782445</v>
      </c>
      <c r="L749" s="128">
        <v>27775694</v>
      </c>
      <c r="M749" s="128">
        <v>26792369</v>
      </c>
      <c r="N749" s="128">
        <v>28369303</v>
      </c>
      <c r="O749" s="128">
        <v>6105473</v>
      </c>
    </row>
    <row r="750" spans="1:15">
      <c r="A750" s="132" t="s">
        <v>1916</v>
      </c>
      <c r="B750" s="123" t="s">
        <v>1917</v>
      </c>
      <c r="C750" s="124">
        <v>3550</v>
      </c>
      <c r="D750" s="125">
        <v>4570.8609999999999</v>
      </c>
      <c r="E750" s="126">
        <v>412.45580000000001</v>
      </c>
      <c r="F750" s="126">
        <v>227.80959999999999</v>
      </c>
      <c r="G750" s="127">
        <v>11.082062611314957</v>
      </c>
      <c r="H750" s="127">
        <v>15.583188768164293</v>
      </c>
      <c r="I750" s="128">
        <v>24303683</v>
      </c>
      <c r="J750" s="128">
        <v>25711009</v>
      </c>
      <c r="K750" s="128">
        <v>24212981</v>
      </c>
      <c r="L750" s="128">
        <v>25394596</v>
      </c>
      <c r="M750" s="128">
        <v>26007250</v>
      </c>
      <c r="N750" s="128">
        <v>26074332</v>
      </c>
      <c r="O750" s="128">
        <v>7665107</v>
      </c>
    </row>
    <row r="751" spans="1:15">
      <c r="A751" s="132" t="s">
        <v>150</v>
      </c>
      <c r="B751" s="123" t="s">
        <v>151</v>
      </c>
      <c r="C751" s="124">
        <v>795</v>
      </c>
      <c r="D751" s="125">
        <v>1222.6590000000001</v>
      </c>
      <c r="E751" s="126">
        <v>153.0009</v>
      </c>
      <c r="F751" s="126">
        <v>72.001000000000005</v>
      </c>
      <c r="G751" s="127">
        <v>7.9911882871277236</v>
      </c>
      <c r="H751" s="127">
        <v>11.041513312315105</v>
      </c>
      <c r="I751" s="128">
        <v>7094302</v>
      </c>
      <c r="J751" s="128">
        <v>7507833</v>
      </c>
      <c r="K751" s="128">
        <v>8568393</v>
      </c>
      <c r="L751" s="128">
        <v>6886366</v>
      </c>
      <c r="M751" s="128">
        <v>7087137</v>
      </c>
      <c r="N751" s="128">
        <v>7026970</v>
      </c>
      <c r="O751" s="128">
        <v>257605</v>
      </c>
    </row>
    <row r="752" spans="1:15">
      <c r="A752" s="132" t="s">
        <v>666</v>
      </c>
      <c r="B752" s="123" t="s">
        <v>667</v>
      </c>
      <c r="C752" s="124">
        <v>5526</v>
      </c>
      <c r="D752" s="125">
        <v>6553.5810000000001</v>
      </c>
      <c r="E752" s="126">
        <v>783.30090000000007</v>
      </c>
      <c r="F752" s="126">
        <v>356.67840000000001</v>
      </c>
      <c r="G752" s="127">
        <v>8.3666200306931859</v>
      </c>
      <c r="H752" s="127">
        <v>15.492948269365344</v>
      </c>
      <c r="I752" s="128">
        <v>41603024</v>
      </c>
      <c r="J752" s="128">
        <v>40783156</v>
      </c>
      <c r="K752" s="128">
        <v>39608216</v>
      </c>
      <c r="L752" s="128">
        <v>41313584</v>
      </c>
      <c r="M752" s="128">
        <v>39714253</v>
      </c>
      <c r="N752" s="128">
        <v>40687920</v>
      </c>
      <c r="O752" s="128">
        <v>10503319</v>
      </c>
    </row>
    <row r="753" spans="1:15">
      <c r="A753" s="132" t="s">
        <v>2001</v>
      </c>
      <c r="B753" s="123" t="s">
        <v>2002</v>
      </c>
      <c r="C753" s="124">
        <v>2038</v>
      </c>
      <c r="D753" s="125">
        <v>2894.4650000000001</v>
      </c>
      <c r="E753" s="126">
        <v>319.221</v>
      </c>
      <c r="F753" s="126">
        <v>146.83869999999999</v>
      </c>
      <c r="G753" s="127">
        <v>9.0672762756836178</v>
      </c>
      <c r="H753" s="127">
        <v>13.879174904163548</v>
      </c>
      <c r="I753" s="128">
        <v>17698313</v>
      </c>
      <c r="J753" s="128">
        <v>17677774</v>
      </c>
      <c r="K753" s="128">
        <v>17935208</v>
      </c>
      <c r="L753" s="128">
        <v>17764164</v>
      </c>
      <c r="M753" s="128">
        <v>17698510</v>
      </c>
      <c r="N753" s="128">
        <v>18602857</v>
      </c>
      <c r="O753" s="128">
        <v>4686506</v>
      </c>
    </row>
    <row r="754" spans="1:15">
      <c r="A754" s="132" t="s">
        <v>1470</v>
      </c>
      <c r="B754" s="123" t="s">
        <v>1471</v>
      </c>
      <c r="C754" s="124">
        <v>2287</v>
      </c>
      <c r="D754" s="125">
        <v>2945.5010000000002</v>
      </c>
      <c r="E754" s="126">
        <v>329.0188</v>
      </c>
      <c r="F754" s="126">
        <v>174.3597</v>
      </c>
      <c r="G754" s="127">
        <v>8.9523790129925711</v>
      </c>
      <c r="H754" s="127">
        <v>13.116563059009621</v>
      </c>
      <c r="I754" s="128">
        <v>16250109</v>
      </c>
      <c r="J754" s="128">
        <v>16580453</v>
      </c>
      <c r="K754" s="128">
        <v>16005965</v>
      </c>
      <c r="L754" s="128">
        <v>16264889</v>
      </c>
      <c r="M754" s="128">
        <v>16402749</v>
      </c>
      <c r="N754" s="128">
        <v>16569570</v>
      </c>
      <c r="O754" s="128">
        <v>3317222</v>
      </c>
    </row>
    <row r="755" spans="1:15">
      <c r="A755" s="132" t="s">
        <v>231</v>
      </c>
      <c r="B755" s="123" t="s">
        <v>232</v>
      </c>
      <c r="C755" s="124">
        <v>347</v>
      </c>
      <c r="D755" s="125">
        <v>689.20800000000008</v>
      </c>
      <c r="E755" s="126">
        <v>99.001499999999993</v>
      </c>
      <c r="F755" s="126">
        <v>70.703400000000002</v>
      </c>
      <c r="G755" s="127">
        <v>6.9615914910380159</v>
      </c>
      <c r="H755" s="127">
        <v>4.9078262148637828</v>
      </c>
      <c r="I755" s="128">
        <v>6031686</v>
      </c>
      <c r="J755" s="128">
        <v>6601841</v>
      </c>
      <c r="K755" s="128">
        <v>6143237</v>
      </c>
      <c r="L755" s="128">
        <v>6031691</v>
      </c>
      <c r="M755" s="128">
        <v>6601850</v>
      </c>
      <c r="N755" s="128">
        <v>6074488</v>
      </c>
      <c r="O755" s="128">
        <v>801888</v>
      </c>
    </row>
    <row r="756" spans="1:15">
      <c r="A756" s="132" t="s">
        <v>1945</v>
      </c>
      <c r="B756" s="123" t="s">
        <v>1946</v>
      </c>
      <c r="C756" s="124">
        <v>325</v>
      </c>
      <c r="D756" s="125">
        <v>573.303</v>
      </c>
      <c r="E756" s="126">
        <v>57.909800000000004</v>
      </c>
      <c r="F756" s="126">
        <v>33.567599999999999</v>
      </c>
      <c r="G756" s="127">
        <v>9.8999305816977436</v>
      </c>
      <c r="H756" s="127">
        <v>9.6819552187228162</v>
      </c>
      <c r="I756" s="128">
        <v>3370220</v>
      </c>
      <c r="J756" s="128">
        <v>4275267</v>
      </c>
      <c r="K756" s="128">
        <v>3363390</v>
      </c>
      <c r="L756" s="128">
        <v>3027857</v>
      </c>
      <c r="M756" s="128">
        <v>3478874</v>
      </c>
      <c r="N756" s="128">
        <v>3473474</v>
      </c>
      <c r="O756" s="128">
        <v>1510949</v>
      </c>
    </row>
    <row r="757" spans="1:15">
      <c r="A757" s="132" t="s">
        <v>52</v>
      </c>
      <c r="B757" s="123" t="s">
        <v>53</v>
      </c>
      <c r="C757" s="124">
        <v>136</v>
      </c>
      <c r="D757" s="125">
        <v>280.68299999999999</v>
      </c>
      <c r="E757" s="126">
        <v>26.690100000000001</v>
      </c>
      <c r="F757" s="126">
        <v>14.994899999999999</v>
      </c>
      <c r="G757" s="127">
        <v>10.516371238773926</v>
      </c>
      <c r="H757" s="127">
        <v>9.069750381796478</v>
      </c>
      <c r="I757" s="128">
        <v>1793417</v>
      </c>
      <c r="J757" s="128">
        <v>1821699</v>
      </c>
      <c r="K757" s="128">
        <v>1836461</v>
      </c>
      <c r="L757" s="128">
        <v>1667803</v>
      </c>
      <c r="M757" s="128">
        <v>1631938</v>
      </c>
      <c r="N757" s="128">
        <v>1778730</v>
      </c>
      <c r="O757" s="128">
        <v>938558</v>
      </c>
    </row>
    <row r="758" spans="1:15">
      <c r="A758" s="132" t="s">
        <v>2039</v>
      </c>
      <c r="B758" s="123" t="s">
        <v>2040</v>
      </c>
      <c r="C758" s="124">
        <v>101</v>
      </c>
      <c r="D758" s="125">
        <v>145.489</v>
      </c>
      <c r="E758" s="126">
        <v>18.5779</v>
      </c>
      <c r="F758" s="126">
        <v>10.060600000000001</v>
      </c>
      <c r="G758" s="127">
        <v>7.8312941721077198</v>
      </c>
      <c r="H758" s="127">
        <v>10.039162674194381</v>
      </c>
      <c r="I758" s="128">
        <v>1038523</v>
      </c>
      <c r="J758" s="128">
        <v>1024998</v>
      </c>
      <c r="K758" s="128">
        <v>933240</v>
      </c>
      <c r="L758" s="128">
        <v>982067</v>
      </c>
      <c r="M758" s="128">
        <v>1301446</v>
      </c>
      <c r="N758" s="128">
        <v>1287285</v>
      </c>
      <c r="O758" s="128">
        <v>386559</v>
      </c>
    </row>
    <row r="759" spans="1:15">
      <c r="A759" s="132" t="s">
        <v>247</v>
      </c>
      <c r="B759" s="123" t="s">
        <v>248</v>
      </c>
      <c r="C759" s="124">
        <v>2588</v>
      </c>
      <c r="D759" s="125">
        <v>3293.99</v>
      </c>
      <c r="E759" s="126">
        <v>358.45209999999997</v>
      </c>
      <c r="F759" s="126">
        <v>168.41929999999999</v>
      </c>
      <c r="G759" s="127">
        <v>9.1894844527344119</v>
      </c>
      <c r="H759" s="127">
        <v>15.366409906703092</v>
      </c>
      <c r="I759" s="128">
        <v>18365969</v>
      </c>
      <c r="J759" s="128">
        <v>18959269</v>
      </c>
      <c r="K759" s="128">
        <v>17925872</v>
      </c>
      <c r="L759" s="128">
        <v>18167658</v>
      </c>
      <c r="M759" s="128">
        <v>18610069</v>
      </c>
      <c r="N759" s="128">
        <v>22555016</v>
      </c>
      <c r="O759" s="128">
        <v>3325599</v>
      </c>
    </row>
    <row r="760" spans="1:15">
      <c r="A760" s="132" t="s">
        <v>1422</v>
      </c>
      <c r="B760" s="123" t="s">
        <v>1423</v>
      </c>
      <c r="C760" s="124">
        <v>1707</v>
      </c>
      <c r="D760" s="125">
        <v>2202.2330000000002</v>
      </c>
      <c r="E760" s="126">
        <v>245.5566</v>
      </c>
      <c r="F760" s="126">
        <v>120.8753</v>
      </c>
      <c r="G760" s="127">
        <v>8.9683315374133716</v>
      </c>
      <c r="H760" s="127">
        <v>14.121991837869276</v>
      </c>
      <c r="I760" s="128">
        <v>11369656</v>
      </c>
      <c r="J760" s="128">
        <v>12426568</v>
      </c>
      <c r="K760" s="128">
        <v>12669192</v>
      </c>
      <c r="L760" s="128">
        <v>11434949</v>
      </c>
      <c r="M760" s="128">
        <v>12515891</v>
      </c>
      <c r="N760" s="128">
        <v>12645072</v>
      </c>
      <c r="O760" s="128">
        <v>1315346</v>
      </c>
    </row>
    <row r="761" spans="1:15">
      <c r="A761" s="132" t="s">
        <v>1999</v>
      </c>
      <c r="B761" s="123" t="s">
        <v>2000</v>
      </c>
      <c r="C761" s="124">
        <v>2529</v>
      </c>
      <c r="D761" s="125">
        <v>3331.3210000000004</v>
      </c>
      <c r="E761" s="126">
        <v>407.29780000000005</v>
      </c>
      <c r="F761" s="126">
        <v>186.392</v>
      </c>
      <c r="G761" s="127">
        <v>8.1790792879313372</v>
      </c>
      <c r="H761" s="127">
        <v>13.568178891797931</v>
      </c>
      <c r="I761" s="128">
        <v>20543593</v>
      </c>
      <c r="J761" s="128">
        <v>20655596</v>
      </c>
      <c r="K761" s="128">
        <v>21744877</v>
      </c>
      <c r="L761" s="128">
        <v>21212823</v>
      </c>
      <c r="M761" s="128">
        <v>20034877</v>
      </c>
      <c r="N761" s="128">
        <v>19365629</v>
      </c>
      <c r="O761" s="128">
        <v>10284051</v>
      </c>
    </row>
    <row r="762" spans="1:15">
      <c r="A762" s="132" t="s">
        <v>1955</v>
      </c>
      <c r="B762" s="123" t="s">
        <v>1956</v>
      </c>
      <c r="C762" s="124">
        <v>4956</v>
      </c>
      <c r="D762" s="125">
        <v>6303.34</v>
      </c>
      <c r="E762" s="126">
        <v>772.53459999999995</v>
      </c>
      <c r="F762" s="126">
        <v>351.22969999999998</v>
      </c>
      <c r="G762" s="127">
        <v>8.1592979783688655</v>
      </c>
      <c r="H762" s="127">
        <v>14.11042403304732</v>
      </c>
      <c r="I762" s="128">
        <v>39769551</v>
      </c>
      <c r="J762" s="128">
        <v>40693564</v>
      </c>
      <c r="K762" s="128">
        <v>41150054</v>
      </c>
      <c r="L762" s="128">
        <v>35778258</v>
      </c>
      <c r="M762" s="128">
        <v>37371315</v>
      </c>
      <c r="N762" s="128">
        <v>38549407</v>
      </c>
      <c r="O762" s="128">
        <v>1196628</v>
      </c>
    </row>
    <row r="763" spans="1:15">
      <c r="A763" s="132" t="s">
        <v>1128</v>
      </c>
      <c r="B763" s="123" t="s">
        <v>1129</v>
      </c>
      <c r="C763" s="124">
        <v>3565</v>
      </c>
      <c r="D763" s="125">
        <v>4494.4890000000005</v>
      </c>
      <c r="E763" s="126">
        <v>533.43920000000003</v>
      </c>
      <c r="F763" s="126">
        <v>257.05509999999998</v>
      </c>
      <c r="G763" s="127">
        <v>8.4254944143587505</v>
      </c>
      <c r="H763" s="127">
        <v>13.868621941365879</v>
      </c>
      <c r="I763" s="128">
        <v>27985271</v>
      </c>
      <c r="J763" s="128">
        <v>26534781</v>
      </c>
      <c r="K763" s="128">
        <v>26074401</v>
      </c>
      <c r="L763" s="128">
        <v>26141974</v>
      </c>
      <c r="M763" s="128">
        <v>25083652</v>
      </c>
      <c r="N763" s="128">
        <v>27220014</v>
      </c>
      <c r="O763" s="128">
        <v>3020136</v>
      </c>
    </row>
    <row r="764" spans="1:15">
      <c r="A764" s="132" t="s">
        <v>762</v>
      </c>
      <c r="B764" s="123" t="s">
        <v>763</v>
      </c>
      <c r="C764" s="124">
        <v>222</v>
      </c>
      <c r="D764" s="125">
        <v>343.572</v>
      </c>
      <c r="E764" s="126">
        <v>35.001000000000005</v>
      </c>
      <c r="F764" s="126">
        <v>19.501100000000001</v>
      </c>
      <c r="G764" s="127">
        <v>9.8160623982171931</v>
      </c>
      <c r="H764" s="127">
        <v>11.383973211767541</v>
      </c>
      <c r="I764" s="128">
        <v>1944292</v>
      </c>
      <c r="J764" s="128">
        <v>2087140</v>
      </c>
      <c r="K764" s="128">
        <v>1821225</v>
      </c>
      <c r="L764" s="128">
        <v>2115662</v>
      </c>
      <c r="M764" s="128">
        <v>2270154</v>
      </c>
      <c r="N764" s="128">
        <v>2184898</v>
      </c>
      <c r="O764" s="128">
        <v>596604</v>
      </c>
    </row>
    <row r="765" spans="1:15">
      <c r="A765" s="132" t="s">
        <v>768</v>
      </c>
      <c r="B765" s="123" t="s">
        <v>769</v>
      </c>
      <c r="C765" s="124">
        <v>298</v>
      </c>
      <c r="D765" s="125">
        <v>467.00900000000001</v>
      </c>
      <c r="E765" s="126">
        <v>59.859900000000003</v>
      </c>
      <c r="F765" s="126">
        <v>35.189500000000002</v>
      </c>
      <c r="G765" s="127">
        <v>7.8017003035421038</v>
      </c>
      <c r="H765" s="127">
        <v>8.4684351866323748</v>
      </c>
      <c r="I765" s="128">
        <v>3842875</v>
      </c>
      <c r="J765" s="128">
        <v>3986873</v>
      </c>
      <c r="K765" s="128">
        <v>3507670</v>
      </c>
      <c r="L765" s="128">
        <v>3678589</v>
      </c>
      <c r="M765" s="128">
        <v>3623544</v>
      </c>
      <c r="N765" s="128">
        <v>3720128</v>
      </c>
      <c r="O765" s="128">
        <v>1845577</v>
      </c>
    </row>
    <row r="766" spans="1:15">
      <c r="A766" s="132" t="s">
        <v>1293</v>
      </c>
      <c r="B766" s="123" t="s">
        <v>1294</v>
      </c>
      <c r="C766" s="124">
        <v>3560</v>
      </c>
      <c r="D766" s="125">
        <v>4487.9160000000002</v>
      </c>
      <c r="E766" s="126">
        <v>522.32339999999999</v>
      </c>
      <c r="F766" s="126">
        <v>262.90089999999998</v>
      </c>
      <c r="G766" s="127">
        <v>8.5922170057860701</v>
      </c>
      <c r="H766" s="127">
        <v>13.541224088620465</v>
      </c>
      <c r="I766" s="128">
        <v>25181020</v>
      </c>
      <c r="J766" s="128">
        <v>25563794</v>
      </c>
      <c r="K766" s="128">
        <v>31742900</v>
      </c>
      <c r="L766" s="128">
        <v>26096035</v>
      </c>
      <c r="M766" s="128">
        <v>26194994</v>
      </c>
      <c r="N766" s="128">
        <v>27847496</v>
      </c>
      <c r="O766" s="128">
        <v>2725653</v>
      </c>
    </row>
    <row r="767" spans="1:15">
      <c r="A767" s="132" t="s">
        <v>1706</v>
      </c>
      <c r="B767" s="123" t="s">
        <v>1707</v>
      </c>
      <c r="C767" s="124">
        <v>523</v>
      </c>
      <c r="D767" s="125">
        <v>755.48599999999999</v>
      </c>
      <c r="E767" s="126">
        <v>70.168399999999991</v>
      </c>
      <c r="F767" s="126">
        <v>37.119500000000002</v>
      </c>
      <c r="G767" s="127">
        <v>10.76675540556718</v>
      </c>
      <c r="H767" s="127">
        <v>14.089629440051723</v>
      </c>
      <c r="I767" s="128">
        <v>4261190</v>
      </c>
      <c r="J767" s="128">
        <v>4058742</v>
      </c>
      <c r="K767" s="128">
        <v>4112182</v>
      </c>
      <c r="L767" s="128">
        <v>4350803</v>
      </c>
      <c r="M767" s="128">
        <v>4210809</v>
      </c>
      <c r="N767" s="128">
        <v>4659476</v>
      </c>
      <c r="O767" s="128">
        <v>523811</v>
      </c>
    </row>
    <row r="768" spans="1:15">
      <c r="A768" s="132" t="s">
        <v>1828</v>
      </c>
      <c r="B768" s="123" t="s">
        <v>1829</v>
      </c>
      <c r="C768" s="124">
        <v>177</v>
      </c>
      <c r="D768" s="125">
        <v>298.279</v>
      </c>
      <c r="E768" s="126">
        <v>29.6038</v>
      </c>
      <c r="F768" s="126">
        <v>19.914000000000001</v>
      </c>
      <c r="G768" s="127">
        <v>10.075699741249434</v>
      </c>
      <c r="H768" s="127">
        <v>8.8882193431756544</v>
      </c>
      <c r="I768" s="128">
        <v>1733650</v>
      </c>
      <c r="J768" s="128">
        <v>1801390</v>
      </c>
      <c r="K768" s="128">
        <v>1666602</v>
      </c>
      <c r="L768" s="128">
        <v>1822100</v>
      </c>
      <c r="M768" s="128">
        <v>1739100</v>
      </c>
      <c r="N768" s="128">
        <v>1873896</v>
      </c>
      <c r="O768" s="128">
        <v>870414</v>
      </c>
    </row>
    <row r="769" spans="1:15">
      <c r="A769" s="132" t="s">
        <v>1440</v>
      </c>
      <c r="B769" s="123" t="s">
        <v>1441</v>
      </c>
      <c r="C769" s="124">
        <v>110</v>
      </c>
      <c r="D769" s="125">
        <v>165.291</v>
      </c>
      <c r="E769" s="126">
        <v>17.622999999999998</v>
      </c>
      <c r="F769" s="126">
        <v>10</v>
      </c>
      <c r="G769" s="127">
        <v>9.379277081087217</v>
      </c>
      <c r="H769" s="127">
        <v>11</v>
      </c>
      <c r="I769" s="128">
        <v>1280118</v>
      </c>
      <c r="J769" s="128">
        <v>1156063</v>
      </c>
      <c r="K769" s="128">
        <v>1123346</v>
      </c>
      <c r="L769" s="128">
        <v>1284096</v>
      </c>
      <c r="M769" s="128">
        <v>1356062</v>
      </c>
      <c r="N769" s="128">
        <v>1328061</v>
      </c>
      <c r="O769" s="128">
        <v>782467</v>
      </c>
    </row>
    <row r="770" spans="1:15">
      <c r="A770" s="132" t="s">
        <v>162</v>
      </c>
      <c r="B770" s="123" t="s">
        <v>163</v>
      </c>
      <c r="C770" s="124">
        <v>681</v>
      </c>
      <c r="D770" s="125">
        <v>942.69800000000009</v>
      </c>
      <c r="E770" s="126">
        <v>102.50660000000001</v>
      </c>
      <c r="F770" s="126">
        <v>61.435200000000002</v>
      </c>
      <c r="G770" s="127">
        <v>9.1964614961378093</v>
      </c>
      <c r="H770" s="127">
        <v>11.084850378935855</v>
      </c>
      <c r="I770" s="128">
        <v>5989096</v>
      </c>
      <c r="J770" s="128">
        <v>6594966</v>
      </c>
      <c r="K770" s="128">
        <v>5796198</v>
      </c>
      <c r="L770" s="128">
        <v>6109089</v>
      </c>
      <c r="M770" s="128">
        <v>6721964</v>
      </c>
      <c r="N770" s="128">
        <v>6810093</v>
      </c>
      <c r="O770" s="128">
        <v>2338660</v>
      </c>
    </row>
    <row r="771" spans="1:15">
      <c r="A771" s="132" t="s">
        <v>335</v>
      </c>
      <c r="B771" s="123" t="s">
        <v>336</v>
      </c>
      <c r="C771" s="124">
        <v>2856</v>
      </c>
      <c r="D771" s="125">
        <v>3543.328</v>
      </c>
      <c r="E771" s="126">
        <v>462.15350000000001</v>
      </c>
      <c r="F771" s="126">
        <v>215.64330000000001</v>
      </c>
      <c r="G771" s="127">
        <v>7.6669937585672292</v>
      </c>
      <c r="H771" s="127">
        <v>13.244093370858264</v>
      </c>
      <c r="I771" s="128">
        <v>21504869</v>
      </c>
      <c r="J771" s="128">
        <v>21767081</v>
      </c>
      <c r="K771" s="128">
        <v>22397792</v>
      </c>
      <c r="L771" s="128">
        <v>22139305</v>
      </c>
      <c r="M771" s="128">
        <v>20930386</v>
      </c>
      <c r="N771" s="128">
        <v>23014049</v>
      </c>
      <c r="O771" s="128">
        <v>3697868</v>
      </c>
    </row>
    <row r="772" spans="1:15">
      <c r="A772" s="132" t="s">
        <v>726</v>
      </c>
      <c r="B772" s="123" t="s">
        <v>727</v>
      </c>
      <c r="C772" s="124">
        <v>417</v>
      </c>
      <c r="D772" s="125">
        <v>607.947</v>
      </c>
      <c r="E772" s="126">
        <v>68.852200000000011</v>
      </c>
      <c r="F772" s="126">
        <v>34.835099999999997</v>
      </c>
      <c r="G772" s="127">
        <v>8.8297396452110455</v>
      </c>
      <c r="H772" s="127">
        <v>11.970684740391158</v>
      </c>
      <c r="I772" s="128">
        <v>3678261</v>
      </c>
      <c r="J772" s="128">
        <v>3979302</v>
      </c>
      <c r="K772" s="128">
        <v>3683375</v>
      </c>
      <c r="L772" s="128">
        <v>3982275</v>
      </c>
      <c r="M772" s="128">
        <v>4335867</v>
      </c>
      <c r="N772" s="128">
        <v>3842533</v>
      </c>
      <c r="O772" s="128">
        <v>552118</v>
      </c>
    </row>
    <row r="773" spans="1:15">
      <c r="A773" s="132" t="s">
        <v>1506</v>
      </c>
      <c r="B773" s="123" t="s">
        <v>1507</v>
      </c>
      <c r="C773" s="124">
        <v>500</v>
      </c>
      <c r="D773" s="125">
        <v>775.87</v>
      </c>
      <c r="E773" s="126">
        <v>83.878099999999989</v>
      </c>
      <c r="F773" s="126">
        <v>45.857900000000001</v>
      </c>
      <c r="G773" s="127">
        <v>9.2499710889970093</v>
      </c>
      <c r="H773" s="127">
        <v>10.90324676882282</v>
      </c>
      <c r="I773" s="128">
        <v>4948373</v>
      </c>
      <c r="J773" s="128">
        <v>4640603</v>
      </c>
      <c r="K773" s="128">
        <v>5489322</v>
      </c>
      <c r="L773" s="128">
        <v>5090373</v>
      </c>
      <c r="M773" s="128">
        <v>4756385</v>
      </c>
      <c r="N773" s="128">
        <v>5028008</v>
      </c>
      <c r="O773" s="128">
        <v>840925</v>
      </c>
    </row>
    <row r="774" spans="1:15">
      <c r="A774" s="132" t="s">
        <v>1806</v>
      </c>
      <c r="B774" s="123" t="s">
        <v>1807</v>
      </c>
      <c r="C774" s="124">
        <v>3447</v>
      </c>
      <c r="D774" s="125">
        <v>4283.7719999999999</v>
      </c>
      <c r="E774" s="126">
        <v>467.23309999999998</v>
      </c>
      <c r="F774" s="126">
        <v>239.4015</v>
      </c>
      <c r="G774" s="127">
        <v>9.1683829762917064</v>
      </c>
      <c r="H774" s="127">
        <v>14.398406025024906</v>
      </c>
      <c r="I774" s="128">
        <v>25867685</v>
      </c>
      <c r="J774" s="128">
        <v>24228231</v>
      </c>
      <c r="K774" s="128">
        <v>26407709</v>
      </c>
      <c r="L774" s="128">
        <v>25751713</v>
      </c>
      <c r="M774" s="128">
        <v>24312729</v>
      </c>
      <c r="N774" s="128">
        <v>25452615</v>
      </c>
      <c r="O774" s="128">
        <v>4850449</v>
      </c>
    </row>
    <row r="775" spans="1:15">
      <c r="A775" s="132" t="s">
        <v>1981</v>
      </c>
      <c r="B775" s="123" t="s">
        <v>1982</v>
      </c>
      <c r="C775" s="124">
        <v>7639</v>
      </c>
      <c r="D775" s="125">
        <v>9106.4260000000013</v>
      </c>
      <c r="E775" s="126">
        <v>973.4867999999999</v>
      </c>
      <c r="F775" s="126">
        <v>508.49540000000002</v>
      </c>
      <c r="G775" s="127">
        <v>9.354442196853622</v>
      </c>
      <c r="H775" s="127">
        <v>15.022751434919568</v>
      </c>
      <c r="I775" s="128">
        <v>54807651</v>
      </c>
      <c r="J775" s="128">
        <v>56107401</v>
      </c>
      <c r="K775" s="128">
        <v>54643368</v>
      </c>
      <c r="L775" s="128">
        <v>54833838</v>
      </c>
      <c r="M775" s="128">
        <v>59314762</v>
      </c>
      <c r="N775" s="128">
        <v>54971840</v>
      </c>
      <c r="O775" s="128">
        <v>1474886</v>
      </c>
    </row>
    <row r="776" spans="1:15">
      <c r="A776" s="132" t="s">
        <v>1289</v>
      </c>
      <c r="B776" s="123" t="s">
        <v>1290</v>
      </c>
      <c r="C776" s="124">
        <v>787</v>
      </c>
      <c r="D776" s="125">
        <v>1135.08</v>
      </c>
      <c r="E776" s="126">
        <v>113.49109999999999</v>
      </c>
      <c r="F776" s="126">
        <v>59.356200000000001</v>
      </c>
      <c r="G776" s="127">
        <v>10.001489103550851</v>
      </c>
      <c r="H776" s="127">
        <v>13.258935039642026</v>
      </c>
      <c r="I776" s="128">
        <v>6733838</v>
      </c>
      <c r="J776" s="128">
        <v>6377901</v>
      </c>
      <c r="K776" s="128">
        <v>8701521</v>
      </c>
      <c r="L776" s="128">
        <v>6912838</v>
      </c>
      <c r="M776" s="128">
        <v>6823743</v>
      </c>
      <c r="N776" s="128">
        <v>6722940</v>
      </c>
      <c r="O776" s="128">
        <v>1301003</v>
      </c>
    </row>
    <row r="777" spans="1:15">
      <c r="A777" s="132" t="s">
        <v>64</v>
      </c>
      <c r="B777" s="123" t="s">
        <v>65</v>
      </c>
      <c r="C777" s="124">
        <v>4624</v>
      </c>
      <c r="D777" s="125">
        <v>5158.9350000000004</v>
      </c>
      <c r="E777" s="126">
        <v>471.17950000000002</v>
      </c>
      <c r="F777" s="126">
        <v>280.721</v>
      </c>
      <c r="G777" s="127">
        <v>10.948980165733017</v>
      </c>
      <c r="H777" s="127">
        <v>16.471870647368739</v>
      </c>
      <c r="I777" s="128">
        <v>35414333</v>
      </c>
      <c r="J777" s="128">
        <v>36565014</v>
      </c>
      <c r="K777" s="128">
        <v>31629680</v>
      </c>
      <c r="L777" s="128">
        <v>37615292</v>
      </c>
      <c r="M777" s="128">
        <v>37747198</v>
      </c>
      <c r="N777" s="128">
        <v>34189151</v>
      </c>
      <c r="O777" s="128">
        <v>12323022</v>
      </c>
    </row>
    <row r="778" spans="1:15">
      <c r="A778" s="132" t="s">
        <v>1462</v>
      </c>
      <c r="B778" s="123" t="s">
        <v>1463</v>
      </c>
      <c r="C778" s="124">
        <v>1074</v>
      </c>
      <c r="D778" s="125">
        <v>1445.63</v>
      </c>
      <c r="E778" s="126">
        <v>185.64669999999998</v>
      </c>
      <c r="F778" s="126">
        <v>88.979500000000002</v>
      </c>
      <c r="G778" s="127">
        <v>7.7869954057896003</v>
      </c>
      <c r="H778" s="127">
        <v>12.070195944009575</v>
      </c>
      <c r="I778" s="128">
        <v>8206005</v>
      </c>
      <c r="J778" s="128">
        <v>8069929</v>
      </c>
      <c r="K778" s="128">
        <v>8247061</v>
      </c>
      <c r="L778" s="128">
        <v>8386716</v>
      </c>
      <c r="M778" s="128">
        <v>8206137</v>
      </c>
      <c r="N778" s="128">
        <v>8371549</v>
      </c>
      <c r="O778" s="128">
        <v>973064</v>
      </c>
    </row>
    <row r="779" spans="1:15">
      <c r="A779" s="132" t="s">
        <v>253</v>
      </c>
      <c r="B779" s="123" t="s">
        <v>254</v>
      </c>
      <c r="C779" s="124">
        <v>894</v>
      </c>
      <c r="D779" s="125">
        <v>1167.6949999999999</v>
      </c>
      <c r="E779" s="126">
        <v>130.73099999999999</v>
      </c>
      <c r="F779" s="126">
        <v>69.451800000000006</v>
      </c>
      <c r="G779" s="127">
        <v>8.9320436621765325</v>
      </c>
      <c r="H779" s="127">
        <v>12.872236572702219</v>
      </c>
      <c r="I779" s="128">
        <v>7119123</v>
      </c>
      <c r="J779" s="128">
        <v>7506818</v>
      </c>
      <c r="K779" s="128">
        <v>7379922</v>
      </c>
      <c r="L779" s="128">
        <v>7417552</v>
      </c>
      <c r="M779" s="128">
        <v>7654607</v>
      </c>
      <c r="N779" s="128">
        <v>7168499</v>
      </c>
      <c r="O779" s="128">
        <v>285747</v>
      </c>
    </row>
    <row r="780" spans="1:15">
      <c r="A780" s="132" t="s">
        <v>722</v>
      </c>
      <c r="B780" s="123" t="s">
        <v>723</v>
      </c>
      <c r="C780" s="124">
        <v>204</v>
      </c>
      <c r="D780" s="125">
        <v>313.61799999999999</v>
      </c>
      <c r="E780" s="126">
        <v>34.4998</v>
      </c>
      <c r="F780" s="126">
        <v>16.4998</v>
      </c>
      <c r="G780" s="127">
        <v>9.0904295097362873</v>
      </c>
      <c r="H780" s="127">
        <v>12.36378622771185</v>
      </c>
      <c r="I780" s="128">
        <v>1924692</v>
      </c>
      <c r="J780" s="128">
        <v>1776954</v>
      </c>
      <c r="K780" s="128">
        <v>2388538</v>
      </c>
      <c r="L780" s="128">
        <v>2760017</v>
      </c>
      <c r="M780" s="128">
        <v>1926211</v>
      </c>
      <c r="N780" s="128">
        <v>2434458</v>
      </c>
      <c r="O780" s="128">
        <v>590231</v>
      </c>
    </row>
    <row r="781" spans="1:15">
      <c r="A781" s="132" t="s">
        <v>225</v>
      </c>
      <c r="B781" s="123" t="s">
        <v>226</v>
      </c>
      <c r="C781" s="124">
        <v>503</v>
      </c>
      <c r="D781" s="125">
        <v>786.58900000000006</v>
      </c>
      <c r="E781" s="126">
        <v>98.604299999999995</v>
      </c>
      <c r="F781" s="126">
        <v>47.341200000000001</v>
      </c>
      <c r="G781" s="127">
        <v>7.9772281736192046</v>
      </c>
      <c r="H781" s="127">
        <v>10.624994719187516</v>
      </c>
      <c r="I781" s="128">
        <v>4329065</v>
      </c>
      <c r="J781" s="128">
        <v>4508101</v>
      </c>
      <c r="K781" s="128">
        <v>4293639</v>
      </c>
      <c r="L781" s="128">
        <v>4151832</v>
      </c>
      <c r="M781" s="128">
        <v>4308152</v>
      </c>
      <c r="N781" s="128">
        <v>4574768</v>
      </c>
      <c r="O781" s="128">
        <v>1664909</v>
      </c>
    </row>
    <row r="782" spans="1:15">
      <c r="A782" s="132" t="s">
        <v>654</v>
      </c>
      <c r="B782" s="123" t="s">
        <v>655</v>
      </c>
      <c r="C782" s="124">
        <v>578</v>
      </c>
      <c r="D782" s="125">
        <v>852.20600000000002</v>
      </c>
      <c r="E782" s="126">
        <v>105.1576</v>
      </c>
      <c r="F782" s="126">
        <v>50.185099999999998</v>
      </c>
      <c r="G782" s="127">
        <v>8.1040837752097801</v>
      </c>
      <c r="H782" s="127">
        <v>11.517362723198719</v>
      </c>
      <c r="I782" s="128">
        <v>4735328</v>
      </c>
      <c r="J782" s="128">
        <v>4763113</v>
      </c>
      <c r="K782" s="128">
        <v>4873422</v>
      </c>
      <c r="L782" s="128">
        <v>4809607</v>
      </c>
      <c r="M782" s="128">
        <v>4832114</v>
      </c>
      <c r="N782" s="128">
        <v>4841355</v>
      </c>
      <c r="O782" s="128">
        <v>802856</v>
      </c>
    </row>
    <row r="783" spans="1:15">
      <c r="A783" s="132" t="s">
        <v>698</v>
      </c>
      <c r="B783" s="123" t="s">
        <v>699</v>
      </c>
      <c r="C783" s="124">
        <v>1202</v>
      </c>
      <c r="D783" s="125">
        <v>1793.248</v>
      </c>
      <c r="E783" s="126">
        <v>240.67949999999999</v>
      </c>
      <c r="F783" s="126">
        <v>113.9346</v>
      </c>
      <c r="G783" s="127">
        <v>7.4507716693777413</v>
      </c>
      <c r="H783" s="127">
        <v>10.549911967040741</v>
      </c>
      <c r="I783" s="128">
        <v>10555416</v>
      </c>
      <c r="J783" s="128">
        <v>11060985</v>
      </c>
      <c r="K783" s="128">
        <v>11808985</v>
      </c>
      <c r="L783" s="128">
        <v>10620409</v>
      </c>
      <c r="M783" s="128">
        <v>10998465</v>
      </c>
      <c r="N783" s="128">
        <v>11142965</v>
      </c>
      <c r="O783" s="128">
        <v>3194355</v>
      </c>
    </row>
    <row r="784" spans="1:15">
      <c r="A784" s="132" t="s">
        <v>1088</v>
      </c>
      <c r="B784" s="123" t="s">
        <v>1089</v>
      </c>
      <c r="C784" s="124">
        <v>142</v>
      </c>
      <c r="D784" s="125">
        <v>265.88400000000001</v>
      </c>
      <c r="E784" s="126">
        <v>34.7971</v>
      </c>
      <c r="F784" s="126">
        <v>20.2621</v>
      </c>
      <c r="G784" s="127">
        <v>7.6409815760508781</v>
      </c>
      <c r="H784" s="127">
        <v>7.0081580882534382</v>
      </c>
      <c r="I784" s="128">
        <v>1811082</v>
      </c>
      <c r="J784" s="128">
        <v>1727621</v>
      </c>
      <c r="K784" s="128">
        <v>1759170</v>
      </c>
      <c r="L784" s="128">
        <v>1827152</v>
      </c>
      <c r="M784" s="128">
        <v>1761621</v>
      </c>
      <c r="N784" s="128">
        <v>1808031</v>
      </c>
      <c r="O784" s="128">
        <v>528112</v>
      </c>
    </row>
    <row r="785" spans="1:15">
      <c r="A785" s="132" t="s">
        <v>279</v>
      </c>
      <c r="B785" s="123" t="s">
        <v>280</v>
      </c>
      <c r="C785" s="124">
        <v>105</v>
      </c>
      <c r="D785" s="125">
        <v>266.66000000000003</v>
      </c>
      <c r="E785" s="126">
        <v>31.940800000000003</v>
      </c>
      <c r="F785" s="126">
        <v>16.999600000000001</v>
      </c>
      <c r="G785" s="127">
        <v>8.3485698542303268</v>
      </c>
      <c r="H785" s="127">
        <v>6.1766159203745969</v>
      </c>
      <c r="I785" s="128">
        <v>2350909</v>
      </c>
      <c r="J785" s="128">
        <v>1939521</v>
      </c>
      <c r="K785" s="128">
        <v>2832906</v>
      </c>
      <c r="L785" s="128">
        <v>1739220</v>
      </c>
      <c r="M785" s="128">
        <v>1733353</v>
      </c>
      <c r="N785" s="128">
        <v>2046675</v>
      </c>
      <c r="O785" s="128">
        <v>1678159</v>
      </c>
    </row>
    <row r="786" spans="1:15">
      <c r="A786" s="132" t="s">
        <v>682</v>
      </c>
      <c r="B786" s="123" t="s">
        <v>683</v>
      </c>
      <c r="C786" s="124">
        <v>2364</v>
      </c>
      <c r="D786" s="125">
        <v>3065.82</v>
      </c>
      <c r="E786" s="126">
        <v>376.51789999999994</v>
      </c>
      <c r="F786" s="126">
        <v>186.9222</v>
      </c>
      <c r="G786" s="127">
        <v>8.1425610840812634</v>
      </c>
      <c r="H786" s="127">
        <v>12.64697291172477</v>
      </c>
      <c r="I786" s="128">
        <v>20641004</v>
      </c>
      <c r="J786" s="128">
        <v>21141359</v>
      </c>
      <c r="K786" s="128">
        <v>19667042</v>
      </c>
      <c r="L786" s="128">
        <v>21253372</v>
      </c>
      <c r="M786" s="128">
        <v>21744755</v>
      </c>
      <c r="N786" s="128">
        <v>22406718</v>
      </c>
      <c r="O786" s="128">
        <v>8141750</v>
      </c>
    </row>
    <row r="787" spans="1:15">
      <c r="A787" s="132" t="s">
        <v>944</v>
      </c>
      <c r="B787" s="123" t="s">
        <v>945</v>
      </c>
      <c r="C787" s="124">
        <v>481</v>
      </c>
      <c r="D787" s="125">
        <v>903.86400000000003</v>
      </c>
      <c r="E787" s="126">
        <v>99.991799999999998</v>
      </c>
      <c r="F787" s="126">
        <v>50.968200000000003</v>
      </c>
      <c r="G787" s="127">
        <v>9.0393812292607993</v>
      </c>
      <c r="H787" s="127">
        <v>9.4372569562982402</v>
      </c>
      <c r="I787" s="128">
        <v>14713132</v>
      </c>
      <c r="J787" s="128">
        <v>10200377</v>
      </c>
      <c r="K787" s="128">
        <v>14066525</v>
      </c>
      <c r="L787" s="128">
        <v>10974122</v>
      </c>
      <c r="M787" s="128">
        <v>8462063</v>
      </c>
      <c r="N787" s="128">
        <v>9072697</v>
      </c>
      <c r="O787" s="128">
        <v>1541117</v>
      </c>
    </row>
    <row r="788" spans="1:15">
      <c r="A788" s="132" t="s">
        <v>180</v>
      </c>
      <c r="B788" s="123" t="s">
        <v>181</v>
      </c>
      <c r="C788" s="124">
        <v>483</v>
      </c>
      <c r="D788" s="125">
        <v>738.255</v>
      </c>
      <c r="E788" s="126">
        <v>69.475799999999992</v>
      </c>
      <c r="F788" s="126">
        <v>39.845500000000001</v>
      </c>
      <c r="G788" s="127">
        <v>10.626074115015589</v>
      </c>
      <c r="H788" s="127">
        <v>12.121820531804094</v>
      </c>
      <c r="I788" s="128">
        <v>4569344</v>
      </c>
      <c r="J788" s="128">
        <v>4380522</v>
      </c>
      <c r="K788" s="128">
        <v>4277601</v>
      </c>
      <c r="L788" s="128">
        <v>2715369</v>
      </c>
      <c r="M788" s="128">
        <v>4473511</v>
      </c>
      <c r="N788" s="128">
        <v>4208667</v>
      </c>
      <c r="O788" s="128">
        <v>3031112</v>
      </c>
    </row>
    <row r="789" spans="1:15">
      <c r="A789" s="132" t="s">
        <v>758</v>
      </c>
      <c r="B789" s="123" t="s">
        <v>759</v>
      </c>
      <c r="C789" s="124">
        <v>246</v>
      </c>
      <c r="D789" s="125">
        <v>419.31200000000001</v>
      </c>
      <c r="E789" s="126">
        <v>46.436100000000003</v>
      </c>
      <c r="F789" s="126">
        <v>21.500399999999999</v>
      </c>
      <c r="G789" s="127">
        <v>9.029871156277121</v>
      </c>
      <c r="H789" s="127">
        <v>11.441647597254006</v>
      </c>
      <c r="I789" s="128">
        <v>2581283</v>
      </c>
      <c r="J789" s="128">
        <v>2489987</v>
      </c>
      <c r="K789" s="128">
        <v>2574167</v>
      </c>
      <c r="L789" s="128">
        <v>2631347</v>
      </c>
      <c r="M789" s="128">
        <v>2591988</v>
      </c>
      <c r="N789" s="128">
        <v>2563609</v>
      </c>
      <c r="O789" s="128">
        <v>500449</v>
      </c>
    </row>
    <row r="790" spans="1:15">
      <c r="A790" s="132" t="s">
        <v>455</v>
      </c>
      <c r="B790" s="123" t="s">
        <v>456</v>
      </c>
      <c r="C790" s="124">
        <v>1008</v>
      </c>
      <c r="D790" s="125">
        <v>1518.345</v>
      </c>
      <c r="E790" s="126">
        <v>196.47929999999999</v>
      </c>
      <c r="F790" s="126">
        <v>96.006299999999996</v>
      </c>
      <c r="G790" s="127">
        <v>7.7277606343263647</v>
      </c>
      <c r="H790" s="127">
        <v>10.499310982716759</v>
      </c>
      <c r="I790" s="128">
        <v>8570781</v>
      </c>
      <c r="J790" s="128">
        <v>8336623</v>
      </c>
      <c r="K790" s="128">
        <v>9114983</v>
      </c>
      <c r="L790" s="128">
        <v>9233000</v>
      </c>
      <c r="M790" s="128">
        <v>8771628</v>
      </c>
      <c r="N790" s="128">
        <v>8494510</v>
      </c>
      <c r="O790" s="128">
        <v>499681</v>
      </c>
    </row>
    <row r="791" spans="1:15">
      <c r="A791" s="132" t="s">
        <v>1098</v>
      </c>
      <c r="B791" s="123" t="s">
        <v>1099</v>
      </c>
      <c r="C791" s="124">
        <v>194</v>
      </c>
      <c r="D791" s="125">
        <v>335.262</v>
      </c>
      <c r="E791" s="126">
        <v>42.000900000000001</v>
      </c>
      <c r="F791" s="126">
        <v>20.000900000000001</v>
      </c>
      <c r="G791" s="127">
        <v>7.982257523053077</v>
      </c>
      <c r="H791" s="127">
        <v>9.6995635196416146</v>
      </c>
      <c r="I791" s="128">
        <v>2036669</v>
      </c>
      <c r="J791" s="128">
        <v>1967241</v>
      </c>
      <c r="K791" s="128">
        <v>1941751</v>
      </c>
      <c r="L791" s="128">
        <v>2152663</v>
      </c>
      <c r="M791" s="128">
        <v>2072996</v>
      </c>
      <c r="N791" s="128">
        <v>2363106</v>
      </c>
      <c r="O791" s="128">
        <v>1009896</v>
      </c>
    </row>
    <row r="792" spans="1:15">
      <c r="A792" s="132" t="s">
        <v>1134</v>
      </c>
      <c r="B792" s="123" t="s">
        <v>1135</v>
      </c>
      <c r="C792" s="124">
        <v>4043</v>
      </c>
      <c r="D792" s="125">
        <v>5215.165</v>
      </c>
      <c r="E792" s="126">
        <v>629.93370000000004</v>
      </c>
      <c r="F792" s="126">
        <v>287.29969999999997</v>
      </c>
      <c r="G792" s="127">
        <v>8.2789109393575853</v>
      </c>
      <c r="H792" s="127">
        <v>14.07241288452442</v>
      </c>
      <c r="I792" s="128">
        <v>30747443</v>
      </c>
      <c r="J792" s="128">
        <v>27124360</v>
      </c>
      <c r="K792" s="128">
        <v>27917447</v>
      </c>
      <c r="L792" s="128">
        <v>28275083</v>
      </c>
      <c r="M792" s="128">
        <v>28533576</v>
      </c>
      <c r="N792" s="128">
        <v>30000236</v>
      </c>
      <c r="O792" s="128">
        <v>4263444</v>
      </c>
    </row>
    <row r="793" spans="1:15">
      <c r="A793" s="132" t="s">
        <v>1418</v>
      </c>
      <c r="B793" s="123" t="s">
        <v>1419</v>
      </c>
      <c r="C793" s="124">
        <v>957</v>
      </c>
      <c r="D793" s="125">
        <v>1424.3020000000001</v>
      </c>
      <c r="E793" s="126">
        <v>153.42449999999999</v>
      </c>
      <c r="F793" s="126">
        <v>71.002099999999999</v>
      </c>
      <c r="G793" s="127">
        <v>9.2834064963548855</v>
      </c>
      <c r="H793" s="127">
        <v>13.478474580329314</v>
      </c>
      <c r="I793" s="128">
        <v>7821985</v>
      </c>
      <c r="J793" s="128">
        <v>7758773</v>
      </c>
      <c r="K793" s="128">
        <v>8366438</v>
      </c>
      <c r="L793" s="128">
        <v>7547055</v>
      </c>
      <c r="M793" s="128">
        <v>7224105</v>
      </c>
      <c r="N793" s="128">
        <v>8137733</v>
      </c>
      <c r="O793" s="128">
        <v>3297096</v>
      </c>
    </row>
    <row r="794" spans="1:15">
      <c r="A794" s="132" t="s">
        <v>82</v>
      </c>
      <c r="B794" s="123" t="s">
        <v>83</v>
      </c>
      <c r="C794" s="124">
        <v>32445</v>
      </c>
      <c r="D794" s="125">
        <v>38445.063999999998</v>
      </c>
      <c r="E794" s="126">
        <v>4072.6976</v>
      </c>
      <c r="F794" s="126">
        <v>2222.9785000000002</v>
      </c>
      <c r="G794" s="127">
        <v>9.4397050249937529</v>
      </c>
      <c r="H794" s="127">
        <v>14.595282860360546</v>
      </c>
      <c r="I794" s="128">
        <v>206838018</v>
      </c>
      <c r="J794" s="128">
        <v>213970511</v>
      </c>
      <c r="K794" s="128">
        <v>218102324</v>
      </c>
      <c r="L794" s="128">
        <v>209926179</v>
      </c>
      <c r="M794" s="128">
        <v>211820643</v>
      </c>
      <c r="N794" s="128">
        <v>223967829</v>
      </c>
      <c r="O794" s="128">
        <v>54874717</v>
      </c>
    </row>
    <row r="795" spans="1:15">
      <c r="A795" s="132" t="s">
        <v>1596</v>
      </c>
      <c r="B795" s="123" t="s">
        <v>1597</v>
      </c>
      <c r="C795" s="124">
        <v>1492</v>
      </c>
      <c r="D795" s="125">
        <v>1888.9760000000001</v>
      </c>
      <c r="E795" s="126">
        <v>180.0513</v>
      </c>
      <c r="F795" s="126">
        <v>94.790899999999993</v>
      </c>
      <c r="G795" s="127">
        <v>10.491321084602001</v>
      </c>
      <c r="H795" s="127">
        <v>15.739907522768537</v>
      </c>
      <c r="I795" s="128">
        <v>10240943</v>
      </c>
      <c r="J795" s="128">
        <v>9642792</v>
      </c>
      <c r="K795" s="128">
        <v>9750078</v>
      </c>
      <c r="L795" s="128">
        <v>9985329</v>
      </c>
      <c r="M795" s="128">
        <v>9677793</v>
      </c>
      <c r="N795" s="128">
        <v>10335997</v>
      </c>
      <c r="O795" s="128">
        <v>1587465</v>
      </c>
    </row>
    <row r="796" spans="1:15">
      <c r="A796" s="132" t="s">
        <v>886</v>
      </c>
      <c r="B796" s="123" t="s">
        <v>885</v>
      </c>
      <c r="C796" s="124">
        <v>983</v>
      </c>
      <c r="D796" s="125">
        <v>1374.5890000000002</v>
      </c>
      <c r="E796" s="126">
        <v>150.18690000000001</v>
      </c>
      <c r="F796" s="126">
        <v>77.295500000000004</v>
      </c>
      <c r="G796" s="127">
        <v>9.1525226234778145</v>
      </c>
      <c r="H796" s="127">
        <v>12.717428569580376</v>
      </c>
      <c r="I796" s="128">
        <v>8996550</v>
      </c>
      <c r="J796" s="128">
        <v>9263466</v>
      </c>
      <c r="K796" s="128">
        <v>8573318</v>
      </c>
      <c r="L796" s="128">
        <v>8451769</v>
      </c>
      <c r="M796" s="128">
        <v>8585194</v>
      </c>
      <c r="N796" s="128">
        <v>9002588</v>
      </c>
      <c r="O796" s="128">
        <v>3575194</v>
      </c>
    </row>
    <row r="797" spans="1:15">
      <c r="A797" s="132" t="s">
        <v>297</v>
      </c>
      <c r="B797" s="123" t="s">
        <v>298</v>
      </c>
      <c r="C797" s="124">
        <v>1306</v>
      </c>
      <c r="D797" s="125">
        <v>1717.2249999999999</v>
      </c>
      <c r="E797" s="126">
        <v>192.06700000000001</v>
      </c>
      <c r="F797" s="126">
        <v>115.206</v>
      </c>
      <c r="G797" s="127">
        <v>8.9407602555358299</v>
      </c>
      <c r="H797" s="127">
        <v>11.336215127684321</v>
      </c>
      <c r="I797" s="128">
        <v>11936846</v>
      </c>
      <c r="J797" s="128">
        <v>11711330</v>
      </c>
      <c r="K797" s="128">
        <v>11404880</v>
      </c>
      <c r="L797" s="128">
        <v>11687792</v>
      </c>
      <c r="M797" s="128">
        <v>11523211</v>
      </c>
      <c r="N797" s="128">
        <v>11497096</v>
      </c>
      <c r="O797" s="128">
        <v>2856692</v>
      </c>
    </row>
    <row r="798" spans="1:15">
      <c r="A798" s="132" t="s">
        <v>1204</v>
      </c>
      <c r="B798" s="123" t="s">
        <v>1205</v>
      </c>
      <c r="C798" s="124">
        <v>377</v>
      </c>
      <c r="D798" s="125">
        <v>678.67100000000005</v>
      </c>
      <c r="E798" s="126">
        <v>79.133099999999999</v>
      </c>
      <c r="F798" s="126">
        <v>39.4923</v>
      </c>
      <c r="G798" s="127">
        <v>8.5763226766043541</v>
      </c>
      <c r="H798" s="127">
        <v>9.5461646953963175</v>
      </c>
      <c r="I798" s="128">
        <v>4493005</v>
      </c>
      <c r="J798" s="128">
        <v>4460368</v>
      </c>
      <c r="K798" s="128">
        <v>5086707</v>
      </c>
      <c r="L798" s="128">
        <v>4041755</v>
      </c>
      <c r="M798" s="128">
        <v>4500045</v>
      </c>
      <c r="N798" s="128">
        <v>4750503</v>
      </c>
      <c r="O798" s="128">
        <v>1225124</v>
      </c>
    </row>
    <row r="799" spans="1:15">
      <c r="A799" s="132" t="s">
        <v>1530</v>
      </c>
      <c r="B799" s="123" t="s">
        <v>1531</v>
      </c>
      <c r="C799" s="124">
        <v>1456</v>
      </c>
      <c r="D799" s="125">
        <v>2084.9120000000003</v>
      </c>
      <c r="E799" s="126">
        <v>283.9289</v>
      </c>
      <c r="F799" s="126">
        <v>128.75299999999999</v>
      </c>
      <c r="G799" s="127">
        <v>7.3430777916584056</v>
      </c>
      <c r="H799" s="127">
        <v>11.30847436564585</v>
      </c>
      <c r="I799" s="128">
        <v>15643004</v>
      </c>
      <c r="J799" s="128">
        <v>17887817</v>
      </c>
      <c r="K799" s="128">
        <v>15786048</v>
      </c>
      <c r="L799" s="128">
        <v>16217892</v>
      </c>
      <c r="M799" s="128">
        <v>17077269</v>
      </c>
      <c r="N799" s="128">
        <v>16520660</v>
      </c>
      <c r="O799" s="128">
        <v>5496721</v>
      </c>
    </row>
    <row r="800" spans="1:15">
      <c r="A800" s="132" t="s">
        <v>1550</v>
      </c>
      <c r="B800" s="123" t="s">
        <v>1551</v>
      </c>
      <c r="C800" s="124">
        <v>1622</v>
      </c>
      <c r="D800" s="125">
        <v>2098.9390000000003</v>
      </c>
      <c r="E800" s="126">
        <v>270.45060000000001</v>
      </c>
      <c r="F800" s="126">
        <v>127.4768</v>
      </c>
      <c r="G800" s="127">
        <v>7.7608960749208924</v>
      </c>
      <c r="H800" s="127">
        <v>12.723883875340455</v>
      </c>
      <c r="I800" s="128">
        <v>12562670</v>
      </c>
      <c r="J800" s="128">
        <v>12554176</v>
      </c>
      <c r="K800" s="128">
        <v>12667262</v>
      </c>
      <c r="L800" s="128">
        <v>13148026</v>
      </c>
      <c r="M800" s="128">
        <v>12979587</v>
      </c>
      <c r="N800" s="128">
        <v>12608907</v>
      </c>
      <c r="O800" s="128">
        <v>3598214</v>
      </c>
    </row>
    <row r="801" spans="1:15">
      <c r="A801" s="132" t="s">
        <v>325</v>
      </c>
      <c r="B801" s="123" t="s">
        <v>326</v>
      </c>
      <c r="C801" s="124">
        <v>8783</v>
      </c>
      <c r="D801" s="125">
        <v>10019.183999999999</v>
      </c>
      <c r="E801" s="126">
        <v>1073.7407000000001</v>
      </c>
      <c r="F801" s="126">
        <v>567.73329999999999</v>
      </c>
      <c r="G801" s="127">
        <v>9.3311020062851284</v>
      </c>
      <c r="H801" s="127">
        <v>15.470292124841013</v>
      </c>
      <c r="I801" s="128">
        <v>60220256</v>
      </c>
      <c r="J801" s="128">
        <v>57450861</v>
      </c>
      <c r="K801" s="128">
        <v>58776260</v>
      </c>
      <c r="L801" s="128">
        <v>57453064</v>
      </c>
      <c r="M801" s="128">
        <v>58004530</v>
      </c>
      <c r="N801" s="128">
        <v>58345860</v>
      </c>
      <c r="O801" s="128">
        <v>13818875</v>
      </c>
    </row>
    <row r="802" spans="1:15">
      <c r="A802" s="132" t="s">
        <v>1564</v>
      </c>
      <c r="B802" s="123" t="s">
        <v>1565</v>
      </c>
      <c r="C802" s="124">
        <v>790</v>
      </c>
      <c r="D802" s="125">
        <v>1249.778</v>
      </c>
      <c r="E802" s="126">
        <v>143.29169999999999</v>
      </c>
      <c r="F802" s="126">
        <v>73.123699999999999</v>
      </c>
      <c r="G802" s="127">
        <v>8.721914807347531</v>
      </c>
      <c r="H802" s="127">
        <v>10.803610867612006</v>
      </c>
      <c r="I802" s="128">
        <v>12822578</v>
      </c>
      <c r="J802" s="128">
        <v>9191441</v>
      </c>
      <c r="K802" s="128">
        <v>12842415</v>
      </c>
      <c r="L802" s="128">
        <v>9382570</v>
      </c>
      <c r="M802" s="128">
        <v>9472453</v>
      </c>
      <c r="N802" s="128">
        <v>9518064</v>
      </c>
      <c r="O802" s="128">
        <v>4589056</v>
      </c>
    </row>
    <row r="803" spans="1:15">
      <c r="A803" s="132" t="s">
        <v>1090</v>
      </c>
      <c r="B803" s="123" t="s">
        <v>1091</v>
      </c>
      <c r="C803" s="124">
        <v>252</v>
      </c>
      <c r="D803" s="125">
        <v>454.89100000000002</v>
      </c>
      <c r="E803" s="126">
        <v>54.5642</v>
      </c>
      <c r="F803" s="126">
        <v>27.079799999999999</v>
      </c>
      <c r="G803" s="127">
        <v>8.33680325194908</v>
      </c>
      <c r="H803" s="127">
        <v>9.3058294374404547</v>
      </c>
      <c r="I803" s="128">
        <v>3328873</v>
      </c>
      <c r="J803" s="128">
        <v>3701632</v>
      </c>
      <c r="K803" s="128">
        <v>3460873</v>
      </c>
      <c r="L803" s="128">
        <v>3234784</v>
      </c>
      <c r="M803" s="128">
        <v>3759637</v>
      </c>
      <c r="N803" s="128">
        <v>3134213</v>
      </c>
      <c r="O803" s="128">
        <v>166895</v>
      </c>
    </row>
    <row r="804" spans="1:15">
      <c r="A804" s="132" t="s">
        <v>132</v>
      </c>
      <c r="B804" s="123" t="s">
        <v>133</v>
      </c>
      <c r="C804" s="124">
        <v>400</v>
      </c>
      <c r="D804" s="125">
        <v>626.12599999999998</v>
      </c>
      <c r="E804" s="126">
        <v>61.890299999999996</v>
      </c>
      <c r="F804" s="126">
        <v>36.222299999999997</v>
      </c>
      <c r="G804" s="127">
        <v>10.116706495201994</v>
      </c>
      <c r="H804" s="127">
        <v>11.042921073482358</v>
      </c>
      <c r="I804" s="128">
        <v>3397300</v>
      </c>
      <c r="J804" s="128">
        <v>3731472</v>
      </c>
      <c r="K804" s="128">
        <v>3502258</v>
      </c>
      <c r="L804" s="128">
        <v>3486225</v>
      </c>
      <c r="M804" s="128">
        <v>3839101</v>
      </c>
      <c r="N804" s="128">
        <v>3641354</v>
      </c>
      <c r="O804" s="128">
        <v>1101154</v>
      </c>
    </row>
    <row r="805" spans="1:15">
      <c r="A805" s="132" t="s">
        <v>1598</v>
      </c>
      <c r="B805" s="123" t="s">
        <v>1599</v>
      </c>
      <c r="C805" s="124">
        <v>736</v>
      </c>
      <c r="D805" s="125">
        <v>1083.5630000000001</v>
      </c>
      <c r="E805" s="126">
        <v>115.6581</v>
      </c>
      <c r="F805" s="126">
        <v>62.939500000000002</v>
      </c>
      <c r="G805" s="127">
        <v>9.368673702922667</v>
      </c>
      <c r="H805" s="127">
        <v>11.693769413484377</v>
      </c>
      <c r="I805" s="128">
        <v>6298651</v>
      </c>
      <c r="J805" s="128">
        <v>6821453</v>
      </c>
      <c r="K805" s="128">
        <v>6298740</v>
      </c>
      <c r="L805" s="128">
        <v>6487036</v>
      </c>
      <c r="M805" s="128">
        <v>6972322</v>
      </c>
      <c r="N805" s="128">
        <v>7069625</v>
      </c>
      <c r="O805" s="128">
        <v>1709523</v>
      </c>
    </row>
    <row r="806" spans="1:15">
      <c r="A806" s="132" t="s">
        <v>393</v>
      </c>
      <c r="B806" s="123" t="s">
        <v>394</v>
      </c>
      <c r="C806" s="124">
        <v>711</v>
      </c>
      <c r="D806" s="125">
        <v>1291.6680000000001</v>
      </c>
      <c r="E806" s="126">
        <v>171.3706</v>
      </c>
      <c r="F806" s="126">
        <v>73.329400000000007</v>
      </c>
      <c r="G806" s="127">
        <v>7.5372788564666298</v>
      </c>
      <c r="H806" s="127">
        <v>9.6959746022741218</v>
      </c>
      <c r="I806" s="128">
        <v>8630772</v>
      </c>
      <c r="J806" s="128">
        <v>8750536</v>
      </c>
      <c r="K806" s="128">
        <v>8326844</v>
      </c>
      <c r="L806" s="128">
        <v>8649345</v>
      </c>
      <c r="M806" s="128">
        <v>8664407</v>
      </c>
      <c r="N806" s="128">
        <v>8366248</v>
      </c>
      <c r="O806" s="128">
        <v>1519726</v>
      </c>
    </row>
    <row r="807" spans="1:15">
      <c r="A807" s="132" t="s">
        <v>541</v>
      </c>
      <c r="B807" s="123" t="s">
        <v>542</v>
      </c>
      <c r="C807" s="124">
        <v>485</v>
      </c>
      <c r="D807" s="125">
        <v>765.90100000000007</v>
      </c>
      <c r="E807" s="126">
        <v>112.7346</v>
      </c>
      <c r="F807" s="126">
        <v>44.335099999999997</v>
      </c>
      <c r="G807" s="127">
        <v>6.7938414648209164</v>
      </c>
      <c r="H807" s="127">
        <v>10.939413692537064</v>
      </c>
      <c r="I807" s="128">
        <v>4418704</v>
      </c>
      <c r="J807" s="128">
        <v>4072343</v>
      </c>
      <c r="K807" s="128">
        <v>4931848</v>
      </c>
      <c r="L807" s="128">
        <v>4519792</v>
      </c>
      <c r="M807" s="128">
        <v>4334431</v>
      </c>
      <c r="N807" s="128">
        <v>4652748</v>
      </c>
      <c r="O807" s="128">
        <v>534254</v>
      </c>
    </row>
    <row r="808" spans="1:15">
      <c r="A808" s="132" t="s">
        <v>1464</v>
      </c>
      <c r="B808" s="123" t="s">
        <v>1465</v>
      </c>
      <c r="C808" s="124">
        <v>2164</v>
      </c>
      <c r="D808" s="125">
        <v>2945.5140000000001</v>
      </c>
      <c r="E808" s="126">
        <v>373.04639999999995</v>
      </c>
      <c r="F808" s="126">
        <v>179.94319999999999</v>
      </c>
      <c r="G808" s="127">
        <v>7.8958381584703687</v>
      </c>
      <c r="H808" s="127">
        <v>12.026017098728932</v>
      </c>
      <c r="I808" s="128">
        <v>19748434</v>
      </c>
      <c r="J808" s="128">
        <v>18999061</v>
      </c>
      <c r="K808" s="128">
        <v>19164065</v>
      </c>
      <c r="L808" s="128">
        <v>19095333</v>
      </c>
      <c r="M808" s="128">
        <v>19280680</v>
      </c>
      <c r="N808" s="128">
        <v>19224839</v>
      </c>
      <c r="O808" s="128">
        <v>3159604</v>
      </c>
    </row>
    <row r="809" spans="1:15">
      <c r="A809" s="132" t="s">
        <v>144</v>
      </c>
      <c r="B809" s="123" t="s">
        <v>145</v>
      </c>
      <c r="C809" s="124">
        <v>159</v>
      </c>
      <c r="D809" s="125">
        <v>323.74700000000001</v>
      </c>
      <c r="E809" s="126">
        <v>35.128900000000002</v>
      </c>
      <c r="F809" s="126">
        <v>18.3292</v>
      </c>
      <c r="G809" s="127">
        <v>9.2159731730854091</v>
      </c>
      <c r="H809" s="127">
        <v>8.6746830194443838</v>
      </c>
      <c r="I809" s="128">
        <v>2094842</v>
      </c>
      <c r="J809" s="128">
        <v>2142596</v>
      </c>
      <c r="K809" s="128">
        <v>2137568</v>
      </c>
      <c r="L809" s="128">
        <v>2204715</v>
      </c>
      <c r="M809" s="128">
        <v>2239022</v>
      </c>
      <c r="N809" s="128">
        <v>2190296</v>
      </c>
      <c r="O809" s="128">
        <v>385505</v>
      </c>
    </row>
    <row r="810" spans="1:15">
      <c r="A810" s="132" t="s">
        <v>128</v>
      </c>
      <c r="B810" s="123" t="s">
        <v>129</v>
      </c>
      <c r="C810" s="124">
        <v>150</v>
      </c>
      <c r="D810" s="125">
        <v>253.28</v>
      </c>
      <c r="E810" s="126">
        <v>35.979999999999997</v>
      </c>
      <c r="F810" s="126">
        <v>20.1203</v>
      </c>
      <c r="G810" s="127">
        <v>7.0394663702056688</v>
      </c>
      <c r="H810" s="127">
        <v>7.4551572292659651</v>
      </c>
      <c r="I810" s="128">
        <v>2470789</v>
      </c>
      <c r="J810" s="128">
        <v>2473918</v>
      </c>
      <c r="K810" s="128">
        <v>2456184</v>
      </c>
      <c r="L810" s="128">
        <v>2503488</v>
      </c>
      <c r="M810" s="128">
        <v>2599693</v>
      </c>
      <c r="N810" s="128">
        <v>2469135</v>
      </c>
      <c r="O810" s="128">
        <v>605983</v>
      </c>
    </row>
    <row r="811" spans="1:15">
      <c r="A811" s="132" t="s">
        <v>2065</v>
      </c>
      <c r="B811" s="123" t="s">
        <v>2066</v>
      </c>
      <c r="C811" s="124">
        <v>503</v>
      </c>
      <c r="D811" s="125">
        <v>799.06900000000007</v>
      </c>
      <c r="E811" s="126">
        <v>92.501000000000005</v>
      </c>
      <c r="F811" s="126">
        <v>47.7986</v>
      </c>
      <c r="G811" s="127">
        <v>8.6384903946984366</v>
      </c>
      <c r="H811" s="127">
        <v>10.523320766717017</v>
      </c>
      <c r="I811" s="128">
        <v>5051597</v>
      </c>
      <c r="J811" s="128">
        <v>4871149</v>
      </c>
      <c r="K811" s="128">
        <v>4974422</v>
      </c>
      <c r="L811" s="128">
        <v>5134812</v>
      </c>
      <c r="M811" s="128">
        <v>4931276</v>
      </c>
      <c r="N811" s="128">
        <v>5131723</v>
      </c>
      <c r="O811" s="128">
        <v>834736</v>
      </c>
    </row>
    <row r="812" spans="1:15">
      <c r="A812" s="132" t="s">
        <v>1572</v>
      </c>
      <c r="B812" s="123" t="s">
        <v>1573</v>
      </c>
      <c r="C812" s="124">
        <v>727</v>
      </c>
      <c r="D812" s="125">
        <v>1174.6690000000001</v>
      </c>
      <c r="E812" s="126">
        <v>163.86949999999999</v>
      </c>
      <c r="F812" s="126">
        <v>73.855599999999995</v>
      </c>
      <c r="G812" s="127">
        <v>7.1683199131015849</v>
      </c>
      <c r="H812" s="127">
        <v>9.8435325147991488</v>
      </c>
      <c r="I812" s="128">
        <v>8169490</v>
      </c>
      <c r="J812" s="128">
        <v>7818483</v>
      </c>
      <c r="K812" s="128">
        <v>8712552</v>
      </c>
      <c r="L812" s="128">
        <v>8309502</v>
      </c>
      <c r="M812" s="128">
        <v>8084090</v>
      </c>
      <c r="N812" s="128">
        <v>8118462</v>
      </c>
      <c r="O812" s="128">
        <v>3359930</v>
      </c>
    </row>
    <row r="813" spans="1:15">
      <c r="A813" s="132" t="s">
        <v>1270</v>
      </c>
      <c r="B813" s="123" t="s">
        <v>1271</v>
      </c>
      <c r="C813" s="124">
        <v>190</v>
      </c>
      <c r="D813" s="125">
        <v>318.05099999999999</v>
      </c>
      <c r="E813" s="126">
        <v>37.7273</v>
      </c>
      <c r="F813" s="126">
        <v>20.9999</v>
      </c>
      <c r="G813" s="127">
        <v>8.430261375714668</v>
      </c>
      <c r="H813" s="127">
        <v>9.0476621317244366</v>
      </c>
      <c r="I813" s="128">
        <v>2461501</v>
      </c>
      <c r="J813" s="128">
        <v>2494310</v>
      </c>
      <c r="K813" s="128">
        <v>2475349</v>
      </c>
      <c r="L813" s="128">
        <v>2667217</v>
      </c>
      <c r="M813" s="128">
        <v>2514931</v>
      </c>
      <c r="N813" s="128">
        <v>2979462</v>
      </c>
      <c r="O813" s="128">
        <v>873725</v>
      </c>
    </row>
    <row r="814" spans="1:15">
      <c r="A814" s="132" t="s">
        <v>243</v>
      </c>
      <c r="B814" s="123" t="s">
        <v>244</v>
      </c>
      <c r="C814" s="124">
        <v>460</v>
      </c>
      <c r="D814" s="125">
        <v>691.096</v>
      </c>
      <c r="E814" s="126">
        <v>88.610200000000006</v>
      </c>
      <c r="F814" s="126">
        <v>45.081899999999997</v>
      </c>
      <c r="G814" s="127">
        <v>7.7992827010885879</v>
      </c>
      <c r="H814" s="127">
        <v>10.203651576353259</v>
      </c>
      <c r="I814" s="128">
        <v>5769869</v>
      </c>
      <c r="J814" s="128">
        <v>6758142</v>
      </c>
      <c r="K814" s="128">
        <v>5535641</v>
      </c>
      <c r="L814" s="128">
        <v>5920096</v>
      </c>
      <c r="M814" s="128">
        <v>6647359</v>
      </c>
      <c r="N814" s="128">
        <v>4873703</v>
      </c>
      <c r="O814" s="128">
        <v>2260996</v>
      </c>
    </row>
    <row r="815" spans="1:15">
      <c r="A815" s="132" t="s">
        <v>313</v>
      </c>
      <c r="B815" s="123" t="s">
        <v>314</v>
      </c>
      <c r="C815" s="124">
        <v>169</v>
      </c>
      <c r="D815" s="125">
        <v>291.84200000000004</v>
      </c>
      <c r="E815" s="126">
        <v>40.873100000000001</v>
      </c>
      <c r="F815" s="126">
        <v>14.899800000000001</v>
      </c>
      <c r="G815" s="127">
        <v>7.1401973425064416</v>
      </c>
      <c r="H815" s="127">
        <v>11.342434126632572</v>
      </c>
      <c r="I815" s="128">
        <v>2031731</v>
      </c>
      <c r="J815" s="128">
        <v>1811061</v>
      </c>
      <c r="K815" s="128">
        <v>1997661</v>
      </c>
      <c r="L815" s="128">
        <v>2066731</v>
      </c>
      <c r="M815" s="128">
        <v>1843061</v>
      </c>
      <c r="N815" s="128">
        <v>1612582</v>
      </c>
      <c r="O815" s="128">
        <v>134856</v>
      </c>
    </row>
    <row r="816" spans="1:15">
      <c r="A816" s="132" t="s">
        <v>686</v>
      </c>
      <c r="B816" s="123" t="s">
        <v>687</v>
      </c>
      <c r="C816" s="124">
        <v>1072</v>
      </c>
      <c r="D816" s="125">
        <v>1546.652</v>
      </c>
      <c r="E816" s="126">
        <v>219.9</v>
      </c>
      <c r="F816" s="126">
        <v>100.6164</v>
      </c>
      <c r="G816" s="127">
        <v>7.0334333788085495</v>
      </c>
      <c r="H816" s="127">
        <v>10.654326730036058</v>
      </c>
      <c r="I816" s="128">
        <v>12363987</v>
      </c>
      <c r="J816" s="128">
        <v>13080014</v>
      </c>
      <c r="K816" s="128">
        <v>12719032</v>
      </c>
      <c r="L816" s="128">
        <v>15514637</v>
      </c>
      <c r="M816" s="128">
        <v>16255666</v>
      </c>
      <c r="N816" s="128">
        <v>17551392</v>
      </c>
      <c r="O816" s="128">
        <v>4994744</v>
      </c>
    </row>
    <row r="817" spans="1:15">
      <c r="A817" s="132" t="s">
        <v>858</v>
      </c>
      <c r="B817" s="123" t="s">
        <v>859</v>
      </c>
      <c r="C817" s="124">
        <v>1053</v>
      </c>
      <c r="D817" s="125">
        <v>1607.558</v>
      </c>
      <c r="E817" s="126">
        <v>182.83429999999998</v>
      </c>
      <c r="F817" s="126">
        <v>84.946899999999999</v>
      </c>
      <c r="G817" s="127">
        <v>8.7924311794887515</v>
      </c>
      <c r="H817" s="127">
        <v>12.395979135200932</v>
      </c>
      <c r="I817" s="128">
        <v>9641982</v>
      </c>
      <c r="J817" s="128">
        <v>9774471</v>
      </c>
      <c r="K817" s="128">
        <v>9262868</v>
      </c>
      <c r="L817" s="128">
        <v>9978975</v>
      </c>
      <c r="M817" s="128">
        <v>10006709</v>
      </c>
      <c r="N817" s="128">
        <v>9412139</v>
      </c>
      <c r="O817" s="128">
        <v>2566246</v>
      </c>
    </row>
    <row r="818" spans="1:15">
      <c r="A818" s="132" t="s">
        <v>1333</v>
      </c>
      <c r="B818" s="123" t="s">
        <v>1334</v>
      </c>
      <c r="C818" s="124">
        <v>549</v>
      </c>
      <c r="D818" s="125">
        <v>854.29300000000001</v>
      </c>
      <c r="E818" s="126">
        <v>67.511899999999997</v>
      </c>
      <c r="F818" s="126">
        <v>36.004100000000001</v>
      </c>
      <c r="G818" s="127">
        <v>12.653961746003297</v>
      </c>
      <c r="H818" s="127">
        <v>15.248263392224773</v>
      </c>
      <c r="I818" s="128">
        <v>7020465</v>
      </c>
      <c r="J818" s="128">
        <v>7332360</v>
      </c>
      <c r="K818" s="128">
        <v>3993664</v>
      </c>
      <c r="L818" s="128">
        <v>2916000</v>
      </c>
      <c r="M818" s="128">
        <v>3253275</v>
      </c>
      <c r="N818" s="128">
        <v>4851679</v>
      </c>
      <c r="O818" s="128">
        <v>5447909</v>
      </c>
    </row>
    <row r="819" spans="1:15">
      <c r="A819" s="132" t="s">
        <v>1616</v>
      </c>
      <c r="B819" s="123" t="s">
        <v>1617</v>
      </c>
      <c r="C819" s="124">
        <v>13965</v>
      </c>
      <c r="D819" s="125">
        <v>15902.566000000001</v>
      </c>
      <c r="E819" s="126">
        <v>1809.1738999999998</v>
      </c>
      <c r="F819" s="126">
        <v>907.41650000000004</v>
      </c>
      <c r="G819" s="127">
        <v>8.7899598816896507</v>
      </c>
      <c r="H819" s="127">
        <v>15.389845787463639</v>
      </c>
      <c r="I819" s="128">
        <v>112106747</v>
      </c>
      <c r="J819" s="128">
        <v>108383358</v>
      </c>
      <c r="K819" s="128">
        <v>108119088</v>
      </c>
      <c r="L819" s="128">
        <v>105386705</v>
      </c>
      <c r="M819" s="128">
        <v>108519000</v>
      </c>
      <c r="N819" s="128">
        <v>109034772</v>
      </c>
      <c r="O819" s="128">
        <v>31167401</v>
      </c>
    </row>
    <row r="820" spans="1:15">
      <c r="A820" s="132" t="s">
        <v>1640</v>
      </c>
      <c r="B820" s="123" t="s">
        <v>1641</v>
      </c>
      <c r="C820" s="124">
        <v>4542</v>
      </c>
      <c r="D820" s="125">
        <v>5366.1860000000006</v>
      </c>
      <c r="E820" s="126">
        <v>671.76179999999999</v>
      </c>
      <c r="F820" s="126">
        <v>337.74509999999998</v>
      </c>
      <c r="G820" s="127">
        <v>7.9882273746438104</v>
      </c>
      <c r="H820" s="127">
        <v>13.448011532957844</v>
      </c>
      <c r="I820" s="128">
        <v>34878138</v>
      </c>
      <c r="J820" s="128">
        <v>35441369</v>
      </c>
      <c r="K820" s="128">
        <v>35509860</v>
      </c>
      <c r="L820" s="128">
        <v>34169333</v>
      </c>
      <c r="M820" s="128">
        <v>34277857</v>
      </c>
      <c r="N820" s="128">
        <v>33843492</v>
      </c>
      <c r="O820" s="128">
        <v>3205181</v>
      </c>
    </row>
    <row r="821" spans="1:15">
      <c r="A821" s="132" t="s">
        <v>142</v>
      </c>
      <c r="B821" s="123" t="s">
        <v>143</v>
      </c>
      <c r="C821" s="124">
        <v>982</v>
      </c>
      <c r="D821" s="125">
        <v>1531.7090000000001</v>
      </c>
      <c r="E821" s="126">
        <v>166.30069999999998</v>
      </c>
      <c r="F821" s="126">
        <v>87.215299999999999</v>
      </c>
      <c r="G821" s="127">
        <v>9.210478368401338</v>
      </c>
      <c r="H821" s="127">
        <v>11.259492313848602</v>
      </c>
      <c r="I821" s="128">
        <v>9182863</v>
      </c>
      <c r="J821" s="128">
        <v>9294085</v>
      </c>
      <c r="K821" s="128">
        <v>9611776</v>
      </c>
      <c r="L821" s="128">
        <v>9382330</v>
      </c>
      <c r="M821" s="128">
        <v>9531458</v>
      </c>
      <c r="N821" s="128">
        <v>10370258</v>
      </c>
      <c r="O821" s="128">
        <v>2362440</v>
      </c>
    </row>
    <row r="822" spans="1:15">
      <c r="A822" s="132" t="s">
        <v>1283</v>
      </c>
      <c r="B822" s="123" t="s">
        <v>1284</v>
      </c>
      <c r="C822" s="124">
        <v>404</v>
      </c>
      <c r="D822" s="125">
        <v>614.29399999999998</v>
      </c>
      <c r="E822" s="126">
        <v>71.986999999999995</v>
      </c>
      <c r="F822" s="126">
        <v>40.078600000000002</v>
      </c>
      <c r="G822" s="127">
        <v>8.5334018642254854</v>
      </c>
      <c r="H822" s="127">
        <v>10.080192421890985</v>
      </c>
      <c r="I822" s="128">
        <v>3683617</v>
      </c>
      <c r="J822" s="128">
        <v>3795276</v>
      </c>
      <c r="K822" s="128">
        <v>3711237</v>
      </c>
      <c r="L822" s="128">
        <v>3796124</v>
      </c>
      <c r="M822" s="128">
        <v>3864927</v>
      </c>
      <c r="N822" s="128">
        <v>3917904</v>
      </c>
      <c r="O822" s="128">
        <v>823016</v>
      </c>
    </row>
    <row r="823" spans="1:15">
      <c r="A823" s="132" t="s">
        <v>2059</v>
      </c>
      <c r="B823" s="123" t="s">
        <v>2060</v>
      </c>
      <c r="C823" s="124">
        <v>612</v>
      </c>
      <c r="D823" s="125">
        <v>1028.0830000000001</v>
      </c>
      <c r="E823" s="126">
        <v>110.4958</v>
      </c>
      <c r="F823" s="126">
        <v>54.803899999999999</v>
      </c>
      <c r="G823" s="127">
        <v>9.3042721985813035</v>
      </c>
      <c r="H823" s="127">
        <v>11.167088473630526</v>
      </c>
      <c r="I823" s="128">
        <v>5919900</v>
      </c>
      <c r="J823" s="128">
        <v>8090490</v>
      </c>
      <c r="K823" s="128">
        <v>9470037</v>
      </c>
      <c r="L823" s="128">
        <v>6027899</v>
      </c>
      <c r="M823" s="128">
        <v>6568346</v>
      </c>
      <c r="N823" s="128">
        <v>6875845</v>
      </c>
      <c r="O823" s="128">
        <v>949098</v>
      </c>
    </row>
    <row r="824" spans="1:15">
      <c r="A824" s="132" t="s">
        <v>1412</v>
      </c>
      <c r="B824" s="123" t="s">
        <v>1413</v>
      </c>
      <c r="C824" s="124">
        <v>70</v>
      </c>
      <c r="D824" s="125">
        <v>137.578</v>
      </c>
      <c r="E824" s="126">
        <v>17.012900000000002</v>
      </c>
      <c r="F824" s="126">
        <v>8.9994999999999994</v>
      </c>
      <c r="G824" s="127">
        <v>8.086687160919066</v>
      </c>
      <c r="H824" s="127">
        <v>7.7782099005500314</v>
      </c>
      <c r="I824" s="128">
        <v>829836</v>
      </c>
      <c r="J824" s="128">
        <v>822543</v>
      </c>
      <c r="K824" s="128">
        <v>795884</v>
      </c>
      <c r="L824" s="128">
        <v>880052</v>
      </c>
      <c r="M824" s="128">
        <v>875906</v>
      </c>
      <c r="N824" s="128">
        <v>900769</v>
      </c>
      <c r="O824" s="128">
        <v>209776</v>
      </c>
    </row>
    <row r="825" spans="1:15">
      <c r="A825" s="132" t="s">
        <v>866</v>
      </c>
      <c r="B825" s="123" t="s">
        <v>867</v>
      </c>
      <c r="C825" s="124">
        <v>3327</v>
      </c>
      <c r="D825" s="125">
        <v>4162.6260000000002</v>
      </c>
      <c r="E825" s="126">
        <v>566.34670000000006</v>
      </c>
      <c r="F825" s="126">
        <v>264.78359999999998</v>
      </c>
      <c r="G825" s="127">
        <v>7.3499607219394054</v>
      </c>
      <c r="H825" s="127">
        <v>12.564977589246466</v>
      </c>
      <c r="I825" s="128">
        <v>26910344</v>
      </c>
      <c r="J825" s="128">
        <v>28036630</v>
      </c>
      <c r="K825" s="128">
        <v>30120018</v>
      </c>
      <c r="L825" s="128">
        <v>27260170</v>
      </c>
      <c r="M825" s="128">
        <v>25896676</v>
      </c>
      <c r="N825" s="128">
        <v>27335990</v>
      </c>
      <c r="O825" s="128">
        <v>6454536</v>
      </c>
    </row>
    <row r="826" spans="1:15">
      <c r="A826" s="132" t="s">
        <v>1078</v>
      </c>
      <c r="B826" s="123" t="s">
        <v>1079</v>
      </c>
      <c r="C826" s="124">
        <v>174</v>
      </c>
      <c r="D826" s="125">
        <v>295.43100000000004</v>
      </c>
      <c r="E826" s="126">
        <v>39.7271</v>
      </c>
      <c r="F826" s="126">
        <v>21.101500000000001</v>
      </c>
      <c r="G826" s="127">
        <v>7.4365105935243205</v>
      </c>
      <c r="H826" s="127">
        <v>8.2458592991019586</v>
      </c>
      <c r="I826" s="128">
        <v>1503578</v>
      </c>
      <c r="J826" s="128">
        <v>1797547</v>
      </c>
      <c r="K826" s="128">
        <v>1755540</v>
      </c>
      <c r="L826" s="128">
        <v>1542304</v>
      </c>
      <c r="M826" s="128">
        <v>1845423</v>
      </c>
      <c r="N826" s="128">
        <v>1803535</v>
      </c>
      <c r="O826" s="128">
        <v>203907</v>
      </c>
    </row>
    <row r="827" spans="1:15">
      <c r="A827" s="132" t="s">
        <v>1106</v>
      </c>
      <c r="B827" s="123" t="s">
        <v>1107</v>
      </c>
      <c r="C827" s="124">
        <v>259</v>
      </c>
      <c r="D827" s="125">
        <v>401.26600000000002</v>
      </c>
      <c r="E827" s="126">
        <v>40.110700000000001</v>
      </c>
      <c r="F827" s="126">
        <v>21.7501</v>
      </c>
      <c r="G827" s="127">
        <v>10.003964029548225</v>
      </c>
      <c r="H827" s="127">
        <v>11.907991227626539</v>
      </c>
      <c r="I827" s="128">
        <v>2429765</v>
      </c>
      <c r="J827" s="128">
        <v>2427645</v>
      </c>
      <c r="K827" s="128">
        <v>2423886</v>
      </c>
      <c r="L827" s="128">
        <v>2497117</v>
      </c>
      <c r="M827" s="128">
        <v>2495000</v>
      </c>
      <c r="N827" s="128">
        <v>2444598</v>
      </c>
      <c r="O827" s="128">
        <v>561352</v>
      </c>
    </row>
    <row r="828" spans="1:15">
      <c r="A828" s="132" t="s">
        <v>1321</v>
      </c>
      <c r="B828" s="123" t="s">
        <v>1322</v>
      </c>
      <c r="C828" s="124">
        <v>396</v>
      </c>
      <c r="D828" s="125">
        <v>589.45100000000002</v>
      </c>
      <c r="E828" s="126">
        <v>66.540999999999997</v>
      </c>
      <c r="F828" s="126">
        <v>38.129100000000001</v>
      </c>
      <c r="G828" s="127">
        <v>8.8584632031379158</v>
      </c>
      <c r="H828" s="127">
        <v>10.385768350157754</v>
      </c>
      <c r="I828" s="128">
        <v>3714192</v>
      </c>
      <c r="J828" s="128">
        <v>3601991</v>
      </c>
      <c r="K828" s="128">
        <v>3326184</v>
      </c>
      <c r="L828" s="128">
        <v>3737192</v>
      </c>
      <c r="M828" s="128">
        <v>4201458</v>
      </c>
      <c r="N828" s="128">
        <v>3457311</v>
      </c>
      <c r="O828" s="128">
        <v>363404</v>
      </c>
    </row>
    <row r="829" spans="1:15">
      <c r="A829" s="132" t="s">
        <v>1426</v>
      </c>
      <c r="B829" s="123" t="s">
        <v>1427</v>
      </c>
      <c r="C829" s="124">
        <v>546</v>
      </c>
      <c r="D829" s="125">
        <v>829.93499999999995</v>
      </c>
      <c r="E829" s="126">
        <v>91.216899999999995</v>
      </c>
      <c r="F829" s="126">
        <v>49.1203</v>
      </c>
      <c r="G829" s="127">
        <v>9.0984784617762724</v>
      </c>
      <c r="H829" s="127">
        <v>11.115567290916383</v>
      </c>
      <c r="I829" s="128">
        <v>4477079</v>
      </c>
      <c r="J829" s="128">
        <v>4528195</v>
      </c>
      <c r="K829" s="128">
        <v>4776822</v>
      </c>
      <c r="L829" s="128">
        <v>4564955</v>
      </c>
      <c r="M829" s="128">
        <v>4577774</v>
      </c>
      <c r="N829" s="128">
        <v>5002505</v>
      </c>
      <c r="O829" s="128">
        <v>344659</v>
      </c>
    </row>
    <row r="830" spans="1:15">
      <c r="A830" s="132" t="s">
        <v>1854</v>
      </c>
      <c r="B830" s="123" t="s">
        <v>1855</v>
      </c>
      <c r="C830" s="124">
        <v>1537</v>
      </c>
      <c r="D830" s="125">
        <v>1984.7950000000001</v>
      </c>
      <c r="E830" s="126">
        <v>191.48230000000001</v>
      </c>
      <c r="F830" s="126">
        <v>98.7059</v>
      </c>
      <c r="G830" s="127">
        <v>10.36542280931449</v>
      </c>
      <c r="H830" s="127">
        <v>15.571510922852635</v>
      </c>
      <c r="I830" s="128">
        <v>11045832</v>
      </c>
      <c r="J830" s="128">
        <v>12123207</v>
      </c>
      <c r="K830" s="128">
        <v>10619697</v>
      </c>
      <c r="L830" s="128">
        <v>11561295</v>
      </c>
      <c r="M830" s="128">
        <v>12614173</v>
      </c>
      <c r="N830" s="128">
        <v>11278201</v>
      </c>
      <c r="O830" s="128">
        <v>2314791</v>
      </c>
    </row>
    <row r="831" spans="1:15">
      <c r="A831" s="132" t="s">
        <v>327</v>
      </c>
      <c r="B831" s="123" t="s">
        <v>328</v>
      </c>
      <c r="C831" s="124">
        <v>677</v>
      </c>
      <c r="D831" s="125">
        <v>1004.6160000000001</v>
      </c>
      <c r="E831" s="126">
        <v>101.9302</v>
      </c>
      <c r="F831" s="126">
        <v>53.005099999999999</v>
      </c>
      <c r="G831" s="127">
        <v>9.855921012614516</v>
      </c>
      <c r="H831" s="127">
        <v>12.772355867642926</v>
      </c>
      <c r="I831" s="128">
        <v>5564772</v>
      </c>
      <c r="J831" s="128">
        <v>5813661</v>
      </c>
      <c r="K831" s="128">
        <v>5805249</v>
      </c>
      <c r="L831" s="128">
        <v>5717773</v>
      </c>
      <c r="M831" s="128">
        <v>5872903</v>
      </c>
      <c r="N831" s="128">
        <v>5994925</v>
      </c>
      <c r="O831" s="128">
        <v>943519</v>
      </c>
    </row>
    <row r="832" spans="1:15">
      <c r="A832" s="132" t="s">
        <v>2003</v>
      </c>
      <c r="B832" s="123" t="s">
        <v>2004</v>
      </c>
      <c r="C832" s="124">
        <v>959</v>
      </c>
      <c r="D832" s="125">
        <v>1366.46</v>
      </c>
      <c r="E832" s="126">
        <v>160.03210000000001</v>
      </c>
      <c r="F832" s="126">
        <v>80.502700000000004</v>
      </c>
      <c r="G832" s="127">
        <v>8.5386619309501022</v>
      </c>
      <c r="H832" s="127">
        <v>11.912643923744172</v>
      </c>
      <c r="I832" s="128">
        <v>8296001</v>
      </c>
      <c r="J832" s="128">
        <v>9823232</v>
      </c>
      <c r="K832" s="128">
        <v>9228385</v>
      </c>
      <c r="L832" s="128">
        <v>8378804</v>
      </c>
      <c r="M832" s="128">
        <v>8736549</v>
      </c>
      <c r="N832" s="128">
        <v>8802054</v>
      </c>
      <c r="O832" s="128">
        <v>1840919</v>
      </c>
    </row>
    <row r="833" spans="1:15">
      <c r="A833" s="132" t="s">
        <v>862</v>
      </c>
      <c r="B833" s="123" t="s">
        <v>863</v>
      </c>
      <c r="C833" s="124">
        <v>935</v>
      </c>
      <c r="D833" s="125">
        <v>1456.4740000000002</v>
      </c>
      <c r="E833" s="126">
        <v>166.1542</v>
      </c>
      <c r="F833" s="126">
        <v>85.340699999999998</v>
      </c>
      <c r="G833" s="127">
        <v>8.7657970728395682</v>
      </c>
      <c r="H833" s="127">
        <v>10.956085431687344</v>
      </c>
      <c r="I833" s="128">
        <v>11005486</v>
      </c>
      <c r="J833" s="128">
        <v>8701848</v>
      </c>
      <c r="K833" s="128">
        <v>11670789</v>
      </c>
      <c r="L833" s="128">
        <v>8944278</v>
      </c>
      <c r="M833" s="128">
        <v>8429193</v>
      </c>
      <c r="N833" s="128">
        <v>9419568</v>
      </c>
      <c r="O833" s="128">
        <v>2738409</v>
      </c>
    </row>
    <row r="834" spans="1:15">
      <c r="A834" s="132" t="s">
        <v>2005</v>
      </c>
      <c r="B834" s="123" t="s">
        <v>2006</v>
      </c>
      <c r="C834" s="124">
        <v>664</v>
      </c>
      <c r="D834" s="125">
        <v>994.84400000000005</v>
      </c>
      <c r="E834" s="126">
        <v>99.600499999999997</v>
      </c>
      <c r="F834" s="126">
        <v>54.9</v>
      </c>
      <c r="G834" s="127">
        <v>9.9883434320108844</v>
      </c>
      <c r="H834" s="127">
        <v>12.09471766848816</v>
      </c>
      <c r="I834" s="128">
        <v>4882875</v>
      </c>
      <c r="J834" s="128">
        <v>5178350</v>
      </c>
      <c r="K834" s="128">
        <v>4965101</v>
      </c>
      <c r="L834" s="128">
        <v>4882879</v>
      </c>
      <c r="M834" s="128">
        <v>5254056</v>
      </c>
      <c r="N834" s="128">
        <v>5608986</v>
      </c>
      <c r="O834" s="128">
        <v>1008392</v>
      </c>
    </row>
    <row r="835" spans="1:15">
      <c r="A835" s="132" t="s">
        <v>1670</v>
      </c>
      <c r="B835" s="123" t="s">
        <v>1671</v>
      </c>
      <c r="C835" s="124">
        <v>849</v>
      </c>
      <c r="D835" s="125">
        <v>1311.0140000000001</v>
      </c>
      <c r="E835" s="126">
        <v>149.4752</v>
      </c>
      <c r="F835" s="126">
        <v>72.507199999999997</v>
      </c>
      <c r="G835" s="127">
        <v>8.7707793667444509</v>
      </c>
      <c r="H835" s="127">
        <v>11.709181984685658</v>
      </c>
      <c r="I835" s="128">
        <v>7176559</v>
      </c>
      <c r="J835" s="128">
        <v>7199707</v>
      </c>
      <c r="K835" s="128">
        <v>7523274</v>
      </c>
      <c r="L835" s="128">
        <v>7192180</v>
      </c>
      <c r="M835" s="128">
        <v>7199703</v>
      </c>
      <c r="N835" s="128">
        <v>7730565</v>
      </c>
      <c r="O835" s="128">
        <v>607312</v>
      </c>
    </row>
    <row r="836" spans="1:15">
      <c r="A836" s="132" t="s">
        <v>251</v>
      </c>
      <c r="B836" s="123" t="s">
        <v>252</v>
      </c>
      <c r="C836" s="124">
        <v>458</v>
      </c>
      <c r="D836" s="125">
        <v>759.005</v>
      </c>
      <c r="E836" s="126">
        <v>68.593999999999994</v>
      </c>
      <c r="F836" s="126">
        <v>36.7241</v>
      </c>
      <c r="G836" s="127">
        <v>11.065180628043271</v>
      </c>
      <c r="H836" s="127">
        <v>12.471374383579176</v>
      </c>
      <c r="I836" s="128">
        <v>4269168</v>
      </c>
      <c r="J836" s="128">
        <v>3871798</v>
      </c>
      <c r="K836" s="128">
        <v>4519899</v>
      </c>
      <c r="L836" s="128">
        <v>4353830</v>
      </c>
      <c r="M836" s="128">
        <v>4211284</v>
      </c>
      <c r="N836" s="128">
        <v>4358252</v>
      </c>
      <c r="O836" s="128">
        <v>892834</v>
      </c>
    </row>
    <row r="837" spans="1:15">
      <c r="A837" s="132" t="s">
        <v>411</v>
      </c>
      <c r="B837" s="123" t="s">
        <v>412</v>
      </c>
      <c r="C837" s="124">
        <v>1651</v>
      </c>
      <c r="D837" s="125">
        <v>2241.7449999999999</v>
      </c>
      <c r="E837" s="126">
        <v>277.02080000000001</v>
      </c>
      <c r="F837" s="126">
        <v>127.3052</v>
      </c>
      <c r="G837" s="127">
        <v>8.0923345828183297</v>
      </c>
      <c r="H837" s="127">
        <v>12.968833951794585</v>
      </c>
      <c r="I837" s="128">
        <v>15257906</v>
      </c>
      <c r="J837" s="128">
        <v>13661617</v>
      </c>
      <c r="K837" s="128">
        <v>14285538</v>
      </c>
      <c r="L837" s="128">
        <v>14020698</v>
      </c>
      <c r="M837" s="128">
        <v>13796340</v>
      </c>
      <c r="N837" s="128">
        <v>14003998</v>
      </c>
      <c r="O837" s="128">
        <v>4196489</v>
      </c>
    </row>
    <row r="838" spans="1:15">
      <c r="A838" s="132" t="s">
        <v>1738</v>
      </c>
      <c r="B838" s="123" t="s">
        <v>1739</v>
      </c>
      <c r="C838" s="124">
        <v>1921</v>
      </c>
      <c r="D838" s="125">
        <v>2562.1980000000003</v>
      </c>
      <c r="E838" s="126">
        <v>291.46179999999998</v>
      </c>
      <c r="F838" s="126">
        <v>142.8185</v>
      </c>
      <c r="G838" s="127">
        <v>8.7908535526782607</v>
      </c>
      <c r="H838" s="127">
        <v>13.450638397686575</v>
      </c>
      <c r="I838" s="128">
        <v>13264126</v>
      </c>
      <c r="J838" s="128">
        <v>13984445</v>
      </c>
      <c r="K838" s="128">
        <v>14019825</v>
      </c>
      <c r="L838" s="128">
        <v>13425762</v>
      </c>
      <c r="M838" s="128">
        <v>14325824</v>
      </c>
      <c r="N838" s="128">
        <v>14631600</v>
      </c>
      <c r="O838" s="128">
        <v>2407069</v>
      </c>
    </row>
    <row r="839" spans="1:15">
      <c r="A839" s="132" t="s">
        <v>108</v>
      </c>
      <c r="B839" s="123" t="s">
        <v>109</v>
      </c>
      <c r="C839" s="124">
        <v>1784</v>
      </c>
      <c r="D839" s="125">
        <v>2411.9899999999998</v>
      </c>
      <c r="E839" s="126">
        <v>291.67869999999999</v>
      </c>
      <c r="F839" s="126">
        <v>124.02290000000001</v>
      </c>
      <c r="G839" s="127">
        <v>8.2693388307065288</v>
      </c>
      <c r="H839" s="127">
        <v>14.384440292881395</v>
      </c>
      <c r="I839" s="128">
        <v>15787313</v>
      </c>
      <c r="J839" s="128">
        <v>14299621</v>
      </c>
      <c r="K839" s="128">
        <v>15096797</v>
      </c>
      <c r="L839" s="128">
        <v>15735873</v>
      </c>
      <c r="M839" s="128">
        <v>14425118</v>
      </c>
      <c r="N839" s="128">
        <v>14987978</v>
      </c>
      <c r="O839" s="128">
        <v>3037785</v>
      </c>
    </row>
    <row r="840" spans="1:15">
      <c r="A840" s="132" t="s">
        <v>796</v>
      </c>
      <c r="B840" s="123" t="s">
        <v>797</v>
      </c>
      <c r="C840" s="124">
        <v>4291</v>
      </c>
      <c r="D840" s="125">
        <v>5176.25</v>
      </c>
      <c r="E840" s="126">
        <v>545.71170000000006</v>
      </c>
      <c r="F840" s="126">
        <v>265.1429</v>
      </c>
      <c r="G840" s="127">
        <v>9.4853198126409968</v>
      </c>
      <c r="H840" s="127">
        <v>16.183725832371902</v>
      </c>
      <c r="I840" s="128">
        <v>27847149</v>
      </c>
      <c r="J840" s="128">
        <v>30704717</v>
      </c>
      <c r="K840" s="128">
        <v>27694516</v>
      </c>
      <c r="L840" s="128">
        <v>29875617</v>
      </c>
      <c r="M840" s="128">
        <v>30420162</v>
      </c>
      <c r="N840" s="128">
        <v>31292577</v>
      </c>
      <c r="O840" s="128">
        <v>9589572</v>
      </c>
    </row>
    <row r="841" spans="1:15">
      <c r="A841" s="132" t="s">
        <v>934</v>
      </c>
      <c r="B841" s="123" t="s">
        <v>935</v>
      </c>
      <c r="C841" s="124">
        <v>2152</v>
      </c>
      <c r="D841" s="125">
        <v>2650.5039999999999</v>
      </c>
      <c r="E841" s="126">
        <v>307.4486</v>
      </c>
      <c r="F841" s="126">
        <v>144.1027</v>
      </c>
      <c r="G841" s="127">
        <v>8.6209662363074671</v>
      </c>
      <c r="H841" s="127">
        <v>14.933793745710524</v>
      </c>
      <c r="I841" s="128">
        <v>15214091</v>
      </c>
      <c r="J841" s="128">
        <v>14981056</v>
      </c>
      <c r="K841" s="128">
        <v>14686844</v>
      </c>
      <c r="L841" s="128">
        <v>15545014</v>
      </c>
      <c r="M841" s="128">
        <v>15230546</v>
      </c>
      <c r="N841" s="128">
        <v>15941999</v>
      </c>
      <c r="O841" s="128">
        <v>5779238</v>
      </c>
    </row>
    <row r="842" spans="1:15">
      <c r="A842" s="132" t="s">
        <v>1222</v>
      </c>
      <c r="B842" s="123" t="s">
        <v>1223</v>
      </c>
      <c r="C842" s="124">
        <v>1799</v>
      </c>
      <c r="D842" s="125">
        <v>2374.39</v>
      </c>
      <c r="E842" s="126">
        <v>249.59609999999998</v>
      </c>
      <c r="F842" s="126">
        <v>115.4847</v>
      </c>
      <c r="G842" s="127">
        <v>9.5129290882349533</v>
      </c>
      <c r="H842" s="127">
        <v>15.577821131284058</v>
      </c>
      <c r="I842" s="128">
        <v>14705156</v>
      </c>
      <c r="J842" s="128">
        <v>14450212</v>
      </c>
      <c r="K842" s="128">
        <v>14830758</v>
      </c>
      <c r="L842" s="128">
        <v>13960290</v>
      </c>
      <c r="M842" s="128">
        <v>13712953</v>
      </c>
      <c r="N842" s="128">
        <v>14620185</v>
      </c>
      <c r="O842" s="128">
        <v>2978717</v>
      </c>
    </row>
    <row r="843" spans="1:15">
      <c r="A843" s="132" t="s">
        <v>1408</v>
      </c>
      <c r="B843" s="123" t="s">
        <v>1409</v>
      </c>
      <c r="C843" s="124">
        <v>1085</v>
      </c>
      <c r="D843" s="125">
        <v>1520.499</v>
      </c>
      <c r="E843" s="126">
        <v>197.0729</v>
      </c>
      <c r="F843" s="126">
        <v>84.664599999999993</v>
      </c>
      <c r="G843" s="127">
        <v>7.7154139407295474</v>
      </c>
      <c r="H843" s="127">
        <v>12.815273443682484</v>
      </c>
      <c r="I843" s="128">
        <v>10141182</v>
      </c>
      <c r="J843" s="128">
        <v>9898029</v>
      </c>
      <c r="K843" s="128">
        <v>10925638</v>
      </c>
      <c r="L843" s="128">
        <v>10065987</v>
      </c>
      <c r="M843" s="128">
        <v>10295021</v>
      </c>
      <c r="N843" s="128">
        <v>10152540</v>
      </c>
      <c r="O843" s="128">
        <v>831430</v>
      </c>
    </row>
    <row r="844" spans="1:15">
      <c r="A844" s="132" t="s">
        <v>1754</v>
      </c>
      <c r="B844" s="123" t="s">
        <v>1755</v>
      </c>
      <c r="C844" s="124">
        <v>2150</v>
      </c>
      <c r="D844" s="125">
        <v>2827.7330000000002</v>
      </c>
      <c r="E844" s="126">
        <v>370.58429999999998</v>
      </c>
      <c r="F844" s="126">
        <v>156.27330000000001</v>
      </c>
      <c r="G844" s="127">
        <v>7.6304716632625835</v>
      </c>
      <c r="H844" s="127">
        <v>13.757948414732395</v>
      </c>
      <c r="I844" s="128">
        <v>15479873</v>
      </c>
      <c r="J844" s="128">
        <v>17345859</v>
      </c>
      <c r="K844" s="128">
        <v>16482168</v>
      </c>
      <c r="L844" s="128">
        <v>16559209</v>
      </c>
      <c r="M844" s="128">
        <v>17864313</v>
      </c>
      <c r="N844" s="128">
        <v>17827536</v>
      </c>
      <c r="O844" s="128">
        <v>2504980</v>
      </c>
    </row>
    <row r="845" spans="1:15">
      <c r="A845" s="132" t="s">
        <v>1848</v>
      </c>
      <c r="B845" s="123" t="s">
        <v>1849</v>
      </c>
      <c r="C845" s="124">
        <v>1136</v>
      </c>
      <c r="D845" s="125">
        <v>1688.912</v>
      </c>
      <c r="E845" s="126">
        <v>209.71809999999999</v>
      </c>
      <c r="F845" s="126">
        <v>94.423100000000005</v>
      </c>
      <c r="G845" s="127">
        <v>8.053248622794122</v>
      </c>
      <c r="H845" s="127">
        <v>12.030954289787138</v>
      </c>
      <c r="I845" s="128">
        <v>11180991</v>
      </c>
      <c r="J845" s="128">
        <v>11478798</v>
      </c>
      <c r="K845" s="128">
        <v>10943141</v>
      </c>
      <c r="L845" s="128">
        <v>11312196</v>
      </c>
      <c r="M845" s="128">
        <v>11284766</v>
      </c>
      <c r="N845" s="128">
        <v>11436360</v>
      </c>
      <c r="O845" s="128">
        <v>727684</v>
      </c>
    </row>
    <row r="846" spans="1:15">
      <c r="A846" s="132" t="s">
        <v>1686</v>
      </c>
      <c r="B846" s="123" t="s">
        <v>1687</v>
      </c>
      <c r="C846" s="124">
        <v>716</v>
      </c>
      <c r="D846" s="125">
        <v>1181.1190000000001</v>
      </c>
      <c r="E846" s="126">
        <v>121.9661</v>
      </c>
      <c r="F846" s="126">
        <v>66.920400000000001</v>
      </c>
      <c r="G846" s="127">
        <v>9.6839941590327161</v>
      </c>
      <c r="H846" s="127">
        <v>10.699278545854478</v>
      </c>
      <c r="I846" s="128">
        <v>6765075</v>
      </c>
      <c r="J846" s="128">
        <v>6768130</v>
      </c>
      <c r="K846" s="128">
        <v>6428384</v>
      </c>
      <c r="L846" s="128">
        <v>6685179</v>
      </c>
      <c r="M846" s="128">
        <v>6612237</v>
      </c>
      <c r="N846" s="128">
        <v>6768607</v>
      </c>
      <c r="O846" s="128">
        <v>926329</v>
      </c>
    </row>
    <row r="847" spans="1:15">
      <c r="A847" s="132" t="s">
        <v>1584</v>
      </c>
      <c r="B847" s="123" t="s">
        <v>1585</v>
      </c>
      <c r="C847" s="124">
        <v>127</v>
      </c>
      <c r="D847" s="125">
        <v>318.654</v>
      </c>
      <c r="E847" s="126">
        <v>29.790600000000001</v>
      </c>
      <c r="F847" s="126">
        <v>15.3559</v>
      </c>
      <c r="G847" s="127">
        <v>10.696461299873114</v>
      </c>
      <c r="H847" s="127">
        <v>8.2704367702316368</v>
      </c>
      <c r="I847" s="128">
        <v>2020371</v>
      </c>
      <c r="J847" s="128">
        <v>1939238</v>
      </c>
      <c r="K847" s="128">
        <v>1789694</v>
      </c>
      <c r="L847" s="128">
        <v>2093942</v>
      </c>
      <c r="M847" s="128">
        <v>2091320</v>
      </c>
      <c r="N847" s="128">
        <v>2239729</v>
      </c>
      <c r="O847" s="128">
        <v>516887</v>
      </c>
    </row>
    <row r="848" spans="1:15">
      <c r="A848" s="132" t="s">
        <v>367</v>
      </c>
      <c r="B848" s="123" t="s">
        <v>368</v>
      </c>
      <c r="C848" s="124">
        <v>117</v>
      </c>
      <c r="D848" s="125">
        <v>242.33800000000002</v>
      </c>
      <c r="E848" s="126">
        <v>29.808</v>
      </c>
      <c r="F848" s="126">
        <v>18.797999999999998</v>
      </c>
      <c r="G848" s="127">
        <v>8.129965110037574</v>
      </c>
      <c r="H848" s="127">
        <v>6.2240663900414948</v>
      </c>
      <c r="I848" s="128">
        <v>1442587</v>
      </c>
      <c r="J848" s="128">
        <v>1467121</v>
      </c>
      <c r="K848" s="128">
        <v>1521077</v>
      </c>
      <c r="L848" s="128">
        <v>1541312</v>
      </c>
      <c r="M848" s="128">
        <v>1435648</v>
      </c>
      <c r="N848" s="128">
        <v>1221769</v>
      </c>
      <c r="O848" s="128">
        <v>771680</v>
      </c>
    </row>
    <row r="849" spans="1:15">
      <c r="A849" s="132" t="s">
        <v>1712</v>
      </c>
      <c r="B849" s="123" t="s">
        <v>1713</v>
      </c>
      <c r="C849" s="124">
        <v>592</v>
      </c>
      <c r="D849" s="125">
        <v>968.99900000000002</v>
      </c>
      <c r="E849" s="126">
        <v>110.8788</v>
      </c>
      <c r="F849" s="126">
        <v>61.291200000000003</v>
      </c>
      <c r="G849" s="127">
        <v>8.7392630511874234</v>
      </c>
      <c r="H849" s="127">
        <v>9.6588090949434822</v>
      </c>
      <c r="I849" s="128">
        <v>6087594</v>
      </c>
      <c r="J849" s="128">
        <v>6050356</v>
      </c>
      <c r="K849" s="128">
        <v>6777650</v>
      </c>
      <c r="L849" s="128">
        <v>6461989</v>
      </c>
      <c r="M849" s="128">
        <v>6457452</v>
      </c>
      <c r="N849" s="128">
        <v>6538780</v>
      </c>
      <c r="O849" s="128">
        <v>1202980</v>
      </c>
    </row>
    <row r="850" spans="1:15">
      <c r="A850" s="132" t="s">
        <v>872</v>
      </c>
      <c r="B850" s="123" t="s">
        <v>873</v>
      </c>
      <c r="C850" s="124">
        <v>230</v>
      </c>
      <c r="D850" s="125">
        <v>388.63400000000001</v>
      </c>
      <c r="E850" s="126">
        <v>36.704899999999995</v>
      </c>
      <c r="F850" s="126">
        <v>20.150700000000001</v>
      </c>
      <c r="G850" s="127">
        <v>10.588068622990393</v>
      </c>
      <c r="H850" s="127">
        <v>11.413995543579132</v>
      </c>
      <c r="I850" s="128">
        <v>2174271</v>
      </c>
      <c r="J850" s="128">
        <v>2360569</v>
      </c>
      <c r="K850" s="128">
        <v>2094340</v>
      </c>
      <c r="L850" s="128">
        <v>5159200</v>
      </c>
      <c r="M850" s="128">
        <v>1757663</v>
      </c>
      <c r="N850" s="128">
        <v>5423383</v>
      </c>
      <c r="O850" s="128">
        <v>3371335</v>
      </c>
    </row>
    <row r="851" spans="1:15">
      <c r="A851" s="132" t="s">
        <v>1772</v>
      </c>
      <c r="B851" s="123" t="s">
        <v>1773</v>
      </c>
      <c r="C851" s="124">
        <v>2783</v>
      </c>
      <c r="D851" s="125">
        <v>3528.9140000000002</v>
      </c>
      <c r="E851" s="126">
        <v>397.96450000000004</v>
      </c>
      <c r="F851" s="126">
        <v>204.2509</v>
      </c>
      <c r="G851" s="127">
        <v>8.8674090276896553</v>
      </c>
      <c r="H851" s="127">
        <v>13.625398957850368</v>
      </c>
      <c r="I851" s="128">
        <v>31554454</v>
      </c>
      <c r="J851" s="128">
        <v>33418643</v>
      </c>
      <c r="K851" s="128">
        <v>26220086</v>
      </c>
      <c r="L851" s="128">
        <v>26711891</v>
      </c>
      <c r="M851" s="128">
        <v>26819210</v>
      </c>
      <c r="N851" s="128">
        <v>28304399</v>
      </c>
      <c r="O851" s="128">
        <v>12960200</v>
      </c>
    </row>
    <row r="852" spans="1:15">
      <c r="A852" s="132" t="s">
        <v>942</v>
      </c>
      <c r="B852" s="123" t="s">
        <v>943</v>
      </c>
      <c r="C852" s="124">
        <v>256</v>
      </c>
      <c r="D852" s="125">
        <v>396.42900000000003</v>
      </c>
      <c r="E852" s="126">
        <v>38.000900000000001</v>
      </c>
      <c r="F852" s="126">
        <v>21.072399999999998</v>
      </c>
      <c r="G852" s="127">
        <v>10.432095029328254</v>
      </c>
      <c r="H852" s="127">
        <v>12.148592471669104</v>
      </c>
      <c r="I852" s="128">
        <v>2656792</v>
      </c>
      <c r="J852" s="128">
        <v>2825568</v>
      </c>
      <c r="K852" s="128">
        <v>2599768</v>
      </c>
      <c r="L852" s="128">
        <v>2753558</v>
      </c>
      <c r="M852" s="128">
        <v>2910305</v>
      </c>
      <c r="N852" s="128">
        <v>2950858</v>
      </c>
      <c r="O852" s="128">
        <v>780351</v>
      </c>
    </row>
    <row r="853" spans="1:15">
      <c r="A853" s="132" t="s">
        <v>60</v>
      </c>
      <c r="B853" s="123" t="s">
        <v>61</v>
      </c>
      <c r="C853" s="124">
        <v>504</v>
      </c>
      <c r="D853" s="125">
        <v>872.39400000000001</v>
      </c>
      <c r="E853" s="126">
        <v>84.729399999999998</v>
      </c>
      <c r="F853" s="126">
        <v>45.430999999999997</v>
      </c>
      <c r="G853" s="127">
        <v>10.296237197478089</v>
      </c>
      <c r="H853" s="127">
        <v>11.093746560718452</v>
      </c>
      <c r="I853" s="128">
        <v>5003416</v>
      </c>
      <c r="J853" s="128">
        <v>4971788</v>
      </c>
      <c r="K853" s="128">
        <v>5576373</v>
      </c>
      <c r="L853" s="128">
        <v>5391678</v>
      </c>
      <c r="M853" s="128">
        <v>5397963</v>
      </c>
      <c r="N853" s="128">
        <v>5863400</v>
      </c>
      <c r="O853" s="128">
        <v>1128665</v>
      </c>
    </row>
    <row r="854" spans="1:15">
      <c r="A854" s="132" t="s">
        <v>1307</v>
      </c>
      <c r="B854" s="123" t="s">
        <v>1308</v>
      </c>
      <c r="C854" s="124">
        <v>161</v>
      </c>
      <c r="D854" s="125">
        <v>280.48</v>
      </c>
      <c r="E854" s="126">
        <v>29.0002</v>
      </c>
      <c r="F854" s="126">
        <v>17.0001</v>
      </c>
      <c r="G854" s="127">
        <v>9.6716574368452637</v>
      </c>
      <c r="H854" s="127">
        <v>9.470532526279257</v>
      </c>
      <c r="I854" s="128">
        <v>1712145</v>
      </c>
      <c r="J854" s="128">
        <v>1745894</v>
      </c>
      <c r="K854" s="128">
        <v>1717767</v>
      </c>
      <c r="L854" s="128">
        <v>1803494</v>
      </c>
      <c r="M854" s="128">
        <v>1817402</v>
      </c>
      <c r="N854" s="128">
        <v>2141340</v>
      </c>
      <c r="O854" s="128">
        <v>1532243</v>
      </c>
    </row>
    <row r="855" spans="1:15">
      <c r="A855" s="132" t="s">
        <v>347</v>
      </c>
      <c r="B855" s="123" t="s">
        <v>348</v>
      </c>
      <c r="C855" s="124">
        <v>2653</v>
      </c>
      <c r="D855" s="125">
        <v>3396.0540000000001</v>
      </c>
      <c r="E855" s="126">
        <v>401.8433</v>
      </c>
      <c r="F855" s="126">
        <v>195.30359999999999</v>
      </c>
      <c r="G855" s="127">
        <v>8.4511898045830307</v>
      </c>
      <c r="H855" s="127">
        <v>13.583978994754833</v>
      </c>
      <c r="I855" s="128">
        <v>17300462</v>
      </c>
      <c r="J855" s="128">
        <v>18350654</v>
      </c>
      <c r="K855" s="128">
        <v>19101183</v>
      </c>
      <c r="L855" s="128">
        <v>17568470</v>
      </c>
      <c r="M855" s="128">
        <v>18615098</v>
      </c>
      <c r="N855" s="128">
        <v>19356680</v>
      </c>
      <c r="O855" s="128">
        <v>5008999</v>
      </c>
    </row>
    <row r="856" spans="1:15">
      <c r="A856" s="132" t="s">
        <v>972</v>
      </c>
      <c r="B856" s="123" t="s">
        <v>973</v>
      </c>
      <c r="C856" s="124">
        <v>749</v>
      </c>
      <c r="D856" s="125">
        <v>1134.258</v>
      </c>
      <c r="E856" s="126">
        <v>119.69810000000001</v>
      </c>
      <c r="F856" s="126">
        <v>64.921499999999995</v>
      </c>
      <c r="G856" s="127">
        <v>9.475990011537359</v>
      </c>
      <c r="H856" s="127">
        <v>11.537010081406006</v>
      </c>
      <c r="I856" s="128">
        <v>6551614</v>
      </c>
      <c r="J856" s="128">
        <v>6790092</v>
      </c>
      <c r="K856" s="128">
        <v>7351890</v>
      </c>
      <c r="L856" s="128">
        <v>6672624</v>
      </c>
      <c r="M856" s="128">
        <v>6673091</v>
      </c>
      <c r="N856" s="128">
        <v>6865679</v>
      </c>
      <c r="O856" s="128">
        <v>1103907</v>
      </c>
    </row>
    <row r="857" spans="1:15">
      <c r="A857" s="132" t="s">
        <v>1734</v>
      </c>
      <c r="B857" s="123" t="s">
        <v>1735</v>
      </c>
      <c r="C857" s="124">
        <v>755</v>
      </c>
      <c r="D857" s="125">
        <v>1092.425</v>
      </c>
      <c r="E857" s="126">
        <v>120.83499999999999</v>
      </c>
      <c r="F857" s="126">
        <v>61.561500000000002</v>
      </c>
      <c r="G857" s="127">
        <v>9.040633922290727</v>
      </c>
      <c r="H857" s="127">
        <v>12.26415860562202</v>
      </c>
      <c r="I857" s="128">
        <v>9116123</v>
      </c>
      <c r="J857" s="128">
        <v>6953489</v>
      </c>
      <c r="K857" s="128">
        <v>8534387</v>
      </c>
      <c r="L857" s="128">
        <v>7244648</v>
      </c>
      <c r="M857" s="128">
        <v>6985490</v>
      </c>
      <c r="N857" s="128">
        <v>7501255</v>
      </c>
      <c r="O857" s="128">
        <v>1854325</v>
      </c>
    </row>
    <row r="858" spans="1:15">
      <c r="A858" s="132" t="s">
        <v>1862</v>
      </c>
      <c r="B858" s="123" t="s">
        <v>1863</v>
      </c>
      <c r="C858" s="124">
        <v>534</v>
      </c>
      <c r="D858" s="125">
        <v>867.31700000000001</v>
      </c>
      <c r="E858" s="126">
        <v>75.921300000000002</v>
      </c>
      <c r="F858" s="126">
        <v>40.423699999999997</v>
      </c>
      <c r="G858" s="127">
        <v>11.423895533927896</v>
      </c>
      <c r="H858" s="127">
        <v>13.210072309066216</v>
      </c>
      <c r="I858" s="128">
        <v>5660850</v>
      </c>
      <c r="J858" s="128">
        <v>5344379</v>
      </c>
      <c r="K858" s="128">
        <v>5072875</v>
      </c>
      <c r="L858" s="128">
        <v>4955326</v>
      </c>
      <c r="M858" s="128">
        <v>5077220</v>
      </c>
      <c r="N858" s="128">
        <v>5281228</v>
      </c>
      <c r="O858" s="128">
        <v>620071</v>
      </c>
    </row>
    <row r="859" spans="1:15">
      <c r="A859" s="132" t="s">
        <v>1890</v>
      </c>
      <c r="B859" s="123" t="s">
        <v>1891</v>
      </c>
      <c r="C859" s="124">
        <v>651</v>
      </c>
      <c r="D859" s="125">
        <v>962.2410000000001</v>
      </c>
      <c r="E859" s="126">
        <v>112.363</v>
      </c>
      <c r="F859" s="126">
        <v>53.999299999999998</v>
      </c>
      <c r="G859" s="127">
        <v>8.5636819949627547</v>
      </c>
      <c r="H859" s="127">
        <v>12.055711833301544</v>
      </c>
      <c r="I859" s="128">
        <v>5952397</v>
      </c>
      <c r="J859" s="128">
        <v>6100851</v>
      </c>
      <c r="K859" s="128">
        <v>5848583</v>
      </c>
      <c r="L859" s="128">
        <v>6242231</v>
      </c>
      <c r="M859" s="128">
        <v>6247173</v>
      </c>
      <c r="N859" s="128">
        <v>6681815</v>
      </c>
      <c r="O859" s="128">
        <v>2409753</v>
      </c>
    </row>
    <row r="860" spans="1:15">
      <c r="A860" s="132" t="s">
        <v>640</v>
      </c>
      <c r="B860" s="123" t="s">
        <v>641</v>
      </c>
      <c r="C860" s="124">
        <v>115</v>
      </c>
      <c r="D860" s="125">
        <v>191.61</v>
      </c>
      <c r="E860" s="126">
        <v>22.936399999999999</v>
      </c>
      <c r="F860" s="126">
        <v>11.0006</v>
      </c>
      <c r="G860" s="127">
        <v>8.3539701086482623</v>
      </c>
      <c r="H860" s="127">
        <v>10.453975237714307</v>
      </c>
      <c r="I860" s="128">
        <v>968552</v>
      </c>
      <c r="J860" s="128">
        <v>1048413</v>
      </c>
      <c r="K860" s="128">
        <v>1044903</v>
      </c>
      <c r="L860" s="128">
        <v>1045320</v>
      </c>
      <c r="M860" s="128">
        <v>1104402</v>
      </c>
      <c r="N860" s="128">
        <v>1097832</v>
      </c>
      <c r="O860" s="128">
        <v>253061</v>
      </c>
    </row>
    <row r="861" spans="1:15">
      <c r="A861" s="132" t="s">
        <v>1874</v>
      </c>
      <c r="B861" s="123" t="s">
        <v>1875</v>
      </c>
      <c r="C861" s="124">
        <v>368</v>
      </c>
      <c r="D861" s="125">
        <v>225.48500000000001</v>
      </c>
      <c r="E861" s="126">
        <v>28.4147</v>
      </c>
      <c r="F861" s="126">
        <v>14.0001</v>
      </c>
      <c r="G861" s="127">
        <v>7.9355052138505782</v>
      </c>
      <c r="H861" s="127">
        <v>26.285526531953344</v>
      </c>
      <c r="I861" s="128">
        <v>1394096</v>
      </c>
      <c r="J861" s="128">
        <v>1635706</v>
      </c>
      <c r="K861" s="128">
        <v>1349601</v>
      </c>
      <c r="L861" s="128">
        <v>1481094</v>
      </c>
      <c r="M861" s="128">
        <v>1730708</v>
      </c>
      <c r="N861" s="128">
        <v>1504471</v>
      </c>
      <c r="O861" s="128">
        <v>1449755</v>
      </c>
    </row>
    <row r="862" spans="1:15">
      <c r="A862" s="132" t="s">
        <v>1826</v>
      </c>
      <c r="B862" s="123" t="s">
        <v>1827</v>
      </c>
      <c r="C862" s="124">
        <v>589</v>
      </c>
      <c r="D862" s="125">
        <v>1018.035</v>
      </c>
      <c r="E862" s="126">
        <v>103.979</v>
      </c>
      <c r="F862" s="126">
        <v>59.706299999999999</v>
      </c>
      <c r="G862" s="127">
        <v>9.7907750603487251</v>
      </c>
      <c r="H862" s="127">
        <v>9.8649556244483421</v>
      </c>
      <c r="I862" s="128">
        <v>6668381</v>
      </c>
      <c r="J862" s="128">
        <v>6864448</v>
      </c>
      <c r="K862" s="128">
        <v>7824452</v>
      </c>
      <c r="L862" s="128">
        <v>6899727</v>
      </c>
      <c r="M862" s="128">
        <v>6507763</v>
      </c>
      <c r="N862" s="128">
        <v>6737095</v>
      </c>
      <c r="O862" s="128">
        <v>-806239</v>
      </c>
    </row>
    <row r="863" spans="1:15">
      <c r="A863" s="132" t="s">
        <v>116</v>
      </c>
      <c r="B863" s="123" t="s">
        <v>117</v>
      </c>
      <c r="C863" s="124">
        <v>896</v>
      </c>
      <c r="D863" s="125">
        <v>1246.9930000000002</v>
      </c>
      <c r="E863" s="126">
        <v>165.13929999999999</v>
      </c>
      <c r="F863" s="126">
        <v>78.1935</v>
      </c>
      <c r="G863" s="127">
        <v>7.5511583251230947</v>
      </c>
      <c r="H863" s="127">
        <v>11.458752965399936</v>
      </c>
      <c r="I863" s="128">
        <v>9182513</v>
      </c>
      <c r="J863" s="128">
        <v>8493701</v>
      </c>
      <c r="K863" s="128">
        <v>8719002</v>
      </c>
      <c r="L863" s="128">
        <v>8857273</v>
      </c>
      <c r="M863" s="128">
        <v>8715967</v>
      </c>
      <c r="N863" s="128">
        <v>8800134</v>
      </c>
      <c r="O863" s="128">
        <v>621726</v>
      </c>
    </row>
    <row r="864" spans="1:15">
      <c r="A864" s="132" t="s">
        <v>283</v>
      </c>
      <c r="B864" s="123" t="s">
        <v>284</v>
      </c>
      <c r="C864" s="124">
        <v>2115</v>
      </c>
      <c r="D864" s="125">
        <v>2544.221</v>
      </c>
      <c r="E864" s="126">
        <v>299.29399999999998</v>
      </c>
      <c r="F864" s="126">
        <v>154.328</v>
      </c>
      <c r="G864" s="127">
        <v>8.5007417455745866</v>
      </c>
      <c r="H864" s="127">
        <v>13.704577264009123</v>
      </c>
      <c r="I864" s="128">
        <v>14463348</v>
      </c>
      <c r="J864" s="128">
        <v>15963801</v>
      </c>
      <c r="K864" s="128">
        <v>16251921</v>
      </c>
      <c r="L864" s="128">
        <v>14620075</v>
      </c>
      <c r="M864" s="128">
        <v>16127622</v>
      </c>
      <c r="N864" s="128">
        <v>14900402</v>
      </c>
      <c r="O864" s="128">
        <v>4487846</v>
      </c>
    </row>
    <row r="865" spans="1:15">
      <c r="A865" s="132" t="s">
        <v>1118</v>
      </c>
      <c r="B865" s="123" t="s">
        <v>1119</v>
      </c>
      <c r="C865" s="124">
        <v>3732</v>
      </c>
      <c r="D865" s="125">
        <v>4575.0169999999998</v>
      </c>
      <c r="E865" s="126">
        <v>498.02780000000001</v>
      </c>
      <c r="F865" s="126">
        <v>251.49430000000001</v>
      </c>
      <c r="G865" s="127">
        <v>9.186268316748583</v>
      </c>
      <c r="H865" s="127">
        <v>14.839302520971648</v>
      </c>
      <c r="I865" s="128">
        <v>26397379</v>
      </c>
      <c r="J865" s="128">
        <v>26321749</v>
      </c>
      <c r="K865" s="128">
        <v>26813307</v>
      </c>
      <c r="L865" s="128">
        <v>25064708</v>
      </c>
      <c r="M865" s="128">
        <v>26536746</v>
      </c>
      <c r="N865" s="128">
        <v>26575922</v>
      </c>
      <c r="O865" s="128">
        <v>4762333</v>
      </c>
    </row>
    <row r="866" spans="1:15">
      <c r="A866" s="132" t="s">
        <v>1910</v>
      </c>
      <c r="B866" s="123" t="s">
        <v>1911</v>
      </c>
      <c r="C866" s="124">
        <v>1073</v>
      </c>
      <c r="D866" s="125">
        <v>1453.1560000000002</v>
      </c>
      <c r="E866" s="126">
        <v>169.3424</v>
      </c>
      <c r="F866" s="126">
        <v>83.607500000000002</v>
      </c>
      <c r="G866" s="127">
        <v>8.5811704570149008</v>
      </c>
      <c r="H866" s="127">
        <v>12.833776874084263</v>
      </c>
      <c r="I866" s="128">
        <v>9700729</v>
      </c>
      <c r="J866" s="128">
        <v>9647962</v>
      </c>
      <c r="K866" s="128">
        <v>9345450</v>
      </c>
      <c r="L866" s="128">
        <v>9974406</v>
      </c>
      <c r="M866" s="128">
        <v>9962438</v>
      </c>
      <c r="N866" s="128">
        <v>10467938</v>
      </c>
      <c r="O866" s="128">
        <v>4494299</v>
      </c>
    </row>
    <row r="867" spans="1:15">
      <c r="A867" s="132" t="s">
        <v>1920</v>
      </c>
      <c r="B867" s="123" t="s">
        <v>1921</v>
      </c>
      <c r="C867" s="124">
        <v>18480</v>
      </c>
      <c r="D867" s="125">
        <v>22610.190999999999</v>
      </c>
      <c r="E867" s="126">
        <v>2633.6723999999999</v>
      </c>
      <c r="F867" s="126">
        <v>1365.0952</v>
      </c>
      <c r="G867" s="127">
        <v>8.5850430752131501</v>
      </c>
      <c r="H867" s="127">
        <v>13.537517383403005</v>
      </c>
      <c r="I867" s="128">
        <v>133914951</v>
      </c>
      <c r="J867" s="128">
        <v>133123089</v>
      </c>
      <c r="K867" s="128">
        <v>136348914</v>
      </c>
      <c r="L867" s="128">
        <v>135447067</v>
      </c>
      <c r="M867" s="128">
        <v>136459437</v>
      </c>
      <c r="N867" s="128">
        <v>136479740</v>
      </c>
      <c r="O867" s="128">
        <v>15206604</v>
      </c>
    </row>
    <row r="868" spans="1:15">
      <c r="A868" s="132" t="s">
        <v>2027</v>
      </c>
      <c r="B868" s="123" t="s">
        <v>2028</v>
      </c>
      <c r="C868" s="124">
        <v>4593</v>
      </c>
      <c r="D868" s="125">
        <v>5325.6770000000006</v>
      </c>
      <c r="E868" s="126">
        <v>584.31849999999997</v>
      </c>
      <c r="F868" s="126">
        <v>301.96449999999999</v>
      </c>
      <c r="G868" s="127">
        <v>9.1143391831680844</v>
      </c>
      <c r="H868" s="127">
        <v>15.210397248683206</v>
      </c>
      <c r="I868" s="128">
        <v>28831868</v>
      </c>
      <c r="J868" s="128">
        <v>29729102</v>
      </c>
      <c r="K868" s="128">
        <v>28344645</v>
      </c>
      <c r="L868" s="128">
        <v>30125680</v>
      </c>
      <c r="M868" s="128">
        <v>30813338</v>
      </c>
      <c r="N868" s="128">
        <v>31046039</v>
      </c>
      <c r="O868" s="128">
        <v>5595179</v>
      </c>
    </row>
    <row r="869" spans="1:15">
      <c r="A869" s="132" t="s">
        <v>362</v>
      </c>
      <c r="B869" s="123" t="s">
        <v>363</v>
      </c>
      <c r="C869" s="124">
        <v>3337</v>
      </c>
      <c r="D869" s="125">
        <v>4198.2740000000003</v>
      </c>
      <c r="E869" s="126">
        <v>496.37819999999999</v>
      </c>
      <c r="F869" s="126">
        <v>239.52010000000001</v>
      </c>
      <c r="G869" s="127">
        <v>8.4578130143507515</v>
      </c>
      <c r="H869" s="127">
        <v>13.932024911479244</v>
      </c>
      <c r="I869" s="128">
        <v>24400216</v>
      </c>
      <c r="J869" s="128">
        <v>24806984</v>
      </c>
      <c r="K869" s="128">
        <v>24892704</v>
      </c>
      <c r="L869" s="128">
        <v>24524883</v>
      </c>
      <c r="M869" s="128">
        <v>25719259</v>
      </c>
      <c r="N869" s="128">
        <v>24745138</v>
      </c>
      <c r="O869" s="128">
        <v>3362287</v>
      </c>
    </row>
    <row r="870" spans="1:15">
      <c r="A870" s="132" t="s">
        <v>2057</v>
      </c>
      <c r="B870" s="123" t="s">
        <v>2058</v>
      </c>
      <c r="C870" s="124">
        <v>1039</v>
      </c>
      <c r="D870" s="125">
        <v>1484.692</v>
      </c>
      <c r="E870" s="126">
        <v>158.38630000000001</v>
      </c>
      <c r="F870" s="126">
        <v>84.616399999999999</v>
      </c>
      <c r="G870" s="127">
        <v>9.3738663003050142</v>
      </c>
      <c r="H870" s="127">
        <v>12.278943561768168</v>
      </c>
      <c r="I870" s="128">
        <v>8651747</v>
      </c>
      <c r="J870" s="128">
        <v>8990732</v>
      </c>
      <c r="K870" s="128">
        <v>8644899</v>
      </c>
      <c r="L870" s="128">
        <v>8087741</v>
      </c>
      <c r="M870" s="128">
        <v>8440739</v>
      </c>
      <c r="N870" s="128">
        <v>8597178</v>
      </c>
      <c r="O870" s="128">
        <v>2184737</v>
      </c>
    </row>
    <row r="871" spans="1:15">
      <c r="A871" s="132" t="s">
        <v>746</v>
      </c>
      <c r="B871" s="123" t="s">
        <v>747</v>
      </c>
      <c r="C871" s="124">
        <v>1640</v>
      </c>
      <c r="D871" s="125">
        <v>2096.924</v>
      </c>
      <c r="E871" s="126">
        <v>272.71960000000001</v>
      </c>
      <c r="F871" s="126">
        <v>140.6703</v>
      </c>
      <c r="G871" s="127">
        <v>7.6889376487791852</v>
      </c>
      <c r="H871" s="127">
        <v>11.658466641501439</v>
      </c>
      <c r="I871" s="128">
        <v>18422994</v>
      </c>
      <c r="J871" s="128">
        <v>18100674</v>
      </c>
      <c r="K871" s="128">
        <v>17842361</v>
      </c>
      <c r="L871" s="128">
        <v>19251950</v>
      </c>
      <c r="M871" s="128">
        <v>18848953</v>
      </c>
      <c r="N871" s="128">
        <v>20334141</v>
      </c>
      <c r="O871" s="128">
        <v>8599237</v>
      </c>
    </row>
    <row r="872" spans="1:15">
      <c r="A872" s="132" t="s">
        <v>1588</v>
      </c>
      <c r="B872" s="123" t="s">
        <v>1589</v>
      </c>
      <c r="C872" s="124">
        <v>10755</v>
      </c>
      <c r="D872" s="125">
        <v>14518.539000000001</v>
      </c>
      <c r="E872" s="126">
        <v>1992.2703999999999</v>
      </c>
      <c r="F872" s="126">
        <v>773.29020000000003</v>
      </c>
      <c r="G872" s="127">
        <v>7.287433974825908</v>
      </c>
      <c r="H872" s="127">
        <v>13.908103322659462</v>
      </c>
      <c r="I872" s="128">
        <v>91803400</v>
      </c>
      <c r="J872" s="128">
        <v>90845477</v>
      </c>
      <c r="K872" s="128">
        <v>87699326</v>
      </c>
      <c r="L872" s="128">
        <v>92440962</v>
      </c>
      <c r="M872" s="128">
        <v>91955481</v>
      </c>
      <c r="N872" s="128">
        <v>92635429</v>
      </c>
      <c r="O872" s="128">
        <v>17677627</v>
      </c>
    </row>
    <row r="873" spans="1:15">
      <c r="A873" s="132" t="s">
        <v>1680</v>
      </c>
      <c r="B873" s="123" t="s">
        <v>1681</v>
      </c>
      <c r="C873" s="124">
        <v>272</v>
      </c>
      <c r="D873" s="125">
        <v>480.40499999999997</v>
      </c>
      <c r="E873" s="126">
        <v>63.170200000000001</v>
      </c>
      <c r="F873" s="126">
        <v>24.004200000000001</v>
      </c>
      <c r="G873" s="127">
        <v>7.6049308059813017</v>
      </c>
      <c r="H873" s="127">
        <v>11.331350347022603</v>
      </c>
      <c r="I873" s="128">
        <v>3511689</v>
      </c>
      <c r="J873" s="128">
        <v>3574100</v>
      </c>
      <c r="K873" s="128">
        <v>3529189</v>
      </c>
      <c r="L873" s="128">
        <v>3594538</v>
      </c>
      <c r="M873" s="128">
        <v>3670950</v>
      </c>
      <c r="N873" s="128">
        <v>3804811</v>
      </c>
      <c r="O873" s="128">
        <v>1105393</v>
      </c>
    </row>
    <row r="874" spans="1:15">
      <c r="A874" s="132" t="s">
        <v>1620</v>
      </c>
      <c r="B874" s="123" t="s">
        <v>1621</v>
      </c>
      <c r="C874" s="124">
        <v>6625</v>
      </c>
      <c r="D874" s="125">
        <v>8742.3330000000005</v>
      </c>
      <c r="E874" s="126">
        <v>965.68200000000002</v>
      </c>
      <c r="F874" s="126">
        <v>441.33859999999999</v>
      </c>
      <c r="G874" s="127">
        <v>9.0530143463376138</v>
      </c>
      <c r="H874" s="127">
        <v>15.011150169053874</v>
      </c>
      <c r="I874" s="128">
        <v>56367999</v>
      </c>
      <c r="J874" s="128">
        <v>54280001</v>
      </c>
      <c r="K874" s="128">
        <v>48995752</v>
      </c>
      <c r="L874" s="128">
        <v>53350000</v>
      </c>
      <c r="M874" s="128">
        <v>50950000</v>
      </c>
      <c r="N874" s="128">
        <v>53341368</v>
      </c>
      <c r="O874" s="128">
        <v>11352274</v>
      </c>
    </row>
    <row r="875" spans="1:15">
      <c r="A875" s="132" t="s">
        <v>241</v>
      </c>
      <c r="B875" s="123" t="s">
        <v>242</v>
      </c>
      <c r="C875" s="124">
        <v>1559</v>
      </c>
      <c r="D875" s="125">
        <v>2062.4830000000002</v>
      </c>
      <c r="E875" s="126">
        <v>280.67779999999999</v>
      </c>
      <c r="F875" s="126">
        <v>140.06039999999999</v>
      </c>
      <c r="G875" s="127">
        <v>7.3482227664603332</v>
      </c>
      <c r="H875" s="127">
        <v>11.130912092211647</v>
      </c>
      <c r="I875" s="128">
        <v>12619678</v>
      </c>
      <c r="J875" s="128">
        <v>12738139</v>
      </c>
      <c r="K875" s="128">
        <v>12451136</v>
      </c>
      <c r="L875" s="128">
        <v>13056840</v>
      </c>
      <c r="M875" s="128">
        <v>13261921</v>
      </c>
      <c r="N875" s="128">
        <v>12308962</v>
      </c>
      <c r="O875" s="128">
        <v>719441</v>
      </c>
    </row>
    <row r="876" spans="1:15">
      <c r="A876" s="132" t="s">
        <v>1822</v>
      </c>
      <c r="B876" s="123" t="s">
        <v>1823</v>
      </c>
      <c r="C876" s="124">
        <v>215</v>
      </c>
      <c r="D876" s="125">
        <v>414.81400000000002</v>
      </c>
      <c r="E876" s="126">
        <v>49.9392</v>
      </c>
      <c r="F876" s="126">
        <v>24.684000000000001</v>
      </c>
      <c r="G876" s="127">
        <v>8.3063805587594519</v>
      </c>
      <c r="H876" s="127">
        <v>8.7100956084913292</v>
      </c>
      <c r="I876" s="128">
        <v>3136410</v>
      </c>
      <c r="J876" s="128">
        <v>3233477</v>
      </c>
      <c r="K876" s="128">
        <v>3327016</v>
      </c>
      <c r="L876" s="128">
        <v>3379408</v>
      </c>
      <c r="M876" s="128">
        <v>2982795</v>
      </c>
      <c r="N876" s="128">
        <v>3503966</v>
      </c>
      <c r="O876" s="128">
        <v>1680484</v>
      </c>
    </row>
    <row r="877" spans="1:15">
      <c r="A877" s="132" t="s">
        <v>118</v>
      </c>
      <c r="B877" s="123" t="s">
        <v>119</v>
      </c>
      <c r="C877" s="124">
        <v>240</v>
      </c>
      <c r="D877" s="125">
        <v>418.80100000000004</v>
      </c>
      <c r="E877" s="126">
        <v>47.925399999999996</v>
      </c>
      <c r="F877" s="126">
        <v>25.619199999999999</v>
      </c>
      <c r="G877" s="127">
        <v>8.7386020773952868</v>
      </c>
      <c r="H877" s="127">
        <v>9.367974019485386</v>
      </c>
      <c r="I877" s="128">
        <v>2875842</v>
      </c>
      <c r="J877" s="128">
        <v>2957230</v>
      </c>
      <c r="K877" s="128">
        <v>2768084</v>
      </c>
      <c r="L877" s="128">
        <v>2898100</v>
      </c>
      <c r="M877" s="128">
        <v>2982709</v>
      </c>
      <c r="N877" s="128">
        <v>2940016</v>
      </c>
      <c r="O877" s="128">
        <v>368057</v>
      </c>
    </row>
    <row r="878" spans="1:15">
      <c r="A878" s="132" t="s">
        <v>1780</v>
      </c>
      <c r="B878" s="123" t="s">
        <v>1781</v>
      </c>
      <c r="C878" s="124">
        <v>915</v>
      </c>
      <c r="D878" s="125">
        <v>1426.2270000000001</v>
      </c>
      <c r="E878" s="126">
        <v>178.94470000000001</v>
      </c>
      <c r="F878" s="126">
        <v>95.1374</v>
      </c>
      <c r="G878" s="127">
        <v>7.9702109087332564</v>
      </c>
      <c r="H878" s="127">
        <v>9.6176687611811964</v>
      </c>
      <c r="I878" s="128">
        <v>15469375</v>
      </c>
      <c r="J878" s="128">
        <v>11365485</v>
      </c>
      <c r="K878" s="128">
        <v>14998019</v>
      </c>
      <c r="L878" s="128">
        <v>11306094</v>
      </c>
      <c r="M878" s="128">
        <v>8263458</v>
      </c>
      <c r="N878" s="128">
        <v>11741113</v>
      </c>
      <c r="O878" s="128">
        <v>5540567</v>
      </c>
    </row>
    <row r="879" spans="1:15">
      <c r="A879" s="132" t="s">
        <v>826</v>
      </c>
      <c r="B879" s="123" t="s">
        <v>827</v>
      </c>
      <c r="C879" s="124">
        <v>251</v>
      </c>
      <c r="D879" s="125">
        <v>458.69200000000001</v>
      </c>
      <c r="E879" s="126">
        <v>42.898499999999999</v>
      </c>
      <c r="F879" s="126">
        <v>25.363199999999999</v>
      </c>
      <c r="G879" s="127">
        <v>10.692495075585393</v>
      </c>
      <c r="H879" s="127">
        <v>9.8962276053494822</v>
      </c>
      <c r="I879" s="128">
        <v>2275110</v>
      </c>
      <c r="J879" s="128">
        <v>2424567</v>
      </c>
      <c r="K879" s="128">
        <v>2098283</v>
      </c>
      <c r="L879" s="128">
        <v>2372682</v>
      </c>
      <c r="M879" s="128">
        <v>2517664</v>
      </c>
      <c r="N879" s="128">
        <v>2689036</v>
      </c>
      <c r="O879" s="128">
        <v>1653174</v>
      </c>
    </row>
    <row r="880" spans="1:15">
      <c r="A880" s="132" t="s">
        <v>1914</v>
      </c>
      <c r="B880" s="123" t="s">
        <v>1915</v>
      </c>
      <c r="C880" s="124">
        <v>1059</v>
      </c>
      <c r="D880" s="125">
        <v>1697.4590000000001</v>
      </c>
      <c r="E880" s="126">
        <v>187.35480000000001</v>
      </c>
      <c r="F880" s="126">
        <v>95.3964</v>
      </c>
      <c r="G880" s="127">
        <v>9.0601308319829545</v>
      </c>
      <c r="H880" s="127">
        <v>11.101047838283206</v>
      </c>
      <c r="I880" s="128">
        <v>12390896</v>
      </c>
      <c r="J880" s="128">
        <v>11304791</v>
      </c>
      <c r="K880" s="128">
        <v>11369065</v>
      </c>
      <c r="L880" s="128">
        <v>9754015</v>
      </c>
      <c r="M880" s="128">
        <v>9654292</v>
      </c>
      <c r="N880" s="128">
        <v>9682170</v>
      </c>
      <c r="O880" s="128">
        <v>3064532</v>
      </c>
    </row>
    <row r="881" spans="1:15">
      <c r="A881" s="132" t="s">
        <v>1036</v>
      </c>
      <c r="B881" s="123" t="s">
        <v>1037</v>
      </c>
      <c r="C881" s="124">
        <v>231</v>
      </c>
      <c r="D881" s="125">
        <v>369.94400000000002</v>
      </c>
      <c r="E881" s="126">
        <v>45.889899999999997</v>
      </c>
      <c r="F881" s="126">
        <v>25.002199999999998</v>
      </c>
      <c r="G881" s="127">
        <v>8.061556028668619</v>
      </c>
      <c r="H881" s="127">
        <v>9.2391869515482643</v>
      </c>
      <c r="I881" s="128">
        <v>2169729</v>
      </c>
      <c r="J881" s="128">
        <v>2184644</v>
      </c>
      <c r="K881" s="128">
        <v>2308746</v>
      </c>
      <c r="L881" s="128">
        <v>2196699</v>
      </c>
      <c r="M881" s="128">
        <v>2118735</v>
      </c>
      <c r="N881" s="128">
        <v>2285992</v>
      </c>
      <c r="O881" s="128">
        <v>322838</v>
      </c>
    </row>
    <row r="882" spans="1:15">
      <c r="A882" s="132" t="s">
        <v>114</v>
      </c>
      <c r="B882" s="123" t="s">
        <v>115</v>
      </c>
      <c r="C882" s="124">
        <v>64380</v>
      </c>
      <c r="D882" s="125">
        <v>77431.642000000007</v>
      </c>
      <c r="E882" s="126">
        <v>8176.3668999999991</v>
      </c>
      <c r="F882" s="126">
        <v>4148.2866000000004</v>
      </c>
      <c r="G882" s="127">
        <v>9.4701770293600713</v>
      </c>
      <c r="H882" s="127">
        <v>15.519660575043199</v>
      </c>
      <c r="I882" s="128">
        <v>432887299</v>
      </c>
      <c r="J882" s="128">
        <v>438225157</v>
      </c>
      <c r="K882" s="128">
        <v>429590956</v>
      </c>
      <c r="L882" s="128">
        <v>426561667</v>
      </c>
      <c r="M882" s="128">
        <v>429983728</v>
      </c>
      <c r="N882" s="128">
        <v>432852080</v>
      </c>
      <c r="O882" s="128">
        <v>69741462</v>
      </c>
    </row>
    <row r="883" spans="1:15">
      <c r="A883" s="132" t="s">
        <v>185</v>
      </c>
      <c r="B883" s="123" t="s">
        <v>186</v>
      </c>
      <c r="C883" s="124">
        <v>23441</v>
      </c>
      <c r="D883" s="125">
        <v>28578.483</v>
      </c>
      <c r="E883" s="126">
        <v>2887.9807999999998</v>
      </c>
      <c r="F883" s="126">
        <v>1485.5993000000001</v>
      </c>
      <c r="G883" s="127">
        <v>9.8956623949854521</v>
      </c>
      <c r="H883" s="127">
        <v>15.778817343276884</v>
      </c>
      <c r="I883" s="128">
        <v>163041929</v>
      </c>
      <c r="J883" s="128">
        <v>162166774</v>
      </c>
      <c r="K883" s="128">
        <v>157466036</v>
      </c>
      <c r="L883" s="128">
        <v>161867621</v>
      </c>
      <c r="M883" s="128">
        <v>162035323</v>
      </c>
      <c r="N883" s="128">
        <v>158608472</v>
      </c>
      <c r="O883" s="128">
        <v>35197858</v>
      </c>
    </row>
    <row r="884" spans="1:15">
      <c r="A884" s="132" t="s">
        <v>638</v>
      </c>
      <c r="B884" s="123" t="s">
        <v>639</v>
      </c>
      <c r="C884" s="124">
        <v>5056</v>
      </c>
      <c r="D884" s="125">
        <v>6582.0070000000005</v>
      </c>
      <c r="E884" s="126">
        <v>673.90510000000006</v>
      </c>
      <c r="F884" s="126">
        <v>325.2201</v>
      </c>
      <c r="G884" s="127">
        <v>9.7669642209266563</v>
      </c>
      <c r="H884" s="127">
        <v>15.546394580162788</v>
      </c>
      <c r="I884" s="128">
        <v>35327011</v>
      </c>
      <c r="J884" s="128">
        <v>36020001</v>
      </c>
      <c r="K884" s="128">
        <v>36095699</v>
      </c>
      <c r="L884" s="128">
        <v>35400000</v>
      </c>
      <c r="M884" s="128">
        <v>36100000</v>
      </c>
      <c r="N884" s="128">
        <v>36127280</v>
      </c>
      <c r="O884" s="128">
        <v>8549698</v>
      </c>
    </row>
    <row r="885" spans="1:15">
      <c r="A885" s="132" t="s">
        <v>684</v>
      </c>
      <c r="B885" s="123" t="s">
        <v>685</v>
      </c>
      <c r="C885" s="124">
        <v>81511</v>
      </c>
      <c r="D885" s="125">
        <v>101781.70299999999</v>
      </c>
      <c r="E885" s="126">
        <v>10129.025900000001</v>
      </c>
      <c r="F885" s="126">
        <v>5131.8235000000004</v>
      </c>
      <c r="G885" s="127">
        <v>10.048518387143229</v>
      </c>
      <c r="H885" s="127">
        <v>15.883437924160875</v>
      </c>
      <c r="I885" s="128">
        <v>563529903</v>
      </c>
      <c r="J885" s="128">
        <v>601387867</v>
      </c>
      <c r="K885" s="128">
        <v>555834692</v>
      </c>
      <c r="L885" s="128">
        <v>555467671</v>
      </c>
      <c r="M885" s="128">
        <v>539660819</v>
      </c>
      <c r="N885" s="128">
        <v>592403938</v>
      </c>
      <c r="O885" s="128">
        <v>135498053</v>
      </c>
    </row>
    <row r="886" spans="1:15">
      <c r="A886" s="132" t="s">
        <v>790</v>
      </c>
      <c r="B886" s="123" t="s">
        <v>791</v>
      </c>
      <c r="C886" s="124">
        <v>13614</v>
      </c>
      <c r="D886" s="125">
        <v>15463.577000000001</v>
      </c>
      <c r="E886" s="126">
        <v>1752.4821999999999</v>
      </c>
      <c r="F886" s="126">
        <v>946.60699999999997</v>
      </c>
      <c r="G886" s="127">
        <v>8.8238140164847341</v>
      </c>
      <c r="H886" s="127">
        <v>14.381892379836616</v>
      </c>
      <c r="I886" s="128">
        <v>106983331</v>
      </c>
      <c r="J886" s="128">
        <v>106805281</v>
      </c>
      <c r="K886" s="128">
        <v>104176593</v>
      </c>
      <c r="L886" s="128">
        <v>111346778</v>
      </c>
      <c r="M886" s="128">
        <v>110835700</v>
      </c>
      <c r="N886" s="128">
        <v>114284144</v>
      </c>
      <c r="O886" s="128">
        <v>32345927</v>
      </c>
    </row>
    <row r="887" spans="1:15">
      <c r="A887" s="132" t="s">
        <v>996</v>
      </c>
      <c r="B887" s="123" t="s">
        <v>997</v>
      </c>
      <c r="C887" s="124">
        <v>32613</v>
      </c>
      <c r="D887" s="125">
        <v>36786.49</v>
      </c>
      <c r="E887" s="126">
        <v>3632.6257000000001</v>
      </c>
      <c r="F887" s="126">
        <v>1981.6773000000001</v>
      </c>
      <c r="G887" s="127">
        <v>10.12669430819696</v>
      </c>
      <c r="H887" s="127">
        <v>16.457270818008563</v>
      </c>
      <c r="I887" s="128">
        <v>198925748</v>
      </c>
      <c r="J887" s="128">
        <v>206123366</v>
      </c>
      <c r="K887" s="128">
        <v>201325022</v>
      </c>
      <c r="L887" s="128">
        <v>200982358</v>
      </c>
      <c r="M887" s="128">
        <v>196837670</v>
      </c>
      <c r="N887" s="128">
        <v>213017168</v>
      </c>
      <c r="O887" s="128">
        <v>33091988</v>
      </c>
    </row>
    <row r="888" spans="1:15">
      <c r="A888" s="132" t="s">
        <v>1198</v>
      </c>
      <c r="B888" s="123" t="s">
        <v>1199</v>
      </c>
      <c r="C888" s="124">
        <v>32208</v>
      </c>
      <c r="D888" s="125">
        <v>37760.373</v>
      </c>
      <c r="E888" s="126">
        <v>3819.7475999999997</v>
      </c>
      <c r="F888" s="126">
        <v>1980.7813000000001</v>
      </c>
      <c r="G888" s="127">
        <v>9.8855675699619532</v>
      </c>
      <c r="H888" s="127">
        <v>16.260250437541995</v>
      </c>
      <c r="I888" s="128">
        <v>223482622</v>
      </c>
      <c r="J888" s="128">
        <v>230818511</v>
      </c>
      <c r="K888" s="128">
        <v>218195806</v>
      </c>
      <c r="L888" s="128">
        <v>217985077</v>
      </c>
      <c r="M888" s="128">
        <v>225024820</v>
      </c>
      <c r="N888" s="128">
        <v>222122523</v>
      </c>
      <c r="O888" s="128">
        <v>73477462</v>
      </c>
    </row>
    <row r="889" spans="1:15">
      <c r="A889" s="132" t="s">
        <v>1068</v>
      </c>
      <c r="B889" s="123" t="s">
        <v>1069</v>
      </c>
      <c r="C889" s="124">
        <v>3170</v>
      </c>
      <c r="D889" s="125">
        <v>3897.0360000000001</v>
      </c>
      <c r="E889" s="126">
        <v>462.3381</v>
      </c>
      <c r="F889" s="126">
        <v>214.98740000000001</v>
      </c>
      <c r="G889" s="127">
        <v>8.4289743804371735</v>
      </c>
      <c r="H889" s="127">
        <v>14.745050175033514</v>
      </c>
      <c r="I889" s="128">
        <v>25222942</v>
      </c>
      <c r="J889" s="128">
        <v>24242659</v>
      </c>
      <c r="K889" s="128">
        <v>24496352</v>
      </c>
      <c r="L889" s="128">
        <v>25767528</v>
      </c>
      <c r="M889" s="128">
        <v>24662311</v>
      </c>
      <c r="N889" s="128">
        <v>25756732</v>
      </c>
      <c r="O889" s="128">
        <v>3695200</v>
      </c>
    </row>
    <row r="890" spans="1:15">
      <c r="A890" s="132" t="s">
        <v>489</v>
      </c>
      <c r="B890" s="123" t="s">
        <v>490</v>
      </c>
      <c r="C890" s="124">
        <v>15141</v>
      </c>
      <c r="D890" s="125">
        <v>17975.581000000002</v>
      </c>
      <c r="E890" s="126">
        <v>1682.2737999999999</v>
      </c>
      <c r="F890" s="126">
        <v>928.02660000000003</v>
      </c>
      <c r="G890" s="127">
        <v>10.685288565987298</v>
      </c>
      <c r="H890" s="127">
        <v>16.315265101237401</v>
      </c>
      <c r="I890" s="128">
        <v>102637063</v>
      </c>
      <c r="J890" s="128">
        <v>104681423</v>
      </c>
      <c r="K890" s="128">
        <v>92829428</v>
      </c>
      <c r="L890" s="128">
        <v>100374237</v>
      </c>
      <c r="M890" s="128">
        <v>105272597</v>
      </c>
      <c r="N890" s="128">
        <v>97594345</v>
      </c>
      <c r="O890" s="128">
        <v>19109638</v>
      </c>
    </row>
    <row r="891" spans="1:15">
      <c r="A891" s="132" t="s">
        <v>1008</v>
      </c>
      <c r="B891" s="123" t="s">
        <v>1009</v>
      </c>
      <c r="C891" s="124">
        <v>3167</v>
      </c>
      <c r="D891" s="125">
        <v>3871.8240000000001</v>
      </c>
      <c r="E891" s="126">
        <v>396.65179999999998</v>
      </c>
      <c r="F891" s="126">
        <v>215.00470000000001</v>
      </c>
      <c r="G891" s="127">
        <v>9.7612666827681114</v>
      </c>
      <c r="H891" s="127">
        <v>14.72991055544367</v>
      </c>
      <c r="I891" s="128">
        <v>24526913</v>
      </c>
      <c r="J891" s="128">
        <v>23958692</v>
      </c>
      <c r="K891" s="128">
        <v>23529642</v>
      </c>
      <c r="L891" s="128">
        <v>24615928</v>
      </c>
      <c r="M891" s="128">
        <v>24047685</v>
      </c>
      <c r="N891" s="128">
        <v>23816963</v>
      </c>
      <c r="O891" s="128">
        <v>4358451</v>
      </c>
    </row>
    <row r="892" spans="1:15">
      <c r="A892" s="132" t="s">
        <v>138</v>
      </c>
      <c r="B892" s="123" t="s">
        <v>139</v>
      </c>
      <c r="C892" s="124">
        <v>5754</v>
      </c>
      <c r="D892" s="125">
        <v>6866.1320000000005</v>
      </c>
      <c r="E892" s="126">
        <v>751.1857</v>
      </c>
      <c r="F892" s="126">
        <v>375.23509999999999</v>
      </c>
      <c r="G892" s="127">
        <v>9.1403923157749158</v>
      </c>
      <c r="H892" s="127">
        <v>15.334386362043423</v>
      </c>
      <c r="I892" s="128">
        <v>44248014</v>
      </c>
      <c r="J892" s="128">
        <v>42994671</v>
      </c>
      <c r="K892" s="128">
        <v>45416020</v>
      </c>
      <c r="L892" s="128">
        <v>42910044</v>
      </c>
      <c r="M892" s="128">
        <v>41787684</v>
      </c>
      <c r="N892" s="128">
        <v>42774428</v>
      </c>
      <c r="O892" s="128">
        <v>8463469</v>
      </c>
    </row>
    <row r="893" spans="1:15">
      <c r="A893" s="132" t="s">
        <v>926</v>
      </c>
      <c r="B893" s="123" t="s">
        <v>927</v>
      </c>
      <c r="C893" s="124">
        <v>21000</v>
      </c>
      <c r="D893" s="125">
        <v>25398.045999999998</v>
      </c>
      <c r="E893" s="126">
        <v>2488.6580000000004</v>
      </c>
      <c r="F893" s="126">
        <v>1325.1436000000001</v>
      </c>
      <c r="G893" s="127">
        <v>10.205518797681318</v>
      </c>
      <c r="H893" s="127">
        <v>15.847339111021627</v>
      </c>
      <c r="I893" s="128">
        <v>152370274</v>
      </c>
      <c r="J893" s="128">
        <v>153147486</v>
      </c>
      <c r="K893" s="128">
        <v>147272025</v>
      </c>
      <c r="L893" s="128">
        <v>149635016</v>
      </c>
      <c r="M893" s="128">
        <v>152567416</v>
      </c>
      <c r="N893" s="128">
        <v>155217738</v>
      </c>
      <c r="O893" s="128">
        <v>26997669</v>
      </c>
    </row>
    <row r="894" spans="1:15">
      <c r="A894" s="132" t="s">
        <v>337</v>
      </c>
      <c r="B894" s="123" t="s">
        <v>338</v>
      </c>
      <c r="C894" s="124">
        <v>3604</v>
      </c>
      <c r="D894" s="125">
        <v>4665.6099999999997</v>
      </c>
      <c r="E894" s="126">
        <v>480.78459999999995</v>
      </c>
      <c r="F894" s="126">
        <v>222.79570000000001</v>
      </c>
      <c r="G894" s="127">
        <v>9.7041585774585961</v>
      </c>
      <c r="H894" s="127">
        <v>16.1762547481841</v>
      </c>
      <c r="I894" s="128">
        <v>25329749</v>
      </c>
      <c r="J894" s="128">
        <v>27204265</v>
      </c>
      <c r="K894" s="128">
        <v>23058943</v>
      </c>
      <c r="L894" s="128">
        <v>25394745</v>
      </c>
      <c r="M894" s="128">
        <v>27254268</v>
      </c>
      <c r="N894" s="128">
        <v>24283357</v>
      </c>
      <c r="O894" s="128">
        <v>7986306</v>
      </c>
    </row>
    <row r="895" spans="1:15">
      <c r="A895" s="132" t="s">
        <v>581</v>
      </c>
      <c r="B895" s="123" t="s">
        <v>582</v>
      </c>
      <c r="C895" s="124">
        <v>16664</v>
      </c>
      <c r="D895" s="125">
        <v>19120.225999999999</v>
      </c>
      <c r="E895" s="126">
        <v>2030.2287999999999</v>
      </c>
      <c r="F895" s="126">
        <v>1061.6086</v>
      </c>
      <c r="G895" s="127">
        <v>9.417769071150996</v>
      </c>
      <c r="H895" s="127">
        <v>15.696933879397736</v>
      </c>
      <c r="I895" s="128">
        <v>118164357</v>
      </c>
      <c r="J895" s="128">
        <v>120842850</v>
      </c>
      <c r="K895" s="128">
        <v>120622312</v>
      </c>
      <c r="L895" s="128">
        <v>118690000</v>
      </c>
      <c r="M895" s="128">
        <v>121494999</v>
      </c>
      <c r="N895" s="128">
        <v>120486248</v>
      </c>
      <c r="O895" s="128">
        <v>20705051</v>
      </c>
    </row>
    <row r="896" spans="1:15">
      <c r="A896" s="132" t="s">
        <v>331</v>
      </c>
      <c r="B896" s="123" t="s">
        <v>332</v>
      </c>
      <c r="C896" s="124">
        <v>7642</v>
      </c>
      <c r="D896" s="125">
        <v>8359.36</v>
      </c>
      <c r="E896" s="126">
        <v>992.8898999999999</v>
      </c>
      <c r="F896" s="126">
        <v>520.02350000000001</v>
      </c>
      <c r="G896" s="127">
        <v>8.4192215068357541</v>
      </c>
      <c r="H896" s="127">
        <v>14.695489723060593</v>
      </c>
      <c r="I896" s="128">
        <v>62117988</v>
      </c>
      <c r="J896" s="128">
        <v>62371738</v>
      </c>
      <c r="K896" s="128">
        <v>61622663</v>
      </c>
      <c r="L896" s="128">
        <v>61311353</v>
      </c>
      <c r="M896" s="128">
        <v>64913211</v>
      </c>
      <c r="N896" s="128">
        <v>71052019</v>
      </c>
      <c r="O896" s="128">
        <v>21665108</v>
      </c>
    </row>
    <row r="897" spans="1:15">
      <c r="A897" s="132" t="s">
        <v>2023</v>
      </c>
      <c r="B897" s="123" t="s">
        <v>2024</v>
      </c>
      <c r="C897" s="124">
        <v>6271</v>
      </c>
      <c r="D897" s="125">
        <v>7261.7360000000008</v>
      </c>
      <c r="E897" s="126">
        <v>779.15750000000003</v>
      </c>
      <c r="F897" s="126">
        <v>392.16559999999998</v>
      </c>
      <c r="G897" s="127">
        <v>9.3199847270930469</v>
      </c>
      <c r="H897" s="127">
        <v>15.990693727343755</v>
      </c>
      <c r="I897" s="128">
        <v>39682730</v>
      </c>
      <c r="J897" s="128">
        <v>39807125</v>
      </c>
      <c r="K897" s="128">
        <v>39689655</v>
      </c>
      <c r="L897" s="128">
        <v>39587875</v>
      </c>
      <c r="M897" s="128">
        <v>19006851</v>
      </c>
      <c r="N897" s="128">
        <v>40160666</v>
      </c>
      <c r="O897" s="128">
        <v>5152169</v>
      </c>
    </row>
    <row r="898" spans="1:15">
      <c r="A898" s="132" t="s">
        <v>48</v>
      </c>
      <c r="B898" s="123" t="s">
        <v>49</v>
      </c>
      <c r="C898" s="124">
        <v>16987</v>
      </c>
      <c r="D898" s="125">
        <v>20784.266</v>
      </c>
      <c r="E898" s="126">
        <v>2430.8771000000002</v>
      </c>
      <c r="F898" s="126">
        <v>1213.6996999999999</v>
      </c>
      <c r="G898" s="127">
        <v>8.5501097525662644</v>
      </c>
      <c r="H898" s="127">
        <v>13.996048610706588</v>
      </c>
      <c r="I898" s="128">
        <v>116033684</v>
      </c>
      <c r="J898" s="128">
        <v>119245062</v>
      </c>
      <c r="K898" s="128">
        <v>117354919</v>
      </c>
      <c r="L898" s="128">
        <v>114970436</v>
      </c>
      <c r="M898" s="128">
        <v>117165464</v>
      </c>
      <c r="N898" s="128">
        <v>117931997</v>
      </c>
      <c r="O898" s="128">
        <v>19075604</v>
      </c>
    </row>
    <row r="899" spans="1:15">
      <c r="A899" s="132" t="s">
        <v>1262</v>
      </c>
      <c r="B899" s="123" t="s">
        <v>1263</v>
      </c>
      <c r="C899" s="124">
        <v>1149</v>
      </c>
      <c r="D899" s="125">
        <v>1709.739</v>
      </c>
      <c r="E899" s="126">
        <v>209.07300000000001</v>
      </c>
      <c r="F899" s="126">
        <v>108.3021</v>
      </c>
      <c r="G899" s="127">
        <v>8.177713047595816</v>
      </c>
      <c r="H899" s="127">
        <v>10.609212563745302</v>
      </c>
      <c r="I899" s="128">
        <v>11024359</v>
      </c>
      <c r="J899" s="128">
        <v>10782106</v>
      </c>
      <c r="K899" s="128">
        <v>11042095</v>
      </c>
      <c r="L899" s="128">
        <v>11675179</v>
      </c>
      <c r="M899" s="128">
        <v>11262800</v>
      </c>
      <c r="N899" s="128">
        <v>11393993</v>
      </c>
      <c r="O899" s="128">
        <v>3137698</v>
      </c>
    </row>
    <row r="900" spans="1:15">
      <c r="A900" s="132" t="s">
        <v>1902</v>
      </c>
      <c r="B900" s="123" t="s">
        <v>1903</v>
      </c>
      <c r="C900" s="124">
        <v>196</v>
      </c>
      <c r="D900" s="125">
        <v>294.25400000000002</v>
      </c>
      <c r="E900" s="126">
        <v>34.697099999999999</v>
      </c>
      <c r="F900" s="126">
        <v>19.750599999999999</v>
      </c>
      <c r="G900" s="127">
        <v>8.4806511206988482</v>
      </c>
      <c r="H900" s="127">
        <v>9.9237491519244987</v>
      </c>
      <c r="I900" s="128">
        <v>1964258</v>
      </c>
      <c r="J900" s="128">
        <v>2293427</v>
      </c>
      <c r="K900" s="128">
        <v>1930708</v>
      </c>
      <c r="L900" s="128">
        <v>2098894</v>
      </c>
      <c r="M900" s="128">
        <v>2098388</v>
      </c>
      <c r="N900" s="128">
        <v>2142475</v>
      </c>
      <c r="O900" s="128">
        <v>555493</v>
      </c>
    </row>
    <row r="901" spans="1:15">
      <c r="A901" s="132" t="s">
        <v>970</v>
      </c>
      <c r="B901" s="123" t="s">
        <v>971</v>
      </c>
      <c r="C901" s="124">
        <v>1028</v>
      </c>
      <c r="D901" s="125">
        <v>1503.64</v>
      </c>
      <c r="E901" s="126">
        <v>185.49860000000001</v>
      </c>
      <c r="F901" s="126">
        <v>87.550299999999993</v>
      </c>
      <c r="G901" s="127">
        <v>8.1059371876661057</v>
      </c>
      <c r="H901" s="127">
        <v>11.741821558578327</v>
      </c>
      <c r="I901" s="128">
        <v>10145343</v>
      </c>
      <c r="J901" s="128">
        <v>10285493</v>
      </c>
      <c r="K901" s="128">
        <v>9270447</v>
      </c>
      <c r="L901" s="128">
        <v>10420835</v>
      </c>
      <c r="M901" s="128">
        <v>10519980</v>
      </c>
      <c r="N901" s="128">
        <v>11045052</v>
      </c>
      <c r="O901" s="128">
        <v>3489875</v>
      </c>
    </row>
    <row r="902" spans="1:15">
      <c r="A902" s="132" t="s">
        <v>2075</v>
      </c>
      <c r="B902" s="123" t="s">
        <v>2074</v>
      </c>
      <c r="C902" s="124">
        <v>3331</v>
      </c>
      <c r="D902" s="125">
        <v>3816.3120000000004</v>
      </c>
      <c r="E902" s="126">
        <v>347.05039999999997</v>
      </c>
      <c r="F902" s="126">
        <v>206.6207</v>
      </c>
      <c r="G902" s="127">
        <v>10.996420116501813</v>
      </c>
      <c r="H902" s="127">
        <v>16.121327630774651</v>
      </c>
      <c r="I902" s="128">
        <v>22393952</v>
      </c>
      <c r="J902" s="128">
        <v>22236204</v>
      </c>
      <c r="K902" s="128">
        <v>19847851</v>
      </c>
      <c r="L902" s="128">
        <v>22638579</v>
      </c>
      <c r="M902" s="128">
        <v>22689591</v>
      </c>
      <c r="N902" s="128">
        <v>21609109</v>
      </c>
      <c r="O902" s="128">
        <v>4991731</v>
      </c>
    </row>
    <row r="903" spans="1:15">
      <c r="A903" s="132" t="s">
        <v>1866</v>
      </c>
      <c r="B903" s="123" t="s">
        <v>1867</v>
      </c>
      <c r="C903" s="124">
        <v>138</v>
      </c>
      <c r="D903" s="125">
        <v>290.83600000000001</v>
      </c>
      <c r="E903" s="126">
        <v>43.500699999999995</v>
      </c>
      <c r="F903" s="126">
        <v>20.6479</v>
      </c>
      <c r="G903" s="127">
        <v>6.685777470247606</v>
      </c>
      <c r="H903" s="127">
        <v>6.6834883934928007</v>
      </c>
      <c r="I903" s="128">
        <v>3180795</v>
      </c>
      <c r="J903" s="128">
        <v>3197927</v>
      </c>
      <c r="K903" s="128">
        <v>3111515</v>
      </c>
      <c r="L903" s="128">
        <v>3307351</v>
      </c>
      <c r="M903" s="128">
        <v>3129631</v>
      </c>
      <c r="N903" s="128">
        <v>3038670</v>
      </c>
      <c r="O903" s="128">
        <v>539705</v>
      </c>
    </row>
    <row r="904" spans="1:15">
      <c r="A904" s="132" t="s">
        <v>263</v>
      </c>
      <c r="B904" s="123" t="s">
        <v>264</v>
      </c>
      <c r="C904" s="124">
        <v>1803</v>
      </c>
      <c r="D904" s="125">
        <v>2397.7919999999999</v>
      </c>
      <c r="E904" s="126">
        <v>326.26300000000003</v>
      </c>
      <c r="F904" s="126">
        <v>153.04179999999999</v>
      </c>
      <c r="G904" s="127">
        <v>7.3492611788649027</v>
      </c>
      <c r="H904" s="127">
        <v>11.781095099508763</v>
      </c>
      <c r="I904" s="128">
        <v>15166803</v>
      </c>
      <c r="J904" s="128">
        <v>15552762</v>
      </c>
      <c r="K904" s="128">
        <v>15807323</v>
      </c>
      <c r="L904" s="128">
        <v>15188402</v>
      </c>
      <c r="M904" s="128">
        <v>15764371</v>
      </c>
      <c r="N904" s="128">
        <v>15627969</v>
      </c>
      <c r="O904" s="128">
        <v>1252586</v>
      </c>
    </row>
    <row r="905" spans="1:15">
      <c r="A905" s="132" t="s">
        <v>1246</v>
      </c>
      <c r="B905" s="123" t="s">
        <v>1247</v>
      </c>
      <c r="C905" s="124">
        <v>287</v>
      </c>
      <c r="D905" s="125">
        <v>461.57400000000001</v>
      </c>
      <c r="E905" s="126">
        <v>49.245400000000004</v>
      </c>
      <c r="F905" s="126">
        <v>24.595300000000002</v>
      </c>
      <c r="G905" s="127">
        <v>9.3729363554768561</v>
      </c>
      <c r="H905" s="127">
        <v>11.668896089903354</v>
      </c>
      <c r="I905" s="128">
        <v>2691570</v>
      </c>
      <c r="J905" s="128">
        <v>3002882</v>
      </c>
      <c r="K905" s="128">
        <v>2626600</v>
      </c>
      <c r="L905" s="128">
        <v>2691569</v>
      </c>
      <c r="M905" s="128">
        <v>2876520</v>
      </c>
      <c r="N905" s="128">
        <v>2946861</v>
      </c>
      <c r="O905" s="128">
        <v>1546562</v>
      </c>
    </row>
    <row r="906" spans="1:15">
      <c r="A906" s="132" t="s">
        <v>1989</v>
      </c>
      <c r="B906" s="123" t="s">
        <v>1990</v>
      </c>
      <c r="C906" s="124">
        <v>229</v>
      </c>
      <c r="D906" s="125">
        <v>362.13900000000001</v>
      </c>
      <c r="E906" s="126">
        <v>41.843800000000002</v>
      </c>
      <c r="F906" s="126">
        <v>20.2058</v>
      </c>
      <c r="G906" s="127">
        <v>8.6545438033830582</v>
      </c>
      <c r="H906" s="127">
        <v>11.33337952469093</v>
      </c>
      <c r="I906" s="128">
        <v>2444222</v>
      </c>
      <c r="J906" s="128">
        <v>2551829</v>
      </c>
      <c r="K906" s="128">
        <v>2453953</v>
      </c>
      <c r="L906" s="128">
        <v>2522624</v>
      </c>
      <c r="M906" s="128">
        <v>2345094</v>
      </c>
      <c r="N906" s="128">
        <v>2636178</v>
      </c>
      <c r="O906" s="128">
        <v>1236952</v>
      </c>
    </row>
    <row r="907" spans="1:15">
      <c r="A907" s="132" t="s">
        <v>1886</v>
      </c>
      <c r="B907" s="123" t="s">
        <v>1887</v>
      </c>
      <c r="C907" s="124">
        <v>211</v>
      </c>
      <c r="D907" s="125">
        <v>394.26100000000002</v>
      </c>
      <c r="E907" s="126">
        <v>41.2239</v>
      </c>
      <c r="F907" s="126">
        <v>23.5715</v>
      </c>
      <c r="G907" s="127">
        <v>9.5638937606582601</v>
      </c>
      <c r="H907" s="127">
        <v>8.9514880257938607</v>
      </c>
      <c r="I907" s="128">
        <v>2888454</v>
      </c>
      <c r="J907" s="128">
        <v>2528729</v>
      </c>
      <c r="K907" s="128">
        <v>2861050</v>
      </c>
      <c r="L907" s="128">
        <v>2609267</v>
      </c>
      <c r="M907" s="128">
        <v>2566159</v>
      </c>
      <c r="N907" s="128">
        <v>2352789</v>
      </c>
      <c r="O907" s="128">
        <v>483758</v>
      </c>
    </row>
    <row r="908" spans="1:15">
      <c r="A908" s="132" t="s">
        <v>2067</v>
      </c>
      <c r="B908" s="123" t="s">
        <v>2068</v>
      </c>
      <c r="C908" s="124">
        <v>103</v>
      </c>
      <c r="D908" s="125">
        <v>243.33600000000001</v>
      </c>
      <c r="E908" s="126">
        <v>25.999500000000001</v>
      </c>
      <c r="F908" s="126">
        <v>15.535299999999999</v>
      </c>
      <c r="G908" s="127">
        <v>9.3592569087867084</v>
      </c>
      <c r="H908" s="127">
        <v>6.6300618591208416</v>
      </c>
      <c r="I908" s="128">
        <v>1493311</v>
      </c>
      <c r="J908" s="128">
        <v>1468883</v>
      </c>
      <c r="K908" s="128">
        <v>1436121</v>
      </c>
      <c r="L908" s="128">
        <v>1523887</v>
      </c>
      <c r="M908" s="128">
        <v>1495311</v>
      </c>
      <c r="N908" s="128">
        <v>1585920</v>
      </c>
      <c r="O908" s="128">
        <v>403901</v>
      </c>
    </row>
    <row r="909" spans="1:15">
      <c r="A909" s="132" t="s">
        <v>1323</v>
      </c>
      <c r="B909" s="123" t="s">
        <v>1324</v>
      </c>
      <c r="C909" s="124">
        <v>5290</v>
      </c>
      <c r="D909" s="125">
        <v>6859.5860000000002</v>
      </c>
      <c r="E909" s="126">
        <v>942.17509999999993</v>
      </c>
      <c r="F909" s="126">
        <v>423.2253</v>
      </c>
      <c r="G909" s="127">
        <v>7.2805851056772788</v>
      </c>
      <c r="H909" s="127">
        <v>12.499252762063138</v>
      </c>
      <c r="I909" s="128">
        <v>35275678</v>
      </c>
      <c r="J909" s="128">
        <v>36572747</v>
      </c>
      <c r="K909" s="128">
        <v>35729432</v>
      </c>
      <c r="L909" s="128">
        <v>36561018</v>
      </c>
      <c r="M909" s="128">
        <v>36932219</v>
      </c>
      <c r="N909" s="128">
        <v>39585321</v>
      </c>
      <c r="O909" s="128">
        <v>2737617</v>
      </c>
    </row>
    <row r="910" spans="1:15">
      <c r="A910" s="132" t="s">
        <v>2051</v>
      </c>
      <c r="B910" s="123" t="s">
        <v>2052</v>
      </c>
      <c r="C910" s="124">
        <v>155</v>
      </c>
      <c r="D910" s="125">
        <v>283.42</v>
      </c>
      <c r="E910" s="126">
        <v>22.673500000000001</v>
      </c>
      <c r="F910" s="126">
        <v>11.594900000000001</v>
      </c>
      <c r="G910" s="127">
        <v>12.500055130438618</v>
      </c>
      <c r="H910" s="127">
        <v>13.367946252231583</v>
      </c>
      <c r="I910" s="128">
        <v>1212013</v>
      </c>
      <c r="J910" s="128">
        <v>1193770</v>
      </c>
      <c r="K910" s="128">
        <v>1377715</v>
      </c>
      <c r="L910" s="128">
        <v>1333013</v>
      </c>
      <c r="M910" s="128">
        <v>1446891</v>
      </c>
      <c r="N910" s="128">
        <v>1419070</v>
      </c>
      <c r="O910" s="128">
        <v>347436</v>
      </c>
    </row>
    <row r="911" spans="1:15">
      <c r="A911" s="132" t="s">
        <v>364</v>
      </c>
      <c r="B911" s="123" t="s">
        <v>363</v>
      </c>
      <c r="C911" s="124">
        <v>939</v>
      </c>
      <c r="D911" s="125">
        <v>1366.895</v>
      </c>
      <c r="E911" s="126">
        <v>143.24299999999999</v>
      </c>
      <c r="F911" s="126">
        <v>81.828800000000001</v>
      </c>
      <c r="G911" s="127">
        <v>9.5424907325314337</v>
      </c>
      <c r="H911" s="127">
        <v>11.475177443638426</v>
      </c>
      <c r="I911" s="128">
        <v>7296298</v>
      </c>
      <c r="J911" s="128">
        <v>7478574</v>
      </c>
      <c r="K911" s="128">
        <v>7447635</v>
      </c>
      <c r="L911" s="128">
        <v>7313903</v>
      </c>
      <c r="M911" s="128">
        <v>7516287</v>
      </c>
      <c r="N911" s="128">
        <v>7778221</v>
      </c>
      <c r="O911" s="128">
        <v>1512927</v>
      </c>
    </row>
    <row r="912" spans="1:15">
      <c r="A912" s="132" t="s">
        <v>848</v>
      </c>
      <c r="B912" s="123" t="s">
        <v>849</v>
      </c>
      <c r="C912" s="124">
        <v>452</v>
      </c>
      <c r="D912" s="125">
        <v>664.44500000000005</v>
      </c>
      <c r="E912" s="126">
        <v>69.207700000000003</v>
      </c>
      <c r="F912" s="126">
        <v>35.999099999999999</v>
      </c>
      <c r="G912" s="127">
        <v>9.6007380681629364</v>
      </c>
      <c r="H912" s="127">
        <v>12.555869452291864</v>
      </c>
      <c r="I912" s="128">
        <v>3761813</v>
      </c>
      <c r="J912" s="128">
        <v>3646180</v>
      </c>
      <c r="K912" s="128">
        <v>3616347</v>
      </c>
      <c r="L912" s="128">
        <v>4082460</v>
      </c>
      <c r="M912" s="128">
        <v>4054398</v>
      </c>
      <c r="N912" s="128">
        <v>3974311</v>
      </c>
      <c r="O912" s="128">
        <v>330000</v>
      </c>
    </row>
    <row r="913" spans="1:15">
      <c r="A913" s="132" t="s">
        <v>385</v>
      </c>
      <c r="B913" s="123" t="s">
        <v>386</v>
      </c>
      <c r="C913" s="124">
        <v>450</v>
      </c>
      <c r="D913" s="125">
        <v>748.68900000000008</v>
      </c>
      <c r="E913" s="126">
        <v>72.822000000000003</v>
      </c>
      <c r="F913" s="126">
        <v>37.944200000000002</v>
      </c>
      <c r="G913" s="127">
        <v>10.28108263986158</v>
      </c>
      <c r="H913" s="127">
        <v>11.859520032047058</v>
      </c>
      <c r="I913" s="128">
        <v>3821439</v>
      </c>
      <c r="J913" s="128">
        <v>4480019</v>
      </c>
      <c r="K913" s="128">
        <v>4398403</v>
      </c>
      <c r="L913" s="128">
        <v>4010802</v>
      </c>
      <c r="M913" s="128">
        <v>4679661</v>
      </c>
      <c r="N913" s="128">
        <v>4263702</v>
      </c>
      <c r="O913" s="128">
        <v>825626</v>
      </c>
    </row>
    <row r="914" spans="1:15">
      <c r="A914" s="132" t="s">
        <v>1666</v>
      </c>
      <c r="B914" s="123" t="s">
        <v>1667</v>
      </c>
      <c r="C914" s="124">
        <v>14043</v>
      </c>
      <c r="D914" s="125">
        <v>17268.941999999999</v>
      </c>
      <c r="E914" s="126">
        <v>1985.4001000000001</v>
      </c>
      <c r="F914" s="126">
        <v>987.38959999999997</v>
      </c>
      <c r="G914" s="127">
        <v>8.6979657148198992</v>
      </c>
      <c r="H914" s="127">
        <v>14.222349516340865</v>
      </c>
      <c r="I914" s="128">
        <v>95431680</v>
      </c>
      <c r="J914" s="128">
        <v>89303663</v>
      </c>
      <c r="K914" s="128">
        <v>94590314</v>
      </c>
      <c r="L914" s="128">
        <v>96385000</v>
      </c>
      <c r="M914" s="128">
        <v>91098000</v>
      </c>
      <c r="N914" s="128">
        <v>96404764</v>
      </c>
      <c r="O914" s="128">
        <v>12587137</v>
      </c>
    </row>
    <row r="915" spans="1:15">
      <c r="A915" s="132" t="s">
        <v>1977</v>
      </c>
      <c r="B915" s="123" t="s">
        <v>1978</v>
      </c>
      <c r="C915" s="124">
        <v>319</v>
      </c>
      <c r="D915" s="125">
        <v>591.42100000000005</v>
      </c>
      <c r="E915" s="126">
        <v>54.368700000000004</v>
      </c>
      <c r="F915" s="126">
        <v>28.999700000000001</v>
      </c>
      <c r="G915" s="127">
        <v>10.877968389900808</v>
      </c>
      <c r="H915" s="127">
        <v>11.00011379428063</v>
      </c>
      <c r="I915" s="128">
        <v>3015815</v>
      </c>
      <c r="J915" s="128">
        <v>2954743</v>
      </c>
      <c r="K915" s="128">
        <v>2976279</v>
      </c>
      <c r="L915" s="128">
        <v>3468047</v>
      </c>
      <c r="M915" s="128">
        <v>3275448</v>
      </c>
      <c r="N915" s="128">
        <v>3479847</v>
      </c>
      <c r="O915" s="128">
        <v>651197</v>
      </c>
    </row>
    <row r="916" spans="1:15">
      <c r="A916" s="132" t="s">
        <v>1965</v>
      </c>
      <c r="B916" s="123" t="s">
        <v>1966</v>
      </c>
      <c r="C916" s="124">
        <v>1047</v>
      </c>
      <c r="D916" s="125">
        <v>1504.8210000000001</v>
      </c>
      <c r="E916" s="126">
        <v>194.60429999999999</v>
      </c>
      <c r="F916" s="126">
        <v>103.49590000000001</v>
      </c>
      <c r="G916" s="127">
        <v>7.7327222471445909</v>
      </c>
      <c r="H916" s="127">
        <v>10.116342772998737</v>
      </c>
      <c r="I916" s="128">
        <v>9473478</v>
      </c>
      <c r="J916" s="128">
        <v>9487462</v>
      </c>
      <c r="K916" s="128">
        <v>9604532</v>
      </c>
      <c r="L916" s="128">
        <v>9586758</v>
      </c>
      <c r="M916" s="128">
        <v>9704415</v>
      </c>
      <c r="N916" s="128">
        <v>10112876</v>
      </c>
      <c r="O916" s="128">
        <v>3109513</v>
      </c>
    </row>
    <row r="917" spans="1:15">
      <c r="A917" s="132" t="s">
        <v>786</v>
      </c>
      <c r="B917" s="123" t="s">
        <v>787</v>
      </c>
      <c r="C917" s="124">
        <v>1070</v>
      </c>
      <c r="D917" s="125">
        <v>1541.5360000000001</v>
      </c>
      <c r="E917" s="126">
        <v>173.44839999999999</v>
      </c>
      <c r="F917" s="126">
        <v>92.627700000000004</v>
      </c>
      <c r="G917" s="127">
        <v>8.8875769393087527</v>
      </c>
      <c r="H917" s="127">
        <v>11.551620087727537</v>
      </c>
      <c r="I917" s="128">
        <v>9223304</v>
      </c>
      <c r="J917" s="128">
        <v>9317688</v>
      </c>
      <c r="K917" s="128">
        <v>10003319</v>
      </c>
      <c r="L917" s="128">
        <v>9581358</v>
      </c>
      <c r="M917" s="128">
        <v>9710473</v>
      </c>
      <c r="N917" s="128">
        <v>9989638</v>
      </c>
      <c r="O917" s="128">
        <v>2854951</v>
      </c>
    </row>
    <row r="918" spans="1:15">
      <c r="A918" s="132" t="s">
        <v>1949</v>
      </c>
      <c r="B918" s="123" t="s">
        <v>1950</v>
      </c>
      <c r="C918" s="124">
        <v>274</v>
      </c>
      <c r="D918" s="125">
        <v>417.50200000000001</v>
      </c>
      <c r="E918" s="126">
        <v>41.500799999999998</v>
      </c>
      <c r="F918" s="126">
        <v>21.500699999999998</v>
      </c>
      <c r="G918" s="127">
        <v>10.060095227079961</v>
      </c>
      <c r="H918" s="127">
        <v>12.74377113303288</v>
      </c>
      <c r="I918" s="128">
        <v>2507042</v>
      </c>
      <c r="J918" s="128">
        <v>2325778</v>
      </c>
      <c r="K918" s="128">
        <v>2112433</v>
      </c>
      <c r="L918" s="128">
        <v>2615021</v>
      </c>
      <c r="M918" s="128">
        <v>2523834</v>
      </c>
      <c r="N918" s="128">
        <v>2655529</v>
      </c>
      <c r="O918" s="128">
        <v>1397016</v>
      </c>
    </row>
    <row r="919" spans="1:15">
      <c r="A919" s="132" t="s">
        <v>126</v>
      </c>
      <c r="B919" s="123" t="s">
        <v>127</v>
      </c>
      <c r="C919" s="124">
        <v>85273</v>
      </c>
      <c r="D919" s="125">
        <v>103311.04300000001</v>
      </c>
      <c r="E919" s="126">
        <v>11735.834599999998</v>
      </c>
      <c r="F919" s="126">
        <v>6089.8240999999998</v>
      </c>
      <c r="G919" s="127">
        <v>8.8030418390525043</v>
      </c>
      <c r="H919" s="127">
        <v>14.002539088115862</v>
      </c>
      <c r="I919" s="128">
        <v>721211308</v>
      </c>
      <c r="J919" s="128">
        <v>732082874</v>
      </c>
      <c r="K919" s="128">
        <v>685668455</v>
      </c>
      <c r="L919" s="128">
        <v>690620823</v>
      </c>
      <c r="M919" s="128">
        <v>710280539</v>
      </c>
      <c r="N919" s="128">
        <v>717134491</v>
      </c>
      <c r="O919" s="128">
        <v>148326523</v>
      </c>
    </row>
    <row r="920" spans="1:15">
      <c r="A920" s="132" t="s">
        <v>1480</v>
      </c>
      <c r="B920" s="123" t="s">
        <v>1481</v>
      </c>
      <c r="C920" s="124">
        <v>22657</v>
      </c>
      <c r="D920" s="125">
        <v>27270.048999999999</v>
      </c>
      <c r="E920" s="126">
        <v>2623.9481999999998</v>
      </c>
      <c r="F920" s="126">
        <v>1502.1563000000001</v>
      </c>
      <c r="G920" s="127">
        <v>10.392754323427575</v>
      </c>
      <c r="H920" s="127">
        <v>15.082984373863091</v>
      </c>
      <c r="I920" s="128">
        <v>151343930</v>
      </c>
      <c r="J920" s="128">
        <v>154727802</v>
      </c>
      <c r="K920" s="128">
        <v>148556184</v>
      </c>
      <c r="L920" s="128">
        <v>155006300</v>
      </c>
      <c r="M920" s="128">
        <v>157762405</v>
      </c>
      <c r="N920" s="128">
        <v>155719937</v>
      </c>
      <c r="O920" s="128">
        <v>16625462</v>
      </c>
    </row>
    <row r="921" spans="1:15">
      <c r="A921" s="132" t="s">
        <v>1196</v>
      </c>
      <c r="B921" s="123" t="s">
        <v>1197</v>
      </c>
      <c r="C921" s="124">
        <v>7173</v>
      </c>
      <c r="D921" s="125">
        <v>8587.8320000000003</v>
      </c>
      <c r="E921" s="126">
        <v>959.10310000000004</v>
      </c>
      <c r="F921" s="126">
        <v>494.0917</v>
      </c>
      <c r="G921" s="127">
        <v>8.9540238166261794</v>
      </c>
      <c r="H921" s="127">
        <v>14.517548058386733</v>
      </c>
      <c r="I921" s="128">
        <v>53109951</v>
      </c>
      <c r="J921" s="128">
        <v>54384662</v>
      </c>
      <c r="K921" s="128">
        <v>54052603</v>
      </c>
      <c r="L921" s="128">
        <v>49888397</v>
      </c>
      <c r="M921" s="128">
        <v>54630145</v>
      </c>
      <c r="N921" s="128">
        <v>55687525</v>
      </c>
      <c r="O921" s="128">
        <v>7861632</v>
      </c>
    </row>
    <row r="922" spans="1:15">
      <c r="A922" s="132" t="s">
        <v>585</v>
      </c>
      <c r="B922" s="123" t="s">
        <v>586</v>
      </c>
      <c r="C922" s="124">
        <v>7691</v>
      </c>
      <c r="D922" s="125">
        <v>8410.76</v>
      </c>
      <c r="E922" s="126">
        <v>1098.0255999999999</v>
      </c>
      <c r="F922" s="126">
        <v>575.33249999999998</v>
      </c>
      <c r="G922" s="127">
        <v>7.6598942684032147</v>
      </c>
      <c r="H922" s="127">
        <v>13.367922027697027</v>
      </c>
      <c r="I922" s="128">
        <v>65425178</v>
      </c>
      <c r="J922" s="128">
        <v>65790727</v>
      </c>
      <c r="K922" s="128">
        <v>63810090</v>
      </c>
      <c r="L922" s="128">
        <v>61676903</v>
      </c>
      <c r="M922" s="128">
        <v>61478728</v>
      </c>
      <c r="N922" s="128">
        <v>62269540</v>
      </c>
      <c r="O922" s="128">
        <v>17708164</v>
      </c>
    </row>
    <row r="923" spans="1:15">
      <c r="A923" s="132" t="s">
        <v>529</v>
      </c>
      <c r="B923" s="123" t="s">
        <v>530</v>
      </c>
      <c r="C923" s="124">
        <v>10673</v>
      </c>
      <c r="D923" s="125">
        <v>13446.755000000001</v>
      </c>
      <c r="E923" s="126">
        <v>1491.1254999999999</v>
      </c>
      <c r="F923" s="126">
        <v>762.65300000000002</v>
      </c>
      <c r="G923" s="127">
        <v>9.0178559752348164</v>
      </c>
      <c r="H923" s="127">
        <v>13.994568958622073</v>
      </c>
      <c r="I923" s="128">
        <v>80430350</v>
      </c>
      <c r="J923" s="128">
        <v>79897203</v>
      </c>
      <c r="K923" s="128">
        <v>77509865</v>
      </c>
      <c r="L923" s="128">
        <v>73197482</v>
      </c>
      <c r="M923" s="128">
        <v>76902962</v>
      </c>
      <c r="N923" s="128">
        <v>77549368</v>
      </c>
      <c r="O923" s="128">
        <v>30180140</v>
      </c>
    </row>
    <row r="924" spans="1:15">
      <c r="A924" s="132" t="s">
        <v>1062</v>
      </c>
      <c r="B924" s="123" t="s">
        <v>1063</v>
      </c>
      <c r="C924" s="124">
        <v>1276</v>
      </c>
      <c r="D924" s="125">
        <v>1622.5040000000001</v>
      </c>
      <c r="E924" s="126">
        <v>156.96340000000001</v>
      </c>
      <c r="F924" s="126">
        <v>97.890500000000003</v>
      </c>
      <c r="G924" s="127">
        <v>10.336830114536255</v>
      </c>
      <c r="H924" s="127">
        <v>13.034972750164725</v>
      </c>
      <c r="I924" s="128">
        <v>11196362</v>
      </c>
      <c r="J924" s="128">
        <v>11344462</v>
      </c>
      <c r="K924" s="128">
        <v>11681046</v>
      </c>
      <c r="L924" s="128">
        <v>11271372</v>
      </c>
      <c r="M924" s="128">
        <v>11451453</v>
      </c>
      <c r="N924" s="128">
        <v>11657129</v>
      </c>
      <c r="O924" s="128">
        <v>1773904</v>
      </c>
    </row>
    <row r="925" spans="1:15">
      <c r="A925" s="132" t="s">
        <v>1066</v>
      </c>
      <c r="B925" s="123" t="s">
        <v>1067</v>
      </c>
      <c r="C925" s="124">
        <v>6940</v>
      </c>
      <c r="D925" s="125">
        <v>7605</v>
      </c>
      <c r="E925" s="126">
        <v>932.56920000000002</v>
      </c>
      <c r="F925" s="126">
        <v>473.45370000000003</v>
      </c>
      <c r="G925" s="127">
        <v>8.1548908113199534</v>
      </c>
      <c r="H925" s="127">
        <v>14.658244301396314</v>
      </c>
      <c r="I925" s="128">
        <v>51314840</v>
      </c>
      <c r="J925" s="128">
        <v>54314855</v>
      </c>
      <c r="K925" s="128">
        <v>49344062</v>
      </c>
      <c r="L925" s="128">
        <v>50966073</v>
      </c>
      <c r="M925" s="128">
        <v>52686470</v>
      </c>
      <c r="N925" s="128">
        <v>50934305</v>
      </c>
      <c r="O925" s="128">
        <v>23687622</v>
      </c>
    </row>
    <row r="926" spans="1:15">
      <c r="A926" s="132" t="s">
        <v>802</v>
      </c>
      <c r="B926" s="123" t="s">
        <v>803</v>
      </c>
      <c r="C926" s="124">
        <v>729</v>
      </c>
      <c r="D926" s="125">
        <v>1245.1410000000001</v>
      </c>
      <c r="E926" s="126">
        <v>142.7561</v>
      </c>
      <c r="F926" s="126">
        <v>65.607399999999998</v>
      </c>
      <c r="G926" s="127">
        <v>8.7221561810668682</v>
      </c>
      <c r="H926" s="127">
        <v>11.111551440843563</v>
      </c>
      <c r="I926" s="128">
        <v>6633662</v>
      </c>
      <c r="J926" s="128">
        <v>6585755</v>
      </c>
      <c r="K926" s="128">
        <v>6790990</v>
      </c>
      <c r="L926" s="128">
        <v>6576696</v>
      </c>
      <c r="M926" s="128">
        <v>6811349</v>
      </c>
      <c r="N926" s="128">
        <v>7232480</v>
      </c>
      <c r="O926" s="128">
        <v>2643176</v>
      </c>
    </row>
    <row r="927" spans="1:15">
      <c r="A927" s="132" t="s">
        <v>1908</v>
      </c>
      <c r="B927" s="123" t="s">
        <v>1909</v>
      </c>
      <c r="C927" s="124">
        <v>1201</v>
      </c>
      <c r="D927" s="125">
        <v>1683.9280000000001</v>
      </c>
      <c r="E927" s="126">
        <v>195.1225</v>
      </c>
      <c r="F927" s="126">
        <v>95.110100000000003</v>
      </c>
      <c r="G927" s="127">
        <v>8.6301067278248276</v>
      </c>
      <c r="H927" s="127">
        <v>12.627470689232794</v>
      </c>
      <c r="I927" s="128">
        <v>9181473</v>
      </c>
      <c r="J927" s="128">
        <v>9507314</v>
      </c>
      <c r="K927" s="128">
        <v>9308565</v>
      </c>
      <c r="L927" s="128">
        <v>9181479</v>
      </c>
      <c r="M927" s="128">
        <v>9099750</v>
      </c>
      <c r="N927" s="128">
        <v>9422128</v>
      </c>
      <c r="O927" s="128">
        <v>2522281</v>
      </c>
    </row>
    <row r="928" spans="1:15">
      <c r="A928" s="132" t="s">
        <v>353</v>
      </c>
      <c r="B928" s="123" t="s">
        <v>352</v>
      </c>
      <c r="C928" s="124">
        <v>161</v>
      </c>
      <c r="D928" s="125">
        <v>253.55100000000002</v>
      </c>
      <c r="E928" s="126">
        <v>29.799399999999999</v>
      </c>
      <c r="F928" s="126">
        <v>14.9999</v>
      </c>
      <c r="G928" s="127">
        <v>8.5085941327677741</v>
      </c>
      <c r="H928" s="127">
        <v>10.733404889365929</v>
      </c>
      <c r="I928" s="128">
        <v>1467375</v>
      </c>
      <c r="J928" s="128">
        <v>1433815</v>
      </c>
      <c r="K928" s="128">
        <v>1629976</v>
      </c>
      <c r="L928" s="128">
        <v>1503370</v>
      </c>
      <c r="M928" s="128">
        <v>1492430</v>
      </c>
      <c r="N928" s="128">
        <v>1530028</v>
      </c>
      <c r="O928" s="128">
        <v>-107854</v>
      </c>
    </row>
    <row r="929" spans="1:15">
      <c r="A929" s="132" t="s">
        <v>102</v>
      </c>
      <c r="B929" s="123" t="s">
        <v>103</v>
      </c>
      <c r="C929" s="124">
        <v>194</v>
      </c>
      <c r="D929" s="125">
        <v>320.68700000000001</v>
      </c>
      <c r="E929" s="126">
        <v>39.444800000000001</v>
      </c>
      <c r="F929" s="126">
        <v>20.534199999999998</v>
      </c>
      <c r="G929" s="127">
        <v>8.1300196730621028</v>
      </c>
      <c r="H929" s="127">
        <v>9.4476531834695301</v>
      </c>
      <c r="I929" s="128">
        <v>2119150</v>
      </c>
      <c r="J929" s="128">
        <v>2040547</v>
      </c>
      <c r="K929" s="128">
        <v>2063783</v>
      </c>
      <c r="L929" s="128">
        <v>2041700</v>
      </c>
      <c r="M929" s="128">
        <v>2002700</v>
      </c>
      <c r="N929" s="128">
        <v>1998979</v>
      </c>
      <c r="O929" s="128">
        <v>232591</v>
      </c>
    </row>
    <row r="930" spans="1:15">
      <c r="A930" s="132" t="s">
        <v>419</v>
      </c>
      <c r="B930" s="123" t="s">
        <v>420</v>
      </c>
      <c r="C930" s="124">
        <v>468</v>
      </c>
      <c r="D930" s="125">
        <v>744.62300000000005</v>
      </c>
      <c r="E930" s="126">
        <v>71.856099999999998</v>
      </c>
      <c r="F930" s="126">
        <v>37.760599999999997</v>
      </c>
      <c r="G930" s="127">
        <v>10.362697112701637</v>
      </c>
      <c r="H930" s="127">
        <v>12.39387086010286</v>
      </c>
      <c r="I930" s="128">
        <v>4336609</v>
      </c>
      <c r="J930" s="128">
        <v>4038363</v>
      </c>
      <c r="K930" s="128">
        <v>4043567</v>
      </c>
      <c r="L930" s="128">
        <v>4639972</v>
      </c>
      <c r="M930" s="128">
        <v>3956117</v>
      </c>
      <c r="N930" s="128">
        <v>4183938</v>
      </c>
      <c r="O930" s="128">
        <v>930709</v>
      </c>
    </row>
    <row r="931" spans="1:15">
      <c r="A931" s="132" t="s">
        <v>2069</v>
      </c>
      <c r="B931" s="123" t="s">
        <v>2070</v>
      </c>
      <c r="C931" s="124">
        <v>1276</v>
      </c>
      <c r="D931" s="125">
        <v>1993.902</v>
      </c>
      <c r="E931" s="126">
        <v>279.54790000000003</v>
      </c>
      <c r="F931" s="126">
        <v>119.8069</v>
      </c>
      <c r="G931" s="127">
        <v>7.1325951652650579</v>
      </c>
      <c r="H931" s="127">
        <v>10.650471717405258</v>
      </c>
      <c r="I931" s="128">
        <v>12640645</v>
      </c>
      <c r="J931" s="128">
        <v>13387912</v>
      </c>
      <c r="K931" s="128">
        <v>13771427</v>
      </c>
      <c r="L931" s="128">
        <v>14206500</v>
      </c>
      <c r="M931" s="128">
        <v>14033532</v>
      </c>
      <c r="N931" s="128">
        <v>13853150</v>
      </c>
      <c r="O931" s="128">
        <v>2755788</v>
      </c>
    </row>
    <row r="932" spans="1:15">
      <c r="A932" s="132" t="s">
        <v>1973</v>
      </c>
      <c r="B932" s="123" t="s">
        <v>1974</v>
      </c>
      <c r="C932" s="124">
        <v>1239</v>
      </c>
      <c r="D932" s="125">
        <v>1601.7149999999999</v>
      </c>
      <c r="E932" s="126">
        <v>182.88549999999998</v>
      </c>
      <c r="F932" s="126">
        <v>96.652299999999997</v>
      </c>
      <c r="G932" s="127">
        <v>8.7580207288166658</v>
      </c>
      <c r="H932" s="127">
        <v>12.819146569714327</v>
      </c>
      <c r="I932" s="128">
        <v>9586000</v>
      </c>
      <c r="J932" s="128">
        <v>9633504</v>
      </c>
      <c r="K932" s="128">
        <v>9036328</v>
      </c>
      <c r="L932" s="128">
        <v>9627998</v>
      </c>
      <c r="M932" s="128">
        <v>9676428</v>
      </c>
      <c r="N932" s="128">
        <v>9267062</v>
      </c>
      <c r="O932" s="128">
        <v>3209281</v>
      </c>
    </row>
    <row r="933" spans="1:15">
      <c r="A933" s="132" t="s">
        <v>1810</v>
      </c>
      <c r="B933" s="123" t="s">
        <v>1811</v>
      </c>
      <c r="C933" s="124">
        <v>380</v>
      </c>
      <c r="D933" s="125">
        <v>584.03300000000002</v>
      </c>
      <c r="E933" s="126">
        <v>66.126099999999994</v>
      </c>
      <c r="F933" s="126">
        <v>36.403300000000002</v>
      </c>
      <c r="G933" s="127">
        <v>8.8321101652751342</v>
      </c>
      <c r="H933" s="127">
        <v>10.438614081690396</v>
      </c>
      <c r="I933" s="128">
        <v>3017589</v>
      </c>
      <c r="J933" s="128">
        <v>3344606</v>
      </c>
      <c r="K933" s="128">
        <v>3335953</v>
      </c>
      <c r="L933" s="128">
        <v>3132683</v>
      </c>
      <c r="M933" s="128">
        <v>3500651</v>
      </c>
      <c r="N933" s="128">
        <v>3290625</v>
      </c>
      <c r="O933" s="128">
        <v>1361682</v>
      </c>
    </row>
    <row r="934" spans="1:15">
      <c r="A934" s="132" t="s">
        <v>369</v>
      </c>
      <c r="B934" s="123" t="s">
        <v>370</v>
      </c>
      <c r="C934" s="124">
        <v>183</v>
      </c>
      <c r="D934" s="125">
        <v>300.36700000000002</v>
      </c>
      <c r="E934" s="126">
        <v>35.503500000000003</v>
      </c>
      <c r="F934" s="126">
        <v>16.246500000000001</v>
      </c>
      <c r="G934" s="127">
        <v>8.4602081484924021</v>
      </c>
      <c r="H934" s="127">
        <v>11.263964546209952</v>
      </c>
      <c r="I934" s="128">
        <v>1777139</v>
      </c>
      <c r="J934" s="128">
        <v>1603755</v>
      </c>
      <c r="K934" s="128">
        <v>1717605</v>
      </c>
      <c r="L934" s="128">
        <v>1834264</v>
      </c>
      <c r="M934" s="128">
        <v>1661455</v>
      </c>
      <c r="N934" s="128">
        <v>1471336</v>
      </c>
      <c r="O934" s="128">
        <v>111710</v>
      </c>
    </row>
    <row r="935" spans="1:15">
      <c r="A935" s="132" t="s">
        <v>182</v>
      </c>
      <c r="B935" s="123" t="s">
        <v>181</v>
      </c>
      <c r="C935" s="124">
        <v>708</v>
      </c>
      <c r="D935" s="125">
        <v>1101.1559999999999</v>
      </c>
      <c r="E935" s="126">
        <v>147.0573</v>
      </c>
      <c r="F935" s="126">
        <v>70.732699999999994</v>
      </c>
      <c r="G935" s="127">
        <v>7.4879383750415656</v>
      </c>
      <c r="H935" s="127">
        <v>10.009514694052399</v>
      </c>
      <c r="I935" s="128">
        <v>5967565</v>
      </c>
      <c r="J935" s="128">
        <v>5917042</v>
      </c>
      <c r="K935" s="128">
        <v>6139837</v>
      </c>
      <c r="L935" s="128">
        <v>6265578</v>
      </c>
      <c r="M935" s="128">
        <v>6116538</v>
      </c>
      <c r="N935" s="128">
        <v>6198507</v>
      </c>
      <c r="O935" s="128">
        <v>2080845</v>
      </c>
    </row>
    <row r="936" spans="1:15">
      <c r="A936" s="132" t="s">
        <v>740</v>
      </c>
      <c r="B936" s="123" t="s">
        <v>741</v>
      </c>
      <c r="C936" s="124">
        <v>2422</v>
      </c>
      <c r="D936" s="125">
        <v>3000.08</v>
      </c>
      <c r="E936" s="126">
        <v>373.89929999999998</v>
      </c>
      <c r="F936" s="126">
        <v>193.0565</v>
      </c>
      <c r="G936" s="127">
        <v>8.0237646874439186</v>
      </c>
      <c r="H936" s="127">
        <v>12.545550136877027</v>
      </c>
      <c r="I936" s="128">
        <v>18195594</v>
      </c>
      <c r="J936" s="128">
        <v>18198715</v>
      </c>
      <c r="K936" s="128">
        <v>18424917</v>
      </c>
      <c r="L936" s="128">
        <v>18768226</v>
      </c>
      <c r="M936" s="128">
        <v>18860706</v>
      </c>
      <c r="N936" s="128">
        <v>19008429</v>
      </c>
      <c r="O936" s="128">
        <v>2924171</v>
      </c>
    </row>
    <row r="937" spans="1:15">
      <c r="A937" s="132" t="s">
        <v>1424</v>
      </c>
      <c r="B937" s="123" t="s">
        <v>1425</v>
      </c>
      <c r="C937" s="124">
        <v>843</v>
      </c>
      <c r="D937" s="125">
        <v>1307.1190000000001</v>
      </c>
      <c r="E937" s="126">
        <v>151.233</v>
      </c>
      <c r="F937" s="126">
        <v>71.359800000000007</v>
      </c>
      <c r="G937" s="127">
        <v>8.643080544590136</v>
      </c>
      <c r="H937" s="127">
        <v>11.813373916406714</v>
      </c>
      <c r="I937" s="128">
        <v>6784373</v>
      </c>
      <c r="J937" s="128">
        <v>10095024</v>
      </c>
      <c r="K937" s="128">
        <v>6737704</v>
      </c>
      <c r="L937" s="128">
        <v>7016387</v>
      </c>
      <c r="M937" s="128">
        <v>7337008</v>
      </c>
      <c r="N937" s="128">
        <v>7139064</v>
      </c>
      <c r="O937" s="128">
        <v>1524248</v>
      </c>
    </row>
    <row r="938" spans="1:15">
      <c r="A938" s="132" t="s">
        <v>1924</v>
      </c>
      <c r="B938" s="123" t="s">
        <v>1925</v>
      </c>
      <c r="C938" s="124">
        <v>309</v>
      </c>
      <c r="D938" s="125">
        <v>473.84900000000005</v>
      </c>
      <c r="E938" s="126">
        <v>59.7333</v>
      </c>
      <c r="F938" s="126">
        <v>32.000399999999999</v>
      </c>
      <c r="G938" s="127">
        <v>7.9327443821118209</v>
      </c>
      <c r="H938" s="127">
        <v>9.656129298383771</v>
      </c>
      <c r="I938" s="128">
        <v>3239020</v>
      </c>
      <c r="J938" s="128">
        <v>3164571</v>
      </c>
      <c r="K938" s="128">
        <v>3280224</v>
      </c>
      <c r="L938" s="128">
        <v>2474474</v>
      </c>
      <c r="M938" s="128">
        <v>2775189</v>
      </c>
      <c r="N938" s="128">
        <v>2743406</v>
      </c>
      <c r="O938" s="128">
        <v>1290040</v>
      </c>
    </row>
    <row r="939" spans="1:15">
      <c r="A939" s="132" t="s">
        <v>838</v>
      </c>
      <c r="B939" s="123" t="s">
        <v>839</v>
      </c>
      <c r="C939" s="124">
        <v>1079</v>
      </c>
      <c r="D939" s="125">
        <v>1476.8140000000001</v>
      </c>
      <c r="E939" s="126">
        <v>164.2037</v>
      </c>
      <c r="F939" s="126">
        <v>82.813599999999994</v>
      </c>
      <c r="G939" s="127">
        <v>8.9937924663086157</v>
      </c>
      <c r="H939" s="127">
        <v>13.029260894345857</v>
      </c>
      <c r="I939" s="128">
        <v>8710176</v>
      </c>
      <c r="J939" s="128">
        <v>8828917</v>
      </c>
      <c r="K939" s="128">
        <v>8614584</v>
      </c>
      <c r="L939" s="128">
        <v>8883272</v>
      </c>
      <c r="M939" s="128">
        <v>9174044</v>
      </c>
      <c r="N939" s="128">
        <v>8443272</v>
      </c>
      <c r="O939" s="128">
        <v>1450651</v>
      </c>
    </row>
    <row r="940" spans="1:15">
      <c r="A940" s="132" t="s">
        <v>1363</v>
      </c>
      <c r="B940" s="123" t="s">
        <v>1364</v>
      </c>
      <c r="C940" s="124">
        <v>986</v>
      </c>
      <c r="D940" s="125">
        <v>1352.731</v>
      </c>
      <c r="E940" s="126">
        <v>155.1508</v>
      </c>
      <c r="F940" s="126">
        <v>81.718599999999995</v>
      </c>
      <c r="G940" s="127">
        <v>8.7188142117217566</v>
      </c>
      <c r="H940" s="127">
        <v>12.065796526127468</v>
      </c>
      <c r="I940" s="128">
        <v>7882813</v>
      </c>
      <c r="J940" s="128">
        <v>7607194</v>
      </c>
      <c r="K940" s="128">
        <v>8024383</v>
      </c>
      <c r="L940" s="128">
        <v>8182782</v>
      </c>
      <c r="M940" s="128">
        <v>7969818</v>
      </c>
      <c r="N940" s="128">
        <v>7975822</v>
      </c>
      <c r="O940" s="128">
        <v>332470</v>
      </c>
    </row>
    <row r="941" spans="1:15">
      <c r="A941" s="132" t="s">
        <v>1922</v>
      </c>
      <c r="B941" s="123" t="s">
        <v>1923</v>
      </c>
      <c r="C941" s="124">
        <v>750</v>
      </c>
      <c r="D941" s="125">
        <v>1048.4570000000001</v>
      </c>
      <c r="E941" s="126">
        <v>113.34</v>
      </c>
      <c r="F941" s="126">
        <v>60.836100000000002</v>
      </c>
      <c r="G941" s="127">
        <v>9.2505470266454921</v>
      </c>
      <c r="H941" s="127">
        <v>12.328206443213816</v>
      </c>
      <c r="I941" s="128">
        <v>6202525</v>
      </c>
      <c r="J941" s="128">
        <v>6452897</v>
      </c>
      <c r="K941" s="128">
        <v>6293312</v>
      </c>
      <c r="L941" s="128">
        <v>6408402</v>
      </c>
      <c r="M941" s="128">
        <v>6721854</v>
      </c>
      <c r="N941" s="128">
        <v>7125401</v>
      </c>
      <c r="O941" s="128">
        <v>2344947</v>
      </c>
    </row>
    <row r="942" spans="1:15">
      <c r="A942" s="132" t="s">
        <v>1232</v>
      </c>
      <c r="B942" s="123" t="s">
        <v>1233</v>
      </c>
      <c r="C942" s="124">
        <v>483</v>
      </c>
      <c r="D942" s="125">
        <v>836.75600000000009</v>
      </c>
      <c r="E942" s="126">
        <v>100.88220000000001</v>
      </c>
      <c r="F942" s="126">
        <v>46.549799999999998</v>
      </c>
      <c r="G942" s="127">
        <v>8.294386918604074</v>
      </c>
      <c r="H942" s="127">
        <v>10.375984429578645</v>
      </c>
      <c r="I942" s="128">
        <v>8598433</v>
      </c>
      <c r="J942" s="128">
        <v>7719647</v>
      </c>
      <c r="K942" s="128">
        <v>8014974</v>
      </c>
      <c r="L942" s="128">
        <v>6459200</v>
      </c>
      <c r="M942" s="128">
        <v>6386966</v>
      </c>
      <c r="N942" s="128">
        <v>6897063</v>
      </c>
      <c r="O942" s="128">
        <v>926729</v>
      </c>
    </row>
    <row r="943" spans="1:15">
      <c r="A943" s="132" t="s">
        <v>1560</v>
      </c>
      <c r="B943" s="123" t="s">
        <v>1561</v>
      </c>
      <c r="C943" s="124">
        <v>228</v>
      </c>
      <c r="D943" s="125">
        <v>424.089</v>
      </c>
      <c r="E943" s="126">
        <v>50.904699999999998</v>
      </c>
      <c r="F943" s="126">
        <v>21.0962</v>
      </c>
      <c r="G943" s="127">
        <v>8.3310381949014527</v>
      </c>
      <c r="H943" s="127">
        <v>10.807633602260124</v>
      </c>
      <c r="I943" s="128">
        <v>3577156</v>
      </c>
      <c r="J943" s="128">
        <v>5304617</v>
      </c>
      <c r="K943" s="128">
        <v>3583326</v>
      </c>
      <c r="L943" s="128">
        <v>4856826</v>
      </c>
      <c r="M943" s="128">
        <v>5270483</v>
      </c>
      <c r="N943" s="128">
        <v>5102854</v>
      </c>
      <c r="O943" s="128">
        <v>2219572</v>
      </c>
    </row>
    <row r="944" spans="1:15">
      <c r="A944" s="132" t="s">
        <v>1028</v>
      </c>
      <c r="B944" s="123" t="s">
        <v>1029</v>
      </c>
      <c r="C944" s="124">
        <v>255</v>
      </c>
      <c r="D944" s="125">
        <v>386.78300000000002</v>
      </c>
      <c r="E944" s="126">
        <v>43.451999999999998</v>
      </c>
      <c r="F944" s="126">
        <v>20.952000000000002</v>
      </c>
      <c r="G944" s="127">
        <v>8.9013854368038299</v>
      </c>
      <c r="H944" s="127">
        <v>12.170675830469644</v>
      </c>
      <c r="I944" s="128">
        <v>2233359</v>
      </c>
      <c r="J944" s="128">
        <v>2088400</v>
      </c>
      <c r="K944" s="128">
        <v>2393201</v>
      </c>
      <c r="L944" s="128">
        <v>2233364</v>
      </c>
      <c r="M944" s="128">
        <v>2048400</v>
      </c>
      <c r="N944" s="128">
        <v>2005257</v>
      </c>
      <c r="O944" s="128">
        <v>387716</v>
      </c>
    </row>
    <row r="945" spans="1:15">
      <c r="A945" s="132" t="s">
        <v>1650</v>
      </c>
      <c r="B945" s="123" t="s">
        <v>1651</v>
      </c>
      <c r="C945" s="124">
        <v>525</v>
      </c>
      <c r="D945" s="125">
        <v>957.4670000000001</v>
      </c>
      <c r="E945" s="126">
        <v>91.200900000000004</v>
      </c>
      <c r="F945" s="126">
        <v>44.121600000000001</v>
      </c>
      <c r="G945" s="127">
        <v>10.49843806365946</v>
      </c>
      <c r="H945" s="127">
        <v>11.898933855526545</v>
      </c>
      <c r="I945" s="128">
        <v>6050889</v>
      </c>
      <c r="J945" s="128">
        <v>6370016</v>
      </c>
      <c r="K945" s="128">
        <v>5477418</v>
      </c>
      <c r="L945" s="128">
        <v>5300893</v>
      </c>
      <c r="M945" s="128">
        <v>5287167</v>
      </c>
      <c r="N945" s="128">
        <v>5520502</v>
      </c>
      <c r="O945" s="128">
        <v>1482612</v>
      </c>
    </row>
    <row r="946" spans="1:15">
      <c r="A946" s="132" t="s">
        <v>1930</v>
      </c>
      <c r="B946" s="123" t="s">
        <v>1931</v>
      </c>
      <c r="C946" s="124">
        <v>4888</v>
      </c>
      <c r="D946" s="125">
        <v>6177.4369999999999</v>
      </c>
      <c r="E946" s="126">
        <v>723.46340000000009</v>
      </c>
      <c r="F946" s="126">
        <v>356.98039999999997</v>
      </c>
      <c r="G946" s="127">
        <v>8.5387000918083746</v>
      </c>
      <c r="H946" s="127">
        <v>13.692628502853379</v>
      </c>
      <c r="I946" s="128">
        <v>34952029</v>
      </c>
      <c r="J946" s="128">
        <v>32366421</v>
      </c>
      <c r="K946" s="128">
        <v>35350127</v>
      </c>
      <c r="L946" s="128">
        <v>35546122</v>
      </c>
      <c r="M946" s="128">
        <v>32671673</v>
      </c>
      <c r="N946" s="128">
        <v>34080974</v>
      </c>
      <c r="O946" s="128">
        <v>1243953</v>
      </c>
    </row>
    <row r="947" spans="1:15">
      <c r="A947" s="132" t="s">
        <v>1928</v>
      </c>
      <c r="B947" s="123" t="s">
        <v>1929</v>
      </c>
      <c r="C947" s="124">
        <v>209</v>
      </c>
      <c r="D947" s="125">
        <v>371.971</v>
      </c>
      <c r="E947" s="126">
        <v>39.980899999999998</v>
      </c>
      <c r="F947" s="126">
        <v>21.847999999999999</v>
      </c>
      <c r="G947" s="127">
        <v>9.3037175251182447</v>
      </c>
      <c r="H947" s="127">
        <v>9.5660930062248273</v>
      </c>
      <c r="I947" s="128">
        <v>2577439</v>
      </c>
      <c r="J947" s="128">
        <v>2544012</v>
      </c>
      <c r="K947" s="128">
        <v>2429421</v>
      </c>
      <c r="L947" s="128">
        <v>2760610</v>
      </c>
      <c r="M947" s="128">
        <v>2615135</v>
      </c>
      <c r="N947" s="128">
        <v>2688834</v>
      </c>
      <c r="O947" s="128">
        <v>977568</v>
      </c>
    </row>
    <row r="948" spans="1:15">
      <c r="A948" s="132" t="s">
        <v>1678</v>
      </c>
      <c r="B948" s="123" t="s">
        <v>1679</v>
      </c>
      <c r="C948" s="124">
        <v>10346</v>
      </c>
      <c r="D948" s="125">
        <v>13074.67</v>
      </c>
      <c r="E948" s="126">
        <v>1397.2343000000001</v>
      </c>
      <c r="F948" s="126">
        <v>653.57270000000005</v>
      </c>
      <c r="G948" s="127">
        <v>9.3575358119965983</v>
      </c>
      <c r="H948" s="127">
        <v>15.829914560384788</v>
      </c>
      <c r="I948" s="128">
        <v>76640554</v>
      </c>
      <c r="J948" s="128">
        <v>77118748</v>
      </c>
      <c r="K948" s="128">
        <v>65692731</v>
      </c>
      <c r="L948" s="128">
        <v>69121215</v>
      </c>
      <c r="M948" s="128">
        <v>70611082</v>
      </c>
      <c r="N948" s="128">
        <v>69346501</v>
      </c>
      <c r="O948" s="128">
        <v>30313071</v>
      </c>
    </row>
    <row r="949" spans="1:15">
      <c r="A949" s="132" t="s">
        <v>439</v>
      </c>
      <c r="B949" s="123" t="s">
        <v>440</v>
      </c>
      <c r="C949" s="124">
        <v>210</v>
      </c>
      <c r="D949" s="125">
        <v>369.07499999999999</v>
      </c>
      <c r="E949" s="126">
        <v>33.905500000000004</v>
      </c>
      <c r="F949" s="126">
        <v>20.001799999999999</v>
      </c>
      <c r="G949" s="127">
        <v>10.885402073409919</v>
      </c>
      <c r="H949" s="127">
        <v>10.499055085042347</v>
      </c>
      <c r="I949" s="128">
        <v>2353704</v>
      </c>
      <c r="J949" s="128">
        <v>2437457</v>
      </c>
      <c r="K949" s="128">
        <v>2272588</v>
      </c>
      <c r="L949" s="128">
        <v>2614692</v>
      </c>
      <c r="M949" s="128">
        <v>2639659</v>
      </c>
      <c r="N949" s="128">
        <v>2474973</v>
      </c>
      <c r="O949" s="128">
        <v>441700</v>
      </c>
    </row>
    <row r="950" spans="1:15">
      <c r="A950" s="132" t="s">
        <v>321</v>
      </c>
      <c r="B950" s="123" t="s">
        <v>322</v>
      </c>
      <c r="C950" s="124">
        <v>2019</v>
      </c>
      <c r="D950" s="125">
        <v>2548.2420000000002</v>
      </c>
      <c r="E950" s="126">
        <v>232.9359</v>
      </c>
      <c r="F950" s="126">
        <v>143.02979999999999</v>
      </c>
      <c r="G950" s="127">
        <v>10.939670527385431</v>
      </c>
      <c r="H950" s="127">
        <v>14.115939475549851</v>
      </c>
      <c r="I950" s="128">
        <v>14177196</v>
      </c>
      <c r="J950" s="128">
        <v>14049297</v>
      </c>
      <c r="K950" s="128">
        <v>13226544</v>
      </c>
      <c r="L950" s="128">
        <v>14865198</v>
      </c>
      <c r="M950" s="128">
        <v>14765138</v>
      </c>
      <c r="N950" s="128">
        <v>14926938</v>
      </c>
      <c r="O950" s="128">
        <v>3657203</v>
      </c>
    </row>
    <row r="951" spans="1:15">
      <c r="A951" s="132" t="s">
        <v>607</v>
      </c>
      <c r="B951" s="123" t="s">
        <v>606</v>
      </c>
      <c r="C951" s="124">
        <v>901</v>
      </c>
      <c r="D951" s="125">
        <v>1321.2240000000002</v>
      </c>
      <c r="E951" s="126">
        <v>171.6524</v>
      </c>
      <c r="F951" s="126">
        <v>80.721900000000005</v>
      </c>
      <c r="G951" s="127">
        <v>7.6970901659400051</v>
      </c>
      <c r="H951" s="127">
        <v>11.16177889767213</v>
      </c>
      <c r="I951" s="128">
        <v>7728454</v>
      </c>
      <c r="J951" s="128">
        <v>7514812</v>
      </c>
      <c r="K951" s="128">
        <v>8116591</v>
      </c>
      <c r="L951" s="128">
        <v>8016055</v>
      </c>
      <c r="M951" s="128">
        <v>7893814</v>
      </c>
      <c r="N951" s="128">
        <v>7725829</v>
      </c>
      <c r="O951" s="128">
        <v>821308</v>
      </c>
    </row>
    <row r="952" spans="1:15">
      <c r="A952" s="132" t="s">
        <v>776</v>
      </c>
      <c r="B952" s="123" t="s">
        <v>777</v>
      </c>
      <c r="C952" s="124">
        <v>1102</v>
      </c>
      <c r="D952" s="125">
        <v>1536.057</v>
      </c>
      <c r="E952" s="126">
        <v>162.56200000000001</v>
      </c>
      <c r="F952" s="126">
        <v>86.320899999999995</v>
      </c>
      <c r="G952" s="127">
        <v>9.4490532842853803</v>
      </c>
      <c r="H952" s="127">
        <v>12.766317311334799</v>
      </c>
      <c r="I952" s="128">
        <v>9597837</v>
      </c>
      <c r="J952" s="128">
        <v>9738213</v>
      </c>
      <c r="K952" s="128">
        <v>8362208</v>
      </c>
      <c r="L952" s="128">
        <v>10133638</v>
      </c>
      <c r="M952" s="128">
        <v>10147450</v>
      </c>
      <c r="N952" s="128">
        <v>10445543</v>
      </c>
      <c r="O952" s="128">
        <v>5155734</v>
      </c>
    </row>
    <row r="953" spans="1:15">
      <c r="A953" s="132" t="s">
        <v>1214</v>
      </c>
      <c r="B953" s="123" t="s">
        <v>1215</v>
      </c>
      <c r="C953" s="124">
        <v>489</v>
      </c>
      <c r="D953" s="125">
        <v>748.23599999999999</v>
      </c>
      <c r="E953" s="126">
        <v>80.604700000000008</v>
      </c>
      <c r="F953" s="126">
        <v>44.58</v>
      </c>
      <c r="G953" s="127">
        <v>9.2827837582671968</v>
      </c>
      <c r="H953" s="127">
        <v>10.969044414535666</v>
      </c>
      <c r="I953" s="128">
        <v>4451002</v>
      </c>
      <c r="J953" s="128">
        <v>4091363</v>
      </c>
      <c r="K953" s="128">
        <v>4005147</v>
      </c>
      <c r="L953" s="128">
        <v>4519435</v>
      </c>
      <c r="M953" s="128">
        <v>4280377</v>
      </c>
      <c r="N953" s="128">
        <v>4371777</v>
      </c>
      <c r="O953" s="128">
        <v>1768432</v>
      </c>
    </row>
    <row r="954" spans="1:15">
      <c r="A954" s="132" t="s">
        <v>1941</v>
      </c>
      <c r="B954" s="123" t="s">
        <v>1942</v>
      </c>
      <c r="C954" s="124">
        <v>2308</v>
      </c>
      <c r="D954" s="125">
        <v>2904.4059999999999</v>
      </c>
      <c r="E954" s="126">
        <v>334.97919999999999</v>
      </c>
      <c r="F954" s="126">
        <v>165.5573</v>
      </c>
      <c r="G954" s="127">
        <v>8.6704069984046779</v>
      </c>
      <c r="H954" s="127">
        <v>13.940792704399021</v>
      </c>
      <c r="I954" s="128">
        <v>17677249</v>
      </c>
      <c r="J954" s="128">
        <v>17286293</v>
      </c>
      <c r="K954" s="128">
        <v>18285730</v>
      </c>
      <c r="L954" s="128">
        <v>16984722</v>
      </c>
      <c r="M954" s="128">
        <v>17613304</v>
      </c>
      <c r="N954" s="128">
        <v>17694293</v>
      </c>
      <c r="O954" s="128">
        <v>2588409</v>
      </c>
    </row>
    <row r="955" spans="1:15">
      <c r="A955" s="132" t="s">
        <v>2043</v>
      </c>
      <c r="B955" s="123" t="s">
        <v>2044</v>
      </c>
      <c r="C955" s="124">
        <v>2620</v>
      </c>
      <c r="D955" s="125">
        <v>3431.12</v>
      </c>
      <c r="E955" s="126">
        <v>392.67419999999998</v>
      </c>
      <c r="F955" s="126">
        <v>192.34</v>
      </c>
      <c r="G955" s="127">
        <v>8.7378289686462729</v>
      </c>
      <c r="H955" s="127">
        <v>13.621711552459187</v>
      </c>
      <c r="I955" s="128">
        <v>21885998</v>
      </c>
      <c r="J955" s="128">
        <v>19503564</v>
      </c>
      <c r="K955" s="128">
        <v>22003031</v>
      </c>
      <c r="L955" s="128">
        <v>19885994</v>
      </c>
      <c r="M955" s="128">
        <v>18983578</v>
      </c>
      <c r="N955" s="128">
        <v>19648876</v>
      </c>
      <c r="O955" s="128">
        <v>4375575</v>
      </c>
    </row>
    <row r="956" spans="1:15">
      <c r="A956" s="132" t="s">
        <v>704</v>
      </c>
      <c r="B956" s="123" t="s">
        <v>705</v>
      </c>
      <c r="C956" s="124">
        <v>430</v>
      </c>
      <c r="D956" s="125">
        <v>666.90700000000004</v>
      </c>
      <c r="E956" s="126">
        <v>76.161000000000001</v>
      </c>
      <c r="F956" s="126">
        <v>35.503500000000003</v>
      </c>
      <c r="G956" s="127">
        <v>8.7565420622103183</v>
      </c>
      <c r="H956" s="127">
        <v>12.111481966566675</v>
      </c>
      <c r="I956" s="128">
        <v>3446708</v>
      </c>
      <c r="J956" s="128">
        <v>3419019</v>
      </c>
      <c r="K956" s="128">
        <v>3304214</v>
      </c>
      <c r="L956" s="128">
        <v>3519991</v>
      </c>
      <c r="M956" s="128">
        <v>3806193</v>
      </c>
      <c r="N956" s="128">
        <v>3527081</v>
      </c>
      <c r="O956" s="128">
        <v>1108598</v>
      </c>
    </row>
    <row r="957" spans="1:15">
      <c r="A957" s="132" t="s">
        <v>201</v>
      </c>
      <c r="B957" s="123" t="s">
        <v>202</v>
      </c>
      <c r="C957" s="124">
        <v>844</v>
      </c>
      <c r="D957" s="125">
        <v>1275.191</v>
      </c>
      <c r="E957" s="126">
        <v>130.08170000000001</v>
      </c>
      <c r="F957" s="126">
        <v>59.442300000000003</v>
      </c>
      <c r="G957" s="127">
        <v>9.8030007295415107</v>
      </c>
      <c r="H957" s="127">
        <v>14.198643053852223</v>
      </c>
      <c r="I957" s="128">
        <v>7296380</v>
      </c>
      <c r="J957" s="128">
        <v>7004090</v>
      </c>
      <c r="K957" s="128">
        <v>7282701</v>
      </c>
      <c r="L957" s="128">
        <v>7243175</v>
      </c>
      <c r="M957" s="128">
        <v>7119734</v>
      </c>
      <c r="N957" s="128">
        <v>7186168</v>
      </c>
      <c r="O957" s="128">
        <v>1016199</v>
      </c>
    </row>
    <row r="958" spans="1:15">
      <c r="A958" s="132" t="s">
        <v>1953</v>
      </c>
      <c r="B958" s="123" t="s">
        <v>1954</v>
      </c>
      <c r="C958" s="124">
        <v>13769</v>
      </c>
      <c r="D958" s="125">
        <v>16703.286</v>
      </c>
      <c r="E958" s="126">
        <v>2107.4142000000002</v>
      </c>
      <c r="F958" s="126">
        <v>953.78920000000005</v>
      </c>
      <c r="G958" s="127">
        <v>7.9259625374072167</v>
      </c>
      <c r="H958" s="127">
        <v>14.436103910591564</v>
      </c>
      <c r="I958" s="128">
        <v>92797966</v>
      </c>
      <c r="J958" s="128">
        <v>101055210</v>
      </c>
      <c r="K958" s="128">
        <v>95385455</v>
      </c>
      <c r="L958" s="128">
        <v>93248912</v>
      </c>
      <c r="M958" s="128">
        <v>99102718</v>
      </c>
      <c r="N958" s="128">
        <v>93781751</v>
      </c>
      <c r="O958" s="128">
        <v>12962436</v>
      </c>
    </row>
    <row r="959" spans="1:15">
      <c r="A959" s="132" t="s">
        <v>1402</v>
      </c>
      <c r="B959" s="123" t="s">
        <v>1403</v>
      </c>
      <c r="C959" s="124">
        <v>111</v>
      </c>
      <c r="D959" s="125">
        <v>182.54900000000001</v>
      </c>
      <c r="E959" s="126">
        <v>16.641300000000001</v>
      </c>
      <c r="F959" s="126">
        <v>10.367800000000001</v>
      </c>
      <c r="G959" s="127">
        <v>10.969635785665783</v>
      </c>
      <c r="H959" s="127">
        <v>10.706225042921352</v>
      </c>
      <c r="I959" s="128">
        <v>901031</v>
      </c>
      <c r="J959" s="128">
        <v>1221016</v>
      </c>
      <c r="K959" s="128">
        <v>926854</v>
      </c>
      <c r="L959" s="128">
        <v>1205433</v>
      </c>
      <c r="M959" s="128">
        <v>1310425</v>
      </c>
      <c r="N959" s="128">
        <v>1523461</v>
      </c>
      <c r="O959" s="128">
        <v>400922</v>
      </c>
    </row>
    <row r="960" spans="1:15">
      <c r="A960" s="132" t="s">
        <v>1369</v>
      </c>
      <c r="B960" s="123" t="s">
        <v>1370</v>
      </c>
      <c r="C960" s="124">
        <v>884</v>
      </c>
      <c r="D960" s="125">
        <v>1268.796</v>
      </c>
      <c r="E960" s="126">
        <v>150.70140000000001</v>
      </c>
      <c r="F960" s="126">
        <v>73.462500000000006</v>
      </c>
      <c r="G960" s="127">
        <v>8.4192714865289897</v>
      </c>
      <c r="H960" s="127">
        <v>12.033350348817423</v>
      </c>
      <c r="I960" s="128">
        <v>7456706</v>
      </c>
      <c r="J960" s="128">
        <v>7635622</v>
      </c>
      <c r="K960" s="128">
        <v>7516294</v>
      </c>
      <c r="L960" s="128">
        <v>7419716</v>
      </c>
      <c r="M960" s="128">
        <v>7453776</v>
      </c>
      <c r="N960" s="128">
        <v>7663679</v>
      </c>
      <c r="O960" s="128">
        <v>1421089</v>
      </c>
    </row>
    <row r="961" spans="1:15">
      <c r="A961" s="132" t="s">
        <v>924</v>
      </c>
      <c r="B961" s="123" t="s">
        <v>925</v>
      </c>
      <c r="C961" s="124">
        <v>6243</v>
      </c>
      <c r="D961" s="125">
        <v>7576.0060000000003</v>
      </c>
      <c r="E961" s="126">
        <v>864.81080000000009</v>
      </c>
      <c r="F961" s="126">
        <v>436.70179999999999</v>
      </c>
      <c r="G961" s="127">
        <v>8.7603045660391832</v>
      </c>
      <c r="H961" s="127">
        <v>14.295796353484231</v>
      </c>
      <c r="I961" s="128">
        <v>44404943</v>
      </c>
      <c r="J961" s="128">
        <v>45900180</v>
      </c>
      <c r="K961" s="128">
        <v>41606074</v>
      </c>
      <c r="L961" s="128">
        <v>42345156</v>
      </c>
      <c r="M961" s="128">
        <v>43765035</v>
      </c>
      <c r="N961" s="128">
        <v>44304812</v>
      </c>
      <c r="O961" s="128">
        <v>13418767</v>
      </c>
    </row>
    <row r="962" spans="1:15">
      <c r="A962" s="132" t="s">
        <v>864</v>
      </c>
      <c r="B962" s="123" t="s">
        <v>865</v>
      </c>
      <c r="C962" s="124">
        <v>1513</v>
      </c>
      <c r="D962" s="125">
        <v>2119.8690000000001</v>
      </c>
      <c r="E962" s="126">
        <v>225.56100000000001</v>
      </c>
      <c r="F962" s="126">
        <v>121.3391</v>
      </c>
      <c r="G962" s="127">
        <v>9.3982071368720668</v>
      </c>
      <c r="H962" s="127">
        <v>12.469187590809558</v>
      </c>
      <c r="I962" s="128">
        <v>12523044</v>
      </c>
      <c r="J962" s="128">
        <v>12324132</v>
      </c>
      <c r="K962" s="128">
        <v>11917314</v>
      </c>
      <c r="L962" s="128">
        <v>12507694</v>
      </c>
      <c r="M962" s="128">
        <v>12199628</v>
      </c>
      <c r="N962" s="128">
        <v>11764534</v>
      </c>
      <c r="O962" s="128">
        <v>989733</v>
      </c>
    </row>
    <row r="963" spans="1:15">
      <c r="A963" s="132" t="s">
        <v>1967</v>
      </c>
      <c r="B963" s="123" t="s">
        <v>1968</v>
      </c>
      <c r="C963" s="124">
        <v>5428</v>
      </c>
      <c r="D963" s="125">
        <v>6683.0630000000001</v>
      </c>
      <c r="E963" s="126">
        <v>716.86539999999991</v>
      </c>
      <c r="F963" s="126">
        <v>350.13010000000003</v>
      </c>
      <c r="G963" s="127">
        <v>9.322619002116717</v>
      </c>
      <c r="H963" s="127">
        <v>15.502808813066913</v>
      </c>
      <c r="I963" s="128">
        <v>41151993</v>
      </c>
      <c r="J963" s="128">
        <v>38986078</v>
      </c>
      <c r="K963" s="128">
        <v>40772519</v>
      </c>
      <c r="L963" s="128">
        <v>38797505</v>
      </c>
      <c r="M963" s="128">
        <v>39760094</v>
      </c>
      <c r="N963" s="128">
        <v>40038031</v>
      </c>
      <c r="O963" s="128">
        <v>6465808</v>
      </c>
    </row>
    <row r="964" spans="1:15">
      <c r="A964" s="132" t="s">
        <v>1638</v>
      </c>
      <c r="B964" s="123" t="s">
        <v>1639</v>
      </c>
      <c r="C964" s="124">
        <v>2034</v>
      </c>
      <c r="D964" s="125">
        <v>2742.9850000000001</v>
      </c>
      <c r="E964" s="126">
        <v>275.52889999999996</v>
      </c>
      <c r="F964" s="126">
        <v>161.36160000000001</v>
      </c>
      <c r="G964" s="127">
        <v>9.9553440673555489</v>
      </c>
      <c r="H964" s="127">
        <v>12.605229496980694</v>
      </c>
      <c r="I964" s="128">
        <v>18181611</v>
      </c>
      <c r="J964" s="128">
        <v>16176447</v>
      </c>
      <c r="K964" s="128">
        <v>16789400</v>
      </c>
      <c r="L964" s="128">
        <v>17505019</v>
      </c>
      <c r="M964" s="128">
        <v>17319786</v>
      </c>
      <c r="N964" s="128">
        <v>17364600</v>
      </c>
      <c r="O964" s="128">
        <v>1808652</v>
      </c>
    </row>
    <row r="965" spans="1:15">
      <c r="A965" s="132" t="s">
        <v>1297</v>
      </c>
      <c r="B965" s="123" t="s">
        <v>1298</v>
      </c>
      <c r="C965" s="124">
        <v>1968</v>
      </c>
      <c r="D965" s="125">
        <v>2610.39</v>
      </c>
      <c r="E965" s="126">
        <v>313.84910000000002</v>
      </c>
      <c r="F965" s="126">
        <v>147.56129999999999</v>
      </c>
      <c r="G965" s="127">
        <v>8.3173410406466033</v>
      </c>
      <c r="H965" s="127">
        <v>13.336830185150173</v>
      </c>
      <c r="I965" s="128">
        <v>17095933</v>
      </c>
      <c r="J965" s="128">
        <v>16961270</v>
      </c>
      <c r="K965" s="128">
        <v>17188418</v>
      </c>
      <c r="L965" s="128">
        <v>17711019</v>
      </c>
      <c r="M965" s="128">
        <v>17516333</v>
      </c>
      <c r="N965" s="128">
        <v>17344994</v>
      </c>
      <c r="O965" s="128">
        <v>10762207</v>
      </c>
    </row>
    <row r="966" spans="1:15">
      <c r="A966" s="132" t="s">
        <v>778</v>
      </c>
      <c r="B966" s="123" t="s">
        <v>779</v>
      </c>
      <c r="C966" s="124">
        <v>113</v>
      </c>
      <c r="D966" s="125">
        <v>239.91499999999999</v>
      </c>
      <c r="E966" s="126">
        <v>29.999500000000001</v>
      </c>
      <c r="F966" s="126">
        <v>16.999500000000001</v>
      </c>
      <c r="G966" s="127">
        <v>7.9972999549992503</v>
      </c>
      <c r="H966" s="127">
        <v>6.6472543310097354</v>
      </c>
      <c r="I966" s="128">
        <v>2244978</v>
      </c>
      <c r="J966" s="128">
        <v>1762402</v>
      </c>
      <c r="K966" s="128">
        <v>2000243</v>
      </c>
      <c r="L966" s="128">
        <v>1919836</v>
      </c>
      <c r="M966" s="128">
        <v>1776992</v>
      </c>
      <c r="N966" s="128">
        <v>1965841</v>
      </c>
      <c r="O966" s="128">
        <v>266148</v>
      </c>
    </row>
    <row r="967" spans="1:15">
      <c r="A967" s="132" t="s">
        <v>245</v>
      </c>
      <c r="B967" s="123" t="s">
        <v>246</v>
      </c>
      <c r="C967" s="124">
        <v>4872</v>
      </c>
      <c r="D967" s="125">
        <v>6344.8640000000005</v>
      </c>
      <c r="E967" s="126">
        <v>665.97440000000006</v>
      </c>
      <c r="F967" s="126">
        <v>361.71960000000001</v>
      </c>
      <c r="G967" s="127">
        <v>9.5271890330919629</v>
      </c>
      <c r="H967" s="127">
        <v>13.468996427066712</v>
      </c>
      <c r="I967" s="128">
        <v>35648855</v>
      </c>
      <c r="J967" s="128">
        <v>35604258</v>
      </c>
      <c r="K967" s="128">
        <v>36482327</v>
      </c>
      <c r="L967" s="128">
        <v>35548843</v>
      </c>
      <c r="M967" s="128">
        <v>35618557</v>
      </c>
      <c r="N967" s="128">
        <v>36498944</v>
      </c>
      <c r="O967" s="128">
        <v>8325095</v>
      </c>
    </row>
    <row r="968" spans="1:15">
      <c r="A968" s="132" t="s">
        <v>295</v>
      </c>
      <c r="B968" s="123" t="s">
        <v>296</v>
      </c>
      <c r="C968" s="124">
        <v>371</v>
      </c>
      <c r="D968" s="125">
        <v>595.84300000000007</v>
      </c>
      <c r="E968" s="126">
        <v>68.064899999999994</v>
      </c>
      <c r="F968" s="126">
        <v>37.861699999999999</v>
      </c>
      <c r="G968" s="127">
        <v>8.7540420980564164</v>
      </c>
      <c r="H968" s="127">
        <v>9.7988204438786433</v>
      </c>
      <c r="I968" s="128">
        <v>3565572</v>
      </c>
      <c r="J968" s="128">
        <v>3750843</v>
      </c>
      <c r="K968" s="128">
        <v>3596412</v>
      </c>
      <c r="L968" s="128">
        <v>3570552</v>
      </c>
      <c r="M968" s="128">
        <v>3847395</v>
      </c>
      <c r="N968" s="128">
        <v>3662682</v>
      </c>
      <c r="O968" s="128">
        <v>856667</v>
      </c>
    </row>
    <row r="969" spans="1:15">
      <c r="A969" s="132" t="s">
        <v>1082</v>
      </c>
      <c r="B969" s="123" t="s">
        <v>1083</v>
      </c>
      <c r="C969" s="124">
        <v>24680</v>
      </c>
      <c r="D969" s="125">
        <v>31982.397000000001</v>
      </c>
      <c r="E969" s="126">
        <v>3828.3881999999999</v>
      </c>
      <c r="F969" s="126">
        <v>1584.2947999999999</v>
      </c>
      <c r="G969" s="127">
        <v>8.3540109647187819</v>
      </c>
      <c r="H969" s="127">
        <v>15.577908858881568</v>
      </c>
      <c r="I969" s="128">
        <v>207668575</v>
      </c>
      <c r="J969" s="128">
        <v>216349288</v>
      </c>
      <c r="K969" s="128">
        <v>196237139</v>
      </c>
      <c r="L969" s="128">
        <v>207319438</v>
      </c>
      <c r="M969" s="128">
        <v>215035269</v>
      </c>
      <c r="N969" s="128">
        <v>213571464</v>
      </c>
      <c r="O969" s="128">
        <v>53935053</v>
      </c>
    </row>
    <row r="970" spans="1:15">
      <c r="A970" s="132" t="s">
        <v>1926</v>
      </c>
      <c r="B970" s="123" t="s">
        <v>1927</v>
      </c>
      <c r="C970" s="124">
        <v>41708</v>
      </c>
      <c r="D970" s="125">
        <v>53318.597999999998</v>
      </c>
      <c r="E970" s="126">
        <v>6117.1117000000004</v>
      </c>
      <c r="F970" s="126">
        <v>2554.8353999999999</v>
      </c>
      <c r="G970" s="127">
        <v>8.7163028263812805</v>
      </c>
      <c r="H970" s="127">
        <v>16.325122158554716</v>
      </c>
      <c r="I970" s="128">
        <v>300753604</v>
      </c>
      <c r="J970" s="128">
        <v>311578534</v>
      </c>
      <c r="K970" s="128">
        <v>318130592</v>
      </c>
      <c r="L970" s="128">
        <v>300836003</v>
      </c>
      <c r="M970" s="128">
        <v>304556133</v>
      </c>
      <c r="N970" s="128">
        <v>315286648</v>
      </c>
      <c r="O970" s="128">
        <v>50031250</v>
      </c>
    </row>
    <row r="971" spans="1:15">
      <c r="A971" s="132" t="s">
        <v>1983</v>
      </c>
      <c r="B971" s="123" t="s">
        <v>1984</v>
      </c>
      <c r="C971" s="124">
        <v>350</v>
      </c>
      <c r="D971" s="125">
        <v>599.62</v>
      </c>
      <c r="E971" s="126">
        <v>76.413899999999998</v>
      </c>
      <c r="F971" s="126">
        <v>43.164000000000001</v>
      </c>
      <c r="G971" s="127">
        <v>7.8470016580752979</v>
      </c>
      <c r="H971" s="127">
        <v>8.1086090260402184</v>
      </c>
      <c r="I971" s="128">
        <v>12322769</v>
      </c>
      <c r="J971" s="128">
        <v>7855416</v>
      </c>
      <c r="K971" s="128">
        <v>11153419</v>
      </c>
      <c r="L971" s="128">
        <v>7717942</v>
      </c>
      <c r="M971" s="128">
        <v>7278630</v>
      </c>
      <c r="N971" s="128">
        <v>7895700</v>
      </c>
      <c r="O971" s="128">
        <v>2056591</v>
      </c>
    </row>
    <row r="972" spans="1:15">
      <c r="A972" s="132" t="s">
        <v>213</v>
      </c>
      <c r="B972" s="123" t="s">
        <v>214</v>
      </c>
      <c r="C972" s="124">
        <v>1014</v>
      </c>
      <c r="D972" s="125">
        <v>1453.1770000000001</v>
      </c>
      <c r="E972" s="126">
        <v>149.96289999999999</v>
      </c>
      <c r="F972" s="126">
        <v>74.590599999999995</v>
      </c>
      <c r="G972" s="127">
        <v>9.6902433868643527</v>
      </c>
      <c r="H972" s="127">
        <v>13.594206240464617</v>
      </c>
      <c r="I972" s="128">
        <v>8364622</v>
      </c>
      <c r="J972" s="128">
        <v>8609656</v>
      </c>
      <c r="K972" s="128">
        <v>8022623</v>
      </c>
      <c r="L972" s="128">
        <v>8023882</v>
      </c>
      <c r="M972" s="128">
        <v>8295570</v>
      </c>
      <c r="N972" s="128">
        <v>8162712</v>
      </c>
    </row>
    <row r="973" spans="1:15">
      <c r="A973" s="132" t="s">
        <v>589</v>
      </c>
      <c r="B973" s="123" t="s">
        <v>590</v>
      </c>
      <c r="C973" s="124">
        <v>948</v>
      </c>
      <c r="D973" s="125">
        <v>1276.704</v>
      </c>
      <c r="E973" s="126">
        <v>139.9365</v>
      </c>
      <c r="F973" s="126">
        <v>76.858500000000006</v>
      </c>
      <c r="G973" s="127">
        <v>9.1234524230633181</v>
      </c>
      <c r="H973" s="127">
        <v>12.334354690762895</v>
      </c>
      <c r="I973" s="128">
        <v>7093107</v>
      </c>
      <c r="J973" s="128">
        <v>7724668</v>
      </c>
      <c r="K973" s="128">
        <v>7428031</v>
      </c>
      <c r="L973" s="128">
        <v>7375832</v>
      </c>
      <c r="M973" s="128">
        <v>7988854</v>
      </c>
      <c r="N973" s="128">
        <v>8144956</v>
      </c>
      <c r="O973" s="128">
        <v>1532645</v>
      </c>
    </row>
    <row r="974" spans="1:15">
      <c r="A974" s="132" t="s">
        <v>612</v>
      </c>
      <c r="B974" s="123" t="s">
        <v>613</v>
      </c>
      <c r="C974" s="124">
        <v>3477</v>
      </c>
      <c r="D974" s="125">
        <v>4484.91</v>
      </c>
      <c r="E974" s="126">
        <v>547.40039999999999</v>
      </c>
      <c r="F974" s="126">
        <v>253.06139999999999</v>
      </c>
      <c r="G974" s="127">
        <v>8.1931069104078116</v>
      </c>
      <c r="H974" s="127">
        <v>13.739748535335695</v>
      </c>
      <c r="I974" s="128">
        <v>28754432</v>
      </c>
      <c r="J974" s="128">
        <v>29608801</v>
      </c>
      <c r="K974" s="128">
        <v>29084450</v>
      </c>
      <c r="L974" s="128">
        <v>29504092</v>
      </c>
      <c r="M974" s="128">
        <v>29898435</v>
      </c>
      <c r="N974" s="128">
        <v>29473808</v>
      </c>
      <c r="O974" s="128">
        <v>5682903</v>
      </c>
    </row>
    <row r="975" spans="1:15">
      <c r="A975" s="132" t="s">
        <v>2015</v>
      </c>
      <c r="B975" s="123" t="s">
        <v>2016</v>
      </c>
      <c r="C975" s="124">
        <v>2167</v>
      </c>
      <c r="D975" s="125">
        <v>2859.547</v>
      </c>
      <c r="E975" s="126">
        <v>350.13080000000002</v>
      </c>
      <c r="F975" s="126">
        <v>166.9939</v>
      </c>
      <c r="G975" s="127">
        <v>8.1670821304495345</v>
      </c>
      <c r="H975" s="127">
        <v>12.976521896907611</v>
      </c>
      <c r="I975" s="128">
        <v>17351536</v>
      </c>
      <c r="J975" s="128">
        <v>17192369</v>
      </c>
      <c r="K975" s="128">
        <v>17160604</v>
      </c>
      <c r="L975" s="128">
        <v>17320504</v>
      </c>
      <c r="M975" s="128">
        <v>17420467</v>
      </c>
      <c r="N975" s="128">
        <v>17501402</v>
      </c>
      <c r="O975" s="128">
        <v>3151493</v>
      </c>
    </row>
    <row r="976" spans="1:15">
      <c r="A976" s="132" t="s">
        <v>1162</v>
      </c>
      <c r="B976" s="123" t="s">
        <v>1163</v>
      </c>
      <c r="C976" s="124">
        <v>497</v>
      </c>
      <c r="D976" s="125">
        <v>764.25900000000001</v>
      </c>
      <c r="E976" s="126">
        <v>82.899599999999992</v>
      </c>
      <c r="F976" s="126">
        <v>44.453400000000002</v>
      </c>
      <c r="G976" s="127">
        <v>9.2190915275827638</v>
      </c>
      <c r="H976" s="127">
        <v>11.18024718019319</v>
      </c>
      <c r="I976" s="128">
        <v>4032992</v>
      </c>
      <c r="J976" s="128">
        <v>4511997</v>
      </c>
      <c r="K976" s="128">
        <v>4888368</v>
      </c>
      <c r="L976" s="128">
        <v>4123000</v>
      </c>
      <c r="M976" s="128">
        <v>4572000</v>
      </c>
      <c r="N976" s="128">
        <v>4804517</v>
      </c>
      <c r="O976" s="128">
        <v>862635</v>
      </c>
    </row>
    <row r="977" spans="1:15">
      <c r="A977" s="132" t="s">
        <v>1730</v>
      </c>
      <c r="B977" s="123" t="s">
        <v>1731</v>
      </c>
      <c r="C977" s="124">
        <v>347</v>
      </c>
      <c r="D977" s="125">
        <v>615.10900000000004</v>
      </c>
      <c r="E977" s="126">
        <v>75.1601</v>
      </c>
      <c r="F977" s="126">
        <v>40.766100000000002</v>
      </c>
      <c r="G977" s="127">
        <v>8.1839832570738995</v>
      </c>
      <c r="H977" s="127">
        <v>8.5119744101103603</v>
      </c>
      <c r="I977" s="128">
        <v>3881938</v>
      </c>
      <c r="J977" s="128">
        <v>3625986</v>
      </c>
      <c r="K977" s="128">
        <v>3263060</v>
      </c>
      <c r="L977" s="128">
        <v>3293324</v>
      </c>
      <c r="M977" s="128">
        <v>3296655</v>
      </c>
      <c r="N977" s="128">
        <v>3310561</v>
      </c>
      <c r="O977" s="128">
        <v>1967979</v>
      </c>
    </row>
    <row r="978" spans="1:15">
      <c r="A978" s="132" t="s">
        <v>2017</v>
      </c>
      <c r="B978" s="123" t="s">
        <v>2018</v>
      </c>
      <c r="C978" s="124">
        <v>423</v>
      </c>
      <c r="D978" s="125">
        <v>638.46500000000003</v>
      </c>
      <c r="E978" s="126">
        <v>65.4161</v>
      </c>
      <c r="F978" s="126">
        <v>40.6706</v>
      </c>
      <c r="G978" s="127">
        <v>9.760059068027596</v>
      </c>
      <c r="H978" s="127">
        <v>10.400633381361475</v>
      </c>
      <c r="I978" s="128">
        <v>4173001</v>
      </c>
      <c r="J978" s="128">
        <v>3967958</v>
      </c>
      <c r="K978" s="128">
        <v>3879816</v>
      </c>
      <c r="L978" s="128">
        <v>3745000</v>
      </c>
      <c r="M978" s="128">
        <v>3312412</v>
      </c>
      <c r="N978" s="128">
        <v>4177644</v>
      </c>
      <c r="O978" s="128">
        <v>2495228</v>
      </c>
    </row>
    <row r="979" spans="1:15">
      <c r="A979" s="132" t="s">
        <v>998</v>
      </c>
      <c r="B979" s="123" t="s">
        <v>999</v>
      </c>
      <c r="C979" s="124">
        <v>152</v>
      </c>
      <c r="D979" s="125">
        <v>225.77900000000002</v>
      </c>
      <c r="E979" s="126">
        <v>36.499200000000002</v>
      </c>
      <c r="F979" s="126">
        <v>24.388100000000001</v>
      </c>
      <c r="G979" s="127">
        <v>6.1858616079256539</v>
      </c>
      <c r="H979" s="127">
        <v>6.2325478409552195</v>
      </c>
      <c r="I979" s="128">
        <v>2328259</v>
      </c>
      <c r="J979" s="128">
        <v>2774271</v>
      </c>
      <c r="K979" s="128">
        <v>2349292</v>
      </c>
      <c r="L979" s="128">
        <v>2348155</v>
      </c>
      <c r="M979" s="128">
        <v>2137403</v>
      </c>
      <c r="N979" s="128">
        <v>2924312</v>
      </c>
      <c r="O979" s="128">
        <v>906995</v>
      </c>
    </row>
    <row r="980" spans="1:15">
      <c r="A980" s="132" t="s">
        <v>680</v>
      </c>
      <c r="B980" s="123" t="s">
        <v>681</v>
      </c>
      <c r="C980" s="124">
        <v>144</v>
      </c>
      <c r="D980" s="125">
        <v>294.79599999999999</v>
      </c>
      <c r="E980" s="126">
        <v>44.645600000000002</v>
      </c>
      <c r="F980" s="126">
        <v>21.6309</v>
      </c>
      <c r="G980" s="127">
        <v>6.6030247101618071</v>
      </c>
      <c r="H980" s="127">
        <v>6.6571432534013839</v>
      </c>
      <c r="I980" s="128">
        <v>6281827</v>
      </c>
      <c r="J980" s="128">
        <v>4212724</v>
      </c>
      <c r="K980" s="128">
        <v>5755343</v>
      </c>
      <c r="L980" s="128">
        <v>4272171</v>
      </c>
      <c r="M980" s="128">
        <v>4218079</v>
      </c>
      <c r="N980" s="128">
        <v>4480118</v>
      </c>
      <c r="O980" s="128">
        <v>667310</v>
      </c>
    </row>
    <row r="981" spans="1:15">
      <c r="A981" s="132" t="s">
        <v>287</v>
      </c>
      <c r="B981" s="123" t="s">
        <v>288</v>
      </c>
      <c r="C981" s="124">
        <v>3373</v>
      </c>
      <c r="D981" s="125">
        <v>4059.41</v>
      </c>
      <c r="E981" s="126">
        <v>517.0403</v>
      </c>
      <c r="F981" s="126">
        <v>263.9024</v>
      </c>
      <c r="G981" s="127">
        <v>7.8512448642784713</v>
      </c>
      <c r="H981" s="127">
        <v>12.781240337336834</v>
      </c>
      <c r="I981" s="128">
        <v>28893088</v>
      </c>
      <c r="J981" s="128">
        <v>28793860</v>
      </c>
      <c r="K981" s="128">
        <v>28327311</v>
      </c>
      <c r="L981" s="128">
        <v>29102654</v>
      </c>
      <c r="M981" s="128">
        <v>28676854</v>
      </c>
      <c r="N981" s="128">
        <v>28324160</v>
      </c>
      <c r="O981" s="128">
        <v>8895612</v>
      </c>
    </row>
    <row r="982" spans="1:15">
      <c r="A982" s="132" t="s">
        <v>616</v>
      </c>
      <c r="B982" s="123" t="s">
        <v>617</v>
      </c>
      <c r="C982" s="124">
        <v>465</v>
      </c>
      <c r="D982" s="125">
        <v>753.65899999999999</v>
      </c>
      <c r="E982" s="126">
        <v>98.116299999999995</v>
      </c>
      <c r="F982" s="126">
        <v>48.628500000000003</v>
      </c>
      <c r="G982" s="127">
        <v>7.6812823149670342</v>
      </c>
      <c r="H982" s="127">
        <v>9.5622937166476447</v>
      </c>
      <c r="I982" s="128">
        <v>5067706</v>
      </c>
      <c r="J982" s="128">
        <v>5000241</v>
      </c>
      <c r="K982" s="128">
        <v>4904801</v>
      </c>
      <c r="L982" s="128">
        <v>5196438</v>
      </c>
      <c r="M982" s="128">
        <v>5031123</v>
      </c>
      <c r="N982" s="128">
        <v>4931335</v>
      </c>
      <c r="O982" s="128">
        <v>1300000</v>
      </c>
    </row>
    <row r="983" spans="1:15">
      <c r="A983" s="132" t="s">
        <v>940</v>
      </c>
      <c r="B983" s="123" t="s">
        <v>941</v>
      </c>
      <c r="C983" s="124">
        <v>1791</v>
      </c>
      <c r="D983" s="125">
        <v>2254.2739999999999</v>
      </c>
      <c r="E983" s="126">
        <v>243.72630000000001</v>
      </c>
      <c r="F983" s="126">
        <v>129.2971</v>
      </c>
      <c r="G983" s="127">
        <v>9.2492028968560209</v>
      </c>
      <c r="H983" s="127">
        <v>13.851818795626507</v>
      </c>
      <c r="I983" s="128">
        <v>12456946</v>
      </c>
      <c r="J983" s="128">
        <v>12714226</v>
      </c>
      <c r="K983" s="128">
        <v>12003204</v>
      </c>
      <c r="L983" s="128">
        <v>12572804</v>
      </c>
      <c r="M983" s="128">
        <v>12971294</v>
      </c>
      <c r="N983" s="128">
        <v>12619494</v>
      </c>
      <c r="O983" s="128">
        <v>2487014</v>
      </c>
    </row>
    <row r="984" spans="1:15">
      <c r="A984" s="132" t="s">
        <v>2037</v>
      </c>
      <c r="B984" s="123" t="s">
        <v>2038</v>
      </c>
      <c r="C984" s="124">
        <v>14569</v>
      </c>
      <c r="D984" s="125">
        <v>17769.498</v>
      </c>
      <c r="E984" s="126">
        <v>1965.0360000000001</v>
      </c>
      <c r="F984" s="126">
        <v>1084.258</v>
      </c>
      <c r="G984" s="127">
        <v>9.0428358564423235</v>
      </c>
      <c r="H984" s="127">
        <v>13.436838833561753</v>
      </c>
      <c r="I984" s="128">
        <v>95849401</v>
      </c>
      <c r="J984" s="128">
        <v>99186544</v>
      </c>
      <c r="K984" s="128">
        <v>98869900</v>
      </c>
      <c r="L984" s="128">
        <v>99121447</v>
      </c>
      <c r="M984" s="128">
        <v>102041824</v>
      </c>
      <c r="N984" s="128">
        <v>101032099</v>
      </c>
      <c r="O984" s="128">
        <v>11619188</v>
      </c>
    </row>
    <row r="985" spans="1:15">
      <c r="A985" s="132" t="s">
        <v>389</v>
      </c>
      <c r="B985" s="123" t="s">
        <v>390</v>
      </c>
      <c r="C985" s="124">
        <v>918</v>
      </c>
      <c r="D985" s="125">
        <v>1296.355</v>
      </c>
      <c r="E985" s="126">
        <v>137.7791</v>
      </c>
      <c r="F985" s="126">
        <v>79.508899999999997</v>
      </c>
      <c r="G985" s="127">
        <v>9.4089379303537335</v>
      </c>
      <c r="H985" s="127">
        <v>11.54587725399295</v>
      </c>
      <c r="I985" s="128">
        <v>7513545</v>
      </c>
      <c r="J985" s="128">
        <v>7795382</v>
      </c>
      <c r="K985" s="128">
        <v>7773632</v>
      </c>
      <c r="L985" s="128">
        <v>7410478</v>
      </c>
      <c r="M985" s="128">
        <v>7825041</v>
      </c>
      <c r="N985" s="128">
        <v>7813756</v>
      </c>
      <c r="O985" s="128">
        <v>689441</v>
      </c>
    </row>
    <row r="986" spans="1:15">
      <c r="A986" s="132" t="s">
        <v>842</v>
      </c>
      <c r="B986" s="123" t="s">
        <v>843</v>
      </c>
      <c r="C986" s="124">
        <v>109</v>
      </c>
      <c r="D986" s="125">
        <v>230.87800000000001</v>
      </c>
      <c r="E986" s="126">
        <v>22.551000000000002</v>
      </c>
      <c r="F986" s="126">
        <v>13.971</v>
      </c>
      <c r="G986" s="127">
        <v>10.238038224468982</v>
      </c>
      <c r="H986" s="127">
        <v>7.8018753131486651</v>
      </c>
      <c r="I986" s="128">
        <v>1436529</v>
      </c>
      <c r="J986" s="128">
        <v>1453376</v>
      </c>
      <c r="K986" s="128">
        <v>1412482</v>
      </c>
      <c r="L986" s="128">
        <v>1492812</v>
      </c>
      <c r="M986" s="128">
        <v>1515956</v>
      </c>
      <c r="N986" s="128">
        <v>1506915</v>
      </c>
      <c r="O986" s="128">
        <v>213709</v>
      </c>
    </row>
    <row r="987" spans="1:15">
      <c r="A987" s="132" t="s">
        <v>1951</v>
      </c>
      <c r="B987" s="123" t="s">
        <v>1952</v>
      </c>
      <c r="C987" s="124">
        <v>2232</v>
      </c>
      <c r="D987" s="125">
        <v>3002.1</v>
      </c>
      <c r="E987" s="126">
        <v>336.35609999999997</v>
      </c>
      <c r="F987" s="126">
        <v>171.36670000000001</v>
      </c>
      <c r="G987" s="127">
        <v>8.925362138519267</v>
      </c>
      <c r="H987" s="127">
        <v>13.024700831608474</v>
      </c>
      <c r="I987" s="128">
        <v>18519456</v>
      </c>
      <c r="J987" s="128">
        <v>17811600</v>
      </c>
      <c r="K987" s="128">
        <v>18364566</v>
      </c>
      <c r="L987" s="128">
        <v>18074459</v>
      </c>
      <c r="M987" s="128">
        <v>18171578</v>
      </c>
      <c r="N987" s="128">
        <v>18402941</v>
      </c>
      <c r="O987" s="128">
        <v>2830145</v>
      </c>
    </row>
    <row r="988" spans="1:15">
      <c r="A988" s="132" t="s">
        <v>1395</v>
      </c>
      <c r="B988" s="123" t="s">
        <v>1394</v>
      </c>
      <c r="C988" s="124">
        <v>193</v>
      </c>
      <c r="D988" s="125">
        <v>304.90600000000001</v>
      </c>
      <c r="E988" s="126">
        <v>28.999099999999999</v>
      </c>
      <c r="F988" s="126">
        <v>18.114899999999999</v>
      </c>
      <c r="G988" s="127">
        <v>10.514326306678484</v>
      </c>
      <c r="H988" s="127">
        <v>10.654212830322001</v>
      </c>
      <c r="I988" s="128">
        <v>1551771</v>
      </c>
      <c r="J988" s="128">
        <v>1771784</v>
      </c>
      <c r="K988" s="128">
        <v>1621547</v>
      </c>
      <c r="L988" s="128">
        <v>1615465</v>
      </c>
      <c r="M988" s="128">
        <v>1820044</v>
      </c>
      <c r="N988" s="128">
        <v>1817283</v>
      </c>
      <c r="O988" s="128">
        <v>333882</v>
      </c>
    </row>
    <row r="989" spans="1:15">
      <c r="A989" s="132" t="s">
        <v>1084</v>
      </c>
      <c r="B989" s="123" t="s">
        <v>1085</v>
      </c>
      <c r="C989" s="124">
        <v>464</v>
      </c>
      <c r="D989" s="125">
        <v>768.67499999999995</v>
      </c>
      <c r="E989" s="126">
        <v>82.092600000000004</v>
      </c>
      <c r="F989" s="126">
        <v>34.986899999999999</v>
      </c>
      <c r="G989" s="127">
        <v>9.3635114492658289</v>
      </c>
      <c r="H989" s="127">
        <v>13.262106674212349</v>
      </c>
      <c r="I989" s="128">
        <v>4265668</v>
      </c>
      <c r="J989" s="128">
        <v>4712598</v>
      </c>
      <c r="K989" s="128">
        <v>4828330</v>
      </c>
      <c r="L989" s="128">
        <v>4291532</v>
      </c>
      <c r="M989" s="128">
        <v>4724002</v>
      </c>
      <c r="N989" s="128">
        <v>4632397</v>
      </c>
      <c r="O989" s="128">
        <v>884511</v>
      </c>
    </row>
    <row r="990" spans="1:15">
      <c r="A990" s="132" t="s">
        <v>1180</v>
      </c>
      <c r="B990" s="123" t="s">
        <v>1181</v>
      </c>
      <c r="C990" s="124">
        <v>1533</v>
      </c>
      <c r="D990" s="125">
        <v>2230.5509999999999</v>
      </c>
      <c r="E990" s="126">
        <v>271.81960000000004</v>
      </c>
      <c r="F990" s="126">
        <v>108.8857</v>
      </c>
      <c r="G990" s="127">
        <v>8.2059976543266178</v>
      </c>
      <c r="H990" s="127">
        <v>14.07898374166672</v>
      </c>
      <c r="I990" s="128">
        <v>13566367</v>
      </c>
      <c r="J990" s="128">
        <v>11930708</v>
      </c>
      <c r="K990" s="128">
        <v>13498107</v>
      </c>
      <c r="L990" s="128">
        <v>13644596</v>
      </c>
      <c r="M990" s="128">
        <v>12056569</v>
      </c>
      <c r="N990" s="128">
        <v>13422428</v>
      </c>
      <c r="O990" s="128">
        <v>1356311</v>
      </c>
    </row>
    <row r="991" spans="1:15">
      <c r="A991" s="132" t="s">
        <v>1562</v>
      </c>
      <c r="B991" s="123" t="s">
        <v>1563</v>
      </c>
      <c r="C991" s="124">
        <v>2265</v>
      </c>
      <c r="D991" s="125">
        <v>3046.2260000000001</v>
      </c>
      <c r="E991" s="126">
        <v>368.74809999999997</v>
      </c>
      <c r="F991" s="126">
        <v>161.3058</v>
      </c>
      <c r="G991" s="127">
        <v>8.260994429530621</v>
      </c>
      <c r="H991" s="127">
        <v>14.041652563020053</v>
      </c>
      <c r="I991" s="128">
        <v>18509018</v>
      </c>
      <c r="J991" s="128">
        <v>19124184</v>
      </c>
      <c r="K991" s="128">
        <v>19317312</v>
      </c>
      <c r="L991" s="128">
        <v>18688821</v>
      </c>
      <c r="M991" s="128">
        <v>19206724</v>
      </c>
      <c r="N991" s="128">
        <v>20965238</v>
      </c>
      <c r="O991" s="128">
        <v>5366154</v>
      </c>
    </row>
    <row r="992" spans="1:15">
      <c r="A992" s="132" t="s">
        <v>1684</v>
      </c>
      <c r="B992" s="123" t="s">
        <v>1685</v>
      </c>
      <c r="C992" s="124">
        <v>287</v>
      </c>
      <c r="D992" s="125">
        <v>536.95900000000006</v>
      </c>
      <c r="E992" s="126">
        <v>49.825599999999994</v>
      </c>
      <c r="F992" s="126">
        <v>23.64</v>
      </c>
      <c r="G992" s="127">
        <v>10.776769371568031</v>
      </c>
      <c r="H992" s="127">
        <v>12.140439932318104</v>
      </c>
      <c r="I992" s="128">
        <v>3044402</v>
      </c>
      <c r="J992" s="128">
        <v>2870445</v>
      </c>
      <c r="K992" s="128">
        <v>2967584</v>
      </c>
      <c r="L992" s="128">
        <v>3048178</v>
      </c>
      <c r="M992" s="128">
        <v>3048178</v>
      </c>
      <c r="N992" s="128">
        <v>3179014</v>
      </c>
      <c r="O992" s="128">
        <v>973358</v>
      </c>
    </row>
    <row r="993" spans="1:15">
      <c r="A993" s="132" t="s">
        <v>662</v>
      </c>
      <c r="B993" s="123" t="s">
        <v>663</v>
      </c>
      <c r="C993" s="124">
        <v>984</v>
      </c>
      <c r="D993" s="125">
        <v>1424.424</v>
      </c>
      <c r="E993" s="126">
        <v>158.7064</v>
      </c>
      <c r="F993" s="126">
        <v>78.410700000000006</v>
      </c>
      <c r="G993" s="127">
        <v>8.9752146101228423</v>
      </c>
      <c r="H993" s="127">
        <v>12.549307683772749</v>
      </c>
      <c r="I993" s="128">
        <v>9650571</v>
      </c>
      <c r="J993" s="128">
        <v>8985084</v>
      </c>
      <c r="K993" s="128">
        <v>9139375</v>
      </c>
      <c r="L993" s="128">
        <v>9725116</v>
      </c>
      <c r="M993" s="128">
        <v>8958832</v>
      </c>
      <c r="N993" s="128">
        <v>9079816</v>
      </c>
      <c r="O993" s="128">
        <v>2384388</v>
      </c>
    </row>
    <row r="994" spans="1:15">
      <c r="A994" s="132" t="s">
        <v>734</v>
      </c>
      <c r="B994" s="123" t="s">
        <v>735</v>
      </c>
      <c r="C994" s="124">
        <v>10411</v>
      </c>
      <c r="D994" s="125">
        <v>12189.098</v>
      </c>
      <c r="E994" s="126">
        <v>1668.7734</v>
      </c>
      <c r="F994" s="126">
        <v>826.15139999999997</v>
      </c>
      <c r="G994" s="127">
        <v>7.304225966209672</v>
      </c>
      <c r="H994" s="127">
        <v>12.601806400134407</v>
      </c>
      <c r="I994" s="128">
        <v>81372885</v>
      </c>
      <c r="J994" s="128">
        <v>86183708</v>
      </c>
      <c r="K994" s="128">
        <v>85028914</v>
      </c>
      <c r="L994" s="128">
        <v>81942880</v>
      </c>
      <c r="M994" s="128">
        <v>86183693</v>
      </c>
      <c r="N994" s="128">
        <v>85473100</v>
      </c>
      <c r="O994" s="128">
        <v>16011959</v>
      </c>
    </row>
    <row r="995" spans="1:15">
      <c r="A995" s="132" t="s">
        <v>784</v>
      </c>
      <c r="B995" s="123" t="s">
        <v>785</v>
      </c>
      <c r="C995" s="124">
        <v>409</v>
      </c>
      <c r="D995" s="125">
        <v>651.63600000000008</v>
      </c>
      <c r="E995" s="126">
        <v>66.021199999999993</v>
      </c>
      <c r="F995" s="126">
        <v>37.9998</v>
      </c>
      <c r="G995" s="127">
        <v>9.8701023307664837</v>
      </c>
      <c r="H995" s="127">
        <v>10.763214543234438</v>
      </c>
      <c r="I995" s="128">
        <v>3606115</v>
      </c>
      <c r="J995" s="128">
        <v>3512648</v>
      </c>
      <c r="K995" s="128">
        <v>3740857</v>
      </c>
      <c r="L995" s="128">
        <v>3785407</v>
      </c>
      <c r="M995" s="128">
        <v>3613918</v>
      </c>
      <c r="N995" s="128">
        <v>4089915</v>
      </c>
      <c r="O995" s="128">
        <v>1443982</v>
      </c>
    </row>
    <row r="996" spans="1:15">
      <c r="A996" s="132" t="s">
        <v>928</v>
      </c>
      <c r="B996" s="123" t="s">
        <v>929</v>
      </c>
      <c r="C996" s="124">
        <v>5394</v>
      </c>
      <c r="D996" s="125">
        <v>6236.8770000000004</v>
      </c>
      <c r="E996" s="126">
        <v>719.65</v>
      </c>
      <c r="F996" s="126">
        <v>364.46539999999999</v>
      </c>
      <c r="G996" s="127">
        <v>8.6665420690613502</v>
      </c>
      <c r="H996" s="127">
        <v>14.799758769968289</v>
      </c>
      <c r="I996" s="128">
        <v>36112950</v>
      </c>
      <c r="J996" s="128">
        <v>37689590</v>
      </c>
      <c r="K996" s="128">
        <v>40113832</v>
      </c>
      <c r="L996" s="128">
        <v>36050804</v>
      </c>
      <c r="M996" s="128">
        <v>38437160</v>
      </c>
      <c r="N996" s="128">
        <v>37011868</v>
      </c>
      <c r="O996" s="128">
        <v>2467746</v>
      </c>
    </row>
    <row r="997" spans="1:15">
      <c r="A997" s="132" t="s">
        <v>960</v>
      </c>
      <c r="B997" s="123" t="s">
        <v>961</v>
      </c>
      <c r="C997" s="124">
        <v>975</v>
      </c>
      <c r="D997" s="125">
        <v>1348.3030000000001</v>
      </c>
      <c r="E997" s="126">
        <v>169.6448</v>
      </c>
      <c r="F997" s="126">
        <v>76.962000000000003</v>
      </c>
      <c r="G997" s="127">
        <v>7.9478003451918369</v>
      </c>
      <c r="H997" s="127">
        <v>12.668589693615031</v>
      </c>
      <c r="I997" s="128">
        <v>9542395</v>
      </c>
      <c r="J997" s="128">
        <v>10105213</v>
      </c>
      <c r="K997" s="128">
        <v>9242082</v>
      </c>
      <c r="L997" s="128">
        <v>9631001</v>
      </c>
      <c r="M997" s="128">
        <v>9219545</v>
      </c>
      <c r="N997" s="128">
        <v>9438694</v>
      </c>
      <c r="O997" s="128">
        <v>4642372</v>
      </c>
    </row>
    <row r="998" spans="1:15">
      <c r="A998" s="132" t="s">
        <v>1112</v>
      </c>
      <c r="B998" s="123" t="s">
        <v>1113</v>
      </c>
      <c r="C998" s="124">
        <v>2705</v>
      </c>
      <c r="D998" s="125">
        <v>3290.4750000000004</v>
      </c>
      <c r="E998" s="126">
        <v>376.57740000000001</v>
      </c>
      <c r="F998" s="126">
        <v>188.66370000000001</v>
      </c>
      <c r="G998" s="127">
        <v>8.7378451282525198</v>
      </c>
      <c r="H998" s="127">
        <v>14.337681281560787</v>
      </c>
      <c r="I998" s="128">
        <v>19874764</v>
      </c>
      <c r="J998" s="128">
        <v>21932747</v>
      </c>
      <c r="K998" s="128">
        <v>19835555</v>
      </c>
      <c r="L998" s="128">
        <v>19032380</v>
      </c>
      <c r="M998" s="128">
        <v>19770290</v>
      </c>
      <c r="N998" s="128">
        <v>20014655</v>
      </c>
      <c r="O998" s="128">
        <v>5391013</v>
      </c>
    </row>
    <row r="999" spans="1:15">
      <c r="A999" s="132" t="s">
        <v>1632</v>
      </c>
      <c r="B999" s="123" t="s">
        <v>1633</v>
      </c>
      <c r="C999" s="124">
        <v>44590</v>
      </c>
      <c r="D999" s="125">
        <v>51227.735999999997</v>
      </c>
      <c r="E999" s="126">
        <v>5612.3046000000004</v>
      </c>
      <c r="F999" s="126">
        <v>3043.9277000000002</v>
      </c>
      <c r="G999" s="127">
        <v>9.1277540424302686</v>
      </c>
      <c r="H999" s="127">
        <v>14.648836764421178</v>
      </c>
      <c r="I999" s="128">
        <v>340698296</v>
      </c>
      <c r="J999" s="128">
        <v>343287754</v>
      </c>
      <c r="K999" s="128">
        <v>315613057</v>
      </c>
      <c r="L999" s="128">
        <v>326557218</v>
      </c>
      <c r="M999" s="128">
        <v>336641135</v>
      </c>
      <c r="N999" s="128">
        <v>327403959</v>
      </c>
      <c r="O999" s="128">
        <v>151696796</v>
      </c>
    </row>
    <row r="1000" spans="1:15">
      <c r="A1000" s="132" t="s">
        <v>1856</v>
      </c>
      <c r="B1000" s="123" t="s">
        <v>1857</v>
      </c>
      <c r="C1000" s="124">
        <v>3074</v>
      </c>
      <c r="D1000" s="125">
        <v>4029.3340000000003</v>
      </c>
      <c r="E1000" s="126">
        <v>508.28530000000001</v>
      </c>
      <c r="F1000" s="126">
        <v>232.51300000000001</v>
      </c>
      <c r="G1000" s="127">
        <v>7.9273077541294237</v>
      </c>
      <c r="H1000" s="127">
        <v>13.220766150709853</v>
      </c>
      <c r="I1000" s="128">
        <v>20723901</v>
      </c>
      <c r="J1000" s="128">
        <v>21907431</v>
      </c>
      <c r="K1000" s="128">
        <v>22032604</v>
      </c>
      <c r="L1000" s="128">
        <v>22019063</v>
      </c>
      <c r="M1000" s="128">
        <v>23092109</v>
      </c>
      <c r="N1000" s="128">
        <v>23222062</v>
      </c>
      <c r="O1000" s="128">
        <v>1851089</v>
      </c>
    </row>
    <row r="1001" spans="1:15">
      <c r="A1001" s="132" t="s">
        <v>1880</v>
      </c>
      <c r="B1001" s="123" t="s">
        <v>1881</v>
      </c>
      <c r="C1001" s="124">
        <v>660</v>
      </c>
      <c r="D1001" s="125">
        <v>936.27</v>
      </c>
      <c r="E1001" s="126">
        <v>78.487899999999996</v>
      </c>
      <c r="F1001" s="126">
        <v>43.4221</v>
      </c>
      <c r="G1001" s="127">
        <v>11.928845083127463</v>
      </c>
      <c r="H1001" s="127">
        <v>15.199633366419404</v>
      </c>
      <c r="I1001" s="128">
        <v>4877324</v>
      </c>
      <c r="J1001" s="128">
        <v>5103834</v>
      </c>
      <c r="K1001" s="128">
        <v>4711791</v>
      </c>
      <c r="L1001" s="128">
        <v>4838577</v>
      </c>
      <c r="M1001" s="128">
        <v>5142493</v>
      </c>
      <c r="N1001" s="128">
        <v>5259095</v>
      </c>
      <c r="O1001" s="128">
        <v>3183163</v>
      </c>
    </row>
    <row r="1002" spans="1:15">
      <c r="A1002" s="132" t="s">
        <v>1092</v>
      </c>
      <c r="B1002" s="123" t="s">
        <v>1093</v>
      </c>
      <c r="C1002" s="124">
        <v>32034</v>
      </c>
      <c r="D1002" s="125">
        <v>36612.317999999999</v>
      </c>
      <c r="E1002" s="126">
        <v>4158.9151999999995</v>
      </c>
      <c r="F1002" s="126">
        <v>2206.3928000000001</v>
      </c>
      <c r="G1002" s="127">
        <v>8.8033336193053433</v>
      </c>
      <c r="H1002" s="127">
        <v>14.518720329399189</v>
      </c>
      <c r="I1002" s="128">
        <v>226489078</v>
      </c>
      <c r="J1002" s="128">
        <v>229873279</v>
      </c>
      <c r="K1002" s="128">
        <v>228323047</v>
      </c>
      <c r="L1002" s="128">
        <v>218318558</v>
      </c>
      <c r="M1002" s="128">
        <v>228962693</v>
      </c>
      <c r="N1002" s="128">
        <v>236278302</v>
      </c>
      <c r="O1002" s="128">
        <v>49423921</v>
      </c>
    </row>
    <row r="1003" spans="1:15">
      <c r="A1003" s="132" t="s">
        <v>463</v>
      </c>
      <c r="B1003" s="123" t="s">
        <v>464</v>
      </c>
      <c r="C1003" s="124">
        <v>124</v>
      </c>
      <c r="D1003" s="125">
        <v>194.005</v>
      </c>
      <c r="E1003" s="126">
        <v>24.947700000000001</v>
      </c>
      <c r="F1003" s="126">
        <v>14.501099999999999</v>
      </c>
      <c r="G1003" s="127">
        <v>7.7764683718338761</v>
      </c>
      <c r="H1003" s="127">
        <v>8.551075435656605</v>
      </c>
      <c r="I1003" s="128">
        <v>1196436</v>
      </c>
      <c r="J1003" s="128">
        <v>1293094</v>
      </c>
      <c r="K1003" s="128">
        <v>1157767</v>
      </c>
      <c r="L1003" s="128">
        <v>1278374</v>
      </c>
      <c r="M1003" s="128">
        <v>1329412</v>
      </c>
      <c r="N1003" s="128">
        <v>1296195</v>
      </c>
      <c r="O1003" s="128">
        <v>570709</v>
      </c>
    </row>
    <row r="1004" spans="1:15">
      <c r="A1004" s="132" t="s">
        <v>664</v>
      </c>
      <c r="B1004" s="123" t="s">
        <v>665</v>
      </c>
      <c r="C1004" s="124">
        <v>3762</v>
      </c>
      <c r="D1004" s="125">
        <v>4773.8960000000006</v>
      </c>
      <c r="E1004" s="126">
        <v>584.7106</v>
      </c>
      <c r="F1004" s="126">
        <v>276.92129999999997</v>
      </c>
      <c r="G1004" s="127">
        <v>8.1645449902909242</v>
      </c>
      <c r="H1004" s="127">
        <v>13.585087170976015</v>
      </c>
      <c r="I1004" s="128">
        <v>24192748</v>
      </c>
      <c r="J1004" s="128">
        <v>24378053</v>
      </c>
      <c r="K1004" s="128">
        <v>25127305</v>
      </c>
      <c r="L1004" s="128">
        <v>27144760</v>
      </c>
      <c r="M1004" s="128">
        <v>28168507</v>
      </c>
      <c r="N1004" s="128">
        <v>29797424</v>
      </c>
      <c r="O1004" s="128">
        <v>3040433</v>
      </c>
    </row>
    <row r="1005" spans="1:15">
      <c r="A1005" s="132" t="s">
        <v>1056</v>
      </c>
      <c r="B1005" s="123" t="s">
        <v>1057</v>
      </c>
      <c r="C1005" s="124">
        <v>3021</v>
      </c>
      <c r="D1005" s="125">
        <v>3776.9690000000001</v>
      </c>
      <c r="E1005" s="126">
        <v>361.06119999999999</v>
      </c>
      <c r="F1005" s="126">
        <v>178.2362</v>
      </c>
      <c r="G1005" s="127">
        <v>10.460744605069722</v>
      </c>
      <c r="H1005" s="127">
        <v>16.949418804934126</v>
      </c>
      <c r="I1005" s="128">
        <v>21588493</v>
      </c>
      <c r="J1005" s="128">
        <v>22061588</v>
      </c>
      <c r="K1005" s="128">
        <v>20724565</v>
      </c>
      <c r="L1005" s="128">
        <v>21776740</v>
      </c>
      <c r="M1005" s="128">
        <v>22204583</v>
      </c>
      <c r="N1005" s="128">
        <v>20053193</v>
      </c>
      <c r="O1005" s="128">
        <v>4183162</v>
      </c>
    </row>
    <row r="1006" spans="1:15">
      <c r="A1006" s="132" t="s">
        <v>1518</v>
      </c>
      <c r="B1006" s="123" t="s">
        <v>1519</v>
      </c>
      <c r="C1006" s="124">
        <v>805</v>
      </c>
      <c r="D1006" s="125">
        <v>1170.482</v>
      </c>
      <c r="E1006" s="126">
        <v>110.7051</v>
      </c>
      <c r="F1006" s="126">
        <v>64.84</v>
      </c>
      <c r="G1006" s="127">
        <v>10.572972699541394</v>
      </c>
      <c r="H1006" s="127">
        <v>12.415175817396667</v>
      </c>
      <c r="I1006" s="128">
        <v>6636100</v>
      </c>
      <c r="J1006" s="128">
        <v>6305250</v>
      </c>
      <c r="K1006" s="128">
        <v>6052350</v>
      </c>
      <c r="L1006" s="128">
        <v>6957097</v>
      </c>
      <c r="M1006" s="128">
        <v>6626675</v>
      </c>
      <c r="N1006" s="128">
        <v>6786874</v>
      </c>
      <c r="O1006" s="128">
        <v>1096913</v>
      </c>
    </row>
    <row r="1007" spans="1:15">
      <c r="A1007" s="132" t="s">
        <v>1824</v>
      </c>
      <c r="B1007" s="123" t="s">
        <v>1825</v>
      </c>
      <c r="C1007" s="124">
        <v>782</v>
      </c>
      <c r="D1007" s="125">
        <v>1193.7240000000002</v>
      </c>
      <c r="E1007" s="126">
        <v>124.7372</v>
      </c>
      <c r="F1007" s="126">
        <v>73.004900000000006</v>
      </c>
      <c r="G1007" s="127">
        <v>9.5699117825315962</v>
      </c>
      <c r="H1007" s="127">
        <v>10.711609768659363</v>
      </c>
      <c r="I1007" s="128">
        <v>7041978</v>
      </c>
      <c r="J1007" s="128">
        <v>6619563</v>
      </c>
      <c r="K1007" s="128">
        <v>6583665</v>
      </c>
      <c r="L1007" s="128">
        <v>7375730</v>
      </c>
      <c r="M1007" s="128">
        <v>6849565</v>
      </c>
      <c r="N1007" s="128">
        <v>7411681</v>
      </c>
      <c r="O1007" s="128">
        <v>1714232</v>
      </c>
    </row>
    <row r="1008" spans="1:15">
      <c r="A1008" s="132" t="s">
        <v>1012</v>
      </c>
      <c r="B1008" s="123" t="s">
        <v>1013</v>
      </c>
      <c r="C1008" s="124">
        <v>1212</v>
      </c>
      <c r="D1008" s="125">
        <v>1829.8810000000001</v>
      </c>
      <c r="E1008" s="126">
        <v>237.66300000000001</v>
      </c>
      <c r="F1008" s="126">
        <v>102.5558</v>
      </c>
      <c r="G1008" s="127">
        <v>7.6994778320563153</v>
      </c>
      <c r="H1008" s="127">
        <v>11.817956663591918</v>
      </c>
      <c r="I1008" s="128">
        <v>13092994</v>
      </c>
      <c r="J1008" s="128">
        <v>13162694</v>
      </c>
      <c r="K1008" s="128">
        <v>11510431</v>
      </c>
      <c r="L1008" s="128">
        <v>12096609</v>
      </c>
      <c r="M1008" s="128">
        <v>12037150</v>
      </c>
      <c r="N1008" s="128">
        <v>12243415</v>
      </c>
      <c r="O1008" s="128">
        <v>7132251</v>
      </c>
    </row>
    <row r="1009" spans="1:15">
      <c r="A1009" s="132" t="s">
        <v>2053</v>
      </c>
      <c r="B1009" s="123" t="s">
        <v>2054</v>
      </c>
      <c r="C1009" s="124">
        <v>356</v>
      </c>
      <c r="D1009" s="125">
        <v>571.11200000000008</v>
      </c>
      <c r="E1009" s="126">
        <v>81.964100000000002</v>
      </c>
      <c r="F1009" s="126">
        <v>42.856200000000001</v>
      </c>
      <c r="G1009" s="127">
        <v>6.9678310382228323</v>
      </c>
      <c r="H1009" s="127">
        <v>8.306849417353849</v>
      </c>
      <c r="I1009" s="128">
        <v>9614900</v>
      </c>
      <c r="J1009" s="128">
        <v>7984304</v>
      </c>
      <c r="K1009" s="128">
        <v>9215970</v>
      </c>
      <c r="L1009" s="128">
        <v>10069250</v>
      </c>
      <c r="M1009" s="128">
        <v>8675103</v>
      </c>
      <c r="N1009" s="128">
        <v>5190291</v>
      </c>
      <c r="O1009" s="128">
        <v>16167</v>
      </c>
    </row>
    <row r="1010" spans="1:15">
      <c r="A1010" s="132" t="s">
        <v>80</v>
      </c>
      <c r="B1010" s="123" t="s">
        <v>81</v>
      </c>
      <c r="C1010" s="124">
        <v>741</v>
      </c>
      <c r="D1010" s="125">
        <v>1075.2280000000001</v>
      </c>
      <c r="E1010" s="126">
        <v>118.47750000000001</v>
      </c>
      <c r="F1010" s="126">
        <v>61.817599999999999</v>
      </c>
      <c r="G1010" s="127">
        <v>9.0753771813213486</v>
      </c>
      <c r="H1010" s="127">
        <v>11.986877523553163</v>
      </c>
      <c r="I1010" s="128">
        <v>6769426</v>
      </c>
      <c r="J1010" s="128">
        <v>6765056</v>
      </c>
      <c r="K1010" s="128">
        <v>6585343</v>
      </c>
      <c r="L1010" s="128">
        <v>6885400</v>
      </c>
      <c r="M1010" s="128">
        <v>7037582</v>
      </c>
      <c r="N1010" s="128">
        <v>6985580</v>
      </c>
      <c r="O1010" s="128">
        <v>971813</v>
      </c>
    </row>
    <row r="1011" spans="1:15">
      <c r="A1011" s="132" t="s">
        <v>229</v>
      </c>
      <c r="B1011" s="123" t="s">
        <v>230</v>
      </c>
      <c r="C1011" s="124">
        <v>1114</v>
      </c>
      <c r="D1011" s="125">
        <v>1518.5790000000002</v>
      </c>
      <c r="E1011" s="126">
        <v>168.4796</v>
      </c>
      <c r="F1011" s="126">
        <v>86.212500000000006</v>
      </c>
      <c r="G1011" s="127">
        <v>9.0134295190634361</v>
      </c>
      <c r="H1011" s="127">
        <v>12.921560098593591</v>
      </c>
      <c r="I1011" s="128">
        <v>9758882</v>
      </c>
      <c r="J1011" s="128">
        <v>10532137</v>
      </c>
      <c r="K1011" s="128">
        <v>9715661</v>
      </c>
      <c r="L1011" s="128">
        <v>9851440</v>
      </c>
      <c r="M1011" s="128">
        <v>10526338</v>
      </c>
      <c r="N1011" s="128">
        <v>10492954</v>
      </c>
      <c r="O1011" s="128">
        <v>4985752</v>
      </c>
    </row>
    <row r="1012" spans="1:15">
      <c r="A1012" s="132" t="s">
        <v>249</v>
      </c>
      <c r="B1012" s="123" t="s">
        <v>250</v>
      </c>
      <c r="C1012" s="124">
        <v>2287</v>
      </c>
      <c r="D1012" s="125">
        <v>2995.6469999999999</v>
      </c>
      <c r="E1012" s="126">
        <v>355.77089999999998</v>
      </c>
      <c r="F1012" s="126">
        <v>168.25540000000001</v>
      </c>
      <c r="G1012" s="127">
        <v>8.4201574665044276</v>
      </c>
      <c r="H1012" s="127">
        <v>13.592431505913034</v>
      </c>
      <c r="I1012" s="128">
        <v>19302114</v>
      </c>
      <c r="J1012" s="128">
        <v>18726959</v>
      </c>
      <c r="K1012" s="128">
        <v>18037803</v>
      </c>
      <c r="L1012" s="128">
        <v>19901111</v>
      </c>
      <c r="M1012" s="128">
        <v>19369060</v>
      </c>
      <c r="N1012" s="128">
        <v>19174971</v>
      </c>
      <c r="O1012" s="128">
        <v>2824476</v>
      </c>
    </row>
    <row r="1013" spans="1:15">
      <c r="A1013" s="132" t="s">
        <v>371</v>
      </c>
      <c r="B1013" s="123" t="s">
        <v>372</v>
      </c>
      <c r="C1013" s="124">
        <v>579</v>
      </c>
      <c r="D1013" s="125">
        <v>883.45600000000002</v>
      </c>
      <c r="E1013" s="126">
        <v>103.0943</v>
      </c>
      <c r="F1013" s="126">
        <v>55.985199999999999</v>
      </c>
      <c r="G1013" s="127">
        <v>8.5693971441680095</v>
      </c>
      <c r="H1013" s="127">
        <v>10.342018962154285</v>
      </c>
      <c r="I1013" s="128">
        <v>7017232</v>
      </c>
      <c r="J1013" s="128">
        <v>6132993</v>
      </c>
      <c r="K1013" s="128">
        <v>6010376</v>
      </c>
      <c r="L1013" s="128">
        <v>7250680</v>
      </c>
      <c r="M1013" s="128">
        <v>6345340</v>
      </c>
      <c r="N1013" s="128">
        <v>6374550</v>
      </c>
      <c r="O1013" s="128">
        <v>1663673</v>
      </c>
    </row>
    <row r="1014" spans="1:15">
      <c r="A1014" s="132" t="s">
        <v>524</v>
      </c>
      <c r="B1014" s="123" t="s">
        <v>525</v>
      </c>
      <c r="C1014" s="124">
        <v>3007</v>
      </c>
      <c r="D1014" s="125">
        <v>3793.4490000000001</v>
      </c>
      <c r="E1014" s="126">
        <v>433.82940000000002</v>
      </c>
      <c r="F1014" s="126">
        <v>217.31180000000001</v>
      </c>
      <c r="G1014" s="127">
        <v>8.7441030967472457</v>
      </c>
      <c r="H1014" s="127">
        <v>13.837260562933075</v>
      </c>
      <c r="I1014" s="128">
        <v>26503398</v>
      </c>
      <c r="J1014" s="128">
        <v>26664697</v>
      </c>
      <c r="K1014" s="128">
        <v>24647554</v>
      </c>
      <c r="L1014" s="128">
        <v>27080177</v>
      </c>
      <c r="M1014" s="128">
        <v>27166674</v>
      </c>
      <c r="N1014" s="128">
        <v>26530166</v>
      </c>
      <c r="O1014" s="128">
        <v>6437034</v>
      </c>
    </row>
    <row r="1015" spans="1:15">
      <c r="A1015" s="132" t="s">
        <v>1448</v>
      </c>
      <c r="B1015" s="123" t="s">
        <v>1449</v>
      </c>
      <c r="C1015" s="124">
        <v>1064</v>
      </c>
      <c r="D1015" s="125">
        <v>1485.1860000000001</v>
      </c>
      <c r="E1015" s="126">
        <v>161.88829999999999</v>
      </c>
      <c r="F1015" s="126">
        <v>89.480500000000006</v>
      </c>
      <c r="G1015" s="127">
        <v>9.174140441279576</v>
      </c>
      <c r="H1015" s="127">
        <v>11.890858902218918</v>
      </c>
      <c r="I1015" s="128">
        <v>10291488</v>
      </c>
      <c r="J1015" s="128">
        <v>10336751</v>
      </c>
      <c r="K1015" s="128">
        <v>9911971</v>
      </c>
      <c r="L1015" s="128">
        <v>10556485</v>
      </c>
      <c r="M1015" s="128">
        <v>10499579</v>
      </c>
      <c r="N1015" s="128">
        <v>9924950</v>
      </c>
      <c r="O1015" s="128">
        <v>1703603</v>
      </c>
    </row>
    <row r="1016" spans="1:15">
      <c r="A1016" s="132" t="s">
        <v>1762</v>
      </c>
      <c r="B1016" s="123" t="s">
        <v>1763</v>
      </c>
      <c r="C1016" s="124">
        <v>264</v>
      </c>
      <c r="D1016" s="125">
        <v>403.19400000000002</v>
      </c>
      <c r="E1016" s="126">
        <v>48.863900000000001</v>
      </c>
      <c r="F1016" s="126">
        <v>26.115100000000002</v>
      </c>
      <c r="G1016" s="127">
        <v>8.2513675740168093</v>
      </c>
      <c r="H1016" s="127">
        <v>10.109093972452719</v>
      </c>
      <c r="I1016" s="128">
        <v>2840197</v>
      </c>
      <c r="J1016" s="128">
        <v>2799207</v>
      </c>
      <c r="K1016" s="128">
        <v>2738122</v>
      </c>
      <c r="L1016" s="128">
        <v>2927194</v>
      </c>
      <c r="M1016" s="128">
        <v>3031990</v>
      </c>
      <c r="N1016" s="128">
        <v>2795289</v>
      </c>
      <c r="O1016" s="128">
        <v>212741</v>
      </c>
    </row>
    <row r="1017" spans="1:15">
      <c r="A1017" s="132" t="s">
        <v>852</v>
      </c>
      <c r="B1017" s="123" t="s">
        <v>853</v>
      </c>
      <c r="C1017" s="124">
        <v>741</v>
      </c>
      <c r="D1017" s="125">
        <v>1116.066</v>
      </c>
      <c r="E1017" s="126">
        <v>131.40309999999999</v>
      </c>
      <c r="F1017" s="126">
        <v>65.930800000000005</v>
      </c>
      <c r="G1017" s="127">
        <v>8.4934525897790856</v>
      </c>
      <c r="H1017" s="127">
        <v>11.239056707942266</v>
      </c>
      <c r="I1017" s="128">
        <v>7177722</v>
      </c>
      <c r="J1017" s="128">
        <v>7103256</v>
      </c>
      <c r="K1017" s="128">
        <v>6824349</v>
      </c>
      <c r="L1017" s="128">
        <v>7650424</v>
      </c>
      <c r="M1017" s="128">
        <v>7449617</v>
      </c>
      <c r="N1017" s="128">
        <v>7419147</v>
      </c>
      <c r="O1017" s="128">
        <v>3283493</v>
      </c>
    </row>
    <row r="1018" spans="1:15">
      <c r="A1018" s="132" t="s">
        <v>1291</v>
      </c>
      <c r="B1018" s="123" t="s">
        <v>1292</v>
      </c>
      <c r="C1018" s="124">
        <v>1601</v>
      </c>
      <c r="D1018" s="125">
        <v>2080.4499999999998</v>
      </c>
      <c r="E1018" s="126">
        <v>257.74520000000001</v>
      </c>
      <c r="F1018" s="126">
        <v>131.47370000000001</v>
      </c>
      <c r="G1018" s="127">
        <v>8.071731306732385</v>
      </c>
      <c r="H1018" s="127">
        <v>12.177340411047988</v>
      </c>
      <c r="I1018" s="128">
        <v>13644450</v>
      </c>
      <c r="J1018" s="128">
        <v>12082634</v>
      </c>
      <c r="K1018" s="128">
        <v>13410343</v>
      </c>
      <c r="L1018" s="128">
        <v>12443664</v>
      </c>
      <c r="M1018" s="128">
        <v>12550727</v>
      </c>
      <c r="N1018" s="128">
        <v>13064924</v>
      </c>
      <c r="O1018" s="128">
        <v>2077413</v>
      </c>
    </row>
    <row r="1019" spans="1:15">
      <c r="A1019" s="132" t="s">
        <v>1548</v>
      </c>
      <c r="B1019" s="123" t="s">
        <v>1549</v>
      </c>
      <c r="C1019" s="124">
        <v>1135</v>
      </c>
      <c r="D1019" s="125">
        <v>1608.905</v>
      </c>
      <c r="E1019" s="126">
        <v>163.52789999999999</v>
      </c>
      <c r="F1019" s="126">
        <v>87.876900000000006</v>
      </c>
      <c r="G1019" s="127">
        <v>9.8387186529026547</v>
      </c>
      <c r="H1019" s="127">
        <v>12.915794708279423</v>
      </c>
      <c r="I1019" s="128">
        <v>8836376</v>
      </c>
      <c r="J1019" s="128">
        <v>8837964</v>
      </c>
      <c r="K1019" s="128">
        <v>9885551</v>
      </c>
      <c r="L1019" s="128">
        <v>9489750</v>
      </c>
      <c r="M1019" s="128">
        <v>9611738</v>
      </c>
      <c r="N1019" s="128">
        <v>9138121</v>
      </c>
      <c r="O1019" s="128">
        <v>3287858</v>
      </c>
    </row>
    <row r="1020" spans="1:15">
      <c r="A1020" s="132" t="s">
        <v>2076</v>
      </c>
      <c r="B1020" s="123" t="s">
        <v>2077</v>
      </c>
      <c r="C1020" s="124">
        <v>357</v>
      </c>
      <c r="D1020" s="125">
        <v>546.60199999999998</v>
      </c>
      <c r="E1020" s="126">
        <v>59.341999999999999</v>
      </c>
      <c r="F1020" s="126">
        <v>38.311900000000001</v>
      </c>
      <c r="G1020" s="127">
        <v>9.2110478244750773</v>
      </c>
      <c r="H1020" s="127">
        <v>9.3182535974462244</v>
      </c>
      <c r="I1020" s="128">
        <v>3926452</v>
      </c>
      <c r="J1020" s="128">
        <v>3732171</v>
      </c>
      <c r="K1020" s="128">
        <v>3883605</v>
      </c>
      <c r="L1020" s="128">
        <v>4098463</v>
      </c>
      <c r="M1020" s="128">
        <v>3786219</v>
      </c>
      <c r="N1020" s="128">
        <v>4052869</v>
      </c>
      <c r="O1020" s="128">
        <v>196698</v>
      </c>
    </row>
    <row r="1021" spans="1:15">
      <c r="A1021" s="132" t="s">
        <v>58</v>
      </c>
      <c r="B1021" s="123" t="s">
        <v>59</v>
      </c>
      <c r="C1021" s="124">
        <v>858</v>
      </c>
      <c r="D1021" s="125">
        <v>1216.9160000000002</v>
      </c>
      <c r="E1021" s="126">
        <v>138.38159999999999</v>
      </c>
      <c r="F1021" s="126">
        <v>74.763900000000007</v>
      </c>
      <c r="G1021" s="127">
        <v>8.7939147979211132</v>
      </c>
      <c r="H1021" s="127">
        <v>11.476126847315347</v>
      </c>
      <c r="I1021" s="128">
        <v>6479769</v>
      </c>
      <c r="J1021" s="128">
        <v>6900172</v>
      </c>
      <c r="K1021" s="128">
        <v>6612827</v>
      </c>
      <c r="L1021" s="128">
        <v>6520251</v>
      </c>
      <c r="M1021" s="128">
        <v>7199077</v>
      </c>
      <c r="N1021" s="128">
        <v>7033769</v>
      </c>
      <c r="O1021" s="128">
        <v>2000723</v>
      </c>
    </row>
    <row r="1022" spans="1:15">
      <c r="A1022" s="132" t="s">
        <v>2055</v>
      </c>
      <c r="B1022" s="123" t="s">
        <v>2056</v>
      </c>
      <c r="C1022" s="124">
        <v>1444</v>
      </c>
      <c r="D1022" s="125">
        <v>1824.8970000000002</v>
      </c>
      <c r="E1022" s="126">
        <v>214.447</v>
      </c>
      <c r="F1022" s="126">
        <v>110.5274</v>
      </c>
      <c r="G1022" s="127">
        <v>8.5097809715221011</v>
      </c>
      <c r="H1022" s="127">
        <v>13.064633746926102</v>
      </c>
      <c r="I1022" s="128">
        <v>10786989</v>
      </c>
      <c r="J1022" s="128">
        <v>10805605</v>
      </c>
      <c r="K1022" s="128">
        <v>10705065</v>
      </c>
      <c r="L1022" s="128">
        <v>11174887</v>
      </c>
      <c r="M1022" s="128">
        <v>10905202</v>
      </c>
      <c r="N1022" s="128">
        <v>11124774</v>
      </c>
      <c r="O1022" s="128">
        <v>1599678</v>
      </c>
    </row>
    <row r="1023" spans="1:15">
      <c r="A1023" s="132" t="s">
        <v>537</v>
      </c>
      <c r="B1023" s="123" t="s">
        <v>538</v>
      </c>
      <c r="C1023" s="124">
        <v>1531</v>
      </c>
      <c r="D1023" s="125">
        <v>1940.42</v>
      </c>
      <c r="E1023" s="126">
        <v>222.06700000000001</v>
      </c>
      <c r="F1023" s="126">
        <v>117.0675</v>
      </c>
      <c r="G1023" s="127">
        <v>8.7379934884516839</v>
      </c>
      <c r="H1023" s="127">
        <v>13.077925128665086</v>
      </c>
      <c r="I1023" s="128">
        <v>14714389</v>
      </c>
      <c r="J1023" s="128">
        <v>15023927</v>
      </c>
      <c r="K1023" s="128">
        <v>13763607</v>
      </c>
      <c r="L1023" s="128">
        <v>15044283</v>
      </c>
      <c r="M1023" s="128">
        <v>15517483</v>
      </c>
      <c r="N1023" s="128">
        <v>17415822</v>
      </c>
      <c r="O1023" s="128">
        <v>13390528</v>
      </c>
    </row>
    <row r="1024" spans="1:15">
      <c r="A1024" s="132" t="s">
        <v>1490</v>
      </c>
      <c r="B1024" s="123" t="s">
        <v>1491</v>
      </c>
      <c r="C1024" s="124">
        <v>501</v>
      </c>
      <c r="D1024" s="125">
        <v>905.62100000000009</v>
      </c>
      <c r="E1024" s="126">
        <v>96.094600000000014</v>
      </c>
      <c r="F1024" s="126">
        <v>52.294899999999998</v>
      </c>
      <c r="G1024" s="127">
        <v>9.4242652552796926</v>
      </c>
      <c r="H1024" s="127">
        <v>9.5802841194839274</v>
      </c>
      <c r="I1024" s="128">
        <v>8135933</v>
      </c>
      <c r="J1024" s="128">
        <v>6614848</v>
      </c>
      <c r="K1024" s="128">
        <v>7133651</v>
      </c>
      <c r="L1024" s="128">
        <v>6757553</v>
      </c>
      <c r="M1024" s="128">
        <v>6487276</v>
      </c>
      <c r="N1024" s="128">
        <v>7140359</v>
      </c>
      <c r="O1024" s="128">
        <v>2706135</v>
      </c>
    </row>
    <row r="1025" spans="1:15">
      <c r="A1025" s="132" t="s">
        <v>770</v>
      </c>
      <c r="B1025" s="123" t="s">
        <v>771</v>
      </c>
      <c r="C1025" s="124">
        <v>2531</v>
      </c>
      <c r="D1025" s="125">
        <v>3297.1210000000001</v>
      </c>
      <c r="E1025" s="126">
        <v>365.97680000000003</v>
      </c>
      <c r="F1025" s="126">
        <v>195.1352</v>
      </c>
      <c r="G1025" s="127">
        <v>9.0090983909362556</v>
      </c>
      <c r="H1025" s="127">
        <v>12.970494303436796</v>
      </c>
      <c r="I1025" s="128">
        <v>16963736</v>
      </c>
      <c r="J1025" s="128">
        <v>18168434</v>
      </c>
      <c r="K1025" s="128">
        <v>18111180</v>
      </c>
      <c r="L1025" s="128">
        <v>17228931</v>
      </c>
      <c r="M1025" s="128">
        <v>18408838</v>
      </c>
      <c r="N1025" s="128">
        <v>19166985</v>
      </c>
      <c r="O1025" s="128">
        <v>1674775</v>
      </c>
    </row>
    <row r="1026" spans="1:15">
      <c r="A1026" s="132" t="s">
        <v>1371</v>
      </c>
      <c r="B1026" s="123" t="s">
        <v>1372</v>
      </c>
      <c r="C1026" s="124">
        <v>179</v>
      </c>
      <c r="D1026" s="125">
        <v>291.11099999999999</v>
      </c>
      <c r="E1026" s="126">
        <v>33.692700000000002</v>
      </c>
      <c r="F1026" s="126">
        <v>19.6511</v>
      </c>
      <c r="G1026" s="127">
        <v>8.6401802170796635</v>
      </c>
      <c r="H1026" s="127">
        <v>9.1089048450213976</v>
      </c>
      <c r="I1026" s="128">
        <v>1763790</v>
      </c>
      <c r="J1026" s="128">
        <v>1871066</v>
      </c>
      <c r="K1026" s="128">
        <v>1743981</v>
      </c>
      <c r="L1026" s="128">
        <v>1842665</v>
      </c>
      <c r="M1026" s="128">
        <v>1890669</v>
      </c>
      <c r="N1026" s="128">
        <v>1891067</v>
      </c>
      <c r="O1026" s="128">
        <v>494562</v>
      </c>
    </row>
    <row r="1027" spans="1:15">
      <c r="A1027" s="132" t="s">
        <v>1414</v>
      </c>
      <c r="B1027" s="123" t="s">
        <v>1415</v>
      </c>
      <c r="C1027" s="124">
        <v>737</v>
      </c>
      <c r="D1027" s="125">
        <v>1230.5990000000002</v>
      </c>
      <c r="E1027" s="126">
        <v>137.93019999999999</v>
      </c>
      <c r="F1027" s="126">
        <v>74.3446</v>
      </c>
      <c r="G1027" s="127">
        <v>8.9218967274752039</v>
      </c>
      <c r="H1027" s="127">
        <v>9.9132956529458767</v>
      </c>
      <c r="I1027" s="128">
        <v>7608424</v>
      </c>
      <c r="J1027" s="128">
        <v>7193738</v>
      </c>
      <c r="K1027" s="128">
        <v>6844468</v>
      </c>
      <c r="L1027" s="128">
        <v>7887143</v>
      </c>
      <c r="M1027" s="128">
        <v>7472531</v>
      </c>
      <c r="N1027" s="128">
        <v>7908690</v>
      </c>
      <c r="O1027" s="128">
        <v>1613000</v>
      </c>
    </row>
    <row r="1028" spans="1:15">
      <c r="A1028" s="132" t="s">
        <v>2084</v>
      </c>
      <c r="B1028" s="123" t="s">
        <v>2085</v>
      </c>
      <c r="C1028" s="124">
        <v>3724</v>
      </c>
      <c r="D1028" s="125">
        <v>4483.1090000000004</v>
      </c>
      <c r="E1028" s="126">
        <v>566.08960000000002</v>
      </c>
      <c r="F1028" s="126">
        <v>250.4804</v>
      </c>
      <c r="G1028" s="127">
        <v>7.9194336020304918</v>
      </c>
      <c r="H1028" s="127">
        <v>14.867430745080254</v>
      </c>
      <c r="I1028" s="128">
        <v>36402988</v>
      </c>
      <c r="J1028" s="128">
        <v>35176271</v>
      </c>
      <c r="K1028" s="128">
        <v>31744393</v>
      </c>
      <c r="L1028" s="128">
        <v>36927987</v>
      </c>
      <c r="M1028" s="128">
        <v>35701267</v>
      </c>
      <c r="N1028" s="128">
        <v>36788040</v>
      </c>
      <c r="O1028" s="128">
        <v>5077612</v>
      </c>
    </row>
    <row r="1029" spans="1:15">
      <c r="A1029" s="132" t="s">
        <v>491</v>
      </c>
      <c r="B1029" s="123" t="s">
        <v>492</v>
      </c>
      <c r="C1029" s="124">
        <v>1997</v>
      </c>
      <c r="D1029" s="125">
        <v>2661.1950000000002</v>
      </c>
      <c r="E1029" s="126">
        <v>354.05309999999997</v>
      </c>
      <c r="F1029" s="126">
        <v>131.70670000000001</v>
      </c>
      <c r="G1029" s="127">
        <v>7.5163725441183837</v>
      </c>
      <c r="H1029" s="127">
        <v>15.162478446426794</v>
      </c>
      <c r="I1029" s="128">
        <v>17459597</v>
      </c>
      <c r="J1029" s="128">
        <v>15875303</v>
      </c>
      <c r="K1029" s="128">
        <v>16920223</v>
      </c>
      <c r="L1029" s="128">
        <v>17459598</v>
      </c>
      <c r="M1029" s="128">
        <v>16084001</v>
      </c>
      <c r="N1029" s="128">
        <v>17237232</v>
      </c>
      <c r="O1029" s="128">
        <v>4842619</v>
      </c>
    </row>
    <row r="1030" spans="1:15">
      <c r="A1030" s="132" t="s">
        <v>1052</v>
      </c>
      <c r="B1030" s="123" t="s">
        <v>1053</v>
      </c>
      <c r="C1030" s="124">
        <v>505</v>
      </c>
      <c r="D1030" s="125">
        <v>932.5440000000001</v>
      </c>
      <c r="E1030" s="126">
        <v>84.501800000000003</v>
      </c>
      <c r="F1030" s="126">
        <v>38.999099999999999</v>
      </c>
      <c r="G1030" s="127">
        <v>11.035788586751998</v>
      </c>
      <c r="H1030" s="127">
        <v>12.949016772181922</v>
      </c>
      <c r="I1030" s="128">
        <v>5318613</v>
      </c>
      <c r="J1030" s="128">
        <v>5517996</v>
      </c>
      <c r="K1030" s="128">
        <v>5445237</v>
      </c>
      <c r="L1030" s="128">
        <v>5636623</v>
      </c>
      <c r="M1030" s="128">
        <v>5517994</v>
      </c>
      <c r="N1030" s="128">
        <v>5631172</v>
      </c>
      <c r="O1030" s="128">
        <v>1600103</v>
      </c>
    </row>
  </sheetData>
  <sheetProtection sheet="1" objects="1" scenarios="1"/>
  <sortState ref="A2:O1030">
    <sortCondition ref="A2:A1030"/>
  </sortState>
  <pageMargins left="0.7" right="0.7" top="0.75" bottom="0.75" header="0.3" footer="0.3"/>
  <pageSetup scale="65" orientation="landscape" r:id="rId1"/>
  <headerFooter>
    <oddFooter>&amp;L&amp;D&amp;RTexas Education Agency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sqref="A1:XFD1048576"/>
    </sheetView>
  </sheetViews>
  <sheetFormatPr defaultRowHeight="12.75"/>
  <cols>
    <col min="1" max="1" width="8.42578125" customWidth="1"/>
    <col min="2" max="3" width="14.140625" customWidth="1"/>
    <col min="4" max="4" width="14.5703125" customWidth="1"/>
    <col min="6" max="6" width="11.28515625" bestFit="1" customWidth="1"/>
  </cols>
  <sheetData>
    <row r="1" spans="1:6" s="210" customFormat="1" ht="63.75">
      <c r="A1" s="210" t="s">
        <v>26</v>
      </c>
      <c r="B1" s="212" t="s">
        <v>2104</v>
      </c>
      <c r="C1" s="212" t="s">
        <v>2113</v>
      </c>
      <c r="D1" s="212" t="s">
        <v>2115</v>
      </c>
      <c r="F1" s="211"/>
    </row>
    <row r="2" spans="1:6">
      <c r="A2">
        <v>1</v>
      </c>
      <c r="B2">
        <v>1</v>
      </c>
      <c r="C2" s="99">
        <v>14.35</v>
      </c>
      <c r="D2" s="99">
        <v>8.3000000000000007</v>
      </c>
      <c r="F2" s="133"/>
    </row>
    <row r="3" spans="1:6">
      <c r="A3">
        <v>2</v>
      </c>
      <c r="B3">
        <v>100</v>
      </c>
      <c r="C3" s="99">
        <v>9.1</v>
      </c>
      <c r="D3" s="99">
        <v>9.5399999999999991</v>
      </c>
    </row>
    <row r="4" spans="1:6">
      <c r="A4">
        <v>3</v>
      </c>
      <c r="B4">
        <v>250</v>
      </c>
      <c r="C4" s="99">
        <v>9.07</v>
      </c>
      <c r="D4" s="99">
        <v>10.8</v>
      </c>
    </row>
    <row r="5" spans="1:6">
      <c r="A5">
        <v>4</v>
      </c>
      <c r="B5">
        <v>500</v>
      </c>
      <c r="C5" s="99">
        <v>9.32</v>
      </c>
      <c r="D5" s="99">
        <v>11.54</v>
      </c>
    </row>
    <row r="6" spans="1:6">
      <c r="A6">
        <v>5</v>
      </c>
      <c r="B6">
        <v>1000</v>
      </c>
      <c r="C6" s="99">
        <v>9.07</v>
      </c>
      <c r="D6" s="99">
        <v>12.65</v>
      </c>
    </row>
    <row r="7" spans="1:6">
      <c r="A7">
        <v>6</v>
      </c>
      <c r="B7">
        <v>1600</v>
      </c>
      <c r="C7" s="99">
        <v>8.7200000000000006</v>
      </c>
      <c r="D7" s="99">
        <v>13.65</v>
      </c>
    </row>
    <row r="8" spans="1:6">
      <c r="A8">
        <v>7</v>
      </c>
      <c r="B8">
        <v>3000</v>
      </c>
      <c r="C8" s="99">
        <v>8.7799999999999994</v>
      </c>
      <c r="D8" s="99">
        <v>14.43</v>
      </c>
    </row>
    <row r="9" spans="1:6">
      <c r="A9">
        <v>8</v>
      </c>
      <c r="B9">
        <v>5000</v>
      </c>
      <c r="C9" s="99">
        <v>8.81</v>
      </c>
      <c r="D9" s="99">
        <v>14.97</v>
      </c>
    </row>
    <row r="10" spans="1:6">
      <c r="A10">
        <v>9</v>
      </c>
      <c r="B10">
        <v>10000</v>
      </c>
      <c r="C10" s="99">
        <v>9.02</v>
      </c>
      <c r="D10" s="99">
        <v>15.12</v>
      </c>
    </row>
    <row r="11" spans="1:6">
      <c r="A11">
        <v>10</v>
      </c>
      <c r="B11">
        <v>25000</v>
      </c>
      <c r="C11" s="99">
        <v>9.4700000000000006</v>
      </c>
      <c r="D11" s="99">
        <v>15.27</v>
      </c>
    </row>
    <row r="12" spans="1:6">
      <c r="A12">
        <v>11</v>
      </c>
      <c r="B12">
        <v>50000</v>
      </c>
      <c r="C12" s="99">
        <v>9.41</v>
      </c>
      <c r="D12" s="99">
        <v>15.44</v>
      </c>
    </row>
  </sheetData>
  <sheetProtection sheet="1" objects="1" scenarios="1"/>
  <pageMargins left="0.7" right="0.7" top="0.75" bottom="0.75" header="0.3" footer="0.3"/>
  <pageSetup orientation="portrait" r:id="rId1"/>
  <headerFooter>
    <oddFooter>&amp;L&amp;D&amp;RTexas Education Agency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FinReview</vt:lpstr>
      <vt:lpstr>TEAData</vt:lpstr>
      <vt:lpstr>Average</vt:lpstr>
      <vt:lpstr>FinReview!Print_Area</vt:lpstr>
    </vt:vector>
  </TitlesOfParts>
  <Company>Texas Education Agency</Company>
  <LinksUpToDate>false</LinksUpToDate>
  <SharedDoc>false</SharedDoc>
  <HyperlinkBase>C:\Documents and Settings\dcohen\Local Settings\Temporary Internet Files\OLK2\</HyperlinkBase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dcohen</dc:creator>
  <cp:lastModifiedBy>Belinda Dyer</cp:lastModifiedBy>
  <cp:lastPrinted>2012-02-09T16:50:45Z</cp:lastPrinted>
  <dcterms:created xsi:type="dcterms:W3CDTF">2008-02-01T17:47:44Z</dcterms:created>
  <dcterms:modified xsi:type="dcterms:W3CDTF">2012-02-10T14:36:43Z</dcterms:modified>
</cp:coreProperties>
</file>