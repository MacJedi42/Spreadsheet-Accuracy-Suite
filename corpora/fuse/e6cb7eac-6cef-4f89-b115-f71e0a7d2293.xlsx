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90" windowWidth="28515" windowHeight="12585"/>
  </bookViews>
  <sheets>
    <sheet name="Tabelle1" sheetId="1" r:id="rId1"/>
    <sheet name="Tabelle2" sheetId="2" r:id="rId2"/>
    <sheet name="Tabelle3" sheetId="3" r:id="rId3"/>
  </sheets>
  <calcPr calcId="125725"/>
</workbook>
</file>

<file path=xl/calcChain.xml><?xml version="1.0" encoding="utf-8"?>
<calcChain xmlns="http://schemas.openxmlformats.org/spreadsheetml/2006/main">
  <c r="I3" i="1"/>
  <c r="K50"/>
  <c r="J50"/>
  <c r="G50"/>
  <c r="L50" s="1"/>
  <c r="K49"/>
  <c r="J49"/>
  <c r="G49"/>
  <c r="L49" s="1"/>
  <c r="K48"/>
  <c r="J48"/>
  <c r="G48"/>
  <c r="L48" s="1"/>
  <c r="K47"/>
  <c r="J47"/>
  <c r="G47"/>
  <c r="L47" s="1"/>
  <c r="K46"/>
  <c r="J46"/>
  <c r="G46"/>
  <c r="L46" s="1"/>
  <c r="K45"/>
  <c r="J45"/>
  <c r="G45"/>
  <c r="L45" s="1"/>
  <c r="K44"/>
  <c r="J44"/>
  <c r="G44"/>
  <c r="L44" s="1"/>
  <c r="K43"/>
  <c r="J43"/>
  <c r="G43"/>
  <c r="L43" s="1"/>
  <c r="K42"/>
  <c r="J42"/>
  <c r="G42"/>
  <c r="L42" s="1"/>
  <c r="K41"/>
  <c r="J41"/>
  <c r="G41"/>
  <c r="L41" s="1"/>
  <c r="K40"/>
  <c r="J40"/>
  <c r="G40"/>
  <c r="L40" s="1"/>
  <c r="K39"/>
  <c r="J39"/>
  <c r="G39"/>
  <c r="L39" s="1"/>
  <c r="K38"/>
  <c r="J38"/>
  <c r="G38"/>
  <c r="L38" s="1"/>
  <c r="K37"/>
  <c r="J37"/>
  <c r="G37"/>
  <c r="L37" s="1"/>
  <c r="K36"/>
  <c r="J36"/>
  <c r="G36"/>
  <c r="L36" s="1"/>
  <c r="K35"/>
  <c r="J35"/>
  <c r="G35"/>
  <c r="L35" s="1"/>
  <c r="K34"/>
  <c r="J34"/>
  <c r="G34"/>
  <c r="L34" s="1"/>
  <c r="K33"/>
  <c r="J33"/>
  <c r="G33"/>
  <c r="L33" s="1"/>
  <c r="K32"/>
  <c r="J32"/>
  <c r="G32"/>
  <c r="L32" s="1"/>
  <c r="K31"/>
  <c r="J31"/>
  <c r="G31"/>
  <c r="L31" s="1"/>
  <c r="K30"/>
  <c r="J30"/>
  <c r="G30"/>
  <c r="L30" s="1"/>
  <c r="K6"/>
  <c r="J6"/>
  <c r="G29"/>
  <c r="L29" s="1"/>
  <c r="G28"/>
  <c r="G27"/>
  <c r="L27" s="1"/>
  <c r="G26"/>
  <c r="L26" s="1"/>
  <c r="G25"/>
  <c r="L25" s="1"/>
  <c r="G24"/>
  <c r="G23"/>
  <c r="L23" s="1"/>
  <c r="G22"/>
  <c r="L22" s="1"/>
  <c r="G21"/>
  <c r="L21" s="1"/>
  <c r="G20"/>
  <c r="L20" s="1"/>
  <c r="G19"/>
  <c r="L19" s="1"/>
  <c r="G18"/>
  <c r="L18" s="1"/>
  <c r="G17"/>
  <c r="L17" s="1"/>
  <c r="G16"/>
  <c r="G15"/>
  <c r="L15" s="1"/>
  <c r="G14"/>
  <c r="L14" s="1"/>
  <c r="G13"/>
  <c r="L13" s="1"/>
  <c r="G12"/>
  <c r="L12" s="1"/>
  <c r="G11"/>
  <c r="L11" s="1"/>
  <c r="G10"/>
  <c r="L10" s="1"/>
  <c r="G9"/>
  <c r="L9" s="1"/>
  <c r="G8"/>
  <c r="L8" s="1"/>
  <c r="G7"/>
  <c r="K7" s="1"/>
  <c r="G6"/>
  <c r="L6" s="1"/>
  <c r="L28"/>
  <c r="L24"/>
  <c r="L16"/>
  <c r="K13"/>
  <c r="K29"/>
  <c r="K28"/>
  <c r="K27"/>
  <c r="K26"/>
  <c r="K25"/>
  <c r="K24"/>
  <c r="K23"/>
  <c r="K22"/>
  <c r="K21"/>
  <c r="K20"/>
  <c r="K19"/>
  <c r="K18"/>
  <c r="K17"/>
  <c r="K16"/>
  <c r="K15"/>
  <c r="K14"/>
  <c r="K11"/>
  <c r="K10"/>
  <c r="K8"/>
  <c r="K12"/>
  <c r="J29"/>
  <c r="J28"/>
  <c r="J27"/>
  <c r="J26"/>
  <c r="J25"/>
  <c r="J24"/>
  <c r="J23"/>
  <c r="J22"/>
  <c r="J21"/>
  <c r="J20"/>
  <c r="J19"/>
  <c r="J18"/>
  <c r="J17"/>
  <c r="J16"/>
  <c r="J15"/>
  <c r="J14"/>
  <c r="J13"/>
  <c r="J12"/>
  <c r="J11"/>
  <c r="J10"/>
  <c r="B3"/>
  <c r="J8" l="1"/>
  <c r="L7"/>
  <c r="J7"/>
  <c r="K9"/>
  <c r="J9"/>
</calcChain>
</file>

<file path=xl/comments1.xml><?xml version="1.0" encoding="utf-8"?>
<comments xmlns="http://schemas.openxmlformats.org/spreadsheetml/2006/main">
  <authors>
    <author>KDH</author>
  </authors>
  <commentList>
    <comment ref="B3" authorId="0">
      <text>
        <r>
          <rPr>
            <sz val="8"/>
            <color indexed="81"/>
            <rFont val="Tahoma"/>
          </rPr>
          <t xml:space="preserve">
</t>
        </r>
        <r>
          <rPr>
            <b/>
            <sz val="14"/>
            <color indexed="81"/>
            <rFont val="Tahoma"/>
            <family val="2"/>
          </rPr>
          <t>Durch die Funktion HEUTE() wird immer Bezug auf das aktuelle (heutige) Datum genommen. Dadurch ist diese OPL jederzeit nach-vollziehbar.</t>
        </r>
      </text>
    </comment>
  </commentList>
</comments>
</file>

<file path=xl/sharedStrings.xml><?xml version="1.0" encoding="utf-8"?>
<sst xmlns="http://schemas.openxmlformats.org/spreadsheetml/2006/main" count="29" uniqueCount="28">
  <si>
    <t>Aktuelles
Datum:</t>
  </si>
  <si>
    <t>Rechnungs-
nummer</t>
  </si>
  <si>
    <t>Kunden-
nummer</t>
  </si>
  <si>
    <t>Name des Kunden</t>
  </si>
  <si>
    <t>Rechnungs-
betrag</t>
  </si>
  <si>
    <t>Rechnungs-
datum</t>
  </si>
  <si>
    <t>Zahlungs-
ziel
in Tagen</t>
  </si>
  <si>
    <t>Fälligkeits-
datum</t>
  </si>
  <si>
    <t>Zahlungs-
eingang (Datum)</t>
  </si>
  <si>
    <t>Zahlungs-
eingang
(Euro)</t>
  </si>
  <si>
    <t>1. Mahnung nach</t>
  </si>
  <si>
    <t>2. Mahnung nach</t>
  </si>
  <si>
    <t xml:space="preserve">Zahlungserinnerung </t>
  </si>
  <si>
    <t>Tage nach Fälligkeit</t>
  </si>
  <si>
    <t>Tage nach Zahlungserinnerung</t>
  </si>
  <si>
    <t xml:space="preserve">Zahlungs-
erinnerung?
</t>
  </si>
  <si>
    <t>1. Mahnung?</t>
  </si>
  <si>
    <t>2. Mahnung?</t>
  </si>
  <si>
    <t>Mustermann</t>
  </si>
  <si>
    <t>Firma Musterfrau</t>
  </si>
  <si>
    <t>Frau Meyer</t>
  </si>
  <si>
    <t>Summe offene Forderungen:</t>
  </si>
  <si>
    <r>
      <t>Offene-Posten-Liste</t>
    </r>
    <r>
      <rPr>
        <sz val="20"/>
        <rFont val="Calibri"/>
        <family val="2"/>
        <scheme val="minor"/>
      </rPr>
      <t xml:space="preserve"> </t>
    </r>
  </si>
  <si>
    <t>Hinweis: Hier können Sie anpassen, wie viele Tage</t>
  </si>
  <si>
    <t>nach Zahlungsziel Sie eine Erinnerung bzw.</t>
  </si>
  <si>
    <t xml:space="preserve">eine Mahnung verschicken wollen. Der Wert </t>
  </si>
  <si>
    <t>gilt dann für alle offenen Posten</t>
  </si>
  <si>
    <t>Copyright: handwerk.com 2011 (jw)</t>
  </si>
</sst>
</file>

<file path=xl/styles.xml><?xml version="1.0" encoding="utf-8"?>
<styleSheet xmlns="http://schemas.openxmlformats.org/spreadsheetml/2006/main">
  <numFmts count="2">
    <numFmt numFmtId="164" formatCode="#,##0.00\ &quot;€&quot;"/>
    <numFmt numFmtId="166" formatCode="dd/mm/yy;@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</font>
    <font>
      <b/>
      <sz val="14"/>
      <color indexed="81"/>
      <name val="Tahoma"/>
      <family val="2"/>
    </font>
    <font>
      <b/>
      <sz val="11"/>
      <name val="Calibri"/>
      <family val="2"/>
      <scheme val="minor"/>
    </font>
    <font>
      <b/>
      <sz val="20"/>
      <name val="Calibri"/>
      <family val="2"/>
      <scheme val="minor"/>
    </font>
    <font>
      <sz val="2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0" tint="-0.14996795556505021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4" fillId="3" borderId="13" xfId="0" applyFont="1" applyFill="1" applyBorder="1" applyAlignment="1" applyProtection="1">
      <alignment horizontal="center" vertical="top" wrapText="1"/>
    </xf>
    <xf numFmtId="0" fontId="4" fillId="3" borderId="10" xfId="0" applyFont="1" applyFill="1" applyBorder="1" applyAlignment="1" applyProtection="1">
      <alignment horizontal="center" vertical="top" wrapText="1"/>
    </xf>
    <xf numFmtId="0" fontId="4" fillId="3" borderId="14" xfId="0" applyFont="1" applyFill="1" applyBorder="1" applyAlignment="1" applyProtection="1">
      <alignment horizontal="center" vertical="top"/>
    </xf>
    <xf numFmtId="0" fontId="4" fillId="3" borderId="14" xfId="0" applyFont="1" applyFill="1" applyBorder="1" applyAlignment="1" applyProtection="1">
      <alignment horizontal="center" vertical="top" wrapText="1"/>
    </xf>
    <xf numFmtId="0" fontId="4" fillId="3" borderId="15" xfId="0" applyFont="1" applyFill="1" applyBorder="1" applyAlignment="1" applyProtection="1">
      <alignment horizontal="center" vertical="top" wrapText="1"/>
    </xf>
    <xf numFmtId="0" fontId="0" fillId="0" borderId="0" xfId="0" applyFill="1" applyBorder="1"/>
    <xf numFmtId="0" fontId="0" fillId="0" borderId="0" xfId="0" applyFont="1"/>
    <xf numFmtId="0" fontId="0" fillId="2" borderId="0" xfId="0" applyFont="1" applyFill="1" applyProtection="1"/>
    <xf numFmtId="0" fontId="0" fillId="0" borderId="0" xfId="0" applyFont="1" applyProtection="1"/>
    <xf numFmtId="0" fontId="0" fillId="0" borderId="0" xfId="0" applyFont="1" applyBorder="1" applyProtection="1"/>
    <xf numFmtId="0" fontId="0" fillId="0" borderId="5" xfId="0" applyFont="1" applyBorder="1" applyProtection="1">
      <protection locked="0"/>
    </xf>
    <xf numFmtId="0" fontId="0" fillId="0" borderId="11" xfId="0" applyFont="1" applyBorder="1" applyProtection="1">
      <protection locked="0"/>
    </xf>
    <xf numFmtId="0" fontId="0" fillId="0" borderId="0" xfId="0" applyFont="1" applyBorder="1" applyProtection="1">
      <protection locked="0"/>
    </xf>
    <xf numFmtId="164" fontId="0" fillId="0" borderId="11" xfId="0" applyNumberFormat="1" applyFont="1" applyBorder="1" applyProtection="1">
      <protection locked="0"/>
    </xf>
    <xf numFmtId="166" fontId="0" fillId="0" borderId="0" xfId="0" applyNumberFormat="1" applyFont="1" applyBorder="1" applyProtection="1">
      <protection locked="0"/>
    </xf>
    <xf numFmtId="166" fontId="0" fillId="0" borderId="0" xfId="0" applyNumberFormat="1" applyFont="1" applyBorder="1"/>
    <xf numFmtId="14" fontId="0" fillId="0" borderId="11" xfId="0" applyNumberFormat="1" applyFont="1" applyBorder="1" applyProtection="1">
      <protection locked="0"/>
    </xf>
    <xf numFmtId="0" fontId="0" fillId="0" borderId="11" xfId="0" applyFont="1" applyBorder="1"/>
    <xf numFmtId="0" fontId="0" fillId="0" borderId="6" xfId="0" applyFont="1" applyBorder="1"/>
    <xf numFmtId="0" fontId="0" fillId="3" borderId="16" xfId="0" applyFont="1" applyFill="1" applyBorder="1"/>
    <xf numFmtId="0" fontId="0" fillId="3" borderId="17" xfId="0" applyFont="1" applyFill="1" applyBorder="1"/>
    <xf numFmtId="0" fontId="0" fillId="0" borderId="17" xfId="0" applyFont="1" applyFill="1" applyBorder="1" applyProtection="1">
      <protection locked="0"/>
    </xf>
    <xf numFmtId="0" fontId="0" fillId="3" borderId="18" xfId="0" applyFont="1" applyFill="1" applyBorder="1"/>
    <xf numFmtId="0" fontId="0" fillId="4" borderId="5" xfId="0" applyFont="1" applyFill="1" applyBorder="1" applyProtection="1">
      <protection locked="0"/>
    </xf>
    <xf numFmtId="0" fontId="0" fillId="4" borderId="11" xfId="0" applyFont="1" applyFill="1" applyBorder="1" applyProtection="1">
      <protection locked="0"/>
    </xf>
    <xf numFmtId="0" fontId="0" fillId="4" borderId="0" xfId="0" applyFont="1" applyFill="1" applyBorder="1" applyProtection="1">
      <protection locked="0"/>
    </xf>
    <xf numFmtId="164" fontId="0" fillId="4" borderId="11" xfId="0" applyNumberFormat="1" applyFont="1" applyFill="1" applyBorder="1" applyProtection="1">
      <protection locked="0"/>
    </xf>
    <xf numFmtId="166" fontId="0" fillId="4" borderId="0" xfId="0" applyNumberFormat="1" applyFont="1" applyFill="1" applyBorder="1" applyProtection="1">
      <protection locked="0"/>
    </xf>
    <xf numFmtId="166" fontId="0" fillId="4" borderId="0" xfId="0" applyNumberFormat="1" applyFont="1" applyFill="1" applyBorder="1"/>
    <xf numFmtId="14" fontId="0" fillId="4" borderId="11" xfId="0" applyNumberFormat="1" applyFont="1" applyFill="1" applyBorder="1" applyProtection="1">
      <protection locked="0"/>
    </xf>
    <xf numFmtId="0" fontId="0" fillId="4" borderId="11" xfId="0" applyFont="1" applyFill="1" applyBorder="1"/>
    <xf numFmtId="0" fontId="0" fillId="4" borderId="6" xfId="0" applyFont="1" applyFill="1" applyBorder="1"/>
    <xf numFmtId="0" fontId="0" fillId="3" borderId="19" xfId="0" applyFont="1" applyFill="1" applyBorder="1"/>
    <xf numFmtId="0" fontId="0" fillId="3" borderId="0" xfId="0" applyFont="1" applyFill="1" applyBorder="1"/>
    <xf numFmtId="0" fontId="0" fillId="0" borderId="0" xfId="0" applyFont="1" applyFill="1" applyBorder="1" applyProtection="1">
      <protection locked="0"/>
    </xf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0" borderId="22" xfId="0" applyFont="1" applyFill="1" applyBorder="1" applyProtection="1">
      <protection locked="0"/>
    </xf>
    <xf numFmtId="0" fontId="0" fillId="3" borderId="23" xfId="0" applyFont="1" applyFill="1" applyBorder="1"/>
    <xf numFmtId="0" fontId="0" fillId="4" borderId="7" xfId="0" applyFont="1" applyFill="1" applyBorder="1" applyProtection="1">
      <protection locked="0"/>
    </xf>
    <xf numFmtId="0" fontId="0" fillId="4" borderId="12" xfId="0" applyFont="1" applyFill="1" applyBorder="1" applyProtection="1">
      <protection locked="0"/>
    </xf>
    <xf numFmtId="0" fontId="0" fillId="4" borderId="8" xfId="0" applyFont="1" applyFill="1" applyBorder="1" applyProtection="1">
      <protection locked="0"/>
    </xf>
    <xf numFmtId="164" fontId="0" fillId="4" borderId="12" xfId="0" applyNumberFormat="1" applyFont="1" applyFill="1" applyBorder="1" applyProtection="1">
      <protection locked="0"/>
    </xf>
    <xf numFmtId="166" fontId="0" fillId="4" borderId="8" xfId="0" applyNumberFormat="1" applyFont="1" applyFill="1" applyBorder="1" applyProtection="1">
      <protection locked="0"/>
    </xf>
    <xf numFmtId="166" fontId="0" fillId="4" borderId="8" xfId="0" applyNumberFormat="1" applyFont="1" applyFill="1" applyBorder="1"/>
    <xf numFmtId="14" fontId="0" fillId="4" borderId="12" xfId="0" applyNumberFormat="1" applyFont="1" applyFill="1" applyBorder="1" applyProtection="1">
      <protection locked="0"/>
    </xf>
    <xf numFmtId="0" fontId="0" fillId="4" borderId="12" xfId="0" applyFont="1" applyFill="1" applyBorder="1"/>
    <xf numFmtId="0" fontId="0" fillId="4" borderId="9" xfId="0" applyFont="1" applyFill="1" applyBorder="1"/>
    <xf numFmtId="0" fontId="5" fillId="3" borderId="1" xfId="0" applyFont="1" applyFill="1" applyBorder="1" applyAlignment="1" applyProtection="1">
      <alignment horizontal="center" vertical="center"/>
    </xf>
    <xf numFmtId="0" fontId="5" fillId="3" borderId="2" xfId="0" applyFont="1" applyFill="1" applyBorder="1" applyAlignment="1" applyProtection="1">
      <alignment horizontal="center" vertical="center"/>
    </xf>
    <xf numFmtId="0" fontId="5" fillId="3" borderId="3" xfId="0" applyFont="1" applyFill="1" applyBorder="1" applyAlignment="1" applyProtection="1">
      <alignment horizontal="center" vertical="center"/>
    </xf>
    <xf numFmtId="0" fontId="5" fillId="2" borderId="0" xfId="0" applyFont="1" applyFill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center" vertical="center" wrapText="1"/>
    </xf>
    <xf numFmtId="14" fontId="4" fillId="0" borderId="4" xfId="0" applyNumberFormat="1" applyFont="1" applyBorder="1" applyAlignment="1" applyProtection="1">
      <alignment horizontal="center" vertical="center"/>
    </xf>
    <xf numFmtId="14" fontId="4" fillId="0" borderId="0" xfId="0" applyNumberFormat="1" applyFont="1" applyBorder="1" applyAlignment="1" applyProtection="1">
      <alignment horizontal="center" vertical="center"/>
    </xf>
    <xf numFmtId="14" fontId="4" fillId="3" borderId="24" xfId="0" applyNumberFormat="1" applyFont="1" applyFill="1" applyBorder="1" applyAlignment="1" applyProtection="1">
      <alignment horizontal="left" vertical="center"/>
    </xf>
    <xf numFmtId="0" fontId="0" fillId="3" borderId="25" xfId="0" applyFont="1" applyFill="1" applyBorder="1" applyProtection="1"/>
    <xf numFmtId="164" fontId="1" fillId="3" borderId="26" xfId="0" applyNumberFormat="1" applyFont="1" applyFill="1" applyBorder="1" applyAlignment="1" applyProtection="1">
      <alignment vertical="center"/>
    </xf>
  </cellXfs>
  <cellStyles count="1">
    <cellStyle name="Standard" xfId="0" builtinId="0"/>
  </cellStyles>
  <dxfs count="5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C0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52</xdr:row>
      <xdr:rowOff>21167</xdr:rowOff>
    </xdr:from>
    <xdr:to>
      <xdr:col>2</xdr:col>
      <xdr:colOff>0</xdr:colOff>
      <xdr:row>57</xdr:row>
      <xdr:rowOff>87842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16167"/>
          <a:ext cx="2095500" cy="10191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59"/>
  <sheetViews>
    <sheetView tabSelected="1" zoomScale="90" zoomScaleNormal="90" workbookViewId="0">
      <selection activeCell="A60" sqref="A60"/>
    </sheetView>
  </sheetViews>
  <sheetFormatPr baseColWidth="10" defaultRowHeight="15"/>
  <cols>
    <col min="1" max="2" width="15.7109375" style="7" customWidth="1"/>
    <col min="3" max="3" width="51.7109375" style="7" customWidth="1"/>
    <col min="4" max="12" width="15.7109375" style="7" customWidth="1"/>
    <col min="13" max="13" width="4.7109375" style="7" customWidth="1"/>
    <col min="14" max="14" width="11.42578125" style="7"/>
    <col min="15" max="15" width="8.28515625" style="7" customWidth="1"/>
    <col min="16" max="16" width="5" style="7" customWidth="1"/>
    <col min="17" max="16384" width="11.42578125" style="7"/>
  </cols>
  <sheetData>
    <row r="1" spans="1:19" ht="27" thickBot="1">
      <c r="A1" s="50" t="s">
        <v>22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2"/>
    </row>
    <row r="2" spans="1:19" ht="26.25">
      <c r="A2" s="53"/>
      <c r="B2" s="53"/>
      <c r="C2" s="53"/>
      <c r="D2" s="53"/>
      <c r="E2" s="53"/>
      <c r="F2" s="53"/>
      <c r="G2" s="53"/>
      <c r="H2" s="53"/>
      <c r="I2" s="53"/>
      <c r="J2" s="53"/>
      <c r="K2" s="53"/>
      <c r="L2" s="8"/>
    </row>
    <row r="3" spans="1:19" ht="30">
      <c r="A3" s="54" t="s">
        <v>0</v>
      </c>
      <c r="B3" s="55">
        <f ca="1">TODAY()</f>
        <v>40735</v>
      </c>
      <c r="C3" s="56"/>
      <c r="G3" s="57" t="s">
        <v>21</v>
      </c>
      <c r="H3" s="58"/>
      <c r="I3" s="59">
        <f>SUM(D6:D50)-SUM(I6:I50)</f>
        <v>8800</v>
      </c>
      <c r="J3" s="9"/>
      <c r="K3" s="9"/>
      <c r="L3" s="9"/>
    </row>
    <row r="4" spans="1:19" ht="15.75" thickBot="1">
      <c r="A4" s="9"/>
      <c r="B4" s="9"/>
      <c r="C4" s="9"/>
      <c r="D4" s="9"/>
      <c r="E4" s="10"/>
      <c r="F4" s="10"/>
      <c r="G4" s="9"/>
      <c r="H4" s="9"/>
      <c r="I4" s="9"/>
      <c r="J4" s="9"/>
      <c r="K4" s="9"/>
      <c r="L4" s="9"/>
    </row>
    <row r="5" spans="1:19" ht="45">
      <c r="A5" s="1" t="s">
        <v>1</v>
      </c>
      <c r="B5" s="2" t="s">
        <v>2</v>
      </c>
      <c r="C5" s="3" t="s">
        <v>3</v>
      </c>
      <c r="D5" s="2" t="s">
        <v>4</v>
      </c>
      <c r="E5" s="4" t="s">
        <v>5</v>
      </c>
      <c r="F5" s="2" t="s">
        <v>6</v>
      </c>
      <c r="G5" s="4" t="s">
        <v>7</v>
      </c>
      <c r="H5" s="2" t="s">
        <v>8</v>
      </c>
      <c r="I5" s="4" t="s">
        <v>9</v>
      </c>
      <c r="J5" s="2" t="s">
        <v>15</v>
      </c>
      <c r="K5" s="2" t="s">
        <v>16</v>
      </c>
      <c r="L5" s="5" t="s">
        <v>17</v>
      </c>
    </row>
    <row r="6" spans="1:19">
      <c r="A6" s="11">
        <v>120</v>
      </c>
      <c r="B6" s="12">
        <v>1</v>
      </c>
      <c r="C6" s="13" t="s">
        <v>18</v>
      </c>
      <c r="D6" s="14">
        <v>1000</v>
      </c>
      <c r="E6" s="15">
        <v>40664</v>
      </c>
      <c r="F6" s="12">
        <v>30</v>
      </c>
      <c r="G6" s="16">
        <f>E6+F6</f>
        <v>40694</v>
      </c>
      <c r="H6" s="17">
        <v>40693</v>
      </c>
      <c r="I6" s="13">
        <v>1000</v>
      </c>
      <c r="J6" s="18" t="str">
        <f ca="1">IF(I6=D6,"erledigt",IF(AND(I6&lt;&gt;0,I6&lt;D6),"prüfen",IF(G6+$P$6&lt;TODAY(),"ja","nein")))</f>
        <v>erledigt</v>
      </c>
      <c r="K6" s="18" t="str">
        <f ca="1">IF(I6=D6,"erledigt",IF(I6&lt;&gt;0,"nein",IF(G6+$P$7&lt;TODAY(),"ja","nein")))</f>
        <v>erledigt</v>
      </c>
      <c r="L6" s="19" t="str">
        <f ca="1">IF(G6=D6,"erledigt",IF(I6&lt;&gt;0,"nein",IF(G6+$P$8&lt;TODAY(),"ja","nein")))</f>
        <v>nein</v>
      </c>
      <c r="N6" s="20" t="s">
        <v>12</v>
      </c>
      <c r="O6" s="21"/>
      <c r="P6" s="22">
        <v>1</v>
      </c>
      <c r="Q6" s="21" t="s">
        <v>13</v>
      </c>
      <c r="R6" s="21"/>
      <c r="S6" s="23"/>
    </row>
    <row r="7" spans="1:19">
      <c r="A7" s="24">
        <v>121</v>
      </c>
      <c r="B7" s="25">
        <v>2</v>
      </c>
      <c r="C7" s="26" t="s">
        <v>19</v>
      </c>
      <c r="D7" s="27">
        <v>5800</v>
      </c>
      <c r="E7" s="28">
        <v>40664</v>
      </c>
      <c r="F7" s="25">
        <v>30</v>
      </c>
      <c r="G7" s="29">
        <f t="shared" ref="G7:G29" si="0">E7+F7</f>
        <v>40694</v>
      </c>
      <c r="H7" s="30">
        <v>40683</v>
      </c>
      <c r="I7" s="26">
        <v>800</v>
      </c>
      <c r="J7" s="31" t="str">
        <f t="shared" ref="J7:J29" ca="1" si="1">IF(I7=D7,"nein",IF(AND(I7&lt;&gt;0,I7&lt;D7),"prüfen",IF(G7+$P$6&lt;TODAY(),"ja","nein")))</f>
        <v>prüfen</v>
      </c>
      <c r="K7" s="31" t="str">
        <f t="shared" ref="K7:K11" ca="1" si="2">IF(I7=D7,"nein",IF(I7&lt;&gt;0,"nein",IF(G7+$P$7&lt;TODAY(),"ja","nein")))</f>
        <v>nein</v>
      </c>
      <c r="L7" s="32" t="str">
        <f t="shared" ref="L7:L29" ca="1" si="3">IF(G7=D7,"nein",IF(I7&lt;&gt;0,"nein",IF(G7+$P$8&lt;TODAY(),"ja","nein")))</f>
        <v>nein</v>
      </c>
      <c r="N7" s="33" t="s">
        <v>10</v>
      </c>
      <c r="O7" s="34"/>
      <c r="P7" s="35">
        <v>14</v>
      </c>
      <c r="Q7" s="34" t="s">
        <v>14</v>
      </c>
      <c r="R7" s="34"/>
      <c r="S7" s="36"/>
    </row>
    <row r="8" spans="1:19">
      <c r="A8" s="11">
        <v>122</v>
      </c>
      <c r="B8" s="12">
        <v>3</v>
      </c>
      <c r="C8" s="35" t="s">
        <v>20</v>
      </c>
      <c r="D8" s="14">
        <v>2000</v>
      </c>
      <c r="E8" s="15">
        <v>40664</v>
      </c>
      <c r="F8" s="12">
        <v>30</v>
      </c>
      <c r="G8" s="16">
        <f t="shared" si="0"/>
        <v>40694</v>
      </c>
      <c r="H8" s="17"/>
      <c r="I8" s="13">
        <v>0</v>
      </c>
      <c r="J8" s="18" t="str">
        <f t="shared" ca="1" si="1"/>
        <v>ja</v>
      </c>
      <c r="K8" s="18" t="str">
        <f t="shared" ca="1" si="2"/>
        <v>ja</v>
      </c>
      <c r="L8" s="19" t="str">
        <f t="shared" ca="1" si="3"/>
        <v>ja</v>
      </c>
      <c r="N8" s="37" t="s">
        <v>11</v>
      </c>
      <c r="O8" s="38"/>
      <c r="P8" s="39">
        <v>30</v>
      </c>
      <c r="Q8" s="38" t="s">
        <v>13</v>
      </c>
      <c r="R8" s="38"/>
      <c r="S8" s="40"/>
    </row>
    <row r="9" spans="1:19">
      <c r="A9" s="24"/>
      <c r="B9" s="25"/>
      <c r="C9" s="26"/>
      <c r="D9" s="27">
        <v>1800</v>
      </c>
      <c r="E9" s="28">
        <v>40695</v>
      </c>
      <c r="F9" s="25">
        <v>30</v>
      </c>
      <c r="G9" s="29">
        <f t="shared" si="0"/>
        <v>40725</v>
      </c>
      <c r="H9" s="30"/>
      <c r="I9" s="26">
        <v>0</v>
      </c>
      <c r="J9" s="31" t="str">
        <f t="shared" ca="1" si="1"/>
        <v>ja</v>
      </c>
      <c r="K9" s="31" t="str">
        <f t="shared" ca="1" si="2"/>
        <v>nein</v>
      </c>
      <c r="L9" s="32" t="str">
        <f t="shared" ca="1" si="3"/>
        <v>nein</v>
      </c>
    </row>
    <row r="10" spans="1:19">
      <c r="A10" s="11"/>
      <c r="B10" s="12"/>
      <c r="C10" s="13"/>
      <c r="D10" s="14"/>
      <c r="E10" s="15"/>
      <c r="F10" s="12"/>
      <c r="G10" s="16">
        <f t="shared" si="0"/>
        <v>0</v>
      </c>
      <c r="H10" s="17"/>
      <c r="I10" s="13"/>
      <c r="J10" s="18" t="str">
        <f t="shared" ca="1" si="1"/>
        <v>nein</v>
      </c>
      <c r="K10" s="18" t="str">
        <f t="shared" ca="1" si="2"/>
        <v>nein</v>
      </c>
      <c r="L10" s="19" t="str">
        <f t="shared" ca="1" si="3"/>
        <v>nein</v>
      </c>
      <c r="N10" s="6" t="s">
        <v>23</v>
      </c>
    </row>
    <row r="11" spans="1:19">
      <c r="A11" s="24"/>
      <c r="B11" s="25"/>
      <c r="C11" s="26"/>
      <c r="D11" s="27"/>
      <c r="E11" s="28"/>
      <c r="F11" s="25"/>
      <c r="G11" s="29">
        <f t="shared" si="0"/>
        <v>0</v>
      </c>
      <c r="H11" s="30"/>
      <c r="I11" s="26"/>
      <c r="J11" s="31" t="str">
        <f t="shared" ca="1" si="1"/>
        <v>nein</v>
      </c>
      <c r="K11" s="31" t="str">
        <f t="shared" ca="1" si="2"/>
        <v>nein</v>
      </c>
      <c r="L11" s="32" t="str">
        <f t="shared" ca="1" si="3"/>
        <v>nein</v>
      </c>
      <c r="N11" s="6" t="s">
        <v>24</v>
      </c>
    </row>
    <row r="12" spans="1:19">
      <c r="A12" s="11"/>
      <c r="B12" s="12"/>
      <c r="C12" s="13"/>
      <c r="D12" s="14"/>
      <c r="E12" s="15"/>
      <c r="F12" s="12"/>
      <c r="G12" s="16">
        <f t="shared" si="0"/>
        <v>0</v>
      </c>
      <c r="H12" s="17"/>
      <c r="I12" s="13"/>
      <c r="J12" s="18" t="str">
        <f t="shared" ca="1" si="1"/>
        <v>nein</v>
      </c>
      <c r="K12" s="18" t="str">
        <f ca="1">IF(I12=D12,"nein",IF(I12&lt;&gt;0,"nein",IF(G12+$P$7&lt;TODAY(),"ja","nein")))</f>
        <v>nein</v>
      </c>
      <c r="L12" s="19" t="str">
        <f t="shared" ca="1" si="3"/>
        <v>nein</v>
      </c>
      <c r="N12" s="6" t="s">
        <v>25</v>
      </c>
    </row>
    <row r="13" spans="1:19">
      <c r="A13" s="24"/>
      <c r="B13" s="25"/>
      <c r="C13" s="26"/>
      <c r="D13" s="27"/>
      <c r="E13" s="28"/>
      <c r="F13" s="25"/>
      <c r="G13" s="29">
        <f t="shared" si="0"/>
        <v>0</v>
      </c>
      <c r="H13" s="30"/>
      <c r="I13" s="26"/>
      <c r="J13" s="31" t="str">
        <f t="shared" ca="1" si="1"/>
        <v>nein</v>
      </c>
      <c r="K13" s="31" t="str">
        <f ca="1">IF(I13=D13,"nein",IF(I13&lt;&gt;0,"nein",IF(G13+$P$7&lt;TODAY(),"ja","nein")))</f>
        <v>nein</v>
      </c>
      <c r="L13" s="32" t="str">
        <f t="shared" ca="1" si="3"/>
        <v>nein</v>
      </c>
      <c r="N13" s="6" t="s">
        <v>26</v>
      </c>
    </row>
    <row r="14" spans="1:19">
      <c r="A14" s="11"/>
      <c r="B14" s="12"/>
      <c r="C14" s="13"/>
      <c r="D14" s="14"/>
      <c r="E14" s="15"/>
      <c r="F14" s="12"/>
      <c r="G14" s="16">
        <f t="shared" si="0"/>
        <v>0</v>
      </c>
      <c r="H14" s="17"/>
      <c r="I14" s="13"/>
      <c r="J14" s="18" t="str">
        <f t="shared" ca="1" si="1"/>
        <v>nein</v>
      </c>
      <c r="K14" s="18" t="str">
        <f t="shared" ref="K14:K29" ca="1" si="4">IF(I14=D14,"nein",IF(I14&lt;&gt;0,"nein",IF(G14+$P$7&lt;TODAY(),"ja","nein")))</f>
        <v>nein</v>
      </c>
      <c r="L14" s="19" t="str">
        <f t="shared" ca="1" si="3"/>
        <v>nein</v>
      </c>
    </row>
    <row r="15" spans="1:19">
      <c r="A15" s="24"/>
      <c r="B15" s="25"/>
      <c r="C15" s="26"/>
      <c r="D15" s="27"/>
      <c r="E15" s="28"/>
      <c r="F15" s="25"/>
      <c r="G15" s="29">
        <f t="shared" si="0"/>
        <v>0</v>
      </c>
      <c r="H15" s="30"/>
      <c r="I15" s="26"/>
      <c r="J15" s="31" t="str">
        <f t="shared" ca="1" si="1"/>
        <v>nein</v>
      </c>
      <c r="K15" s="31" t="str">
        <f t="shared" ca="1" si="4"/>
        <v>nein</v>
      </c>
      <c r="L15" s="32" t="str">
        <f t="shared" ca="1" si="3"/>
        <v>nein</v>
      </c>
    </row>
    <row r="16" spans="1:19">
      <c r="A16" s="11"/>
      <c r="B16" s="12"/>
      <c r="C16" s="13"/>
      <c r="D16" s="14"/>
      <c r="E16" s="15"/>
      <c r="F16" s="12"/>
      <c r="G16" s="16">
        <f t="shared" si="0"/>
        <v>0</v>
      </c>
      <c r="H16" s="17"/>
      <c r="I16" s="13"/>
      <c r="J16" s="18" t="str">
        <f t="shared" ca="1" si="1"/>
        <v>nein</v>
      </c>
      <c r="K16" s="18" t="str">
        <f t="shared" ca="1" si="4"/>
        <v>nein</v>
      </c>
      <c r="L16" s="19" t="str">
        <f t="shared" ca="1" si="3"/>
        <v>nein</v>
      </c>
    </row>
    <row r="17" spans="1:12">
      <c r="A17" s="24"/>
      <c r="B17" s="25"/>
      <c r="C17" s="26"/>
      <c r="D17" s="27"/>
      <c r="E17" s="28"/>
      <c r="F17" s="25"/>
      <c r="G17" s="29">
        <f t="shared" si="0"/>
        <v>0</v>
      </c>
      <c r="H17" s="30"/>
      <c r="I17" s="26"/>
      <c r="J17" s="31" t="str">
        <f t="shared" ca="1" si="1"/>
        <v>nein</v>
      </c>
      <c r="K17" s="31" t="str">
        <f t="shared" ca="1" si="4"/>
        <v>nein</v>
      </c>
      <c r="L17" s="32" t="str">
        <f t="shared" ca="1" si="3"/>
        <v>nein</v>
      </c>
    </row>
    <row r="18" spans="1:12">
      <c r="A18" s="11"/>
      <c r="B18" s="12"/>
      <c r="C18" s="13"/>
      <c r="D18" s="14"/>
      <c r="E18" s="15"/>
      <c r="F18" s="12"/>
      <c r="G18" s="16">
        <f t="shared" si="0"/>
        <v>0</v>
      </c>
      <c r="H18" s="17"/>
      <c r="I18" s="13"/>
      <c r="J18" s="18" t="str">
        <f t="shared" ca="1" si="1"/>
        <v>nein</v>
      </c>
      <c r="K18" s="18" t="str">
        <f t="shared" ca="1" si="4"/>
        <v>nein</v>
      </c>
      <c r="L18" s="19" t="str">
        <f t="shared" ca="1" si="3"/>
        <v>nein</v>
      </c>
    </row>
    <row r="19" spans="1:12">
      <c r="A19" s="24"/>
      <c r="B19" s="25"/>
      <c r="C19" s="26"/>
      <c r="D19" s="27"/>
      <c r="E19" s="28"/>
      <c r="F19" s="25"/>
      <c r="G19" s="29">
        <f t="shared" si="0"/>
        <v>0</v>
      </c>
      <c r="H19" s="30"/>
      <c r="I19" s="26"/>
      <c r="J19" s="31" t="str">
        <f t="shared" ca="1" si="1"/>
        <v>nein</v>
      </c>
      <c r="K19" s="31" t="str">
        <f t="shared" ca="1" si="4"/>
        <v>nein</v>
      </c>
      <c r="L19" s="32" t="str">
        <f t="shared" ca="1" si="3"/>
        <v>nein</v>
      </c>
    </row>
    <row r="20" spans="1:12">
      <c r="A20" s="11"/>
      <c r="B20" s="12"/>
      <c r="C20" s="13"/>
      <c r="D20" s="14"/>
      <c r="E20" s="15"/>
      <c r="F20" s="12"/>
      <c r="G20" s="16">
        <f t="shared" si="0"/>
        <v>0</v>
      </c>
      <c r="H20" s="17"/>
      <c r="I20" s="13"/>
      <c r="J20" s="18" t="str">
        <f t="shared" ca="1" si="1"/>
        <v>nein</v>
      </c>
      <c r="K20" s="18" t="str">
        <f t="shared" ca="1" si="4"/>
        <v>nein</v>
      </c>
      <c r="L20" s="19" t="str">
        <f t="shared" ca="1" si="3"/>
        <v>nein</v>
      </c>
    </row>
    <row r="21" spans="1:12">
      <c r="A21" s="24"/>
      <c r="B21" s="25"/>
      <c r="C21" s="26"/>
      <c r="D21" s="27"/>
      <c r="E21" s="28"/>
      <c r="F21" s="25"/>
      <c r="G21" s="29">
        <f t="shared" si="0"/>
        <v>0</v>
      </c>
      <c r="H21" s="30"/>
      <c r="I21" s="26"/>
      <c r="J21" s="31" t="str">
        <f t="shared" ca="1" si="1"/>
        <v>nein</v>
      </c>
      <c r="K21" s="31" t="str">
        <f t="shared" ca="1" si="4"/>
        <v>nein</v>
      </c>
      <c r="L21" s="32" t="str">
        <f t="shared" ca="1" si="3"/>
        <v>nein</v>
      </c>
    </row>
    <row r="22" spans="1:12">
      <c r="A22" s="11"/>
      <c r="B22" s="12"/>
      <c r="C22" s="13"/>
      <c r="D22" s="14"/>
      <c r="E22" s="15"/>
      <c r="F22" s="12"/>
      <c r="G22" s="16">
        <f t="shared" si="0"/>
        <v>0</v>
      </c>
      <c r="H22" s="17"/>
      <c r="I22" s="13"/>
      <c r="J22" s="18" t="str">
        <f t="shared" ca="1" si="1"/>
        <v>nein</v>
      </c>
      <c r="K22" s="18" t="str">
        <f t="shared" ca="1" si="4"/>
        <v>nein</v>
      </c>
      <c r="L22" s="19" t="str">
        <f t="shared" ca="1" si="3"/>
        <v>nein</v>
      </c>
    </row>
    <row r="23" spans="1:12">
      <c r="A23" s="24"/>
      <c r="B23" s="25"/>
      <c r="C23" s="26"/>
      <c r="D23" s="27"/>
      <c r="E23" s="28"/>
      <c r="F23" s="25"/>
      <c r="G23" s="29">
        <f t="shared" si="0"/>
        <v>0</v>
      </c>
      <c r="H23" s="30"/>
      <c r="I23" s="26"/>
      <c r="J23" s="31" t="str">
        <f t="shared" ca="1" si="1"/>
        <v>nein</v>
      </c>
      <c r="K23" s="31" t="str">
        <f t="shared" ca="1" si="4"/>
        <v>nein</v>
      </c>
      <c r="L23" s="32" t="str">
        <f t="shared" ca="1" si="3"/>
        <v>nein</v>
      </c>
    </row>
    <row r="24" spans="1:12">
      <c r="A24" s="11"/>
      <c r="B24" s="12"/>
      <c r="C24" s="13"/>
      <c r="D24" s="14"/>
      <c r="E24" s="15"/>
      <c r="F24" s="12"/>
      <c r="G24" s="16">
        <f t="shared" si="0"/>
        <v>0</v>
      </c>
      <c r="H24" s="17"/>
      <c r="I24" s="13"/>
      <c r="J24" s="18" t="str">
        <f t="shared" ca="1" si="1"/>
        <v>nein</v>
      </c>
      <c r="K24" s="18" t="str">
        <f t="shared" ca="1" si="4"/>
        <v>nein</v>
      </c>
      <c r="L24" s="19" t="str">
        <f t="shared" ca="1" si="3"/>
        <v>nein</v>
      </c>
    </row>
    <row r="25" spans="1:12">
      <c r="A25" s="24"/>
      <c r="B25" s="25"/>
      <c r="C25" s="26"/>
      <c r="D25" s="27"/>
      <c r="E25" s="28"/>
      <c r="F25" s="25"/>
      <c r="G25" s="29">
        <f t="shared" si="0"/>
        <v>0</v>
      </c>
      <c r="H25" s="30"/>
      <c r="I25" s="26"/>
      <c r="J25" s="31" t="str">
        <f t="shared" ca="1" si="1"/>
        <v>nein</v>
      </c>
      <c r="K25" s="31" t="str">
        <f t="shared" ca="1" si="4"/>
        <v>nein</v>
      </c>
      <c r="L25" s="32" t="str">
        <f t="shared" ca="1" si="3"/>
        <v>nein</v>
      </c>
    </row>
    <row r="26" spans="1:12">
      <c r="A26" s="11"/>
      <c r="B26" s="12"/>
      <c r="C26" s="13"/>
      <c r="D26" s="14"/>
      <c r="E26" s="15"/>
      <c r="F26" s="12"/>
      <c r="G26" s="16">
        <f t="shared" si="0"/>
        <v>0</v>
      </c>
      <c r="H26" s="17"/>
      <c r="I26" s="13"/>
      <c r="J26" s="18" t="str">
        <f t="shared" ca="1" si="1"/>
        <v>nein</v>
      </c>
      <c r="K26" s="18" t="str">
        <f t="shared" ca="1" si="4"/>
        <v>nein</v>
      </c>
      <c r="L26" s="19" t="str">
        <f t="shared" ca="1" si="3"/>
        <v>nein</v>
      </c>
    </row>
    <row r="27" spans="1:12">
      <c r="A27" s="24"/>
      <c r="B27" s="25"/>
      <c r="C27" s="26"/>
      <c r="D27" s="27"/>
      <c r="E27" s="28"/>
      <c r="F27" s="25"/>
      <c r="G27" s="29">
        <f t="shared" si="0"/>
        <v>0</v>
      </c>
      <c r="H27" s="30"/>
      <c r="I27" s="26"/>
      <c r="J27" s="31" t="str">
        <f t="shared" ca="1" si="1"/>
        <v>nein</v>
      </c>
      <c r="K27" s="31" t="str">
        <f t="shared" ca="1" si="4"/>
        <v>nein</v>
      </c>
      <c r="L27" s="32" t="str">
        <f t="shared" ca="1" si="3"/>
        <v>nein</v>
      </c>
    </row>
    <row r="28" spans="1:12">
      <c r="A28" s="11"/>
      <c r="B28" s="12"/>
      <c r="C28" s="13"/>
      <c r="D28" s="14"/>
      <c r="E28" s="15"/>
      <c r="F28" s="12"/>
      <c r="G28" s="16">
        <f t="shared" si="0"/>
        <v>0</v>
      </c>
      <c r="H28" s="17"/>
      <c r="I28" s="13"/>
      <c r="J28" s="18" t="str">
        <f t="shared" ca="1" si="1"/>
        <v>nein</v>
      </c>
      <c r="K28" s="18" t="str">
        <f t="shared" ca="1" si="4"/>
        <v>nein</v>
      </c>
      <c r="L28" s="19" t="str">
        <f t="shared" ca="1" si="3"/>
        <v>nein</v>
      </c>
    </row>
    <row r="29" spans="1:12">
      <c r="A29" s="24"/>
      <c r="B29" s="25"/>
      <c r="C29" s="26"/>
      <c r="D29" s="27"/>
      <c r="E29" s="28"/>
      <c r="F29" s="25"/>
      <c r="G29" s="29">
        <f t="shared" si="0"/>
        <v>0</v>
      </c>
      <c r="H29" s="30"/>
      <c r="I29" s="26"/>
      <c r="J29" s="31" t="str">
        <f t="shared" ca="1" si="1"/>
        <v>nein</v>
      </c>
      <c r="K29" s="31" t="str">
        <f t="shared" ca="1" si="4"/>
        <v>nein</v>
      </c>
      <c r="L29" s="32" t="str">
        <f t="shared" ca="1" si="3"/>
        <v>nein</v>
      </c>
    </row>
    <row r="30" spans="1:12">
      <c r="A30" s="11"/>
      <c r="B30" s="12"/>
      <c r="C30" s="13"/>
      <c r="D30" s="14"/>
      <c r="E30" s="15"/>
      <c r="F30" s="12"/>
      <c r="G30" s="16">
        <f t="shared" ref="G30:G50" si="5">E30+F30</f>
        <v>0</v>
      </c>
      <c r="H30" s="17"/>
      <c r="I30" s="13"/>
      <c r="J30" s="18" t="str">
        <f t="shared" ref="J30:J50" ca="1" si="6">IF(I30=D30,"nein",IF(AND(I30&lt;&gt;0,I30&lt;D30),"prüfen",IF(G30+$P$6&lt;TODAY(),"ja","nein")))</f>
        <v>nein</v>
      </c>
      <c r="K30" s="18" t="str">
        <f t="shared" ref="K30:K32" ca="1" si="7">IF(I30=D30,"nein",IF(I30&lt;&gt;0,"nein",IF(G30+$P$7&lt;TODAY(),"ja","nein")))</f>
        <v>nein</v>
      </c>
      <c r="L30" s="19" t="str">
        <f t="shared" ref="L30:L50" ca="1" si="8">IF(G30=D30,"nein",IF(I30&lt;&gt;0,"nein",IF(G30+$P$8&lt;TODAY(),"ja","nein")))</f>
        <v>nein</v>
      </c>
    </row>
    <row r="31" spans="1:12">
      <c r="A31" s="24"/>
      <c r="B31" s="25"/>
      <c r="C31" s="26"/>
      <c r="D31" s="27"/>
      <c r="E31" s="28"/>
      <c r="F31" s="25"/>
      <c r="G31" s="29">
        <f t="shared" si="5"/>
        <v>0</v>
      </c>
      <c r="H31" s="30"/>
      <c r="I31" s="26"/>
      <c r="J31" s="31" t="str">
        <f t="shared" ca="1" si="6"/>
        <v>nein</v>
      </c>
      <c r="K31" s="31" t="str">
        <f t="shared" ca="1" si="7"/>
        <v>nein</v>
      </c>
      <c r="L31" s="32" t="str">
        <f t="shared" ca="1" si="8"/>
        <v>nein</v>
      </c>
    </row>
    <row r="32" spans="1:12">
      <c r="A32" s="24"/>
      <c r="B32" s="25"/>
      <c r="C32" s="26"/>
      <c r="D32" s="27"/>
      <c r="E32" s="28"/>
      <c r="F32" s="25"/>
      <c r="G32" s="29">
        <f t="shared" si="5"/>
        <v>0</v>
      </c>
      <c r="H32" s="30"/>
      <c r="I32" s="26"/>
      <c r="J32" s="31" t="str">
        <f t="shared" ca="1" si="6"/>
        <v>nein</v>
      </c>
      <c r="K32" s="31" t="str">
        <f t="shared" ca="1" si="7"/>
        <v>nein</v>
      </c>
      <c r="L32" s="32" t="str">
        <f t="shared" ca="1" si="8"/>
        <v>nein</v>
      </c>
    </row>
    <row r="33" spans="1:12">
      <c r="A33" s="11"/>
      <c r="B33" s="12"/>
      <c r="C33" s="13"/>
      <c r="D33" s="14"/>
      <c r="E33" s="15"/>
      <c r="F33" s="12"/>
      <c r="G33" s="16">
        <f t="shared" si="5"/>
        <v>0</v>
      </c>
      <c r="H33" s="17"/>
      <c r="I33" s="13"/>
      <c r="J33" s="18" t="str">
        <f t="shared" ca="1" si="6"/>
        <v>nein</v>
      </c>
      <c r="K33" s="18" t="str">
        <f ca="1">IF(I33=D33,"nein",IF(I33&lt;&gt;0,"nein",IF(G33+$P$7&lt;TODAY(),"ja","nein")))</f>
        <v>nein</v>
      </c>
      <c r="L33" s="19" t="str">
        <f t="shared" ca="1" si="8"/>
        <v>nein</v>
      </c>
    </row>
    <row r="34" spans="1:12">
      <c r="A34" s="24"/>
      <c r="B34" s="25"/>
      <c r="C34" s="26"/>
      <c r="D34" s="27"/>
      <c r="E34" s="28"/>
      <c r="F34" s="25"/>
      <c r="G34" s="29">
        <f t="shared" si="5"/>
        <v>0</v>
      </c>
      <c r="H34" s="30"/>
      <c r="I34" s="26"/>
      <c r="J34" s="31" t="str">
        <f t="shared" ca="1" si="6"/>
        <v>nein</v>
      </c>
      <c r="K34" s="31" t="str">
        <f ca="1">IF(I34=D34,"nein",IF(I34&lt;&gt;0,"nein",IF(G34+$P$7&lt;TODAY(),"ja","nein")))</f>
        <v>nein</v>
      </c>
      <c r="L34" s="32" t="str">
        <f t="shared" ca="1" si="8"/>
        <v>nein</v>
      </c>
    </row>
    <row r="35" spans="1:12">
      <c r="A35" s="11"/>
      <c r="B35" s="12"/>
      <c r="C35" s="13"/>
      <c r="D35" s="14"/>
      <c r="E35" s="15"/>
      <c r="F35" s="12"/>
      <c r="G35" s="16">
        <f t="shared" si="5"/>
        <v>0</v>
      </c>
      <c r="H35" s="17"/>
      <c r="I35" s="13"/>
      <c r="J35" s="18" t="str">
        <f t="shared" ca="1" si="6"/>
        <v>nein</v>
      </c>
      <c r="K35" s="18" t="str">
        <f t="shared" ref="K35:K50" ca="1" si="9">IF(I35=D35,"nein",IF(I35&lt;&gt;0,"nein",IF(G35+$P$7&lt;TODAY(),"ja","nein")))</f>
        <v>nein</v>
      </c>
      <c r="L35" s="19" t="str">
        <f t="shared" ca="1" si="8"/>
        <v>nein</v>
      </c>
    </row>
    <row r="36" spans="1:12">
      <c r="A36" s="24"/>
      <c r="B36" s="25"/>
      <c r="C36" s="26"/>
      <c r="D36" s="27"/>
      <c r="E36" s="28"/>
      <c r="F36" s="25"/>
      <c r="G36" s="29">
        <f t="shared" si="5"/>
        <v>0</v>
      </c>
      <c r="H36" s="30"/>
      <c r="I36" s="26"/>
      <c r="J36" s="31" t="str">
        <f t="shared" ca="1" si="6"/>
        <v>nein</v>
      </c>
      <c r="K36" s="31" t="str">
        <f t="shared" ca="1" si="9"/>
        <v>nein</v>
      </c>
      <c r="L36" s="32" t="str">
        <f t="shared" ca="1" si="8"/>
        <v>nein</v>
      </c>
    </row>
    <row r="37" spans="1:12">
      <c r="A37" s="11"/>
      <c r="B37" s="12"/>
      <c r="C37" s="13"/>
      <c r="D37" s="14"/>
      <c r="E37" s="15"/>
      <c r="F37" s="12"/>
      <c r="G37" s="16">
        <f t="shared" si="5"/>
        <v>0</v>
      </c>
      <c r="H37" s="17"/>
      <c r="I37" s="13"/>
      <c r="J37" s="18" t="str">
        <f t="shared" ca="1" si="6"/>
        <v>nein</v>
      </c>
      <c r="K37" s="18" t="str">
        <f t="shared" ca="1" si="9"/>
        <v>nein</v>
      </c>
      <c r="L37" s="19" t="str">
        <f t="shared" ca="1" si="8"/>
        <v>nein</v>
      </c>
    </row>
    <row r="38" spans="1:12">
      <c r="A38" s="24"/>
      <c r="B38" s="25"/>
      <c r="C38" s="26"/>
      <c r="D38" s="27"/>
      <c r="E38" s="28"/>
      <c r="F38" s="25"/>
      <c r="G38" s="29">
        <f t="shared" si="5"/>
        <v>0</v>
      </c>
      <c r="H38" s="30"/>
      <c r="I38" s="26"/>
      <c r="J38" s="31" t="str">
        <f t="shared" ca="1" si="6"/>
        <v>nein</v>
      </c>
      <c r="K38" s="31" t="str">
        <f t="shared" ca="1" si="9"/>
        <v>nein</v>
      </c>
      <c r="L38" s="32" t="str">
        <f t="shared" ca="1" si="8"/>
        <v>nein</v>
      </c>
    </row>
    <row r="39" spans="1:12">
      <c r="A39" s="11"/>
      <c r="B39" s="12"/>
      <c r="C39" s="13"/>
      <c r="D39" s="14"/>
      <c r="E39" s="15"/>
      <c r="F39" s="12"/>
      <c r="G39" s="16">
        <f t="shared" si="5"/>
        <v>0</v>
      </c>
      <c r="H39" s="17"/>
      <c r="I39" s="13"/>
      <c r="J39" s="18" t="str">
        <f t="shared" ca="1" si="6"/>
        <v>nein</v>
      </c>
      <c r="K39" s="18" t="str">
        <f t="shared" ca="1" si="9"/>
        <v>nein</v>
      </c>
      <c r="L39" s="19" t="str">
        <f t="shared" ca="1" si="8"/>
        <v>nein</v>
      </c>
    </row>
    <row r="40" spans="1:12">
      <c r="A40" s="24"/>
      <c r="B40" s="25"/>
      <c r="C40" s="26"/>
      <c r="D40" s="27"/>
      <c r="E40" s="28"/>
      <c r="F40" s="25"/>
      <c r="G40" s="29">
        <f t="shared" si="5"/>
        <v>0</v>
      </c>
      <c r="H40" s="30"/>
      <c r="I40" s="26"/>
      <c r="J40" s="31" t="str">
        <f t="shared" ca="1" si="6"/>
        <v>nein</v>
      </c>
      <c r="K40" s="31" t="str">
        <f t="shared" ca="1" si="9"/>
        <v>nein</v>
      </c>
      <c r="L40" s="32" t="str">
        <f t="shared" ca="1" si="8"/>
        <v>nein</v>
      </c>
    </row>
    <row r="41" spans="1:12">
      <c r="A41" s="11"/>
      <c r="B41" s="12"/>
      <c r="C41" s="13"/>
      <c r="D41" s="14"/>
      <c r="E41" s="15"/>
      <c r="F41" s="12"/>
      <c r="G41" s="16">
        <f t="shared" si="5"/>
        <v>0</v>
      </c>
      <c r="H41" s="17"/>
      <c r="I41" s="13"/>
      <c r="J41" s="18" t="str">
        <f t="shared" ca="1" si="6"/>
        <v>nein</v>
      </c>
      <c r="K41" s="18" t="str">
        <f t="shared" ca="1" si="9"/>
        <v>nein</v>
      </c>
      <c r="L41" s="19" t="str">
        <f t="shared" ca="1" si="8"/>
        <v>nein</v>
      </c>
    </row>
    <row r="42" spans="1:12">
      <c r="A42" s="24"/>
      <c r="B42" s="25"/>
      <c r="C42" s="26"/>
      <c r="D42" s="27"/>
      <c r="E42" s="28"/>
      <c r="F42" s="25"/>
      <c r="G42" s="29">
        <f t="shared" si="5"/>
        <v>0</v>
      </c>
      <c r="H42" s="30"/>
      <c r="I42" s="26"/>
      <c r="J42" s="31" t="str">
        <f t="shared" ca="1" si="6"/>
        <v>nein</v>
      </c>
      <c r="K42" s="31" t="str">
        <f t="shared" ca="1" si="9"/>
        <v>nein</v>
      </c>
      <c r="L42" s="32" t="str">
        <f t="shared" ca="1" si="8"/>
        <v>nein</v>
      </c>
    </row>
    <row r="43" spans="1:12">
      <c r="A43" s="11"/>
      <c r="B43" s="12"/>
      <c r="C43" s="13"/>
      <c r="D43" s="14"/>
      <c r="E43" s="15"/>
      <c r="F43" s="12"/>
      <c r="G43" s="16">
        <f t="shared" si="5"/>
        <v>0</v>
      </c>
      <c r="H43" s="17"/>
      <c r="I43" s="13"/>
      <c r="J43" s="18" t="str">
        <f t="shared" ca="1" si="6"/>
        <v>nein</v>
      </c>
      <c r="K43" s="18" t="str">
        <f t="shared" ca="1" si="9"/>
        <v>nein</v>
      </c>
      <c r="L43" s="19" t="str">
        <f t="shared" ca="1" si="8"/>
        <v>nein</v>
      </c>
    </row>
    <row r="44" spans="1:12">
      <c r="A44" s="24"/>
      <c r="B44" s="25"/>
      <c r="C44" s="26"/>
      <c r="D44" s="27"/>
      <c r="E44" s="28"/>
      <c r="F44" s="25"/>
      <c r="G44" s="29">
        <f t="shared" si="5"/>
        <v>0</v>
      </c>
      <c r="H44" s="30"/>
      <c r="I44" s="26"/>
      <c r="J44" s="31" t="str">
        <f t="shared" ca="1" si="6"/>
        <v>nein</v>
      </c>
      <c r="K44" s="31" t="str">
        <f t="shared" ca="1" si="9"/>
        <v>nein</v>
      </c>
      <c r="L44" s="32" t="str">
        <f t="shared" ca="1" si="8"/>
        <v>nein</v>
      </c>
    </row>
    <row r="45" spans="1:12">
      <c r="A45" s="11"/>
      <c r="B45" s="12"/>
      <c r="C45" s="13"/>
      <c r="D45" s="14"/>
      <c r="E45" s="15"/>
      <c r="F45" s="12"/>
      <c r="G45" s="16">
        <f t="shared" si="5"/>
        <v>0</v>
      </c>
      <c r="H45" s="17"/>
      <c r="I45" s="13"/>
      <c r="J45" s="18" t="str">
        <f t="shared" ca="1" si="6"/>
        <v>nein</v>
      </c>
      <c r="K45" s="18" t="str">
        <f t="shared" ca="1" si="9"/>
        <v>nein</v>
      </c>
      <c r="L45" s="19" t="str">
        <f t="shared" ca="1" si="8"/>
        <v>nein</v>
      </c>
    </row>
    <row r="46" spans="1:12">
      <c r="A46" s="24"/>
      <c r="B46" s="25"/>
      <c r="C46" s="26"/>
      <c r="D46" s="27"/>
      <c r="E46" s="28"/>
      <c r="F46" s="25"/>
      <c r="G46" s="29">
        <f t="shared" si="5"/>
        <v>0</v>
      </c>
      <c r="H46" s="30"/>
      <c r="I46" s="26"/>
      <c r="J46" s="31" t="str">
        <f t="shared" ca="1" si="6"/>
        <v>nein</v>
      </c>
      <c r="K46" s="31" t="str">
        <f t="shared" ca="1" si="9"/>
        <v>nein</v>
      </c>
      <c r="L46" s="32" t="str">
        <f t="shared" ca="1" si="8"/>
        <v>nein</v>
      </c>
    </row>
    <row r="47" spans="1:12">
      <c r="A47" s="11"/>
      <c r="B47" s="12"/>
      <c r="C47" s="13"/>
      <c r="D47" s="14"/>
      <c r="E47" s="15"/>
      <c r="F47" s="12"/>
      <c r="G47" s="16">
        <f t="shared" si="5"/>
        <v>0</v>
      </c>
      <c r="H47" s="17"/>
      <c r="I47" s="13"/>
      <c r="J47" s="18" t="str">
        <f t="shared" ca="1" si="6"/>
        <v>nein</v>
      </c>
      <c r="K47" s="18" t="str">
        <f t="shared" ca="1" si="9"/>
        <v>nein</v>
      </c>
      <c r="L47" s="19" t="str">
        <f t="shared" ca="1" si="8"/>
        <v>nein</v>
      </c>
    </row>
    <row r="48" spans="1:12">
      <c r="A48" s="24"/>
      <c r="B48" s="25"/>
      <c r="C48" s="26"/>
      <c r="D48" s="27"/>
      <c r="E48" s="28"/>
      <c r="F48" s="25"/>
      <c r="G48" s="29">
        <f t="shared" si="5"/>
        <v>0</v>
      </c>
      <c r="H48" s="30"/>
      <c r="I48" s="26"/>
      <c r="J48" s="31" t="str">
        <f t="shared" ca="1" si="6"/>
        <v>nein</v>
      </c>
      <c r="K48" s="31" t="str">
        <f t="shared" ca="1" si="9"/>
        <v>nein</v>
      </c>
      <c r="L48" s="32" t="str">
        <f t="shared" ca="1" si="8"/>
        <v>nein</v>
      </c>
    </row>
    <row r="49" spans="1:12">
      <c r="A49" s="11"/>
      <c r="B49" s="12"/>
      <c r="C49" s="13"/>
      <c r="D49" s="14"/>
      <c r="E49" s="15"/>
      <c r="F49" s="12"/>
      <c r="G49" s="16">
        <f t="shared" si="5"/>
        <v>0</v>
      </c>
      <c r="H49" s="17"/>
      <c r="I49" s="13"/>
      <c r="J49" s="18" t="str">
        <f t="shared" ca="1" si="6"/>
        <v>nein</v>
      </c>
      <c r="K49" s="18" t="str">
        <f t="shared" ca="1" si="9"/>
        <v>nein</v>
      </c>
      <c r="L49" s="19" t="str">
        <f t="shared" ca="1" si="8"/>
        <v>nein</v>
      </c>
    </row>
    <row r="50" spans="1:12" ht="15.75" thickBot="1">
      <c r="A50" s="41"/>
      <c r="B50" s="42"/>
      <c r="C50" s="43"/>
      <c r="D50" s="44"/>
      <c r="E50" s="45"/>
      <c r="F50" s="42"/>
      <c r="G50" s="46">
        <f t="shared" si="5"/>
        <v>0</v>
      </c>
      <c r="H50" s="47"/>
      <c r="I50" s="43"/>
      <c r="J50" s="48" t="str">
        <f t="shared" ca="1" si="6"/>
        <v>nein</v>
      </c>
      <c r="K50" s="48" t="str">
        <f t="shared" ca="1" si="9"/>
        <v>nein</v>
      </c>
      <c r="L50" s="49" t="str">
        <f t="shared" ca="1" si="8"/>
        <v>nein</v>
      </c>
    </row>
    <row r="59" spans="1:12">
      <c r="A59" t="s">
        <v>27</v>
      </c>
    </row>
  </sheetData>
  <sheetProtection sheet="1" objects="1" scenarios="1"/>
  <mergeCells count="1">
    <mergeCell ref="A1:L1"/>
  </mergeCells>
  <conditionalFormatting sqref="J31">
    <cfRule type="cellIs" priority="42" stopIfTrue="1" operator="equal">
      <formula>"nein"</formula>
    </cfRule>
    <cfRule type="cellIs" dxfId="4" priority="43" stopIfTrue="1" operator="equal">
      <formula>"prüfen"</formula>
    </cfRule>
    <cfRule type="cellIs" dxfId="3" priority="44" stopIfTrue="1" operator="equal">
      <formula>"ja"</formula>
    </cfRule>
  </conditionalFormatting>
  <conditionalFormatting sqref="J6:L50">
    <cfRule type="cellIs" dxfId="2" priority="13" stopIfTrue="1" operator="equal">
      <formula>"erledigt"</formula>
    </cfRule>
    <cfRule type="cellIs" dxfId="1" priority="16" stopIfTrue="1" operator="equal">
      <formula>"prüfen"</formula>
    </cfRule>
    <cfRule type="cellIs" dxfId="0" priority="17" stopIfTrue="1" operator="equal">
      <formula>"ja"</formula>
    </cfRule>
  </conditionalFormatting>
  <pageMargins left="0.7" right="0.7" top="0.78740157499999996" bottom="0.78740157499999996" header="0.3" footer="0.3"/>
  <pageSetup paperSize="9" orientation="portrait" horizontalDpi="0" verticalDpi="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jw</dc:creator>
  <cp:lastModifiedBy>jw</cp:lastModifiedBy>
  <dcterms:created xsi:type="dcterms:W3CDTF">2011-07-11T17:03:06Z</dcterms:created>
  <dcterms:modified xsi:type="dcterms:W3CDTF">2011-07-11T18:15:48Z</dcterms:modified>
</cp:coreProperties>
</file>