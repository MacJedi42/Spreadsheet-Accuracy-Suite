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75" windowWidth="22035" windowHeight="5700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G4" i="1" l="1"/>
  <c r="E4" i="1"/>
  <c r="D4" i="1"/>
  <c r="B5" i="1" s="1"/>
  <c r="D5" i="1" s="1"/>
  <c r="B6" i="1" s="1"/>
  <c r="D6" i="1" s="1"/>
  <c r="B7" i="1" s="1"/>
  <c r="D7" i="1" s="1"/>
  <c r="B8" i="1" s="1"/>
  <c r="D8" i="1" s="1"/>
  <c r="B9" i="1" s="1"/>
  <c r="D9" i="1" s="1"/>
  <c r="B10" i="1" s="1"/>
  <c r="D10" i="1" s="1"/>
  <c r="B11" i="1" s="1"/>
  <c r="D11" i="1" s="1"/>
  <c r="B12" i="1" s="1"/>
  <c r="D12" i="1" s="1"/>
  <c r="B13" i="1" s="1"/>
  <c r="D13" i="1" s="1"/>
  <c r="B14" i="1" s="1"/>
  <c r="D14" i="1" s="1"/>
  <c r="B15" i="1" s="1"/>
  <c r="D15" i="1" s="1"/>
  <c r="B16" i="1" s="1"/>
  <c r="D16" i="1" s="1"/>
  <c r="B17" i="1" s="1"/>
  <c r="D17" i="1" s="1"/>
  <c r="B18" i="1" s="1"/>
  <c r="D18" i="1" s="1"/>
  <c r="B19" i="1" s="1"/>
  <c r="D19" i="1" s="1"/>
  <c r="B20" i="1" s="1"/>
  <c r="D20" i="1" s="1"/>
  <c r="B21" i="1" s="1"/>
  <c r="D21" i="1" s="1"/>
  <c r="B22" i="1" s="1"/>
  <c r="D22" i="1" s="1"/>
  <c r="B23" i="1" s="1"/>
  <c r="D23" i="1" s="1"/>
  <c r="B24" i="1" s="1"/>
  <c r="D24" i="1" s="1"/>
  <c r="B25" i="1" s="1"/>
  <c r="D25" i="1" s="1"/>
  <c r="B26" i="1" s="1"/>
  <c r="D26" i="1" s="1"/>
  <c r="B27" i="1" s="1"/>
  <c r="D27" i="1" s="1"/>
  <c r="B28" i="1" s="1"/>
  <c r="D28" i="1" s="1"/>
  <c r="B29" i="1" s="1"/>
  <c r="D29" i="1" s="1"/>
  <c r="H29" i="1" s="1"/>
  <c r="E28" i="1" l="1"/>
  <c r="E26" i="1"/>
  <c r="E24" i="1"/>
  <c r="E22" i="1"/>
  <c r="E20" i="1"/>
  <c r="E18" i="1"/>
  <c r="E16" i="1"/>
  <c r="E14" i="1"/>
  <c r="E12" i="1"/>
  <c r="E10" i="1"/>
  <c r="E8" i="1"/>
  <c r="E6" i="1"/>
  <c r="F4" i="1"/>
  <c r="F28" i="1"/>
  <c r="F26" i="1"/>
  <c r="F24" i="1"/>
  <c r="F22" i="1"/>
  <c r="F20" i="1"/>
  <c r="F18" i="1"/>
  <c r="F16" i="1"/>
  <c r="F14" i="1"/>
  <c r="F12" i="1"/>
  <c r="F10" i="1"/>
  <c r="F8" i="1"/>
  <c r="F6" i="1"/>
  <c r="G28" i="1"/>
  <c r="G26" i="1"/>
  <c r="G24" i="1"/>
  <c r="G22" i="1"/>
  <c r="G20" i="1"/>
  <c r="G18" i="1"/>
  <c r="G16" i="1"/>
  <c r="G14" i="1"/>
  <c r="G12" i="1"/>
  <c r="G10" i="1"/>
  <c r="G8" i="1"/>
  <c r="G6" i="1"/>
  <c r="H4" i="1"/>
  <c r="H28" i="1"/>
  <c r="H26" i="1"/>
  <c r="H24" i="1"/>
  <c r="H22" i="1"/>
  <c r="H20" i="1"/>
  <c r="H18" i="1"/>
  <c r="H16" i="1"/>
  <c r="H14" i="1"/>
  <c r="H12" i="1"/>
  <c r="H10" i="1"/>
  <c r="H8" i="1"/>
  <c r="H6" i="1"/>
  <c r="E29" i="1"/>
  <c r="E27" i="1"/>
  <c r="E25" i="1"/>
  <c r="E23" i="1"/>
  <c r="E21" i="1"/>
  <c r="E19" i="1"/>
  <c r="E17" i="1"/>
  <c r="E15" i="1"/>
  <c r="E13" i="1"/>
  <c r="E11" i="1"/>
  <c r="E9" i="1"/>
  <c r="E7" i="1"/>
  <c r="E5" i="1"/>
  <c r="F29" i="1"/>
  <c r="F27" i="1"/>
  <c r="F25" i="1"/>
  <c r="F23" i="1"/>
  <c r="F21" i="1"/>
  <c r="F19" i="1"/>
  <c r="F17" i="1"/>
  <c r="F15" i="1"/>
  <c r="F13" i="1"/>
  <c r="F11" i="1"/>
  <c r="F9" i="1"/>
  <c r="F7" i="1"/>
  <c r="F5" i="1"/>
  <c r="G29" i="1"/>
  <c r="G27" i="1"/>
  <c r="G25" i="1"/>
  <c r="G23" i="1"/>
  <c r="G21" i="1"/>
  <c r="G19" i="1"/>
  <c r="G17" i="1"/>
  <c r="G15" i="1"/>
  <c r="G13" i="1"/>
  <c r="G11" i="1"/>
  <c r="G9" i="1"/>
  <c r="G7" i="1"/>
  <c r="G5" i="1"/>
  <c r="H27" i="1"/>
  <c r="H25" i="1"/>
  <c r="H23" i="1"/>
  <c r="H21" i="1"/>
  <c r="H19" i="1"/>
  <c r="H17" i="1"/>
  <c r="H15" i="1"/>
  <c r="H13" i="1"/>
  <c r="H11" i="1"/>
  <c r="H9" i="1"/>
  <c r="H7" i="1"/>
  <c r="H5" i="1"/>
</calcChain>
</file>

<file path=xl/sharedStrings.xml><?xml version="1.0" encoding="utf-8"?>
<sst xmlns="http://schemas.openxmlformats.org/spreadsheetml/2006/main" count="33" uniqueCount="9">
  <si>
    <t>-</t>
  </si>
  <si>
    <t>Effective Dates</t>
  </si>
  <si>
    <t>Pay Period</t>
  </si>
  <si>
    <t>Pay Date (Friday)</t>
  </si>
  <si>
    <t>EPAF Deadline (Tuesday)</t>
  </si>
  <si>
    <t>Timesheets Available 12:01 AM</t>
  </si>
  <si>
    <t>CY 2014 Deadlines</t>
  </si>
  <si>
    <t>***Approval Deadline Tuesday 5:00pm</t>
  </si>
  <si>
    <t>***This deadline may differ with departments, not to be any later than the Tuesday 5:00pm deadline.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</si>
</sst>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;@"/>
  </numFmts>
  <fonts count="5" x14ac:knownFonts="1">
    <font>
      <sz val="11"/>
      <color theme="1"/>
      <name val="Calibri"/>
      <family val="2"/>
      <scheme val="minor"/>
    </font>
    <font>
      <sz val="12"/>
      <color theme="1"/>
      <name val="Cambria"/>
      <family val="1"/>
      <scheme val="major"/>
    </font>
    <font>
      <b/>
      <sz val="13"/>
      <color theme="1"/>
      <name val="Cambria"/>
      <family val="1"/>
      <scheme val="major"/>
    </font>
    <font>
      <b/>
      <sz val="18"/>
      <color theme="1"/>
      <name val="Cambria"/>
      <family val="1"/>
      <scheme val="major"/>
    </font>
    <font>
      <b/>
      <sz val="12"/>
      <color rgb="FFC00000"/>
      <name val="Cambria"/>
      <family val="1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65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right"/>
    </xf>
    <xf numFmtId="164" fontId="1" fillId="0" borderId="0" xfId="0" applyNumberFormat="1" applyFont="1" applyBorder="1" applyAlignment="1">
      <alignment horizontal="center"/>
    </xf>
    <xf numFmtId="164" fontId="1" fillId="0" borderId="0" xfId="0" applyNumberFormat="1" applyFont="1" applyBorder="1" applyAlignment="1">
      <alignment horizontal="right"/>
    </xf>
    <xf numFmtId="0" fontId="1" fillId="0" borderId="0" xfId="0" applyFont="1" applyBorder="1" applyAlignment="1">
      <alignment horizontal="center"/>
    </xf>
    <xf numFmtId="164" fontId="1" fillId="0" borderId="0" xfId="0" applyNumberFormat="1" applyFont="1" applyBorder="1" applyAlignment="1">
      <alignment horizontal="left"/>
    </xf>
    <xf numFmtId="0" fontId="1" fillId="0" borderId="10" xfId="0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right" vertical="center"/>
    </xf>
    <xf numFmtId="164" fontId="1" fillId="0" borderId="5" xfId="0" applyNumberFormat="1" applyFont="1" applyBorder="1" applyAlignment="1">
      <alignment horizontal="center" vertical="center"/>
    </xf>
    <xf numFmtId="164" fontId="1" fillId="0" borderId="13" xfId="0" applyNumberFormat="1" applyFont="1" applyBorder="1" applyAlignment="1">
      <alignment horizontal="left" vertical="center"/>
    </xf>
    <xf numFmtId="164" fontId="1" fillId="0" borderId="16" xfId="0" applyNumberFormat="1" applyFont="1" applyBorder="1" applyAlignment="1">
      <alignment horizontal="center" vertical="center"/>
    </xf>
    <xf numFmtId="164" fontId="1" fillId="0" borderId="6" xfId="0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" fillId="0" borderId="19" xfId="0" applyFont="1" applyBorder="1" applyAlignment="1">
      <alignment horizontal="center" vertical="center"/>
    </xf>
    <xf numFmtId="164" fontId="1" fillId="0" borderId="20" xfId="0" applyNumberFormat="1" applyFont="1" applyBorder="1" applyAlignment="1">
      <alignment horizontal="right" vertical="center"/>
    </xf>
    <xf numFmtId="164" fontId="1" fillId="0" borderId="20" xfId="0" applyNumberFormat="1" applyFont="1" applyBorder="1" applyAlignment="1">
      <alignment horizontal="center" vertical="center"/>
    </xf>
    <xf numFmtId="164" fontId="1" fillId="0" borderId="21" xfId="0" applyNumberFormat="1" applyFont="1" applyBorder="1" applyAlignment="1">
      <alignment horizontal="left" vertical="center"/>
    </xf>
    <xf numFmtId="164" fontId="1" fillId="0" borderId="22" xfId="0" applyNumberFormat="1" applyFont="1" applyBorder="1" applyAlignment="1">
      <alignment horizontal="center" vertical="center"/>
    </xf>
    <xf numFmtId="164" fontId="1" fillId="0" borderId="23" xfId="0" applyNumberFormat="1" applyFont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164" fontId="1" fillId="2" borderId="25" xfId="0" applyNumberFormat="1" applyFont="1" applyFill="1" applyBorder="1" applyAlignment="1">
      <alignment horizontal="right" vertical="center"/>
    </xf>
    <xf numFmtId="164" fontId="1" fillId="2" borderId="25" xfId="0" applyNumberFormat="1" applyFont="1" applyFill="1" applyBorder="1" applyAlignment="1">
      <alignment horizontal="center" vertical="center"/>
    </xf>
    <xf numFmtId="164" fontId="1" fillId="2" borderId="26" xfId="0" applyNumberFormat="1" applyFont="1" applyFill="1" applyBorder="1" applyAlignment="1">
      <alignment horizontal="left" vertical="center"/>
    </xf>
    <xf numFmtId="164" fontId="1" fillId="2" borderId="27" xfId="0" applyNumberFormat="1" applyFont="1" applyFill="1" applyBorder="1" applyAlignment="1">
      <alignment horizontal="center" vertical="center"/>
    </xf>
    <xf numFmtId="164" fontId="1" fillId="2" borderId="28" xfId="0" applyNumberFormat="1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164" fontId="1" fillId="2" borderId="20" xfId="0" applyNumberFormat="1" applyFont="1" applyFill="1" applyBorder="1" applyAlignment="1">
      <alignment horizontal="right" vertical="center"/>
    </xf>
    <xf numFmtId="164" fontId="1" fillId="2" borderId="20" xfId="0" applyNumberFormat="1" applyFont="1" applyFill="1" applyBorder="1" applyAlignment="1">
      <alignment horizontal="center" vertical="center"/>
    </xf>
    <xf numFmtId="164" fontId="1" fillId="2" borderId="21" xfId="0" applyNumberFormat="1" applyFont="1" applyFill="1" applyBorder="1" applyAlignment="1">
      <alignment horizontal="left" vertical="center"/>
    </xf>
    <xf numFmtId="164" fontId="1" fillId="2" borderId="22" xfId="0" applyNumberFormat="1" applyFont="1" applyFill="1" applyBorder="1" applyAlignment="1">
      <alignment horizontal="center" vertical="center"/>
    </xf>
    <xf numFmtId="164" fontId="1" fillId="2" borderId="23" xfId="0" applyNumberFormat="1" applyFont="1" applyFill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164" fontId="1" fillId="0" borderId="25" xfId="0" applyNumberFormat="1" applyFont="1" applyBorder="1" applyAlignment="1">
      <alignment horizontal="right" vertical="center"/>
    </xf>
    <xf numFmtId="164" fontId="1" fillId="0" borderId="25" xfId="0" applyNumberFormat="1" applyFont="1" applyBorder="1" applyAlignment="1">
      <alignment horizontal="center" vertical="center"/>
    </xf>
    <xf numFmtId="164" fontId="1" fillId="0" borderId="26" xfId="0" applyNumberFormat="1" applyFont="1" applyBorder="1" applyAlignment="1">
      <alignment horizontal="left" vertical="center"/>
    </xf>
    <xf numFmtId="164" fontId="1" fillId="0" borderId="27" xfId="0" applyNumberFormat="1" applyFont="1" applyBorder="1" applyAlignment="1">
      <alignment horizontal="center" vertical="center"/>
    </xf>
    <xf numFmtId="164" fontId="1" fillId="0" borderId="28" xfId="0" applyNumberFormat="1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164" fontId="1" fillId="0" borderId="0" xfId="0" applyNumberFormat="1" applyFont="1" applyBorder="1" applyAlignment="1">
      <alignment horizontal="right" vertical="center"/>
    </xf>
    <xf numFmtId="164" fontId="1" fillId="0" borderId="0" xfId="0" applyNumberFormat="1" applyFont="1" applyBorder="1" applyAlignment="1">
      <alignment horizontal="center" vertical="center"/>
    </xf>
    <xf numFmtId="164" fontId="1" fillId="0" borderId="14" xfId="0" applyNumberFormat="1" applyFont="1" applyBorder="1" applyAlignment="1">
      <alignment horizontal="left" vertical="center"/>
    </xf>
    <xf numFmtId="164" fontId="1" fillId="0" borderId="17" xfId="0" applyNumberFormat="1" applyFont="1" applyBorder="1" applyAlignment="1">
      <alignment horizontal="center" vertical="center"/>
    </xf>
    <xf numFmtId="164" fontId="1" fillId="0" borderId="7" xfId="0" applyNumberFormat="1" applyFont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164" fontId="1" fillId="2" borderId="0" xfId="0" applyNumberFormat="1" applyFont="1" applyFill="1" applyBorder="1" applyAlignment="1">
      <alignment horizontal="right" vertical="center"/>
    </xf>
    <xf numFmtId="164" fontId="1" fillId="2" borderId="0" xfId="0" applyNumberFormat="1" applyFont="1" applyFill="1" applyBorder="1" applyAlignment="1">
      <alignment horizontal="center" vertical="center"/>
    </xf>
    <xf numFmtId="164" fontId="1" fillId="2" borderId="14" xfId="0" applyNumberFormat="1" applyFont="1" applyFill="1" applyBorder="1" applyAlignment="1">
      <alignment horizontal="left" vertical="center"/>
    </xf>
    <xf numFmtId="164" fontId="1" fillId="2" borderId="17" xfId="0" applyNumberFormat="1" applyFont="1" applyFill="1" applyBorder="1" applyAlignment="1">
      <alignment horizontal="center" vertical="center"/>
    </xf>
    <xf numFmtId="164" fontId="1" fillId="2" borderId="7" xfId="0" applyNumberFormat="1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164" fontId="1" fillId="2" borderId="8" xfId="0" applyNumberFormat="1" applyFont="1" applyFill="1" applyBorder="1" applyAlignment="1">
      <alignment horizontal="right" vertical="center"/>
    </xf>
    <xf numFmtId="164" fontId="1" fillId="2" borderId="8" xfId="0" applyNumberFormat="1" applyFont="1" applyFill="1" applyBorder="1" applyAlignment="1">
      <alignment horizontal="center" vertical="center"/>
    </xf>
    <xf numFmtId="164" fontId="1" fillId="2" borderId="15" xfId="0" applyNumberFormat="1" applyFont="1" applyFill="1" applyBorder="1" applyAlignment="1">
      <alignment horizontal="left" vertical="center"/>
    </xf>
    <xf numFmtId="164" fontId="1" fillId="2" borderId="18" xfId="0" applyNumberFormat="1" applyFont="1" applyFill="1" applyBorder="1" applyAlignment="1">
      <alignment horizontal="center" vertical="center"/>
    </xf>
    <xf numFmtId="164" fontId="1" fillId="2" borderId="9" xfId="0" applyNumberFormat="1" applyFont="1" applyFill="1" applyBorder="1" applyAlignment="1">
      <alignment horizontal="center" vertical="center"/>
    </xf>
    <xf numFmtId="164" fontId="1" fillId="0" borderId="29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15"/>
  <sheetViews>
    <sheetView tabSelected="1" workbookViewId="0">
      <selection sqref="A1:H1"/>
    </sheetView>
  </sheetViews>
  <sheetFormatPr defaultRowHeight="15" x14ac:dyDescent="0.25"/>
  <cols>
    <col min="1" max="1" width="9.28515625" style="2" customWidth="1"/>
    <col min="2" max="2" width="11.7109375" style="4" customWidth="1"/>
    <col min="3" max="3" width="3.85546875" style="2" customWidth="1"/>
    <col min="4" max="4" width="11.85546875" style="2" customWidth="1"/>
    <col min="5" max="6" width="13.7109375" style="2" customWidth="1"/>
    <col min="7" max="7" width="15.140625" style="2" customWidth="1"/>
    <col min="8" max="8" width="14.85546875" style="2" customWidth="1"/>
  </cols>
  <sheetData>
    <row r="1" spans="1:8" ht="22.5" x14ac:dyDescent="0.3">
      <c r="A1" s="63" t="s">
        <v>6</v>
      </c>
      <c r="B1" s="63"/>
      <c r="C1" s="63"/>
      <c r="D1" s="63"/>
      <c r="E1" s="63"/>
      <c r="F1" s="63"/>
      <c r="G1" s="63"/>
      <c r="H1" s="63"/>
    </row>
    <row r="2" spans="1:8" ht="15.75" thickBot="1" x14ac:dyDescent="0.3"/>
    <row r="3" spans="1:8" s="1" customFormat="1" ht="83.25" thickBot="1" x14ac:dyDescent="0.3">
      <c r="A3" s="59" t="s">
        <v>2</v>
      </c>
      <c r="B3" s="60" t="s">
        <v>1</v>
      </c>
      <c r="C3" s="61"/>
      <c r="D3" s="62"/>
      <c r="E3" s="59" t="s">
        <v>3</v>
      </c>
      <c r="F3" s="59" t="s">
        <v>4</v>
      </c>
      <c r="G3" s="59" t="s">
        <v>5</v>
      </c>
      <c r="H3" s="59" t="s">
        <v>7</v>
      </c>
    </row>
    <row r="4" spans="1:8" s="15" customFormat="1" ht="20.100000000000001" customHeight="1" x14ac:dyDescent="0.25">
      <c r="A4" s="9">
        <v>1</v>
      </c>
      <c r="B4" s="10">
        <v>41616</v>
      </c>
      <c r="C4" s="11" t="s">
        <v>0</v>
      </c>
      <c r="D4" s="12">
        <f>B4+13</f>
        <v>41629</v>
      </c>
      <c r="E4" s="13">
        <f>D4+13</f>
        <v>41642</v>
      </c>
      <c r="F4" s="13">
        <f>D4-4</f>
        <v>41625</v>
      </c>
      <c r="G4" s="13">
        <f>B4</f>
        <v>41616</v>
      </c>
      <c r="H4" s="14">
        <f>D4+3</f>
        <v>41632</v>
      </c>
    </row>
    <row r="5" spans="1:8" s="15" customFormat="1" ht="20.100000000000001" customHeight="1" x14ac:dyDescent="0.25">
      <c r="A5" s="40">
        <v>2</v>
      </c>
      <c r="B5" s="41">
        <f>D4+1</f>
        <v>41630</v>
      </c>
      <c r="C5" s="42" t="s">
        <v>0</v>
      </c>
      <c r="D5" s="43">
        <f t="shared" ref="D5:D29" si="0">B5+13</f>
        <v>41643</v>
      </c>
      <c r="E5" s="44">
        <f t="shared" ref="E5:E29" si="1">D5+13</f>
        <v>41656</v>
      </c>
      <c r="F5" s="44">
        <f t="shared" ref="F5:F29" si="2">D5-4</f>
        <v>41639</v>
      </c>
      <c r="G5" s="44">
        <f t="shared" ref="G5:G29" si="3">B5</f>
        <v>41630</v>
      </c>
      <c r="H5" s="58">
        <f t="shared" ref="H5:H29" si="4">D5+3</f>
        <v>41646</v>
      </c>
    </row>
    <row r="6" spans="1:8" s="15" customFormat="1" ht="20.100000000000001" customHeight="1" x14ac:dyDescent="0.25">
      <c r="A6" s="16">
        <v>3</v>
      </c>
      <c r="B6" s="17">
        <f t="shared" ref="B6:B29" si="5">D5+1</f>
        <v>41644</v>
      </c>
      <c r="C6" s="18" t="s">
        <v>0</v>
      </c>
      <c r="D6" s="19">
        <f t="shared" si="0"/>
        <v>41657</v>
      </c>
      <c r="E6" s="20">
        <f t="shared" si="1"/>
        <v>41670</v>
      </c>
      <c r="F6" s="20">
        <f t="shared" si="2"/>
        <v>41653</v>
      </c>
      <c r="G6" s="20">
        <f t="shared" si="3"/>
        <v>41644</v>
      </c>
      <c r="H6" s="21">
        <f t="shared" si="4"/>
        <v>41660</v>
      </c>
    </row>
    <row r="7" spans="1:8" s="15" customFormat="1" ht="20.100000000000001" customHeight="1" x14ac:dyDescent="0.25">
      <c r="A7" s="46">
        <v>4</v>
      </c>
      <c r="B7" s="47">
        <f t="shared" si="5"/>
        <v>41658</v>
      </c>
      <c r="C7" s="48" t="s">
        <v>0</v>
      </c>
      <c r="D7" s="49">
        <f t="shared" si="0"/>
        <v>41671</v>
      </c>
      <c r="E7" s="50">
        <f t="shared" si="1"/>
        <v>41684</v>
      </c>
      <c r="F7" s="50">
        <f t="shared" si="2"/>
        <v>41667</v>
      </c>
      <c r="G7" s="50">
        <f t="shared" si="3"/>
        <v>41658</v>
      </c>
      <c r="H7" s="51">
        <f t="shared" si="4"/>
        <v>41674</v>
      </c>
    </row>
    <row r="8" spans="1:8" s="15" customFormat="1" ht="20.100000000000001" customHeight="1" x14ac:dyDescent="0.25">
      <c r="A8" s="28">
        <v>5</v>
      </c>
      <c r="B8" s="29">
        <f t="shared" si="5"/>
        <v>41672</v>
      </c>
      <c r="C8" s="30" t="s">
        <v>0</v>
      </c>
      <c r="D8" s="31">
        <f t="shared" si="0"/>
        <v>41685</v>
      </c>
      <c r="E8" s="32">
        <f t="shared" si="1"/>
        <v>41698</v>
      </c>
      <c r="F8" s="32">
        <f t="shared" si="2"/>
        <v>41681</v>
      </c>
      <c r="G8" s="32">
        <f t="shared" si="3"/>
        <v>41672</v>
      </c>
      <c r="H8" s="33">
        <f t="shared" si="4"/>
        <v>41688</v>
      </c>
    </row>
    <row r="9" spans="1:8" s="15" customFormat="1" ht="20.100000000000001" customHeight="1" x14ac:dyDescent="0.25">
      <c r="A9" s="40">
        <v>6</v>
      </c>
      <c r="B9" s="41">
        <f t="shared" si="5"/>
        <v>41686</v>
      </c>
      <c r="C9" s="42" t="s">
        <v>0</v>
      </c>
      <c r="D9" s="43">
        <f t="shared" si="0"/>
        <v>41699</v>
      </c>
      <c r="E9" s="44">
        <f t="shared" si="1"/>
        <v>41712</v>
      </c>
      <c r="F9" s="44">
        <f t="shared" si="2"/>
        <v>41695</v>
      </c>
      <c r="G9" s="44">
        <f t="shared" si="3"/>
        <v>41686</v>
      </c>
      <c r="H9" s="45">
        <f t="shared" si="4"/>
        <v>41702</v>
      </c>
    </row>
    <row r="10" spans="1:8" s="15" customFormat="1" ht="20.100000000000001" customHeight="1" x14ac:dyDescent="0.25">
      <c r="A10" s="16">
        <v>7</v>
      </c>
      <c r="B10" s="17">
        <f t="shared" si="5"/>
        <v>41700</v>
      </c>
      <c r="C10" s="18" t="s">
        <v>0</v>
      </c>
      <c r="D10" s="19">
        <f t="shared" si="0"/>
        <v>41713</v>
      </c>
      <c r="E10" s="20">
        <f t="shared" si="1"/>
        <v>41726</v>
      </c>
      <c r="F10" s="20">
        <f t="shared" si="2"/>
        <v>41709</v>
      </c>
      <c r="G10" s="20">
        <f t="shared" si="3"/>
        <v>41700</v>
      </c>
      <c r="H10" s="21">
        <f t="shared" si="4"/>
        <v>41716</v>
      </c>
    </row>
    <row r="11" spans="1:8" s="15" customFormat="1" ht="20.100000000000001" customHeight="1" x14ac:dyDescent="0.25">
      <c r="A11" s="22">
        <v>8</v>
      </c>
      <c r="B11" s="23">
        <f t="shared" si="5"/>
        <v>41714</v>
      </c>
      <c r="C11" s="24" t="s">
        <v>0</v>
      </c>
      <c r="D11" s="25">
        <f t="shared" si="0"/>
        <v>41727</v>
      </c>
      <c r="E11" s="26">
        <f t="shared" si="1"/>
        <v>41740</v>
      </c>
      <c r="F11" s="26">
        <f t="shared" si="2"/>
        <v>41723</v>
      </c>
      <c r="G11" s="26">
        <f t="shared" si="3"/>
        <v>41714</v>
      </c>
      <c r="H11" s="27">
        <f t="shared" si="4"/>
        <v>41730</v>
      </c>
    </row>
    <row r="12" spans="1:8" s="15" customFormat="1" ht="20.100000000000001" customHeight="1" x14ac:dyDescent="0.25">
      <c r="A12" s="28">
        <v>9</v>
      </c>
      <c r="B12" s="29">
        <f t="shared" si="5"/>
        <v>41728</v>
      </c>
      <c r="C12" s="30" t="s">
        <v>0</v>
      </c>
      <c r="D12" s="31">
        <f t="shared" si="0"/>
        <v>41741</v>
      </c>
      <c r="E12" s="32">
        <f t="shared" si="1"/>
        <v>41754</v>
      </c>
      <c r="F12" s="32">
        <f t="shared" si="2"/>
        <v>41737</v>
      </c>
      <c r="G12" s="32">
        <f t="shared" si="3"/>
        <v>41728</v>
      </c>
      <c r="H12" s="33">
        <f t="shared" si="4"/>
        <v>41744</v>
      </c>
    </row>
    <row r="13" spans="1:8" s="15" customFormat="1" ht="20.100000000000001" customHeight="1" x14ac:dyDescent="0.25">
      <c r="A13" s="34">
        <v>10</v>
      </c>
      <c r="B13" s="35">
        <f t="shared" si="5"/>
        <v>41742</v>
      </c>
      <c r="C13" s="36" t="s">
        <v>0</v>
      </c>
      <c r="D13" s="37">
        <f t="shared" si="0"/>
        <v>41755</v>
      </c>
      <c r="E13" s="38">
        <f t="shared" si="1"/>
        <v>41768</v>
      </c>
      <c r="F13" s="38">
        <f t="shared" si="2"/>
        <v>41751</v>
      </c>
      <c r="G13" s="38">
        <f t="shared" si="3"/>
        <v>41742</v>
      </c>
      <c r="H13" s="39">
        <f t="shared" si="4"/>
        <v>41758</v>
      </c>
    </row>
    <row r="14" spans="1:8" s="15" customFormat="1" ht="20.100000000000001" customHeight="1" x14ac:dyDescent="0.25">
      <c r="A14" s="16">
        <v>11</v>
      </c>
      <c r="B14" s="17">
        <f t="shared" si="5"/>
        <v>41756</v>
      </c>
      <c r="C14" s="18" t="s">
        <v>0</v>
      </c>
      <c r="D14" s="19">
        <f t="shared" si="0"/>
        <v>41769</v>
      </c>
      <c r="E14" s="20">
        <f t="shared" si="1"/>
        <v>41782</v>
      </c>
      <c r="F14" s="20">
        <f t="shared" si="2"/>
        <v>41765</v>
      </c>
      <c r="G14" s="20">
        <f t="shared" si="3"/>
        <v>41756</v>
      </c>
      <c r="H14" s="21">
        <f t="shared" si="4"/>
        <v>41772</v>
      </c>
    </row>
    <row r="15" spans="1:8" s="15" customFormat="1" ht="20.100000000000001" customHeight="1" x14ac:dyDescent="0.25">
      <c r="A15" s="22">
        <v>12</v>
      </c>
      <c r="B15" s="23">
        <f t="shared" si="5"/>
        <v>41770</v>
      </c>
      <c r="C15" s="24" t="s">
        <v>0</v>
      </c>
      <c r="D15" s="25">
        <f t="shared" si="0"/>
        <v>41783</v>
      </c>
      <c r="E15" s="26">
        <f t="shared" si="1"/>
        <v>41796</v>
      </c>
      <c r="F15" s="26">
        <f t="shared" si="2"/>
        <v>41779</v>
      </c>
      <c r="G15" s="26">
        <f t="shared" si="3"/>
        <v>41770</v>
      </c>
      <c r="H15" s="27">
        <f t="shared" si="4"/>
        <v>41786</v>
      </c>
    </row>
    <row r="16" spans="1:8" s="15" customFormat="1" ht="20.100000000000001" customHeight="1" x14ac:dyDescent="0.25">
      <c r="A16" s="28">
        <v>13</v>
      </c>
      <c r="B16" s="29">
        <f t="shared" si="5"/>
        <v>41784</v>
      </c>
      <c r="C16" s="30" t="s">
        <v>0</v>
      </c>
      <c r="D16" s="31">
        <f t="shared" si="0"/>
        <v>41797</v>
      </c>
      <c r="E16" s="32">
        <f t="shared" si="1"/>
        <v>41810</v>
      </c>
      <c r="F16" s="32">
        <f t="shared" si="2"/>
        <v>41793</v>
      </c>
      <c r="G16" s="32">
        <f t="shared" si="3"/>
        <v>41784</v>
      </c>
      <c r="H16" s="33">
        <f t="shared" si="4"/>
        <v>41800</v>
      </c>
    </row>
    <row r="17" spans="1:8" s="15" customFormat="1" ht="20.100000000000001" customHeight="1" x14ac:dyDescent="0.25">
      <c r="A17" s="34">
        <v>14</v>
      </c>
      <c r="B17" s="35">
        <f t="shared" si="5"/>
        <v>41798</v>
      </c>
      <c r="C17" s="36" t="s">
        <v>0</v>
      </c>
      <c r="D17" s="37">
        <f t="shared" si="0"/>
        <v>41811</v>
      </c>
      <c r="E17" s="38">
        <f t="shared" si="1"/>
        <v>41824</v>
      </c>
      <c r="F17" s="38">
        <f t="shared" si="2"/>
        <v>41807</v>
      </c>
      <c r="G17" s="38">
        <f t="shared" si="3"/>
        <v>41798</v>
      </c>
      <c r="H17" s="39">
        <f t="shared" si="4"/>
        <v>41814</v>
      </c>
    </row>
    <row r="18" spans="1:8" s="15" customFormat="1" ht="20.100000000000001" customHeight="1" x14ac:dyDescent="0.25">
      <c r="A18" s="16">
        <v>15</v>
      </c>
      <c r="B18" s="17">
        <f t="shared" si="5"/>
        <v>41812</v>
      </c>
      <c r="C18" s="18" t="s">
        <v>0</v>
      </c>
      <c r="D18" s="19">
        <f t="shared" si="0"/>
        <v>41825</v>
      </c>
      <c r="E18" s="20">
        <f t="shared" si="1"/>
        <v>41838</v>
      </c>
      <c r="F18" s="20">
        <f t="shared" si="2"/>
        <v>41821</v>
      </c>
      <c r="G18" s="20">
        <f t="shared" si="3"/>
        <v>41812</v>
      </c>
      <c r="H18" s="21">
        <f t="shared" si="4"/>
        <v>41828</v>
      </c>
    </row>
    <row r="19" spans="1:8" s="15" customFormat="1" ht="20.100000000000001" customHeight="1" x14ac:dyDescent="0.25">
      <c r="A19" s="22">
        <v>16</v>
      </c>
      <c r="B19" s="23">
        <f t="shared" si="5"/>
        <v>41826</v>
      </c>
      <c r="C19" s="24" t="s">
        <v>0</v>
      </c>
      <c r="D19" s="25">
        <f t="shared" si="0"/>
        <v>41839</v>
      </c>
      <c r="E19" s="26">
        <f t="shared" si="1"/>
        <v>41852</v>
      </c>
      <c r="F19" s="26">
        <f t="shared" si="2"/>
        <v>41835</v>
      </c>
      <c r="G19" s="26">
        <f t="shared" si="3"/>
        <v>41826</v>
      </c>
      <c r="H19" s="27">
        <f t="shared" si="4"/>
        <v>41842</v>
      </c>
    </row>
    <row r="20" spans="1:8" s="15" customFormat="1" ht="20.100000000000001" customHeight="1" x14ac:dyDescent="0.25">
      <c r="A20" s="46">
        <v>17</v>
      </c>
      <c r="B20" s="47">
        <f t="shared" si="5"/>
        <v>41840</v>
      </c>
      <c r="C20" s="48" t="s">
        <v>0</v>
      </c>
      <c r="D20" s="49">
        <f t="shared" si="0"/>
        <v>41853</v>
      </c>
      <c r="E20" s="50">
        <f t="shared" si="1"/>
        <v>41866</v>
      </c>
      <c r="F20" s="50">
        <f t="shared" si="2"/>
        <v>41849</v>
      </c>
      <c r="G20" s="50">
        <f t="shared" si="3"/>
        <v>41840</v>
      </c>
      <c r="H20" s="51">
        <f t="shared" si="4"/>
        <v>41856</v>
      </c>
    </row>
    <row r="21" spans="1:8" s="15" customFormat="1" ht="20.100000000000001" customHeight="1" x14ac:dyDescent="0.25">
      <c r="A21" s="28">
        <v>18</v>
      </c>
      <c r="B21" s="29">
        <f t="shared" si="5"/>
        <v>41854</v>
      </c>
      <c r="C21" s="30" t="s">
        <v>0</v>
      </c>
      <c r="D21" s="31">
        <f t="shared" si="0"/>
        <v>41867</v>
      </c>
      <c r="E21" s="32">
        <f t="shared" si="1"/>
        <v>41880</v>
      </c>
      <c r="F21" s="32">
        <f t="shared" si="2"/>
        <v>41863</v>
      </c>
      <c r="G21" s="32">
        <f t="shared" si="3"/>
        <v>41854</v>
      </c>
      <c r="H21" s="33">
        <f t="shared" si="4"/>
        <v>41870</v>
      </c>
    </row>
    <row r="22" spans="1:8" s="15" customFormat="1" ht="20.100000000000001" customHeight="1" x14ac:dyDescent="0.25">
      <c r="A22" s="34">
        <v>19</v>
      </c>
      <c r="B22" s="35">
        <f t="shared" si="5"/>
        <v>41868</v>
      </c>
      <c r="C22" s="36" t="s">
        <v>0</v>
      </c>
      <c r="D22" s="37">
        <f t="shared" si="0"/>
        <v>41881</v>
      </c>
      <c r="E22" s="38">
        <f t="shared" si="1"/>
        <v>41894</v>
      </c>
      <c r="F22" s="38">
        <f t="shared" si="2"/>
        <v>41877</v>
      </c>
      <c r="G22" s="38">
        <f t="shared" si="3"/>
        <v>41868</v>
      </c>
      <c r="H22" s="39">
        <f t="shared" si="4"/>
        <v>41884</v>
      </c>
    </row>
    <row r="23" spans="1:8" s="15" customFormat="1" ht="20.100000000000001" customHeight="1" x14ac:dyDescent="0.25">
      <c r="A23" s="16">
        <v>20</v>
      </c>
      <c r="B23" s="17">
        <f t="shared" si="5"/>
        <v>41882</v>
      </c>
      <c r="C23" s="18" t="s">
        <v>0</v>
      </c>
      <c r="D23" s="19">
        <f t="shared" si="0"/>
        <v>41895</v>
      </c>
      <c r="E23" s="20">
        <f t="shared" si="1"/>
        <v>41908</v>
      </c>
      <c r="F23" s="20">
        <f t="shared" si="2"/>
        <v>41891</v>
      </c>
      <c r="G23" s="20">
        <f t="shared" si="3"/>
        <v>41882</v>
      </c>
      <c r="H23" s="21">
        <f t="shared" si="4"/>
        <v>41898</v>
      </c>
    </row>
    <row r="24" spans="1:8" s="15" customFormat="1" ht="20.100000000000001" customHeight="1" x14ac:dyDescent="0.25">
      <c r="A24" s="22">
        <v>21</v>
      </c>
      <c r="B24" s="23">
        <f t="shared" si="5"/>
        <v>41896</v>
      </c>
      <c r="C24" s="24" t="s">
        <v>0</v>
      </c>
      <c r="D24" s="25">
        <f t="shared" si="0"/>
        <v>41909</v>
      </c>
      <c r="E24" s="26">
        <f t="shared" si="1"/>
        <v>41922</v>
      </c>
      <c r="F24" s="26">
        <f t="shared" si="2"/>
        <v>41905</v>
      </c>
      <c r="G24" s="26">
        <f t="shared" si="3"/>
        <v>41896</v>
      </c>
      <c r="H24" s="27">
        <f t="shared" si="4"/>
        <v>41912</v>
      </c>
    </row>
    <row r="25" spans="1:8" s="15" customFormat="1" ht="20.100000000000001" customHeight="1" x14ac:dyDescent="0.25">
      <c r="A25" s="28">
        <v>22</v>
      </c>
      <c r="B25" s="29">
        <f t="shared" si="5"/>
        <v>41910</v>
      </c>
      <c r="C25" s="30" t="s">
        <v>0</v>
      </c>
      <c r="D25" s="31">
        <f t="shared" si="0"/>
        <v>41923</v>
      </c>
      <c r="E25" s="32">
        <f t="shared" si="1"/>
        <v>41936</v>
      </c>
      <c r="F25" s="32">
        <f t="shared" si="2"/>
        <v>41919</v>
      </c>
      <c r="G25" s="32">
        <f t="shared" si="3"/>
        <v>41910</v>
      </c>
      <c r="H25" s="33">
        <f t="shared" si="4"/>
        <v>41926</v>
      </c>
    </row>
    <row r="26" spans="1:8" s="15" customFormat="1" ht="20.100000000000001" customHeight="1" x14ac:dyDescent="0.25">
      <c r="A26" s="34">
        <v>23</v>
      </c>
      <c r="B26" s="35">
        <f t="shared" si="5"/>
        <v>41924</v>
      </c>
      <c r="C26" s="36" t="s">
        <v>0</v>
      </c>
      <c r="D26" s="37">
        <f t="shared" si="0"/>
        <v>41937</v>
      </c>
      <c r="E26" s="38">
        <f t="shared" si="1"/>
        <v>41950</v>
      </c>
      <c r="F26" s="38">
        <f t="shared" si="2"/>
        <v>41933</v>
      </c>
      <c r="G26" s="38">
        <f t="shared" si="3"/>
        <v>41924</v>
      </c>
      <c r="H26" s="39">
        <f t="shared" si="4"/>
        <v>41940</v>
      </c>
    </row>
    <row r="27" spans="1:8" s="15" customFormat="1" ht="20.100000000000001" customHeight="1" x14ac:dyDescent="0.25">
      <c r="A27" s="16">
        <v>24</v>
      </c>
      <c r="B27" s="17">
        <f t="shared" si="5"/>
        <v>41938</v>
      </c>
      <c r="C27" s="18" t="s">
        <v>0</v>
      </c>
      <c r="D27" s="19">
        <f t="shared" si="0"/>
        <v>41951</v>
      </c>
      <c r="E27" s="20">
        <f t="shared" si="1"/>
        <v>41964</v>
      </c>
      <c r="F27" s="20">
        <f t="shared" si="2"/>
        <v>41947</v>
      </c>
      <c r="G27" s="20">
        <f t="shared" si="3"/>
        <v>41938</v>
      </c>
      <c r="H27" s="21">
        <f t="shared" si="4"/>
        <v>41954</v>
      </c>
    </row>
    <row r="28" spans="1:8" s="15" customFormat="1" ht="20.100000000000001" customHeight="1" x14ac:dyDescent="0.25">
      <c r="A28" s="46">
        <v>25</v>
      </c>
      <c r="B28" s="47">
        <f t="shared" si="5"/>
        <v>41952</v>
      </c>
      <c r="C28" s="48" t="s">
        <v>0</v>
      </c>
      <c r="D28" s="49">
        <f t="shared" si="0"/>
        <v>41965</v>
      </c>
      <c r="E28" s="50">
        <f t="shared" si="1"/>
        <v>41978</v>
      </c>
      <c r="F28" s="50">
        <f t="shared" si="2"/>
        <v>41961</v>
      </c>
      <c r="G28" s="50">
        <f t="shared" si="3"/>
        <v>41952</v>
      </c>
      <c r="H28" s="51">
        <f t="shared" si="4"/>
        <v>41968</v>
      </c>
    </row>
    <row r="29" spans="1:8" s="15" customFormat="1" ht="20.100000000000001" customHeight="1" thickBot="1" x14ac:dyDescent="0.3">
      <c r="A29" s="52">
        <v>26</v>
      </c>
      <c r="B29" s="53">
        <f t="shared" si="5"/>
        <v>41966</v>
      </c>
      <c r="C29" s="54"/>
      <c r="D29" s="55">
        <f t="shared" si="0"/>
        <v>41979</v>
      </c>
      <c r="E29" s="56">
        <f t="shared" si="1"/>
        <v>41992</v>
      </c>
      <c r="F29" s="56">
        <f t="shared" si="2"/>
        <v>41975</v>
      </c>
      <c r="G29" s="56">
        <f t="shared" si="3"/>
        <v>41966</v>
      </c>
      <c r="H29" s="57">
        <f t="shared" si="4"/>
        <v>41982</v>
      </c>
    </row>
    <row r="30" spans="1:8" ht="20.100000000000001" customHeight="1" x14ac:dyDescent="0.25">
      <c r="A30" s="7"/>
      <c r="B30" s="6"/>
      <c r="C30" s="5"/>
      <c r="D30" s="8"/>
      <c r="E30" s="5"/>
      <c r="F30" s="5"/>
      <c r="G30" s="5"/>
      <c r="H30" s="5"/>
    </row>
    <row r="31" spans="1:8" ht="20.100000000000001" customHeight="1" x14ac:dyDescent="0.25">
      <c r="A31" s="7"/>
      <c r="B31" s="6"/>
      <c r="C31" s="5"/>
      <c r="D31" s="8"/>
      <c r="E31" s="5"/>
      <c r="F31" s="5"/>
      <c r="G31" s="5"/>
      <c r="H31" s="5"/>
    </row>
    <row r="32" spans="1:8" ht="32.25" customHeight="1" x14ac:dyDescent="0.25">
      <c r="A32" s="64" t="s">
        <v>8</v>
      </c>
      <c r="B32" s="64"/>
      <c r="C32" s="64"/>
      <c r="D32" s="64"/>
      <c r="E32" s="64"/>
      <c r="F32" s="64"/>
      <c r="G32" s="64"/>
      <c r="H32" s="64"/>
    </row>
    <row r="33" spans="1:1" x14ac:dyDescent="0.25">
      <c r="A33" s="3"/>
    </row>
    <row r="35" spans="1:1" x14ac:dyDescent="0.25">
      <c r="A35" s="3"/>
    </row>
    <row r="36" spans="1:1" x14ac:dyDescent="0.25">
      <c r="A36" s="3"/>
    </row>
    <row r="37" spans="1:1" x14ac:dyDescent="0.25">
      <c r="A37" s="3"/>
    </row>
    <row r="38" spans="1:1" x14ac:dyDescent="0.25">
      <c r="A38" s="3"/>
    </row>
    <row r="39" spans="1:1" x14ac:dyDescent="0.25">
      <c r="A39" s="3"/>
    </row>
    <row r="41" spans="1:1" x14ac:dyDescent="0.25">
      <c r="A41" s="3"/>
    </row>
    <row r="43" spans="1:1" x14ac:dyDescent="0.25">
      <c r="A43" s="3"/>
    </row>
    <row r="44" spans="1:1" x14ac:dyDescent="0.25">
      <c r="A44" s="3"/>
    </row>
    <row r="45" spans="1:1" x14ac:dyDescent="0.25">
      <c r="A45" s="3"/>
    </row>
    <row r="46" spans="1:1" x14ac:dyDescent="0.25">
      <c r="A46" s="3"/>
    </row>
    <row r="47" spans="1:1" x14ac:dyDescent="0.25">
      <c r="A47" s="3"/>
    </row>
    <row r="49" spans="1:1" x14ac:dyDescent="0.25">
      <c r="A49" s="3"/>
    </row>
    <row r="51" spans="1:1" x14ac:dyDescent="0.25">
      <c r="A51" s="3"/>
    </row>
    <row r="52" spans="1:1" x14ac:dyDescent="0.25">
      <c r="A52" s="3"/>
    </row>
    <row r="53" spans="1:1" x14ac:dyDescent="0.25">
      <c r="A53" s="3"/>
    </row>
    <row r="54" spans="1:1" x14ac:dyDescent="0.25">
      <c r="A54" s="3"/>
    </row>
    <row r="55" spans="1:1" x14ac:dyDescent="0.25">
      <c r="A55" s="3"/>
    </row>
    <row r="57" spans="1:1" x14ac:dyDescent="0.25">
      <c r="A57" s="3"/>
    </row>
    <row r="59" spans="1:1" x14ac:dyDescent="0.25">
      <c r="A59" s="3"/>
    </row>
    <row r="60" spans="1:1" x14ac:dyDescent="0.25">
      <c r="A60" s="3"/>
    </row>
    <row r="61" spans="1:1" x14ac:dyDescent="0.25">
      <c r="A61" s="3"/>
    </row>
    <row r="62" spans="1:1" x14ac:dyDescent="0.25">
      <c r="A62" s="3"/>
    </row>
    <row r="63" spans="1:1" x14ac:dyDescent="0.25">
      <c r="A63" s="3"/>
    </row>
    <row r="65" spans="1:1" x14ac:dyDescent="0.25">
      <c r="A65" s="3"/>
    </row>
    <row r="67" spans="1:1" x14ac:dyDescent="0.25">
      <c r="A67" s="3"/>
    </row>
    <row r="68" spans="1:1" x14ac:dyDescent="0.25">
      <c r="A68" s="3"/>
    </row>
    <row r="69" spans="1:1" x14ac:dyDescent="0.25">
      <c r="A69" s="3"/>
    </row>
    <row r="70" spans="1:1" x14ac:dyDescent="0.25">
      <c r="A70" s="3"/>
    </row>
    <row r="71" spans="1:1" x14ac:dyDescent="0.25">
      <c r="A71" s="3"/>
    </row>
    <row r="73" spans="1:1" x14ac:dyDescent="0.25">
      <c r="A73" s="3"/>
    </row>
    <row r="75" spans="1:1" x14ac:dyDescent="0.25">
      <c r="A75" s="3"/>
    </row>
    <row r="76" spans="1:1" x14ac:dyDescent="0.25">
      <c r="A76" s="3"/>
    </row>
    <row r="77" spans="1:1" x14ac:dyDescent="0.25">
      <c r="A77" s="3"/>
    </row>
    <row r="78" spans="1:1" x14ac:dyDescent="0.25">
      <c r="A78" s="3"/>
    </row>
    <row r="79" spans="1:1" x14ac:dyDescent="0.25">
      <c r="A79" s="3"/>
    </row>
    <row r="81" spans="1:1" x14ac:dyDescent="0.25">
      <c r="A81" s="3"/>
    </row>
    <row r="83" spans="1:1" x14ac:dyDescent="0.25">
      <c r="A83" s="3"/>
    </row>
    <row r="84" spans="1:1" x14ac:dyDescent="0.25">
      <c r="A84" s="3"/>
    </row>
    <row r="85" spans="1:1" x14ac:dyDescent="0.25">
      <c r="A85" s="3"/>
    </row>
    <row r="86" spans="1:1" x14ac:dyDescent="0.25">
      <c r="A86" s="3"/>
    </row>
    <row r="87" spans="1:1" x14ac:dyDescent="0.25">
      <c r="A87" s="3"/>
    </row>
    <row r="89" spans="1:1" x14ac:dyDescent="0.25">
      <c r="A89" s="3"/>
    </row>
    <row r="91" spans="1:1" x14ac:dyDescent="0.25">
      <c r="A91" s="3"/>
    </row>
    <row r="92" spans="1:1" x14ac:dyDescent="0.25">
      <c r="A92" s="3"/>
    </row>
    <row r="93" spans="1:1" x14ac:dyDescent="0.25">
      <c r="A93" s="3"/>
    </row>
    <row r="94" spans="1:1" x14ac:dyDescent="0.25">
      <c r="A94" s="3"/>
    </row>
    <row r="95" spans="1:1" x14ac:dyDescent="0.25">
      <c r="A95" s="3"/>
    </row>
    <row r="97" spans="1:1" x14ac:dyDescent="0.25">
      <c r="A97" s="3"/>
    </row>
    <row r="99" spans="1:1" x14ac:dyDescent="0.25">
      <c r="A99" s="3"/>
    </row>
    <row r="100" spans="1:1" x14ac:dyDescent="0.25">
      <c r="A100" s="3"/>
    </row>
    <row r="101" spans="1:1" x14ac:dyDescent="0.25">
      <c r="A101" s="3"/>
    </row>
    <row r="102" spans="1:1" x14ac:dyDescent="0.25">
      <c r="A102" s="3"/>
    </row>
    <row r="103" spans="1:1" x14ac:dyDescent="0.25">
      <c r="A103" s="3"/>
    </row>
    <row r="105" spans="1:1" x14ac:dyDescent="0.25">
      <c r="A105" s="3"/>
    </row>
    <row r="107" spans="1:1" x14ac:dyDescent="0.25">
      <c r="A107" s="3"/>
    </row>
    <row r="108" spans="1:1" x14ac:dyDescent="0.25">
      <c r="A108" s="3"/>
    </row>
    <row r="109" spans="1:1" x14ac:dyDescent="0.25">
      <c r="A109" s="3"/>
    </row>
    <row r="110" spans="1:1" x14ac:dyDescent="0.25">
      <c r="A110" s="3"/>
    </row>
    <row r="111" spans="1:1" x14ac:dyDescent="0.25">
      <c r="A111" s="3"/>
    </row>
    <row r="113" spans="1:1" x14ac:dyDescent="0.25">
      <c r="A113" s="3"/>
    </row>
    <row r="115" spans="1:1" x14ac:dyDescent="0.25">
      <c r="A115" s="3"/>
    </row>
    <row r="116" spans="1:1" x14ac:dyDescent="0.25">
      <c r="A116" s="3"/>
    </row>
    <row r="117" spans="1:1" x14ac:dyDescent="0.25">
      <c r="A117" s="3"/>
    </row>
    <row r="118" spans="1:1" x14ac:dyDescent="0.25">
      <c r="A118" s="3"/>
    </row>
    <row r="119" spans="1:1" x14ac:dyDescent="0.25">
      <c r="A119" s="3"/>
    </row>
    <row r="121" spans="1:1" x14ac:dyDescent="0.25">
      <c r="A121" s="3"/>
    </row>
    <row r="123" spans="1:1" x14ac:dyDescent="0.25">
      <c r="A123" s="3"/>
    </row>
    <row r="124" spans="1:1" x14ac:dyDescent="0.25">
      <c r="A124" s="3"/>
    </row>
    <row r="125" spans="1:1" x14ac:dyDescent="0.25">
      <c r="A125" s="3"/>
    </row>
    <row r="126" spans="1:1" x14ac:dyDescent="0.25">
      <c r="A126" s="3"/>
    </row>
    <row r="127" spans="1:1" x14ac:dyDescent="0.25">
      <c r="A127" s="3"/>
    </row>
    <row r="129" spans="1:1" x14ac:dyDescent="0.25">
      <c r="A129" s="3"/>
    </row>
    <row r="131" spans="1:1" x14ac:dyDescent="0.25">
      <c r="A131" s="3"/>
    </row>
    <row r="132" spans="1:1" x14ac:dyDescent="0.25">
      <c r="A132" s="3"/>
    </row>
    <row r="133" spans="1:1" x14ac:dyDescent="0.25">
      <c r="A133" s="3"/>
    </row>
    <row r="134" spans="1:1" x14ac:dyDescent="0.25">
      <c r="A134" s="3"/>
    </row>
    <row r="135" spans="1:1" x14ac:dyDescent="0.25">
      <c r="A135" s="3"/>
    </row>
    <row r="137" spans="1:1" x14ac:dyDescent="0.25">
      <c r="A137" s="3"/>
    </row>
    <row r="139" spans="1:1" x14ac:dyDescent="0.25">
      <c r="A139" s="3"/>
    </row>
    <row r="140" spans="1:1" x14ac:dyDescent="0.25">
      <c r="A140" s="3"/>
    </row>
    <row r="141" spans="1:1" x14ac:dyDescent="0.25">
      <c r="A141" s="3"/>
    </row>
    <row r="142" spans="1:1" x14ac:dyDescent="0.25">
      <c r="A142" s="3"/>
    </row>
    <row r="143" spans="1:1" x14ac:dyDescent="0.25">
      <c r="A143" s="3"/>
    </row>
    <row r="145" spans="1:1" x14ac:dyDescent="0.25">
      <c r="A145" s="3"/>
    </row>
    <row r="147" spans="1:1" x14ac:dyDescent="0.25">
      <c r="A147" s="3"/>
    </row>
    <row r="148" spans="1:1" x14ac:dyDescent="0.25">
      <c r="A148" s="3"/>
    </row>
    <row r="149" spans="1:1" x14ac:dyDescent="0.25">
      <c r="A149" s="3"/>
    </row>
    <row r="150" spans="1:1" x14ac:dyDescent="0.25">
      <c r="A150" s="3"/>
    </row>
    <row r="151" spans="1:1" x14ac:dyDescent="0.25">
      <c r="A151" s="3"/>
    </row>
    <row r="153" spans="1:1" x14ac:dyDescent="0.25">
      <c r="A153" s="3"/>
    </row>
    <row r="155" spans="1:1" x14ac:dyDescent="0.25">
      <c r="A155" s="3"/>
    </row>
    <row r="156" spans="1:1" x14ac:dyDescent="0.25">
      <c r="A156" s="3"/>
    </row>
    <row r="157" spans="1:1" x14ac:dyDescent="0.25">
      <c r="A157" s="3"/>
    </row>
    <row r="158" spans="1:1" x14ac:dyDescent="0.25">
      <c r="A158" s="3"/>
    </row>
    <row r="159" spans="1:1" x14ac:dyDescent="0.25">
      <c r="A159" s="3"/>
    </row>
    <row r="161" spans="1:1" x14ac:dyDescent="0.25">
      <c r="A161" s="3"/>
    </row>
    <row r="163" spans="1:1" x14ac:dyDescent="0.25">
      <c r="A163" s="3"/>
    </row>
    <row r="164" spans="1:1" x14ac:dyDescent="0.25">
      <c r="A164" s="3"/>
    </row>
    <row r="165" spans="1:1" x14ac:dyDescent="0.25">
      <c r="A165" s="3"/>
    </row>
    <row r="166" spans="1:1" x14ac:dyDescent="0.25">
      <c r="A166" s="3"/>
    </row>
    <row r="167" spans="1:1" x14ac:dyDescent="0.25">
      <c r="A167" s="3"/>
    </row>
    <row r="169" spans="1:1" x14ac:dyDescent="0.25">
      <c r="A169" s="3"/>
    </row>
    <row r="171" spans="1:1" x14ac:dyDescent="0.25">
      <c r="A171" s="3"/>
    </row>
    <row r="172" spans="1:1" x14ac:dyDescent="0.25">
      <c r="A172" s="3"/>
    </row>
    <row r="173" spans="1:1" x14ac:dyDescent="0.25">
      <c r="A173" s="3"/>
    </row>
    <row r="174" spans="1:1" x14ac:dyDescent="0.25">
      <c r="A174" s="3"/>
    </row>
    <row r="175" spans="1:1" x14ac:dyDescent="0.25">
      <c r="A175" s="3"/>
    </row>
    <row r="177" spans="1:1" x14ac:dyDescent="0.25">
      <c r="A177" s="3"/>
    </row>
    <row r="179" spans="1:1" x14ac:dyDescent="0.25">
      <c r="A179" s="3"/>
    </row>
    <row r="180" spans="1:1" x14ac:dyDescent="0.25">
      <c r="A180" s="3"/>
    </row>
    <row r="181" spans="1:1" x14ac:dyDescent="0.25">
      <c r="A181" s="3"/>
    </row>
    <row r="182" spans="1:1" x14ac:dyDescent="0.25">
      <c r="A182" s="3"/>
    </row>
    <row r="183" spans="1:1" x14ac:dyDescent="0.25">
      <c r="A183" s="3"/>
    </row>
    <row r="185" spans="1:1" x14ac:dyDescent="0.25">
      <c r="A185" s="3"/>
    </row>
    <row r="187" spans="1:1" x14ac:dyDescent="0.25">
      <c r="A187" s="3"/>
    </row>
    <row r="188" spans="1:1" x14ac:dyDescent="0.25">
      <c r="A188" s="3"/>
    </row>
    <row r="189" spans="1:1" x14ac:dyDescent="0.25">
      <c r="A189" s="3"/>
    </row>
    <row r="190" spans="1:1" x14ac:dyDescent="0.25">
      <c r="A190" s="3"/>
    </row>
    <row r="191" spans="1:1" x14ac:dyDescent="0.25">
      <c r="A191" s="3"/>
    </row>
    <row r="193" spans="1:1" x14ac:dyDescent="0.25">
      <c r="A193" s="3"/>
    </row>
    <row r="195" spans="1:1" x14ac:dyDescent="0.25">
      <c r="A195" s="3"/>
    </row>
    <row r="196" spans="1:1" x14ac:dyDescent="0.25">
      <c r="A196" s="3"/>
    </row>
    <row r="197" spans="1:1" x14ac:dyDescent="0.25">
      <c r="A197" s="3"/>
    </row>
    <row r="198" spans="1:1" x14ac:dyDescent="0.25">
      <c r="A198" s="3"/>
    </row>
    <row r="199" spans="1:1" x14ac:dyDescent="0.25">
      <c r="A199" s="3"/>
    </row>
    <row r="201" spans="1:1" x14ac:dyDescent="0.25">
      <c r="A201" s="3"/>
    </row>
    <row r="203" spans="1:1" x14ac:dyDescent="0.25">
      <c r="A203" s="3"/>
    </row>
    <row r="204" spans="1:1" x14ac:dyDescent="0.25">
      <c r="A204" s="3"/>
    </row>
    <row r="205" spans="1:1" x14ac:dyDescent="0.25">
      <c r="A205" s="3"/>
    </row>
    <row r="206" spans="1:1" x14ac:dyDescent="0.25">
      <c r="A206" s="3"/>
    </row>
    <row r="207" spans="1:1" x14ac:dyDescent="0.25">
      <c r="A207" s="3"/>
    </row>
    <row r="209" spans="1:1" x14ac:dyDescent="0.25">
      <c r="A209" s="3"/>
    </row>
    <row r="211" spans="1:1" x14ac:dyDescent="0.25">
      <c r="A211" s="3"/>
    </row>
    <row r="212" spans="1:1" x14ac:dyDescent="0.25">
      <c r="A212" s="3"/>
    </row>
    <row r="213" spans="1:1" x14ac:dyDescent="0.25">
      <c r="A213" s="3"/>
    </row>
    <row r="214" spans="1:1" x14ac:dyDescent="0.25">
      <c r="A214" s="3"/>
    </row>
    <row r="215" spans="1:1" x14ac:dyDescent="0.25">
      <c r="A215" s="3"/>
    </row>
  </sheetData>
  <mergeCells count="3">
    <mergeCell ref="B3:D3"/>
    <mergeCell ref="A32:H32"/>
    <mergeCell ref="A1:H1"/>
  </mergeCells>
  <pageMargins left="0.7" right="0.7" top="0.75" bottom="0.75" header="0.3" footer="0.3"/>
  <pageSetup scale="9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University of Idaho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Gottschalk, Melissa</dc:creator>
  <cp:lastModifiedBy>mchun</cp:lastModifiedBy>
  <cp:lastPrinted>2013-08-23T17:30:46Z</cp:lastPrinted>
  <dcterms:created xsi:type="dcterms:W3CDTF">2012-12-07T18:06:01Z</dcterms:created>
  <dcterms:modified xsi:type="dcterms:W3CDTF">2013-08-23T17:32:07Z</dcterms:modified>
</cp:coreProperties>
</file>